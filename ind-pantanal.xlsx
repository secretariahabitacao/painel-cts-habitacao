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37" documentId="8_{DAC6C9CA-70D7-4111-A0A7-BC6755E560D9}" xr6:coauthVersionLast="47" xr6:coauthVersionMax="47" xr10:uidLastSave="{8976BB4F-6318-41F8-ADE2-0360B0984707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03" i="20" l="1"/>
  <c r="BD103" i="20"/>
  <c r="BC103" i="20"/>
  <c r="BE121" i="20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C188" i="20"/>
  <c r="BD188" i="20"/>
  <c r="BE188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407" i="20"/>
  <c r="BD407" i="20"/>
  <c r="BE407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408" i="20"/>
  <c r="BD408" i="20"/>
  <c r="BE408" i="20"/>
  <c r="BC118" i="20"/>
  <c r="BD118" i="20"/>
  <c r="BE118" i="20"/>
  <c r="BC100" i="20"/>
  <c r="BD100" i="20"/>
  <c r="BE100" i="20"/>
  <c r="BC124" i="20"/>
  <c r="BD124" i="20"/>
  <c r="BE124" i="20"/>
  <c r="BC126" i="20"/>
  <c r="BD126" i="20"/>
  <c r="BE126" i="20"/>
  <c r="BC128" i="20"/>
  <c r="BD128" i="20"/>
  <c r="BE128" i="20"/>
  <c r="BC120" i="20"/>
  <c r="BD120" i="20"/>
  <c r="BE120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23" i="20"/>
  <c r="BD123" i="20"/>
  <c r="BE123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25" i="20"/>
  <c r="BD125" i="20"/>
  <c r="BE125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127" i="20"/>
  <c r="BD127" i="20"/>
  <c r="BE127" i="20"/>
  <c r="BC386" i="20"/>
  <c r="BD386" i="20"/>
  <c r="BE386" i="20"/>
  <c r="BC130" i="20"/>
  <c r="BD130" i="20"/>
  <c r="BE130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197" i="20"/>
  <c r="BD197" i="20"/>
  <c r="BE197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134" i="20"/>
  <c r="BD134" i="20"/>
  <c r="BE134" i="20"/>
  <c r="BC419" i="20"/>
  <c r="BD419" i="20"/>
  <c r="BE419" i="20"/>
  <c r="BC136" i="20"/>
  <c r="BD136" i="20"/>
  <c r="BE136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144" i="20"/>
  <c r="BD144" i="20"/>
  <c r="BE144" i="20"/>
  <c r="BC468" i="20"/>
  <c r="BD468" i="20"/>
  <c r="BE468" i="20"/>
  <c r="BC467" i="20"/>
  <c r="BD467" i="20"/>
  <c r="BE467" i="20"/>
  <c r="BC385" i="20"/>
  <c r="BD385" i="20"/>
  <c r="BE385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148" i="20"/>
  <c r="BD148" i="20"/>
  <c r="BE14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170" i="20"/>
  <c r="BD170" i="20"/>
  <c r="BE170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173" i="20"/>
  <c r="BD173" i="20"/>
  <c r="BE173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175" i="20"/>
  <c r="BD175" i="20"/>
  <c r="BE175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176" i="20"/>
  <c r="BD176" i="20"/>
  <c r="BE176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<sst xmlns="http://schemas.openxmlformats.org/spreadsheetml/2006/main" count="33822" uniqueCount="8612">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</sst>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P100" activePane="bottomRight" state="frozen"/>
      <selection pane="topRight"/>
      <selection pane="bottomLeft"/>
      <selection pane="bottomRight" activeCell="AP120" sqref="AP120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57">
        <v>46232</v>
      </c>
      <c r="AZ100" s="109" t="s">
        <v>4453</v>
      </c>
      <c r="BA100" s="109" t="s">
        <v>4454</v>
      </c>
      <c r="BB100" s="112" t="s">
        <v>4338</v>
      </c>
      <c r="BC100" s="220">
        <f t="shared" ref="BC100:BC138" si="9">IF(AY100-KD100=0,"",AY100-O100)</f>
        <v>43</v>
      </c>
      <c r="BD100" s="103" t="str">
        <f t="shared" ref="BD100:BD138" si="10">IF(AND(AI100&lt;&gt;"SIM",AI100="UH"),"AA","INDENIZAÇÃO")</f>
        <v>INDENIZAÇÃO</v>
      </c>
      <c r="BE100" s="103" t="str">
        <f t="shared" ref="BE100:BE138" si="11">IF(AND(AY100&lt;&gt;"AGUARDANDO",AY100&lt;&gt;"",N100="AUXÍLIO ALUGUEL ATÉ INDENIZAÇÃO"),"SIM","NÃO")</f>
        <v>NÃO</v>
      </c>
      <c r="BF100" s="112" t="s">
        <v>4357</v>
      </c>
      <c r="BG100" s="112" t="s">
        <v>4357</v>
      </c>
      <c r="BH100" s="112" t="s">
        <v>4357</v>
      </c>
      <c r="BI100" s="109" t="s">
        <v>4914</v>
      </c>
      <c r="BJ100" s="109"/>
      <c r="BK100" s="109"/>
      <c r="BL100" s="109"/>
      <c r="BM100" s="239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si="9"/>
        <v>99</v>
      </c>
      <c r="BD101" s="103" t="str">
        <f t="shared" si="10"/>
        <v>INDENIZAÇÃO</v>
      </c>
      <c r="BE101" s="103" t="str">
        <f t="shared" si="11"/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57">
        <v>46232</v>
      </c>
      <c r="AZ103" s="109" t="s">
        <v>4453</v>
      </c>
      <c r="BA103" s="109" t="s">
        <v>4454</v>
      </c>
      <c r="BB103" s="112" t="s">
        <v>4338</v>
      </c>
      <c r="BC103" s="220">
        <f t="shared" ref="BC103" si="12">IF(AY103-KD103=0,"",AY103-O103)</f>
        <v>43</v>
      </c>
      <c r="BD103" s="103" t="str">
        <f t="shared" ref="BD103" si="13">IF(AND(AI103&lt;&gt;"SIM",AI103="UH"),"AA","INDENIZAÇÃO")</f>
        <v>INDENIZAÇÃO</v>
      </c>
      <c r="BE103" s="103" t="str">
        <f t="shared" ref="BE103" si="14">IF(AND(AY103&lt;&gt;"AGUARDANDO",AY103&lt;&gt;"",N103="AUXÍLIO ALUGUEL ATÉ INDENIZAÇÃO"),"SIM","NÃO")</f>
        <v>NÃO</v>
      </c>
      <c r="BF103" s="112" t="s">
        <v>4357</v>
      </c>
      <c r="BG103" s="112" t="s">
        <v>4357</v>
      </c>
      <c r="BH103" s="112" t="s">
        <v>4357</v>
      </c>
      <c r="BI103" s="109" t="s">
        <v>4914</v>
      </c>
      <c r="BJ103" s="109"/>
      <c r="BK103" s="109"/>
      <c r="BL103" s="109"/>
      <c r="BM103" s="239"/>
      <c r="BN103" s="231"/>
      <c r="BO103" s="231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 t="shared" si="9"/>
        <v>61</v>
      </c>
      <c r="BD119" s="103" t="str">
        <f t="shared" si="10"/>
        <v>INDENIZAÇÃO</v>
      </c>
      <c r="BE119" s="103" t="str">
        <f t="shared" si="11"/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57" t="s">
        <v>4453</v>
      </c>
      <c r="AZ120" s="225"/>
      <c r="BA120" s="264" t="s">
        <v>4330</v>
      </c>
      <c r="BB120" s="112"/>
      <c r="BC120" s="220" t="e">
        <f t="shared" si="9"/>
        <v>#VALUE!</v>
      </c>
      <c r="BD120" s="103" t="str">
        <f t="shared" si="10"/>
        <v>INDENIZAÇÃO</v>
      </c>
      <c r="BE120" s="103" t="str">
        <f t="shared" si="11"/>
        <v>NÃO</v>
      </c>
      <c r="BF120" s="112"/>
      <c r="BG120" s="147"/>
      <c r="BH120" s="147"/>
      <c r="BI120" s="112"/>
      <c r="BJ120" s="112"/>
      <c r="BK120" s="112"/>
      <c r="BL120" s="112"/>
      <c r="BM120" s="236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 t="shared" si="9"/>
        <v>78</v>
      </c>
      <c r="BD121" s="103" t="str">
        <f t="shared" si="10"/>
        <v>INDENIZAÇÃO</v>
      </c>
      <c r="BE121" s="103" t="str">
        <f t="shared" si="11"/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 t="shared" si="9"/>
        <v>81</v>
      </c>
      <c r="BD122" s="103" t="str">
        <f t="shared" si="10"/>
        <v>INDENIZAÇÃO</v>
      </c>
      <c r="BE122" s="103" t="str">
        <f t="shared" si="11"/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57" t="s">
        <v>4453</v>
      </c>
      <c r="AZ123" s="157"/>
      <c r="BA123" s="109" t="s">
        <v>4330</v>
      </c>
      <c r="BB123" s="112"/>
      <c r="BC123" s="220" t="e">
        <f t="shared" si="9"/>
        <v>#VALUE!</v>
      </c>
      <c r="BD123" s="103" t="str">
        <f t="shared" si="10"/>
        <v>INDENIZAÇÃO</v>
      </c>
      <c r="BE123" s="103" t="str">
        <f t="shared" si="11"/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57" t="s">
        <v>4453</v>
      </c>
      <c r="AZ125" s="157"/>
      <c r="BA125" s="109" t="s">
        <v>4330</v>
      </c>
      <c r="BB125" s="136"/>
      <c r="BC125" s="220" t="e">
        <f t="shared" si="9"/>
        <v>#VALUE!</v>
      </c>
      <c r="BD125" s="103" t="str">
        <f t="shared" si="10"/>
        <v>INDENIZAÇÃO</v>
      </c>
      <c r="BE125" s="103" t="str">
        <f t="shared" si="11"/>
        <v>NÃO</v>
      </c>
      <c r="BF125" s="140"/>
      <c r="BG125" s="140"/>
      <c r="BH125" s="140"/>
      <c r="BI125" s="140"/>
      <c r="BJ125" s="140"/>
      <c r="BK125" s="140"/>
      <c r="BL125" s="140"/>
      <c r="BM125" s="238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 t="shared" si="9"/>
        <v>53</v>
      </c>
      <c r="BD126" s="103" t="str">
        <f t="shared" si="10"/>
        <v>INDENIZAÇÃO</v>
      </c>
      <c r="BE126" s="103" t="str">
        <f t="shared" si="11"/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57" t="s">
        <v>4453</v>
      </c>
      <c r="AZ127" s="106"/>
      <c r="BA127" s="107" t="s">
        <v>4330</v>
      </c>
      <c r="BB127" s="136"/>
      <c r="BC127" s="220" t="e">
        <f t="shared" si="9"/>
        <v>#VALUE!</v>
      </c>
      <c r="BD127" s="103" t="str">
        <f t="shared" si="10"/>
        <v>INDENIZAÇÃO</v>
      </c>
      <c r="BE127" s="103" t="str">
        <f t="shared" si="11"/>
        <v>NÃO</v>
      </c>
      <c r="BF127" s="140"/>
      <c r="BG127" s="140"/>
      <c r="BH127" s="140"/>
      <c r="BI127" s="140"/>
      <c r="BJ127" s="140"/>
      <c r="BK127" s="140"/>
      <c r="BL127" s="140"/>
      <c r="BM127" s="238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9"/>
        <v>33</v>
      </c>
      <c r="BD128" s="103" t="str">
        <f t="shared" si="10"/>
        <v>INDENIZAÇÃO</v>
      </c>
      <c r="BE128" s="103" t="str">
        <f t="shared" si="11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9"/>
        <v>46</v>
      </c>
      <c r="BD129" s="103" t="str">
        <f t="shared" si="10"/>
        <v>INDENIZAÇÃO</v>
      </c>
      <c r="BE129" s="103" t="str">
        <f t="shared" si="11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57" t="s">
        <v>4453</v>
      </c>
      <c r="AZ130" s="157"/>
      <c r="BA130" s="109" t="s">
        <v>4330</v>
      </c>
      <c r="BB130" s="136"/>
      <c r="BC130" s="220" t="e">
        <f t="shared" si="9"/>
        <v>#VALUE!</v>
      </c>
      <c r="BD130" s="103" t="str">
        <f t="shared" si="10"/>
        <v>INDENIZAÇÃO</v>
      </c>
      <c r="BE130" s="103" t="str">
        <f t="shared" si="11"/>
        <v>NÃO</v>
      </c>
      <c r="BF130" s="140"/>
      <c r="BG130" s="140"/>
      <c r="BH130" s="140"/>
      <c r="BI130" s="140"/>
      <c r="BJ130" s="140"/>
      <c r="BK130" s="140"/>
      <c r="BL130" s="140"/>
      <c r="BM130" s="238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 t="shared" si="9"/>
        <v/>
      </c>
      <c r="BD131" s="103" t="str">
        <f t="shared" si="10"/>
        <v>INDENIZAÇÃO</v>
      </c>
      <c r="BE131" s="103" t="str">
        <f t="shared" si="11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9"/>
        <v>45</v>
      </c>
      <c r="BD132" s="103" t="str">
        <f t="shared" si="10"/>
        <v>INDENIZAÇÃO</v>
      </c>
      <c r="BE132" s="103" t="str">
        <f t="shared" si="11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 t="shared" si="9"/>
        <v>63</v>
      </c>
      <c r="BD133" s="103" t="str">
        <f t="shared" si="10"/>
        <v>INDENIZAÇÃO</v>
      </c>
      <c r="BE133" s="103" t="str">
        <f t="shared" si="11"/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57" t="s">
        <v>4453</v>
      </c>
      <c r="AZ134" s="157"/>
      <c r="BA134" s="109" t="s">
        <v>4330</v>
      </c>
      <c r="BB134" s="112"/>
      <c r="BC134" s="220" t="e">
        <f t="shared" si="9"/>
        <v>#VALUE!</v>
      </c>
      <c r="BD134" s="103" t="str">
        <f t="shared" si="10"/>
        <v>INDENIZAÇÃO</v>
      </c>
      <c r="BE134" s="103" t="str">
        <f t="shared" si="11"/>
        <v>NÃO</v>
      </c>
      <c r="BF134" s="112"/>
      <c r="BG134" s="147"/>
      <c r="BH134" s="147"/>
      <c r="BI134" s="112"/>
      <c r="BJ134" s="112"/>
      <c r="BK134" s="112"/>
      <c r="BL134" s="112"/>
      <c r="BM134" s="236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 t="shared" si="9"/>
        <v>50</v>
      </c>
      <c r="BD135" s="103" t="str">
        <f t="shared" si="10"/>
        <v>INDENIZAÇÃO</v>
      </c>
      <c r="BE135" s="103" t="str">
        <f t="shared" si="11"/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57" t="s">
        <v>4453</v>
      </c>
      <c r="AZ136" s="157"/>
      <c r="BA136" s="109" t="s">
        <v>4330</v>
      </c>
      <c r="BB136" s="112"/>
      <c r="BC136" s="220" t="e">
        <f t="shared" si="9"/>
        <v>#VALUE!</v>
      </c>
      <c r="BD136" s="103" t="str">
        <f t="shared" si="10"/>
        <v>INDENIZAÇÃO</v>
      </c>
      <c r="BE136" s="103" t="str">
        <f t="shared" si="11"/>
        <v>NÃO</v>
      </c>
      <c r="BF136" s="112"/>
      <c r="BG136" s="147"/>
      <c r="BH136" s="147"/>
      <c r="BI136" s="112"/>
      <c r="BJ136" s="112"/>
      <c r="BK136" s="112"/>
      <c r="BL136" s="112"/>
      <c r="BM136" s="236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9"/>
        <v/>
      </c>
      <c r="BD137" s="103" t="str">
        <f t="shared" si="10"/>
        <v>INDENIZAÇÃO</v>
      </c>
      <c r="BE137" s="103" t="str">
        <f t="shared" si="11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9"/>
        <v>102</v>
      </c>
      <c r="BD138" s="103" t="str">
        <f t="shared" si="10"/>
        <v>INDENIZAÇÃO</v>
      </c>
      <c r="BE138" s="103" t="str">
        <f t="shared" si="11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hidden="1" customHeight="1" x14ac:dyDescent="0.25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 t="shared" ref="BC140:BC151" si="15">IF(AY140-KD140=0,"",AY140-O140)</f>
        <v>63</v>
      </c>
      <c r="BD140" s="103" t="str">
        <f t="shared" ref="BD140:BD151" si="16">IF(AND(AI140&lt;&gt;"SIM",AI140="UH"),"AA","INDENIZAÇÃO")</f>
        <v>INDENIZAÇÃO</v>
      </c>
      <c r="BE140" s="103" t="str">
        <f t="shared" ref="BE140:BE151" si="17"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hidden="1" customHeight="1" x14ac:dyDescent="0.25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 t="shared" si="15"/>
        <v>40</v>
      </c>
      <c r="BD141" s="103" t="str">
        <f t="shared" si="16"/>
        <v>INDENIZAÇÃO</v>
      </c>
      <c r="BE141" s="103" t="str">
        <f t="shared" si="17"/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hidden="1" customHeight="1" x14ac:dyDescent="0.25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 t="shared" si="15"/>
        <v/>
      </c>
      <c r="BD142" s="103" t="str">
        <f t="shared" si="16"/>
        <v>AA</v>
      </c>
      <c r="BE142" s="103" t="str">
        <f t="shared" si="17"/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hidden="1" customHeight="1" x14ac:dyDescent="0.25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 t="shared" si="15"/>
        <v>76</v>
      </c>
      <c r="BD143" s="103" t="str">
        <f t="shared" si="16"/>
        <v>INDENIZAÇÃO</v>
      </c>
      <c r="BE143" s="103" t="str">
        <f t="shared" si="17"/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 x14ac:dyDescent="0.25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57" t="s">
        <v>4453</v>
      </c>
      <c r="AZ144" s="157"/>
      <c r="BA144" s="109" t="s">
        <v>4330</v>
      </c>
      <c r="BB144" s="112"/>
      <c r="BC144" s="220" t="e">
        <f t="shared" si="15"/>
        <v>#VALUE!</v>
      </c>
      <c r="BD144" s="103" t="str">
        <f t="shared" si="16"/>
        <v>INDENIZAÇÃO</v>
      </c>
      <c r="BE144" s="103" t="str">
        <f t="shared" si="17"/>
        <v>NÃO</v>
      </c>
      <c r="BF144" s="112"/>
      <c r="BG144" s="147"/>
      <c r="BH144" s="147"/>
      <c r="BI144" s="112"/>
      <c r="BJ144" s="112"/>
      <c r="BK144" s="112"/>
      <c r="BL144" s="112"/>
      <c r="BM144" s="236"/>
    </row>
    <row r="145" spans="1:67" s="232" customFormat="1" ht="29.25" hidden="1" customHeight="1" x14ac:dyDescent="0.25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 t="shared" si="15"/>
        <v>58</v>
      </c>
      <c r="BD145" s="103" t="str">
        <f t="shared" si="16"/>
        <v>INDENIZAÇÃO</v>
      </c>
      <c r="BE145" s="103" t="str">
        <f t="shared" si="17"/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hidden="1" customHeight="1" x14ac:dyDescent="0.25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 t="shared" si="15"/>
        <v/>
      </c>
      <c r="BD146" s="103" t="str">
        <f t="shared" si="16"/>
        <v>INDENIZAÇÃO</v>
      </c>
      <c r="BE146" s="103" t="str">
        <f t="shared" si="17"/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hidden="1" customHeight="1" x14ac:dyDescent="0.25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 t="shared" si="15"/>
        <v/>
      </c>
      <c r="BD147" s="103" t="str">
        <f t="shared" si="16"/>
        <v>AA</v>
      </c>
      <c r="BE147" s="103" t="str">
        <f t="shared" si="17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 x14ac:dyDescent="0.25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57" t="s">
        <v>4453</v>
      </c>
      <c r="AZ148" s="157"/>
      <c r="BA148" s="109" t="s">
        <v>4330</v>
      </c>
      <c r="BB148" s="112"/>
      <c r="BC148" s="220" t="e">
        <f t="shared" si="15"/>
        <v>#VALUE!</v>
      </c>
      <c r="BD148" s="103" t="str">
        <f t="shared" si="16"/>
        <v>INDENIZAÇÃO</v>
      </c>
      <c r="BE148" s="103" t="str">
        <f t="shared" si="17"/>
        <v>NÃO</v>
      </c>
      <c r="BF148" s="112"/>
      <c r="BG148" s="147"/>
      <c r="BH148" s="147"/>
      <c r="BI148" s="112"/>
      <c r="BJ148" s="112"/>
      <c r="BK148" s="112"/>
      <c r="BL148" s="112"/>
      <c r="BM148" s="236"/>
    </row>
    <row r="149" spans="1:67" s="232" customFormat="1" ht="29.25" hidden="1" customHeight="1" x14ac:dyDescent="0.25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 t="shared" si="15"/>
        <v>36</v>
      </c>
      <c r="BD149" s="103" t="str">
        <f t="shared" si="16"/>
        <v>INDENIZAÇÃO</v>
      </c>
      <c r="BE149" s="103" t="str">
        <f t="shared" si="17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hidden="1" customHeight="1" x14ac:dyDescent="0.25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 t="shared" si="15"/>
        <v>150</v>
      </c>
      <c r="BD150" s="103" t="str">
        <f t="shared" si="16"/>
        <v>INDENIZAÇÃO</v>
      </c>
      <c r="BE150" s="103" t="str">
        <f t="shared" si="17"/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hidden="1" customHeight="1" x14ac:dyDescent="0.25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 t="shared" si="15"/>
        <v/>
      </c>
      <c r="BD151" s="103" t="str">
        <f t="shared" si="16"/>
        <v>AA</v>
      </c>
      <c r="BE151" s="103" t="str">
        <f t="shared" si="17"/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hidden="1" customHeight="1" x14ac:dyDescent="0.25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hidden="1" customHeight="1" x14ac:dyDescent="0.25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hidden="1" customHeight="1" x14ac:dyDescent="0.25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hidden="1" customHeight="1" x14ac:dyDescent="0.25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hidden="1" customHeight="1" x14ac:dyDescent="0.25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 t="shared" ref="BC156:BC164" si="18">IF(AY156-KD156=0,"",AY156-O156)</f>
        <v>45</v>
      </c>
      <c r="BD156" s="103" t="str">
        <f t="shared" ref="BD156:BD164" si="19">IF(AND(AI156&lt;&gt;"SIM",AI156="UH"),"AA","INDENIZAÇÃO")</f>
        <v>INDENIZAÇÃO</v>
      </c>
      <c r="BE156" s="103" t="str">
        <f t="shared" ref="BE156:BE164" si="20"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hidden="1" customHeight="1" x14ac:dyDescent="0.25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 t="shared" si="18"/>
        <v>77</v>
      </c>
      <c r="BD157" s="103" t="str">
        <f t="shared" si="19"/>
        <v>INDENIZAÇÃO</v>
      </c>
      <c r="BE157" s="103" t="str">
        <f t="shared" si="20"/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hidden="1" customHeight="1" x14ac:dyDescent="0.25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 t="shared" si="18"/>
        <v>55</v>
      </c>
      <c r="BD158" s="103" t="str">
        <f t="shared" si="19"/>
        <v>INDENIZAÇÃO</v>
      </c>
      <c r="BE158" s="103" t="str">
        <f t="shared" si="20"/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hidden="1" customHeight="1" x14ac:dyDescent="0.25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 t="shared" si="18"/>
        <v>45</v>
      </c>
      <c r="BD159" s="103" t="str">
        <f t="shared" si="19"/>
        <v>INDENIZAÇÃO</v>
      </c>
      <c r="BE159" s="103" t="str">
        <f t="shared" si="20"/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hidden="1" customHeight="1" x14ac:dyDescent="0.25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18"/>
        <v>76</v>
      </c>
      <c r="BD160" s="103" t="str">
        <f t="shared" si="19"/>
        <v>INDENIZAÇÃO</v>
      </c>
      <c r="BE160" s="103" t="str">
        <f t="shared" si="20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hidden="1" customHeight="1" x14ac:dyDescent="0.25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 t="shared" si="18"/>
        <v>53</v>
      </c>
      <c r="BD161" s="103" t="str">
        <f t="shared" si="19"/>
        <v>INDENIZAÇÃO</v>
      </c>
      <c r="BE161" s="103" t="str">
        <f t="shared" si="20"/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hidden="1" customHeight="1" x14ac:dyDescent="0.25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 t="shared" si="18"/>
        <v/>
      </c>
      <c r="BD162" s="103" t="str">
        <f t="shared" si="19"/>
        <v>AA</v>
      </c>
      <c r="BE162" s="103" t="str">
        <f t="shared" si="20"/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hidden="1" customHeight="1" x14ac:dyDescent="0.25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 t="shared" si="18"/>
        <v>144</v>
      </c>
      <c r="BD163" s="103" t="str">
        <f t="shared" si="19"/>
        <v>INDENIZAÇÃO</v>
      </c>
      <c r="BE163" s="103" t="str">
        <f t="shared" si="20"/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hidden="1" customHeight="1" x14ac:dyDescent="0.25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 t="shared" si="18"/>
        <v/>
      </c>
      <c r="BD164" s="103" t="str">
        <f t="shared" si="19"/>
        <v>AA</v>
      </c>
      <c r="BE164" s="103" t="str">
        <f t="shared" si="20"/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hidden="1" customHeight="1" x14ac:dyDescent="0.2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 t="shared" ref="BC166:BC186" si="21">IF(AY166-KD166=0,"",AY166-O166)</f>
        <v>76</v>
      </c>
      <c r="BD166" s="103" t="str">
        <f t="shared" ref="BD166:BD186" si="22">IF(AND(AI166&lt;&gt;"SIM",AI166="UH"),"AA","INDENIZAÇÃO")</f>
        <v>INDENIZAÇÃO</v>
      </c>
      <c r="BE166" s="103" t="str">
        <f t="shared" ref="BE166:BE186" si="23"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hidden="1" customHeight="1" x14ac:dyDescent="0.25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 t="shared" si="21"/>
        <v/>
      </c>
      <c r="BD167" s="103" t="str">
        <f t="shared" si="22"/>
        <v>AA</v>
      </c>
      <c r="BE167" s="103" t="str">
        <f t="shared" si="23"/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hidden="1" customHeight="1" x14ac:dyDescent="0.25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 t="shared" si="21"/>
        <v/>
      </c>
      <c r="BD168" s="103" t="str">
        <f t="shared" si="22"/>
        <v>AA</v>
      </c>
      <c r="BE168" s="103" t="str">
        <f t="shared" si="23"/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hidden="1" customHeight="1" x14ac:dyDescent="0.25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 t="shared" si="21"/>
        <v/>
      </c>
      <c r="BD169" s="103" t="str">
        <f t="shared" si="22"/>
        <v>INDENIZAÇÃO</v>
      </c>
      <c r="BE169" s="103" t="str">
        <f t="shared" si="23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57" t="s">
        <v>4453</v>
      </c>
      <c r="AZ170" s="157"/>
      <c r="BA170" s="109" t="s">
        <v>4330</v>
      </c>
      <c r="BB170" s="112"/>
      <c r="BC170" s="220" t="e">
        <f t="shared" si="21"/>
        <v>#VALUE!</v>
      </c>
      <c r="BD170" s="103" t="str">
        <f t="shared" si="22"/>
        <v>INDENIZAÇÃO</v>
      </c>
      <c r="BE170" s="103" t="str">
        <f t="shared" si="23"/>
        <v>NÃO</v>
      </c>
      <c r="BF170" s="112"/>
      <c r="BG170" s="147"/>
      <c r="BH170" s="147"/>
      <c r="BI170" s="112"/>
      <c r="BJ170" s="112"/>
      <c r="BK170" s="112"/>
      <c r="BL170" s="112"/>
      <c r="BM170" s="236"/>
    </row>
    <row r="171" spans="1:68" s="232" customFormat="1" ht="29.25" hidden="1" customHeight="1" x14ac:dyDescent="0.25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 t="shared" si="21"/>
        <v>30</v>
      </c>
      <c r="BD171" s="103" t="str">
        <f t="shared" si="22"/>
        <v>INDENIZAÇÃO</v>
      </c>
      <c r="BE171" s="103" t="str">
        <f t="shared" si="23"/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hidden="1" customHeight="1" x14ac:dyDescent="0.25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21"/>
        <v>56</v>
      </c>
      <c r="BD172" s="103" t="str">
        <f t="shared" si="22"/>
        <v>INDENIZAÇÃO</v>
      </c>
      <c r="BE172" s="103" t="str">
        <f t="shared" si="23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 x14ac:dyDescent="0.25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57" t="s">
        <v>4453</v>
      </c>
      <c r="AZ173" s="157"/>
      <c r="BA173" s="109" t="s">
        <v>4330</v>
      </c>
      <c r="BB173" s="112"/>
      <c r="BC173" s="220" t="e">
        <f t="shared" si="21"/>
        <v>#VALUE!</v>
      </c>
      <c r="BD173" s="103" t="str">
        <f t="shared" si="22"/>
        <v>INDENIZAÇÃO</v>
      </c>
      <c r="BE173" s="103" t="str">
        <f t="shared" si="23"/>
        <v>NÃO</v>
      </c>
      <c r="BF173" s="112"/>
      <c r="BG173" s="147"/>
      <c r="BH173" s="147"/>
      <c r="BI173" s="112"/>
      <c r="BJ173" s="112"/>
      <c r="BK173" s="112"/>
      <c r="BL173" s="112"/>
      <c r="BM173" s="236"/>
    </row>
    <row r="174" spans="1:68" s="232" customFormat="1" ht="29.25" hidden="1" customHeight="1" x14ac:dyDescent="0.25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 t="shared" si="21"/>
        <v>40</v>
      </c>
      <c r="BD174" s="103" t="str">
        <f t="shared" si="22"/>
        <v>INDENIZAÇÃO</v>
      </c>
      <c r="BE174" s="103" t="str">
        <f t="shared" si="23"/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 x14ac:dyDescent="0.25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57" t="s">
        <v>4453</v>
      </c>
      <c r="AZ175" s="106"/>
      <c r="BA175" s="107" t="s">
        <v>4330</v>
      </c>
      <c r="BB175" s="136"/>
      <c r="BC175" s="220" t="e">
        <f t="shared" si="21"/>
        <v>#VALUE!</v>
      </c>
      <c r="BD175" s="103" t="str">
        <f t="shared" si="22"/>
        <v>INDENIZAÇÃO</v>
      </c>
      <c r="BE175" s="103" t="str">
        <f t="shared" si="23"/>
        <v>NÃO</v>
      </c>
      <c r="BF175" s="140"/>
      <c r="BG175" s="140"/>
      <c r="BH175" s="140"/>
      <c r="BI175" s="140"/>
      <c r="BJ175" s="140"/>
      <c r="BK175" s="140"/>
      <c r="BL175" s="140"/>
      <c r="BM175" s="238"/>
    </row>
    <row r="176" spans="1:68" s="232" customFormat="1" ht="29.25" customHeight="1" x14ac:dyDescent="0.25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57" t="s">
        <v>4453</v>
      </c>
      <c r="AZ176" s="106"/>
      <c r="BA176" s="107" t="s">
        <v>4330</v>
      </c>
      <c r="BB176" s="112"/>
      <c r="BC176" s="220" t="e">
        <f t="shared" si="21"/>
        <v>#VALUE!</v>
      </c>
      <c r="BD176" s="103" t="str">
        <f t="shared" si="22"/>
        <v>INDENIZAÇÃO</v>
      </c>
      <c r="BE176" s="103" t="str">
        <f t="shared" si="23"/>
        <v>NÃO</v>
      </c>
      <c r="BF176" s="112"/>
      <c r="BG176" s="147"/>
      <c r="BH176" s="147"/>
      <c r="BI176" s="112"/>
      <c r="BJ176" s="112"/>
      <c r="BK176" s="112"/>
      <c r="BL176" s="112"/>
      <c r="BM176" s="236"/>
    </row>
    <row r="177" spans="1:107" s="232" customFormat="1" ht="29.25" hidden="1" customHeight="1" x14ac:dyDescent="0.25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 t="shared" si="21"/>
        <v>28</v>
      </c>
      <c r="BD177" s="103" t="str">
        <f t="shared" si="22"/>
        <v>INDENIZAÇÃO</v>
      </c>
      <c r="BE177" s="103" t="str">
        <f t="shared" si="23"/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hidden="1" customHeight="1" x14ac:dyDescent="0.25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 t="shared" si="21"/>
        <v>45</v>
      </c>
      <c r="BD178" s="103" t="str">
        <f t="shared" si="22"/>
        <v>INDENIZAÇÃO</v>
      </c>
      <c r="BE178" s="103" t="str">
        <f t="shared" si="23"/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 t="shared" si="21"/>
        <v>59</v>
      </c>
      <c r="BD179" s="103" t="str">
        <f t="shared" si="22"/>
        <v>INDENIZAÇÃO</v>
      </c>
      <c r="BE179" s="103" t="str">
        <f t="shared" si="23"/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 t="shared" si="21"/>
        <v>48</v>
      </c>
      <c r="BD180" s="103" t="str">
        <f t="shared" si="22"/>
        <v>INDENIZAÇÃO</v>
      </c>
      <c r="BE180" s="103" t="str">
        <f t="shared" si="23"/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hidden="1" customHeight="1" x14ac:dyDescent="0.25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 t="shared" si="21"/>
        <v/>
      </c>
      <c r="BD181" s="103" t="str">
        <f t="shared" si="22"/>
        <v>AA</v>
      </c>
      <c r="BE181" s="103" t="str">
        <f t="shared" si="23"/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hidden="1" customHeight="1" x14ac:dyDescent="0.25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 t="shared" si="21"/>
        <v/>
      </c>
      <c r="BD182" s="103" t="str">
        <f t="shared" si="22"/>
        <v>AA</v>
      </c>
      <c r="BE182" s="103" t="str">
        <f t="shared" si="23"/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hidden="1" customHeight="1" x14ac:dyDescent="0.25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 t="shared" si="21"/>
        <v>70</v>
      </c>
      <c r="BD183" s="103" t="str">
        <f t="shared" si="22"/>
        <v>INDENIZAÇÃO</v>
      </c>
      <c r="BE183" s="103" t="str">
        <f t="shared" si="23"/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21"/>
        <v>48</v>
      </c>
      <c r="BD184" s="103" t="str">
        <f t="shared" si="22"/>
        <v>INDENIZAÇÃO</v>
      </c>
      <c r="BE184" s="103" t="str">
        <f t="shared" si="23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hidden="1" customHeight="1" x14ac:dyDescent="0.25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21"/>
        <v>48</v>
      </c>
      <c r="BD185" s="103" t="str">
        <f t="shared" si="22"/>
        <v>INDENIZAÇÃO</v>
      </c>
      <c r="BE185" s="103" t="str">
        <f t="shared" si="23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 t="shared" si="21"/>
        <v>48</v>
      </c>
      <c r="BD186" s="103" t="str">
        <f t="shared" si="22"/>
        <v>INDENIZAÇÃO</v>
      </c>
      <c r="BE186" s="103" t="str">
        <f t="shared" si="23"/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hidden="1" customHeight="1" x14ac:dyDescent="0.25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 x14ac:dyDescent="0.25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57" t="s">
        <v>4453</v>
      </c>
      <c r="AZ188" s="106"/>
      <c r="BA188" s="107" t="s">
        <v>4330</v>
      </c>
      <c r="BB188" s="112"/>
      <c r="BC188" s="220" t="e">
        <f t="shared" ref="BC188:BC219" si="24">IF(AY188-KD188=0,"",AY188-O188)</f>
        <v>#VALUE!</v>
      </c>
      <c r="BD188" s="103" t="str">
        <f t="shared" ref="BD188:BD219" si="25">IF(AND(AI188&lt;&gt;"SIM",AI188="UH"),"AA","INDENIZAÇÃO")</f>
        <v>INDENIZAÇÃO</v>
      </c>
      <c r="BE188" s="103" t="str">
        <f t="shared" ref="BE188:BE219" si="26"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4"/>
        <v/>
      </c>
      <c r="BD189" s="103" t="str">
        <f t="shared" si="25"/>
        <v>AA</v>
      </c>
      <c r="BE189" s="103" t="str">
        <f t="shared" si="26"/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hidden="1" customHeight="1" x14ac:dyDescent="0.25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4"/>
        <v/>
      </c>
      <c r="BD190" s="103" t="str">
        <f t="shared" si="25"/>
        <v>AA</v>
      </c>
      <c r="BE190" s="103" t="str">
        <f t="shared" si="26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 t="shared" si="24"/>
        <v/>
      </c>
      <c r="BD191" s="103" t="str">
        <f t="shared" si="25"/>
        <v>AA</v>
      </c>
      <c r="BE191" s="103" t="str">
        <f t="shared" si="26"/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 t="shared" si="24"/>
        <v>42</v>
      </c>
      <c r="BD192" s="103" t="str">
        <f t="shared" si="25"/>
        <v>INDENIZAÇÃO</v>
      </c>
      <c r="BE192" s="103" t="str">
        <f t="shared" si="26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hidden="1" customHeight="1" x14ac:dyDescent="0.25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 t="shared" si="24"/>
        <v>76</v>
      </c>
      <c r="BD193" s="103" t="str">
        <f t="shared" si="25"/>
        <v>INDENIZAÇÃO</v>
      </c>
      <c r="BE193" s="103" t="str">
        <f t="shared" si="26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hidden="1" customHeight="1" x14ac:dyDescent="0.25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 t="shared" si="24"/>
        <v>45</v>
      </c>
      <c r="BD194" s="103" t="str">
        <f t="shared" si="25"/>
        <v>INDENIZAÇÃO</v>
      </c>
      <c r="BE194" s="103" t="str">
        <f t="shared" si="26"/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hidden="1" customHeight="1" x14ac:dyDescent="0.25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 t="shared" si="24"/>
        <v>63</v>
      </c>
      <c r="BD195" s="103" t="str">
        <f t="shared" si="25"/>
        <v>INDENIZAÇÃO</v>
      </c>
      <c r="BE195" s="103" t="str">
        <f t="shared" si="26"/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hidden="1" customHeight="1" x14ac:dyDescent="0.25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 t="shared" si="24"/>
        <v>35</v>
      </c>
      <c r="BD196" s="103" t="str">
        <f t="shared" si="25"/>
        <v>INDENIZAÇÃO</v>
      </c>
      <c r="BE196" s="103" t="str">
        <f t="shared" si="26"/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 x14ac:dyDescent="0.25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57" t="s">
        <v>4453</v>
      </c>
      <c r="AZ197" s="157"/>
      <c r="BA197" s="109" t="s">
        <v>4330</v>
      </c>
      <c r="BB197" s="136"/>
      <c r="BC197" s="220" t="e">
        <f t="shared" si="24"/>
        <v>#VALUE!</v>
      </c>
      <c r="BD197" s="103" t="str">
        <f t="shared" si="25"/>
        <v>INDENIZAÇÃO</v>
      </c>
      <c r="BE197" s="103" t="str">
        <f t="shared" si="26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7" s="232" customFormat="1" ht="29.25" hidden="1" customHeight="1" x14ac:dyDescent="0.25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 t="shared" si="24"/>
        <v/>
      </c>
      <c r="BD198" s="103" t="str">
        <f t="shared" si="25"/>
        <v>AA</v>
      </c>
      <c r="BE198" s="103" t="str">
        <f t="shared" si="26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hidden="1" customHeight="1" x14ac:dyDescent="0.25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 t="shared" si="24"/>
        <v/>
      </c>
      <c r="BD199" s="103" t="str">
        <f t="shared" si="25"/>
        <v>AA</v>
      </c>
      <c r="BE199" s="103" t="str">
        <f t="shared" si="26"/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hidden="1" customHeight="1" x14ac:dyDescent="0.25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 t="shared" si="24"/>
        <v>63</v>
      </c>
      <c r="BD200" s="103" t="str">
        <f t="shared" si="25"/>
        <v>INDENIZAÇÃO</v>
      </c>
      <c r="BE200" s="103" t="str">
        <f t="shared" si="26"/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hidden="1" customHeight="1" x14ac:dyDescent="0.25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 t="shared" si="24"/>
        <v>42</v>
      </c>
      <c r="BD201" s="103" t="str">
        <f t="shared" si="25"/>
        <v>INDENIZAÇÃO</v>
      </c>
      <c r="BE201" s="103" t="str">
        <f t="shared" si="26"/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hidden="1" customHeight="1" x14ac:dyDescent="0.25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 t="shared" si="24"/>
        <v/>
      </c>
      <c r="BD202" s="103" t="str">
        <f t="shared" si="25"/>
        <v>AA</v>
      </c>
      <c r="BE202" s="103" t="str">
        <f t="shared" si="26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hidden="1" customHeight="1" x14ac:dyDescent="0.25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 t="shared" si="24"/>
        <v/>
      </c>
      <c r="BD203" s="103" t="str">
        <f t="shared" si="25"/>
        <v>AA</v>
      </c>
      <c r="BE203" s="103" t="str">
        <f t="shared" si="26"/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hidden="1" customHeight="1" x14ac:dyDescent="0.25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 t="shared" si="24"/>
        <v>117</v>
      </c>
      <c r="BD204" s="103" t="str">
        <f t="shared" si="25"/>
        <v>INDENIZAÇÃO</v>
      </c>
      <c r="BE204" s="103" t="str">
        <f t="shared" si="26"/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hidden="1" customHeight="1" x14ac:dyDescent="0.25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 t="shared" si="24"/>
        <v/>
      </c>
      <c r="BD205" s="103" t="str">
        <f t="shared" si="25"/>
        <v>AA</v>
      </c>
      <c r="BE205" s="103" t="str">
        <f t="shared" si="26"/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hidden="1" customHeight="1" x14ac:dyDescent="0.25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 t="shared" si="24"/>
        <v/>
      </c>
      <c r="BD206" s="103" t="str">
        <f t="shared" si="25"/>
        <v>AA</v>
      </c>
      <c r="BE206" s="103" t="str">
        <f t="shared" si="26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hidden="1" customHeight="1" x14ac:dyDescent="0.25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 t="shared" si="24"/>
        <v/>
      </c>
      <c r="BD207" s="103" t="str">
        <f t="shared" si="25"/>
        <v>AA</v>
      </c>
      <c r="BE207" s="103" t="str">
        <f t="shared" si="26"/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hidden="1" customHeight="1" x14ac:dyDescent="0.25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 t="shared" si="24"/>
        <v>74</v>
      </c>
      <c r="BD208" s="103" t="str">
        <f t="shared" si="25"/>
        <v>INDENIZAÇÃO</v>
      </c>
      <c r="BE208" s="103" t="str">
        <f t="shared" si="26"/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hidden="1" customHeight="1" x14ac:dyDescent="0.25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 t="shared" si="24"/>
        <v>42</v>
      </c>
      <c r="BD209" s="103" t="str">
        <f t="shared" si="25"/>
        <v>INDENIZAÇÃO</v>
      </c>
      <c r="BE209" s="103" t="str">
        <f t="shared" si="26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hidden="1" customHeight="1" x14ac:dyDescent="0.25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 t="shared" si="24"/>
        <v>102</v>
      </c>
      <c r="BD210" s="103" t="str">
        <f t="shared" si="25"/>
        <v>INDENIZAÇÃO</v>
      </c>
      <c r="BE210" s="103" t="str">
        <f t="shared" si="26"/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hidden="1" customHeight="1" x14ac:dyDescent="0.25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 t="shared" si="24"/>
        <v>28</v>
      </c>
      <c r="BD211" s="103" t="str">
        <f t="shared" si="25"/>
        <v>INDENIZAÇÃO</v>
      </c>
      <c r="BE211" s="103" t="str">
        <f t="shared" si="26"/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hidden="1" customHeight="1" x14ac:dyDescent="0.25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 t="shared" si="24"/>
        <v/>
      </c>
      <c r="BD212" s="103" t="str">
        <f t="shared" si="25"/>
        <v>AA</v>
      </c>
      <c r="BE212" s="103" t="str">
        <f t="shared" si="26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hidden="1" customHeight="1" x14ac:dyDescent="0.25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 t="shared" si="24"/>
        <v/>
      </c>
      <c r="BD213" s="103" t="str">
        <f t="shared" si="25"/>
        <v>AA</v>
      </c>
      <c r="BE213" s="103" t="str">
        <f t="shared" si="26"/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hidden="1" customHeight="1" x14ac:dyDescent="0.25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 t="shared" si="24"/>
        <v>56</v>
      </c>
      <c r="BD214" s="103" t="str">
        <f t="shared" si="25"/>
        <v>INDENIZAÇÃO</v>
      </c>
      <c r="BE214" s="103" t="str">
        <f t="shared" si="26"/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hidden="1" customHeight="1" x14ac:dyDescent="0.25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 t="shared" si="24"/>
        <v/>
      </c>
      <c r="BD215" s="103" t="str">
        <f t="shared" si="25"/>
        <v>AA</v>
      </c>
      <c r="BE215" s="103" t="str">
        <f t="shared" si="26"/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hidden="1" customHeight="1" x14ac:dyDescent="0.25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 t="shared" si="24"/>
        <v>69</v>
      </c>
      <c r="BD216" s="103" t="str">
        <f t="shared" si="25"/>
        <v>INDENIZAÇÃO</v>
      </c>
      <c r="BE216" s="103" t="str">
        <f t="shared" si="26"/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hidden="1" customHeight="1" x14ac:dyDescent="0.25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4"/>
        <v/>
      </c>
      <c r="BD217" s="103" t="str">
        <f t="shared" si="25"/>
        <v>AA</v>
      </c>
      <c r="BE217" s="103" t="str">
        <f t="shared" si="26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hidden="1" customHeight="1" x14ac:dyDescent="0.25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 t="shared" si="24"/>
        <v/>
      </c>
      <c r="BD218" s="103" t="str">
        <f t="shared" si="25"/>
        <v>AA</v>
      </c>
      <c r="BE218" s="103" t="str">
        <f t="shared" si="26"/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hidden="1" customHeight="1" x14ac:dyDescent="0.25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 t="shared" si="24"/>
        <v>77</v>
      </c>
      <c r="BD219" s="103" t="str">
        <f t="shared" si="25"/>
        <v>INDENIZAÇÃO</v>
      </c>
      <c r="BE219" s="103" t="str">
        <f t="shared" si="26"/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hidden="1" customHeight="1" x14ac:dyDescent="0.25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ref="BC220:BC247" si="27">IF(AY220-KD220=0,"",AY220-O220)</f>
        <v/>
      </c>
      <c r="BD220" s="103" t="str">
        <f t="shared" ref="BD220:BD247" si="28">IF(AND(AI220&lt;&gt;"SIM",AI220="UH"),"AA","INDENIZAÇÃO")</f>
        <v>AA</v>
      </c>
      <c r="BE220" s="103" t="str">
        <f t="shared" ref="BE220:BE247" si="29"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hidden="1" customHeight="1" x14ac:dyDescent="0.25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 t="shared" si="27"/>
        <v/>
      </c>
      <c r="BD221" s="103" t="str">
        <f t="shared" si="28"/>
        <v>AA</v>
      </c>
      <c r="BE221" s="103" t="str">
        <f t="shared" si="29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hidden="1" customHeight="1" x14ac:dyDescent="0.25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 t="shared" si="27"/>
        <v/>
      </c>
      <c r="BD222" s="103" t="str">
        <f t="shared" si="28"/>
        <v>AA</v>
      </c>
      <c r="BE222" s="103" t="str">
        <f t="shared" si="29"/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hidden="1" customHeight="1" x14ac:dyDescent="0.25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 t="shared" si="27"/>
        <v>94</v>
      </c>
      <c r="BD223" s="103" t="str">
        <f t="shared" si="28"/>
        <v>INDENIZAÇÃO</v>
      </c>
      <c r="BE223" s="103" t="str">
        <f t="shared" si="29"/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hidden="1" customHeight="1" x14ac:dyDescent="0.25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 t="shared" si="27"/>
        <v/>
      </c>
      <c r="BD224" s="103" t="str">
        <f t="shared" si="28"/>
        <v>AA</v>
      </c>
      <c r="BE224" s="103" t="str">
        <f t="shared" si="29"/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hidden="1" customHeight="1" x14ac:dyDescent="0.25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 t="shared" si="27"/>
        <v>101</v>
      </c>
      <c r="BD225" s="103" t="str">
        <f t="shared" si="28"/>
        <v>INDENIZAÇÃO</v>
      </c>
      <c r="BE225" s="103" t="str">
        <f t="shared" si="29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hidden="1" customHeight="1" x14ac:dyDescent="0.25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 t="shared" si="27"/>
        <v>94</v>
      </c>
      <c r="BD226" s="103" t="str">
        <f t="shared" si="28"/>
        <v>INDENIZAÇÃO</v>
      </c>
      <c r="BE226" s="103" t="str">
        <f t="shared" si="29"/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hidden="1" customHeight="1" x14ac:dyDescent="0.25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 t="shared" si="27"/>
        <v/>
      </c>
      <c r="BD227" s="103" t="str">
        <f t="shared" si="28"/>
        <v>AA</v>
      </c>
      <c r="BE227" s="103" t="str">
        <f t="shared" si="29"/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hidden="1" customHeight="1" x14ac:dyDescent="0.25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 t="shared" si="27"/>
        <v>96</v>
      </c>
      <c r="BD228" s="103" t="str">
        <f t="shared" si="28"/>
        <v>INDENIZAÇÃO</v>
      </c>
      <c r="BE228" s="103" t="str">
        <f t="shared" si="29"/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hidden="1" customHeight="1" x14ac:dyDescent="0.25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 t="shared" si="27"/>
        <v/>
      </c>
      <c r="BD229" s="103" t="str">
        <f t="shared" si="28"/>
        <v>AA</v>
      </c>
      <c r="BE229" s="103" t="str">
        <f t="shared" si="29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 t="shared" si="27"/>
        <v/>
      </c>
      <c r="BD230" s="103" t="str">
        <f t="shared" si="28"/>
        <v>AA</v>
      </c>
      <c r="BE230" s="103" t="str">
        <f t="shared" si="29"/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hidden="1" customHeight="1" x14ac:dyDescent="0.25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 t="shared" si="27"/>
        <v>42</v>
      </c>
      <c r="BD231" s="103" t="str">
        <f t="shared" si="28"/>
        <v>INDENIZAÇÃO</v>
      </c>
      <c r="BE231" s="103" t="str">
        <f t="shared" si="29"/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hidden="1" customHeight="1" x14ac:dyDescent="0.25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 t="shared" si="27"/>
        <v/>
      </c>
      <c r="BD232" s="103" t="str">
        <f t="shared" si="28"/>
        <v>INDENIZAÇÃO</v>
      </c>
      <c r="BE232" s="103" t="str">
        <f t="shared" si="29"/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hidden="1" customHeight="1" x14ac:dyDescent="0.25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27"/>
        <v/>
      </c>
      <c r="BD233" s="103" t="str">
        <f t="shared" si="28"/>
        <v>INDENIZAÇÃO</v>
      </c>
      <c r="BE233" s="103" t="str">
        <f t="shared" si="29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27"/>
        <v/>
      </c>
      <c r="BD234" s="103" t="str">
        <f t="shared" si="28"/>
        <v>INDENIZAÇÃO</v>
      </c>
      <c r="BE234" s="103" t="str">
        <f t="shared" si="29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 t="shared" si="27"/>
        <v/>
      </c>
      <c r="BD235" s="103" t="str">
        <f t="shared" si="28"/>
        <v>INDENIZAÇÃO</v>
      </c>
      <c r="BE235" s="103" t="str">
        <f t="shared" si="29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 t="shared" si="27"/>
        <v/>
      </c>
      <c r="BD236" s="103" t="str">
        <f t="shared" si="28"/>
        <v>AA</v>
      </c>
      <c r="BE236" s="103" t="str">
        <f t="shared" si="29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 t="shared" si="27"/>
        <v/>
      </c>
      <c r="BD237" s="103" t="str">
        <f t="shared" si="28"/>
        <v>AA</v>
      </c>
      <c r="BE237" s="103" t="str">
        <f t="shared" si="29"/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hidden="1" customHeight="1" x14ac:dyDescent="0.25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 t="shared" si="27"/>
        <v>84</v>
      </c>
      <c r="BD238" s="103" t="str">
        <f t="shared" si="28"/>
        <v>INDENIZAÇÃO</v>
      </c>
      <c r="BE238" s="103" t="str">
        <f t="shared" si="29"/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hidden="1" customHeight="1" x14ac:dyDescent="0.25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 t="shared" si="27"/>
        <v>101</v>
      </c>
      <c r="BD239" s="103" t="str">
        <f t="shared" si="28"/>
        <v>INDENIZAÇÃO</v>
      </c>
      <c r="BE239" s="103" t="str">
        <f t="shared" si="29"/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hidden="1" customHeight="1" x14ac:dyDescent="0.25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 t="shared" si="27"/>
        <v>42</v>
      </c>
      <c r="BD240" s="103" t="str">
        <f t="shared" si="28"/>
        <v>INDENIZAÇÃO</v>
      </c>
      <c r="BE240" s="103" t="str">
        <f t="shared" si="29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hidden="1" customHeight="1" x14ac:dyDescent="0.25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 t="shared" si="27"/>
        <v>101</v>
      </c>
      <c r="BD241" s="103" t="str">
        <f t="shared" si="28"/>
        <v>INDENIZAÇÃO</v>
      </c>
      <c r="BE241" s="103" t="str">
        <f t="shared" si="29"/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hidden="1" customHeight="1" x14ac:dyDescent="0.25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 t="shared" si="27"/>
        <v>25</v>
      </c>
      <c r="BD242" s="103" t="str">
        <f t="shared" si="28"/>
        <v>INDENIZAÇÃO</v>
      </c>
      <c r="BE242" s="103" t="str">
        <f t="shared" si="29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hidden="1" customHeight="1" x14ac:dyDescent="0.25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 t="shared" si="27"/>
        <v>63</v>
      </c>
      <c r="BD243" s="103" t="str">
        <f t="shared" si="28"/>
        <v>INDENIZAÇÃO</v>
      </c>
      <c r="BE243" s="103" t="str">
        <f t="shared" si="29"/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hidden="1" customHeight="1" x14ac:dyDescent="0.25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 t="shared" si="27"/>
        <v>69</v>
      </c>
      <c r="BD244" s="103" t="str">
        <f t="shared" si="28"/>
        <v>INDENIZAÇÃO</v>
      </c>
      <c r="BE244" s="103" t="str">
        <f t="shared" si="29"/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hidden="1" customHeight="1" x14ac:dyDescent="0.25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 t="shared" si="27"/>
        <v/>
      </c>
      <c r="BD245" s="103" t="str">
        <f t="shared" si="28"/>
        <v>AA</v>
      </c>
      <c r="BE245" s="103" t="str">
        <f t="shared" si="29"/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hidden="1" customHeight="1" x14ac:dyDescent="0.25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 t="shared" si="27"/>
        <v>23</v>
      </c>
      <c r="BD246" s="103" t="str">
        <f t="shared" si="28"/>
        <v>INDENIZAÇÃO</v>
      </c>
      <c r="BE246" s="103" t="str">
        <f t="shared" si="29"/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hidden="1" customHeight="1" x14ac:dyDescent="0.25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 t="shared" si="27"/>
        <v/>
      </c>
      <c r="BD247" s="103" t="str">
        <f t="shared" si="28"/>
        <v>AA</v>
      </c>
      <c r="BE247" s="103" t="str">
        <f t="shared" si="29"/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hidden="1" customHeight="1" x14ac:dyDescent="0.25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 t="shared" ref="BC249:BC280" si="30">IF(AY249-KD249=0,"",AY249-O249)</f>
        <v>42</v>
      </c>
      <c r="BD249" s="103" t="str">
        <f t="shared" ref="BD249:BD280" si="31">IF(AND(AI249&lt;&gt;"SIM",AI249="UH"),"AA","INDENIZAÇÃO")</f>
        <v>INDENIZAÇÃO</v>
      </c>
      <c r="BE249" s="103" t="str">
        <f t="shared" ref="BE249:BE280" si="32"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hidden="1" customHeight="1" x14ac:dyDescent="0.25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0"/>
        <v/>
      </c>
      <c r="BD250" s="103" t="str">
        <f t="shared" si="31"/>
        <v>AA</v>
      </c>
      <c r="BE250" s="103" t="str">
        <f t="shared" si="32"/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hidden="1" customHeight="1" x14ac:dyDescent="0.25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 t="shared" si="30"/>
        <v/>
      </c>
      <c r="BD251" s="103" t="str">
        <f t="shared" si="31"/>
        <v>AA</v>
      </c>
      <c r="BE251" s="103" t="str">
        <f t="shared" si="32"/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hidden="1" customHeight="1" x14ac:dyDescent="0.25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 t="shared" si="30"/>
        <v>35</v>
      </c>
      <c r="BD252" s="103" t="str">
        <f t="shared" si="31"/>
        <v>INDENIZAÇÃO</v>
      </c>
      <c r="BE252" s="103" t="str">
        <f t="shared" si="32"/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hidden="1" customHeight="1" x14ac:dyDescent="0.25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 t="shared" si="30"/>
        <v/>
      </c>
      <c r="BD253" s="103" t="str">
        <f t="shared" si="31"/>
        <v>AA</v>
      </c>
      <c r="BE253" s="103" t="str">
        <f t="shared" si="32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 t="shared" si="30"/>
        <v/>
      </c>
      <c r="BD254" s="103" t="str">
        <f t="shared" si="31"/>
        <v>AA</v>
      </c>
      <c r="BE254" s="103" t="str">
        <f t="shared" si="32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 t="shared" si="30"/>
        <v/>
      </c>
      <c r="BD255" s="103" t="str">
        <f t="shared" si="31"/>
        <v>AA</v>
      </c>
      <c r="BE255" s="103" t="str">
        <f t="shared" si="32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 t="shared" si="30"/>
        <v/>
      </c>
      <c r="BD256" s="103" t="str">
        <f t="shared" si="31"/>
        <v>AA</v>
      </c>
      <c r="BE256" s="103" t="str">
        <f t="shared" si="32"/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hidden="1" customHeight="1" x14ac:dyDescent="0.25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 t="shared" si="30"/>
        <v/>
      </c>
      <c r="BD257" s="103" t="str">
        <f t="shared" si="31"/>
        <v>AA</v>
      </c>
      <c r="BE257" s="103" t="str">
        <f t="shared" si="32"/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hidden="1" customHeight="1" x14ac:dyDescent="0.25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 t="shared" si="30"/>
        <v/>
      </c>
      <c r="BD258" s="103" t="str">
        <f t="shared" si="31"/>
        <v>INDENIZAÇÃO</v>
      </c>
      <c r="BE258" s="103" t="str">
        <f t="shared" si="32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 t="shared" si="30"/>
        <v/>
      </c>
      <c r="BD259" s="103" t="str">
        <f t="shared" si="31"/>
        <v>AA</v>
      </c>
      <c r="BE259" s="103" t="str">
        <f t="shared" si="32"/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hidden="1" customHeight="1" x14ac:dyDescent="0.25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 t="shared" si="30"/>
        <v/>
      </c>
      <c r="BD260" s="103" t="str">
        <f t="shared" si="31"/>
        <v>AA</v>
      </c>
      <c r="BE260" s="103" t="str">
        <f t="shared" si="32"/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hidden="1" customHeight="1" x14ac:dyDescent="0.25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 t="shared" si="30"/>
        <v/>
      </c>
      <c r="BD261" s="103" t="str">
        <f t="shared" si="31"/>
        <v>AA</v>
      </c>
      <c r="BE261" s="103" t="str">
        <f t="shared" si="32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 t="shared" si="30"/>
        <v/>
      </c>
      <c r="BD262" s="103" t="str">
        <f t="shared" si="31"/>
        <v>AA</v>
      </c>
      <c r="BE262" s="103" t="str">
        <f t="shared" si="32"/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hidden="1" customHeight="1" x14ac:dyDescent="0.25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 t="shared" si="30"/>
        <v/>
      </c>
      <c r="BD263" s="103" t="str">
        <f t="shared" si="31"/>
        <v>AA</v>
      </c>
      <c r="BE263" s="103" t="str">
        <f t="shared" si="32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 t="shared" si="30"/>
        <v/>
      </c>
      <c r="BD264" s="103" t="str">
        <f t="shared" si="31"/>
        <v>AA</v>
      </c>
      <c r="BE264" s="103" t="str">
        <f t="shared" si="32"/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hidden="1" customHeight="1" x14ac:dyDescent="0.25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 t="shared" si="30"/>
        <v>21</v>
      </c>
      <c r="BD265" s="103" t="str">
        <f t="shared" si="31"/>
        <v>INDENIZAÇÃO</v>
      </c>
      <c r="BE265" s="103" t="str">
        <f t="shared" si="32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hidden="1" customHeight="1" x14ac:dyDescent="0.25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 t="shared" si="30"/>
        <v>137</v>
      </c>
      <c r="BD266" s="103" t="str">
        <f t="shared" si="31"/>
        <v>INDENIZAÇÃO</v>
      </c>
      <c r="BE266" s="103" t="str">
        <f t="shared" si="32"/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hidden="1" customHeight="1" x14ac:dyDescent="0.25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 t="shared" si="30"/>
        <v/>
      </c>
      <c r="BD267" s="103" t="str">
        <f t="shared" si="31"/>
        <v>AA</v>
      </c>
      <c r="BE267" s="103" t="str">
        <f t="shared" si="32"/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hidden="1" customHeight="1" x14ac:dyDescent="0.25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 t="shared" si="30"/>
        <v>46</v>
      </c>
      <c r="BD268" s="103" t="str">
        <f t="shared" si="31"/>
        <v>INDENIZAÇÃO</v>
      </c>
      <c r="BE268" s="103" t="str">
        <f t="shared" si="32"/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hidden="1" customHeight="1" x14ac:dyDescent="0.25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 t="shared" si="30"/>
        <v/>
      </c>
      <c r="BD269" s="103" t="str">
        <f t="shared" si="31"/>
        <v>AA</v>
      </c>
      <c r="BE269" s="103" t="str">
        <f t="shared" si="32"/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hidden="1" customHeight="1" x14ac:dyDescent="0.25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 t="shared" si="30"/>
        <v>63</v>
      </c>
      <c r="BD270" s="103" t="str">
        <f t="shared" si="31"/>
        <v>INDENIZAÇÃO</v>
      </c>
      <c r="BE270" s="103" t="str">
        <f t="shared" si="32"/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hidden="1" customHeight="1" x14ac:dyDescent="0.25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 t="shared" si="30"/>
        <v/>
      </c>
      <c r="BD271" s="103" t="str">
        <f t="shared" si="31"/>
        <v>AA</v>
      </c>
      <c r="BE271" s="103" t="str">
        <f t="shared" si="32"/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hidden="1" customHeight="1" x14ac:dyDescent="0.25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 t="shared" si="30"/>
        <v>137</v>
      </c>
      <c r="BD272" s="103" t="str">
        <f t="shared" si="31"/>
        <v>INDENIZAÇÃO</v>
      </c>
      <c r="BE272" s="103" t="str">
        <f t="shared" si="32"/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hidden="1" customHeight="1" x14ac:dyDescent="0.25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 t="shared" si="30"/>
        <v>70</v>
      </c>
      <c r="BD273" s="103" t="str">
        <f t="shared" si="31"/>
        <v>INDENIZAÇÃO</v>
      </c>
      <c r="BE273" s="103" t="str">
        <f t="shared" si="32"/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hidden="1" customHeight="1" x14ac:dyDescent="0.25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 t="shared" si="30"/>
        <v/>
      </c>
      <c r="BD274" s="103" t="str">
        <f t="shared" si="31"/>
        <v>AA</v>
      </c>
      <c r="BE274" s="103" t="str">
        <f t="shared" si="32"/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hidden="1" customHeight="1" x14ac:dyDescent="0.25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 t="shared" si="30"/>
        <v/>
      </c>
      <c r="BD275" s="103" t="str">
        <f t="shared" si="31"/>
        <v>INDENIZAÇÃO</v>
      </c>
      <c r="BE275" s="103" t="str">
        <f t="shared" si="32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 t="shared" si="30"/>
        <v/>
      </c>
      <c r="BD276" s="103" t="str">
        <f t="shared" si="31"/>
        <v>AA</v>
      </c>
      <c r="BE276" s="103" t="str">
        <f t="shared" si="32"/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hidden="1" customHeight="1" x14ac:dyDescent="0.25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 t="shared" si="30"/>
        <v>63</v>
      </c>
      <c r="BD277" s="103" t="str">
        <f t="shared" si="31"/>
        <v>INDENIZAÇÃO</v>
      </c>
      <c r="BE277" s="103" t="str">
        <f t="shared" si="32"/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hidden="1" customHeight="1" x14ac:dyDescent="0.25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 t="shared" si="30"/>
        <v>63</v>
      </c>
      <c r="BD278" s="103" t="str">
        <f t="shared" si="31"/>
        <v>INDENIZAÇÃO</v>
      </c>
      <c r="BE278" s="103" t="str">
        <f t="shared" si="32"/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hidden="1" customHeight="1" x14ac:dyDescent="0.25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 t="shared" si="30"/>
        <v/>
      </c>
      <c r="BD279" s="103" t="str">
        <f t="shared" si="31"/>
        <v>INDENIZAÇÃO</v>
      </c>
      <c r="BE279" s="103" t="str">
        <f t="shared" si="32"/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hidden="1" customHeight="1" x14ac:dyDescent="0.25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 t="shared" si="30"/>
        <v>63</v>
      </c>
      <c r="BD280" s="103" t="str">
        <f t="shared" si="31"/>
        <v>INDENIZAÇÃO</v>
      </c>
      <c r="BE280" s="103" t="str">
        <f t="shared" si="32"/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hidden="1" customHeight="1" x14ac:dyDescent="0.25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 t="shared" ref="BC281:BC312" si="33">IF(AY281-KD281=0,"",AY281-O281)</f>
        <v/>
      </c>
      <c r="BD281" s="103" t="str">
        <f t="shared" ref="BD281:BD312" si="34">IF(AND(AI281&lt;&gt;"SIM",AI281="UH"),"AA","INDENIZAÇÃO")</f>
        <v>AA</v>
      </c>
      <c r="BE281" s="103" t="str">
        <f t="shared" ref="BE281:BE312" si="35"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 t="shared" si="33"/>
        <v>69</v>
      </c>
      <c r="BD282" s="103" t="str">
        <f t="shared" si="34"/>
        <v>INDENIZAÇÃO</v>
      </c>
      <c r="BE282" s="103" t="str">
        <f t="shared" si="35"/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 t="shared" si="33"/>
        <v/>
      </c>
      <c r="BD283" s="103" t="str">
        <f t="shared" si="34"/>
        <v>AA</v>
      </c>
      <c r="BE283" s="103" t="str">
        <f t="shared" si="35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 t="shared" si="33"/>
        <v/>
      </c>
      <c r="BD284" s="103" t="str">
        <f t="shared" si="34"/>
        <v>INDENIZAÇÃO</v>
      </c>
      <c r="BE284" s="103" t="str">
        <f t="shared" si="35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 t="shared" si="33"/>
        <v/>
      </c>
      <c r="BD285" s="103" t="str">
        <f t="shared" si="34"/>
        <v>AA</v>
      </c>
      <c r="BE285" s="103" t="str">
        <f t="shared" si="35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 t="shared" si="33"/>
        <v/>
      </c>
      <c r="BD286" s="103" t="str">
        <f t="shared" si="34"/>
        <v>AA</v>
      </c>
      <c r="BE286" s="103" t="str">
        <f t="shared" si="35"/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hidden="1" customHeight="1" x14ac:dyDescent="0.25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 t="shared" si="33"/>
        <v>97</v>
      </c>
      <c r="BD287" s="103" t="str">
        <f t="shared" si="34"/>
        <v>INDENIZAÇÃO</v>
      </c>
      <c r="BE287" s="103" t="str">
        <f t="shared" si="35"/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hidden="1" customHeight="1" x14ac:dyDescent="0.25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 t="shared" si="33"/>
        <v/>
      </c>
      <c r="BD288" s="103" t="str">
        <f t="shared" si="34"/>
        <v>AA</v>
      </c>
      <c r="BE288" s="103" t="str">
        <f t="shared" si="35"/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hidden="1" customHeight="1" x14ac:dyDescent="0.25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 t="shared" si="33"/>
        <v>41</v>
      </c>
      <c r="BD289" s="103" t="str">
        <f t="shared" si="34"/>
        <v>INDENIZAÇÃO</v>
      </c>
      <c r="BE289" s="103" t="str">
        <f t="shared" si="35"/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hidden="1" customHeight="1" x14ac:dyDescent="0.25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 t="shared" si="33"/>
        <v>35</v>
      </c>
      <c r="BD290" s="103" t="str">
        <f t="shared" si="34"/>
        <v>INDENIZAÇÃO</v>
      </c>
      <c r="BE290" s="103" t="str">
        <f t="shared" si="35"/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hidden="1" customHeight="1" x14ac:dyDescent="0.25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3"/>
        <v/>
      </c>
      <c r="BD291" s="103" t="str">
        <f t="shared" si="34"/>
        <v>AA</v>
      </c>
      <c r="BE291" s="103" t="str">
        <f t="shared" si="35"/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hidden="1" customHeight="1" x14ac:dyDescent="0.25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 t="shared" si="33"/>
        <v/>
      </c>
      <c r="BD292" s="103" t="str">
        <f t="shared" si="34"/>
        <v>AA</v>
      </c>
      <c r="BE292" s="103" t="str">
        <f t="shared" si="35"/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hidden="1" customHeight="1" x14ac:dyDescent="0.25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 t="shared" si="33"/>
        <v>42</v>
      </c>
      <c r="BD293" s="103" t="str">
        <f t="shared" si="34"/>
        <v>INDENIZAÇÃO</v>
      </c>
      <c r="BE293" s="103" t="str">
        <f t="shared" si="35"/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 t="shared" si="33"/>
        <v/>
      </c>
      <c r="BD294" s="103" t="str">
        <f t="shared" si="34"/>
        <v>AA</v>
      </c>
      <c r="BE294" s="103" t="str">
        <f t="shared" si="35"/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 t="shared" si="33"/>
        <v>63</v>
      </c>
      <c r="BD295" s="103" t="str">
        <f t="shared" si="34"/>
        <v>INDENIZAÇÃO</v>
      </c>
      <c r="BE295" s="103" t="str">
        <f t="shared" si="35"/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 t="shared" si="33"/>
        <v>14</v>
      </c>
      <c r="BD296" s="103" t="str">
        <f t="shared" si="34"/>
        <v>INDENIZAÇÃO</v>
      </c>
      <c r="BE296" s="103" t="str">
        <f t="shared" si="35"/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hidden="1" customHeight="1" x14ac:dyDescent="0.25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3"/>
        <v/>
      </c>
      <c r="BD297" s="103" t="str">
        <f t="shared" si="34"/>
        <v>AA</v>
      </c>
      <c r="BE297" s="103" t="str">
        <f t="shared" si="35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3"/>
        <v/>
      </c>
      <c r="BD298" s="103" t="str">
        <f t="shared" si="34"/>
        <v>AA</v>
      </c>
      <c r="BE298" s="103" t="str">
        <f t="shared" si="35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 t="shared" si="33"/>
        <v/>
      </c>
      <c r="BD299" s="103" t="str">
        <f t="shared" si="34"/>
        <v>AA</v>
      </c>
      <c r="BE299" s="103" t="str">
        <f t="shared" si="35"/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hidden="1" customHeight="1" x14ac:dyDescent="0.25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 t="shared" si="33"/>
        <v>147</v>
      </c>
      <c r="BD300" s="103" t="str">
        <f t="shared" si="34"/>
        <v>INDENIZAÇÃO</v>
      </c>
      <c r="BE300" s="103" t="str">
        <f t="shared" si="35"/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hidden="1" customHeight="1" x14ac:dyDescent="0.25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 t="shared" si="33"/>
        <v>25</v>
      </c>
      <c r="BD301" s="103" t="str">
        <f t="shared" si="34"/>
        <v>INDENIZAÇÃO</v>
      </c>
      <c r="BE301" s="103" t="str">
        <f t="shared" si="35"/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hidden="1" customHeight="1" x14ac:dyDescent="0.25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 t="shared" si="33"/>
        <v>147</v>
      </c>
      <c r="BD302" s="103" t="str">
        <f t="shared" si="34"/>
        <v>INDENIZAÇÃO</v>
      </c>
      <c r="BE302" s="103" t="str">
        <f t="shared" si="35"/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 t="shared" si="33"/>
        <v>58</v>
      </c>
      <c r="BD303" s="103" t="str">
        <f t="shared" si="34"/>
        <v>INDENIZAÇÃO</v>
      </c>
      <c r="BE303" s="103" t="str">
        <f t="shared" si="35"/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 t="shared" si="33"/>
        <v>18</v>
      </c>
      <c r="BD304" s="103" t="str">
        <f t="shared" si="34"/>
        <v>INDENIZAÇÃO</v>
      </c>
      <c r="BE304" s="103" t="str">
        <f t="shared" si="35"/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hidden="1" customHeight="1" x14ac:dyDescent="0.25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 t="shared" si="33"/>
        <v>42</v>
      </c>
      <c r="BD305" s="103" t="str">
        <f t="shared" si="34"/>
        <v>INDENIZAÇÃO</v>
      </c>
      <c r="BE305" s="103" t="str">
        <f t="shared" si="35"/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 t="shared" si="33"/>
        <v>25</v>
      </c>
      <c r="BD306" s="103" t="str">
        <f t="shared" si="34"/>
        <v>INDENIZAÇÃO</v>
      </c>
      <c r="BE306" s="103" t="str">
        <f t="shared" si="35"/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 t="shared" si="33"/>
        <v>14</v>
      </c>
      <c r="BD307" s="103" t="str">
        <f t="shared" si="34"/>
        <v>INDENIZAÇÃO</v>
      </c>
      <c r="BE307" s="103" t="str">
        <f t="shared" si="35"/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hidden="1" customHeight="1" x14ac:dyDescent="0.25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 t="shared" si="33"/>
        <v/>
      </c>
      <c r="BD308" s="103" t="str">
        <f t="shared" si="34"/>
        <v>AA</v>
      </c>
      <c r="BE308" s="103" t="str">
        <f t="shared" si="35"/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hidden="1" customHeight="1" x14ac:dyDescent="0.25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 t="shared" si="33"/>
        <v>69</v>
      </c>
      <c r="BD309" s="103" t="str">
        <f t="shared" si="34"/>
        <v>INDENIZAÇÃO</v>
      </c>
      <c r="BE309" s="103" t="str">
        <f t="shared" si="35"/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hidden="1" customHeight="1" x14ac:dyDescent="0.25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33"/>
        <v>23</v>
      </c>
      <c r="BD310" s="103" t="str">
        <f t="shared" si="34"/>
        <v>INDENIZAÇÃO</v>
      </c>
      <c r="BE310" s="103" t="str">
        <f t="shared" si="35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 t="shared" si="33"/>
        <v>38</v>
      </c>
      <c r="BD311" s="103" t="str">
        <f t="shared" si="34"/>
        <v>INDENIZAÇÃO</v>
      </c>
      <c r="BE311" s="103" t="str">
        <f t="shared" si="35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 t="shared" si="33"/>
        <v>35</v>
      </c>
      <c r="BD312" s="103" t="str">
        <f t="shared" si="34"/>
        <v>INDENIZAÇÃO</v>
      </c>
      <c r="BE312" s="103" t="str">
        <f t="shared" si="35"/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hidden="1" customHeight="1" x14ac:dyDescent="0.25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ref="BC313:BC319" si="36">IF(AY313-KD313=0,"",AY313-O313)</f>
        <v/>
      </c>
      <c r="BD313" s="103" t="str">
        <f t="shared" ref="BD313:BD319" si="37">IF(AND(AI313&lt;&gt;"SIM",AI313="UH"),"AA","INDENIZAÇÃO")</f>
        <v>AA</v>
      </c>
      <c r="BE313" s="103" t="str">
        <f t="shared" ref="BE313:BE319" si="38"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6"/>
        <v/>
      </c>
      <c r="BD314" s="103" t="str">
        <f t="shared" si="37"/>
        <v>INDENIZAÇÃO</v>
      </c>
      <c r="BE314" s="103" t="str">
        <f t="shared" si="38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6"/>
        <v/>
      </c>
      <c r="BD315" s="103" t="str">
        <f t="shared" si="37"/>
        <v>AA</v>
      </c>
      <c r="BE315" s="103" t="str">
        <f t="shared" si="38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 t="shared" si="36"/>
        <v/>
      </c>
      <c r="BD316" s="103" t="str">
        <f t="shared" si="37"/>
        <v>AA</v>
      </c>
      <c r="BE316" s="103" t="str">
        <f t="shared" si="38"/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hidden="1" customHeight="1" x14ac:dyDescent="0.25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 t="shared" si="36"/>
        <v>63</v>
      </c>
      <c r="BD317" s="103" t="str">
        <f t="shared" si="37"/>
        <v>INDENIZAÇÃO</v>
      </c>
      <c r="BE317" s="103" t="str">
        <f t="shared" si="38"/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hidden="1" customHeight="1" x14ac:dyDescent="0.25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 t="shared" si="36"/>
        <v/>
      </c>
      <c r="BD318" s="103" t="str">
        <f t="shared" si="37"/>
        <v>AA</v>
      </c>
      <c r="BE318" s="103" t="str">
        <f t="shared" si="38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 t="shared" si="36"/>
        <v/>
      </c>
      <c r="BD319" s="103" t="str">
        <f t="shared" si="37"/>
        <v>AA</v>
      </c>
      <c r="BE319" s="103" t="str">
        <f t="shared" si="38"/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 t="shared" ref="BC322:BC353" si="39">IF(AY322-KD322=0,"",AY322-O322)</f>
        <v/>
      </c>
      <c r="BD322" s="103" t="str">
        <f t="shared" ref="BD322:BD353" si="40">IF(AND(AI322&lt;&gt;"SIM",AI322="UH"),"AA","INDENIZAÇÃO")</f>
        <v>AA</v>
      </c>
      <c r="BE322" s="103" t="str">
        <f t="shared" ref="BE322:BE353" si="41"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hidden="1" customHeight="1" x14ac:dyDescent="0.25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 t="shared" si="39"/>
        <v>84</v>
      </c>
      <c r="BD323" s="103" t="str">
        <f t="shared" si="40"/>
        <v>INDENIZAÇÃO</v>
      </c>
      <c r="BE323" s="103" t="str">
        <f t="shared" si="41"/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hidden="1" customHeight="1" x14ac:dyDescent="0.25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 t="shared" si="39"/>
        <v>81</v>
      </c>
      <c r="BD324" s="103" t="str">
        <f t="shared" si="40"/>
        <v>INDENIZAÇÃO</v>
      </c>
      <c r="BE324" s="103" t="str">
        <f t="shared" si="41"/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hidden="1" customHeight="1" x14ac:dyDescent="0.25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 t="shared" si="39"/>
        <v/>
      </c>
      <c r="BD325" s="103" t="str">
        <f t="shared" si="40"/>
        <v>AA</v>
      </c>
      <c r="BE325" s="103" t="str">
        <f t="shared" si="41"/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hidden="1" customHeight="1" x14ac:dyDescent="0.25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 t="shared" si="39"/>
        <v/>
      </c>
      <c r="BD326" s="103" t="str">
        <f t="shared" si="40"/>
        <v>AA</v>
      </c>
      <c r="BE326" s="103" t="str">
        <f t="shared" si="41"/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hidden="1" customHeight="1" x14ac:dyDescent="0.25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 t="shared" si="39"/>
        <v>48</v>
      </c>
      <c r="BD327" s="103" t="str">
        <f t="shared" si="40"/>
        <v>INDENIZAÇÃO</v>
      </c>
      <c r="BE327" s="103" t="str">
        <f t="shared" si="41"/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 t="shared" si="39"/>
        <v>62</v>
      </c>
      <c r="BD328" s="103" t="str">
        <f t="shared" si="40"/>
        <v>INDENIZAÇÃO</v>
      </c>
      <c r="BE328" s="103" t="str">
        <f t="shared" si="41"/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hidden="1" customHeight="1" x14ac:dyDescent="0.25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 t="shared" si="39"/>
        <v/>
      </c>
      <c r="BD329" s="103" t="str">
        <f t="shared" si="40"/>
        <v>AA</v>
      </c>
      <c r="BE329" s="103" t="str">
        <f t="shared" si="41"/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 x14ac:dyDescent="0.25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57" t="s">
        <v>4453</v>
      </c>
      <c r="AZ330" s="157"/>
      <c r="BA330" s="109" t="s">
        <v>4330</v>
      </c>
      <c r="BB330" s="112"/>
      <c r="BC330" s="220" t="e">
        <f t="shared" si="39"/>
        <v>#VALUE!</v>
      </c>
      <c r="BD330" s="103" t="str">
        <f t="shared" si="40"/>
        <v>INDENIZAÇÃO</v>
      </c>
      <c r="BE330" s="103" t="str">
        <f t="shared" si="41"/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hidden="1" customHeight="1" x14ac:dyDescent="0.25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 t="shared" si="39"/>
        <v/>
      </c>
      <c r="BD331" s="103" t="str">
        <f t="shared" si="40"/>
        <v>AA</v>
      </c>
      <c r="BE331" s="103" t="str">
        <f t="shared" si="41"/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hidden="1" customHeight="1" x14ac:dyDescent="0.25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 t="shared" si="39"/>
        <v>71</v>
      </c>
      <c r="BD332" s="103" t="str">
        <f t="shared" si="40"/>
        <v>INDENIZAÇÃO</v>
      </c>
      <c r="BE332" s="103" t="str">
        <f t="shared" si="41"/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hidden="1" customHeight="1" x14ac:dyDescent="0.25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 t="shared" si="39"/>
        <v/>
      </c>
      <c r="BD333" s="103" t="str">
        <f t="shared" si="40"/>
        <v>AA</v>
      </c>
      <c r="BE333" s="103" t="str">
        <f t="shared" si="41"/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hidden="1" customHeight="1" x14ac:dyDescent="0.25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 t="shared" si="39"/>
        <v>49</v>
      </c>
      <c r="BD334" s="103" t="str">
        <f t="shared" si="40"/>
        <v>INDENIZAÇÃO</v>
      </c>
      <c r="BE334" s="103" t="str">
        <f t="shared" si="41"/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hidden="1" customHeight="1" x14ac:dyDescent="0.25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39"/>
        <v/>
      </c>
      <c r="BD335" s="103" t="str">
        <f t="shared" si="40"/>
        <v>AA</v>
      </c>
      <c r="BE335" s="103" t="str">
        <f t="shared" si="41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 t="shared" si="39"/>
        <v/>
      </c>
      <c r="BD336" s="103" t="str">
        <f t="shared" si="40"/>
        <v>AA</v>
      </c>
      <c r="BE336" s="103" t="str">
        <f t="shared" si="41"/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hidden="1" customHeight="1" x14ac:dyDescent="0.25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 t="shared" si="39"/>
        <v>38</v>
      </c>
      <c r="BD337" s="103" t="str">
        <f t="shared" si="40"/>
        <v>INDENIZAÇÃO</v>
      </c>
      <c r="BE337" s="103" t="str">
        <f t="shared" si="41"/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hidden="1" customHeight="1" x14ac:dyDescent="0.25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 t="shared" si="39"/>
        <v/>
      </c>
      <c r="BD338" s="103" t="str">
        <f t="shared" si="40"/>
        <v>AA</v>
      </c>
      <c r="BE338" s="103" t="str">
        <f t="shared" si="41"/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hidden="1" customHeight="1" x14ac:dyDescent="0.25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 t="shared" si="39"/>
        <v>77</v>
      </c>
      <c r="BD339" s="103" t="str">
        <f t="shared" si="40"/>
        <v>INDENIZAÇÃO</v>
      </c>
      <c r="BE339" s="103" t="str">
        <f t="shared" si="41"/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hidden="1" customHeight="1" x14ac:dyDescent="0.25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 t="shared" si="39"/>
        <v/>
      </c>
      <c r="BD340" s="103" t="str">
        <f t="shared" si="40"/>
        <v>AA</v>
      </c>
      <c r="BE340" s="103" t="str">
        <f t="shared" si="41"/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hidden="1" customHeight="1" x14ac:dyDescent="0.25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 t="shared" si="39"/>
        <v/>
      </c>
      <c r="BD341" s="103" t="str">
        <f t="shared" si="40"/>
        <v>AA</v>
      </c>
      <c r="BE341" s="103" t="str">
        <f t="shared" si="41"/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hidden="1" customHeight="1" x14ac:dyDescent="0.25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 t="shared" si="39"/>
        <v/>
      </c>
      <c r="BD342" s="103" t="str">
        <f t="shared" si="40"/>
        <v>AA</v>
      </c>
      <c r="BE342" s="103" t="str">
        <f t="shared" si="41"/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hidden="1" customHeight="1" x14ac:dyDescent="0.25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 t="shared" si="39"/>
        <v/>
      </c>
      <c r="BD343" s="103" t="str">
        <f t="shared" si="40"/>
        <v>INDENIZAÇÃO</v>
      </c>
      <c r="BE343" s="103" t="str">
        <f t="shared" si="41"/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hidden="1" customHeight="1" x14ac:dyDescent="0.25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 t="shared" si="39"/>
        <v/>
      </c>
      <c r="BD344" s="103" t="str">
        <f t="shared" si="40"/>
        <v>AA</v>
      </c>
      <c r="BE344" s="103" t="str">
        <f t="shared" si="41"/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hidden="1" customHeight="1" x14ac:dyDescent="0.25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 t="shared" si="39"/>
        <v>23</v>
      </c>
      <c r="BD345" s="103" t="str">
        <f t="shared" si="40"/>
        <v>INDENIZAÇÃO</v>
      </c>
      <c r="BE345" s="103" t="str">
        <f t="shared" si="41"/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hidden="1" customHeight="1" x14ac:dyDescent="0.25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 t="shared" si="39"/>
        <v/>
      </c>
      <c r="BD346" s="103" t="str">
        <f t="shared" si="40"/>
        <v>INDENIZAÇÃO</v>
      </c>
      <c r="BE346" s="103" t="str">
        <f t="shared" si="41"/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hidden="1" customHeight="1" x14ac:dyDescent="0.25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 t="shared" si="39"/>
        <v>65</v>
      </c>
      <c r="BD347" s="103" t="str">
        <f t="shared" si="40"/>
        <v>INDENIZAÇÃO</v>
      </c>
      <c r="BE347" s="103" t="str">
        <f t="shared" si="41"/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hidden="1" customHeight="1" x14ac:dyDescent="0.25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 t="shared" si="39"/>
        <v/>
      </c>
      <c r="BD348" s="103" t="str">
        <f t="shared" si="40"/>
        <v>AA</v>
      </c>
      <c r="BE348" s="103" t="str">
        <f t="shared" si="41"/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hidden="1" customHeight="1" x14ac:dyDescent="0.25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 t="shared" si="39"/>
        <v/>
      </c>
      <c r="BD349" s="103" t="str">
        <f t="shared" si="40"/>
        <v>AA</v>
      </c>
      <c r="BE349" s="103" t="str">
        <f t="shared" si="41"/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hidden="1" customHeight="1" x14ac:dyDescent="0.25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 t="shared" si="39"/>
        <v/>
      </c>
      <c r="BD350" s="103" t="str">
        <f t="shared" si="40"/>
        <v>AA</v>
      </c>
      <c r="BE350" s="103" t="str">
        <f t="shared" si="41"/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hidden="1" customHeight="1" x14ac:dyDescent="0.25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39"/>
        <v/>
      </c>
      <c r="BD351" s="103" t="str">
        <f t="shared" si="40"/>
        <v>AA</v>
      </c>
      <c r="BE351" s="103" t="str">
        <f t="shared" si="41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39"/>
        <v/>
      </c>
      <c r="BD352" s="103" t="str">
        <f t="shared" si="40"/>
        <v>INDENIZAÇÃO</v>
      </c>
      <c r="BE352" s="103" t="str">
        <f t="shared" si="41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 t="shared" si="39"/>
        <v/>
      </c>
      <c r="BD353" s="103" t="str">
        <f t="shared" si="40"/>
        <v>AA</v>
      </c>
      <c r="BE353" s="103" t="str">
        <f t="shared" si="41"/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hidden="1" customHeight="1" x14ac:dyDescent="0.25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 t="shared" ref="BC354:BC383" si="42">IF(AY354-KD354=0,"",AY354-O354)</f>
        <v>37</v>
      </c>
      <c r="BD354" s="103" t="str">
        <f t="shared" ref="BD354:BD383" si="43">IF(AND(AI354&lt;&gt;"SIM",AI354="UH"),"AA","INDENIZAÇÃO")</f>
        <v>INDENIZAÇÃO</v>
      </c>
      <c r="BE354" s="103" t="str">
        <f t="shared" ref="BE354:BE383" si="44"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 t="shared" si="42"/>
        <v>64</v>
      </c>
      <c r="BD355" s="103" t="str">
        <f t="shared" si="43"/>
        <v>INDENIZAÇÃO</v>
      </c>
      <c r="BE355" s="103" t="str">
        <f t="shared" si="44"/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hidden="1" customHeight="1" x14ac:dyDescent="0.25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 t="shared" si="42"/>
        <v>23</v>
      </c>
      <c r="BD356" s="103" t="str">
        <f t="shared" si="43"/>
        <v>INDENIZAÇÃO</v>
      </c>
      <c r="BE356" s="103" t="str">
        <f t="shared" si="44"/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hidden="1" customHeight="1" x14ac:dyDescent="0.25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 t="shared" si="42"/>
        <v/>
      </c>
      <c r="BD357" s="103" t="str">
        <f t="shared" si="43"/>
        <v>AA</v>
      </c>
      <c r="BE357" s="103" t="str">
        <f t="shared" si="44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 t="shared" si="42"/>
        <v/>
      </c>
      <c r="BD358" s="103" t="str">
        <f t="shared" si="43"/>
        <v>AA</v>
      </c>
      <c r="BE358" s="103" t="str">
        <f t="shared" si="44"/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hidden="1" customHeight="1" x14ac:dyDescent="0.25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 t="shared" si="42"/>
        <v>38</v>
      </c>
      <c r="BD359" s="103" t="str">
        <f t="shared" si="43"/>
        <v>INDENIZAÇÃO</v>
      </c>
      <c r="BE359" s="103" t="str">
        <f t="shared" si="44"/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hidden="1" customHeight="1" x14ac:dyDescent="0.25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 t="shared" si="42"/>
        <v/>
      </c>
      <c r="BD360" s="103" t="str">
        <f t="shared" si="43"/>
        <v>INDENIZAÇÃO</v>
      </c>
      <c r="BE360" s="103" t="str">
        <f t="shared" si="44"/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hidden="1" customHeight="1" x14ac:dyDescent="0.25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 t="shared" si="42"/>
        <v>55</v>
      </c>
      <c r="BD361" s="103" t="str">
        <f t="shared" si="43"/>
        <v>INDENIZAÇÃO</v>
      </c>
      <c r="BE361" s="103" t="str">
        <f t="shared" si="44"/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hidden="1" customHeight="1" x14ac:dyDescent="0.25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 t="shared" si="42"/>
        <v>23</v>
      </c>
      <c r="BD362" s="103" t="str">
        <f t="shared" si="43"/>
        <v>INDENIZAÇÃO</v>
      </c>
      <c r="BE362" s="103" t="str">
        <f t="shared" si="44"/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hidden="1" customHeight="1" x14ac:dyDescent="0.25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 t="shared" si="42"/>
        <v/>
      </c>
      <c r="BD363" s="103" t="str">
        <f t="shared" si="43"/>
        <v>AA</v>
      </c>
      <c r="BE363" s="103" t="str">
        <f t="shared" si="44"/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hidden="1" customHeight="1" x14ac:dyDescent="0.25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 t="shared" si="42"/>
        <v>41</v>
      </c>
      <c r="BD364" s="103" t="str">
        <f t="shared" si="43"/>
        <v>INDENIZAÇÃO</v>
      </c>
      <c r="BE364" s="103" t="str">
        <f t="shared" si="44"/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hidden="1" customHeight="1" x14ac:dyDescent="0.25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 t="shared" si="42"/>
        <v>23</v>
      </c>
      <c r="BD365" s="103" t="str">
        <f t="shared" si="43"/>
        <v>INDENIZAÇÃO</v>
      </c>
      <c r="BE365" s="103" t="str">
        <f t="shared" si="44"/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hidden="1" customHeight="1" x14ac:dyDescent="0.25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 t="shared" si="42"/>
        <v>94</v>
      </c>
      <c r="BD366" s="103" t="str">
        <f t="shared" si="43"/>
        <v>INDENIZAÇÃO</v>
      </c>
      <c r="BE366" s="103" t="str">
        <f t="shared" si="44"/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hidden="1" customHeight="1" x14ac:dyDescent="0.25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 t="shared" si="42"/>
        <v>94</v>
      </c>
      <c r="BD367" s="103" t="str">
        <f t="shared" si="43"/>
        <v>INDENIZAÇÃO</v>
      </c>
      <c r="BE367" s="103" t="str">
        <f t="shared" si="44"/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hidden="1" customHeight="1" x14ac:dyDescent="0.4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 t="shared" si="42"/>
        <v/>
      </c>
      <c r="BD368" s="103" t="str">
        <f t="shared" si="43"/>
        <v>AA</v>
      </c>
      <c r="BE368" s="103" t="str">
        <f t="shared" si="44"/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hidden="1" customHeight="1" x14ac:dyDescent="0.25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 t="shared" si="42"/>
        <v/>
      </c>
      <c r="BD369" s="103" t="str">
        <f t="shared" si="43"/>
        <v>AA</v>
      </c>
      <c r="BE369" s="103" t="str">
        <f t="shared" si="44"/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hidden="1" customHeight="1" x14ac:dyDescent="0.25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 t="shared" si="42"/>
        <v>28</v>
      </c>
      <c r="BD370" s="103" t="str">
        <f t="shared" si="43"/>
        <v>INDENIZAÇÃO</v>
      </c>
      <c r="BE370" s="103" t="str">
        <f t="shared" si="44"/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hidden="1" customHeight="1" x14ac:dyDescent="0.25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 t="shared" si="42"/>
        <v>115</v>
      </c>
      <c r="BD371" s="103" t="str">
        <f t="shared" si="43"/>
        <v>INDENIZAÇÃO</v>
      </c>
      <c r="BE371" s="103" t="str">
        <f t="shared" si="44"/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hidden="1" customHeight="1" x14ac:dyDescent="0.25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 t="shared" si="42"/>
        <v>80</v>
      </c>
      <c r="BD372" s="103" t="str">
        <f t="shared" si="43"/>
        <v>INDENIZAÇÃO</v>
      </c>
      <c r="BE372" s="103" t="str">
        <f t="shared" si="44"/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hidden="1" customHeight="1" x14ac:dyDescent="0.25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 t="shared" si="42"/>
        <v>23</v>
      </c>
      <c r="BD373" s="103" t="str">
        <f t="shared" si="43"/>
        <v>INDENIZAÇÃO</v>
      </c>
      <c r="BE373" s="103" t="str">
        <f t="shared" si="44"/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hidden="1" customHeight="1" x14ac:dyDescent="0.25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 t="shared" si="42"/>
        <v/>
      </c>
      <c r="BD374" s="103" t="str">
        <f t="shared" si="43"/>
        <v>AA</v>
      </c>
      <c r="BE374" s="103" t="str">
        <f t="shared" si="44"/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hidden="1" customHeight="1" x14ac:dyDescent="0.25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 t="shared" si="42"/>
        <v>61</v>
      </c>
      <c r="BD375" s="103" t="str">
        <f t="shared" si="43"/>
        <v>INDENIZAÇÃO</v>
      </c>
      <c r="BE375" s="103" t="str">
        <f t="shared" si="44"/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hidden="1" customHeight="1" x14ac:dyDescent="0.25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 t="shared" si="42"/>
        <v>68</v>
      </c>
      <c r="BD376" s="103" t="str">
        <f t="shared" si="43"/>
        <v>INDENIZAÇÃO</v>
      </c>
      <c r="BE376" s="103" t="str">
        <f t="shared" si="44"/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hidden="1" customHeight="1" x14ac:dyDescent="0.25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 t="shared" si="42"/>
        <v>23</v>
      </c>
      <c r="BD377" s="103" t="str">
        <f t="shared" si="43"/>
        <v>INDENIZAÇÃO</v>
      </c>
      <c r="BE377" s="103" t="str">
        <f t="shared" si="44"/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hidden="1" customHeight="1" x14ac:dyDescent="0.25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2"/>
        <v/>
      </c>
      <c r="BD378" s="103" t="str">
        <f t="shared" si="43"/>
        <v>AA</v>
      </c>
      <c r="BE378" s="103" t="str">
        <f t="shared" si="44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 t="shared" si="42"/>
        <v/>
      </c>
      <c r="BD379" s="103" t="str">
        <f t="shared" si="43"/>
        <v>INDENIZAÇÃO</v>
      </c>
      <c r="BE379" s="103" t="str">
        <f t="shared" si="44"/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hidden="1" customHeight="1" x14ac:dyDescent="0.25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 t="shared" si="42"/>
        <v>40</v>
      </c>
      <c r="BD380" s="103" t="str">
        <f t="shared" si="43"/>
        <v>INDENIZAÇÃO</v>
      </c>
      <c r="BE380" s="103" t="str">
        <f t="shared" si="44"/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hidden="1" customHeight="1" x14ac:dyDescent="0.25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 t="shared" si="42"/>
        <v>80</v>
      </c>
      <c r="BD381" s="103" t="str">
        <f t="shared" si="43"/>
        <v>INDENIZAÇÃO</v>
      </c>
      <c r="BE381" s="103" t="str">
        <f t="shared" si="44"/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hidden="1" customHeight="1" x14ac:dyDescent="0.25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 t="shared" si="42"/>
        <v>37</v>
      </c>
      <c r="BD382" s="103" t="str">
        <f t="shared" si="43"/>
        <v>INDENIZAÇÃO</v>
      </c>
      <c r="BE382" s="103" t="str">
        <f t="shared" si="44"/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hidden="1" customHeight="1" x14ac:dyDescent="0.25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 t="shared" si="42"/>
        <v/>
      </c>
      <c r="BD383" s="103" t="str">
        <f t="shared" si="43"/>
        <v>AA</v>
      </c>
      <c r="BE383" s="103" t="str">
        <f t="shared" si="44"/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 x14ac:dyDescent="0.25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57" t="s">
        <v>4453</v>
      </c>
      <c r="AZ385" s="157"/>
      <c r="BA385" s="109" t="s">
        <v>4330</v>
      </c>
      <c r="BB385" s="112"/>
      <c r="BC385" s="220" t="e">
        <f>IF(AY385-KD385=0,"",AY385-O385)</f>
        <v>#VALUE!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/>
      <c r="BG385" s="147"/>
      <c r="BH385" s="147"/>
      <c r="BI385" s="112"/>
      <c r="BJ385" s="112"/>
      <c r="BK385" s="112"/>
      <c r="BL385" s="112"/>
      <c r="BM385" s="236"/>
    </row>
    <row r="386" spans="1:65" s="232" customFormat="1" ht="29.25" hidden="1" customHeight="1" x14ac:dyDescent="0.25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5" s="232" customFormat="1" ht="29.25" hidden="1" customHeight="1" x14ac:dyDescent="0.25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5" s="232" customFormat="1" ht="29.25" customHeight="1" x14ac:dyDescent="0.25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06" t="s">
        <v>4453</v>
      </c>
      <c r="AZ388" s="106"/>
      <c r="BA388" s="107" t="s">
        <v>4330</v>
      </c>
      <c r="BB388" s="112"/>
      <c r="BC388" s="220"/>
      <c r="BD388" s="103"/>
      <c r="BE388" s="103"/>
      <c r="BF388" s="112"/>
      <c r="BG388" s="147"/>
      <c r="BH388" s="147"/>
      <c r="BI388" s="112"/>
      <c r="BJ388" s="112"/>
      <c r="BK388" s="112"/>
      <c r="BL388" s="112"/>
      <c r="BM388" s="236"/>
    </row>
    <row r="389" spans="1:65" s="232" customFormat="1" ht="29.25" hidden="1" customHeight="1" x14ac:dyDescent="0.25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5" s="232" customFormat="1" ht="29.25" hidden="1" customHeight="1" x14ac:dyDescent="0.25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5" s="232" customFormat="1" ht="29.25" hidden="1" customHeight="1" x14ac:dyDescent="0.25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5" s="232" customFormat="1" ht="29.25" hidden="1" customHeight="1" x14ac:dyDescent="0.25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ref="BC394:BC413" si="45">IF(AY394-KD394=0,"",AY394-O394)</f>
        <v/>
      </c>
      <c r="BD394" s="103" t="str">
        <f t="shared" ref="BD394:BD413" si="46">IF(AND(AI394&lt;&gt;"SIM",AI394="UH"),"AA","INDENIZAÇÃO")</f>
        <v>INDENIZAÇÃO</v>
      </c>
      <c r="BE394" s="103" t="str">
        <f t="shared" ref="BE394:BE413" si="47"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 t="shared" si="45"/>
        <v/>
      </c>
      <c r="BD395" s="103" t="str">
        <f t="shared" si="46"/>
        <v>INDENIZAÇÃO</v>
      </c>
      <c r="BE395" s="103" t="str">
        <f t="shared" si="47"/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5" s="232" customFormat="1" ht="29.25" hidden="1" customHeight="1" x14ac:dyDescent="0.25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 t="shared" si="45"/>
        <v/>
      </c>
      <c r="BD396" s="103" t="str">
        <f t="shared" si="46"/>
        <v>AA</v>
      </c>
      <c r="BE396" s="103" t="str">
        <f t="shared" si="47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45"/>
        <v/>
      </c>
      <c r="BD397" s="103" t="str">
        <f t="shared" si="46"/>
        <v>INDENIZAÇÃO</v>
      </c>
      <c r="BE397" s="103" t="str">
        <f t="shared" si="47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45"/>
        <v/>
      </c>
      <c r="BD398" s="103" t="str">
        <f t="shared" si="46"/>
        <v>INDENIZAÇÃO</v>
      </c>
      <c r="BE398" s="103" t="str">
        <f t="shared" si="47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45"/>
        <v/>
      </c>
      <c r="BD399" s="103" t="str">
        <f t="shared" si="46"/>
        <v>INDENIZAÇÃO</v>
      </c>
      <c r="BE399" s="103" t="str">
        <f t="shared" si="47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5" s="232" customFormat="1" ht="29.25" hidden="1" customHeight="1" x14ac:dyDescent="0.25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 t="shared" si="45"/>
        <v>25</v>
      </c>
      <c r="BD400" s="103" t="str">
        <f t="shared" si="46"/>
        <v>INDENIZAÇÃO</v>
      </c>
      <c r="BE400" s="103" t="str">
        <f t="shared" si="47"/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hidden="1" customHeight="1" x14ac:dyDescent="0.25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45"/>
        <v/>
      </c>
      <c r="BD401" s="103" t="str">
        <f t="shared" si="46"/>
        <v>AA</v>
      </c>
      <c r="BE401" s="103" t="str">
        <f t="shared" si="47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45"/>
        <v/>
      </c>
      <c r="BD402" s="103" t="str">
        <f t="shared" si="46"/>
        <v>AA</v>
      </c>
      <c r="BE402" s="103" t="str">
        <f t="shared" si="47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45"/>
        <v/>
      </c>
      <c r="BD403" s="103" t="str">
        <f t="shared" si="46"/>
        <v>AA</v>
      </c>
      <c r="BE403" s="103" t="str">
        <f t="shared" si="47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45"/>
        <v/>
      </c>
      <c r="BD404" s="103" t="str">
        <f t="shared" si="46"/>
        <v>AA</v>
      </c>
      <c r="BE404" s="103" t="str">
        <f t="shared" si="47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 t="shared" si="45"/>
        <v/>
      </c>
      <c r="BD405" s="103" t="str">
        <f t="shared" si="46"/>
        <v>AA</v>
      </c>
      <c r="BE405" s="103" t="str">
        <f t="shared" si="47"/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hidden="1" customHeight="1" x14ac:dyDescent="0.25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 t="shared" si="45"/>
        <v/>
      </c>
      <c r="BD406" s="103" t="str">
        <f t="shared" si="46"/>
        <v>AA</v>
      </c>
      <c r="BE406" s="103" t="str">
        <f t="shared" si="47"/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 x14ac:dyDescent="0.25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06" t="s">
        <v>4453</v>
      </c>
      <c r="AZ407" s="106"/>
      <c r="BA407" s="107" t="s">
        <v>4330</v>
      </c>
      <c r="BB407" s="112"/>
      <c r="BC407" s="220" t="e">
        <f t="shared" si="45"/>
        <v>#VALUE!</v>
      </c>
      <c r="BD407" s="103" t="str">
        <f t="shared" si="46"/>
        <v>INDENIZAÇÃO</v>
      </c>
      <c r="BE407" s="103" t="str">
        <f t="shared" si="47"/>
        <v>NÃO</v>
      </c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06" t="s">
        <v>4453</v>
      </c>
      <c r="AZ408" s="106"/>
      <c r="BA408" s="107" t="s">
        <v>4330</v>
      </c>
      <c r="BB408" s="112"/>
      <c r="BC408" s="220" t="e">
        <f t="shared" si="45"/>
        <v>#VALUE!</v>
      </c>
      <c r="BD408" s="103" t="str">
        <f t="shared" si="46"/>
        <v>INDENIZAÇÃO</v>
      </c>
      <c r="BE408" s="103" t="str">
        <f t="shared" si="47"/>
        <v>NÃO</v>
      </c>
      <c r="BF408" s="112"/>
      <c r="BG408" s="147"/>
      <c r="BH408" s="147"/>
      <c r="BI408" s="112"/>
      <c r="BJ408" s="112"/>
      <c r="BK408" s="112"/>
      <c r="BL408" s="112"/>
      <c r="BM408" s="236"/>
      <c r="BN408" s="99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hidden="1" customHeight="1" x14ac:dyDescent="0.25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 t="shared" si="45"/>
        <v/>
      </c>
      <c r="BD409" s="103" t="str">
        <f t="shared" si="46"/>
        <v>AA</v>
      </c>
      <c r="BE409" s="103" t="str">
        <f t="shared" si="47"/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 t="shared" si="45"/>
        <v/>
      </c>
      <c r="BD410" s="103" t="str">
        <f t="shared" si="46"/>
        <v>AA</v>
      </c>
      <c r="BE410" s="103" t="str">
        <f t="shared" si="47"/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 t="shared" si="45"/>
        <v>95</v>
      </c>
      <c r="BD411" s="103" t="str">
        <f t="shared" si="46"/>
        <v>INDENIZAÇÃO</v>
      </c>
      <c r="BE411" s="103" t="str">
        <f t="shared" si="47"/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hidden="1" customHeight="1" x14ac:dyDescent="0.25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259" t="s">
        <v>6092</v>
      </c>
      <c r="AU412" s="105">
        <v>46247</v>
      </c>
      <c r="AV412" s="109" t="s">
        <v>4961</v>
      </c>
      <c r="AW412" s="109"/>
      <c r="AX412" s="109"/>
      <c r="AY412" s="157"/>
      <c r="AZ412" s="157"/>
      <c r="BA412" s="107" t="s">
        <v>4330</v>
      </c>
      <c r="BB412" s="112"/>
      <c r="BC412" s="220" t="str">
        <f t="shared" si="45"/>
        <v/>
      </c>
      <c r="BD412" s="103" t="str">
        <f t="shared" si="46"/>
        <v>INDENIZAÇÃO</v>
      </c>
      <c r="BE412" s="103" t="str">
        <f t="shared" si="47"/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 t="shared" si="45"/>
        <v/>
      </c>
      <c r="BD413" s="103" t="str">
        <f t="shared" si="46"/>
        <v>INDENIZAÇÃO</v>
      </c>
      <c r="BE413" s="103" t="str">
        <f t="shared" si="47"/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hidden="1" customHeight="1" x14ac:dyDescent="0.25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 x14ac:dyDescent="0.25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 x14ac:dyDescent="0.25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 x14ac:dyDescent="0.25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hidden="1" customHeight="1" x14ac:dyDescent="0.25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ref="BC419:BC461" si="48">IF(AY419-KD419=0,"",AY419-O419)</f>
        <v/>
      </c>
      <c r="BD419" s="103" t="str">
        <f t="shared" ref="BD419:BD461" si="49">IF(AND(AI419&lt;&gt;"SIM",AI419="UH"),"AA","INDENIZAÇÃO")</f>
        <v>AA</v>
      </c>
      <c r="BE419" s="103" t="str">
        <f t="shared" ref="BE419:BE461" si="50"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 t="shared" si="48"/>
        <v/>
      </c>
      <c r="BD420" s="103" t="str">
        <f t="shared" si="49"/>
        <v>AA</v>
      </c>
      <c r="BE420" s="103" t="str">
        <f t="shared" si="50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 t="shared" si="48"/>
        <v/>
      </c>
      <c r="BD421" s="103" t="str">
        <f t="shared" si="49"/>
        <v>AA</v>
      </c>
      <c r="BE421" s="103" t="str">
        <f t="shared" si="50"/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hidden="1" customHeight="1" x14ac:dyDescent="0.25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 t="shared" si="48"/>
        <v>96</v>
      </c>
      <c r="BD422" s="103" t="str">
        <f t="shared" si="49"/>
        <v>INDENIZAÇÃO</v>
      </c>
      <c r="BE422" s="103" t="str">
        <f t="shared" si="50"/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hidden="1" customHeight="1" x14ac:dyDescent="0.25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 t="shared" si="48"/>
        <v/>
      </c>
      <c r="BD423" s="103" t="str">
        <f t="shared" si="49"/>
        <v>AA</v>
      </c>
      <c r="BE423" s="103" t="str">
        <f t="shared" si="50"/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hidden="1" customHeight="1" x14ac:dyDescent="0.25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48"/>
        <v>73</v>
      </c>
      <c r="BD424" s="103" t="str">
        <f t="shared" si="49"/>
        <v>INDENIZAÇÃO</v>
      </c>
      <c r="BE424" s="103" t="str">
        <f t="shared" si="50"/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hidden="1" customHeight="1" x14ac:dyDescent="0.25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48"/>
        <v/>
      </c>
      <c r="BD425" s="103" t="str">
        <f t="shared" si="49"/>
        <v>INDENIZAÇÃO</v>
      </c>
      <c r="BE425" s="103" t="str">
        <f t="shared" si="50"/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hidden="1" customHeight="1" x14ac:dyDescent="0.25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 t="shared" si="48"/>
        <v>91</v>
      </c>
      <c r="BD426" s="103" t="str">
        <f t="shared" si="49"/>
        <v>INDENIZAÇÃO</v>
      </c>
      <c r="BE426" s="103" t="str">
        <f t="shared" si="50"/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hidden="1" customHeight="1" x14ac:dyDescent="0.25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 t="shared" si="48"/>
        <v/>
      </c>
      <c r="BD427" s="103" t="str">
        <f t="shared" si="49"/>
        <v>AA</v>
      </c>
      <c r="BE427" s="103" t="str">
        <f t="shared" si="50"/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hidden="1" customHeight="1" x14ac:dyDescent="0.25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 t="shared" si="48"/>
        <v>50</v>
      </c>
      <c r="BD428" s="103" t="str">
        <f t="shared" si="49"/>
        <v>INDENIZAÇÃO</v>
      </c>
      <c r="BE428" s="103" t="str">
        <f t="shared" si="50"/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hidden="1" customHeight="1" x14ac:dyDescent="0.25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 t="shared" si="48"/>
        <v>23</v>
      </c>
      <c r="BD429" s="103" t="str">
        <f t="shared" si="49"/>
        <v>INDENIZAÇÃO</v>
      </c>
      <c r="BE429" s="103" t="str">
        <f t="shared" si="50"/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 t="shared" si="48"/>
        <v>20</v>
      </c>
      <c r="BD430" s="103" t="str">
        <f t="shared" si="49"/>
        <v>INDENIZAÇÃO</v>
      </c>
      <c r="BE430" s="103" t="str">
        <f t="shared" si="50"/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hidden="1" customHeight="1" x14ac:dyDescent="0.25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 t="shared" si="48"/>
        <v/>
      </c>
      <c r="BD431" s="103" t="str">
        <f t="shared" si="49"/>
        <v>INDENIZAÇÃO</v>
      </c>
      <c r="BE431" s="103" t="str">
        <f t="shared" si="50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 t="shared" si="48"/>
        <v/>
      </c>
      <c r="BD432" s="103" t="str">
        <f t="shared" si="49"/>
        <v>AA</v>
      </c>
      <c r="BE432" s="103" t="str">
        <f t="shared" si="50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 t="shared" si="48"/>
        <v/>
      </c>
      <c r="BD433" s="103" t="str">
        <f t="shared" si="49"/>
        <v>AA</v>
      </c>
      <c r="BE433" s="103" t="str">
        <f t="shared" si="50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 x14ac:dyDescent="0.25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 t="shared" si="48"/>
        <v>#VALUE!</v>
      </c>
      <c r="BD434" s="103" t="str">
        <f t="shared" si="49"/>
        <v>INDENIZAÇÃO</v>
      </c>
      <c r="BE434" s="103" t="str">
        <f t="shared" si="50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 t="shared" si="48"/>
        <v/>
      </c>
      <c r="BD435" s="103" t="str">
        <f t="shared" si="49"/>
        <v>AA</v>
      </c>
      <c r="BE435" s="103" t="str">
        <f t="shared" si="50"/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hidden="1" customHeight="1" x14ac:dyDescent="0.25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 t="shared" si="48"/>
        <v/>
      </c>
      <c r="BD436" s="103" t="str">
        <f t="shared" si="49"/>
        <v>AA</v>
      </c>
      <c r="BE436" s="103" t="str">
        <f t="shared" si="50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48"/>
        <v/>
      </c>
      <c r="BD437" s="103" t="str">
        <f t="shared" si="49"/>
        <v>AA</v>
      </c>
      <c r="BE437" s="103" t="str">
        <f t="shared" si="50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 t="shared" si="48"/>
        <v/>
      </c>
      <c r="BD438" s="103" t="str">
        <f t="shared" si="49"/>
        <v>AA</v>
      </c>
      <c r="BE438" s="103" t="str">
        <f t="shared" si="50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48"/>
        <v/>
      </c>
      <c r="BD439" s="103" t="str">
        <f t="shared" si="49"/>
        <v>AA</v>
      </c>
      <c r="BE439" s="103" t="str">
        <f t="shared" si="50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48"/>
        <v/>
      </c>
      <c r="BD440" s="103" t="str">
        <f t="shared" si="49"/>
        <v>INDENIZAÇÃO</v>
      </c>
      <c r="BE440" s="103" t="str">
        <f t="shared" si="50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 t="shared" si="48"/>
        <v/>
      </c>
      <c r="BD441" s="103" t="str">
        <f t="shared" si="49"/>
        <v>INDENIZAÇÃO</v>
      </c>
      <c r="BE441" s="103" t="str">
        <f t="shared" si="50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 t="shared" si="48"/>
        <v/>
      </c>
      <c r="BD442" s="103" t="str">
        <f t="shared" si="49"/>
        <v>AA</v>
      </c>
      <c r="BE442" s="103" t="str">
        <f t="shared" si="50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 t="shared" si="48"/>
        <v>#VALUE!</v>
      </c>
      <c r="BD443" s="103" t="str">
        <f t="shared" si="49"/>
        <v>INDENIZAÇÃO</v>
      </c>
      <c r="BE443" s="103" t="str">
        <f t="shared" si="50"/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hidden="1" customHeight="1" x14ac:dyDescent="0.25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 t="shared" si="48"/>
        <v>50</v>
      </c>
      <c r="BD444" s="103" t="str">
        <f t="shared" si="49"/>
        <v>INDENIZAÇÃO</v>
      </c>
      <c r="BE444" s="103" t="str">
        <f t="shared" si="50"/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 t="shared" si="48"/>
        <v>116</v>
      </c>
      <c r="BD445" s="103" t="str">
        <f t="shared" si="49"/>
        <v>INDENIZAÇÃO</v>
      </c>
      <c r="BE445" s="103" t="str">
        <f t="shared" si="50"/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hidden="1" customHeight="1" x14ac:dyDescent="0.25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48"/>
        <v/>
      </c>
      <c r="BD446" s="103" t="str">
        <f t="shared" si="49"/>
        <v>AA</v>
      </c>
      <c r="BE446" s="103" t="str">
        <f t="shared" si="50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 t="shared" si="48"/>
        <v/>
      </c>
      <c r="BD447" s="103" t="str">
        <f t="shared" si="49"/>
        <v>AA</v>
      </c>
      <c r="BE447" s="103" t="str">
        <f t="shared" si="50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 t="shared" si="48"/>
        <v/>
      </c>
      <c r="BD448" s="103" t="str">
        <f t="shared" si="49"/>
        <v>AA</v>
      </c>
      <c r="BE448" s="103" t="str">
        <f t="shared" si="50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 t="shared" si="48"/>
        <v/>
      </c>
      <c r="BD449" s="103" t="str">
        <f t="shared" si="49"/>
        <v>AA</v>
      </c>
      <c r="BE449" s="103" t="str">
        <f t="shared" si="50"/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hidden="1" customHeight="1" x14ac:dyDescent="0.25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 t="shared" si="48"/>
        <v>62</v>
      </c>
      <c r="BD450" s="103" t="str">
        <f t="shared" si="49"/>
        <v>INDENIZAÇÃO</v>
      </c>
      <c r="BE450" s="103" t="str">
        <f t="shared" si="50"/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 t="shared" si="48"/>
        <v>77</v>
      </c>
      <c r="BD451" s="103" t="str">
        <f t="shared" si="49"/>
        <v>INDENIZAÇÃO</v>
      </c>
      <c r="BE451" s="103" t="str">
        <f t="shared" si="50"/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hidden="1" customHeight="1" x14ac:dyDescent="0.25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 t="shared" si="48"/>
        <v/>
      </c>
      <c r="BD452" s="103" t="str">
        <f t="shared" si="49"/>
        <v>AA</v>
      </c>
      <c r="BE452" s="103" t="str">
        <f t="shared" si="50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 t="shared" si="48"/>
        <v/>
      </c>
      <c r="BD453" s="103" t="str">
        <f t="shared" si="49"/>
        <v>AA</v>
      </c>
      <c r="BE453" s="103" t="str">
        <f t="shared" si="50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48"/>
        <v/>
      </c>
      <c r="BD454" s="103" t="str">
        <f t="shared" si="49"/>
        <v>AA</v>
      </c>
      <c r="BE454" s="103" t="str">
        <f t="shared" si="50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 t="shared" si="48"/>
        <v/>
      </c>
      <c r="BD455" s="103" t="str">
        <f t="shared" si="49"/>
        <v>AA</v>
      </c>
      <c r="BE455" s="103" t="str">
        <f t="shared" si="50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 t="shared" si="48"/>
        <v/>
      </c>
      <c r="BD456" s="103" t="str">
        <f t="shared" si="49"/>
        <v>AA</v>
      </c>
      <c r="BE456" s="103" t="str">
        <f t="shared" si="50"/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 x14ac:dyDescent="0.25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 t="shared" si="48"/>
        <v>#VALUE!</v>
      </c>
      <c r="BD457" s="103" t="str">
        <f t="shared" si="49"/>
        <v>INDENIZAÇÃO</v>
      </c>
      <c r="BE457" s="103" t="str">
        <f t="shared" si="50"/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48"/>
        <v/>
      </c>
      <c r="BD458" s="103" t="str">
        <f t="shared" si="49"/>
        <v>INDENIZAÇÃO</v>
      </c>
      <c r="BE458" s="103" t="str">
        <f t="shared" si="50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 t="shared" si="48"/>
        <v/>
      </c>
      <c r="BD459" s="103" t="str">
        <f t="shared" si="49"/>
        <v>AA</v>
      </c>
      <c r="BE459" s="103" t="str">
        <f t="shared" si="50"/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hidden="1" customHeight="1" x14ac:dyDescent="0.25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 t="shared" si="48"/>
        <v/>
      </c>
      <c r="BD460" s="103" t="str">
        <f t="shared" si="49"/>
        <v>AA</v>
      </c>
      <c r="BE460" s="103" t="str">
        <f t="shared" si="50"/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 t="shared" si="48"/>
        <v>#VALUE!</v>
      </c>
      <c r="BD461" s="103" t="str">
        <f t="shared" si="49"/>
        <v>INDENIZAÇÃO</v>
      </c>
      <c r="BE461" s="103" t="str">
        <f t="shared" si="50"/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ref="BC463:BC469" si="51">IF(AY463-KD463=0,"",AY463-O463)</f>
        <v/>
      </c>
      <c r="BD463" s="103" t="str">
        <f t="shared" ref="BD463:BD469" si="52">IF(AND(AI463&lt;&gt;"SIM",AI463="UH"),"AA","INDENIZAÇÃO")</f>
        <v>AA</v>
      </c>
      <c r="BE463" s="103" t="str">
        <f t="shared" ref="BE463:BE469" si="53"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 t="shared" si="51"/>
        <v/>
      </c>
      <c r="BD464" s="103" t="str">
        <f t="shared" si="52"/>
        <v>INDENIZAÇÃO</v>
      </c>
      <c r="BE464" s="103" t="str">
        <f t="shared" si="53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hidden="1" customHeight="1" x14ac:dyDescent="0.25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 t="shared" si="51"/>
        <v/>
      </c>
      <c r="BD465" s="103" t="str">
        <f t="shared" si="52"/>
        <v>AA</v>
      </c>
      <c r="BE465" s="103" t="str">
        <f t="shared" si="53"/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hidden="1" customHeight="1" x14ac:dyDescent="0.25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 t="shared" si="51"/>
        <v>94</v>
      </c>
      <c r="BD466" s="103" t="str">
        <f t="shared" si="52"/>
        <v>INDENIZAÇÃO</v>
      </c>
      <c r="BE466" s="103" t="str">
        <f t="shared" si="53"/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 x14ac:dyDescent="0.25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 t="shared" si="51"/>
        <v>#VALUE!</v>
      </c>
      <c r="BD467" s="103" t="str">
        <f t="shared" si="52"/>
        <v>INDENIZAÇÃO</v>
      </c>
      <c r="BE467" s="103" t="str">
        <f t="shared" si="53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hidden="1" customHeight="1" x14ac:dyDescent="0.25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 t="shared" si="51"/>
        <v/>
      </c>
      <c r="BD468" s="103" t="str">
        <f t="shared" si="52"/>
        <v>AA</v>
      </c>
      <c r="BE468" s="103" t="str">
        <f t="shared" si="53"/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 x14ac:dyDescent="0.25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 t="shared" si="51"/>
        <v>#VALUE!</v>
      </c>
      <c r="BD469" s="103" t="str">
        <f t="shared" si="52"/>
        <v>INDENIZAÇÃO</v>
      </c>
      <c r="BE469" s="103" t="str">
        <f t="shared" si="53"/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 x14ac:dyDescent="0.25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hidden="1" customHeight="1" x14ac:dyDescent="0.25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 t="shared" ref="BC471:BC476" si="54">IF(AY471-KD471=0,"",AY471-O471)</f>
        <v/>
      </c>
      <c r="BD471" s="103" t="str">
        <f t="shared" ref="BD471:BD476" si="55">IF(AND(AI471&lt;&gt;"SIM",AI471="UH"),"AA","INDENIZAÇÃO")</f>
        <v>AA</v>
      </c>
      <c r="BE471" s="103" t="str">
        <f t="shared" ref="BE471:BE476" si="56"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hidden="1" customHeight="1" x14ac:dyDescent="0.25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54"/>
        <v/>
      </c>
      <c r="BD472" s="103" t="str">
        <f t="shared" si="55"/>
        <v>AA</v>
      </c>
      <c r="BE472" s="103" t="str">
        <f t="shared" si="56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hidden="1" customHeight="1" x14ac:dyDescent="0.25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 t="shared" si="54"/>
        <v/>
      </c>
      <c r="BD473" s="103" t="str">
        <f t="shared" si="55"/>
        <v>AA</v>
      </c>
      <c r="BE473" s="103" t="str">
        <f t="shared" si="5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 x14ac:dyDescent="0.25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 t="shared" si="54"/>
        <v>#VALUE!</v>
      </c>
      <c r="BD474" s="103" t="str">
        <f t="shared" si="55"/>
        <v>INDENIZAÇÃO</v>
      </c>
      <c r="BE474" s="103" t="str">
        <f t="shared" si="5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hidden="1" customHeight="1" x14ac:dyDescent="0.25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 t="shared" si="54"/>
        <v/>
      </c>
      <c r="BD475" s="103" t="str">
        <f t="shared" si="55"/>
        <v>AA</v>
      </c>
      <c r="BE475" s="103" t="str">
        <f t="shared" si="56"/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hidden="1" customHeight="1" x14ac:dyDescent="0.25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 t="shared" si="54"/>
        <v/>
      </c>
      <c r="BD476" s="103" t="str">
        <f t="shared" si="55"/>
        <v>AA</v>
      </c>
      <c r="BE476" s="103" t="str">
        <f t="shared" si="56"/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 x14ac:dyDescent="0.25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hidden="1" customHeight="1" x14ac:dyDescent="0.25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 t="shared" ref="BC478:BC497" si="57">IF(AY478-KD478=0,"",AY478-O478)</f>
        <v/>
      </c>
      <c r="BD478" s="103" t="str">
        <f t="shared" ref="BD478:BD497" si="58">IF(AND(AI478&lt;&gt;"SIM",AI478="UH"),"AA","INDENIZAÇÃO")</f>
        <v>AA</v>
      </c>
      <c r="BE478" s="103" t="str">
        <f t="shared" ref="BE478:BE497" si="59"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hidden="1" customHeight="1" x14ac:dyDescent="0.25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 t="shared" si="57"/>
        <v/>
      </c>
      <c r="BD479" s="103" t="str">
        <f t="shared" si="58"/>
        <v>AA</v>
      </c>
      <c r="BE479" s="103" t="str">
        <f t="shared" si="59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 x14ac:dyDescent="0.25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 t="shared" si="57"/>
        <v>#VALUE!</v>
      </c>
      <c r="BD480" s="103" t="str">
        <f t="shared" si="58"/>
        <v>INDENIZAÇÃO</v>
      </c>
      <c r="BE480" s="103" t="str">
        <f t="shared" si="59"/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hidden="1" customHeight="1" x14ac:dyDescent="0.25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 t="shared" si="57"/>
        <v>97</v>
      </c>
      <c r="BD481" s="103" t="str">
        <f t="shared" si="58"/>
        <v>INDENIZAÇÃO</v>
      </c>
      <c r="BE481" s="103" t="str">
        <f t="shared" si="59"/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hidden="1" customHeight="1" x14ac:dyDescent="0.25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 t="shared" si="57"/>
        <v>46</v>
      </c>
      <c r="BD482" s="103" t="str">
        <f t="shared" si="58"/>
        <v>INDENIZAÇÃO</v>
      </c>
      <c r="BE482" s="103" t="str">
        <f t="shared" si="59"/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hidden="1" customHeight="1" x14ac:dyDescent="0.25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 t="shared" si="57"/>
        <v>80</v>
      </c>
      <c r="BD483" s="103" t="str">
        <f t="shared" si="58"/>
        <v>INDENIZAÇÃO</v>
      </c>
      <c r="BE483" s="103" t="str">
        <f t="shared" si="59"/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hidden="1" customHeight="1" x14ac:dyDescent="0.25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 t="shared" si="57"/>
        <v>106</v>
      </c>
      <c r="BD484" s="103" t="str">
        <f t="shared" si="58"/>
        <v>INDENIZAÇÃO</v>
      </c>
      <c r="BE484" s="103" t="str">
        <f t="shared" si="59"/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hidden="1" customHeight="1" x14ac:dyDescent="0.25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57"/>
        <v/>
      </c>
      <c r="BD485" s="103" t="str">
        <f t="shared" si="58"/>
        <v>AA</v>
      </c>
      <c r="BE485" s="103" t="str">
        <f t="shared" si="5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hidden="1" customHeight="1" x14ac:dyDescent="0.25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57"/>
        <v/>
      </c>
      <c r="BD486" s="103" t="str">
        <f t="shared" si="58"/>
        <v>AA</v>
      </c>
      <c r="BE486" s="103" t="str">
        <f t="shared" si="5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hidden="1" customHeight="1" x14ac:dyDescent="0.25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57"/>
        <v/>
      </c>
      <c r="BD487" s="103" t="str">
        <f t="shared" si="58"/>
        <v>AA</v>
      </c>
      <c r="BE487" s="103" t="str">
        <f t="shared" si="5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hidden="1" customHeight="1" x14ac:dyDescent="0.25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57"/>
        <v/>
      </c>
      <c r="BD488" s="103" t="str">
        <f t="shared" si="58"/>
        <v>AA</v>
      </c>
      <c r="BE488" s="103" t="str">
        <f t="shared" si="5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 x14ac:dyDescent="0.25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 t="shared" si="57"/>
        <v>#VALUE!</v>
      </c>
      <c r="BD489" s="103" t="str">
        <f t="shared" si="58"/>
        <v>INDENIZAÇÃO</v>
      </c>
      <c r="BE489" s="103" t="str">
        <f t="shared" si="5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hidden="1" customHeight="1" x14ac:dyDescent="0.25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 t="shared" si="57"/>
        <v/>
      </c>
      <c r="BD490" s="103" t="str">
        <f t="shared" si="58"/>
        <v>AA</v>
      </c>
      <c r="BE490" s="103" t="str">
        <f t="shared" si="59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hidden="1" customHeight="1" x14ac:dyDescent="0.25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 t="shared" si="57"/>
        <v/>
      </c>
      <c r="BD491" s="103" t="str">
        <f t="shared" si="58"/>
        <v>AA</v>
      </c>
      <c r="BE491" s="103" t="str">
        <f t="shared" si="59"/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hidden="1" customHeight="1" x14ac:dyDescent="0.25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 t="shared" si="57"/>
        <v/>
      </c>
      <c r="BD492" s="103" t="str">
        <f t="shared" si="58"/>
        <v>AA</v>
      </c>
      <c r="BE492" s="103" t="str">
        <f t="shared" si="5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hidden="1" customHeight="1" x14ac:dyDescent="0.25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 t="shared" si="57"/>
        <v>50</v>
      </c>
      <c r="BD493" s="103" t="str">
        <f t="shared" si="58"/>
        <v>INDENIZAÇÃO</v>
      </c>
      <c r="BE493" s="103" t="str">
        <f t="shared" si="59"/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hidden="1" customHeight="1" x14ac:dyDescent="0.25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57"/>
        <v/>
      </c>
      <c r="BD494" s="103" t="str">
        <f t="shared" si="58"/>
        <v>AA</v>
      </c>
      <c r="BE494" s="103" t="str">
        <f t="shared" si="59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hidden="1" customHeight="1" x14ac:dyDescent="0.25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 t="shared" si="57"/>
        <v/>
      </c>
      <c r="BD495" s="103" t="str">
        <f t="shared" si="58"/>
        <v>AA</v>
      </c>
      <c r="BE495" s="103" t="str">
        <f t="shared" si="59"/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hidden="1" customHeight="1" x14ac:dyDescent="0.25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 t="shared" si="57"/>
        <v>60</v>
      </c>
      <c r="BD496" s="103" t="str">
        <f t="shared" si="58"/>
        <v>INDENIZAÇÃO</v>
      </c>
      <c r="BE496" s="103" t="str">
        <f t="shared" si="59"/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hidden="1" customHeight="1" x14ac:dyDescent="0.25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 t="shared" si="57"/>
        <v/>
      </c>
      <c r="BD497" s="103" t="str">
        <f t="shared" si="58"/>
        <v>AA</v>
      </c>
      <c r="BE497" s="103" t="str">
        <f t="shared" si="59"/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hidden="1" customHeight="1" x14ac:dyDescent="0.25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 t="shared" ref="BC499:BC531" si="60">IF(AY499-KD499=0,"",AY499-O499)</f>
        <v/>
      </c>
      <c r="BD499" s="103" t="str">
        <f t="shared" ref="BD499:BD531" si="61">IF(AND(AI499&lt;&gt;"SIM",AI499="UH"),"AA","INDENIZAÇÃO")</f>
        <v>INDENIZAÇÃO</v>
      </c>
      <c r="BE499" s="103" t="str">
        <f t="shared" ref="BE499:BE531" si="62"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0"/>
        <v/>
      </c>
      <c r="BD500" s="103" t="str">
        <f t="shared" si="61"/>
        <v>AA</v>
      </c>
      <c r="BE500" s="103" t="str">
        <f t="shared" si="6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 t="shared" si="60"/>
        <v/>
      </c>
      <c r="BD501" s="103" t="str">
        <f t="shared" si="61"/>
        <v>AA</v>
      </c>
      <c r="BE501" s="103" t="str">
        <f t="shared" si="62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 t="shared" si="60"/>
        <v/>
      </c>
      <c r="BD502" s="103" t="str">
        <f t="shared" si="61"/>
        <v>AA</v>
      </c>
      <c r="BE502" s="103" t="str">
        <f t="shared" si="6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hidden="1" customHeight="1" x14ac:dyDescent="0.25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 t="shared" si="60"/>
        <v>80</v>
      </c>
      <c r="BD503" s="103" t="str">
        <f t="shared" si="61"/>
        <v>INDENIZAÇÃO</v>
      </c>
      <c r="BE503" s="103" t="str">
        <f t="shared" si="62"/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hidden="1" customHeight="1" x14ac:dyDescent="0.25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0"/>
        <v/>
      </c>
      <c r="BD504" s="103" t="str">
        <f t="shared" si="61"/>
        <v>AA</v>
      </c>
      <c r="BE504" s="103" t="str">
        <f t="shared" si="6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 t="shared" si="60"/>
        <v/>
      </c>
      <c r="BD505" s="103" t="str">
        <f t="shared" si="61"/>
        <v>AA</v>
      </c>
      <c r="BE505" s="103" t="str">
        <f t="shared" si="6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0"/>
        <v/>
      </c>
      <c r="BD506" s="103" t="str">
        <f t="shared" si="61"/>
        <v>INDENIZAÇÃO</v>
      </c>
      <c r="BE506" s="103" t="str">
        <f t="shared" si="6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 t="shared" si="60"/>
        <v/>
      </c>
      <c r="BD507" s="103" t="str">
        <f t="shared" si="61"/>
        <v>AA</v>
      </c>
      <c r="BE507" s="103" t="str">
        <f t="shared" si="6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60"/>
        <v/>
      </c>
      <c r="BD508" s="103" t="str">
        <f t="shared" si="61"/>
        <v>AA</v>
      </c>
      <c r="BE508" s="103" t="str">
        <f t="shared" si="6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 t="shared" si="60"/>
        <v/>
      </c>
      <c r="BD509" s="103" t="str">
        <f t="shared" si="61"/>
        <v>AA</v>
      </c>
      <c r="BE509" s="103" t="str">
        <f t="shared" si="6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0"/>
        <v/>
      </c>
      <c r="BD510" s="103" t="str">
        <f t="shared" si="61"/>
        <v>AA</v>
      </c>
      <c r="BE510" s="103" t="str">
        <f t="shared" si="6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0"/>
        <v/>
      </c>
      <c r="BD511" s="103" t="str">
        <f t="shared" si="61"/>
        <v>AA</v>
      </c>
      <c r="BE511" s="103" t="str">
        <f t="shared" si="62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 t="shared" si="60"/>
        <v/>
      </c>
      <c r="BD512" s="103" t="str">
        <f t="shared" si="61"/>
        <v>AA</v>
      </c>
      <c r="BE512" s="103" t="str">
        <f t="shared" si="62"/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hidden="1" customHeight="1" x14ac:dyDescent="0.25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0"/>
        <v/>
      </c>
      <c r="BD513" s="103" t="str">
        <f t="shared" si="61"/>
        <v>AA</v>
      </c>
      <c r="BE513" s="103" t="str">
        <f t="shared" si="62"/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hidden="1" customHeight="1" x14ac:dyDescent="0.25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60"/>
        <v/>
      </c>
      <c r="BD514" s="103" t="str">
        <f t="shared" si="61"/>
        <v>AA</v>
      </c>
      <c r="BE514" s="103" t="str">
        <f t="shared" si="62"/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hidden="1" customHeight="1" x14ac:dyDescent="0.25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 t="shared" si="60"/>
        <v>118</v>
      </c>
      <c r="BD515" s="103" t="str">
        <f t="shared" si="61"/>
        <v>INDENIZAÇÃO</v>
      </c>
      <c r="BE515" s="103" t="str">
        <f t="shared" si="62"/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hidden="1" customHeight="1" x14ac:dyDescent="0.25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0"/>
        <v/>
      </c>
      <c r="BD516" s="103" t="str">
        <f t="shared" si="61"/>
        <v>AA</v>
      </c>
      <c r="BE516" s="103" t="str">
        <f t="shared" si="62"/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hidden="1" customHeight="1" x14ac:dyDescent="0.25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0"/>
        <v/>
      </c>
      <c r="BD517" s="103" t="str">
        <f t="shared" si="61"/>
        <v>AA</v>
      </c>
      <c r="BE517" s="103" t="str">
        <f t="shared" si="62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0"/>
        <v/>
      </c>
      <c r="BD518" s="103" t="str">
        <f t="shared" si="61"/>
        <v>AA</v>
      </c>
      <c r="BE518" s="103" t="str">
        <f t="shared" si="62"/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hidden="1" customHeight="1" x14ac:dyDescent="0.25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0"/>
        <v/>
      </c>
      <c r="BD519" s="103" t="str">
        <f t="shared" si="61"/>
        <v>AA</v>
      </c>
      <c r="BE519" s="103" t="str">
        <f t="shared" si="6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0"/>
        <v/>
      </c>
      <c r="BD520" s="103" t="str">
        <f t="shared" si="61"/>
        <v>AA</v>
      </c>
      <c r="BE520" s="103" t="str">
        <f t="shared" si="6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0"/>
        <v/>
      </c>
      <c r="BD521" s="103" t="str">
        <f t="shared" si="61"/>
        <v>AA</v>
      </c>
      <c r="BE521" s="103" t="str">
        <f t="shared" si="62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0"/>
        <v/>
      </c>
      <c r="BD522" s="103" t="str">
        <f t="shared" si="61"/>
        <v>AA</v>
      </c>
      <c r="BE522" s="103" t="str">
        <f t="shared" si="62"/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hidden="1" customHeight="1" x14ac:dyDescent="0.25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si="60"/>
        <v/>
      </c>
      <c r="BD523" s="103" t="str">
        <f t="shared" si="61"/>
        <v>AA</v>
      </c>
      <c r="BE523" s="103" t="str">
        <f t="shared" si="62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 t="shared" si="60"/>
        <v>#VALUE!</v>
      </c>
      <c r="BD524" s="103" t="str">
        <f t="shared" si="61"/>
        <v>INDENIZAÇÃO</v>
      </c>
      <c r="BE524" s="103" t="str">
        <f t="shared" si="62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60"/>
        <v/>
      </c>
      <c r="BD525" s="103" t="str">
        <f t="shared" si="61"/>
        <v>AA</v>
      </c>
      <c r="BE525" s="103" t="str">
        <f t="shared" si="62"/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hidden="1" customHeight="1" x14ac:dyDescent="0.25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 t="shared" si="60"/>
        <v/>
      </c>
      <c r="BD526" s="103" t="str">
        <f t="shared" si="61"/>
        <v>AA</v>
      </c>
      <c r="BE526" s="103" t="str">
        <f t="shared" si="62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0"/>
        <v/>
      </c>
      <c r="BD527" s="103" t="str">
        <f t="shared" si="61"/>
        <v>AA</v>
      </c>
      <c r="BE527" s="103" t="str">
        <f t="shared" si="62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0"/>
        <v/>
      </c>
      <c r="BD528" s="103" t="str">
        <f t="shared" si="61"/>
        <v>AA</v>
      </c>
      <c r="BE528" s="103" t="str">
        <f t="shared" si="62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0"/>
        <v/>
      </c>
      <c r="BD529" s="103" t="str">
        <f t="shared" si="61"/>
        <v>AA</v>
      </c>
      <c r="BE529" s="103" t="str">
        <f t="shared" si="62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0"/>
        <v/>
      </c>
      <c r="BD530" s="103" t="str">
        <f t="shared" si="61"/>
        <v>AA</v>
      </c>
      <c r="BE530" s="103" t="str">
        <f t="shared" si="62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si="60"/>
        <v/>
      </c>
      <c r="BD531" s="103" t="str">
        <f t="shared" si="61"/>
        <v>AA</v>
      </c>
      <c r="BE531" s="103" t="str">
        <f t="shared" si="62"/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ref="BC533:BC574" si="63">IF(AY533-KD533=0,"",AY533-O533)</f>
        <v/>
      </c>
      <c r="BD533" s="103" t="str">
        <f t="shared" ref="BD533:BD574" si="64">IF(AND(AI533&lt;&gt;"SIM",AI533="UH"),"AA","INDENIZAÇÃO")</f>
        <v>AA</v>
      </c>
      <c r="BE533" s="103" t="str">
        <f t="shared" ref="BE533:BE574" si="65"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63"/>
        <v/>
      </c>
      <c r="BD534" s="103" t="str">
        <f t="shared" si="64"/>
        <v>AA</v>
      </c>
      <c r="BE534" s="103" t="str">
        <f t="shared" si="65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63"/>
        <v/>
      </c>
      <c r="BD535" s="103" t="str">
        <f t="shared" si="64"/>
        <v>AA</v>
      </c>
      <c r="BE535" s="103" t="str">
        <f t="shared" si="65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63"/>
        <v/>
      </c>
      <c r="BD536" s="103" t="str">
        <f t="shared" si="64"/>
        <v>AA</v>
      </c>
      <c r="BE536" s="103" t="str">
        <f t="shared" si="65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 t="shared" si="63"/>
        <v>58</v>
      </c>
      <c r="BD537" s="103" t="str">
        <f t="shared" si="64"/>
        <v>INDENIZAÇÃO</v>
      </c>
      <c r="BE537" s="103" t="str">
        <f t="shared" si="65"/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hidden="1" customHeight="1" x14ac:dyDescent="0.25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63"/>
        <v/>
      </c>
      <c r="BD538" s="103" t="str">
        <f t="shared" si="64"/>
        <v>AA</v>
      </c>
      <c r="BE538" s="103" t="str">
        <f t="shared" si="65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 t="shared" si="63"/>
        <v/>
      </c>
      <c r="BD539" s="103" t="str">
        <f t="shared" si="64"/>
        <v>AA</v>
      </c>
      <c r="BE539" s="103" t="str">
        <f t="shared" si="65"/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hidden="1" customHeight="1" x14ac:dyDescent="0.25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63"/>
        <v/>
      </c>
      <c r="BD540" s="103" t="str">
        <f t="shared" si="64"/>
        <v>AA</v>
      </c>
      <c r="BE540" s="103" t="str">
        <f t="shared" si="65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63"/>
        <v/>
      </c>
      <c r="BD541" s="103" t="str">
        <f t="shared" si="64"/>
        <v>AA</v>
      </c>
      <c r="BE541" s="103" t="str">
        <f t="shared" si="65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63"/>
        <v/>
      </c>
      <c r="BD542" s="103" t="str">
        <f t="shared" si="64"/>
        <v>AA</v>
      </c>
      <c r="BE542" s="103" t="str">
        <f t="shared" si="65"/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hidden="1" customHeight="1" x14ac:dyDescent="0.25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63"/>
        <v/>
      </c>
      <c r="BD543" s="103" t="str">
        <f t="shared" si="64"/>
        <v>AA</v>
      </c>
      <c r="BE543" s="103" t="str">
        <f t="shared" si="65"/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hidden="1" customHeight="1" x14ac:dyDescent="0.25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 t="shared" si="63"/>
        <v>81</v>
      </c>
      <c r="BD544" s="103" t="str">
        <f t="shared" si="64"/>
        <v>INDENIZAÇÃO</v>
      </c>
      <c r="BE544" s="103" t="str">
        <f t="shared" si="65"/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hidden="1" customHeight="1" x14ac:dyDescent="0.25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63"/>
        <v/>
      </c>
      <c r="BD545" s="103" t="str">
        <f t="shared" si="64"/>
        <v>AA</v>
      </c>
      <c r="BE545" s="103" t="str">
        <f t="shared" si="65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63"/>
        <v/>
      </c>
      <c r="BD546" s="103" t="str">
        <f t="shared" si="64"/>
        <v>AA</v>
      </c>
      <c r="BE546" s="103" t="str">
        <f t="shared" si="65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63"/>
        <v/>
      </c>
      <c r="BD547" s="103" t="str">
        <f t="shared" si="64"/>
        <v>AA</v>
      </c>
      <c r="BE547" s="103" t="str">
        <f t="shared" si="65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63"/>
        <v/>
      </c>
      <c r="BD548" s="103" t="str">
        <f t="shared" si="64"/>
        <v>AA</v>
      </c>
      <c r="BE548" s="103" t="str">
        <f t="shared" si="65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63"/>
        <v/>
      </c>
      <c r="BD549" s="103" t="str">
        <f t="shared" si="64"/>
        <v>AA</v>
      </c>
      <c r="BE549" s="103" t="str">
        <f t="shared" si="65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63"/>
        <v/>
      </c>
      <c r="BD550" s="103" t="str">
        <f t="shared" si="64"/>
        <v>AA</v>
      </c>
      <c r="BE550" s="103" t="str">
        <f t="shared" si="65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 t="shared" si="63"/>
        <v>#VALUE!</v>
      </c>
      <c r="BD551" s="103" t="str">
        <f t="shared" si="64"/>
        <v>INDENIZAÇÃO</v>
      </c>
      <c r="BE551" s="103" t="str">
        <f t="shared" si="65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63"/>
        <v/>
      </c>
      <c r="BD552" s="103" t="str">
        <f t="shared" si="64"/>
        <v>AA</v>
      </c>
      <c r="BE552" s="103" t="str">
        <f t="shared" si="65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 t="shared" si="63"/>
        <v>#VALUE!</v>
      </c>
      <c r="BD553" s="103" t="str">
        <f t="shared" si="64"/>
        <v>INDENIZAÇÃO</v>
      </c>
      <c r="BE553" s="103" t="str">
        <f t="shared" si="65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63"/>
        <v/>
      </c>
      <c r="BD554" s="103" t="str">
        <f t="shared" si="64"/>
        <v>AA</v>
      </c>
      <c r="BE554" s="103" t="str">
        <f t="shared" si="65"/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hidden="1" customHeight="1" x14ac:dyDescent="0.25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 t="shared" si="63"/>
        <v/>
      </c>
      <c r="BD555" s="103" t="str">
        <f t="shared" si="64"/>
        <v>AA</v>
      </c>
      <c r="BE555" s="103" t="str">
        <f t="shared" si="65"/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hidden="1" customHeight="1" x14ac:dyDescent="0.25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 t="shared" si="63"/>
        <v/>
      </c>
      <c r="BD556" s="103" t="str">
        <f t="shared" si="64"/>
        <v>AA</v>
      </c>
      <c r="BE556" s="103" t="str">
        <f t="shared" si="65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 t="shared" si="63"/>
        <v/>
      </c>
      <c r="BD557" s="103" t="str">
        <f t="shared" si="64"/>
        <v>AA</v>
      </c>
      <c r="BE557" s="103" t="str">
        <f t="shared" si="65"/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hidden="1" customHeight="1" x14ac:dyDescent="0.25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63"/>
        <v/>
      </c>
      <c r="BD558" s="103" t="str">
        <f t="shared" si="64"/>
        <v>AA</v>
      </c>
      <c r="BE558" s="103" t="str">
        <f t="shared" si="65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 t="shared" si="63"/>
        <v/>
      </c>
      <c r="BD559" s="103" t="str">
        <f t="shared" si="64"/>
        <v>AA</v>
      </c>
      <c r="BE559" s="103" t="str">
        <f t="shared" si="65"/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hidden="1" customHeight="1" x14ac:dyDescent="0.25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 t="shared" si="63"/>
        <v/>
      </c>
      <c r="BD560" s="103" t="str">
        <f t="shared" si="64"/>
        <v>AA</v>
      </c>
      <c r="BE560" s="103" t="str">
        <f t="shared" si="65"/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 t="shared" si="63"/>
        <v/>
      </c>
      <c r="BD561" s="103" t="str">
        <f t="shared" si="64"/>
        <v>AA</v>
      </c>
      <c r="BE561" s="103" t="str">
        <f t="shared" si="65"/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hidden="1" customHeight="1" x14ac:dyDescent="0.25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63"/>
        <v/>
      </c>
      <c r="BD562" s="103" t="str">
        <f t="shared" si="64"/>
        <v>AA</v>
      </c>
      <c r="BE562" s="103" t="str">
        <f t="shared" si="65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 t="shared" si="63"/>
        <v/>
      </c>
      <c r="BD563" s="103" t="str">
        <f t="shared" si="64"/>
        <v>AA</v>
      </c>
      <c r="BE563" s="103" t="str">
        <f t="shared" si="65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 t="shared" si="63"/>
        <v>31</v>
      </c>
      <c r="BD564" s="103" t="str">
        <f t="shared" si="64"/>
        <v>INDENIZAÇÃO</v>
      </c>
      <c r="BE564" s="103" t="str">
        <f t="shared" si="65"/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 x14ac:dyDescent="0.25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 t="shared" si="63"/>
        <v>#VALUE!</v>
      </c>
      <c r="BD565" s="103" t="str">
        <f t="shared" si="64"/>
        <v>INDENIZAÇÃO</v>
      </c>
      <c r="BE565" s="103" t="str">
        <f t="shared" si="65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63"/>
        <v/>
      </c>
      <c r="BD566" s="103" t="str">
        <f t="shared" si="64"/>
        <v>AA</v>
      </c>
      <c r="BE566" s="103" t="str">
        <f t="shared" si="65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 t="shared" si="63"/>
        <v/>
      </c>
      <c r="BD567" s="103" t="str">
        <f t="shared" si="64"/>
        <v>AA</v>
      </c>
      <c r="BE567" s="103" t="str">
        <f t="shared" si="65"/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hidden="1" customHeight="1" x14ac:dyDescent="0.25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63"/>
        <v/>
      </c>
      <c r="BD568" s="103" t="str">
        <f t="shared" si="64"/>
        <v>AA</v>
      </c>
      <c r="BE568" s="103" t="str">
        <f t="shared" si="65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 t="shared" si="63"/>
        <v/>
      </c>
      <c r="BD569" s="103" t="str">
        <f t="shared" si="64"/>
        <v>AA</v>
      </c>
      <c r="BE569" s="103" t="str">
        <f t="shared" si="65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63"/>
        <v/>
      </c>
      <c r="BD570" s="103" t="str">
        <f t="shared" si="64"/>
        <v>AA</v>
      </c>
      <c r="BE570" s="103" t="str">
        <f t="shared" si="65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hidden="1" customHeight="1" x14ac:dyDescent="0.25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63"/>
        <v/>
      </c>
      <c r="BD571" s="103" t="str">
        <f t="shared" si="64"/>
        <v>AA</v>
      </c>
      <c r="BE571" s="103" t="str">
        <f t="shared" si="65"/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hidden="1" customHeight="1" x14ac:dyDescent="0.25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63"/>
        <v/>
      </c>
      <c r="BD572" s="103" t="str">
        <f t="shared" si="64"/>
        <v>AA</v>
      </c>
      <c r="BE572" s="103" t="str">
        <f t="shared" si="65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 t="shared" si="63"/>
        <v>105</v>
      </c>
      <c r="BD573" s="103" t="str">
        <f t="shared" si="64"/>
        <v>INDENIZAÇÃO</v>
      </c>
      <c r="BE573" s="103" t="str">
        <f t="shared" si="65"/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 t="shared" si="63"/>
        <v/>
      </c>
      <c r="BD574" s="103" t="str">
        <f t="shared" si="64"/>
        <v>AA</v>
      </c>
      <c r="BE574" s="103" t="str">
        <f t="shared" si="65"/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hidden="1" customHeight="1" x14ac:dyDescent="0.25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hidden="1" customHeight="1" x14ac:dyDescent="0.25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hidden="1" customHeight="1" x14ac:dyDescent="0.25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hidden="1" customHeight="1" x14ac:dyDescent="0.25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hidden="1" customHeight="1" x14ac:dyDescent="0.25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 x14ac:dyDescent="0.25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hidden="1" customHeight="1" x14ac:dyDescent="0.25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 t="shared" ref="BC596:BC606" si="66">IF(AY596-KD596=0,"",AY596-O596)</f>
        <v/>
      </c>
      <c r="BD596" s="103" t="str">
        <f t="shared" ref="BD596:BD606" si="67">IF(AND(AI596&lt;&gt;"SIM",AI596="UH"),"AA","INDENIZAÇÃO")</f>
        <v>AA</v>
      </c>
      <c r="BE596" s="103" t="str">
        <f t="shared" ref="BE596:BE606" si="68"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3" t="s">
        <v>6092</v>
      </c>
      <c r="AW597" s="106" t="s">
        <v>4453</v>
      </c>
      <c r="AX597" s="106"/>
      <c r="AY597" s="157"/>
      <c r="AZ597" s="106"/>
      <c r="BA597" s="107" t="s">
        <v>4330</v>
      </c>
      <c r="BB597" s="136"/>
      <c r="BC597" s="220" t="str">
        <f t="shared" si="66"/>
        <v/>
      </c>
      <c r="BD597" s="103" t="str">
        <f t="shared" si="67"/>
        <v>INDENIZAÇÃO</v>
      </c>
      <c r="BE597" s="103" t="str">
        <f t="shared" si="68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 t="shared" si="66"/>
        <v/>
      </c>
      <c r="BD598" s="103" t="str">
        <f t="shared" si="67"/>
        <v>AA</v>
      </c>
      <c r="BE598" s="103" t="str">
        <f t="shared" si="68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6944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 t="shared" si="66"/>
        <v>23</v>
      </c>
      <c r="BD599" s="103" t="str">
        <f t="shared" si="67"/>
        <v>INDENIZAÇÃO</v>
      </c>
      <c r="BE599" s="103" t="str">
        <f t="shared" si="68"/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50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 t="shared" si="66"/>
        <v/>
      </c>
      <c r="BD600" s="103" t="str">
        <f t="shared" si="67"/>
        <v>AA</v>
      </c>
      <c r="BE600" s="103" t="str">
        <f t="shared" si="68"/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14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 t="shared" si="66"/>
        <v/>
      </c>
      <c r="BD601" s="103" t="str">
        <f t="shared" si="67"/>
        <v>AA</v>
      </c>
      <c r="BE601" s="103" t="str">
        <f t="shared" si="68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 t="shared" si="66"/>
        <v/>
      </c>
      <c r="BD602" s="103" t="str">
        <f t="shared" si="67"/>
        <v>AA</v>
      </c>
      <c r="BE602" s="103" t="str">
        <f t="shared" si="68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 t="shared" si="66"/>
        <v/>
      </c>
      <c r="BD603" s="103" t="str">
        <f t="shared" si="67"/>
        <v>AA</v>
      </c>
      <c r="BE603" s="103" t="str">
        <f t="shared" si="68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6962</v>
      </c>
      <c r="AC604" s="149" t="s">
        <v>6963</v>
      </c>
      <c r="AD604" s="149" t="s">
        <v>6964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 t="shared" si="66"/>
        <v/>
      </c>
      <c r="BD604" s="103" t="str">
        <f t="shared" si="67"/>
        <v>AA</v>
      </c>
      <c r="BE604" s="103" t="str">
        <f t="shared" si="68"/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6966</v>
      </c>
      <c r="AC605" s="149" t="s">
        <v>6967</v>
      </c>
      <c r="AD605" s="149" t="s">
        <v>6968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 t="shared" si="66"/>
        <v/>
      </c>
      <c r="BD605" s="103" t="str">
        <f t="shared" si="67"/>
        <v>AA</v>
      </c>
      <c r="BE605" s="103" t="str">
        <f t="shared" si="68"/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 t="shared" si="66"/>
        <v/>
      </c>
      <c r="BD606" s="103" t="str">
        <f t="shared" si="67"/>
        <v>AA</v>
      </c>
      <c r="BE606" s="103" t="str">
        <f t="shared" si="68"/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6977</v>
      </c>
      <c r="G608" s="103" t="s">
        <v>4330</v>
      </c>
      <c r="H608" s="103" t="s">
        <v>4331</v>
      </c>
      <c r="I608" s="142" t="s">
        <v>4343</v>
      </c>
      <c r="J608" s="149" t="s">
        <v>6978</v>
      </c>
      <c r="K608" s="149" t="s">
        <v>6979</v>
      </c>
      <c r="L608" s="149" t="s">
        <v>6980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6981</v>
      </c>
      <c r="G609" s="103" t="s">
        <v>4330</v>
      </c>
      <c r="H609" s="103" t="s">
        <v>4331</v>
      </c>
      <c r="I609" s="142" t="s">
        <v>4343</v>
      </c>
      <c r="J609" s="149" t="s">
        <v>6982</v>
      </c>
      <c r="K609" s="149" t="s">
        <v>6983</v>
      </c>
      <c r="L609" s="149" t="s">
        <v>6984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6982</v>
      </c>
      <c r="AC609" s="149" t="s">
        <v>6983</v>
      </c>
      <c r="AD609" s="149" t="s">
        <v>6984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12" t="s">
        <v>4341</v>
      </c>
      <c r="H611" s="103" t="s">
        <v>6491</v>
      </c>
      <c r="I611" s="153" t="s">
        <v>4332</v>
      </c>
      <c r="J611" s="149" t="s">
        <v>6990</v>
      </c>
      <c r="K611" s="149" t="s">
        <v>6991</v>
      </c>
      <c r="L611" s="149" t="s">
        <v>6992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6990</v>
      </c>
      <c r="AC611" s="149" t="s">
        <v>6991</v>
      </c>
      <c r="AD611" s="149" t="s">
        <v>6992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6993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 t="shared" ref="BC611:BC642" si="69">IF(AY611-KD611=0,"",AY611-O611)</f>
        <v>94</v>
      </c>
      <c r="BD611" s="103" t="str">
        <f t="shared" ref="BD611:BD642" si="70">IF(AND(AI611&lt;&gt;"SIM",AI611="UH"),"AA","INDENIZAÇÃO")</f>
        <v>INDENIZAÇÃO</v>
      </c>
      <c r="BE611" s="103" t="str">
        <f t="shared" ref="BE611:BE642" si="71"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98" t="s">
        <v>4330</v>
      </c>
      <c r="H612" s="103" t="s">
        <v>4331</v>
      </c>
      <c r="I612" s="246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6998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 t="shared" si="69"/>
        <v>47</v>
      </c>
      <c r="BD612" s="103" t="str">
        <f t="shared" si="70"/>
        <v>INDENIZAÇÃO</v>
      </c>
      <c r="BE612" s="103" t="str">
        <f t="shared" si="71"/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6999</v>
      </c>
      <c r="G613" s="112" t="s">
        <v>4341</v>
      </c>
      <c r="H613" s="103" t="s">
        <v>6491</v>
      </c>
      <c r="I613" s="153" t="s">
        <v>4332</v>
      </c>
      <c r="J613" s="149" t="s">
        <v>7000</v>
      </c>
      <c r="K613" s="149" t="s">
        <v>7001</v>
      </c>
      <c r="L613" s="149" t="s">
        <v>7002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7000</v>
      </c>
      <c r="AC613" s="149" t="s">
        <v>7001</v>
      </c>
      <c r="AD613" s="149" t="s">
        <v>7002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7003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 t="shared" si="69"/>
        <v>106</v>
      </c>
      <c r="BD613" s="103" t="str">
        <f t="shared" si="70"/>
        <v>INDENIZAÇÃO</v>
      </c>
      <c r="BE613" s="103" t="str">
        <f t="shared" si="71"/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hidden="1" customHeight="1" x14ac:dyDescent="0.25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7004</v>
      </c>
      <c r="G614" s="98" t="s">
        <v>4330</v>
      </c>
      <c r="H614" s="103" t="s">
        <v>4331</v>
      </c>
      <c r="I614" s="246" t="s">
        <v>4343</v>
      </c>
      <c r="J614" s="149" t="s">
        <v>7005</v>
      </c>
      <c r="K614" s="149" t="s">
        <v>7006</v>
      </c>
      <c r="L614" s="149" t="s">
        <v>7007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7005</v>
      </c>
      <c r="AC614" s="149" t="s">
        <v>7006</v>
      </c>
      <c r="AD614" s="149" t="s">
        <v>7007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7008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 t="shared" si="69"/>
        <v>75</v>
      </c>
      <c r="BD614" s="103" t="str">
        <f t="shared" si="70"/>
        <v>INDENIZAÇÃO</v>
      </c>
      <c r="BE614" s="103" t="str">
        <f t="shared" si="71"/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hidden="1" customHeight="1" x14ac:dyDescent="0.25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7009</v>
      </c>
      <c r="G615" s="103" t="s">
        <v>4330</v>
      </c>
      <c r="H615" s="103" t="s">
        <v>4331</v>
      </c>
      <c r="I615" s="142" t="s">
        <v>4343</v>
      </c>
      <c r="J615" s="149" t="s">
        <v>7010</v>
      </c>
      <c r="K615" s="149" t="s">
        <v>7011</v>
      </c>
      <c r="L615" s="149" t="s">
        <v>7012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7010</v>
      </c>
      <c r="AC615" s="149" t="s">
        <v>7011</v>
      </c>
      <c r="AD615" s="149" t="s">
        <v>7012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 t="shared" si="69"/>
        <v/>
      </c>
      <c r="BD615" s="103" t="str">
        <f t="shared" si="70"/>
        <v>AA</v>
      </c>
      <c r="BE615" s="103" t="str">
        <f t="shared" si="71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hidden="1" customHeight="1" x14ac:dyDescent="0.25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7013</v>
      </c>
      <c r="G616" s="103" t="s">
        <v>4330</v>
      </c>
      <c r="H616" s="103" t="s">
        <v>4331</v>
      </c>
      <c r="I616" s="142" t="s">
        <v>7014</v>
      </c>
      <c r="J616" s="149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69"/>
        <v/>
      </c>
      <c r="BD616" s="103" t="str">
        <f t="shared" si="70"/>
        <v>AA</v>
      </c>
      <c r="BE616" s="103" t="str">
        <f t="shared" si="71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4330</v>
      </c>
      <c r="H617" s="103" t="s">
        <v>4331</v>
      </c>
      <c r="I617" s="142" t="s">
        <v>4343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7019</v>
      </c>
      <c r="AC617" s="149" t="s">
        <v>7020</v>
      </c>
      <c r="AD617" s="149" t="s">
        <v>7021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69"/>
        <v/>
      </c>
      <c r="BD617" s="103" t="str">
        <f t="shared" si="70"/>
        <v>AA</v>
      </c>
      <c r="BE617" s="103" t="str">
        <f t="shared" si="71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142" t="s">
        <v>7014</v>
      </c>
      <c r="J618" s="149" t="s">
        <v>7023</v>
      </c>
      <c r="K618" s="149" t="s">
        <v>7024</v>
      </c>
      <c r="L618" s="149" t="s">
        <v>7025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7023</v>
      </c>
      <c r="AC618" s="149" t="s">
        <v>7024</v>
      </c>
      <c r="AD618" s="149" t="s">
        <v>7025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 t="shared" si="69"/>
        <v/>
      </c>
      <c r="BD618" s="103" t="str">
        <f t="shared" si="70"/>
        <v>AA</v>
      </c>
      <c r="BE618" s="103" t="str">
        <f t="shared" si="71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7026</v>
      </c>
      <c r="G619" s="103" t="s">
        <v>4330</v>
      </c>
      <c r="H619" s="103" t="s">
        <v>4331</v>
      </c>
      <c r="I619" s="142" t="s">
        <v>4343</v>
      </c>
      <c r="J619" s="149" t="s">
        <v>7027</v>
      </c>
      <c r="K619" s="149" t="s">
        <v>7028</v>
      </c>
      <c r="L619" s="149" t="s">
        <v>7029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7027</v>
      </c>
      <c r="AC619" s="204" t="s">
        <v>7028</v>
      </c>
      <c r="AD619" s="204" t="s">
        <v>7029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7030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 t="shared" si="69"/>
        <v>44</v>
      </c>
      <c r="BD619" s="103" t="str">
        <f t="shared" si="70"/>
        <v>INDENIZAÇÃO</v>
      </c>
      <c r="BE619" s="103" t="str">
        <f t="shared" si="71"/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hidden="1" customHeight="1" x14ac:dyDescent="0.25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142" t="s">
        <v>4343</v>
      </c>
      <c r="J620" s="149" t="s">
        <v>7032</v>
      </c>
      <c r="K620" s="149" t="s">
        <v>7033</v>
      </c>
      <c r="L620" s="149" t="s">
        <v>7034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7032</v>
      </c>
      <c r="AC620" s="149" t="s">
        <v>7033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 t="shared" si="69"/>
        <v/>
      </c>
      <c r="BD620" s="103" t="str">
        <f t="shared" si="70"/>
        <v>AA</v>
      </c>
      <c r="BE620" s="103" t="str">
        <f t="shared" si="71"/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hidden="1" customHeight="1" x14ac:dyDescent="0.25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14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 t="shared" si="69"/>
        <v/>
      </c>
      <c r="BD621" s="103" t="str">
        <f t="shared" si="70"/>
        <v>AA</v>
      </c>
      <c r="BE621" s="103" t="str">
        <f t="shared" si="71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4351</v>
      </c>
      <c r="H622" s="103" t="s">
        <v>4351</v>
      </c>
      <c r="I622" s="153" t="s">
        <v>4332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 t="shared" si="69"/>
        <v/>
      </c>
      <c r="BD622" s="103" t="str">
        <f t="shared" si="70"/>
        <v>INDENIZAÇÃO</v>
      </c>
      <c r="BE622" s="103" t="str">
        <f t="shared" si="71"/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hidden="1" customHeight="1" x14ac:dyDescent="0.25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4331</v>
      </c>
      <c r="I623" s="246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69"/>
        <v/>
      </c>
      <c r="BD623" s="103" t="str">
        <f t="shared" si="70"/>
        <v>AA</v>
      </c>
      <c r="BE623" s="103" t="str">
        <f t="shared" si="71"/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hidden="1" customHeight="1" x14ac:dyDescent="0.25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49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 t="shared" si="69"/>
        <v/>
      </c>
      <c r="BD624" s="103" t="str">
        <f t="shared" si="70"/>
        <v>AA</v>
      </c>
      <c r="BE624" s="103" t="str">
        <f t="shared" si="71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hidden="1" customHeight="1" x14ac:dyDescent="0.25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49" t="s">
        <v>7051</v>
      </c>
      <c r="K625" s="149" t="s">
        <v>7052</v>
      </c>
      <c r="L625" s="149" t="s">
        <v>7053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7051</v>
      </c>
      <c r="AC625" s="204" t="s">
        <v>7052</v>
      </c>
      <c r="AD625" s="204" t="s">
        <v>7053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7054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 t="shared" si="69"/>
        <v>41</v>
      </c>
      <c r="BD625" s="103" t="str">
        <f t="shared" si="70"/>
        <v>INDENIZAÇÃO</v>
      </c>
      <c r="BE625" s="103" t="str">
        <f t="shared" si="71"/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hidden="1" customHeight="1" x14ac:dyDescent="0.25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4352</v>
      </c>
      <c r="I626" s="142" t="s">
        <v>4343</v>
      </c>
      <c r="J626" s="149" t="s">
        <v>7056</v>
      </c>
      <c r="K626" s="149" t="s">
        <v>4457</v>
      </c>
      <c r="L626" s="149" t="s">
        <v>7057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7056</v>
      </c>
      <c r="AC626" s="149" t="s">
        <v>4457</v>
      </c>
      <c r="AD626" s="149" t="s">
        <v>7057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 t="shared" si="69"/>
        <v/>
      </c>
      <c r="BD626" s="103" t="str">
        <f t="shared" si="70"/>
        <v>AA</v>
      </c>
      <c r="BE626" s="103" t="str">
        <f t="shared" si="71"/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hidden="1" customHeight="1" x14ac:dyDescent="0.25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7058</v>
      </c>
      <c r="G627" s="103" t="s">
        <v>4330</v>
      </c>
      <c r="H627" s="103" t="s">
        <v>4331</v>
      </c>
      <c r="I627" s="142" t="s">
        <v>4343</v>
      </c>
      <c r="J627" s="149" t="s">
        <v>7059</v>
      </c>
      <c r="K627" s="149" t="s">
        <v>7060</v>
      </c>
      <c r="L627" s="149" t="s">
        <v>7061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7059</v>
      </c>
      <c r="AC627" s="149" t="s">
        <v>7060</v>
      </c>
      <c r="AD627" s="149" t="s">
        <v>7061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7062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 t="shared" si="69"/>
        <v>44</v>
      </c>
      <c r="BD627" s="103" t="str">
        <f t="shared" si="70"/>
        <v>INDENIZAÇÃO</v>
      </c>
      <c r="BE627" s="103" t="str">
        <f t="shared" si="71"/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hidden="1" customHeight="1" x14ac:dyDescent="0.25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4343</v>
      </c>
      <c r="J628" s="149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7064</v>
      </c>
      <c r="AC628" s="149" t="s">
        <v>7065</v>
      </c>
      <c r="AD628" s="149" t="s">
        <v>7066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 t="shared" si="69"/>
        <v/>
      </c>
      <c r="BD628" s="103" t="str">
        <f t="shared" si="70"/>
        <v>AA</v>
      </c>
      <c r="BE628" s="103" t="str">
        <f t="shared" si="71"/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hidden="1" customHeight="1" x14ac:dyDescent="0.25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7067</v>
      </c>
      <c r="G629" s="103" t="s">
        <v>4330</v>
      </c>
      <c r="H629" s="103" t="s">
        <v>4331</v>
      </c>
      <c r="I629" s="142" t="s">
        <v>4343</v>
      </c>
      <c r="J629" s="114" t="s">
        <v>7068</v>
      </c>
      <c r="K629" s="149" t="s">
        <v>7069</v>
      </c>
      <c r="L629" s="149" t="s">
        <v>7070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7068</v>
      </c>
      <c r="AC629" s="149" t="s">
        <v>7069</v>
      </c>
      <c r="AD629" s="149" t="s">
        <v>7070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 t="shared" si="69"/>
        <v/>
      </c>
      <c r="BD629" s="103" t="str">
        <f t="shared" si="70"/>
        <v>AA</v>
      </c>
      <c r="BE629" s="103" t="str">
        <f t="shared" si="71"/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hidden="1" customHeight="1" x14ac:dyDescent="0.25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7071</v>
      </c>
      <c r="G630" s="103" t="s">
        <v>4330</v>
      </c>
      <c r="H630" s="103" t="s">
        <v>4331</v>
      </c>
      <c r="I630" s="142" t="s">
        <v>4343</v>
      </c>
      <c r="J630" s="114" t="s">
        <v>7072</v>
      </c>
      <c r="K630" s="149" t="s">
        <v>4457</v>
      </c>
      <c r="L630" s="149" t="s">
        <v>7073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7072</v>
      </c>
      <c r="AC630" s="149" t="s">
        <v>4457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 t="shared" si="69"/>
        <v/>
      </c>
      <c r="BD630" s="103" t="str">
        <f t="shared" si="70"/>
        <v>AA</v>
      </c>
      <c r="BE630" s="103" t="str">
        <f t="shared" si="71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hidden="1" customHeight="1" x14ac:dyDescent="0.25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4440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7078</v>
      </c>
      <c r="AC631" s="149" t="s">
        <v>4432</v>
      </c>
      <c r="AD631" s="149" t="s">
        <v>7079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7080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 t="shared" si="69"/>
        <v>44</v>
      </c>
      <c r="BD631" s="103" t="str">
        <f t="shared" si="70"/>
        <v>INDENIZAÇÃO</v>
      </c>
      <c r="BE631" s="103" t="str">
        <f t="shared" si="71"/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hidden="1" customHeight="1" x14ac:dyDescent="0.25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7082</v>
      </c>
      <c r="AC632" s="149" t="s">
        <v>7083</v>
      </c>
      <c r="AD632" s="149" t="s">
        <v>7084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69"/>
        <v/>
      </c>
      <c r="BD632" s="103" t="str">
        <f t="shared" si="70"/>
        <v>AA</v>
      </c>
      <c r="BE632" s="103" t="str">
        <f t="shared" si="71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hidden="1" customHeight="1" x14ac:dyDescent="0.25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7087</v>
      </c>
      <c r="L633" s="149" t="s">
        <v>7088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7086</v>
      </c>
      <c r="AC633" s="149" t="s">
        <v>7087</v>
      </c>
      <c r="AD633" s="149" t="s">
        <v>7088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 t="shared" si="69"/>
        <v/>
      </c>
      <c r="BD633" s="103" t="str">
        <f t="shared" si="70"/>
        <v>AA</v>
      </c>
      <c r="BE633" s="103" t="str">
        <f t="shared" si="71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hidden="1" customHeight="1" x14ac:dyDescent="0.25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7090</v>
      </c>
      <c r="AC634" s="204" t="s">
        <v>7091</v>
      </c>
      <c r="AD634" s="204" t="s">
        <v>7092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7093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 t="shared" si="69"/>
        <v>37</v>
      </c>
      <c r="BD634" s="103" t="str">
        <f t="shared" si="70"/>
        <v>INDENIZAÇÃO</v>
      </c>
      <c r="BE634" s="103" t="str">
        <f t="shared" si="71"/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hidden="1" customHeight="1" x14ac:dyDescent="0.25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7094</v>
      </c>
      <c r="G635" s="103" t="s">
        <v>4330</v>
      </c>
      <c r="H635" s="103" t="s">
        <v>4331</v>
      </c>
      <c r="I635" s="142" t="s">
        <v>4343</v>
      </c>
      <c r="J635" s="149" t="s">
        <v>7095</v>
      </c>
      <c r="K635" s="149" t="s">
        <v>7096</v>
      </c>
      <c r="L635" s="149" t="s">
        <v>7097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7095</v>
      </c>
      <c r="AC635" s="149" t="s">
        <v>7096</v>
      </c>
      <c r="AD635" s="149" t="s">
        <v>7097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 t="shared" si="69"/>
        <v/>
      </c>
      <c r="BD635" s="103" t="str">
        <f t="shared" si="70"/>
        <v>AA</v>
      </c>
      <c r="BE635" s="103" t="str">
        <f t="shared" si="71"/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hidden="1" customHeight="1" x14ac:dyDescent="0.25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14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7099</v>
      </c>
      <c r="AC636" s="204" t="s">
        <v>7100</v>
      </c>
      <c r="AD636" s="204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 t="shared" si="69"/>
        <v/>
      </c>
      <c r="BD636" s="103" t="str">
        <f t="shared" si="70"/>
        <v>AA</v>
      </c>
      <c r="BE636" s="103" t="str">
        <f t="shared" si="71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hidden="1" customHeight="1" x14ac:dyDescent="0.25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4343</v>
      </c>
      <c r="J637" s="149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7103</v>
      </c>
      <c r="AC637" s="149" t="s">
        <v>7104</v>
      </c>
      <c r="AD637" s="149" t="s">
        <v>7105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 t="shared" si="69"/>
        <v/>
      </c>
      <c r="BD637" s="103" t="str">
        <f t="shared" si="70"/>
        <v>AA</v>
      </c>
      <c r="BE637" s="103" t="str">
        <f t="shared" si="71"/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hidden="1" customHeight="1" x14ac:dyDescent="0.25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7106</v>
      </c>
      <c r="G638" s="103" t="s">
        <v>4330</v>
      </c>
      <c r="H638" s="103" t="s">
        <v>4331</v>
      </c>
      <c r="I638" s="142" t="s">
        <v>4343</v>
      </c>
      <c r="J638" s="149" t="s">
        <v>7107</v>
      </c>
      <c r="K638" s="149" t="s">
        <v>4457</v>
      </c>
      <c r="L638" s="149" t="s">
        <v>7108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7107</v>
      </c>
      <c r="AC638" s="149" t="s">
        <v>4457</v>
      </c>
      <c r="AD638" s="149" t="s">
        <v>7108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7109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 t="shared" si="69"/>
        <v>50</v>
      </c>
      <c r="BD638" s="103" t="str">
        <f t="shared" si="70"/>
        <v>INDENIZAÇÃO</v>
      </c>
      <c r="BE638" s="103" t="str">
        <f t="shared" si="71"/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hidden="1" customHeight="1" x14ac:dyDescent="0.25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7110</v>
      </c>
      <c r="G639" s="103" t="s">
        <v>4330</v>
      </c>
      <c r="H639" s="103" t="s">
        <v>4331</v>
      </c>
      <c r="I639" s="142" t="s">
        <v>4343</v>
      </c>
      <c r="J639" s="149" t="s">
        <v>7111</v>
      </c>
      <c r="K639" s="149" t="s">
        <v>7112</v>
      </c>
      <c r="L639" s="149" t="s">
        <v>7113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7111</v>
      </c>
      <c r="AC639" s="149" t="s">
        <v>7112</v>
      </c>
      <c r="AD639" s="149" t="s">
        <v>7113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 t="shared" si="69"/>
        <v/>
      </c>
      <c r="BD639" s="103" t="str">
        <f t="shared" si="70"/>
        <v>AA</v>
      </c>
      <c r="BE639" s="103" t="str">
        <f t="shared" si="71"/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hidden="1" customHeight="1" x14ac:dyDescent="0.25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7114</v>
      </c>
      <c r="G640" s="103" t="s">
        <v>4330</v>
      </c>
      <c r="H640" s="103" t="s">
        <v>4331</v>
      </c>
      <c r="I640" s="142" t="s">
        <v>4343</v>
      </c>
      <c r="J640" s="149" t="s">
        <v>7115</v>
      </c>
      <c r="K640" s="149" t="s">
        <v>7116</v>
      </c>
      <c r="L640" s="149" t="s">
        <v>7117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7115</v>
      </c>
      <c r="AC640" s="204" t="s">
        <v>7116</v>
      </c>
      <c r="AD640" s="204" t="s">
        <v>7117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7118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 t="shared" si="69"/>
        <v>69</v>
      </c>
      <c r="BD640" s="103" t="str">
        <f t="shared" si="70"/>
        <v>INDENIZAÇÃO</v>
      </c>
      <c r="BE640" s="103" t="str">
        <f t="shared" si="71"/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hidden="1" customHeight="1" x14ac:dyDescent="0.25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7119</v>
      </c>
      <c r="G641" s="103" t="s">
        <v>4330</v>
      </c>
      <c r="H641" s="103" t="s">
        <v>4331</v>
      </c>
      <c r="I641" s="142" t="s">
        <v>4343</v>
      </c>
      <c r="J641" s="149" t="s">
        <v>7120</v>
      </c>
      <c r="K641" s="149" t="s">
        <v>7121</v>
      </c>
      <c r="L641" s="149" t="s">
        <v>7122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7120</v>
      </c>
      <c r="AC641" s="149" t="s">
        <v>7121</v>
      </c>
      <c r="AD641" s="149" t="s">
        <v>7122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 t="shared" si="69"/>
        <v/>
      </c>
      <c r="BD641" s="103" t="str">
        <f t="shared" si="70"/>
        <v>AA</v>
      </c>
      <c r="BE641" s="103" t="str">
        <f t="shared" si="71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hidden="1" customHeight="1" x14ac:dyDescent="0.25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7123</v>
      </c>
      <c r="G642" s="103" t="s">
        <v>4330</v>
      </c>
      <c r="H642" s="103" t="s">
        <v>4331</v>
      </c>
      <c r="I642" s="142" t="s">
        <v>4440</v>
      </c>
      <c r="J642" s="114" t="s">
        <v>7124</v>
      </c>
      <c r="K642" s="149" t="s">
        <v>7125</v>
      </c>
      <c r="L642" s="149" t="s">
        <v>7126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7127</v>
      </c>
      <c r="AC642" s="204" t="s">
        <v>7128</v>
      </c>
      <c r="AD642" s="204" t="s">
        <v>7129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 t="shared" si="69"/>
        <v>130</v>
      </c>
      <c r="BD642" s="103" t="str">
        <f t="shared" si="70"/>
        <v>INDENIZAÇÃO</v>
      </c>
      <c r="BE642" s="103" t="str">
        <f t="shared" si="71"/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hidden="1" customHeight="1" x14ac:dyDescent="0.25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7131</v>
      </c>
      <c r="G643" s="103" t="s">
        <v>4330</v>
      </c>
      <c r="H643" s="103" t="s">
        <v>4331</v>
      </c>
      <c r="I643" s="142" t="s">
        <v>4343</v>
      </c>
      <c r="J643" s="114" t="s">
        <v>7132</v>
      </c>
      <c r="K643" s="149" t="s">
        <v>7133</v>
      </c>
      <c r="L643" s="149" t="s">
        <v>7134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7132</v>
      </c>
      <c r="AC643" s="149" t="s">
        <v>7133</v>
      </c>
      <c r="AD643" s="149" t="s">
        <v>7134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7135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 t="shared" ref="BC643:BC674" si="72">IF(AY643-KD643=0,"",AY643-O643)</f>
        <v>44</v>
      </c>
      <c r="BD643" s="103" t="str">
        <f t="shared" ref="BD643:BD674" si="73">IF(AND(AI643&lt;&gt;"SIM",AI643="UH"),"AA","INDENIZAÇÃO")</f>
        <v>INDENIZAÇÃO</v>
      </c>
      <c r="BE643" s="103" t="str">
        <f t="shared" ref="BE643:BE674" si="74"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hidden="1" customHeight="1" x14ac:dyDescent="0.25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7136</v>
      </c>
      <c r="G644" s="103" t="s">
        <v>4330</v>
      </c>
      <c r="H644" s="103" t="s">
        <v>4331</v>
      </c>
      <c r="I644" s="142" t="s">
        <v>4343</v>
      </c>
      <c r="J644" s="149" t="s">
        <v>7137</v>
      </c>
      <c r="K644" s="149" t="s">
        <v>7138</v>
      </c>
      <c r="L644" s="149" t="s">
        <v>7139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7137</v>
      </c>
      <c r="AC644" s="149" t="s">
        <v>7138</v>
      </c>
      <c r="AD644" s="149" t="s">
        <v>7139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7140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 t="shared" si="72"/>
        <v>104</v>
      </c>
      <c r="BD644" s="103" t="str">
        <f t="shared" si="73"/>
        <v>INDENIZAÇÃO</v>
      </c>
      <c r="BE644" s="103" t="str">
        <f t="shared" si="74"/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hidden="1" customHeight="1" x14ac:dyDescent="0.25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7142</v>
      </c>
      <c r="AC645" s="149" t="s">
        <v>7143</v>
      </c>
      <c r="AD645" s="149" t="s">
        <v>7144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7145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 t="shared" si="72"/>
        <v>40</v>
      </c>
      <c r="BD645" s="103" t="str">
        <f t="shared" si="73"/>
        <v>INDENIZAÇÃO</v>
      </c>
      <c r="BE645" s="103" t="str">
        <f t="shared" si="74"/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hidden="1" customHeight="1" x14ac:dyDescent="0.25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2"/>
        <v/>
      </c>
      <c r="BD646" s="103" t="str">
        <f t="shared" si="73"/>
        <v>AA</v>
      </c>
      <c r="BE646" s="103" t="str">
        <f t="shared" si="74"/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hidden="1" customHeight="1" x14ac:dyDescent="0.25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 t="shared" si="72"/>
        <v/>
      </c>
      <c r="BD647" s="103" t="str">
        <f t="shared" si="73"/>
        <v>AA</v>
      </c>
      <c r="BE647" s="103" t="str">
        <f t="shared" si="74"/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hidden="1" customHeight="1" x14ac:dyDescent="0.25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2"/>
        <v/>
      </c>
      <c r="BD648" s="103" t="str">
        <f t="shared" si="73"/>
        <v>AA</v>
      </c>
      <c r="BE648" s="103" t="str">
        <f t="shared" si="7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hidden="1" customHeight="1" x14ac:dyDescent="0.25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 t="shared" si="72"/>
        <v/>
      </c>
      <c r="BD649" s="103" t="str">
        <f t="shared" si="73"/>
        <v>AA</v>
      </c>
      <c r="BE649" s="103" t="str">
        <f t="shared" si="7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hidden="1" customHeight="1" x14ac:dyDescent="0.25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4343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2"/>
        <v/>
      </c>
      <c r="BD650" s="103" t="str">
        <f t="shared" si="73"/>
        <v>AA</v>
      </c>
      <c r="BE650" s="103" t="str">
        <f t="shared" si="7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hidden="1" customHeight="1" x14ac:dyDescent="0.25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4343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7167</v>
      </c>
      <c r="AC651" s="149" t="s">
        <v>7168</v>
      </c>
      <c r="AD651" s="149" t="s">
        <v>7169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 t="shared" si="72"/>
        <v/>
      </c>
      <c r="BD651" s="103" t="str">
        <f t="shared" si="73"/>
        <v>AA</v>
      </c>
      <c r="BE651" s="103" t="str">
        <f t="shared" si="74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hidden="1" customHeight="1" x14ac:dyDescent="0.25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7170</v>
      </c>
      <c r="G652" s="112" t="s">
        <v>4341</v>
      </c>
      <c r="H652" s="103" t="s">
        <v>4351</v>
      </c>
      <c r="I652" s="153" t="s">
        <v>4332</v>
      </c>
      <c r="J652" s="149" t="s">
        <v>7171</v>
      </c>
      <c r="K652" s="149" t="s">
        <v>7172</v>
      </c>
      <c r="L652" s="149" t="s">
        <v>7173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7171</v>
      </c>
      <c r="AC652" s="149" t="s">
        <v>7172</v>
      </c>
      <c r="AD652" s="149" t="s">
        <v>7173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7174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72"/>
        <v>51</v>
      </c>
      <c r="BD652" s="103" t="str">
        <f t="shared" si="73"/>
        <v>INDENIZAÇÃO</v>
      </c>
      <c r="BE652" s="103" t="str">
        <f t="shared" si="74"/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hidden="1" customHeight="1" x14ac:dyDescent="0.25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7175</v>
      </c>
      <c r="G653" s="98" t="s">
        <v>4330</v>
      </c>
      <c r="H653" s="103" t="s">
        <v>4331</v>
      </c>
      <c r="I653" s="246" t="s">
        <v>4343</v>
      </c>
      <c r="J653" s="149" t="s">
        <v>7176</v>
      </c>
      <c r="K653" s="149" t="s">
        <v>7177</v>
      </c>
      <c r="L653" s="149" t="s">
        <v>7178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7176</v>
      </c>
      <c r="AC653" s="149" t="s">
        <v>7177</v>
      </c>
      <c r="AD653" s="149" t="s">
        <v>7178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72"/>
        <v/>
      </c>
      <c r="BD653" s="103" t="str">
        <f t="shared" si="73"/>
        <v>AA</v>
      </c>
      <c r="BE653" s="103" t="str">
        <f t="shared" si="7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hidden="1" customHeight="1" x14ac:dyDescent="0.25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7179</v>
      </c>
      <c r="G654" s="103" t="s">
        <v>4330</v>
      </c>
      <c r="H654" s="103" t="s">
        <v>4331</v>
      </c>
      <c r="I654" s="142" t="s">
        <v>4343</v>
      </c>
      <c r="J654" s="149" t="s">
        <v>7180</v>
      </c>
      <c r="K654" s="149" t="s">
        <v>7181</v>
      </c>
      <c r="L654" s="149" t="s">
        <v>7182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7180</v>
      </c>
      <c r="AC654" s="149" t="s">
        <v>7181</v>
      </c>
      <c r="AD654" s="149" t="s">
        <v>7182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 t="shared" si="72"/>
        <v/>
      </c>
      <c r="BD654" s="103" t="str">
        <f t="shared" si="73"/>
        <v>AA</v>
      </c>
      <c r="BE654" s="103" t="str">
        <f t="shared" si="74"/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hidden="1" customHeight="1" x14ac:dyDescent="0.25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7183</v>
      </c>
      <c r="G655" s="103" t="s">
        <v>4330</v>
      </c>
      <c r="H655" s="103" t="s">
        <v>4331</v>
      </c>
      <c r="I655" s="142" t="s">
        <v>7014</v>
      </c>
      <c r="J655" s="149" t="s">
        <v>7184</v>
      </c>
      <c r="K655" s="149" t="s">
        <v>7185</v>
      </c>
      <c r="L655" s="149" t="s">
        <v>7186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7184</v>
      </c>
      <c r="AC655" s="149" t="s">
        <v>7185</v>
      </c>
      <c r="AD655" s="149" t="s">
        <v>7186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 t="shared" si="72"/>
        <v/>
      </c>
      <c r="BD655" s="103" t="str">
        <f t="shared" si="73"/>
        <v>AA</v>
      </c>
      <c r="BE655" s="103" t="str">
        <f t="shared" si="7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hidden="1" customHeight="1" x14ac:dyDescent="0.25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7187</v>
      </c>
      <c r="G656" s="103" t="s">
        <v>4330</v>
      </c>
      <c r="H656" s="103" t="s">
        <v>4331</v>
      </c>
      <c r="I656" s="142" t="s">
        <v>4440</v>
      </c>
      <c r="J656" s="149" t="s">
        <v>7188</v>
      </c>
      <c r="K656" s="149" t="s">
        <v>7189</v>
      </c>
      <c r="L656" s="149" t="s">
        <v>7190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7191</v>
      </c>
      <c r="AC656" s="149" t="s">
        <v>7192</v>
      </c>
      <c r="AD656" s="149" t="s">
        <v>7193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7194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 t="shared" si="72"/>
        <v>85</v>
      </c>
      <c r="BD656" s="103" t="str">
        <f t="shared" si="73"/>
        <v>INDENIZAÇÃO</v>
      </c>
      <c r="BE656" s="103" t="str">
        <f t="shared" si="74"/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hidden="1" customHeight="1" x14ac:dyDescent="0.25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7195</v>
      </c>
      <c r="G657" s="103" t="s">
        <v>4330</v>
      </c>
      <c r="H657" s="103" t="s">
        <v>4331</v>
      </c>
      <c r="I657" s="142" t="s">
        <v>4343</v>
      </c>
      <c r="J657" s="149" t="s">
        <v>7196</v>
      </c>
      <c r="K657" s="149" t="s">
        <v>7197</v>
      </c>
      <c r="L657" s="149" t="s">
        <v>7198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7196</v>
      </c>
      <c r="AC657" s="149" t="s">
        <v>7197</v>
      </c>
      <c r="AD657" s="149" t="s">
        <v>7198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7199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 t="shared" si="72"/>
        <v>51</v>
      </c>
      <c r="BD657" s="103" t="str">
        <f t="shared" si="73"/>
        <v>INDENIZAÇÃO</v>
      </c>
      <c r="BE657" s="103" t="str">
        <f t="shared" si="74"/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7200</v>
      </c>
      <c r="G658" s="103" t="s">
        <v>4330</v>
      </c>
      <c r="H658" s="103" t="s">
        <v>4331</v>
      </c>
      <c r="I658" s="142" t="s">
        <v>4343</v>
      </c>
      <c r="J658" s="149" t="s">
        <v>7201</v>
      </c>
      <c r="K658" s="149" t="s">
        <v>7202</v>
      </c>
      <c r="L658" s="149" t="s">
        <v>7203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7201</v>
      </c>
      <c r="AC658" s="149" t="s">
        <v>7202</v>
      </c>
      <c r="AD658" s="149" t="s">
        <v>7203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 t="shared" si="72"/>
        <v/>
      </c>
      <c r="BD658" s="103" t="str">
        <f t="shared" si="73"/>
        <v>AA</v>
      </c>
      <c r="BE658" s="103" t="str">
        <f t="shared" si="7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7204</v>
      </c>
      <c r="G659" s="103" t="s">
        <v>4330</v>
      </c>
      <c r="H659" s="103" t="s">
        <v>4331</v>
      </c>
      <c r="I659" s="142" t="s">
        <v>4440</v>
      </c>
      <c r="J659" s="149" t="s">
        <v>7205</v>
      </c>
      <c r="K659" s="149" t="s">
        <v>6589</v>
      </c>
      <c r="L659" s="149" t="s">
        <v>7206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7207</v>
      </c>
      <c r="AC659" s="149" t="s">
        <v>7208</v>
      </c>
      <c r="AD659" s="149" t="s">
        <v>7209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7210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 t="shared" si="72"/>
        <v>131</v>
      </c>
      <c r="BD659" s="103" t="str">
        <f t="shared" si="73"/>
        <v>INDENIZAÇÃO</v>
      </c>
      <c r="BE659" s="103" t="str">
        <f t="shared" si="74"/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hidden="1" customHeight="1" x14ac:dyDescent="0.25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7211</v>
      </c>
      <c r="G660" s="103" t="s">
        <v>4330</v>
      </c>
      <c r="H660" s="103" t="s">
        <v>4331</v>
      </c>
      <c r="I660" s="142" t="s">
        <v>4343</v>
      </c>
      <c r="J660" s="149" t="s">
        <v>7212</v>
      </c>
      <c r="K660" s="149" t="s">
        <v>7213</v>
      </c>
      <c r="L660" s="149" t="s">
        <v>7214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7212</v>
      </c>
      <c r="AC660" s="149" t="s">
        <v>7213</v>
      </c>
      <c r="AD660" s="149" t="s">
        <v>7214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 t="shared" si="72"/>
        <v/>
      </c>
      <c r="BD660" s="103" t="str">
        <f t="shared" si="73"/>
        <v>INDENIZAÇÃO</v>
      </c>
      <c r="BE660" s="103" t="str">
        <f t="shared" si="74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4343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7216</v>
      </c>
      <c r="AC661" s="149" t="s">
        <v>7217</v>
      </c>
      <c r="AD661" s="149" t="s">
        <v>7218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 t="shared" si="72"/>
        <v>137</v>
      </c>
      <c r="BD661" s="103" t="str">
        <f t="shared" si="73"/>
        <v>INDENIZAÇÃO</v>
      </c>
      <c r="BE661" s="103" t="str">
        <f t="shared" si="74"/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hidden="1" customHeight="1" x14ac:dyDescent="0.25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7224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 t="shared" si="72"/>
        <v>47</v>
      </c>
      <c r="BD662" s="103" t="str">
        <f t="shared" si="73"/>
        <v>INDENIZAÇÃO</v>
      </c>
      <c r="BE662" s="103" t="str">
        <f t="shared" si="74"/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hidden="1" customHeight="1" x14ac:dyDescent="0.25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4343</v>
      </c>
      <c r="J663" s="114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7226</v>
      </c>
      <c r="AC663" s="149" t="s">
        <v>7227</v>
      </c>
      <c r="AD663" s="149" t="s">
        <v>7228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 t="shared" si="72"/>
        <v/>
      </c>
      <c r="BD663" s="103" t="str">
        <f t="shared" si="73"/>
        <v>AA</v>
      </c>
      <c r="BE663" s="103" t="str">
        <f t="shared" si="7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7229</v>
      </c>
      <c r="G664" s="103" t="s">
        <v>4330</v>
      </c>
      <c r="H664" s="103" t="s">
        <v>4331</v>
      </c>
      <c r="I664" s="142" t="s">
        <v>4343</v>
      </c>
      <c r="J664" s="114" t="s">
        <v>7230</v>
      </c>
      <c r="K664" s="149" t="s">
        <v>7231</v>
      </c>
      <c r="L664" s="149" t="s">
        <v>7232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7230</v>
      </c>
      <c r="AC664" s="149" t="s">
        <v>7231</v>
      </c>
      <c r="AD664" s="149" t="s">
        <v>7232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 t="shared" si="72"/>
        <v/>
      </c>
      <c r="BD664" s="103" t="str">
        <f t="shared" si="73"/>
        <v>AA</v>
      </c>
      <c r="BE664" s="103" t="str">
        <f t="shared" si="7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4457</v>
      </c>
      <c r="L665" s="149" t="s">
        <v>7235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7234</v>
      </c>
      <c r="AC665" s="149" t="s">
        <v>4457</v>
      </c>
      <c r="AD665" s="149" t="s">
        <v>7235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 t="shared" si="72"/>
        <v/>
      </c>
      <c r="BD665" s="103" t="str">
        <f t="shared" si="73"/>
        <v>INDENIZAÇÃO</v>
      </c>
      <c r="BE665" s="103" t="str">
        <f t="shared" si="74"/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hidden="1" customHeight="1" x14ac:dyDescent="0.25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7236</v>
      </c>
      <c r="G666" s="103" t="s">
        <v>4330</v>
      </c>
      <c r="H666" s="103" t="s">
        <v>4331</v>
      </c>
      <c r="I666" s="142" t="s">
        <v>4440</v>
      </c>
      <c r="J666" s="149" t="s">
        <v>7237</v>
      </c>
      <c r="K666" s="149" t="s">
        <v>7238</v>
      </c>
      <c r="L666" s="149" t="s">
        <v>7239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7240</v>
      </c>
      <c r="AC666" s="149" t="s">
        <v>7241</v>
      </c>
      <c r="AD666" s="149" t="s">
        <v>7242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7243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 t="shared" si="72"/>
        <v>89</v>
      </c>
      <c r="BD666" s="103" t="str">
        <f t="shared" si="73"/>
        <v>INDENIZAÇÃO</v>
      </c>
      <c r="BE666" s="103" t="str">
        <f t="shared" si="74"/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hidden="1" customHeight="1" x14ac:dyDescent="0.25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7244</v>
      </c>
      <c r="G667" s="103" t="s">
        <v>4330</v>
      </c>
      <c r="H667" s="103" t="s">
        <v>4331</v>
      </c>
      <c r="I667" s="142" t="s">
        <v>4343</v>
      </c>
      <c r="J667" s="149" t="s">
        <v>7245</v>
      </c>
      <c r="K667" s="149" t="s">
        <v>7246</v>
      </c>
      <c r="L667" s="149" t="s">
        <v>7247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7245</v>
      </c>
      <c r="AC667" s="149" t="s">
        <v>7246</v>
      </c>
      <c r="AD667" s="149" t="s">
        <v>7247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72"/>
        <v/>
      </c>
      <c r="BD667" s="103" t="str">
        <f t="shared" si="73"/>
        <v>AA</v>
      </c>
      <c r="BE667" s="103" t="str">
        <f t="shared" si="7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 t="shared" si="72"/>
        <v/>
      </c>
      <c r="BD668" s="103" t="str">
        <f t="shared" si="73"/>
        <v>AA</v>
      </c>
      <c r="BE668" s="103" t="str">
        <f t="shared" si="7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 t="shared" si="72"/>
        <v/>
      </c>
      <c r="BD669" s="103" t="str">
        <f t="shared" si="73"/>
        <v>AA</v>
      </c>
      <c r="BE669" s="103" t="str">
        <f t="shared" si="74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 t="shared" si="72"/>
        <v/>
      </c>
      <c r="BD670" s="103" t="str">
        <f t="shared" si="73"/>
        <v>AA</v>
      </c>
      <c r="BE670" s="103" t="str">
        <f t="shared" si="74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7261</v>
      </c>
      <c r="G671" s="103" t="s">
        <v>4330</v>
      </c>
      <c r="H671" s="103" t="s">
        <v>4331</v>
      </c>
      <c r="I671" s="142" t="s">
        <v>4343</v>
      </c>
      <c r="J671" s="149" t="s">
        <v>7262</v>
      </c>
      <c r="K671" s="149" t="s">
        <v>4457</v>
      </c>
      <c r="L671" s="149" t="s">
        <v>7263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7262</v>
      </c>
      <c r="AC671" s="149" t="s">
        <v>4457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 t="shared" si="72"/>
        <v/>
      </c>
      <c r="BD671" s="103" t="str">
        <f t="shared" si="73"/>
        <v>AA</v>
      </c>
      <c r="BE671" s="103" t="str">
        <f t="shared" si="74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49" t="s">
        <v>7265</v>
      </c>
      <c r="K672" s="149" t="s">
        <v>7266</v>
      </c>
      <c r="L672" s="149" t="s">
        <v>7267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7268</v>
      </c>
      <c r="AB672" s="149" t="s">
        <v>7265</v>
      </c>
      <c r="AC672" s="149" t="s">
        <v>7266</v>
      </c>
      <c r="AD672" s="149" t="s">
        <v>7267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 t="shared" si="72"/>
        <v/>
      </c>
      <c r="BD672" s="103" t="str">
        <f t="shared" si="73"/>
        <v>AA</v>
      </c>
      <c r="BE672" s="103" t="str">
        <f t="shared" si="74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 t="shared" si="72"/>
        <v/>
      </c>
      <c r="BD673" s="103" t="str">
        <f t="shared" si="73"/>
        <v>AA</v>
      </c>
      <c r="BE673" s="103" t="str">
        <f t="shared" si="74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03" t="s">
        <v>4343</v>
      </c>
      <c r="J674" s="149" t="s">
        <v>7274</v>
      </c>
      <c r="K674" s="175" t="s">
        <v>6589</v>
      </c>
      <c r="L674" s="149" t="s">
        <v>7275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7274</v>
      </c>
      <c r="AC674" s="285" t="s">
        <v>6589</v>
      </c>
      <c r="AD674" s="204" t="s">
        <v>7275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7276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 t="shared" si="72"/>
        <v>64</v>
      </c>
      <c r="BD674" s="103" t="str">
        <f t="shared" si="73"/>
        <v>INDENIZAÇÃO</v>
      </c>
      <c r="BE674" s="103" t="str">
        <f t="shared" si="74"/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hidden="1" customHeight="1" x14ac:dyDescent="0.25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49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 t="shared" ref="BC675:BC706" si="75">IF(AY675-KD675=0,"",AY675-O675)</f>
        <v/>
      </c>
      <c r="BD675" s="103" t="str">
        <f t="shared" ref="BD675:BD706" si="76">IF(AND(AI675&lt;&gt;"SIM",AI675="UH"),"AA","INDENIZAÇÃO")</f>
        <v>AA</v>
      </c>
      <c r="BE675" s="103" t="str">
        <f t="shared" ref="BE675:BE706" si="77"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49" t="s">
        <v>7282</v>
      </c>
      <c r="K676" s="149" t="s">
        <v>7283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7282</v>
      </c>
      <c r="AC676" s="149" t="s">
        <v>7283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75"/>
        <v/>
      </c>
      <c r="BD676" s="103" t="str">
        <f t="shared" si="76"/>
        <v>AA</v>
      </c>
      <c r="BE676" s="103" t="str">
        <f t="shared" si="77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75"/>
        <v/>
      </c>
      <c r="BD677" s="103" t="str">
        <f t="shared" si="76"/>
        <v>AA</v>
      </c>
      <c r="BE677" s="103" t="str">
        <f t="shared" si="77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 t="shared" si="75"/>
        <v/>
      </c>
      <c r="BD678" s="103" t="str">
        <f t="shared" si="76"/>
        <v>AA</v>
      </c>
      <c r="BE678" s="103" t="str">
        <f t="shared" si="77"/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hidden="1" customHeight="1" x14ac:dyDescent="0.25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4331</v>
      </c>
      <c r="I679" s="142" t="s">
        <v>4343</v>
      </c>
      <c r="J679" s="150" t="s">
        <v>7294</v>
      </c>
      <c r="K679" s="149" t="s">
        <v>4457</v>
      </c>
      <c r="L679" s="149" t="s">
        <v>7295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7294</v>
      </c>
      <c r="AC679" s="149" t="s">
        <v>4457</v>
      </c>
      <c r="AD679" s="149" t="s">
        <v>7295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 t="shared" si="75"/>
        <v/>
      </c>
      <c r="BD679" s="103" t="str">
        <f t="shared" si="76"/>
        <v>AA</v>
      </c>
      <c r="BE679" s="103" t="str">
        <f t="shared" si="77"/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hidden="1" customHeight="1" x14ac:dyDescent="0.25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7296</v>
      </c>
      <c r="G680" s="103" t="s">
        <v>4330</v>
      </c>
      <c r="H680" s="103" t="s">
        <v>4331</v>
      </c>
      <c r="I680" s="142" t="s">
        <v>4343</v>
      </c>
      <c r="J680" s="150" t="s">
        <v>7297</v>
      </c>
      <c r="K680" s="149" t="s">
        <v>7298</v>
      </c>
      <c r="L680" s="149" t="s">
        <v>7299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7297</v>
      </c>
      <c r="AC680" s="149" t="s">
        <v>7298</v>
      </c>
      <c r="AD680" s="149" t="s">
        <v>7299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75"/>
        <v/>
      </c>
      <c r="BD680" s="103" t="str">
        <f t="shared" si="76"/>
        <v>AA</v>
      </c>
      <c r="BE680" s="103" t="str">
        <f t="shared" si="7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7300</v>
      </c>
      <c r="G681" s="103" t="s">
        <v>4330</v>
      </c>
      <c r="H681" s="103" t="s">
        <v>4331</v>
      </c>
      <c r="I681" s="142" t="s">
        <v>4343</v>
      </c>
      <c r="J681" s="150" t="s">
        <v>7301</v>
      </c>
      <c r="K681" s="149" t="s">
        <v>7302</v>
      </c>
      <c r="L681" s="149" t="s">
        <v>7303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7301</v>
      </c>
      <c r="AC681" s="149" t="s">
        <v>7302</v>
      </c>
      <c r="AD681" s="149" t="s">
        <v>7303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 t="shared" si="75"/>
        <v/>
      </c>
      <c r="BD681" s="103" t="str">
        <f t="shared" si="76"/>
        <v>AA</v>
      </c>
      <c r="BE681" s="103" t="str">
        <f t="shared" si="77"/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hidden="1" customHeight="1" x14ac:dyDescent="0.25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7304</v>
      </c>
      <c r="G682" s="103" t="s">
        <v>4330</v>
      </c>
      <c r="H682" s="103" t="s">
        <v>4352</v>
      </c>
      <c r="I682" s="142" t="s">
        <v>4343</v>
      </c>
      <c r="J682" s="149" t="s">
        <v>7305</v>
      </c>
      <c r="K682" s="149" t="s">
        <v>7306</v>
      </c>
      <c r="L682" s="149" t="s">
        <v>7307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7305</v>
      </c>
      <c r="AC682" s="149" t="s">
        <v>7306</v>
      </c>
      <c r="AD682" s="149" t="s">
        <v>7307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7308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 t="shared" si="75"/>
        <v>61</v>
      </c>
      <c r="BD682" s="103" t="str">
        <f t="shared" si="76"/>
        <v>INDENIZAÇÃO</v>
      </c>
      <c r="BE682" s="103" t="str">
        <f t="shared" si="77"/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hidden="1" customHeight="1" x14ac:dyDescent="0.25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7313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7314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 t="shared" si="75"/>
        <v>37</v>
      </c>
      <c r="BD683" s="103" t="str">
        <f t="shared" si="76"/>
        <v>INDENIZAÇÃO</v>
      </c>
      <c r="BE683" s="103" t="str">
        <f t="shared" si="77"/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hidden="1" customHeight="1" x14ac:dyDescent="0.25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4343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75"/>
        <v/>
      </c>
      <c r="BD684" s="103" t="str">
        <f t="shared" si="76"/>
        <v>AA</v>
      </c>
      <c r="BE684" s="103" t="str">
        <f t="shared" si="77"/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hidden="1" customHeight="1" x14ac:dyDescent="0.25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7313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7313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 t="shared" si="75"/>
        <v/>
      </c>
      <c r="BD685" s="103" t="str">
        <f t="shared" si="76"/>
        <v>AA</v>
      </c>
      <c r="BE685" s="103" t="str">
        <f t="shared" si="7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75"/>
        <v/>
      </c>
      <c r="BD686" s="103" t="str">
        <f t="shared" si="76"/>
        <v>AA</v>
      </c>
      <c r="BE686" s="103" t="str">
        <f t="shared" si="7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7014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75"/>
        <v/>
      </c>
      <c r="BD687" s="103" t="str">
        <f t="shared" si="76"/>
        <v>AA</v>
      </c>
      <c r="BE687" s="103" t="str">
        <f t="shared" si="7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75"/>
        <v/>
      </c>
      <c r="BD688" s="103" t="str">
        <f t="shared" si="76"/>
        <v>AA</v>
      </c>
      <c r="BE688" s="103" t="str">
        <f t="shared" si="7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49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75"/>
        <v/>
      </c>
      <c r="BD689" s="103" t="str">
        <f t="shared" si="76"/>
        <v>AA</v>
      </c>
      <c r="BE689" s="103" t="str">
        <f t="shared" si="7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49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75"/>
        <v/>
      </c>
      <c r="BD690" s="103" t="str">
        <f t="shared" si="76"/>
        <v>AA</v>
      </c>
      <c r="BE690" s="103" t="str">
        <f t="shared" si="7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 t="shared" si="75"/>
        <v/>
      </c>
      <c r="BD691" s="103" t="str">
        <f t="shared" si="76"/>
        <v>AA</v>
      </c>
      <c r="BE691" s="103" t="str">
        <f t="shared" si="7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14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 t="shared" si="75"/>
        <v/>
      </c>
      <c r="BD692" s="103" t="str">
        <f t="shared" si="76"/>
        <v>AA</v>
      </c>
      <c r="BE692" s="103" t="str">
        <f t="shared" si="7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14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 t="shared" si="75"/>
        <v/>
      </c>
      <c r="BD693" s="103" t="str">
        <f t="shared" si="76"/>
        <v>AA</v>
      </c>
      <c r="BE693" s="103" t="str">
        <f t="shared" si="7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 t="shared" si="75"/>
        <v/>
      </c>
      <c r="BD694" s="103" t="str">
        <f t="shared" si="76"/>
        <v>AA</v>
      </c>
      <c r="BE694" s="103" t="str">
        <f t="shared" si="77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 t="shared" si="75"/>
        <v/>
      </c>
      <c r="BD695" s="103" t="str">
        <f t="shared" si="76"/>
        <v>AA</v>
      </c>
      <c r="BE695" s="103" t="str">
        <f t="shared" si="7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7363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 t="shared" si="75"/>
        <v/>
      </c>
      <c r="BD696" s="103" t="str">
        <f t="shared" si="76"/>
        <v>AA</v>
      </c>
      <c r="BE696" s="103" t="str">
        <f t="shared" si="7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7366</v>
      </c>
      <c r="G697" s="103" t="s">
        <v>4330</v>
      </c>
      <c r="H697" s="103" t="s">
        <v>4331</v>
      </c>
      <c r="I697" s="142" t="s">
        <v>4343</v>
      </c>
      <c r="J697" s="149" t="s">
        <v>7367</v>
      </c>
      <c r="K697" s="149" t="s">
        <v>7368</v>
      </c>
      <c r="L697" s="149" t="s">
        <v>7369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7367</v>
      </c>
      <c r="AC697" s="149" t="s">
        <v>7368</v>
      </c>
      <c r="AD697" s="149" t="s">
        <v>7369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75"/>
        <v/>
      </c>
      <c r="BD697" s="103" t="str">
        <f t="shared" si="76"/>
        <v>AA</v>
      </c>
      <c r="BE697" s="103" t="str">
        <f t="shared" si="7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7370</v>
      </c>
      <c r="G698" s="103" t="s">
        <v>4330</v>
      </c>
      <c r="H698" s="103" t="s">
        <v>4331</v>
      </c>
      <c r="I698" s="142" t="s">
        <v>4343</v>
      </c>
      <c r="J698" s="149" t="s">
        <v>7371</v>
      </c>
      <c r="K698" s="149" t="s">
        <v>4457</v>
      </c>
      <c r="L698" s="149" t="s">
        <v>7372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7371</v>
      </c>
      <c r="AC698" s="149" t="s">
        <v>4457</v>
      </c>
      <c r="AD698" s="149" t="s">
        <v>7372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75"/>
        <v/>
      </c>
      <c r="BD698" s="103" t="str">
        <f t="shared" si="76"/>
        <v>AA</v>
      </c>
      <c r="BE698" s="103" t="str">
        <f t="shared" si="77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7373</v>
      </c>
      <c r="G699" s="103" t="s">
        <v>4330</v>
      </c>
      <c r="H699" s="103" t="s">
        <v>4331</v>
      </c>
      <c r="I699" s="142" t="s">
        <v>4343</v>
      </c>
      <c r="J699" s="149" t="s">
        <v>7374</v>
      </c>
      <c r="K699" s="149" t="s">
        <v>7375</v>
      </c>
      <c r="L699" s="149" t="s">
        <v>7376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7377</v>
      </c>
      <c r="AC699" s="149" t="s">
        <v>7375</v>
      </c>
      <c r="AD699" s="149" t="s">
        <v>7376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7378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 t="shared" si="75"/>
        <v>62</v>
      </c>
      <c r="BD699" s="103" t="str">
        <f t="shared" si="76"/>
        <v>INDENIZAÇÃO</v>
      </c>
      <c r="BE699" s="103" t="str">
        <f t="shared" si="77"/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hidden="1" customHeight="1" x14ac:dyDescent="0.25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7381</v>
      </c>
      <c r="L700" s="149" t="s">
        <v>7382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7380</v>
      </c>
      <c r="AC700" s="149" t="s">
        <v>7381</v>
      </c>
      <c r="AD700" s="149" t="s">
        <v>7382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 t="shared" si="75"/>
        <v/>
      </c>
      <c r="BD700" s="103" t="str">
        <f t="shared" si="76"/>
        <v>AA</v>
      </c>
      <c r="BE700" s="103" t="str">
        <f t="shared" si="7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7383</v>
      </c>
      <c r="G701" s="103" t="s">
        <v>4330</v>
      </c>
      <c r="H701" s="103" t="s">
        <v>4331</v>
      </c>
      <c r="I701" s="142" t="s">
        <v>4343</v>
      </c>
      <c r="J701" s="149" t="s">
        <v>7384</v>
      </c>
      <c r="K701" s="149" t="s">
        <v>4457</v>
      </c>
      <c r="L701" s="149" t="s">
        <v>7385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7384</v>
      </c>
      <c r="AC701" s="149" t="s">
        <v>4457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 t="shared" si="75"/>
        <v/>
      </c>
      <c r="BD701" s="103" t="str">
        <f t="shared" si="76"/>
        <v>AA</v>
      </c>
      <c r="BE701" s="103" t="str">
        <f t="shared" si="7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7388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7387</v>
      </c>
      <c r="AC702" s="149" t="s">
        <v>7388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75"/>
        <v/>
      </c>
      <c r="BD702" s="103" t="str">
        <f t="shared" si="76"/>
        <v>AA</v>
      </c>
      <c r="BE702" s="103" t="str">
        <f t="shared" si="7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4457</v>
      </c>
      <c r="L703" s="149" t="s">
        <v>7391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7390</v>
      </c>
      <c r="AC703" s="149" t="s">
        <v>4457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 t="shared" si="75"/>
        <v/>
      </c>
      <c r="BD703" s="103" t="str">
        <f t="shared" si="76"/>
        <v>AA</v>
      </c>
      <c r="BE703" s="103" t="str">
        <f t="shared" si="77"/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hidden="1" customHeight="1" x14ac:dyDescent="0.25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 t="shared" si="75"/>
        <v/>
      </c>
      <c r="BD704" s="103" t="str">
        <f t="shared" si="76"/>
        <v>AA</v>
      </c>
      <c r="BE704" s="103" t="str">
        <f t="shared" si="7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4457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4457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75"/>
        <v/>
      </c>
      <c r="BD705" s="103" t="str">
        <f t="shared" si="76"/>
        <v>AA</v>
      </c>
      <c r="BE705" s="103" t="str">
        <f t="shared" si="7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 t="shared" si="75"/>
        <v/>
      </c>
      <c r="BD706" s="103" t="str">
        <f t="shared" si="76"/>
        <v>AA</v>
      </c>
      <c r="BE706" s="103" t="str">
        <f t="shared" si="7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 t="shared" ref="BC707:BC738" si="78">IF(AY707-KD707=0,"",AY707-O707)</f>
        <v/>
      </c>
      <c r="BD707" s="103" t="str">
        <f t="shared" ref="BD707:BD738" si="79">IF(AND(AI707&lt;&gt;"SIM",AI707="UH"),"AA","INDENIZAÇÃO")</f>
        <v>AA</v>
      </c>
      <c r="BE707" s="103" t="str">
        <f t="shared" ref="BE707:BE738" si="80"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78"/>
        <v/>
      </c>
      <c r="BD708" s="103" t="str">
        <f t="shared" si="79"/>
        <v>AA</v>
      </c>
      <c r="BE708" s="103" t="str">
        <f t="shared" si="80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 t="shared" si="78"/>
        <v/>
      </c>
      <c r="BD709" s="103" t="str">
        <f t="shared" si="79"/>
        <v>AA</v>
      </c>
      <c r="BE709" s="103" t="str">
        <f t="shared" si="80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78"/>
        <v/>
      </c>
      <c r="BD710" s="103" t="str">
        <f t="shared" si="79"/>
        <v>AA</v>
      </c>
      <c r="BE710" s="103" t="str">
        <f t="shared" si="80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7421</v>
      </c>
      <c r="L711" s="149" t="s">
        <v>7422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7420</v>
      </c>
      <c r="AC711" s="149" t="s">
        <v>7421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 t="shared" si="78"/>
        <v/>
      </c>
      <c r="BD711" s="103" t="str">
        <f t="shared" si="79"/>
        <v>AA</v>
      </c>
      <c r="BE711" s="103" t="str">
        <f t="shared" si="80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 t="shared" si="78"/>
        <v/>
      </c>
      <c r="BD712" s="103" t="str">
        <f t="shared" si="79"/>
        <v>AA</v>
      </c>
      <c r="BE712" s="103" t="str">
        <f t="shared" si="80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78"/>
        <v/>
      </c>
      <c r="BD713" s="103" t="str">
        <f t="shared" si="79"/>
        <v>AA</v>
      </c>
      <c r="BE713" s="103" t="str">
        <f t="shared" si="80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49" t="s">
        <v>7432</v>
      </c>
      <c r="K714" s="149" t="s">
        <v>4457</v>
      </c>
      <c r="L714" s="149" t="s">
        <v>7433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7432</v>
      </c>
      <c r="AC714" s="149" t="s">
        <v>4457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 t="shared" si="78"/>
        <v/>
      </c>
      <c r="BD714" s="103" t="str">
        <f t="shared" si="79"/>
        <v>AA</v>
      </c>
      <c r="BE714" s="103" t="str">
        <f t="shared" si="80"/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hidden="1" customHeight="1" x14ac:dyDescent="0.25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7434</v>
      </c>
      <c r="G715" s="103" t="s">
        <v>4330</v>
      </c>
      <c r="H715" s="103" t="s">
        <v>4331</v>
      </c>
      <c r="I715" s="142" t="s">
        <v>4343</v>
      </c>
      <c r="J715" s="149" t="s">
        <v>7435</v>
      </c>
      <c r="K715" s="149" t="s">
        <v>7436</v>
      </c>
      <c r="L715" s="149" t="s">
        <v>7437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7435</v>
      </c>
      <c r="AC715" s="149" t="s">
        <v>7436</v>
      </c>
      <c r="AD715" s="149" t="s">
        <v>7437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 t="shared" si="78"/>
        <v/>
      </c>
      <c r="BD715" s="103" t="str">
        <f t="shared" si="79"/>
        <v>AA</v>
      </c>
      <c r="BE715" s="103" t="str">
        <f t="shared" si="80"/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hidden="1" customHeight="1" x14ac:dyDescent="0.25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7438</v>
      </c>
      <c r="G716" s="103" t="s">
        <v>4330</v>
      </c>
      <c r="H716" s="103" t="s">
        <v>4331</v>
      </c>
      <c r="I716" s="142" t="s">
        <v>4343</v>
      </c>
      <c r="J716" s="149" t="s">
        <v>7439</v>
      </c>
      <c r="K716" s="149" t="s">
        <v>7440</v>
      </c>
      <c r="L716" s="149" t="s">
        <v>7441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7439</v>
      </c>
      <c r="AC716" s="149" t="s">
        <v>7440</v>
      </c>
      <c r="AD716" s="149" t="s">
        <v>7441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 t="shared" si="78"/>
        <v/>
      </c>
      <c r="BD716" s="103" t="str">
        <f t="shared" si="79"/>
        <v>AA</v>
      </c>
      <c r="BE716" s="103" t="str">
        <f t="shared" si="80"/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hidden="1" customHeight="1" x14ac:dyDescent="0.25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7442</v>
      </c>
      <c r="G717" s="103" t="s">
        <v>4330</v>
      </c>
      <c r="H717" s="103" t="s">
        <v>4331</v>
      </c>
      <c r="I717" s="142" t="s">
        <v>4343</v>
      </c>
      <c r="J717" s="150" t="s">
        <v>7443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7443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 t="shared" si="78"/>
        <v/>
      </c>
      <c r="BD717" s="103" t="str">
        <f t="shared" si="79"/>
        <v>AA</v>
      </c>
      <c r="BE717" s="103" t="str">
        <f t="shared" si="80"/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hidden="1" customHeight="1" x14ac:dyDescent="0.25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14" t="s">
        <v>7447</v>
      </c>
      <c r="K718" s="149" t="s">
        <v>7448</v>
      </c>
      <c r="L718" s="149" t="s">
        <v>7449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7447</v>
      </c>
      <c r="AC718" s="149" t="s">
        <v>7448</v>
      </c>
      <c r="AD718" s="149" t="s">
        <v>7449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7450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 t="shared" si="78"/>
        <v>54</v>
      </c>
      <c r="BD718" s="103" t="str">
        <f t="shared" si="79"/>
        <v>INDENIZAÇÃO</v>
      </c>
      <c r="BE718" s="103" t="str">
        <f t="shared" si="80"/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hidden="1" customHeight="1" x14ac:dyDescent="0.25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7451</v>
      </c>
      <c r="G719" s="103" t="s">
        <v>4330</v>
      </c>
      <c r="H719" s="103" t="s">
        <v>4331</v>
      </c>
      <c r="I719" s="142" t="s">
        <v>4343</v>
      </c>
      <c r="J719" s="149" t="s">
        <v>7452</v>
      </c>
      <c r="K719" s="149" t="s">
        <v>7453</v>
      </c>
      <c r="L719" s="149" t="s">
        <v>7454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7455</v>
      </c>
      <c r="AC719" s="149" t="s">
        <v>7453</v>
      </c>
      <c r="AD719" s="149" t="s">
        <v>7454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7456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 t="shared" si="78"/>
        <v>71</v>
      </c>
      <c r="BD719" s="103" t="str">
        <f t="shared" si="79"/>
        <v>INDENIZAÇÃO</v>
      </c>
      <c r="BE719" s="103" t="str">
        <f t="shared" si="80"/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hidden="1" customHeight="1" x14ac:dyDescent="0.25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7457</v>
      </c>
      <c r="G720" s="103" t="s">
        <v>4330</v>
      </c>
      <c r="H720" s="103" t="s">
        <v>4331</v>
      </c>
      <c r="I720" s="142" t="s">
        <v>4343</v>
      </c>
      <c r="J720" s="114" t="s">
        <v>7458</v>
      </c>
      <c r="K720" s="149" t="s">
        <v>7459</v>
      </c>
      <c r="L720" s="149" t="s">
        <v>7460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7461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7462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 t="shared" si="78"/>
        <v>41</v>
      </c>
      <c r="BD720" s="103" t="str">
        <f t="shared" si="79"/>
        <v>INDENIZAÇÃO</v>
      </c>
      <c r="BE720" s="103" t="str">
        <f t="shared" si="80"/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hidden="1" customHeight="1" x14ac:dyDescent="0.25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 t="shared" si="78"/>
        <v/>
      </c>
      <c r="BD721" s="103" t="str">
        <f t="shared" si="79"/>
        <v>AA</v>
      </c>
      <c r="BE721" s="103" t="str">
        <f t="shared" si="80"/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hidden="1" customHeight="1" x14ac:dyDescent="0.25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49" t="s">
        <v>7455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7455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 t="shared" si="78"/>
        <v/>
      </c>
      <c r="BD722" s="103" t="str">
        <f t="shared" si="79"/>
        <v>AA</v>
      </c>
      <c r="BE722" s="103" t="str">
        <f t="shared" si="80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7461</v>
      </c>
      <c r="K723" s="149" t="s">
        <v>7471</v>
      </c>
      <c r="L723" s="149" t="s">
        <v>7472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7461</v>
      </c>
      <c r="AC723" s="149" t="s">
        <v>7471</v>
      </c>
      <c r="AD723" s="149" t="s">
        <v>7472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 t="shared" si="78"/>
        <v/>
      </c>
      <c r="BD723" s="103" t="str">
        <f t="shared" si="79"/>
        <v>AA</v>
      </c>
      <c r="BE723" s="103" t="str">
        <f t="shared" si="80"/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hidden="1" customHeight="1" x14ac:dyDescent="0.25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7473</v>
      </c>
      <c r="G724" s="103" t="s">
        <v>4330</v>
      </c>
      <c r="H724" s="103" t="s">
        <v>4331</v>
      </c>
      <c r="I724" s="142" t="s">
        <v>4343</v>
      </c>
      <c r="J724" s="149" t="s">
        <v>7474</v>
      </c>
      <c r="K724" s="149" t="s">
        <v>7475</v>
      </c>
      <c r="L724" s="149" t="s">
        <v>7476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7474</v>
      </c>
      <c r="AC724" s="149" t="s">
        <v>7475</v>
      </c>
      <c r="AD724" s="149" t="s">
        <v>7476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78"/>
        <v/>
      </c>
      <c r="BD724" s="103" t="str">
        <f t="shared" si="79"/>
        <v>AA</v>
      </c>
      <c r="BE724" s="103" t="str">
        <f t="shared" si="80"/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hidden="1" customHeight="1" x14ac:dyDescent="0.25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7477</v>
      </c>
      <c r="G725" s="103" t="s">
        <v>4330</v>
      </c>
      <c r="H725" s="103" t="s">
        <v>4331</v>
      </c>
      <c r="I725" s="142" t="s">
        <v>4343</v>
      </c>
      <c r="J725" s="114" t="s">
        <v>7478</v>
      </c>
      <c r="K725" s="149" t="s">
        <v>7479</v>
      </c>
      <c r="L725" s="149" t="s">
        <v>7480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7478</v>
      </c>
      <c r="AC725" s="149" t="s">
        <v>7479</v>
      </c>
      <c r="AD725" s="149" t="s">
        <v>7480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78"/>
        <v/>
      </c>
      <c r="BD725" s="103" t="str">
        <f t="shared" si="79"/>
        <v>AA</v>
      </c>
      <c r="BE725" s="103" t="str">
        <f t="shared" si="80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7481</v>
      </c>
      <c r="G726" s="103" t="s">
        <v>4330</v>
      </c>
      <c r="H726" s="103" t="s">
        <v>4331</v>
      </c>
      <c r="I726" s="142" t="s">
        <v>4343</v>
      </c>
      <c r="J726" s="149" t="s">
        <v>7482</v>
      </c>
      <c r="K726" s="149" t="s">
        <v>7483</v>
      </c>
      <c r="L726" s="149" t="s">
        <v>7484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7482</v>
      </c>
      <c r="AC726" s="204" t="s">
        <v>7483</v>
      </c>
      <c r="AD726" s="204" t="s">
        <v>7484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7485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 t="shared" si="78"/>
        <v>85</v>
      </c>
      <c r="BD726" s="103" t="str">
        <f t="shared" si="79"/>
        <v>INDENIZAÇÃO</v>
      </c>
      <c r="BE726" s="103" t="str">
        <f t="shared" si="80"/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hidden="1" customHeight="1" x14ac:dyDescent="0.25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49" t="s">
        <v>7487</v>
      </c>
      <c r="K727" s="149" t="s">
        <v>7488</v>
      </c>
      <c r="L727" s="149" t="s">
        <v>7489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78"/>
        <v/>
      </c>
      <c r="BD727" s="103" t="str">
        <f t="shared" si="79"/>
        <v>AA</v>
      </c>
      <c r="BE727" s="103" t="str">
        <f t="shared" si="80"/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hidden="1" customHeight="1" x14ac:dyDescent="0.25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49" t="s">
        <v>7491</v>
      </c>
      <c r="K728" s="149" t="s">
        <v>7492</v>
      </c>
      <c r="L728" s="149" t="s">
        <v>7493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7491</v>
      </c>
      <c r="AC728" s="204" t="s">
        <v>7492</v>
      </c>
      <c r="AD728" s="204" t="s">
        <v>7493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7494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 t="shared" si="78"/>
        <v>61</v>
      </c>
      <c r="BD728" s="103" t="str">
        <f t="shared" si="79"/>
        <v>INDENIZAÇÃO</v>
      </c>
      <c r="BE728" s="103" t="str">
        <f t="shared" si="80"/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hidden="1" customHeight="1" x14ac:dyDescent="0.25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49" t="s">
        <v>7496</v>
      </c>
      <c r="K729" s="149" t="s">
        <v>7497</v>
      </c>
      <c r="L729" s="149" t="s">
        <v>7498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78"/>
        <v/>
      </c>
      <c r="BD729" s="103" t="str">
        <f t="shared" si="79"/>
        <v>AA</v>
      </c>
      <c r="BE729" s="103" t="str">
        <f t="shared" si="80"/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hidden="1" customHeight="1" x14ac:dyDescent="0.25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 t="shared" si="78"/>
        <v/>
      </c>
      <c r="BD730" s="103" t="str">
        <f t="shared" si="79"/>
        <v>AA</v>
      </c>
      <c r="BE730" s="103" t="str">
        <f t="shared" si="80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14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78"/>
        <v/>
      </c>
      <c r="BD731" s="103" t="str">
        <f t="shared" si="79"/>
        <v>AA</v>
      </c>
      <c r="BE731" s="103" t="str">
        <f t="shared" si="80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78"/>
        <v/>
      </c>
      <c r="BD732" s="103" t="str">
        <f t="shared" si="79"/>
        <v>AA</v>
      </c>
      <c r="BE732" s="103" t="str">
        <f t="shared" si="80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14" t="s">
        <v>7512</v>
      </c>
      <c r="K733" s="149" t="s">
        <v>7513</v>
      </c>
      <c r="L733" s="149" t="s">
        <v>7514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7512</v>
      </c>
      <c r="AC733" s="149" t="s">
        <v>7513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 t="shared" si="78"/>
        <v/>
      </c>
      <c r="BD733" s="103" t="str">
        <f t="shared" si="79"/>
        <v>AA</v>
      </c>
      <c r="BE733" s="103" t="str">
        <f t="shared" si="80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 t="shared" si="78"/>
        <v/>
      </c>
      <c r="BD734" s="103" t="str">
        <f t="shared" si="79"/>
        <v>AA</v>
      </c>
      <c r="BE734" s="103" t="str">
        <f t="shared" si="80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14" t="s">
        <v>7521</v>
      </c>
      <c r="K735" s="149" t="s">
        <v>7522</v>
      </c>
      <c r="L735" s="149" t="s">
        <v>7523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7521</v>
      </c>
      <c r="AC735" s="149" t="s">
        <v>7522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 t="shared" si="78"/>
        <v/>
      </c>
      <c r="BD735" s="103" t="str">
        <f t="shared" si="79"/>
        <v>AA</v>
      </c>
      <c r="BE735" s="103" t="str">
        <f t="shared" si="8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 t="shared" si="78"/>
        <v/>
      </c>
      <c r="BD736" s="103" t="str">
        <f t="shared" si="79"/>
        <v>AA</v>
      </c>
      <c r="BE736" s="103" t="str">
        <f t="shared" si="8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14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78"/>
        <v/>
      </c>
      <c r="BD737" s="103" t="str">
        <f t="shared" si="79"/>
        <v>AA</v>
      </c>
      <c r="BE737" s="103" t="str">
        <f t="shared" si="8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49" t="s">
        <v>7533</v>
      </c>
      <c r="K738" s="149" t="s">
        <v>4457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7533</v>
      </c>
      <c r="AC738" s="149" t="s">
        <v>4457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 t="shared" si="78"/>
        <v/>
      </c>
      <c r="BD738" s="103" t="str">
        <f t="shared" si="79"/>
        <v>AA</v>
      </c>
      <c r="BE738" s="103" t="str">
        <f t="shared" si="8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ref="BC739:BC770" si="81">IF(AY739-KD739=0,"",AY739-O739)</f>
        <v/>
      </c>
      <c r="BD739" s="103" t="str">
        <f t="shared" ref="BD739:BD770" si="82">IF(AND(AI739&lt;&gt;"SIM",AI739="UH"),"AA","INDENIZAÇÃO")</f>
        <v>AA</v>
      </c>
      <c r="BE739" s="103" t="str">
        <f t="shared" ref="BE739:BE770" si="83"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1"/>
        <v/>
      </c>
      <c r="BD740" s="103" t="str">
        <f t="shared" si="82"/>
        <v>AA</v>
      </c>
      <c r="BE740" s="103" t="str">
        <f t="shared" si="83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14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81"/>
        <v/>
      </c>
      <c r="BD741" s="103" t="str">
        <f t="shared" si="82"/>
        <v>AA</v>
      </c>
      <c r="BE741" s="103" t="str">
        <f t="shared" si="83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 t="shared" si="81"/>
        <v/>
      </c>
      <c r="BD742" s="103" t="str">
        <f t="shared" si="82"/>
        <v>AA</v>
      </c>
      <c r="BE742" s="103" t="str">
        <f t="shared" si="83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49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1"/>
        <v/>
      </c>
      <c r="BD743" s="103" t="str">
        <f t="shared" si="82"/>
        <v>AA</v>
      </c>
      <c r="BE743" s="103" t="str">
        <f t="shared" si="83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 t="shared" si="81"/>
        <v/>
      </c>
      <c r="BD744" s="103" t="str">
        <f t="shared" si="82"/>
        <v>AA</v>
      </c>
      <c r="BE744" s="103" t="str">
        <f t="shared" si="83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 t="shared" si="81"/>
        <v/>
      </c>
      <c r="BD745" s="103" t="str">
        <f t="shared" si="82"/>
        <v>AA</v>
      </c>
      <c r="BE745" s="103" t="str">
        <f t="shared" si="83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14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81"/>
        <v/>
      </c>
      <c r="BD746" s="103" t="str">
        <f t="shared" si="82"/>
        <v>AA</v>
      </c>
      <c r="BE746" s="103" t="str">
        <f t="shared" si="83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49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81"/>
        <v/>
      </c>
      <c r="BD747" s="103" t="str">
        <f t="shared" si="82"/>
        <v>AA</v>
      </c>
      <c r="BE747" s="103" t="str">
        <f t="shared" si="83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49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 t="shared" si="81"/>
        <v/>
      </c>
      <c r="BD748" s="103" t="str">
        <f t="shared" si="82"/>
        <v>AA</v>
      </c>
      <c r="BE748" s="103" t="str">
        <f t="shared" si="83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4343</v>
      </c>
      <c r="J749" s="149" t="s">
        <v>7576</v>
      </c>
      <c r="K749" s="149" t="s">
        <v>7577</v>
      </c>
      <c r="L749" s="149" t="s">
        <v>7578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7579</v>
      </c>
      <c r="AB749" s="149" t="s">
        <v>7576</v>
      </c>
      <c r="AC749" s="149" t="s">
        <v>7577</v>
      </c>
      <c r="AD749" s="149" t="s">
        <v>7578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 t="shared" si="81"/>
        <v/>
      </c>
      <c r="BD749" s="103" t="str">
        <f t="shared" si="82"/>
        <v>AA</v>
      </c>
      <c r="BE749" s="103" t="str">
        <f t="shared" si="83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49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 t="shared" si="81"/>
        <v/>
      </c>
      <c r="BD750" s="103" t="str">
        <f t="shared" si="82"/>
        <v>AA</v>
      </c>
      <c r="BE750" s="103" t="str">
        <f t="shared" si="83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4343</v>
      </c>
      <c r="J751" s="149" t="s">
        <v>7585</v>
      </c>
      <c r="K751" s="149" t="s">
        <v>7586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7585</v>
      </c>
      <c r="AC751" s="149" t="s">
        <v>7586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1"/>
        <v/>
      </c>
      <c r="BD751" s="103" t="str">
        <f t="shared" si="82"/>
        <v>AA</v>
      </c>
      <c r="BE751" s="103" t="str">
        <f t="shared" si="83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14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1"/>
        <v/>
      </c>
      <c r="BD752" s="103" t="str">
        <f t="shared" si="82"/>
        <v>AA</v>
      </c>
      <c r="BE752" s="103" t="str">
        <f t="shared" si="83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hidden="1" customHeight="1" x14ac:dyDescent="0.25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14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81"/>
        <v/>
      </c>
      <c r="BD753" s="103" t="str">
        <f t="shared" si="82"/>
        <v>AA</v>
      </c>
      <c r="BE753" s="103" t="str">
        <f t="shared" si="83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hidden="1" customHeight="1" x14ac:dyDescent="0.25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7014</v>
      </c>
      <c r="J754" s="149" t="s">
        <v>7597</v>
      </c>
      <c r="K754" s="149" t="s">
        <v>4457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7597</v>
      </c>
      <c r="AC754" s="149" t="s">
        <v>4457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1"/>
        <v/>
      </c>
      <c r="BD754" s="103" t="str">
        <f t="shared" si="82"/>
        <v>AA</v>
      </c>
      <c r="BE754" s="103" t="str">
        <f t="shared" si="83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hidden="1" customHeight="1" x14ac:dyDescent="0.25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1"/>
        <v/>
      </c>
      <c r="BD755" s="103" t="str">
        <f t="shared" si="82"/>
        <v>AA</v>
      </c>
      <c r="BE755" s="103" t="str">
        <f t="shared" si="83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hidden="1" customHeight="1" x14ac:dyDescent="0.25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 t="shared" si="81"/>
        <v/>
      </c>
      <c r="BD756" s="103" t="str">
        <f t="shared" si="82"/>
        <v>AA</v>
      </c>
      <c r="BE756" s="103" t="str">
        <f t="shared" si="83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hidden="1" customHeight="1" x14ac:dyDescent="0.25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 t="shared" si="81"/>
        <v/>
      </c>
      <c r="BD757" s="103" t="str">
        <f t="shared" si="82"/>
        <v>AA</v>
      </c>
      <c r="BE757" s="103" t="str">
        <f t="shared" si="83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hidden="1" customHeight="1" x14ac:dyDescent="0.25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 t="shared" si="81"/>
        <v/>
      </c>
      <c r="BD758" s="103" t="str">
        <f t="shared" si="82"/>
        <v>AA</v>
      </c>
      <c r="BE758" s="103" t="str">
        <f t="shared" si="83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hidden="1" customHeight="1" x14ac:dyDescent="0.25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 t="shared" si="81"/>
        <v/>
      </c>
      <c r="BD759" s="103" t="str">
        <f t="shared" si="82"/>
        <v>AA</v>
      </c>
      <c r="BE759" s="103" t="str">
        <f t="shared" si="83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hidden="1" customHeight="1" x14ac:dyDescent="0.25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1"/>
        <v/>
      </c>
      <c r="BD760" s="103" t="str">
        <f t="shared" si="82"/>
        <v>AA</v>
      </c>
      <c r="BE760" s="103" t="str">
        <f t="shared" si="83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hidden="1" customHeight="1" x14ac:dyDescent="0.25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 t="shared" si="81"/>
        <v/>
      </c>
      <c r="BD761" s="103" t="str">
        <f t="shared" si="82"/>
        <v>AA</v>
      </c>
      <c r="BE761" s="103" t="str">
        <f t="shared" si="83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hidden="1" customHeight="1" x14ac:dyDescent="0.25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49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 t="shared" si="81"/>
        <v/>
      </c>
      <c r="BD762" s="103" t="str">
        <f t="shared" si="82"/>
        <v>AA</v>
      </c>
      <c r="BE762" s="103" t="str">
        <f t="shared" si="83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hidden="1" customHeight="1" x14ac:dyDescent="0.25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1"/>
        <v/>
      </c>
      <c r="BD763" s="103" t="str">
        <f t="shared" si="82"/>
        <v>AA</v>
      </c>
      <c r="BE763" s="103" t="str">
        <f t="shared" si="83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hidden="1" customHeight="1" x14ac:dyDescent="0.25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 t="shared" si="81"/>
        <v/>
      </c>
      <c r="BD764" s="103" t="str">
        <f t="shared" si="82"/>
        <v>AA</v>
      </c>
      <c r="BE764" s="103" t="str">
        <f t="shared" si="83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hidden="1" customHeight="1" x14ac:dyDescent="0.25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14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1"/>
        <v/>
      </c>
      <c r="BD765" s="103" t="str">
        <f t="shared" si="82"/>
        <v>AA</v>
      </c>
      <c r="BE765" s="103" t="str">
        <f t="shared" si="83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hidden="1" customHeight="1" x14ac:dyDescent="0.25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7645</v>
      </c>
      <c r="L766" s="149" t="s">
        <v>7646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7644</v>
      </c>
      <c r="AC766" s="149" t="s">
        <v>7645</v>
      </c>
      <c r="AD766" s="149" t="s">
        <v>7646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 t="shared" si="81"/>
        <v/>
      </c>
      <c r="BD766" s="103" t="str">
        <f t="shared" si="82"/>
        <v>AA</v>
      </c>
      <c r="BE766" s="103" t="str">
        <f t="shared" si="83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hidden="1" customHeight="1" x14ac:dyDescent="0.25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7649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7649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1"/>
        <v/>
      </c>
      <c r="BD767" s="103" t="str">
        <f t="shared" si="82"/>
        <v>AA</v>
      </c>
      <c r="BE767" s="103" t="str">
        <f t="shared" si="83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hidden="1" customHeight="1" x14ac:dyDescent="0.25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1"/>
        <v/>
      </c>
      <c r="BD768" s="103" t="str">
        <f t="shared" si="82"/>
        <v>AA</v>
      </c>
      <c r="BE768" s="103" t="str">
        <f t="shared" si="83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hidden="1" customHeight="1" x14ac:dyDescent="0.25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4457</v>
      </c>
      <c r="L769" s="149" t="s">
        <v>7657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7656</v>
      </c>
      <c r="AC769" s="204" t="s">
        <v>4432</v>
      </c>
      <c r="AD769" s="204" t="s">
        <v>7657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7658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 t="shared" si="81"/>
        <v>45</v>
      </c>
      <c r="BD769" s="103" t="str">
        <f t="shared" si="82"/>
        <v>INDENIZAÇÃO</v>
      </c>
      <c r="BE769" s="103" t="str">
        <f t="shared" si="83"/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hidden="1" customHeight="1" x14ac:dyDescent="0.25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4457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7660</v>
      </c>
      <c r="AC770" s="149" t="s">
        <v>4457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1"/>
        <v/>
      </c>
      <c r="BD770" s="103" t="str">
        <f t="shared" si="82"/>
        <v>AA</v>
      </c>
      <c r="BE770" s="103" t="str">
        <f t="shared" si="83"/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hidden="1" customHeight="1" x14ac:dyDescent="0.25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7663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7663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ref="BC771:BC802" si="84">IF(AY771-KD771=0,"",AY771-O771)</f>
        <v/>
      </c>
      <c r="BD771" s="103" t="str">
        <f t="shared" ref="BD771:BD802" si="85">IF(AND(AI771&lt;&gt;"SIM",AI771="UH"),"AA","INDENIZAÇÃO")</f>
        <v>AA</v>
      </c>
      <c r="BE771" s="103" t="str">
        <f t="shared" ref="BE771:BE802" si="86"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hidden="1" customHeight="1" x14ac:dyDescent="0.25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hidden="1" customHeight="1" x14ac:dyDescent="0.25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hidden="1" customHeight="1" x14ac:dyDescent="0.25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hidden="1" customHeight="1" x14ac:dyDescent="0.25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hidden="1" customHeight="1" x14ac:dyDescent="0.25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hidden="1" customHeight="1" x14ac:dyDescent="0.25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hidden="1" customHeight="1" x14ac:dyDescent="0.25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hidden="1" customHeight="1" x14ac:dyDescent="0.25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hidden="1" customHeight="1" x14ac:dyDescent="0.25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hidden="1" customHeight="1" x14ac:dyDescent="0.25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hidden="1" customHeight="1" x14ac:dyDescent="0.25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hidden="1" customHeight="1" x14ac:dyDescent="0.25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hidden="1" customHeight="1" x14ac:dyDescent="0.25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7727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7727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7730</v>
      </c>
      <c r="AC788" s="149" t="s">
        <v>7731</v>
      </c>
      <c r="AD788" s="149" t="s">
        <v>7732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 t="shared" si="84"/>
        <v/>
      </c>
      <c r="BD788" s="103" t="str">
        <f t="shared" si="85"/>
        <v>AA</v>
      </c>
      <c r="BE788" s="103" t="str">
        <f t="shared" si="86"/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hidden="1" customHeight="1" x14ac:dyDescent="0.25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49" t="s">
        <v>7734</v>
      </c>
      <c r="K789" s="149" t="s">
        <v>7735</v>
      </c>
      <c r="L789" s="149" t="s">
        <v>7736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7734</v>
      </c>
      <c r="AC789" s="149" t="s">
        <v>7735</v>
      </c>
      <c r="AD789" s="149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hidden="1" customHeight="1" x14ac:dyDescent="0.25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03" t="s">
        <v>4330</v>
      </c>
      <c r="H790" s="103" t="s">
        <v>4331</v>
      </c>
      <c r="I790" s="142" t="s">
        <v>4343</v>
      </c>
      <c r="J790" s="149" t="s">
        <v>7738</v>
      </c>
      <c r="K790" s="149" t="s">
        <v>4432</v>
      </c>
      <c r="L790" s="149" t="s">
        <v>7739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7738</v>
      </c>
      <c r="AC790" s="149" t="s">
        <v>4432</v>
      </c>
      <c r="AD790" s="149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hidden="1" customHeight="1" x14ac:dyDescent="0.25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03" t="s">
        <v>4330</v>
      </c>
      <c r="H791" s="103" t="s">
        <v>4331</v>
      </c>
      <c r="I791" s="142" t="s">
        <v>4343</v>
      </c>
      <c r="J791" s="149" t="s">
        <v>7741</v>
      </c>
      <c r="K791" s="149" t="s">
        <v>7742</v>
      </c>
      <c r="L791" s="149" t="s">
        <v>7743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7741</v>
      </c>
      <c r="AC791" s="204" t="s">
        <v>7742</v>
      </c>
      <c r="AD791" s="204" t="s">
        <v>7743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7744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 t="shared" si="84"/>
        <v>51</v>
      </c>
      <c r="BD791" s="103" t="str">
        <f t="shared" si="85"/>
        <v>INDENIZAÇÃO</v>
      </c>
      <c r="BE791" s="103" t="str">
        <f t="shared" si="86"/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hidden="1" customHeight="1" x14ac:dyDescent="0.25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03" t="s">
        <v>4330</v>
      </c>
      <c r="H792" s="103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50" t="s">
        <v>7754</v>
      </c>
      <c r="K794" s="150" t="s">
        <v>7755</v>
      </c>
      <c r="L794" s="150" t="s">
        <v>7756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7754</v>
      </c>
      <c r="AC794" s="150" t="s">
        <v>7755</v>
      </c>
      <c r="AD794" s="150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12" t="s">
        <v>4330</v>
      </c>
      <c r="H795" s="112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12" t="s">
        <v>4330</v>
      </c>
      <c r="H796" s="112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7765</v>
      </c>
      <c r="G797" s="103" t="s">
        <v>4330</v>
      </c>
      <c r="H797" s="103" t="s">
        <v>4331</v>
      </c>
      <c r="I797" s="142" t="s">
        <v>4343</v>
      </c>
      <c r="J797" s="149" t="s">
        <v>7766</v>
      </c>
      <c r="K797" s="149" t="s">
        <v>7767</v>
      </c>
      <c r="L797" s="149" t="s">
        <v>7768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7766</v>
      </c>
      <c r="AC797" s="149" t="s">
        <v>7767</v>
      </c>
      <c r="AD797" s="149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4457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7778</v>
      </c>
      <c r="AC800" s="150" t="s">
        <v>4457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84"/>
        <v/>
      </c>
      <c r="BD800" s="103" t="str">
        <f t="shared" si="85"/>
        <v>AA</v>
      </c>
      <c r="BE800" s="103" t="str">
        <f t="shared" si="86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03" t="s">
        <v>4330</v>
      </c>
      <c r="H801" s="103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4"/>
        <v/>
      </c>
      <c r="BD801" s="103" t="str">
        <f t="shared" si="85"/>
        <v>AA</v>
      </c>
      <c r="BE801" s="103" t="str">
        <f t="shared" si="86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4"/>
        <v/>
      </c>
      <c r="BD802" s="103" t="str">
        <f t="shared" si="85"/>
        <v>AA</v>
      </c>
      <c r="BE802" s="103" t="str">
        <f t="shared" si="86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ref="BC803:BC809" si="87">IF(AY803-KD803=0,"",AY803-O803)</f>
        <v/>
      </c>
      <c r="BD803" s="103" t="str">
        <f t="shared" ref="BD803:BD809" si="88">IF(AND(AI803&lt;&gt;"SIM",AI803="UH"),"AA","INDENIZAÇÃO")</f>
        <v>AA</v>
      </c>
      <c r="BE803" s="103" t="str">
        <f t="shared" ref="BE803:BE809" si="89"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12" t="s">
        <v>4330</v>
      </c>
      <c r="H804" s="112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03" t="s">
        <v>4330</v>
      </c>
      <c r="H805" s="103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12" t="s">
        <v>4330</v>
      </c>
      <c r="H806" s="112" t="s">
        <v>4331</v>
      </c>
      <c r="I806" s="142" t="s">
        <v>4343</v>
      </c>
      <c r="J806" s="150" t="s">
        <v>7801</v>
      </c>
      <c r="K806" s="150" t="s">
        <v>7802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7802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7804</v>
      </c>
      <c r="G807" s="103" t="s">
        <v>4330</v>
      </c>
      <c r="H807" s="103" t="s">
        <v>4331</v>
      </c>
      <c r="I807" s="142" t="s">
        <v>4343</v>
      </c>
      <c r="J807" s="150" t="s">
        <v>7805</v>
      </c>
      <c r="K807" s="150" t="s">
        <v>7806</v>
      </c>
      <c r="L807" s="150" t="s">
        <v>7807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7805</v>
      </c>
      <c r="AC807" s="150" t="s">
        <v>7806</v>
      </c>
      <c r="AD807" s="150" t="s">
        <v>7807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87"/>
        <v/>
      </c>
      <c r="BD807" s="103" t="str">
        <f t="shared" si="88"/>
        <v>AA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7808</v>
      </c>
      <c r="G808" s="112" t="s">
        <v>4330</v>
      </c>
      <c r="H808" s="112" t="s">
        <v>4331</v>
      </c>
      <c r="I808" s="142" t="s">
        <v>4343</v>
      </c>
      <c r="J808" s="150" t="s">
        <v>7809</v>
      </c>
      <c r="K808" s="150" t="s">
        <v>7810</v>
      </c>
      <c r="L808" s="150" t="s">
        <v>7811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7809</v>
      </c>
      <c r="AC808" s="150" t="s">
        <v>7810</v>
      </c>
      <c r="AD808" s="150" t="s">
        <v>7811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87"/>
        <v/>
      </c>
      <c r="BD808" s="103" t="str">
        <f t="shared" si="88"/>
        <v>AA</v>
      </c>
      <c r="BE808" s="103" t="str">
        <f t="shared" si="89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7812</v>
      </c>
      <c r="G809" s="103" t="s">
        <v>4330</v>
      </c>
      <c r="H809" s="103" t="s">
        <v>4331</v>
      </c>
      <c r="I809" s="142" t="s">
        <v>4343</v>
      </c>
      <c r="J809" s="150" t="s">
        <v>7813</v>
      </c>
      <c r="K809" s="150" t="s">
        <v>4457</v>
      </c>
      <c r="L809" s="150" t="s">
        <v>7814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7813</v>
      </c>
      <c r="AC809" s="150" t="s">
        <v>4457</v>
      </c>
      <c r="AD809" s="150" t="s">
        <v>7814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87"/>
        <v/>
      </c>
      <c r="BD809" s="103" t="str">
        <f t="shared" si="88"/>
        <v>AA</v>
      </c>
      <c r="BE809" s="103" t="str">
        <f t="shared" si="89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7815</v>
      </c>
      <c r="K810" s="149"/>
      <c r="L810" s="149" t="s">
        <v>7816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7815</v>
      </c>
      <c r="AC810" s="149"/>
      <c r="AD810" s="149" t="s">
        <v>7816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7817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7818</v>
      </c>
      <c r="G811" s="103" t="s">
        <v>4330</v>
      </c>
      <c r="H811" s="103" t="s">
        <v>4342</v>
      </c>
      <c r="I811" s="103" t="s">
        <v>4332</v>
      </c>
      <c r="J811" s="149" t="s">
        <v>7819</v>
      </c>
      <c r="K811" s="149" t="s">
        <v>7820</v>
      </c>
      <c r="L811" s="149" t="s">
        <v>7821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7822</v>
      </c>
      <c r="AC811" s="149" t="s">
        <v>7820</v>
      </c>
      <c r="AD811" s="149" t="s">
        <v>7821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7823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12:BC866" si="90">IF(AY812-KD812=0,"",AY812-O812)</f>
        <v/>
      </c>
      <c r="BD812" s="103" t="str">
        <f t="shared" ref="BD812:BD866" si="91">IF(AND(AI812&lt;&gt;"SIM",AI812="UH"),"AA","INDENIZAÇÃO")</f>
        <v>INDENIZAÇÃO</v>
      </c>
      <c r="BE812" s="103" t="str">
        <f t="shared" ref="BE812:BE866" si="92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hidden="1" customHeight="1" x14ac:dyDescent="0.25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hidden="1" customHeight="1" x14ac:dyDescent="0.25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hidden="1" customHeight="1" x14ac:dyDescent="0.25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90"/>
        <v/>
      </c>
      <c r="BD864" s="103" t="str">
        <f t="shared" si="91"/>
        <v>INDENIZAÇÃO</v>
      </c>
      <c r="BE864" s="103" t="str">
        <f t="shared" si="92"/>
        <v>NÃO</v>
      </c>
    </row>
    <row r="865" spans="1:57" ht="30" hidden="1" customHeight="1" x14ac:dyDescent="0.25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0"/>
        <v/>
      </c>
      <c r="BD865" s="103" t="str">
        <f t="shared" si="91"/>
        <v>INDENIZAÇÃO</v>
      </c>
      <c r="BE865" s="103" t="str">
        <f t="shared" si="92"/>
        <v>NÃO</v>
      </c>
    </row>
    <row r="866" spans="1:57" ht="30" hidden="1" customHeight="1" x14ac:dyDescent="0.25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0"/>
        <v/>
      </c>
      <c r="BD866" s="103" t="str">
        <f t="shared" si="91"/>
        <v>INDENIZAÇÃO</v>
      </c>
      <c r="BE866" s="103" t="str">
        <f t="shared" si="92"/>
        <v>NÃO</v>
      </c>
    </row>
    <row r="867" spans="1:57" ht="30" hidden="1" customHeight="1" x14ac:dyDescent="0.25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93">IF(AY867-KD867=0,"",AY867-O867)</f>
        <v/>
      </c>
      <c r="BD867" s="103" t="str">
        <f t="shared" ref="BD867:BD872" si="94">IF(AND(AI867&lt;&gt;"SIM",AI867="UH"),"AA","INDENIZAÇÃO")</f>
        <v>INDENIZAÇÃO</v>
      </c>
      <c r="BE867" s="103" t="str">
        <f t="shared" ref="BE867:BE872" si="95">IF(AND(AY867&lt;&gt;"AGUARDANDO",AY867&lt;&gt;"",N867="AUXÍLIO ALUGUEL ATÉ INDENIZAÇÃO"),"SIM","NÃO")</f>
        <v>NÃO</v>
      </c>
    </row>
    <row r="868" spans="1:57" ht="30" hidden="1" customHeight="1" x14ac:dyDescent="0.25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93"/>
        <v/>
      </c>
      <c r="BD870" s="103" t="str">
        <f t="shared" si="94"/>
        <v>INDENIZAÇÃO</v>
      </c>
      <c r="BE870" s="103" t="str">
        <f t="shared" si="95"/>
        <v>NÃO</v>
      </c>
    </row>
    <row r="871" spans="1:57" ht="30" hidden="1" customHeight="1" x14ac:dyDescent="0.25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93"/>
        <v/>
      </c>
      <c r="BD871" s="103" t="str">
        <f t="shared" si="94"/>
        <v>INDENIZAÇÃO</v>
      </c>
      <c r="BE871" s="103" t="str">
        <f t="shared" si="95"/>
        <v>NÃO</v>
      </c>
    </row>
    <row r="872" spans="1:57" ht="30" hidden="1" customHeight="1" x14ac:dyDescent="0.25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93"/>
        <v/>
      </c>
      <c r="BD872" s="103" t="str">
        <f t="shared" si="94"/>
        <v>INDENIZAÇÃO</v>
      </c>
      <c r="BE872" s="103" t="str">
        <f t="shared" si="95"/>
        <v>NÃO</v>
      </c>
    </row>
    <row r="873" spans="1:57" ht="30" hidden="1" customHeight="1" x14ac:dyDescent="0.25">
      <c r="A873" s="165">
        <v>859</v>
      </c>
      <c r="AG873" s="194"/>
      <c r="AH873" s="194"/>
      <c r="AP873" s="171"/>
      <c r="AX873" s="167"/>
      <c r="AY873" s="166"/>
    </row>
    <row r="874" spans="1:57" ht="30" hidden="1" customHeight="1" x14ac:dyDescent="0.25">
      <c r="A874" s="103">
        <v>860</v>
      </c>
      <c r="AG874" s="194"/>
      <c r="AH874" s="194"/>
      <c r="AP874" s="171"/>
      <c r="AX874" s="167"/>
      <c r="AY874" s="166"/>
    </row>
    <row r="875" spans="1:57" ht="30" hidden="1" customHeight="1" x14ac:dyDescent="0.25">
      <c r="A875" s="103">
        <v>861</v>
      </c>
      <c r="AP875" s="171"/>
      <c r="AX875" s="167"/>
      <c r="AY875" s="166"/>
    </row>
    <row r="876" spans="1:57" ht="30" hidden="1" customHeight="1" x14ac:dyDescent="0.25">
      <c r="A876" s="103">
        <v>862</v>
      </c>
      <c r="AP876" s="171"/>
      <c r="AX876" s="167"/>
      <c r="AY876" s="166"/>
    </row>
    <row r="877" spans="1:57" ht="30" hidden="1" customHeight="1" x14ac:dyDescent="0.25">
      <c r="A877" s="165">
        <v>863</v>
      </c>
      <c r="AP877" s="171"/>
      <c r="AY877" s="166"/>
    </row>
    <row r="878" spans="1:57" ht="30" hidden="1" customHeight="1" x14ac:dyDescent="0.25">
      <c r="A878" s="165">
        <v>864</v>
      </c>
      <c r="AP878" s="171"/>
      <c r="AX878" s="167"/>
      <c r="AY878" s="166"/>
    </row>
    <row r="879" spans="1:57" ht="30" hidden="1" customHeight="1" x14ac:dyDescent="0.25">
      <c r="A879" s="165">
        <v>865</v>
      </c>
      <c r="AP879" s="171"/>
      <c r="AX879" s="167"/>
      <c r="AY879" s="166"/>
    </row>
    <row r="880" spans="1:57" ht="30" hidden="1" customHeight="1" x14ac:dyDescent="0.25">
      <c r="A880" s="103">
        <v>866</v>
      </c>
      <c r="AP880" s="171"/>
      <c r="AX880" s="167"/>
      <c r="AY880" s="166"/>
    </row>
    <row r="881" spans="1:51" ht="30" hidden="1" customHeight="1" x14ac:dyDescent="0.25">
      <c r="A881" s="103">
        <v>842</v>
      </c>
      <c r="AP881" s="171"/>
      <c r="AX881" s="167"/>
      <c r="AY881" s="166"/>
    </row>
    <row r="882" spans="1:51" ht="30" hidden="1" customHeight="1" x14ac:dyDescent="0.25">
      <c r="A882" s="103">
        <v>843</v>
      </c>
      <c r="AP882" s="171"/>
      <c r="AX882" s="167"/>
      <c r="AY882" s="166"/>
    </row>
    <row r="883" spans="1:51" ht="30" hidden="1" customHeight="1" x14ac:dyDescent="0.25">
      <c r="A883" s="103">
        <v>844</v>
      </c>
      <c r="AP883" s="171"/>
      <c r="AX883" s="167"/>
      <c r="AY883" s="166"/>
    </row>
    <row r="884" spans="1:51" ht="30" hidden="1" customHeight="1" x14ac:dyDescent="0.25">
      <c r="A884" s="103">
        <v>845</v>
      </c>
      <c r="AP884" s="171"/>
      <c r="AX884" s="167"/>
      <c r="AY884" s="166"/>
    </row>
    <row r="885" spans="1:51" ht="30" hidden="1" customHeight="1" x14ac:dyDescent="0.25">
      <c r="A885" s="103">
        <v>846</v>
      </c>
      <c r="AP885" s="171"/>
      <c r="AX885" s="167"/>
      <c r="AY885" s="166"/>
    </row>
    <row r="886" spans="1:51" ht="30" hidden="1" customHeight="1" x14ac:dyDescent="0.25">
      <c r="A886" s="103">
        <v>847</v>
      </c>
      <c r="AP886" s="171"/>
      <c r="AX886" s="167"/>
      <c r="AY886" s="166"/>
    </row>
    <row r="887" spans="1:51" ht="30" hidden="1" customHeight="1" x14ac:dyDescent="0.25">
      <c r="A887" s="103">
        <v>848</v>
      </c>
      <c r="AP887" s="171"/>
      <c r="AY887" s="166"/>
    </row>
    <row r="888" spans="1:51" ht="30" hidden="1" customHeight="1" x14ac:dyDescent="0.25">
      <c r="A888" s="103">
        <v>849</v>
      </c>
      <c r="AP888" s="171"/>
      <c r="AY888" s="166"/>
    </row>
    <row r="889" spans="1:51" ht="30" hidden="1" customHeight="1" x14ac:dyDescent="0.25">
      <c r="A889" s="103">
        <v>850</v>
      </c>
      <c r="AP889" s="171"/>
      <c r="AY889" s="166"/>
    </row>
    <row r="890" spans="1:51" ht="30" hidden="1" customHeight="1" x14ac:dyDescent="0.25">
      <c r="A890" s="103">
        <v>851</v>
      </c>
      <c r="AP890" s="171"/>
      <c r="AY890" s="166"/>
    </row>
    <row r="891" spans="1:51" ht="30" hidden="1" customHeight="1" x14ac:dyDescent="0.25">
      <c r="A891" s="103">
        <v>852</v>
      </c>
      <c r="AP891" s="171"/>
      <c r="AY891" s="166"/>
    </row>
    <row r="892" spans="1:51" ht="30" hidden="1" customHeight="1" x14ac:dyDescent="0.25">
      <c r="A892" s="103">
        <v>853</v>
      </c>
      <c r="AP892" s="171"/>
      <c r="AY892" s="166"/>
    </row>
    <row r="893" spans="1:51" ht="30" hidden="1" customHeight="1" x14ac:dyDescent="0.25">
      <c r="A893" s="103">
        <v>854</v>
      </c>
      <c r="AP893" s="171"/>
      <c r="AY893" s="166"/>
    </row>
    <row r="894" spans="1:51" ht="30" hidden="1" customHeight="1" x14ac:dyDescent="0.25">
      <c r="A894" s="103">
        <v>855</v>
      </c>
      <c r="AP894" s="171"/>
      <c r="AY894" s="166"/>
    </row>
    <row r="895" spans="1:51" ht="30" hidden="1" customHeight="1" x14ac:dyDescent="0.25">
      <c r="A895" s="103">
        <v>856</v>
      </c>
      <c r="AP895" s="171"/>
      <c r="AY895" s="166"/>
    </row>
    <row r="896" spans="1:51" ht="30" hidden="1" customHeight="1" x14ac:dyDescent="0.25">
      <c r="A896" s="103">
        <v>857</v>
      </c>
      <c r="AP896" s="171"/>
      <c r="AY896" s="166"/>
    </row>
    <row r="897" spans="1:51" ht="30" hidden="1" customHeight="1" x14ac:dyDescent="0.25">
      <c r="A897" s="103">
        <v>858</v>
      </c>
      <c r="AP897" s="171"/>
      <c r="AY897" s="166"/>
    </row>
    <row r="898" spans="1:51" ht="30" hidden="1" customHeight="1" x14ac:dyDescent="0.25">
      <c r="A898" s="103">
        <v>859</v>
      </c>
      <c r="AP898" s="171"/>
      <c r="AY898" s="166"/>
    </row>
    <row r="899" spans="1:51" ht="30" hidden="1" customHeight="1" x14ac:dyDescent="0.25">
      <c r="A899" s="103">
        <v>860</v>
      </c>
      <c r="AP899" s="171"/>
      <c r="AY899" s="166"/>
    </row>
    <row r="900" spans="1:51" ht="30" hidden="1" customHeight="1" x14ac:dyDescent="0.25">
      <c r="A900" s="103">
        <v>861</v>
      </c>
      <c r="AP900" s="171"/>
      <c r="AY900" s="166"/>
    </row>
    <row r="901" spans="1:51" ht="30" hidden="1" customHeight="1" x14ac:dyDescent="0.25">
      <c r="A901" s="103">
        <v>862</v>
      </c>
      <c r="AP901" s="171"/>
      <c r="AY901" s="166"/>
    </row>
    <row r="902" spans="1:51" ht="30" hidden="1" customHeight="1" x14ac:dyDescent="0.25">
      <c r="A902" s="103">
        <v>863</v>
      </c>
      <c r="AP902" s="171"/>
      <c r="AY902" s="166"/>
    </row>
    <row r="903" spans="1:51" ht="30" hidden="1" customHeight="1" x14ac:dyDescent="0.25">
      <c r="A903" s="103">
        <v>864</v>
      </c>
      <c r="AP903" s="171"/>
      <c r="AY903" s="166"/>
    </row>
    <row r="904" spans="1:51" ht="30" hidden="1" customHeight="1" x14ac:dyDescent="0.25">
      <c r="A904" s="103">
        <v>865</v>
      </c>
      <c r="AP904" s="171"/>
      <c r="AY904" s="166"/>
    </row>
    <row r="905" spans="1:51" ht="30" hidden="1" customHeight="1" x14ac:dyDescent="0.25">
      <c r="A905" s="103">
        <v>866</v>
      </c>
      <c r="AP905" s="171"/>
      <c r="AY905" s="166"/>
    </row>
    <row r="906" spans="1:51" ht="30" hidden="1" customHeight="1" x14ac:dyDescent="0.25">
      <c r="A906" s="103">
        <v>867</v>
      </c>
      <c r="AP906" s="171"/>
      <c r="AY906" s="166"/>
    </row>
    <row r="907" spans="1:51" ht="30" hidden="1" customHeight="1" x14ac:dyDescent="0.25">
      <c r="A907" s="103">
        <v>868</v>
      </c>
      <c r="AP907" s="171"/>
      <c r="AY907" s="166"/>
    </row>
    <row r="908" spans="1:51" ht="30" hidden="1" customHeight="1" x14ac:dyDescent="0.25">
      <c r="A908" s="103">
        <v>869</v>
      </c>
      <c r="AP908" s="171"/>
      <c r="AY908" s="166"/>
    </row>
    <row r="909" spans="1:51" ht="30" hidden="1" customHeight="1" x14ac:dyDescent="0.25">
      <c r="A909" s="103">
        <v>870</v>
      </c>
      <c r="AP909" s="171"/>
      <c r="AY909" s="166"/>
    </row>
    <row r="910" spans="1:51" ht="30" hidden="1" customHeight="1" x14ac:dyDescent="0.25">
      <c r="A910" s="103">
        <v>871</v>
      </c>
      <c r="AP910" s="171"/>
      <c r="AY910" s="166"/>
    </row>
    <row r="911" spans="1:51" ht="30" hidden="1" customHeight="1" x14ac:dyDescent="0.25">
      <c r="A911" s="103">
        <v>872</v>
      </c>
      <c r="AP911" s="171"/>
      <c r="AY911" s="166"/>
    </row>
    <row r="912" spans="1:51" ht="30" hidden="1" customHeight="1" x14ac:dyDescent="0.25">
      <c r="A912" s="103">
        <v>873</v>
      </c>
      <c r="AP912" s="171"/>
      <c r="AY912" s="166"/>
    </row>
    <row r="913" spans="1:51" ht="30" hidden="1" customHeight="1" x14ac:dyDescent="0.25">
      <c r="A913" s="103">
        <v>874</v>
      </c>
      <c r="AP913" s="171"/>
      <c r="AY913" s="166"/>
    </row>
    <row r="914" spans="1:51" ht="30" hidden="1" customHeight="1" x14ac:dyDescent="0.25">
      <c r="A914" s="103">
        <v>875</v>
      </c>
      <c r="AP914" s="171"/>
      <c r="AY914" s="166"/>
    </row>
    <row r="915" spans="1:51" ht="30" hidden="1" customHeight="1" x14ac:dyDescent="0.25">
      <c r="A915" s="103">
        <v>876</v>
      </c>
      <c r="AP915" s="171"/>
      <c r="AY915" s="166"/>
    </row>
    <row r="916" spans="1:51" ht="30" hidden="1" customHeight="1" x14ac:dyDescent="0.25">
      <c r="A916" s="103">
        <v>877</v>
      </c>
      <c r="AP916" s="171"/>
      <c r="AY916" s="166"/>
    </row>
    <row r="917" spans="1:51" ht="30" hidden="1" customHeight="1" x14ac:dyDescent="0.25">
      <c r="A917" s="103">
        <v>878</v>
      </c>
      <c r="AP917" s="171"/>
      <c r="AY917" s="166"/>
    </row>
    <row r="918" spans="1:51" ht="30" hidden="1" customHeight="1" x14ac:dyDescent="0.25">
      <c r="A918" s="103">
        <v>879</v>
      </c>
      <c r="AP918" s="171"/>
      <c r="AY918" s="166"/>
    </row>
    <row r="919" spans="1:51" ht="30" hidden="1" customHeight="1" x14ac:dyDescent="0.25">
      <c r="A919" s="103">
        <v>880</v>
      </c>
      <c r="AP919" s="171"/>
      <c r="AY919" s="166"/>
    </row>
    <row r="920" spans="1:51" ht="30" hidden="1" customHeight="1" x14ac:dyDescent="0.25">
      <c r="A920" s="103">
        <v>881</v>
      </c>
      <c r="AP920" s="171"/>
      <c r="AY920" s="166"/>
    </row>
    <row r="921" spans="1:51" ht="30" hidden="1" customHeight="1" x14ac:dyDescent="0.25">
      <c r="A921" s="103">
        <v>882</v>
      </c>
      <c r="AP921" s="171"/>
      <c r="AY921" s="166"/>
    </row>
    <row r="922" spans="1:51" ht="30" hidden="1" customHeight="1" x14ac:dyDescent="0.25">
      <c r="A922" s="103">
        <v>883</v>
      </c>
      <c r="AP922" s="171"/>
      <c r="AY922" s="166"/>
    </row>
    <row r="923" spans="1:51" ht="30" hidden="1" customHeight="1" x14ac:dyDescent="0.25">
      <c r="A923" s="103">
        <v>884</v>
      </c>
      <c r="AP923" s="171"/>
      <c r="AY923" s="166"/>
    </row>
    <row r="924" spans="1:51" ht="30" hidden="1" customHeight="1" x14ac:dyDescent="0.25">
      <c r="A924" s="103">
        <v>885</v>
      </c>
      <c r="AP924" s="171"/>
      <c r="AY924" s="166"/>
    </row>
    <row r="925" spans="1:51" ht="30" hidden="1" customHeight="1" x14ac:dyDescent="0.25">
      <c r="A925" s="103">
        <v>886</v>
      </c>
      <c r="AP925" s="171"/>
      <c r="AY925" s="166"/>
    </row>
    <row r="926" spans="1:51" ht="30" hidden="1" customHeight="1" x14ac:dyDescent="0.25">
      <c r="A926" s="103">
        <v>887</v>
      </c>
      <c r="AP926" s="171"/>
      <c r="AY926" s="166"/>
    </row>
    <row r="927" spans="1:51" ht="30" hidden="1" customHeight="1" x14ac:dyDescent="0.25">
      <c r="A927" s="103">
        <v>888</v>
      </c>
      <c r="AP927" s="171"/>
      <c r="AY927" s="166"/>
    </row>
    <row r="928" spans="1:51" ht="30" hidden="1" customHeight="1" x14ac:dyDescent="0.25">
      <c r="A928" s="103">
        <v>889</v>
      </c>
      <c r="AP928" s="171"/>
      <c r="AY928" s="166"/>
    </row>
    <row r="929" spans="1:51" ht="30" hidden="1" customHeight="1" x14ac:dyDescent="0.25">
      <c r="A929" s="103">
        <v>890</v>
      </c>
      <c r="AP929" s="171"/>
      <c r="AY929" s="166"/>
    </row>
    <row r="930" spans="1:51" ht="30" hidden="1" customHeight="1" x14ac:dyDescent="0.25">
      <c r="A930" s="103">
        <v>891</v>
      </c>
      <c r="AP930" s="171"/>
      <c r="AY930" s="166"/>
    </row>
    <row r="931" spans="1:51" ht="30" hidden="1" customHeight="1" x14ac:dyDescent="0.25">
      <c r="A931" s="103">
        <v>892</v>
      </c>
      <c r="AP931" s="171"/>
      <c r="AY931" s="166"/>
    </row>
    <row r="932" spans="1:51" ht="30" hidden="1" customHeight="1" x14ac:dyDescent="0.25">
      <c r="A932" s="103">
        <v>893</v>
      </c>
      <c r="AP932" s="171"/>
      <c r="AY932" s="166"/>
    </row>
    <row r="933" spans="1:51" ht="30" hidden="1" customHeight="1" x14ac:dyDescent="0.25">
      <c r="A933" s="103">
        <v>894</v>
      </c>
      <c r="AP933" s="171"/>
      <c r="AY933" s="166"/>
    </row>
    <row r="934" spans="1:51" ht="30" hidden="1" customHeight="1" x14ac:dyDescent="0.25">
      <c r="A934" s="103">
        <v>895</v>
      </c>
      <c r="AP934" s="171"/>
      <c r="AY934" s="166"/>
    </row>
    <row r="935" spans="1:51" ht="30" hidden="1" customHeight="1" x14ac:dyDescent="0.25">
      <c r="A935" s="103">
        <v>896</v>
      </c>
      <c r="AP935" s="171"/>
      <c r="AY935" s="166"/>
    </row>
    <row r="936" spans="1:51" ht="30" hidden="1" customHeight="1" x14ac:dyDescent="0.25">
      <c r="A936" s="103">
        <v>897</v>
      </c>
      <c r="AP936" s="171"/>
      <c r="AY936" s="166"/>
    </row>
    <row r="937" spans="1:51" ht="30" hidden="1" customHeight="1" x14ac:dyDescent="0.25">
      <c r="A937" s="103">
        <v>898</v>
      </c>
      <c r="AP937" s="171"/>
      <c r="AY937" s="166"/>
    </row>
    <row r="938" spans="1:51" ht="30" hidden="1" customHeight="1" x14ac:dyDescent="0.25">
      <c r="A938" s="103">
        <v>899</v>
      </c>
      <c r="AP938" s="171"/>
      <c r="AY938" s="166"/>
    </row>
    <row r="939" spans="1:51" ht="30" hidden="1" customHeight="1" x14ac:dyDescent="0.25">
      <c r="A939" s="103">
        <v>900</v>
      </c>
      <c r="AP939" s="171"/>
      <c r="AY939" s="166"/>
    </row>
    <row r="940" spans="1:51" ht="30" hidden="1" customHeight="1" x14ac:dyDescent="0.25">
      <c r="A940" s="103">
        <v>901</v>
      </c>
      <c r="AP940" s="171"/>
      <c r="AY940" s="166"/>
    </row>
    <row r="941" spans="1:51" ht="30" hidden="1" customHeight="1" x14ac:dyDescent="0.25">
      <c r="A941" s="103">
        <v>902</v>
      </c>
      <c r="AP941" s="171"/>
      <c r="AY941" s="166"/>
    </row>
    <row r="942" spans="1:51" ht="30" hidden="1" customHeight="1" x14ac:dyDescent="0.25">
      <c r="A942" s="103">
        <v>903</v>
      </c>
      <c r="AP942" s="171"/>
      <c r="AY942" s="166"/>
    </row>
    <row r="943" spans="1:51" ht="30" hidden="1" customHeight="1" x14ac:dyDescent="0.25">
      <c r="A943" s="103">
        <v>904</v>
      </c>
      <c r="AY943" s="166"/>
    </row>
    <row r="944" spans="1:51" ht="30" hidden="1" customHeight="1" x14ac:dyDescent="0.25">
      <c r="A944" s="103">
        <v>905</v>
      </c>
      <c r="AY944" s="166"/>
    </row>
    <row r="945" spans="1:51" ht="30" hidden="1" customHeight="1" x14ac:dyDescent="0.25">
      <c r="A945" s="103">
        <v>906</v>
      </c>
      <c r="AY945" s="166"/>
    </row>
    <row r="946" spans="1:51" ht="30" hidden="1" customHeight="1" x14ac:dyDescent="0.25">
      <c r="A946" s="103">
        <v>907</v>
      </c>
      <c r="AY946" s="166"/>
    </row>
    <row r="947" spans="1:51" ht="30" hidden="1" customHeight="1" x14ac:dyDescent="0.25">
      <c r="A947" s="103">
        <v>908</v>
      </c>
      <c r="AY947" s="166"/>
    </row>
    <row r="948" spans="1:51" ht="30" hidden="1" customHeight="1" x14ac:dyDescent="0.25">
      <c r="A948" s="103">
        <v>909</v>
      </c>
      <c r="AY948" s="166"/>
    </row>
    <row r="949" spans="1:51" ht="30" hidden="1" customHeight="1" x14ac:dyDescent="0.25">
      <c r="A949" s="103">
        <v>910</v>
      </c>
      <c r="AY949" s="166"/>
    </row>
    <row r="950" spans="1:51" ht="30" hidden="1" customHeight="1" x14ac:dyDescent="0.25">
      <c r="A950" s="103">
        <v>911</v>
      </c>
      <c r="AY950" s="166"/>
    </row>
    <row r="951" spans="1:51" ht="30" hidden="1" customHeight="1" x14ac:dyDescent="0.25">
      <c r="A951" s="103">
        <v>912</v>
      </c>
      <c r="AY951" s="166"/>
    </row>
    <row r="952" spans="1:51" ht="30" hidden="1" customHeight="1" x14ac:dyDescent="0.25">
      <c r="A952" s="103">
        <v>913</v>
      </c>
      <c r="AY952" s="166"/>
    </row>
    <row r="953" spans="1:51" ht="30" hidden="1" customHeight="1" x14ac:dyDescent="0.25">
      <c r="A953" s="103">
        <v>914</v>
      </c>
      <c r="AY953" s="166"/>
    </row>
    <row r="954" spans="1:51" ht="30" hidden="1" customHeight="1" x14ac:dyDescent="0.25">
      <c r="A954" s="103">
        <v>915</v>
      </c>
      <c r="AY954" s="166"/>
    </row>
    <row r="955" spans="1:51" ht="30" hidden="1" customHeight="1" x14ac:dyDescent="0.25">
      <c r="A955" s="103">
        <v>916</v>
      </c>
      <c r="AY955" s="166"/>
    </row>
    <row r="956" spans="1:51" ht="30" hidden="1" customHeight="1" x14ac:dyDescent="0.25">
      <c r="A956" s="103">
        <v>917</v>
      </c>
      <c r="AY956" s="166"/>
    </row>
    <row r="957" spans="1:51" ht="30" hidden="1" customHeight="1" x14ac:dyDescent="0.25">
      <c r="A957" s="103">
        <v>918</v>
      </c>
      <c r="AY957" s="166"/>
    </row>
    <row r="958" spans="1:51" ht="30" hidden="1" customHeight="1" x14ac:dyDescent="0.25">
      <c r="A958" s="103">
        <v>919</v>
      </c>
      <c r="AY958" s="166"/>
    </row>
    <row r="959" spans="1:51" ht="30" hidden="1" customHeight="1" x14ac:dyDescent="0.25">
      <c r="A959" s="103">
        <v>920</v>
      </c>
      <c r="AY959" s="166"/>
    </row>
    <row r="960" spans="1:51" ht="30" hidden="1" customHeight="1" x14ac:dyDescent="0.25">
      <c r="A960" s="103">
        <v>921</v>
      </c>
      <c r="AY960" s="166"/>
    </row>
    <row r="961" spans="1:51" ht="30" hidden="1" customHeight="1" x14ac:dyDescent="0.25">
      <c r="A961" s="103">
        <v>922</v>
      </c>
      <c r="AY961" s="166"/>
    </row>
    <row r="962" spans="1:51" ht="30" hidden="1" customHeight="1" x14ac:dyDescent="0.25">
      <c r="A962" s="103">
        <v>923</v>
      </c>
      <c r="AY962" s="166"/>
    </row>
    <row r="963" spans="1:51" ht="30" hidden="1" customHeight="1" x14ac:dyDescent="0.25">
      <c r="A963" s="103">
        <v>924</v>
      </c>
      <c r="AY963" s="166"/>
    </row>
    <row r="964" spans="1:51" ht="30" hidden="1" customHeight="1" x14ac:dyDescent="0.25">
      <c r="A964" s="103">
        <v>925</v>
      </c>
      <c r="AY964" s="166"/>
    </row>
    <row r="965" spans="1:51" ht="30" hidden="1" customHeight="1" x14ac:dyDescent="0.25">
      <c r="A965" s="103">
        <v>926</v>
      </c>
      <c r="AY965" s="166"/>
    </row>
    <row r="966" spans="1:51" ht="30" hidden="1" customHeight="1" x14ac:dyDescent="0.25">
      <c r="A966" s="103">
        <v>927</v>
      </c>
      <c r="AY966" s="166"/>
    </row>
    <row r="967" spans="1:51" ht="30" hidden="1" customHeight="1" x14ac:dyDescent="0.25">
      <c r="A967" s="103">
        <v>928</v>
      </c>
      <c r="AY967" s="166"/>
    </row>
    <row r="968" spans="1:51" ht="30" hidden="1" customHeight="1" x14ac:dyDescent="0.25">
      <c r="A968" s="103">
        <v>929</v>
      </c>
      <c r="AY968" s="166"/>
    </row>
    <row r="969" spans="1:51" ht="30" hidden="1" customHeight="1" x14ac:dyDescent="0.25">
      <c r="A969" s="103">
        <v>930</v>
      </c>
      <c r="AY969" s="166"/>
    </row>
    <row r="970" spans="1:51" ht="30" hidden="1" customHeight="1" x14ac:dyDescent="0.25">
      <c r="A970" s="103">
        <v>931</v>
      </c>
      <c r="AY970" s="166"/>
    </row>
    <row r="971" spans="1:51" ht="30" hidden="1" customHeight="1" x14ac:dyDescent="0.25">
      <c r="A971" s="103">
        <v>932</v>
      </c>
      <c r="AY971" s="166"/>
    </row>
    <row r="972" spans="1:51" ht="30" hidden="1" customHeight="1" x14ac:dyDescent="0.25">
      <c r="A972" s="103">
        <v>933</v>
      </c>
      <c r="AY972" s="166"/>
    </row>
    <row r="973" spans="1:51" ht="30" hidden="1" customHeight="1" x14ac:dyDescent="0.25">
      <c r="A973" s="103">
        <v>934</v>
      </c>
      <c r="AY973" s="166"/>
    </row>
    <row r="974" spans="1:51" ht="30" hidden="1" customHeight="1" x14ac:dyDescent="0.25">
      <c r="A974" s="103">
        <v>935</v>
      </c>
      <c r="AY974" s="166"/>
    </row>
    <row r="975" spans="1:51" ht="30" hidden="1" customHeight="1" x14ac:dyDescent="0.25">
      <c r="A975" s="103">
        <v>936</v>
      </c>
      <c r="AY975" s="166"/>
    </row>
    <row r="976" spans="1:51" ht="30" hidden="1" customHeight="1" x14ac:dyDescent="0.25">
      <c r="A976" s="103">
        <v>937</v>
      </c>
      <c r="AY976" s="166"/>
    </row>
    <row r="977" spans="1:51" ht="30" hidden="1" customHeight="1" x14ac:dyDescent="0.25">
      <c r="A977" s="103">
        <v>938</v>
      </c>
      <c r="AY977" s="166"/>
    </row>
    <row r="978" spans="1:51" ht="30" hidden="1" customHeight="1" x14ac:dyDescent="0.25">
      <c r="A978" s="103">
        <v>939</v>
      </c>
      <c r="AY978" s="166"/>
    </row>
    <row r="979" spans="1:51" ht="30" hidden="1" customHeight="1" x14ac:dyDescent="0.25">
      <c r="A979" s="103">
        <v>940</v>
      </c>
      <c r="AY979" s="166"/>
    </row>
    <row r="980" spans="1:51" ht="30" hidden="1" customHeight="1" x14ac:dyDescent="0.25">
      <c r="A980" s="103">
        <v>941</v>
      </c>
      <c r="AY980" s="166"/>
    </row>
    <row r="981" spans="1:51" ht="30" hidden="1" customHeight="1" x14ac:dyDescent="0.25">
      <c r="A981" s="103">
        <v>942</v>
      </c>
      <c r="AY981" s="166"/>
    </row>
    <row r="982" spans="1:51" ht="30" hidden="1" customHeight="1" x14ac:dyDescent="0.25">
      <c r="A982" s="103">
        <v>943</v>
      </c>
      <c r="AY982" s="166"/>
    </row>
    <row r="983" spans="1:51" ht="30" hidden="1" customHeight="1" x14ac:dyDescent="0.25">
      <c r="A983" s="103">
        <v>944</v>
      </c>
    </row>
    <row r="984" spans="1:51" ht="30" hidden="1" customHeight="1" x14ac:dyDescent="0.25">
      <c r="A984" s="103">
        <v>945</v>
      </c>
    </row>
    <row r="985" spans="1:51" ht="30" hidden="1" customHeight="1" x14ac:dyDescent="0.25">
      <c r="A985" s="103">
        <v>946</v>
      </c>
    </row>
    <row r="986" spans="1:51" ht="30" hidden="1" customHeight="1" x14ac:dyDescent="0.25">
      <c r="A986" s="103">
        <v>947</v>
      </c>
    </row>
    <row r="987" spans="1:51" ht="30" customHeight="1" x14ac:dyDescent="0.25">
      <c r="X987" s="105"/>
    </row>
    <row r="991" spans="1:51" ht="30" customHeight="1" x14ac:dyDescent="0.25">
      <c r="AY991" s="101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161:AY169 AY177:AY187 AY189:AY196 AY198:AY329 AY331:AY384 AY386:AY387 AY389:AY406 AY409:AY415 AY420:AY433 AY435:AY442 AY444:AY456 AY458:AY460 AY462:AY464 AY466 AY468 AY471:AY474 AY476 AY478:AY479 AY481:AY483 AY485:AY488 AY490:AY523 AY525:AY551 AY553 AY555:AY564 AY566:AY588 AY590:AY596 AY598:AY809 AY135:AY159 AY171:AY175 AY1:AY133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Y134:AZ134 AZ136">
    <cfRule type="cellIs" dxfId="100" priority="38" operator="between">
      <formula>36526</formula>
      <formula>402133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878:BB1048576 BB1:BB8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Z165:AZ185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BI136:BI137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BI133:BL134 BI140:BL140 BI143:BL143 BI150:BK150 BI173:BI175 BI359:BL359 BI304:BL304 BI201:BL201 BI196:BL196 AQ465 BI625:BK625 AU20:AU24 AU116:AU117 AT422:AT429 AX491:AX510 AV20:AW20 AV261:AY262 AW572:AY572 AT656:AX656 AY54:AZ68 AW228:AX239 AW170:AX175 AW21 AY107:AZ115 AY567:AZ569 BJ136:BL136 BI165:BL166 AT294:AT301 AQ223:AR230 AT237:AT241 AS239:AS241 AQ268:AS268 AS292:AS303 AQ477:AS478 BJ88:BL89 BJ91:BL93 BJ173:BL174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6:AQ420 AQ458:AV459 AW161:AZ162 AY149:AZ159 BJ101:BK101 BI120:BK120 BI240:BK240 BI250:BK250 BI252:BK252 BI256:BK256 BI258:BK258 BI261:BK261 BI274:BK274 BI299:BK299 BI346:BK346 BI354:BK354 BI394:BK394 BI402:BK402 BI431:BK431 BI720:BK720 AS566:AZ566 AU151:AX159 AR590 AR598 AQ486:AQ491 AR487:AR491 AS490:AS491 AU491:AW491 AS659:AX659 AS184:AV184 AZ386:AZ408 AY590:AY595 AU413:AU415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W176:AY184 AT145:AY148 AT379:AT399 AU418:AU424 AV411:AV415 AY420:AY464 AU386:AY390 AU467:AY470 AQ113:AR118 AQ120:AR129 AR100:AR111 AQ169:AQ174 AZ70:AZ105 AT164:AY164 AS121:AT125 AW435:AW442 AR133:AR135 AZ134 AT476:AV478 AW186:AZ200 AS133:AS148 AY163:AZ163 AU161:AV163 AS165:AX169 AS71:AS105 AT208:AZ208 AR170 AW102:AW103 AS185:AS189 AS597:AY597 AQ401:AR408 AU120:AZ125 AV186:AV198 AS468:AS471 AT474 AQ480:AS481 AZ136:AZ147 AY520:AY523 AW471:AW483 AU378:AU385 AV378:AV384 AS589:AY589 AV385:AY385 AS407:AV408 AU416:AY417 AV418:AY419 AW458:AW464 AJ479:AJ613 AZ10:AZ24 AU127:AZ132 AZ410:AZ492 AW410:AY415 AS465:AY466 AZ545:AZ565 AQ810:AY811 AS126:AY126 AA390:AA392 AT323:AX326 AV551:AX551 AY165:AY175 AT70:AT106 AT133:AT137 AT170:AT182 AY598 AU133:AY144 AQ524:AY524 AT525 AT186:AU200 AU70:AV103 AU170:AV176 AQ119:AY119 AT330:AV332 AX327:AX358 AS434:AW434 AS457:AW457 AT480:AV482 AU473:AV475 AQ552:AY552 AX471:AX485 AY277:AZ358 AW391:AY408 AW328:AW358 AX420:AX442 AW420:AW433 AX444:AX464 AW444:AW456 AY545:AY551 AQ411:AS411 AU410:AU411 BC10:BC872 AX70:AY103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7824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5816</v>
      </c>
      <c r="D12" s="242" t="s">
        <v>7815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 x14ac:dyDescent="0.25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7818</v>
      </c>
      <c r="D16" s="242" t="s">
        <v>7822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 x14ac:dyDescent="0.25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 x14ac:dyDescent="0.25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7825</v>
      </c>
      <c r="B46" s="120"/>
      <c r="C46" s="120" t="s">
        <v>7826</v>
      </c>
      <c r="D46" s="120" t="s">
        <v>7827</v>
      </c>
      <c r="E46" s="105">
        <v>44961</v>
      </c>
    </row>
    <row r="47" spans="1:5" ht="20.25" customHeight="1" x14ac:dyDescent="0.25">
      <c r="A47" s="120" t="s">
        <v>7825</v>
      </c>
      <c r="B47" s="120"/>
      <c r="C47" s="120" t="s">
        <v>7828</v>
      </c>
      <c r="D47" s="120" t="s">
        <v>7829</v>
      </c>
      <c r="E47" s="105">
        <v>44923</v>
      </c>
    </row>
    <row r="48" spans="1:5" ht="20.25" customHeight="1" x14ac:dyDescent="0.25">
      <c r="A48" s="120" t="s">
        <v>7825</v>
      </c>
      <c r="B48" s="120"/>
      <c r="C48" s="120" t="s">
        <v>7830</v>
      </c>
      <c r="D48" s="120" t="s">
        <v>7831</v>
      </c>
      <c r="E48" s="119">
        <v>45013</v>
      </c>
    </row>
    <row r="49" spans="1:5" ht="20.25" customHeight="1" x14ac:dyDescent="0.25">
      <c r="A49" s="120" t="s">
        <v>7825</v>
      </c>
      <c r="B49" s="120"/>
      <c r="C49" s="120" t="s">
        <v>7832</v>
      </c>
      <c r="D49" s="120" t="s">
        <v>7833</v>
      </c>
      <c r="E49" s="108">
        <v>45148</v>
      </c>
    </row>
    <row r="50" spans="1:5" ht="20.25" customHeight="1" x14ac:dyDescent="0.25">
      <c r="A50" s="120" t="s">
        <v>7825</v>
      </c>
      <c r="B50" s="120"/>
      <c r="C50" s="120" t="s">
        <v>7834</v>
      </c>
      <c r="D50" s="120" t="s">
        <v>7835</v>
      </c>
      <c r="E50" s="107"/>
    </row>
    <row r="51" spans="1:5" ht="20.25" customHeight="1" x14ac:dyDescent="0.25">
      <c r="A51" s="120" t="s">
        <v>7825</v>
      </c>
      <c r="B51" s="120"/>
      <c r="C51" s="120" t="s">
        <v>7836</v>
      </c>
      <c r="D51" s="120" t="s">
        <v>7837</v>
      </c>
      <c r="E51" s="103"/>
    </row>
    <row r="52" spans="1:5" ht="20.25" customHeight="1" x14ac:dyDescent="0.25">
      <c r="A52" s="120" t="s">
        <v>7825</v>
      </c>
      <c r="B52" s="120"/>
      <c r="C52" s="120" t="s">
        <v>7838</v>
      </c>
      <c r="D52" s="120" t="s">
        <v>7839</v>
      </c>
      <c r="E52" s="107"/>
    </row>
    <row r="53" spans="1:5" ht="20.25" customHeight="1" x14ac:dyDescent="0.25">
      <c r="A53" s="120" t="s">
        <v>7825</v>
      </c>
      <c r="B53" s="120"/>
      <c r="C53" s="120" t="s">
        <v>7840</v>
      </c>
      <c r="D53" s="120" t="s">
        <v>7841</v>
      </c>
      <c r="E53" s="107"/>
    </row>
    <row r="54" spans="1:5" ht="20.25" customHeight="1" x14ac:dyDescent="0.25">
      <c r="A54" s="120" t="s">
        <v>7825</v>
      </c>
      <c r="B54" s="120"/>
      <c r="C54" s="120" t="s">
        <v>7842</v>
      </c>
      <c r="D54" s="120" t="s">
        <v>7843</v>
      </c>
      <c r="E54" s="103"/>
    </row>
    <row r="55" spans="1:5" ht="20.25" customHeight="1" x14ac:dyDescent="0.25">
      <c r="A55" s="120" t="s">
        <v>7825</v>
      </c>
      <c r="B55" s="120"/>
      <c r="C55" s="120" t="s">
        <v>7844</v>
      </c>
      <c r="D55" s="120" t="s">
        <v>7845</v>
      </c>
      <c r="E55" s="103"/>
    </row>
    <row r="56" spans="1:5" ht="20.25" customHeight="1" x14ac:dyDescent="0.25">
      <c r="A56" s="120" t="s">
        <v>7825</v>
      </c>
      <c r="B56" s="120"/>
      <c r="C56" s="120" t="s">
        <v>7846</v>
      </c>
      <c r="D56" s="120" t="s">
        <v>7847</v>
      </c>
      <c r="E56" s="109"/>
    </row>
    <row r="57" spans="1:5" ht="20.25" customHeight="1" x14ac:dyDescent="0.25">
      <c r="A57" s="120" t="s">
        <v>7825</v>
      </c>
      <c r="B57" s="120"/>
      <c r="C57" s="120" t="s">
        <v>7848</v>
      </c>
      <c r="D57" s="120" t="s">
        <v>7849</v>
      </c>
      <c r="E57" s="105">
        <v>45056</v>
      </c>
    </row>
    <row r="58" spans="1:5" ht="20.25" customHeight="1" x14ac:dyDescent="0.25">
      <c r="A58" s="120" t="s">
        <v>7825</v>
      </c>
      <c r="B58" s="120"/>
      <c r="C58" s="120" t="s">
        <v>7850</v>
      </c>
      <c r="D58" s="120" t="s">
        <v>7851</v>
      </c>
      <c r="E58" s="119">
        <v>45013</v>
      </c>
    </row>
    <row r="59" spans="1:5" ht="20.25" customHeight="1" x14ac:dyDescent="0.25">
      <c r="A59" s="120" t="s">
        <v>7825</v>
      </c>
      <c r="B59" s="120"/>
      <c r="C59" s="120" t="s">
        <v>7852</v>
      </c>
      <c r="D59" s="120" t="s">
        <v>7853</v>
      </c>
      <c r="E59" s="105">
        <v>45097</v>
      </c>
    </row>
    <row r="60" spans="1:5" ht="20.25" customHeight="1" x14ac:dyDescent="0.25">
      <c r="A60" s="120" t="s">
        <v>7825</v>
      </c>
      <c r="B60" s="120"/>
      <c r="C60" s="120" t="s">
        <v>7854</v>
      </c>
      <c r="D60" s="120" t="s">
        <v>7855</v>
      </c>
      <c r="E60" s="105">
        <v>44816</v>
      </c>
    </row>
    <row r="61" spans="1:5" ht="20.25" customHeight="1" x14ac:dyDescent="0.25">
      <c r="A61" s="120" t="s">
        <v>7825</v>
      </c>
      <c r="B61" s="120"/>
      <c r="C61" s="120" t="s">
        <v>7856</v>
      </c>
      <c r="D61" s="120" t="s">
        <v>7857</v>
      </c>
      <c r="E61" s="103"/>
    </row>
    <row r="62" spans="1:5" ht="20.25" customHeight="1" x14ac:dyDescent="0.25">
      <c r="A62" s="120" t="s">
        <v>7825</v>
      </c>
      <c r="B62" s="120"/>
      <c r="C62" s="120" t="s">
        <v>7858</v>
      </c>
      <c r="D62" s="120" t="s">
        <v>7859</v>
      </c>
      <c r="E62" s="103" t="s">
        <v>4357</v>
      </c>
    </row>
    <row r="63" spans="1:5" ht="20.25" customHeight="1" x14ac:dyDescent="0.25">
      <c r="A63" s="120" t="s">
        <v>7825</v>
      </c>
      <c r="B63" s="120"/>
      <c r="C63" s="120" t="s">
        <v>7860</v>
      </c>
      <c r="D63" s="120" t="s">
        <v>7861</v>
      </c>
      <c r="E63" s="103"/>
    </row>
    <row r="64" spans="1:5" ht="20.25" customHeight="1" x14ac:dyDescent="0.25">
      <c r="A64" s="120" t="s">
        <v>7825</v>
      </c>
      <c r="B64" s="120"/>
      <c r="C64" s="120" t="s">
        <v>7862</v>
      </c>
      <c r="D64" s="120" t="s">
        <v>7863</v>
      </c>
      <c r="E64" s="103"/>
    </row>
    <row r="65" spans="1:5" ht="20.25" customHeight="1" x14ac:dyDescent="0.25">
      <c r="A65" s="120" t="s">
        <v>7825</v>
      </c>
      <c r="B65" s="120"/>
      <c r="C65" s="120" t="s">
        <v>7864</v>
      </c>
      <c r="D65" s="120" t="s">
        <v>7865</v>
      </c>
      <c r="E65" s="105">
        <v>44877</v>
      </c>
    </row>
    <row r="66" spans="1:5" ht="20.25" customHeight="1" x14ac:dyDescent="0.25">
      <c r="A66" s="120" t="s">
        <v>7825</v>
      </c>
      <c r="B66" s="120"/>
      <c r="C66" s="120" t="s">
        <v>7866</v>
      </c>
      <c r="D66" s="120" t="s">
        <v>7867</v>
      </c>
      <c r="E66" s="105">
        <v>44876</v>
      </c>
    </row>
    <row r="67" spans="1:5" ht="20.25" customHeight="1" x14ac:dyDescent="0.25">
      <c r="A67" s="120" t="s">
        <v>7825</v>
      </c>
      <c r="B67" s="120"/>
      <c r="C67" s="120" t="s">
        <v>7868</v>
      </c>
      <c r="D67" s="120" t="s">
        <v>7869</v>
      </c>
      <c r="E67" s="105">
        <v>44910</v>
      </c>
    </row>
    <row r="68" spans="1:5" ht="20.25" customHeight="1" x14ac:dyDescent="0.25">
      <c r="A68" s="120" t="s">
        <v>7825</v>
      </c>
      <c r="B68" s="120"/>
      <c r="C68" s="120" t="s">
        <v>7870</v>
      </c>
      <c r="D68" s="120" t="s">
        <v>7871</v>
      </c>
      <c r="E68" s="108">
        <v>45148</v>
      </c>
    </row>
    <row r="69" spans="1:5" ht="20.25" customHeight="1" x14ac:dyDescent="0.25">
      <c r="A69" s="120" t="s">
        <v>7825</v>
      </c>
      <c r="B69" s="120"/>
      <c r="C69" s="120" t="s">
        <v>7872</v>
      </c>
      <c r="D69" s="120" t="s">
        <v>7873</v>
      </c>
      <c r="E69" s="108">
        <v>45065</v>
      </c>
    </row>
    <row r="70" spans="1:5" ht="20.25" customHeight="1" x14ac:dyDescent="0.25">
      <c r="A70" s="120" t="s">
        <v>7825</v>
      </c>
      <c r="B70" s="120"/>
      <c r="C70" s="120" t="s">
        <v>7874</v>
      </c>
      <c r="D70" s="120" t="s">
        <v>7875</v>
      </c>
      <c r="E70" s="108">
        <v>45049</v>
      </c>
    </row>
    <row r="71" spans="1:5" ht="20.25" customHeight="1" x14ac:dyDescent="0.25">
      <c r="A71" s="120" t="s">
        <v>7825</v>
      </c>
      <c r="B71" s="120"/>
      <c r="C71" s="120" t="s">
        <v>7876</v>
      </c>
      <c r="D71" s="120" t="s">
        <v>7877</v>
      </c>
      <c r="E71" s="108">
        <v>45065</v>
      </c>
    </row>
    <row r="72" spans="1:5" ht="20.25" customHeight="1" x14ac:dyDescent="0.25">
      <c r="A72" s="120" t="s">
        <v>7825</v>
      </c>
      <c r="B72" s="120"/>
      <c r="C72" s="120" t="s">
        <v>7878</v>
      </c>
      <c r="D72" s="120" t="s">
        <v>7879</v>
      </c>
      <c r="E72" s="105">
        <v>44922</v>
      </c>
    </row>
    <row r="73" spans="1:5" ht="20.25" customHeight="1" x14ac:dyDescent="0.25">
      <c r="A73" s="120" t="s">
        <v>7825</v>
      </c>
      <c r="B73" s="120"/>
      <c r="C73" s="120" t="s">
        <v>7880</v>
      </c>
      <c r="D73" s="120" t="s">
        <v>7881</v>
      </c>
      <c r="E73" s="105">
        <v>44961</v>
      </c>
    </row>
    <row r="74" spans="1:5" ht="20.25" customHeight="1" x14ac:dyDescent="0.25">
      <c r="A74" s="120" t="s">
        <v>7825</v>
      </c>
      <c r="B74" s="120"/>
      <c r="C74" s="120" t="s">
        <v>7882</v>
      </c>
      <c r="D74" s="120" t="s">
        <v>7883</v>
      </c>
      <c r="E74" s="103" t="s">
        <v>4357</v>
      </c>
    </row>
    <row r="75" spans="1:5" ht="20.25" customHeight="1" x14ac:dyDescent="0.25">
      <c r="A75" s="120" t="s">
        <v>7825</v>
      </c>
      <c r="B75" s="120"/>
      <c r="C75" s="120" t="s">
        <v>7884</v>
      </c>
      <c r="D75" s="120" t="s">
        <v>7885</v>
      </c>
      <c r="E75" s="108">
        <v>45049</v>
      </c>
    </row>
    <row r="76" spans="1:5" ht="20.25" customHeight="1" x14ac:dyDescent="0.25">
      <c r="A76" s="120" t="s">
        <v>7825</v>
      </c>
      <c r="B76" s="120"/>
      <c r="C76" s="122" t="s">
        <v>7886</v>
      </c>
      <c r="D76" s="123" t="s">
        <v>7887</v>
      </c>
      <c r="E76" s="103" t="s">
        <v>4357</v>
      </c>
    </row>
    <row r="77" spans="1:5" ht="20.25" customHeight="1" x14ac:dyDescent="0.25">
      <c r="A77" s="120" t="s">
        <v>7825</v>
      </c>
      <c r="B77" s="120"/>
      <c r="C77" s="122" t="s">
        <v>7888</v>
      </c>
      <c r="D77" s="124" t="s">
        <v>7889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7890</v>
      </c>
      <c r="E91" s="103" t="s">
        <v>4357</v>
      </c>
    </row>
    <row r="92" spans="3:5" ht="20.25" customHeight="1" x14ac:dyDescent="0.25">
      <c r="C92" s="97" t="s">
        <v>7891</v>
      </c>
      <c r="E92" s="103" t="s">
        <v>4357</v>
      </c>
    </row>
    <row r="93" spans="3:5" ht="20.25" customHeight="1" x14ac:dyDescent="0.25">
      <c r="C93" s="91" t="s">
        <v>7892</v>
      </c>
      <c r="E93" s="103" t="s">
        <v>4357</v>
      </c>
    </row>
    <row r="94" spans="3:5" ht="20.25" customHeight="1" x14ac:dyDescent="0.25">
      <c r="C94" s="91" t="s">
        <v>7893</v>
      </c>
      <c r="E94" s="103" t="s">
        <v>4357</v>
      </c>
    </row>
    <row r="95" spans="3:5" ht="20.25" customHeight="1" x14ac:dyDescent="0.25">
      <c r="C95" s="91" t="s">
        <v>7894</v>
      </c>
      <c r="E95" s="103" t="s">
        <v>4357</v>
      </c>
    </row>
    <row r="96" spans="3:5" ht="20.25" customHeight="1" x14ac:dyDescent="0.25">
      <c r="C96" s="91" t="s">
        <v>7895</v>
      </c>
      <c r="E96" s="103"/>
    </row>
    <row r="97" spans="3:5" ht="20.25" customHeight="1" x14ac:dyDescent="0.25">
      <c r="C97" s="91" t="s">
        <v>7896</v>
      </c>
      <c r="E97" s="103"/>
    </row>
    <row r="98" spans="3:5" ht="20.25" customHeight="1" x14ac:dyDescent="0.25">
      <c r="C98" s="91" t="s">
        <v>7897</v>
      </c>
      <c r="E98" s="119">
        <v>45013</v>
      </c>
    </row>
    <row r="99" spans="3:5" ht="20.25" customHeight="1" x14ac:dyDescent="0.25">
      <c r="C99" s="91" t="s">
        <v>7898</v>
      </c>
      <c r="E99" s="119">
        <v>45013</v>
      </c>
    </row>
    <row r="100" spans="3:5" ht="20.25" customHeight="1" x14ac:dyDescent="0.25">
      <c r="C100" s="91" t="s">
        <v>7899</v>
      </c>
      <c r="E100" s="103" t="s">
        <v>4357</v>
      </c>
    </row>
    <row r="101" spans="3:5" ht="20.25" customHeight="1" x14ac:dyDescent="0.25">
      <c r="C101" s="97" t="s">
        <v>7900</v>
      </c>
      <c r="E101" s="103" t="s">
        <v>4357</v>
      </c>
    </row>
    <row r="102" spans="3:5" ht="20.25" customHeight="1" x14ac:dyDescent="0.25">
      <c r="C102" s="91" t="s">
        <v>7901</v>
      </c>
      <c r="E102" s="105">
        <v>44853</v>
      </c>
    </row>
    <row r="103" spans="3:5" ht="20.25" customHeight="1" x14ac:dyDescent="0.25">
      <c r="C103" s="91" t="s">
        <v>7902</v>
      </c>
      <c r="E103" s="105">
        <v>44840</v>
      </c>
    </row>
    <row r="104" spans="3:5" ht="20.25" customHeight="1" x14ac:dyDescent="0.25">
      <c r="C104" s="91" t="s">
        <v>7903</v>
      </c>
      <c r="E104" s="105">
        <v>44840</v>
      </c>
    </row>
    <row r="105" spans="3:5" ht="20.25" customHeight="1" x14ac:dyDescent="0.25">
      <c r="C105" s="91" t="s">
        <v>7904</v>
      </c>
      <c r="E105" s="106"/>
    </row>
    <row r="106" spans="3:5" ht="20.25" customHeight="1" x14ac:dyDescent="0.25">
      <c r="C106" s="97" t="s">
        <v>7905</v>
      </c>
      <c r="E106" s="105">
        <v>44910</v>
      </c>
    </row>
    <row r="107" spans="3:5" ht="20.25" customHeight="1" x14ac:dyDescent="0.25">
      <c r="C107" s="91" t="s">
        <v>7906</v>
      </c>
      <c r="E107" s="105">
        <v>44961</v>
      </c>
    </row>
    <row r="108" spans="3:5" ht="20.25" customHeight="1" x14ac:dyDescent="0.25">
      <c r="C108" s="91" t="s">
        <v>7907</v>
      </c>
      <c r="E108" s="103" t="s">
        <v>4357</v>
      </c>
    </row>
    <row r="109" spans="3:5" ht="20.25" customHeight="1" x14ac:dyDescent="0.25">
      <c r="C109" s="91" t="s">
        <v>7908</v>
      </c>
      <c r="E109" s="103" t="s">
        <v>4357</v>
      </c>
    </row>
    <row r="110" spans="3:5" ht="20.25" customHeight="1" x14ac:dyDescent="0.25">
      <c r="C110" s="97" t="s">
        <v>7909</v>
      </c>
      <c r="E110" s="105">
        <v>44862</v>
      </c>
    </row>
    <row r="111" spans="3:5" ht="20.25" customHeight="1" x14ac:dyDescent="0.25">
      <c r="C111" s="91" t="s">
        <v>7910</v>
      </c>
      <c r="E111" s="105">
        <v>44877</v>
      </c>
    </row>
    <row r="112" spans="3:5" ht="20.25" customHeight="1" x14ac:dyDescent="0.25">
      <c r="C112" s="91" t="s">
        <v>7911</v>
      </c>
      <c r="E112" s="105">
        <v>44840</v>
      </c>
    </row>
    <row r="113" spans="3:5" ht="20.25" customHeight="1" x14ac:dyDescent="0.25">
      <c r="C113" s="97" t="s">
        <v>7912</v>
      </c>
      <c r="E113" s="103" t="s">
        <v>4357</v>
      </c>
    </row>
    <row r="114" spans="3:5" ht="20.25" customHeight="1" x14ac:dyDescent="0.25">
      <c r="C114" s="91" t="s">
        <v>7913</v>
      </c>
      <c r="E114" s="105">
        <v>44840</v>
      </c>
    </row>
    <row r="115" spans="3:5" ht="20.25" customHeight="1" x14ac:dyDescent="0.25">
      <c r="C115" s="91" t="s">
        <v>7914</v>
      </c>
      <c r="E115" s="103" t="s">
        <v>4357</v>
      </c>
    </row>
    <row r="116" spans="3:5" ht="20.25" customHeight="1" x14ac:dyDescent="0.25">
      <c r="C116" s="91" t="s">
        <v>7915</v>
      </c>
      <c r="E116" s="103" t="s">
        <v>4357</v>
      </c>
    </row>
    <row r="117" spans="3:5" ht="20.25" customHeight="1" x14ac:dyDescent="0.25">
      <c r="C117" s="91" t="s">
        <v>7916</v>
      </c>
      <c r="E117" s="105">
        <v>44840</v>
      </c>
    </row>
    <row r="118" spans="3:5" ht="20.25" customHeight="1" x14ac:dyDescent="0.25">
      <c r="C118" s="91" t="s">
        <v>7917</v>
      </c>
      <c r="E118" s="105">
        <v>44877</v>
      </c>
    </row>
    <row r="119" spans="3:5" ht="20.25" customHeight="1" x14ac:dyDescent="0.25">
      <c r="C119" s="91" t="s">
        <v>7918</v>
      </c>
      <c r="E119" s="105">
        <v>44890</v>
      </c>
    </row>
    <row r="120" spans="3:5" ht="20.25" customHeight="1" x14ac:dyDescent="0.25">
      <c r="C120" s="91" t="s">
        <v>7919</v>
      </c>
      <c r="E120" s="105">
        <v>45013</v>
      </c>
    </row>
    <row r="121" spans="3:5" ht="20.25" customHeight="1" x14ac:dyDescent="0.25">
      <c r="C121" s="91" t="s">
        <v>7920</v>
      </c>
      <c r="E121" s="105">
        <v>45013</v>
      </c>
    </row>
    <row r="122" spans="3:5" ht="20.25" customHeight="1" x14ac:dyDescent="0.25">
      <c r="C122" s="91" t="s">
        <v>7921</v>
      </c>
      <c r="E122" s="105"/>
    </row>
    <row r="123" spans="3:5" ht="20.25" customHeight="1" x14ac:dyDescent="0.25">
      <c r="C123" s="91" t="s">
        <v>7922</v>
      </c>
      <c r="E123" s="105"/>
    </row>
    <row r="124" spans="3:5" ht="20.25" customHeight="1" x14ac:dyDescent="0.25">
      <c r="C124" s="91" t="s">
        <v>7923</v>
      </c>
      <c r="E124" s="112"/>
    </row>
    <row r="125" spans="3:5" ht="20.25" customHeight="1" x14ac:dyDescent="0.25">
      <c r="C125" s="91" t="s">
        <v>7924</v>
      </c>
      <c r="E125" s="112"/>
    </row>
    <row r="126" spans="3:5" ht="20.25" customHeight="1" x14ac:dyDescent="0.25">
      <c r="C126" s="91" t="s">
        <v>7925</v>
      </c>
      <c r="E126" s="112"/>
    </row>
    <row r="127" spans="3:5" ht="20.25" customHeight="1" x14ac:dyDescent="0.25">
      <c r="C127" s="97" t="s">
        <v>7926</v>
      </c>
      <c r="E127" s="112"/>
    </row>
    <row r="128" spans="3:5" ht="20.25" customHeight="1" x14ac:dyDescent="0.25">
      <c r="C128" s="91" t="s">
        <v>7927</v>
      </c>
      <c r="E128" s="112"/>
    </row>
    <row r="129" spans="3:5" ht="20.25" customHeight="1" x14ac:dyDescent="0.25">
      <c r="C129" s="97" t="s">
        <v>7928</v>
      </c>
      <c r="E129" s="112"/>
    </row>
    <row r="130" spans="3:5" ht="20.25" customHeight="1" x14ac:dyDescent="0.25">
      <c r="C130" s="91" t="s">
        <v>7929</v>
      </c>
      <c r="E130" s="108">
        <v>45105</v>
      </c>
    </row>
    <row r="131" spans="3:5" ht="20.25" customHeight="1" x14ac:dyDescent="0.25">
      <c r="C131" s="91" t="s">
        <v>7930</v>
      </c>
      <c r="E131" s="109"/>
    </row>
    <row r="132" spans="3:5" ht="20.25" customHeight="1" x14ac:dyDescent="0.25">
      <c r="C132" s="91" t="s">
        <v>7931</v>
      </c>
      <c r="E132" s="112"/>
    </row>
    <row r="133" spans="3:5" ht="20.25" customHeight="1" x14ac:dyDescent="0.25">
      <c r="C133" s="91" t="s">
        <v>7932</v>
      </c>
      <c r="E133" s="112"/>
    </row>
    <row r="134" spans="3:5" ht="20.25" customHeight="1" x14ac:dyDescent="0.25">
      <c r="C134" s="91" t="s">
        <v>7933</v>
      </c>
      <c r="E134" s="112"/>
    </row>
    <row r="135" spans="3:5" ht="20.25" customHeight="1" x14ac:dyDescent="0.25">
      <c r="C135" s="91" t="s">
        <v>7934</v>
      </c>
      <c r="E135" s="108">
        <v>45105</v>
      </c>
    </row>
    <row r="136" spans="3:5" ht="20.25" customHeight="1" x14ac:dyDescent="0.25">
      <c r="C136" s="91" t="s">
        <v>7935</v>
      </c>
      <c r="E136" s="112"/>
    </row>
    <row r="137" spans="3:5" ht="20.25" customHeight="1" x14ac:dyDescent="0.25">
      <c r="C137" s="91" t="s">
        <v>7936</v>
      </c>
      <c r="E137" s="112"/>
    </row>
    <row r="138" spans="3:5" ht="20.25" customHeight="1" x14ac:dyDescent="0.25">
      <c r="C138" s="91" t="s">
        <v>7937</v>
      </c>
      <c r="E138" s="108">
        <v>45049</v>
      </c>
    </row>
    <row r="139" spans="3:5" ht="20.25" customHeight="1" x14ac:dyDescent="0.25">
      <c r="C139" s="91" t="s">
        <v>7938</v>
      </c>
      <c r="E139" s="112"/>
    </row>
    <row r="140" spans="3:5" ht="20.25" customHeight="1" x14ac:dyDescent="0.25">
      <c r="C140" s="91" t="s">
        <v>7939</v>
      </c>
      <c r="E140" s="112"/>
    </row>
    <row r="141" spans="3:5" ht="20.25" customHeight="1" x14ac:dyDescent="0.25">
      <c r="C141" s="91" t="s">
        <v>7940</v>
      </c>
      <c r="E141" s="112"/>
    </row>
    <row r="142" spans="3:5" ht="20.25" customHeight="1" x14ac:dyDescent="0.25">
      <c r="C142" s="91" t="s">
        <v>7941</v>
      </c>
      <c r="E142" s="112"/>
    </row>
    <row r="143" spans="3:5" ht="20.25" customHeight="1" x14ac:dyDescent="0.25">
      <c r="C143" s="91" t="s">
        <v>7942</v>
      </c>
      <c r="E143" s="112"/>
    </row>
    <row r="144" spans="3:5" ht="20.25" customHeight="1" x14ac:dyDescent="0.25">
      <c r="C144" s="91" t="s">
        <v>7943</v>
      </c>
      <c r="E144" s="105">
        <v>45056</v>
      </c>
    </row>
    <row r="145" spans="3:5" ht="20.25" customHeight="1" x14ac:dyDescent="0.25">
      <c r="C145" s="91" t="s">
        <v>7944</v>
      </c>
      <c r="E145" s="105">
        <v>45056</v>
      </c>
    </row>
    <row r="146" spans="3:5" ht="20.25" customHeight="1" x14ac:dyDescent="0.25">
      <c r="C146" s="90" t="s">
        <v>7945</v>
      </c>
      <c r="E146" s="105">
        <v>45056</v>
      </c>
    </row>
    <row r="147" spans="3:5" ht="20.25" customHeight="1" x14ac:dyDescent="0.25">
      <c r="C147" s="91" t="s">
        <v>7946</v>
      </c>
      <c r="E147" s="112"/>
    </row>
    <row r="148" spans="3:5" ht="20.25" customHeight="1" x14ac:dyDescent="0.25">
      <c r="C148" s="91" t="s">
        <v>7947</v>
      </c>
      <c r="E148" s="112"/>
    </row>
    <row r="149" spans="3:5" ht="20.25" customHeight="1" x14ac:dyDescent="0.25">
      <c r="C149" s="91" t="s">
        <v>7948</v>
      </c>
      <c r="E149" s="112"/>
    </row>
    <row r="150" spans="3:5" ht="20.25" customHeight="1" x14ac:dyDescent="0.25">
      <c r="C150" s="91" t="s">
        <v>7949</v>
      </c>
      <c r="E150" s="112"/>
    </row>
    <row r="151" spans="3:5" ht="20.25" customHeight="1" x14ac:dyDescent="0.25">
      <c r="C151" s="91" t="s">
        <v>7950</v>
      </c>
      <c r="E151" s="112"/>
    </row>
    <row r="152" spans="3:5" ht="20.25" customHeight="1" x14ac:dyDescent="0.25">
      <c r="C152" s="91" t="s">
        <v>7951</v>
      </c>
      <c r="E152" s="112"/>
    </row>
    <row r="153" spans="3:5" ht="20.25" customHeight="1" x14ac:dyDescent="0.25">
      <c r="C153" s="97" t="s">
        <v>7952</v>
      </c>
      <c r="E153" s="112"/>
    </row>
    <row r="154" spans="3:5" ht="20.25" customHeight="1" x14ac:dyDescent="0.25">
      <c r="C154" s="91" t="s">
        <v>7953</v>
      </c>
      <c r="E154" s="112"/>
    </row>
    <row r="155" spans="3:5" ht="20.25" customHeight="1" x14ac:dyDescent="0.25">
      <c r="C155" s="91" t="s">
        <v>7954</v>
      </c>
      <c r="E155" s="112"/>
    </row>
    <row r="156" spans="3:5" ht="20.25" customHeight="1" x14ac:dyDescent="0.25">
      <c r="C156" s="91" t="s">
        <v>7955</v>
      </c>
      <c r="E156" s="109"/>
    </row>
    <row r="157" spans="3:5" ht="20.25" customHeight="1" x14ac:dyDescent="0.25">
      <c r="C157" s="91" t="s">
        <v>7956</v>
      </c>
      <c r="E157" s="105">
        <v>45056</v>
      </c>
    </row>
    <row r="158" spans="3:5" ht="20.25" customHeight="1" x14ac:dyDescent="0.25">
      <c r="C158" s="91" t="s">
        <v>7957</v>
      </c>
      <c r="E158" s="108">
        <v>45148</v>
      </c>
    </row>
    <row r="159" spans="3:5" ht="20.25" customHeight="1" x14ac:dyDescent="0.25">
      <c r="C159" s="91" t="s">
        <v>7958</v>
      </c>
      <c r="E159" s="107"/>
    </row>
    <row r="160" spans="3:5" ht="20.25" customHeight="1" x14ac:dyDescent="0.25">
      <c r="C160" s="91" t="s">
        <v>7959</v>
      </c>
      <c r="E160" s="107"/>
    </row>
    <row r="161" spans="3:5" ht="20.25" customHeight="1" x14ac:dyDescent="0.25">
      <c r="C161" s="91" t="s">
        <v>7960</v>
      </c>
      <c r="E161" s="107"/>
    </row>
    <row r="162" spans="3:5" ht="20.25" customHeight="1" x14ac:dyDescent="0.25">
      <c r="C162" s="91" t="s">
        <v>7961</v>
      </c>
      <c r="E162" s="107"/>
    </row>
    <row r="163" spans="3:5" ht="20.25" customHeight="1" x14ac:dyDescent="0.25">
      <c r="C163" s="91" t="s">
        <v>7962</v>
      </c>
      <c r="E163" s="107"/>
    </row>
    <row r="164" spans="3:5" ht="20.25" customHeight="1" x14ac:dyDescent="0.25">
      <c r="C164" s="91" t="s">
        <v>7963</v>
      </c>
      <c r="E164" s="107"/>
    </row>
    <row r="165" spans="3:5" ht="20.25" customHeight="1" x14ac:dyDescent="0.25">
      <c r="C165" s="91" t="s">
        <v>7964</v>
      </c>
      <c r="E165" s="107"/>
    </row>
    <row r="166" spans="3:5" ht="20.25" customHeight="1" x14ac:dyDescent="0.25">
      <c r="C166" s="91" t="s">
        <v>7965</v>
      </c>
      <c r="E166" s="107"/>
    </row>
    <row r="167" spans="3:5" ht="20.25" customHeight="1" x14ac:dyDescent="0.25">
      <c r="C167" s="91" t="s">
        <v>7966</v>
      </c>
      <c r="E167" s="107"/>
    </row>
    <row r="168" spans="3:5" ht="20.25" customHeight="1" x14ac:dyDescent="0.25">
      <c r="C168" s="91" t="s">
        <v>7967</v>
      </c>
      <c r="E168" s="107"/>
    </row>
    <row r="169" spans="3:5" ht="20.25" customHeight="1" x14ac:dyDescent="0.25">
      <c r="C169" s="91" t="s">
        <v>7968</v>
      </c>
      <c r="E169" s="107"/>
    </row>
    <row r="170" spans="3:5" ht="20.25" customHeight="1" x14ac:dyDescent="0.25">
      <c r="C170" s="91" t="s">
        <v>7969</v>
      </c>
      <c r="E170" s="107"/>
    </row>
    <row r="171" spans="3:5" ht="20.25" customHeight="1" x14ac:dyDescent="0.25">
      <c r="C171" s="91" t="s">
        <v>7970</v>
      </c>
      <c r="E171" s="107"/>
    </row>
    <row r="172" spans="3:5" ht="20.25" customHeight="1" x14ac:dyDescent="0.25">
      <c r="C172" s="97" t="s">
        <v>7971</v>
      </c>
      <c r="E172" s="107"/>
    </row>
    <row r="173" spans="3:5" ht="20.25" customHeight="1" x14ac:dyDescent="0.25">
      <c r="C173" s="91" t="s">
        <v>7972</v>
      </c>
      <c r="E173" s="107"/>
    </row>
    <row r="174" spans="3:5" ht="20.25" customHeight="1" x14ac:dyDescent="0.25">
      <c r="C174" s="91" t="s">
        <v>7973</v>
      </c>
      <c r="E174" s="107"/>
    </row>
    <row r="175" spans="3:5" ht="20.25" customHeight="1" x14ac:dyDescent="0.25">
      <c r="C175" s="91" t="s">
        <v>7974</v>
      </c>
      <c r="E175" s="107"/>
    </row>
    <row r="176" spans="3:5" ht="20.25" customHeight="1" x14ac:dyDescent="0.25">
      <c r="C176" s="91" t="s">
        <v>7975</v>
      </c>
      <c r="E176" s="107"/>
    </row>
    <row r="177" spans="3:5" ht="20.25" customHeight="1" x14ac:dyDescent="0.25">
      <c r="C177" s="91" t="s">
        <v>7976</v>
      </c>
      <c r="E177" s="107"/>
    </row>
    <row r="178" spans="3:5" ht="20.25" customHeight="1" x14ac:dyDescent="0.25">
      <c r="C178" s="91" t="s">
        <v>7977</v>
      </c>
      <c r="E178" s="108">
        <v>45105</v>
      </c>
    </row>
    <row r="179" spans="3:5" ht="20.25" customHeight="1" x14ac:dyDescent="0.25">
      <c r="C179" s="91" t="s">
        <v>7978</v>
      </c>
      <c r="E179" s="105">
        <v>44992</v>
      </c>
    </row>
    <row r="180" spans="3:5" ht="20.25" customHeight="1" x14ac:dyDescent="0.25">
      <c r="C180" s="97" t="s">
        <v>7979</v>
      </c>
      <c r="E180" s="105">
        <v>45056</v>
      </c>
    </row>
    <row r="181" spans="3:5" ht="20.25" customHeight="1" x14ac:dyDescent="0.25">
      <c r="C181" s="91" t="s">
        <v>7980</v>
      </c>
      <c r="E181" s="105">
        <v>44992</v>
      </c>
    </row>
    <row r="182" spans="3:5" ht="20.25" customHeight="1" x14ac:dyDescent="0.25">
      <c r="C182" s="91" t="s">
        <v>7981</v>
      </c>
      <c r="E182" s="105">
        <v>45056</v>
      </c>
    </row>
    <row r="183" spans="3:5" ht="20.25" customHeight="1" x14ac:dyDescent="0.25">
      <c r="C183" s="91" t="s">
        <v>7982</v>
      </c>
      <c r="E183" s="111">
        <v>45111</v>
      </c>
    </row>
    <row r="184" spans="3:5" ht="20.25" customHeight="1" x14ac:dyDescent="0.25">
      <c r="C184" s="91" t="s">
        <v>7983</v>
      </c>
      <c r="E184" s="105">
        <v>45056</v>
      </c>
    </row>
    <row r="185" spans="3:5" ht="20.25" customHeight="1" x14ac:dyDescent="0.25">
      <c r="C185" s="97" t="s">
        <v>7984</v>
      </c>
      <c r="E185" s="107"/>
    </row>
    <row r="186" spans="3:5" ht="20.25" customHeight="1" x14ac:dyDescent="0.25">
      <c r="C186" s="91" t="s">
        <v>7985</v>
      </c>
      <c r="E186" s="107"/>
    </row>
    <row r="187" spans="3:5" ht="20.25" customHeight="1" x14ac:dyDescent="0.25">
      <c r="C187" s="91" t="s">
        <v>7986</v>
      </c>
      <c r="E187" s="105">
        <v>45056</v>
      </c>
    </row>
    <row r="188" spans="3:5" ht="20.25" customHeight="1" x14ac:dyDescent="0.25">
      <c r="C188" s="91" t="s">
        <v>7987</v>
      </c>
      <c r="E188" s="105">
        <v>45056</v>
      </c>
    </row>
    <row r="189" spans="3:5" ht="20.25" customHeight="1" x14ac:dyDescent="0.25">
      <c r="C189" s="91" t="s">
        <v>7988</v>
      </c>
      <c r="E189" s="105">
        <v>45056</v>
      </c>
    </row>
    <row r="190" spans="3:5" ht="20.25" customHeight="1" x14ac:dyDescent="0.25">
      <c r="C190" s="91" t="s">
        <v>7989</v>
      </c>
      <c r="E190" s="105">
        <v>45097</v>
      </c>
    </row>
    <row r="191" spans="3:5" ht="20.25" customHeight="1" x14ac:dyDescent="0.25">
      <c r="C191" s="91" t="s">
        <v>7990</v>
      </c>
      <c r="E191" s="111">
        <v>45111</v>
      </c>
    </row>
    <row r="192" spans="3:5" ht="20.25" customHeight="1" x14ac:dyDescent="0.25">
      <c r="C192" s="91" t="s">
        <v>7991</v>
      </c>
      <c r="E192" s="111">
        <v>45111</v>
      </c>
    </row>
    <row r="193" spans="3:5" ht="20.25" customHeight="1" x14ac:dyDescent="0.25">
      <c r="C193" s="91" t="s">
        <v>7992</v>
      </c>
      <c r="E193" s="111">
        <v>45111</v>
      </c>
    </row>
    <row r="194" spans="3:5" ht="20.25" customHeight="1" x14ac:dyDescent="0.25">
      <c r="C194" s="91" t="s">
        <v>7993</v>
      </c>
      <c r="E194" s="105">
        <v>45097</v>
      </c>
    </row>
    <row r="195" spans="3:5" ht="20.25" customHeight="1" x14ac:dyDescent="0.25">
      <c r="C195" s="91" t="s">
        <v>7994</v>
      </c>
      <c r="E195" s="111">
        <v>45111</v>
      </c>
    </row>
    <row r="196" spans="3:5" ht="20.25" customHeight="1" x14ac:dyDescent="0.25">
      <c r="C196" s="91" t="s">
        <v>7995</v>
      </c>
      <c r="E196" s="111">
        <v>45111</v>
      </c>
    </row>
    <row r="197" spans="3:5" ht="20.25" customHeight="1" x14ac:dyDescent="0.25">
      <c r="C197" s="91" t="s">
        <v>7996</v>
      </c>
      <c r="E197" s="105">
        <v>45097</v>
      </c>
    </row>
    <row r="198" spans="3:5" ht="20.25" customHeight="1" x14ac:dyDescent="0.25">
      <c r="C198" s="91" t="s">
        <v>7997</v>
      </c>
      <c r="E198" s="105">
        <v>45097</v>
      </c>
    </row>
    <row r="199" spans="3:5" ht="20.25" customHeight="1" x14ac:dyDescent="0.25">
      <c r="C199" s="91" t="s">
        <v>7998</v>
      </c>
      <c r="E199" s="105">
        <v>45097</v>
      </c>
    </row>
    <row r="200" spans="3:5" ht="20.25" customHeight="1" x14ac:dyDescent="0.25">
      <c r="C200" s="91" t="s">
        <v>7999</v>
      </c>
      <c r="E200" s="109"/>
    </row>
    <row r="201" spans="3:5" ht="20.25" customHeight="1" x14ac:dyDescent="0.25">
      <c r="C201" s="91" t="s">
        <v>8000</v>
      </c>
      <c r="E201" s="111">
        <v>45111</v>
      </c>
    </row>
    <row r="202" spans="3:5" ht="20.25" customHeight="1" x14ac:dyDescent="0.25">
      <c r="C202" s="91" t="s">
        <v>8001</v>
      </c>
      <c r="E202" s="105">
        <v>45097</v>
      </c>
    </row>
    <row r="203" spans="3:5" ht="20.25" customHeight="1" x14ac:dyDescent="0.25">
      <c r="C203" s="91" t="s">
        <v>8002</v>
      </c>
      <c r="E203" s="108">
        <v>45148</v>
      </c>
    </row>
    <row r="204" spans="3:5" ht="20.25" customHeight="1" x14ac:dyDescent="0.25">
      <c r="C204" s="91" t="s">
        <v>8003</v>
      </c>
      <c r="E204" s="111">
        <v>45111</v>
      </c>
    </row>
    <row r="205" spans="3:5" ht="20.25" customHeight="1" x14ac:dyDescent="0.25">
      <c r="C205" s="91" t="s">
        <v>8004</v>
      </c>
      <c r="E205" s="112"/>
    </row>
    <row r="206" spans="3:5" ht="20.25" customHeight="1" x14ac:dyDescent="0.25">
      <c r="C206" s="91" t="s">
        <v>8005</v>
      </c>
      <c r="E206" s="105">
        <v>44992</v>
      </c>
    </row>
    <row r="207" spans="3:5" ht="20.25" customHeight="1" x14ac:dyDescent="0.25">
      <c r="C207" s="91" t="s">
        <v>8006</v>
      </c>
      <c r="E207" s="105">
        <v>45097</v>
      </c>
    </row>
    <row r="208" spans="3:5" ht="20.25" customHeight="1" x14ac:dyDescent="0.25">
      <c r="C208" s="91" t="s">
        <v>8007</v>
      </c>
      <c r="E208" s="105">
        <v>45097</v>
      </c>
    </row>
    <row r="209" spans="3:5" ht="20.25" customHeight="1" x14ac:dyDescent="0.25">
      <c r="C209" s="91" t="s">
        <v>8008</v>
      </c>
      <c r="E209" s="105">
        <v>45097</v>
      </c>
    </row>
    <row r="210" spans="3:5" ht="20.25" customHeight="1" x14ac:dyDescent="0.25">
      <c r="C210" s="91" t="s">
        <v>8009</v>
      </c>
      <c r="E210" s="112"/>
    </row>
    <row r="211" spans="3:5" ht="20.25" customHeight="1" x14ac:dyDescent="0.25">
      <c r="C211" s="91" t="s">
        <v>8010</v>
      </c>
      <c r="E211" s="112"/>
    </row>
    <row r="212" spans="3:5" ht="20.25" customHeight="1" x14ac:dyDescent="0.25">
      <c r="C212" s="91" t="s">
        <v>8011</v>
      </c>
      <c r="E212" s="105">
        <v>45097</v>
      </c>
    </row>
    <row r="213" spans="3:5" ht="20.25" customHeight="1" x14ac:dyDescent="0.25">
      <c r="C213" s="91" t="s">
        <v>8012</v>
      </c>
      <c r="E213" s="105">
        <v>45097</v>
      </c>
    </row>
    <row r="214" spans="3:5" ht="20.25" customHeight="1" x14ac:dyDescent="0.25">
      <c r="C214" s="91" t="s">
        <v>8013</v>
      </c>
      <c r="E214" s="111">
        <v>45111</v>
      </c>
    </row>
    <row r="215" spans="3:5" ht="20.25" customHeight="1" x14ac:dyDescent="0.25">
      <c r="C215" s="91" t="s">
        <v>8014</v>
      </c>
      <c r="E215" s="105">
        <v>44961</v>
      </c>
    </row>
    <row r="216" spans="3:5" ht="20.25" customHeight="1" x14ac:dyDescent="0.25">
      <c r="C216" s="91" t="s">
        <v>8015</v>
      </c>
      <c r="E216" s="105">
        <v>45097</v>
      </c>
    </row>
    <row r="217" spans="3:5" ht="20.25" customHeight="1" x14ac:dyDescent="0.25">
      <c r="C217" s="91" t="s">
        <v>8016</v>
      </c>
      <c r="E217" s="108">
        <v>45148</v>
      </c>
    </row>
    <row r="218" spans="3:5" ht="20.25" customHeight="1" x14ac:dyDescent="0.25">
      <c r="C218" s="91" t="s">
        <v>8017</v>
      </c>
      <c r="E218" s="111">
        <v>45111</v>
      </c>
    </row>
    <row r="219" spans="3:5" ht="20.25" customHeight="1" x14ac:dyDescent="0.25">
      <c r="C219" s="91" t="s">
        <v>8018</v>
      </c>
      <c r="E219" s="112"/>
    </row>
    <row r="220" spans="3:5" ht="20.25" customHeight="1" x14ac:dyDescent="0.25">
      <c r="C220" s="91" t="s">
        <v>8019</v>
      </c>
      <c r="E220" s="112"/>
    </row>
    <row r="221" spans="3:5" ht="20.25" customHeight="1" x14ac:dyDescent="0.25">
      <c r="C221" s="91" t="s">
        <v>8020</v>
      </c>
      <c r="E221" s="112"/>
    </row>
    <row r="222" spans="3:5" ht="20.25" customHeight="1" x14ac:dyDescent="0.25">
      <c r="C222" s="91" t="s">
        <v>8021</v>
      </c>
      <c r="E222" s="105">
        <v>45097</v>
      </c>
    </row>
    <row r="223" spans="3:5" ht="20.25" customHeight="1" x14ac:dyDescent="0.25">
      <c r="C223" s="91" t="s">
        <v>8022</v>
      </c>
      <c r="E223" s="108">
        <v>45148</v>
      </c>
    </row>
    <row r="224" spans="3:5" ht="20.25" customHeight="1" x14ac:dyDescent="0.25">
      <c r="C224" s="91" t="s">
        <v>8023</v>
      </c>
      <c r="E224" s="111">
        <v>45111</v>
      </c>
    </row>
    <row r="225" spans="3:5" ht="20.25" customHeight="1" x14ac:dyDescent="0.25">
      <c r="C225" s="91" t="s">
        <v>8024</v>
      </c>
      <c r="E225" s="108">
        <v>45148</v>
      </c>
    </row>
    <row r="226" spans="3:5" ht="20.25" customHeight="1" x14ac:dyDescent="0.25">
      <c r="C226" s="91" t="s">
        <v>8025</v>
      </c>
      <c r="E226" s="108">
        <v>45148</v>
      </c>
    </row>
    <row r="227" spans="3:5" ht="20.25" customHeight="1" x14ac:dyDescent="0.25">
      <c r="C227" s="91" t="s">
        <v>8026</v>
      </c>
      <c r="E227" s="105">
        <v>45097</v>
      </c>
    </row>
    <row r="228" spans="3:5" ht="20.25" customHeight="1" x14ac:dyDescent="0.25">
      <c r="C228" s="91" t="s">
        <v>8027</v>
      </c>
      <c r="E228" s="112"/>
    </row>
    <row r="229" spans="3:5" ht="20.25" customHeight="1" x14ac:dyDescent="0.25">
      <c r="C229" s="91" t="s">
        <v>8028</v>
      </c>
      <c r="E229" s="111">
        <v>45111</v>
      </c>
    </row>
    <row r="230" spans="3:5" ht="20.25" customHeight="1" x14ac:dyDescent="0.25">
      <c r="C230" s="91" t="s">
        <v>8029</v>
      </c>
      <c r="E230" s="111">
        <v>45111</v>
      </c>
    </row>
    <row r="231" spans="3:5" ht="20.25" customHeight="1" x14ac:dyDescent="0.25">
      <c r="C231" s="91" t="s">
        <v>8030</v>
      </c>
      <c r="E231" s="105">
        <v>45097</v>
      </c>
    </row>
    <row r="232" spans="3:5" ht="20.25" customHeight="1" x14ac:dyDescent="0.25">
      <c r="C232" s="91" t="s">
        <v>8031</v>
      </c>
      <c r="E232" s="111">
        <v>45111</v>
      </c>
    </row>
    <row r="233" spans="3:5" ht="20.25" customHeight="1" x14ac:dyDescent="0.25">
      <c r="C233" s="91" t="s">
        <v>8032</v>
      </c>
      <c r="E233" s="111">
        <v>45111</v>
      </c>
    </row>
    <row r="234" spans="3:5" ht="20.25" customHeight="1" x14ac:dyDescent="0.25">
      <c r="C234" s="91" t="s">
        <v>8033</v>
      </c>
      <c r="E234" s="105">
        <v>45097</v>
      </c>
    </row>
    <row r="235" spans="3:5" ht="20.25" customHeight="1" x14ac:dyDescent="0.25">
      <c r="C235" s="91" t="s">
        <v>8034</v>
      </c>
      <c r="E235" s="105">
        <v>44992</v>
      </c>
    </row>
    <row r="236" spans="3:5" ht="20.25" customHeight="1" x14ac:dyDescent="0.25">
      <c r="C236" s="91" t="s">
        <v>8035</v>
      </c>
      <c r="E236" s="129"/>
    </row>
    <row r="237" spans="3:5" ht="20.25" customHeight="1" x14ac:dyDescent="0.25">
      <c r="C237" s="91" t="s">
        <v>8036</v>
      </c>
      <c r="E237" s="112"/>
    </row>
    <row r="238" spans="3:5" ht="20.25" customHeight="1" x14ac:dyDescent="0.25">
      <c r="C238" s="91" t="s">
        <v>8037</v>
      </c>
      <c r="E238" s="111">
        <v>45111</v>
      </c>
    </row>
    <row r="239" spans="3:5" ht="20.25" customHeight="1" x14ac:dyDescent="0.25">
      <c r="C239" s="91" t="s">
        <v>8038</v>
      </c>
      <c r="E239" s="112"/>
    </row>
    <row r="240" spans="3:5" ht="20.25" customHeight="1" x14ac:dyDescent="0.25">
      <c r="C240" s="91" t="s">
        <v>8039</v>
      </c>
      <c r="E240" s="109"/>
    </row>
    <row r="241" spans="3:5" ht="20.25" customHeight="1" x14ac:dyDescent="0.25">
      <c r="C241" s="91" t="s">
        <v>8040</v>
      </c>
      <c r="E241" s="112"/>
    </row>
    <row r="242" spans="3:5" ht="20.25" customHeight="1" x14ac:dyDescent="0.25">
      <c r="C242" s="91" t="s">
        <v>8041</v>
      </c>
      <c r="E242" s="112"/>
    </row>
    <row r="243" spans="3:5" ht="20.25" customHeight="1" x14ac:dyDescent="0.25">
      <c r="C243" s="91" t="s">
        <v>8042</v>
      </c>
      <c r="E243" s="108">
        <v>45105</v>
      </c>
    </row>
    <row r="244" spans="3:5" ht="20.25" customHeight="1" x14ac:dyDescent="0.25">
      <c r="C244" s="91" t="s">
        <v>8043</v>
      </c>
      <c r="E244" s="105">
        <v>44992</v>
      </c>
    </row>
    <row r="245" spans="3:5" ht="20.25" customHeight="1" x14ac:dyDescent="0.25">
      <c r="C245" s="91" t="s">
        <v>8044</v>
      </c>
      <c r="E245" s="108">
        <v>45148</v>
      </c>
    </row>
    <row r="246" spans="3:5" ht="20.25" customHeight="1" x14ac:dyDescent="0.25">
      <c r="C246" s="91" t="s">
        <v>8045</v>
      </c>
      <c r="E246" s="103"/>
    </row>
    <row r="247" spans="3:5" ht="20.25" customHeight="1" x14ac:dyDescent="0.25">
      <c r="C247" s="91" t="s">
        <v>8046</v>
      </c>
      <c r="E247" s="129"/>
    </row>
    <row r="248" spans="3:5" ht="20.25" customHeight="1" x14ac:dyDescent="0.25">
      <c r="C248" s="91" t="s">
        <v>8047</v>
      </c>
      <c r="E248" s="129"/>
    </row>
    <row r="249" spans="3:5" ht="20.25" customHeight="1" x14ac:dyDescent="0.25">
      <c r="C249" s="91" t="s">
        <v>8048</v>
      </c>
      <c r="E249" s="105">
        <v>45097</v>
      </c>
    </row>
    <row r="250" spans="3:5" ht="20.25" customHeight="1" x14ac:dyDescent="0.25">
      <c r="C250" s="91" t="s">
        <v>8049</v>
      </c>
      <c r="E250" s="108">
        <v>45105</v>
      </c>
    </row>
    <row r="251" spans="3:5" ht="20.25" customHeight="1" x14ac:dyDescent="0.25">
      <c r="C251" s="91" t="s">
        <v>8050</v>
      </c>
      <c r="E251" s="105">
        <v>45097</v>
      </c>
    </row>
    <row r="252" spans="3:5" ht="20.25" customHeight="1" x14ac:dyDescent="0.25">
      <c r="C252" s="91" t="s">
        <v>8051</v>
      </c>
      <c r="E252" s="105">
        <v>44992</v>
      </c>
    </row>
    <row r="253" spans="3:5" ht="20.25" customHeight="1" x14ac:dyDescent="0.25">
      <c r="C253" s="91" t="s">
        <v>8052</v>
      </c>
      <c r="E253" s="112"/>
    </row>
    <row r="254" spans="3:5" ht="20.25" customHeight="1" x14ac:dyDescent="0.25">
      <c r="C254" s="91" t="s">
        <v>8053</v>
      </c>
      <c r="E254" s="112"/>
    </row>
    <row r="255" spans="3:5" ht="20.25" customHeight="1" x14ac:dyDescent="0.25">
      <c r="C255" s="91" t="s">
        <v>8054</v>
      </c>
      <c r="E255" s="112"/>
    </row>
    <row r="256" spans="3:5" ht="20.25" customHeight="1" x14ac:dyDescent="0.25">
      <c r="C256" s="91" t="s">
        <v>8055</v>
      </c>
      <c r="E256" s="108">
        <v>45105</v>
      </c>
    </row>
    <row r="257" spans="3:5" ht="20.25" customHeight="1" x14ac:dyDescent="0.25">
      <c r="C257" s="91" t="s">
        <v>8056</v>
      </c>
      <c r="E257" s="108">
        <v>45105</v>
      </c>
    </row>
    <row r="258" spans="3:5" ht="20.25" customHeight="1" x14ac:dyDescent="0.25">
      <c r="C258" s="91" t="s">
        <v>8057</v>
      </c>
      <c r="E258" s="108">
        <v>45148</v>
      </c>
    </row>
    <row r="259" spans="3:5" ht="20.25" customHeight="1" x14ac:dyDescent="0.25">
      <c r="C259" s="91" t="s">
        <v>8058</v>
      </c>
      <c r="E259" s="108">
        <v>45148</v>
      </c>
    </row>
    <row r="260" spans="3:5" ht="20.25" customHeight="1" x14ac:dyDescent="0.25">
      <c r="C260" s="91" t="s">
        <v>8059</v>
      </c>
      <c r="E260" s="108">
        <v>45148</v>
      </c>
    </row>
    <row r="261" spans="3:5" ht="20.25" customHeight="1" x14ac:dyDescent="0.25">
      <c r="C261" s="91" t="s">
        <v>8060</v>
      </c>
      <c r="E261" s="129"/>
    </row>
    <row r="262" spans="3:5" ht="20.25" customHeight="1" x14ac:dyDescent="0.25">
      <c r="C262" s="91" t="s">
        <v>8061</v>
      </c>
      <c r="E262" s="112"/>
    </row>
    <row r="263" spans="3:5" ht="20.25" customHeight="1" x14ac:dyDescent="0.25">
      <c r="C263" s="91" t="s">
        <v>8062</v>
      </c>
      <c r="E263" s="112"/>
    </row>
    <row r="264" spans="3:5" ht="20.25" customHeight="1" x14ac:dyDescent="0.25">
      <c r="C264" s="91" t="s">
        <v>8063</v>
      </c>
      <c r="E264" s="112"/>
    </row>
    <row r="265" spans="3:5" ht="20.25" customHeight="1" x14ac:dyDescent="0.25">
      <c r="C265" s="91" t="s">
        <v>8064</v>
      </c>
      <c r="E265" s="112"/>
    </row>
    <row r="266" spans="3:5" ht="20.25" customHeight="1" x14ac:dyDescent="0.25">
      <c r="C266" s="91" t="s">
        <v>8065</v>
      </c>
      <c r="E266" s="112"/>
    </row>
    <row r="267" spans="3:5" ht="20.25" customHeight="1" x14ac:dyDescent="0.25">
      <c r="C267" s="91" t="s">
        <v>8066</v>
      </c>
      <c r="E267" s="112"/>
    </row>
    <row r="268" spans="3:5" ht="20.25" customHeight="1" x14ac:dyDescent="0.25">
      <c r="C268" s="91" t="s">
        <v>8067</v>
      </c>
      <c r="E268" s="112"/>
    </row>
    <row r="269" spans="3:5" ht="20.25" customHeight="1" x14ac:dyDescent="0.25">
      <c r="C269" s="91" t="s">
        <v>8068</v>
      </c>
      <c r="E269" s="103" t="s">
        <v>4357</v>
      </c>
    </row>
    <row r="270" spans="3:5" ht="20.25" customHeight="1" x14ac:dyDescent="0.25">
      <c r="C270" s="91" t="s">
        <v>8069</v>
      </c>
      <c r="E270" s="112"/>
    </row>
    <row r="271" spans="3:5" ht="20.25" customHeight="1" x14ac:dyDescent="0.25">
      <c r="C271" s="90" t="s">
        <v>8070</v>
      </c>
      <c r="E271" s="111">
        <v>45111</v>
      </c>
    </row>
    <row r="272" spans="3:5" ht="20.25" customHeight="1" x14ac:dyDescent="0.25">
      <c r="C272" s="91" t="s">
        <v>8071</v>
      </c>
      <c r="E272" s="111">
        <v>45111</v>
      </c>
    </row>
    <row r="273" spans="3:5" ht="20.25" customHeight="1" x14ac:dyDescent="0.25">
      <c r="C273" s="91" t="s">
        <v>8072</v>
      </c>
      <c r="E273" s="111">
        <v>45111</v>
      </c>
    </row>
    <row r="274" spans="3:5" ht="20.25" customHeight="1" x14ac:dyDescent="0.25">
      <c r="C274" s="91" t="s">
        <v>8073</v>
      </c>
      <c r="E274" s="112"/>
    </row>
    <row r="275" spans="3:5" ht="20.25" customHeight="1" x14ac:dyDescent="0.25">
      <c r="C275" s="91" t="s">
        <v>8074</v>
      </c>
      <c r="E275" s="105">
        <v>45097</v>
      </c>
    </row>
    <row r="276" spans="3:5" ht="20.25" customHeight="1" x14ac:dyDescent="0.25">
      <c r="C276" s="91" t="s">
        <v>8075</v>
      </c>
      <c r="E276" s="112"/>
    </row>
    <row r="277" spans="3:5" ht="20.25" customHeight="1" x14ac:dyDescent="0.25">
      <c r="C277" s="91" t="s">
        <v>8076</v>
      </c>
      <c r="E277" s="112"/>
    </row>
    <row r="278" spans="3:5" ht="20.25" customHeight="1" x14ac:dyDescent="0.25">
      <c r="C278" s="91" t="s">
        <v>8077</v>
      </c>
      <c r="E278" s="112"/>
    </row>
    <row r="279" spans="3:5" ht="20.25" customHeight="1" x14ac:dyDescent="0.25">
      <c r="C279" s="91" t="s">
        <v>8078</v>
      </c>
      <c r="E279" s="111">
        <v>45111</v>
      </c>
    </row>
    <row r="280" spans="3:5" ht="20.25" customHeight="1" x14ac:dyDescent="0.25">
      <c r="C280" s="91" t="s">
        <v>8079</v>
      </c>
      <c r="E280" s="111">
        <v>45111</v>
      </c>
    </row>
    <row r="281" spans="3:5" ht="20.25" customHeight="1" x14ac:dyDescent="0.25">
      <c r="C281" s="91" t="s">
        <v>8080</v>
      </c>
      <c r="E281" s="109"/>
    </row>
    <row r="282" spans="3:5" ht="20.25" customHeight="1" x14ac:dyDescent="0.25">
      <c r="C282" s="91" t="s">
        <v>8081</v>
      </c>
      <c r="E282" s="108" t="s">
        <v>4357</v>
      </c>
    </row>
    <row r="283" spans="3:5" ht="20.25" customHeight="1" x14ac:dyDescent="0.25">
      <c r="C283" s="91" t="s">
        <v>8082</v>
      </c>
      <c r="E283" s="112"/>
    </row>
    <row r="284" spans="3:5" ht="20.25" customHeight="1" x14ac:dyDescent="0.25">
      <c r="C284" s="91" t="s">
        <v>8083</v>
      </c>
      <c r="E284" s="111">
        <v>45111</v>
      </c>
    </row>
    <row r="285" spans="3:5" ht="20.25" customHeight="1" x14ac:dyDescent="0.25">
      <c r="C285" s="91" t="s">
        <v>8084</v>
      </c>
      <c r="E285" s="112"/>
    </row>
    <row r="286" spans="3:5" ht="20.25" customHeight="1" x14ac:dyDescent="0.25">
      <c r="C286" s="91" t="s">
        <v>8085</v>
      </c>
      <c r="E286" s="111">
        <v>45111</v>
      </c>
    </row>
    <row r="287" spans="3:5" ht="20.25" customHeight="1" x14ac:dyDescent="0.25">
      <c r="C287" s="91" t="s">
        <v>8086</v>
      </c>
      <c r="E287" s="112"/>
    </row>
    <row r="288" spans="3:5" ht="20.25" customHeight="1" x14ac:dyDescent="0.25">
      <c r="C288" s="91" t="s">
        <v>8087</v>
      </c>
      <c r="E288" s="112"/>
    </row>
    <row r="289" spans="3:5" ht="20.25" customHeight="1" x14ac:dyDescent="0.25">
      <c r="C289" s="91" t="s">
        <v>8088</v>
      </c>
      <c r="E289" s="108" t="s">
        <v>4357</v>
      </c>
    </row>
    <row r="290" spans="3:5" ht="20.25" customHeight="1" x14ac:dyDescent="0.25">
      <c r="C290" s="91" t="s">
        <v>8089</v>
      </c>
      <c r="E290" s="108" t="s">
        <v>4357</v>
      </c>
    </row>
    <row r="291" spans="3:5" ht="20.25" customHeight="1" x14ac:dyDescent="0.25">
      <c r="C291" s="91" t="s">
        <v>8090</v>
      </c>
      <c r="E291" s="108">
        <v>45105</v>
      </c>
    </row>
    <row r="292" spans="3:5" ht="20.25" customHeight="1" x14ac:dyDescent="0.25">
      <c r="C292" s="91" t="s">
        <v>8091</v>
      </c>
      <c r="E292" s="112"/>
    </row>
    <row r="293" spans="3:5" ht="20.25" customHeight="1" x14ac:dyDescent="0.25">
      <c r="C293" s="91" t="s">
        <v>8092</v>
      </c>
      <c r="E293" s="112"/>
    </row>
    <row r="294" spans="3:5" ht="20.25" customHeight="1" x14ac:dyDescent="0.25">
      <c r="C294" s="91" t="s">
        <v>8093</v>
      </c>
      <c r="E294" s="109"/>
    </row>
    <row r="295" spans="3:5" ht="20.25" customHeight="1" x14ac:dyDescent="0.25">
      <c r="C295" s="91" t="s">
        <v>8094</v>
      </c>
      <c r="E295" s="112"/>
    </row>
    <row r="296" spans="3:5" ht="20.25" customHeight="1" x14ac:dyDescent="0.25">
      <c r="C296" s="91" t="s">
        <v>8095</v>
      </c>
      <c r="E296" s="105">
        <v>44961</v>
      </c>
    </row>
    <row r="297" spans="3:5" ht="20.25" customHeight="1" x14ac:dyDescent="0.25">
      <c r="C297" s="91" t="s">
        <v>8096</v>
      </c>
      <c r="E297" s="112"/>
    </row>
    <row r="298" spans="3:5" ht="20.25" customHeight="1" x14ac:dyDescent="0.25">
      <c r="C298" s="91" t="s">
        <v>8097</v>
      </c>
      <c r="E298" s="112"/>
    </row>
    <row r="299" spans="3:5" ht="20.25" customHeight="1" x14ac:dyDescent="0.25">
      <c r="C299" s="91" t="s">
        <v>8098</v>
      </c>
      <c r="E299" s="112"/>
    </row>
    <row r="300" spans="3:5" ht="20.25" customHeight="1" x14ac:dyDescent="0.25">
      <c r="C300" s="91" t="s">
        <v>8099</v>
      </c>
      <c r="E300" s="108">
        <v>45148</v>
      </c>
    </row>
    <row r="301" spans="3:5" ht="20.25" customHeight="1" x14ac:dyDescent="0.25">
      <c r="C301" s="97" t="s">
        <v>8100</v>
      </c>
      <c r="E301" s="112"/>
    </row>
    <row r="302" spans="3:5" ht="20.25" customHeight="1" x14ac:dyDescent="0.25">
      <c r="C302" s="97" t="s">
        <v>8101</v>
      </c>
      <c r="E302" s="105">
        <v>45097</v>
      </c>
    </row>
    <row r="303" spans="3:5" ht="20.25" customHeight="1" x14ac:dyDescent="0.25">
      <c r="C303" s="91" t="s">
        <v>8102</v>
      </c>
      <c r="E303" s="108">
        <v>45105</v>
      </c>
    </row>
    <row r="304" spans="3:5" ht="20.25" customHeight="1" x14ac:dyDescent="0.25">
      <c r="C304" s="91" t="s">
        <v>8103</v>
      </c>
      <c r="E304" s="112"/>
    </row>
    <row r="305" spans="3:5" ht="20.25" customHeight="1" x14ac:dyDescent="0.25">
      <c r="C305" s="91" t="s">
        <v>8104</v>
      </c>
      <c r="E305" s="112"/>
    </row>
    <row r="306" spans="3:5" ht="20.25" customHeight="1" x14ac:dyDescent="0.25">
      <c r="C306" s="91" t="s">
        <v>8105</v>
      </c>
      <c r="E306" s="112"/>
    </row>
    <row r="307" spans="3:5" ht="20.25" customHeight="1" x14ac:dyDescent="0.25">
      <c r="C307" s="91" t="s">
        <v>8106</v>
      </c>
      <c r="E307" s="105">
        <v>45097</v>
      </c>
    </row>
    <row r="308" spans="3:5" ht="20.25" customHeight="1" x14ac:dyDescent="0.25">
      <c r="C308" s="91" t="s">
        <v>8107</v>
      </c>
      <c r="E308" s="112"/>
    </row>
    <row r="309" spans="3:5" ht="20.25" customHeight="1" x14ac:dyDescent="0.25">
      <c r="C309" s="91" t="s">
        <v>8108</v>
      </c>
      <c r="E309" s="112"/>
    </row>
    <row r="310" spans="3:5" ht="20.25" customHeight="1" x14ac:dyDescent="0.25">
      <c r="C310" s="91" t="s">
        <v>8109</v>
      </c>
      <c r="E310" s="112"/>
    </row>
    <row r="311" spans="3:5" ht="20.25" customHeight="1" x14ac:dyDescent="0.25">
      <c r="C311" s="91" t="s">
        <v>8110</v>
      </c>
      <c r="E311" s="112"/>
    </row>
    <row r="312" spans="3:5" ht="20.25" customHeight="1" x14ac:dyDescent="0.25">
      <c r="C312" s="97" t="s">
        <v>8111</v>
      </c>
      <c r="E312" s="112"/>
    </row>
    <row r="313" spans="3:5" ht="20.25" customHeight="1" x14ac:dyDescent="0.25">
      <c r="C313" s="91" t="s">
        <v>8112</v>
      </c>
      <c r="E313" s="112"/>
    </row>
    <row r="314" spans="3:5" ht="20.25" customHeight="1" x14ac:dyDescent="0.25">
      <c r="C314" s="91" t="s">
        <v>8113</v>
      </c>
      <c r="E314" s="112"/>
    </row>
    <row r="315" spans="3:5" ht="20.25" customHeight="1" x14ac:dyDescent="0.25">
      <c r="C315" s="97" t="s">
        <v>8114</v>
      </c>
      <c r="E315" s="112"/>
    </row>
    <row r="316" spans="3:5" ht="20.25" customHeight="1" x14ac:dyDescent="0.25">
      <c r="C316" s="91" t="s">
        <v>8115</v>
      </c>
      <c r="E316" s="112"/>
    </row>
    <row r="317" spans="3:5" ht="20.25" customHeight="1" x14ac:dyDescent="0.25">
      <c r="C317" s="91" t="s">
        <v>8116</v>
      </c>
      <c r="E317" s="112"/>
    </row>
    <row r="318" spans="3:5" ht="20.25" customHeight="1" x14ac:dyDescent="0.25">
      <c r="C318" s="91" t="s">
        <v>8117</v>
      </c>
      <c r="E318" s="111">
        <v>45111</v>
      </c>
    </row>
    <row r="319" spans="3:5" ht="20.25" customHeight="1" x14ac:dyDescent="0.25">
      <c r="C319" s="91" t="s">
        <v>8118</v>
      </c>
      <c r="E319" s="112"/>
    </row>
    <row r="320" spans="3:5" ht="20.25" customHeight="1" x14ac:dyDescent="0.25">
      <c r="C320" s="91" t="s">
        <v>8119</v>
      </c>
      <c r="E320" s="103" t="s">
        <v>4357</v>
      </c>
    </row>
    <row r="321" spans="3:5" ht="20.25" customHeight="1" x14ac:dyDescent="0.25">
      <c r="C321" s="91" t="s">
        <v>8120</v>
      </c>
      <c r="E321" s="112"/>
    </row>
    <row r="322" spans="3:5" ht="20.25" customHeight="1" x14ac:dyDescent="0.25">
      <c r="C322" s="91" t="s">
        <v>8121</v>
      </c>
      <c r="E322" s="112"/>
    </row>
    <row r="323" spans="3:5" ht="20.25" customHeight="1" x14ac:dyDescent="0.25">
      <c r="C323" s="91" t="s">
        <v>8122</v>
      </c>
      <c r="E323" s="112"/>
    </row>
    <row r="324" spans="3:5" ht="20.25" customHeight="1" x14ac:dyDescent="0.25">
      <c r="C324" s="91" t="s">
        <v>8123</v>
      </c>
      <c r="E324" s="112"/>
    </row>
    <row r="325" spans="3:5" ht="20.25" customHeight="1" x14ac:dyDescent="0.25">
      <c r="C325" s="91" t="s">
        <v>8124</v>
      </c>
      <c r="E325" s="112"/>
    </row>
    <row r="326" spans="3:5" ht="20.25" customHeight="1" x14ac:dyDescent="0.25">
      <c r="C326" s="91" t="s">
        <v>8125</v>
      </c>
      <c r="E326" s="112"/>
    </row>
    <row r="327" spans="3:5" ht="20.25" customHeight="1" x14ac:dyDescent="0.25">
      <c r="C327" s="91" t="s">
        <v>8126</v>
      </c>
      <c r="E327" s="112"/>
    </row>
    <row r="328" spans="3:5" ht="20.25" customHeight="1" x14ac:dyDescent="0.25">
      <c r="C328" s="97" t="s">
        <v>8127</v>
      </c>
      <c r="E328" s="112"/>
    </row>
    <row r="329" spans="3:5" ht="20.25" customHeight="1" x14ac:dyDescent="0.25">
      <c r="C329" s="91" t="s">
        <v>8128</v>
      </c>
      <c r="E329" s="112"/>
    </row>
    <row r="330" spans="3:5" ht="20.25" customHeight="1" x14ac:dyDescent="0.25">
      <c r="C330" s="91" t="s">
        <v>8129</v>
      </c>
      <c r="E330" s="112"/>
    </row>
    <row r="331" spans="3:5" ht="20.25" customHeight="1" x14ac:dyDescent="0.25">
      <c r="C331" s="91" t="s">
        <v>8130</v>
      </c>
      <c r="E331" s="112"/>
    </row>
    <row r="332" spans="3:5" ht="20.25" customHeight="1" x14ac:dyDescent="0.25">
      <c r="C332" s="91" t="s">
        <v>8131</v>
      </c>
      <c r="E332" s="112"/>
    </row>
    <row r="333" spans="3:5" ht="20.25" customHeight="1" x14ac:dyDescent="0.25">
      <c r="C333" s="91" t="s">
        <v>8132</v>
      </c>
      <c r="E333" s="112"/>
    </row>
    <row r="334" spans="3:5" ht="20.25" customHeight="1" x14ac:dyDescent="0.25">
      <c r="C334" s="91" t="s">
        <v>8133</v>
      </c>
      <c r="E334" s="112"/>
    </row>
    <row r="335" spans="3:5" ht="20.25" customHeight="1" x14ac:dyDescent="0.25">
      <c r="C335" s="97" t="s">
        <v>8134</v>
      </c>
      <c r="E335" s="112"/>
    </row>
    <row r="336" spans="3:5" ht="20.25" customHeight="1" x14ac:dyDescent="0.25">
      <c r="C336" s="97" t="s">
        <v>8135</v>
      </c>
      <c r="E336" s="112"/>
    </row>
    <row r="337" spans="3:5" ht="20.25" customHeight="1" x14ac:dyDescent="0.25">
      <c r="C337" s="91" t="s">
        <v>8136</v>
      </c>
      <c r="E337" s="112"/>
    </row>
    <row r="338" spans="3:5" ht="20.25" customHeight="1" x14ac:dyDescent="0.25">
      <c r="C338" s="91" t="s">
        <v>8137</v>
      </c>
      <c r="E338" s="112"/>
    </row>
    <row r="339" spans="3:5" ht="20.25" customHeight="1" x14ac:dyDescent="0.25">
      <c r="C339" s="91" t="s">
        <v>8138</v>
      </c>
      <c r="E339" s="112"/>
    </row>
    <row r="340" spans="3:5" ht="20.25" customHeight="1" x14ac:dyDescent="0.25">
      <c r="C340" s="91" t="s">
        <v>8139</v>
      </c>
      <c r="E340" s="112"/>
    </row>
    <row r="341" spans="3:5" ht="20.25" customHeight="1" x14ac:dyDescent="0.25">
      <c r="C341" s="91" t="s">
        <v>8140</v>
      </c>
      <c r="E341" s="112"/>
    </row>
    <row r="342" spans="3:5" ht="20.25" customHeight="1" x14ac:dyDescent="0.25">
      <c r="C342" s="91" t="s">
        <v>8141</v>
      </c>
      <c r="E342" s="112"/>
    </row>
    <row r="343" spans="3:5" ht="20.25" customHeight="1" x14ac:dyDescent="0.25">
      <c r="C343" s="91" t="s">
        <v>8142</v>
      </c>
      <c r="E343" s="112"/>
    </row>
    <row r="344" spans="3:5" ht="20.25" customHeight="1" x14ac:dyDescent="0.25">
      <c r="C344" s="91" t="s">
        <v>8143</v>
      </c>
      <c r="E344" s="112"/>
    </row>
    <row r="345" spans="3:5" ht="20.25" customHeight="1" x14ac:dyDescent="0.25">
      <c r="C345" s="97" t="s">
        <v>8144</v>
      </c>
      <c r="E345" s="112"/>
    </row>
    <row r="346" spans="3:5" ht="20.25" customHeight="1" x14ac:dyDescent="0.25">
      <c r="C346" s="97" t="s">
        <v>8145</v>
      </c>
      <c r="E346" s="112"/>
    </row>
    <row r="347" spans="3:5" ht="20.25" customHeight="1" x14ac:dyDescent="0.25">
      <c r="C347" s="91" t="s">
        <v>8146</v>
      </c>
      <c r="E347" s="112"/>
    </row>
    <row r="348" spans="3:5" ht="20.25" customHeight="1" x14ac:dyDescent="0.25">
      <c r="C348" s="91" t="s">
        <v>8147</v>
      </c>
      <c r="E348" s="108">
        <v>45148</v>
      </c>
    </row>
    <row r="349" spans="3:5" ht="20.25" customHeight="1" x14ac:dyDescent="0.25">
      <c r="C349" s="97" t="s">
        <v>8148</v>
      </c>
      <c r="E349" s="113"/>
    </row>
    <row r="350" spans="3:5" ht="20.25" customHeight="1" x14ac:dyDescent="0.25">
      <c r="C350" s="91" t="s">
        <v>8149</v>
      </c>
      <c r="E350" s="107"/>
    </row>
    <row r="351" spans="3:5" ht="20.25" customHeight="1" x14ac:dyDescent="0.25">
      <c r="C351" s="91" t="s">
        <v>8150</v>
      </c>
      <c r="E351" s="129"/>
    </row>
    <row r="352" spans="3:5" ht="20.25" customHeight="1" x14ac:dyDescent="0.25">
      <c r="C352" s="91" t="s">
        <v>8151</v>
      </c>
      <c r="E352" s="105">
        <v>44961</v>
      </c>
    </row>
    <row r="353" spans="3:5" ht="20.25" customHeight="1" x14ac:dyDescent="0.25">
      <c r="C353" s="91" t="s">
        <v>8152</v>
      </c>
      <c r="E353" s="105">
        <v>44992</v>
      </c>
    </row>
    <row r="354" spans="3:5" ht="20.25" customHeight="1" x14ac:dyDescent="0.25">
      <c r="C354" s="91" t="s">
        <v>8153</v>
      </c>
      <c r="E354" s="108">
        <v>45105</v>
      </c>
    </row>
    <row r="355" spans="3:5" ht="20.25" customHeight="1" x14ac:dyDescent="0.25">
      <c r="C355" s="91" t="s">
        <v>8154</v>
      </c>
      <c r="E355" s="105">
        <v>44961</v>
      </c>
    </row>
    <row r="356" spans="3:5" ht="20.25" customHeight="1" x14ac:dyDescent="0.25">
      <c r="C356" s="91" t="s">
        <v>8155</v>
      </c>
      <c r="E356" s="105">
        <v>44961</v>
      </c>
    </row>
    <row r="357" spans="3:5" ht="20.25" customHeight="1" x14ac:dyDescent="0.25">
      <c r="C357" s="91" t="s">
        <v>8156</v>
      </c>
      <c r="E357" s="112"/>
    </row>
    <row r="358" spans="3:5" ht="20.25" customHeight="1" x14ac:dyDescent="0.25">
      <c r="C358" s="91" t="s">
        <v>8157</v>
      </c>
      <c r="E358" s="105">
        <v>44992</v>
      </c>
    </row>
    <row r="359" spans="3:5" ht="20.25" customHeight="1" x14ac:dyDescent="0.25">
      <c r="C359" s="91" t="s">
        <v>8158</v>
      </c>
      <c r="E359" s="105">
        <v>44961</v>
      </c>
    </row>
    <row r="360" spans="3:5" ht="20.25" customHeight="1" x14ac:dyDescent="0.25">
      <c r="C360" s="91" t="s">
        <v>8159</v>
      </c>
      <c r="E360" s="105">
        <v>44961</v>
      </c>
    </row>
    <row r="361" spans="3:5" ht="20.25" customHeight="1" x14ac:dyDescent="0.25">
      <c r="C361" s="91" t="s">
        <v>8160</v>
      </c>
      <c r="E361" s="105">
        <v>44961</v>
      </c>
    </row>
    <row r="362" spans="3:5" ht="20.25" customHeight="1" x14ac:dyDescent="0.25">
      <c r="C362" s="91" t="s">
        <v>7826</v>
      </c>
      <c r="E362" s="105">
        <v>44961</v>
      </c>
    </row>
    <row r="363" spans="3:5" ht="20.25" customHeight="1" x14ac:dyDescent="0.25">
      <c r="C363" s="91" t="s">
        <v>7828</v>
      </c>
      <c r="E363" s="112"/>
    </row>
    <row r="364" spans="3:5" ht="20.25" customHeight="1" x14ac:dyDescent="0.25">
      <c r="C364" s="91" t="s">
        <v>7830</v>
      </c>
      <c r="E364" s="105">
        <v>44961</v>
      </c>
    </row>
    <row r="365" spans="3:5" ht="20.25" customHeight="1" x14ac:dyDescent="0.25">
      <c r="C365" s="91" t="s">
        <v>8161</v>
      </c>
      <c r="E365" s="112"/>
    </row>
    <row r="366" spans="3:5" ht="20.25" customHeight="1" x14ac:dyDescent="0.25">
      <c r="C366" s="91" t="s">
        <v>8162</v>
      </c>
      <c r="E366" s="112"/>
    </row>
    <row r="367" spans="3:5" ht="20.25" customHeight="1" x14ac:dyDescent="0.25">
      <c r="C367" s="91" t="s">
        <v>8163</v>
      </c>
      <c r="E367" s="108">
        <v>45106</v>
      </c>
    </row>
    <row r="368" spans="3:5" ht="20.25" customHeight="1" x14ac:dyDescent="0.25">
      <c r="C368" s="91" t="s">
        <v>8164</v>
      </c>
      <c r="E368" s="112"/>
    </row>
    <row r="369" spans="3:5" ht="20.25" customHeight="1" x14ac:dyDescent="0.25">
      <c r="C369" s="91" t="s">
        <v>8165</v>
      </c>
      <c r="E369" s="108">
        <v>45105</v>
      </c>
    </row>
    <row r="370" spans="3:5" ht="20.25" customHeight="1" x14ac:dyDescent="0.25">
      <c r="C370" s="91" t="s">
        <v>8166</v>
      </c>
      <c r="E370" s="108">
        <v>45148</v>
      </c>
    </row>
    <row r="371" spans="3:5" ht="20.25" customHeight="1" x14ac:dyDescent="0.25">
      <c r="C371" s="91" t="s">
        <v>8167</v>
      </c>
      <c r="E371" s="112"/>
    </row>
    <row r="372" spans="3:5" ht="20.25" customHeight="1" x14ac:dyDescent="0.25">
      <c r="C372" s="91" t="s">
        <v>8168</v>
      </c>
      <c r="E372" s="112"/>
    </row>
    <row r="373" spans="3:5" ht="20.25" customHeight="1" x14ac:dyDescent="0.25">
      <c r="C373" s="91" t="s">
        <v>8169</v>
      </c>
      <c r="E373" s="108">
        <v>45105</v>
      </c>
    </row>
    <row r="374" spans="3:5" ht="20.25" customHeight="1" x14ac:dyDescent="0.25">
      <c r="C374" s="91" t="s">
        <v>8170</v>
      </c>
      <c r="E374" s="103" t="s">
        <v>4357</v>
      </c>
    </row>
    <row r="375" spans="3:5" ht="20.25" customHeight="1" x14ac:dyDescent="0.25">
      <c r="C375" s="91" t="s">
        <v>8171</v>
      </c>
      <c r="E375" s="108">
        <v>45148</v>
      </c>
    </row>
    <row r="376" spans="3:5" ht="20.25" customHeight="1" x14ac:dyDescent="0.25">
      <c r="C376" s="91" t="s">
        <v>8172</v>
      </c>
      <c r="E376" s="112"/>
    </row>
    <row r="377" spans="3:5" ht="20.25" customHeight="1" x14ac:dyDescent="0.25">
      <c r="C377" s="97" t="s">
        <v>7832</v>
      </c>
      <c r="E377" s="129"/>
    </row>
    <row r="378" spans="3:5" ht="20.25" customHeight="1" x14ac:dyDescent="0.25">
      <c r="C378" s="91" t="s">
        <v>7834</v>
      </c>
      <c r="E378" s="108">
        <v>45148</v>
      </c>
    </row>
    <row r="379" spans="3:5" ht="20.25" customHeight="1" x14ac:dyDescent="0.25">
      <c r="C379" s="91" t="s">
        <v>8173</v>
      </c>
      <c r="E379" s="108">
        <v>45148</v>
      </c>
    </row>
    <row r="380" spans="3:5" ht="20.25" customHeight="1" x14ac:dyDescent="0.25">
      <c r="C380" s="91" t="s">
        <v>8174</v>
      </c>
      <c r="E380" s="108">
        <v>45148</v>
      </c>
    </row>
    <row r="381" spans="3:5" ht="20.25" customHeight="1" x14ac:dyDescent="0.25">
      <c r="C381" s="91" t="s">
        <v>8175</v>
      </c>
      <c r="E381" s="109"/>
    </row>
    <row r="382" spans="3:5" ht="20.25" customHeight="1" x14ac:dyDescent="0.25">
      <c r="C382" s="91" t="s">
        <v>8176</v>
      </c>
      <c r="E382" s="108">
        <v>45148</v>
      </c>
    </row>
    <row r="383" spans="3:5" ht="20.25" customHeight="1" x14ac:dyDescent="0.25">
      <c r="C383" s="91" t="s">
        <v>8177</v>
      </c>
      <c r="E383" s="108">
        <v>45148</v>
      </c>
    </row>
    <row r="384" spans="3:5" ht="20.25" customHeight="1" x14ac:dyDescent="0.25">
      <c r="C384" s="91" t="s">
        <v>8178</v>
      </c>
      <c r="E384" s="108">
        <v>45148</v>
      </c>
    </row>
    <row r="385" spans="3:5" ht="20.25" customHeight="1" x14ac:dyDescent="0.25">
      <c r="C385" s="91" t="s">
        <v>8179</v>
      </c>
      <c r="E385" s="108">
        <v>45105</v>
      </c>
    </row>
    <row r="386" spans="3:5" ht="20.25" customHeight="1" x14ac:dyDescent="0.25">
      <c r="C386" s="91" t="s">
        <v>8180</v>
      </c>
      <c r="E386" s="105">
        <v>44961</v>
      </c>
    </row>
    <row r="387" spans="3:5" ht="20.25" customHeight="1" x14ac:dyDescent="0.25">
      <c r="C387" s="91" t="s">
        <v>8181</v>
      </c>
      <c r="E387" s="105">
        <v>44961</v>
      </c>
    </row>
    <row r="388" spans="3:5" ht="20.25" customHeight="1" x14ac:dyDescent="0.25">
      <c r="C388" s="91" t="s">
        <v>8182</v>
      </c>
      <c r="E388" s="105">
        <v>44992</v>
      </c>
    </row>
    <row r="389" spans="3:5" ht="20.25" customHeight="1" x14ac:dyDescent="0.25">
      <c r="C389" s="91" t="s">
        <v>8183</v>
      </c>
      <c r="E389" s="105">
        <v>44992</v>
      </c>
    </row>
    <row r="390" spans="3:5" ht="20.25" customHeight="1" x14ac:dyDescent="0.25">
      <c r="C390" s="91" t="s">
        <v>8184</v>
      </c>
      <c r="E390" s="112"/>
    </row>
    <row r="391" spans="3:5" ht="20.25" customHeight="1" x14ac:dyDescent="0.25">
      <c r="C391" s="91" t="s">
        <v>8185</v>
      </c>
      <c r="E391" s="112"/>
    </row>
    <row r="392" spans="3:5" ht="20.25" customHeight="1" x14ac:dyDescent="0.25">
      <c r="C392" s="97" t="s">
        <v>8186</v>
      </c>
      <c r="E392" s="112"/>
    </row>
    <row r="393" spans="3:5" ht="20.25" customHeight="1" x14ac:dyDescent="0.25">
      <c r="C393" s="97" t="s">
        <v>8187</v>
      </c>
      <c r="E393" s="108">
        <v>45105</v>
      </c>
    </row>
    <row r="394" spans="3:5" ht="20.25" customHeight="1" x14ac:dyDescent="0.25">
      <c r="C394" s="91" t="s">
        <v>8188</v>
      </c>
      <c r="E394" s="105">
        <v>44961</v>
      </c>
    </row>
    <row r="395" spans="3:5" ht="20.25" customHeight="1" x14ac:dyDescent="0.25">
      <c r="C395" s="91" t="s">
        <v>8189</v>
      </c>
      <c r="E395" s="105">
        <v>44961</v>
      </c>
    </row>
    <row r="396" spans="3:5" ht="20.25" customHeight="1" x14ac:dyDescent="0.25">
      <c r="C396" s="91" t="s">
        <v>8190</v>
      </c>
      <c r="E396" s="108">
        <v>45105</v>
      </c>
    </row>
    <row r="397" spans="3:5" ht="20.25" customHeight="1" x14ac:dyDescent="0.25">
      <c r="C397" s="91" t="s">
        <v>8191</v>
      </c>
      <c r="E397" s="105">
        <v>44961</v>
      </c>
    </row>
    <row r="398" spans="3:5" ht="20.25" customHeight="1" x14ac:dyDescent="0.25">
      <c r="C398" s="91" t="s">
        <v>8192</v>
      </c>
      <c r="E398" s="108">
        <v>45105</v>
      </c>
    </row>
    <row r="399" spans="3:5" ht="20.25" customHeight="1" x14ac:dyDescent="0.25">
      <c r="C399" s="91" t="s">
        <v>8193</v>
      </c>
      <c r="E399" s="105">
        <v>44961</v>
      </c>
    </row>
    <row r="400" spans="3:5" ht="20.25" customHeight="1" x14ac:dyDescent="0.25">
      <c r="C400" s="91" t="s">
        <v>8194</v>
      </c>
      <c r="E400" s="112"/>
    </row>
    <row r="401" spans="3:5" ht="20.25" customHeight="1" x14ac:dyDescent="0.25">
      <c r="C401" s="91" t="s">
        <v>8195</v>
      </c>
      <c r="E401" s="112"/>
    </row>
    <row r="402" spans="3:5" ht="20.25" customHeight="1" x14ac:dyDescent="0.25">
      <c r="C402" s="91" t="s">
        <v>7836</v>
      </c>
      <c r="E402" s="105">
        <v>44992</v>
      </c>
    </row>
    <row r="403" spans="3:5" ht="20.25" customHeight="1" x14ac:dyDescent="0.25">
      <c r="C403" s="91" t="s">
        <v>8196</v>
      </c>
      <c r="E403" s="112"/>
    </row>
    <row r="404" spans="3:5" ht="20.25" customHeight="1" x14ac:dyDescent="0.25">
      <c r="C404" s="91" t="s">
        <v>8197</v>
      </c>
      <c r="E404" s="112"/>
    </row>
    <row r="405" spans="3:5" ht="20.25" customHeight="1" x14ac:dyDescent="0.25">
      <c r="C405" s="91" t="s">
        <v>8198</v>
      </c>
      <c r="E405" s="108">
        <v>45148</v>
      </c>
    </row>
    <row r="406" spans="3:5" ht="20.25" customHeight="1" x14ac:dyDescent="0.25">
      <c r="C406" s="91" t="s">
        <v>8199</v>
      </c>
      <c r="E406" s="105">
        <v>44889</v>
      </c>
    </row>
    <row r="407" spans="3:5" ht="20.25" customHeight="1" x14ac:dyDescent="0.25">
      <c r="C407" s="91" t="s">
        <v>8200</v>
      </c>
      <c r="E407" s="105">
        <v>44889</v>
      </c>
    </row>
    <row r="408" spans="3:5" ht="20.25" customHeight="1" x14ac:dyDescent="0.25">
      <c r="C408" s="91" t="s">
        <v>8201</v>
      </c>
      <c r="E408" s="105">
        <v>44992</v>
      </c>
    </row>
    <row r="409" spans="3:5" ht="20.25" customHeight="1" x14ac:dyDescent="0.25">
      <c r="C409" s="91" t="s">
        <v>8202</v>
      </c>
      <c r="E409" s="111">
        <v>45111</v>
      </c>
    </row>
    <row r="410" spans="3:5" ht="20.25" customHeight="1" x14ac:dyDescent="0.25">
      <c r="C410" s="91" t="s">
        <v>8203</v>
      </c>
      <c r="E410" s="103" t="s">
        <v>4357</v>
      </c>
    </row>
    <row r="411" spans="3:5" ht="20.25" customHeight="1" x14ac:dyDescent="0.25">
      <c r="C411" s="91" t="s">
        <v>8204</v>
      </c>
      <c r="E411" s="103" t="s">
        <v>4357</v>
      </c>
    </row>
    <row r="412" spans="3:5" ht="20.25" customHeight="1" x14ac:dyDescent="0.25">
      <c r="C412" s="91" t="s">
        <v>8205</v>
      </c>
      <c r="E412" s="103" t="s">
        <v>4357</v>
      </c>
    </row>
    <row r="413" spans="3:5" ht="20.25" customHeight="1" x14ac:dyDescent="0.25">
      <c r="C413" s="91" t="s">
        <v>8206</v>
      </c>
      <c r="E413" s="112"/>
    </row>
    <row r="414" spans="3:5" ht="20.25" customHeight="1" x14ac:dyDescent="0.25">
      <c r="C414" s="91" t="s">
        <v>8207</v>
      </c>
      <c r="E414" s="112"/>
    </row>
    <row r="415" spans="3:5" ht="20.25" customHeight="1" x14ac:dyDescent="0.25">
      <c r="C415" s="91" t="s">
        <v>8208</v>
      </c>
      <c r="E415" s="112"/>
    </row>
    <row r="416" spans="3:5" ht="20.25" customHeight="1" x14ac:dyDescent="0.25">
      <c r="C416" s="91" t="s">
        <v>8209</v>
      </c>
      <c r="E416" s="112"/>
    </row>
    <row r="417" spans="3:5" ht="20.25" customHeight="1" x14ac:dyDescent="0.25">
      <c r="C417" s="91" t="s">
        <v>8210</v>
      </c>
      <c r="E417" s="105">
        <v>44816</v>
      </c>
    </row>
    <row r="418" spans="3:5" ht="20.25" customHeight="1" x14ac:dyDescent="0.25">
      <c r="C418" s="91" t="s">
        <v>8211</v>
      </c>
      <c r="E418" s="105">
        <v>44910</v>
      </c>
    </row>
    <row r="419" spans="3:5" ht="20.25" customHeight="1" x14ac:dyDescent="0.25">
      <c r="C419" s="91" t="s">
        <v>8212</v>
      </c>
      <c r="E419" s="105">
        <v>44816</v>
      </c>
    </row>
    <row r="420" spans="3:5" ht="20.25" customHeight="1" x14ac:dyDescent="0.25">
      <c r="C420" s="91" t="s">
        <v>8213</v>
      </c>
      <c r="E420" s="103" t="s">
        <v>4357</v>
      </c>
    </row>
    <row r="421" spans="3:5" ht="20.25" customHeight="1" x14ac:dyDescent="0.25">
      <c r="C421" s="91" t="s">
        <v>8214</v>
      </c>
      <c r="E421" s="105">
        <v>44923</v>
      </c>
    </row>
    <row r="422" spans="3:5" ht="20.25" customHeight="1" x14ac:dyDescent="0.25">
      <c r="C422" s="91" t="s">
        <v>8215</v>
      </c>
      <c r="E422" s="103"/>
    </row>
    <row r="423" spans="3:5" ht="20.25" customHeight="1" x14ac:dyDescent="0.25">
      <c r="C423" s="91" t="s">
        <v>8216</v>
      </c>
      <c r="E423" s="105">
        <v>45013</v>
      </c>
    </row>
    <row r="424" spans="3:5" ht="20.25" customHeight="1" x14ac:dyDescent="0.25">
      <c r="C424" s="91" t="s">
        <v>8217</v>
      </c>
      <c r="E424" s="105">
        <v>44923</v>
      </c>
    </row>
    <row r="425" spans="3:5" ht="20.25" customHeight="1" x14ac:dyDescent="0.25">
      <c r="C425" s="91" t="s">
        <v>8218</v>
      </c>
      <c r="E425" s="105">
        <v>44923</v>
      </c>
    </row>
    <row r="426" spans="3:5" ht="20.25" customHeight="1" x14ac:dyDescent="0.25">
      <c r="C426" s="91" t="s">
        <v>8219</v>
      </c>
      <c r="E426" s="105">
        <v>44816</v>
      </c>
    </row>
    <row r="427" spans="3:5" ht="20.25" customHeight="1" x14ac:dyDescent="0.25">
      <c r="C427" s="91" t="s">
        <v>7838</v>
      </c>
      <c r="E427" s="103" t="s">
        <v>4357</v>
      </c>
    </row>
    <row r="428" spans="3:5" ht="20.25" customHeight="1" x14ac:dyDescent="0.25">
      <c r="C428" s="91" t="s">
        <v>8220</v>
      </c>
      <c r="E428" s="103" t="s">
        <v>4357</v>
      </c>
    </row>
    <row r="429" spans="3:5" ht="20.25" customHeight="1" x14ac:dyDescent="0.25">
      <c r="C429" s="91" t="s">
        <v>8221</v>
      </c>
      <c r="E429" s="105">
        <v>44816</v>
      </c>
    </row>
    <row r="430" spans="3:5" ht="20.25" customHeight="1" x14ac:dyDescent="0.25">
      <c r="C430" s="91" t="s">
        <v>8222</v>
      </c>
      <c r="E430" s="105">
        <v>44816</v>
      </c>
    </row>
    <row r="431" spans="3:5" ht="20.25" customHeight="1" x14ac:dyDescent="0.25">
      <c r="C431" s="91" t="s">
        <v>8223</v>
      </c>
      <c r="E431" s="105">
        <v>44816</v>
      </c>
    </row>
    <row r="432" spans="3:5" ht="20.25" customHeight="1" x14ac:dyDescent="0.25">
      <c r="C432" s="91" t="s">
        <v>8224</v>
      </c>
      <c r="E432" s="103" t="s">
        <v>4357</v>
      </c>
    </row>
    <row r="433" spans="3:5" ht="20.25" customHeight="1" x14ac:dyDescent="0.25">
      <c r="C433" s="91" t="s">
        <v>8225</v>
      </c>
      <c r="E433" s="119">
        <v>45034</v>
      </c>
    </row>
    <row r="434" spans="3:5" ht="20.25" customHeight="1" x14ac:dyDescent="0.25">
      <c r="C434" s="91" t="s">
        <v>8226</v>
      </c>
      <c r="E434" s="105">
        <v>44992</v>
      </c>
    </row>
    <row r="435" spans="3:5" ht="20.25" customHeight="1" x14ac:dyDescent="0.25">
      <c r="C435" s="91" t="s">
        <v>8227</v>
      </c>
      <c r="E435" s="105">
        <v>44992</v>
      </c>
    </row>
    <row r="436" spans="3:5" ht="20.25" customHeight="1" x14ac:dyDescent="0.25">
      <c r="C436" s="91" t="s">
        <v>8228</v>
      </c>
      <c r="E436" s="119">
        <v>45034</v>
      </c>
    </row>
    <row r="437" spans="3:5" ht="20.25" customHeight="1" x14ac:dyDescent="0.25">
      <c r="C437" s="91" t="s">
        <v>8229</v>
      </c>
      <c r="E437" s="103" t="s">
        <v>4357</v>
      </c>
    </row>
    <row r="438" spans="3:5" ht="20.25" customHeight="1" x14ac:dyDescent="0.25">
      <c r="C438" s="91" t="s">
        <v>8230</v>
      </c>
      <c r="E438" s="103" t="s">
        <v>4357</v>
      </c>
    </row>
    <row r="439" spans="3:5" ht="20.25" customHeight="1" x14ac:dyDescent="0.25">
      <c r="C439" s="91" t="s">
        <v>8231</v>
      </c>
      <c r="E439" s="103" t="s">
        <v>4357</v>
      </c>
    </row>
    <row r="440" spans="3:5" ht="20.25" customHeight="1" x14ac:dyDescent="0.25">
      <c r="C440" s="91" t="s">
        <v>8232</v>
      </c>
      <c r="E440" s="105">
        <v>44862</v>
      </c>
    </row>
    <row r="441" spans="3:5" ht="20.25" customHeight="1" x14ac:dyDescent="0.25">
      <c r="C441" s="97" t="s">
        <v>8233</v>
      </c>
      <c r="E441" s="103" t="s">
        <v>4357</v>
      </c>
    </row>
    <row r="442" spans="3:5" ht="20.25" customHeight="1" x14ac:dyDescent="0.25">
      <c r="C442" s="91" t="s">
        <v>8234</v>
      </c>
      <c r="E442" s="105">
        <v>44862</v>
      </c>
    </row>
    <row r="443" spans="3:5" ht="20.25" customHeight="1" x14ac:dyDescent="0.25">
      <c r="C443" s="91" t="s">
        <v>8235</v>
      </c>
      <c r="E443" s="119">
        <v>45040</v>
      </c>
    </row>
    <row r="444" spans="3:5" ht="20.25" customHeight="1" x14ac:dyDescent="0.25">
      <c r="C444" s="91" t="s">
        <v>8236</v>
      </c>
      <c r="E444" s="103" t="s">
        <v>4357</v>
      </c>
    </row>
    <row r="445" spans="3:5" ht="20.25" customHeight="1" x14ac:dyDescent="0.25">
      <c r="C445" s="91" t="s">
        <v>8237</v>
      </c>
      <c r="E445" s="103" t="s">
        <v>4357</v>
      </c>
    </row>
    <row r="446" spans="3:5" ht="20.25" customHeight="1" x14ac:dyDescent="0.25">
      <c r="C446" s="91" t="s">
        <v>8238</v>
      </c>
      <c r="E446" s="103" t="s">
        <v>4357</v>
      </c>
    </row>
    <row r="447" spans="3:5" ht="20.25" customHeight="1" x14ac:dyDescent="0.25">
      <c r="C447" s="91" t="s">
        <v>8239</v>
      </c>
      <c r="E447" s="103" t="s">
        <v>4357</v>
      </c>
    </row>
    <row r="448" spans="3:5" ht="20.25" customHeight="1" x14ac:dyDescent="0.25">
      <c r="C448" s="91" t="s">
        <v>8240</v>
      </c>
      <c r="E448" s="105">
        <v>44910</v>
      </c>
    </row>
    <row r="449" spans="3:5" ht="20.25" customHeight="1" x14ac:dyDescent="0.25">
      <c r="C449" s="91" t="s">
        <v>8241</v>
      </c>
      <c r="E449" s="119">
        <v>45034</v>
      </c>
    </row>
    <row r="450" spans="3:5" ht="20.25" customHeight="1" x14ac:dyDescent="0.25">
      <c r="C450" s="91" t="s">
        <v>8242</v>
      </c>
      <c r="E450" s="105">
        <v>44923</v>
      </c>
    </row>
    <row r="451" spans="3:5" ht="20.25" customHeight="1" x14ac:dyDescent="0.25">
      <c r="C451" s="91" t="s">
        <v>8243</v>
      </c>
      <c r="E451" s="105">
        <v>44816</v>
      </c>
    </row>
    <row r="452" spans="3:5" ht="20.25" customHeight="1" x14ac:dyDescent="0.25">
      <c r="C452" s="91" t="s">
        <v>8244</v>
      </c>
      <c r="E452" s="105">
        <v>44925</v>
      </c>
    </row>
    <row r="453" spans="3:5" ht="20.25" customHeight="1" x14ac:dyDescent="0.25">
      <c r="C453" s="91" t="s">
        <v>8245</v>
      </c>
      <c r="E453" s="105">
        <v>44816</v>
      </c>
    </row>
    <row r="454" spans="3:5" ht="20.25" customHeight="1" x14ac:dyDescent="0.25">
      <c r="C454" s="91" t="s">
        <v>8246</v>
      </c>
      <c r="E454" s="105">
        <v>44816</v>
      </c>
    </row>
    <row r="455" spans="3:5" ht="20.25" customHeight="1" x14ac:dyDescent="0.25">
      <c r="C455" s="91" t="s">
        <v>8247</v>
      </c>
      <c r="E455" s="105">
        <v>44816</v>
      </c>
    </row>
    <row r="456" spans="3:5" ht="20.25" customHeight="1" x14ac:dyDescent="0.25">
      <c r="C456" s="91" t="s">
        <v>8248</v>
      </c>
      <c r="E456" s="108">
        <v>45065</v>
      </c>
    </row>
    <row r="457" spans="3:5" ht="20.25" customHeight="1" x14ac:dyDescent="0.25">
      <c r="C457" s="91" t="s">
        <v>8249</v>
      </c>
      <c r="E457" s="108">
        <v>45148</v>
      </c>
    </row>
    <row r="458" spans="3:5" ht="20.25" customHeight="1" x14ac:dyDescent="0.25">
      <c r="C458" s="91" t="s">
        <v>8250</v>
      </c>
      <c r="E458" s="105">
        <v>44922</v>
      </c>
    </row>
    <row r="459" spans="3:5" ht="20.25" customHeight="1" x14ac:dyDescent="0.25">
      <c r="C459" s="91" t="s">
        <v>8251</v>
      </c>
      <c r="E459" s="105">
        <v>44910</v>
      </c>
    </row>
    <row r="460" spans="3:5" ht="20.25" customHeight="1" x14ac:dyDescent="0.25">
      <c r="C460" s="91" t="s">
        <v>8252</v>
      </c>
      <c r="E460" s="105">
        <v>44816</v>
      </c>
    </row>
    <row r="461" spans="3:5" ht="20.25" customHeight="1" x14ac:dyDescent="0.25">
      <c r="C461" s="91" t="s">
        <v>8253</v>
      </c>
      <c r="E461" s="105">
        <v>44816</v>
      </c>
    </row>
    <row r="462" spans="3:5" ht="20.25" customHeight="1" x14ac:dyDescent="0.25">
      <c r="C462" s="91" t="s">
        <v>8254</v>
      </c>
      <c r="E462" s="105">
        <v>44816</v>
      </c>
    </row>
    <row r="463" spans="3:5" ht="20.25" customHeight="1" x14ac:dyDescent="0.25">
      <c r="C463" s="91" t="s">
        <v>8255</v>
      </c>
      <c r="E463" s="105">
        <v>44816</v>
      </c>
    </row>
    <row r="464" spans="3:5" ht="20.25" customHeight="1" x14ac:dyDescent="0.25">
      <c r="C464" s="91" t="s">
        <v>8256</v>
      </c>
      <c r="E464" s="105">
        <v>44923</v>
      </c>
    </row>
    <row r="465" spans="3:5" ht="20.25" customHeight="1" x14ac:dyDescent="0.25">
      <c r="C465" s="91" t="s">
        <v>8257</v>
      </c>
      <c r="E465" s="112"/>
    </row>
    <row r="466" spans="3:5" ht="20.25" customHeight="1" x14ac:dyDescent="0.25">
      <c r="C466" s="91" t="s">
        <v>8258</v>
      </c>
      <c r="E466" s="130" t="s">
        <v>4357</v>
      </c>
    </row>
    <row r="467" spans="3:5" ht="20.25" customHeight="1" x14ac:dyDescent="0.25">
      <c r="C467" s="91" t="s">
        <v>8259</v>
      </c>
      <c r="E467" s="130" t="s">
        <v>4357</v>
      </c>
    </row>
    <row r="468" spans="3:5" ht="20.25" customHeight="1" x14ac:dyDescent="0.25">
      <c r="C468" s="91" t="s">
        <v>8260</v>
      </c>
      <c r="E468" s="119">
        <v>45013</v>
      </c>
    </row>
    <row r="469" spans="3:5" ht="20.25" customHeight="1" x14ac:dyDescent="0.25">
      <c r="C469" s="91" t="s">
        <v>8261</v>
      </c>
      <c r="E469" s="105">
        <v>44889</v>
      </c>
    </row>
    <row r="470" spans="3:5" ht="20.25" customHeight="1" x14ac:dyDescent="0.25">
      <c r="C470" s="91" t="s">
        <v>8262</v>
      </c>
      <c r="E470" s="106"/>
    </row>
    <row r="471" spans="3:5" ht="20.25" customHeight="1" x14ac:dyDescent="0.25">
      <c r="C471" s="91" t="s">
        <v>8263</v>
      </c>
      <c r="E471" s="105">
        <v>44877</v>
      </c>
    </row>
    <row r="472" spans="3:5" ht="20.25" customHeight="1" x14ac:dyDescent="0.25">
      <c r="C472" s="91" t="s">
        <v>8264</v>
      </c>
      <c r="E472" s="103" t="s">
        <v>4357</v>
      </c>
    </row>
    <row r="473" spans="3:5" ht="20.25" customHeight="1" x14ac:dyDescent="0.25">
      <c r="C473" s="91" t="s">
        <v>8265</v>
      </c>
      <c r="E473" s="103" t="s">
        <v>4357</v>
      </c>
    </row>
    <row r="474" spans="3:5" ht="20.25" customHeight="1" x14ac:dyDescent="0.25">
      <c r="C474" s="91" t="s">
        <v>8266</v>
      </c>
      <c r="E474" s="103" t="s">
        <v>4357</v>
      </c>
    </row>
    <row r="475" spans="3:5" ht="20.25" customHeight="1" x14ac:dyDescent="0.25">
      <c r="C475" s="91" t="s">
        <v>8267</v>
      </c>
      <c r="E475" s="103" t="s">
        <v>4357</v>
      </c>
    </row>
    <row r="476" spans="3:5" ht="20.25" customHeight="1" x14ac:dyDescent="0.25">
      <c r="C476" s="91" t="s">
        <v>8268</v>
      </c>
      <c r="E476" s="105">
        <v>44889</v>
      </c>
    </row>
    <row r="477" spans="3:5" ht="20.25" customHeight="1" x14ac:dyDescent="0.25">
      <c r="C477" s="91" t="s">
        <v>8269</v>
      </c>
      <c r="E477" s="105">
        <v>44862</v>
      </c>
    </row>
    <row r="478" spans="3:5" ht="20.25" customHeight="1" x14ac:dyDescent="0.25">
      <c r="C478" s="91" t="s">
        <v>8270</v>
      </c>
      <c r="E478" s="105">
        <v>44869</v>
      </c>
    </row>
    <row r="479" spans="3:5" ht="20.25" customHeight="1" x14ac:dyDescent="0.25">
      <c r="C479" s="91" t="s">
        <v>8271</v>
      </c>
      <c r="E479" s="103" t="s">
        <v>4357</v>
      </c>
    </row>
    <row r="480" spans="3:5" ht="20.25" customHeight="1" x14ac:dyDescent="0.25">
      <c r="C480" s="91" t="s">
        <v>8272</v>
      </c>
      <c r="E480" s="103" t="s">
        <v>4357</v>
      </c>
    </row>
    <row r="481" spans="3:5" ht="20.25" customHeight="1" x14ac:dyDescent="0.25">
      <c r="C481" s="91" t="s">
        <v>8273</v>
      </c>
      <c r="E481" s="103" t="s">
        <v>4357</v>
      </c>
    </row>
    <row r="482" spans="3:5" ht="20.25" customHeight="1" x14ac:dyDescent="0.25">
      <c r="C482" s="91" t="s">
        <v>8274</v>
      </c>
      <c r="E482" s="119">
        <v>45014</v>
      </c>
    </row>
    <row r="483" spans="3:5" ht="20.25" customHeight="1" x14ac:dyDescent="0.25">
      <c r="C483" s="91" t="s">
        <v>8275</v>
      </c>
      <c r="E483" s="108">
        <v>45065</v>
      </c>
    </row>
    <row r="484" spans="3:5" ht="20.25" customHeight="1" x14ac:dyDescent="0.25">
      <c r="C484" s="91" t="s">
        <v>8276</v>
      </c>
      <c r="E484" s="105">
        <v>45056</v>
      </c>
    </row>
    <row r="485" spans="3:5" ht="20.25" customHeight="1" x14ac:dyDescent="0.25">
      <c r="C485" s="91" t="s">
        <v>8277</v>
      </c>
      <c r="E485" s="108">
        <v>45049</v>
      </c>
    </row>
    <row r="486" spans="3:5" ht="20.25" customHeight="1" x14ac:dyDescent="0.25">
      <c r="C486" s="91" t="s">
        <v>8278</v>
      </c>
      <c r="E486" s="105">
        <v>45056</v>
      </c>
    </row>
    <row r="487" spans="3:5" ht="20.25" customHeight="1" x14ac:dyDescent="0.25">
      <c r="C487" s="91" t="s">
        <v>8279</v>
      </c>
      <c r="E487" s="103" t="s">
        <v>4357</v>
      </c>
    </row>
    <row r="488" spans="3:5" ht="20.25" customHeight="1" x14ac:dyDescent="0.25">
      <c r="C488" s="91" t="s">
        <v>8280</v>
      </c>
      <c r="E488" s="105">
        <v>44862</v>
      </c>
    </row>
    <row r="489" spans="3:5" ht="20.25" customHeight="1" x14ac:dyDescent="0.25">
      <c r="C489" s="91" t="s">
        <v>8281</v>
      </c>
      <c r="E489" s="105">
        <v>44910</v>
      </c>
    </row>
    <row r="490" spans="3:5" ht="20.25" customHeight="1" x14ac:dyDescent="0.25">
      <c r="C490" s="91" t="s">
        <v>8282</v>
      </c>
      <c r="E490" s="103" t="s">
        <v>4357</v>
      </c>
    </row>
    <row r="491" spans="3:5" ht="20.25" customHeight="1" x14ac:dyDescent="0.25">
      <c r="C491" s="91" t="s">
        <v>8283</v>
      </c>
      <c r="E491" s="103" t="s">
        <v>4357</v>
      </c>
    </row>
    <row r="492" spans="3:5" ht="20.25" customHeight="1" x14ac:dyDescent="0.25">
      <c r="C492" s="91" t="s">
        <v>8284</v>
      </c>
      <c r="E492" s="105">
        <v>44890</v>
      </c>
    </row>
    <row r="493" spans="3:5" ht="20.25" customHeight="1" x14ac:dyDescent="0.25">
      <c r="C493" s="91" t="s">
        <v>7840</v>
      </c>
      <c r="E493" s="105">
        <v>44869</v>
      </c>
    </row>
    <row r="494" spans="3:5" ht="20.25" customHeight="1" x14ac:dyDescent="0.25">
      <c r="C494" s="91" t="s">
        <v>8285</v>
      </c>
      <c r="E494" s="105">
        <v>44867</v>
      </c>
    </row>
    <row r="495" spans="3:5" ht="20.25" customHeight="1" x14ac:dyDescent="0.25">
      <c r="C495" s="91" t="s">
        <v>8286</v>
      </c>
      <c r="E495" s="103" t="s">
        <v>4357</v>
      </c>
    </row>
    <row r="496" spans="3:5" ht="20.25" customHeight="1" x14ac:dyDescent="0.25">
      <c r="C496" s="91" t="s">
        <v>8287</v>
      </c>
      <c r="E496" s="103" t="s">
        <v>4357</v>
      </c>
    </row>
    <row r="497" spans="3:5" ht="20.25" customHeight="1" x14ac:dyDescent="0.25">
      <c r="C497" s="97" t="s">
        <v>8288</v>
      </c>
      <c r="E497" s="103" t="s">
        <v>4357</v>
      </c>
    </row>
    <row r="498" spans="3:5" ht="20.25" customHeight="1" x14ac:dyDescent="0.25">
      <c r="C498" s="91" t="s">
        <v>8289</v>
      </c>
      <c r="E498" s="108">
        <v>45049</v>
      </c>
    </row>
    <row r="499" spans="3:5" ht="20.25" customHeight="1" x14ac:dyDescent="0.25">
      <c r="C499" s="91" t="s">
        <v>8290</v>
      </c>
      <c r="E499" s="105">
        <v>44923</v>
      </c>
    </row>
    <row r="500" spans="3:5" ht="20.25" customHeight="1" x14ac:dyDescent="0.25">
      <c r="C500" s="91" t="s">
        <v>8291</v>
      </c>
      <c r="E500" s="103" t="s">
        <v>4357</v>
      </c>
    </row>
    <row r="501" spans="3:5" ht="20.25" customHeight="1" x14ac:dyDescent="0.25">
      <c r="C501" s="91" t="s">
        <v>8292</v>
      </c>
      <c r="E501" s="105">
        <v>44877</v>
      </c>
    </row>
    <row r="502" spans="3:5" ht="20.25" customHeight="1" x14ac:dyDescent="0.25">
      <c r="C502" s="91" t="s">
        <v>8293</v>
      </c>
      <c r="E502" s="105">
        <v>44862</v>
      </c>
    </row>
    <row r="503" spans="3:5" ht="20.25" customHeight="1" x14ac:dyDescent="0.25">
      <c r="C503" s="97" t="s">
        <v>8294</v>
      </c>
      <c r="E503" s="105">
        <v>44862</v>
      </c>
    </row>
    <row r="504" spans="3:5" ht="20.25" customHeight="1" x14ac:dyDescent="0.25">
      <c r="C504" s="91" t="s">
        <v>8295</v>
      </c>
      <c r="E504" s="103" t="s">
        <v>4357</v>
      </c>
    </row>
    <row r="505" spans="3:5" ht="20.25" customHeight="1" x14ac:dyDescent="0.25">
      <c r="C505" s="91" t="s">
        <v>8296</v>
      </c>
      <c r="E505" s="105">
        <v>44889</v>
      </c>
    </row>
    <row r="506" spans="3:5" ht="20.25" customHeight="1" x14ac:dyDescent="0.25">
      <c r="C506" s="91" t="s">
        <v>8297</v>
      </c>
      <c r="E506" s="103" t="s">
        <v>4357</v>
      </c>
    </row>
    <row r="507" spans="3:5" ht="20.25" customHeight="1" x14ac:dyDescent="0.25">
      <c r="C507" s="91" t="s">
        <v>8298</v>
      </c>
      <c r="E507" s="103" t="s">
        <v>4357</v>
      </c>
    </row>
    <row r="508" spans="3:5" ht="20.25" customHeight="1" x14ac:dyDescent="0.25">
      <c r="C508" s="91" t="s">
        <v>8299</v>
      </c>
      <c r="E508" s="103" t="s">
        <v>4357</v>
      </c>
    </row>
    <row r="509" spans="3:5" ht="20.25" customHeight="1" x14ac:dyDescent="0.25">
      <c r="C509" s="91" t="s">
        <v>8300</v>
      </c>
      <c r="E509" s="105">
        <v>44862</v>
      </c>
    </row>
    <row r="510" spans="3:5" ht="20.25" customHeight="1" x14ac:dyDescent="0.25">
      <c r="C510" s="91" t="s">
        <v>8301</v>
      </c>
      <c r="E510" s="105">
        <v>44862</v>
      </c>
    </row>
    <row r="511" spans="3:5" ht="20.25" customHeight="1" x14ac:dyDescent="0.25">
      <c r="C511" s="91" t="s">
        <v>8302</v>
      </c>
      <c r="E511" s="105">
        <v>44889</v>
      </c>
    </row>
    <row r="512" spans="3:5" ht="20.25" customHeight="1" x14ac:dyDescent="0.25">
      <c r="C512" s="91" t="s">
        <v>7842</v>
      </c>
      <c r="E512" s="105">
        <v>44869</v>
      </c>
    </row>
    <row r="513" spans="3:5" ht="20.25" customHeight="1" x14ac:dyDescent="0.25">
      <c r="C513" s="91" t="s">
        <v>8303</v>
      </c>
      <c r="E513" s="110">
        <v>45013</v>
      </c>
    </row>
    <row r="514" spans="3:5" ht="20.25" customHeight="1" x14ac:dyDescent="0.25">
      <c r="C514" s="91" t="s">
        <v>8304</v>
      </c>
      <c r="E514" s="110">
        <v>45013</v>
      </c>
    </row>
    <row r="515" spans="3:5" ht="20.25" customHeight="1" x14ac:dyDescent="0.25">
      <c r="C515" s="91" t="s">
        <v>8305</v>
      </c>
      <c r="E515" s="105">
        <v>44816</v>
      </c>
    </row>
    <row r="516" spans="3:5" ht="20.25" customHeight="1" x14ac:dyDescent="0.25">
      <c r="C516" s="91" t="s">
        <v>8306</v>
      </c>
      <c r="E516" s="103" t="s">
        <v>4357</v>
      </c>
    </row>
    <row r="517" spans="3:5" ht="20.25" customHeight="1" x14ac:dyDescent="0.25">
      <c r="C517" s="91" t="s">
        <v>8307</v>
      </c>
      <c r="E517" s="103" t="s">
        <v>4357</v>
      </c>
    </row>
    <row r="518" spans="3:5" ht="20.25" customHeight="1" x14ac:dyDescent="0.25">
      <c r="C518" s="91" t="s">
        <v>8308</v>
      </c>
      <c r="E518" s="103" t="s">
        <v>4357</v>
      </c>
    </row>
    <row r="519" spans="3:5" ht="20.25" customHeight="1" x14ac:dyDescent="0.25">
      <c r="C519" s="91" t="s">
        <v>8309</v>
      </c>
      <c r="E519" s="103" t="s">
        <v>4357</v>
      </c>
    </row>
    <row r="520" spans="3:5" ht="20.25" customHeight="1" x14ac:dyDescent="0.25">
      <c r="C520" s="91" t="s">
        <v>7844</v>
      </c>
      <c r="E520" s="103" t="s">
        <v>4357</v>
      </c>
    </row>
    <row r="521" spans="3:5" ht="20.25" customHeight="1" x14ac:dyDescent="0.25">
      <c r="C521" s="91" t="s">
        <v>7846</v>
      </c>
      <c r="E521" s="103" t="s">
        <v>4357</v>
      </c>
    </row>
    <row r="522" spans="3:5" ht="20.25" customHeight="1" x14ac:dyDescent="0.25">
      <c r="C522" s="91" t="s">
        <v>8310</v>
      </c>
      <c r="E522" s="103" t="s">
        <v>4357</v>
      </c>
    </row>
    <row r="523" spans="3:5" ht="20.25" customHeight="1" x14ac:dyDescent="0.25">
      <c r="C523" s="91" t="s">
        <v>8311</v>
      </c>
      <c r="E523" s="103" t="s">
        <v>4357</v>
      </c>
    </row>
    <row r="524" spans="3:5" ht="20.25" customHeight="1" x14ac:dyDescent="0.25">
      <c r="C524" s="91" t="s">
        <v>8312</v>
      </c>
      <c r="E524" s="105">
        <v>44869</v>
      </c>
    </row>
    <row r="525" spans="3:5" ht="20.25" customHeight="1" x14ac:dyDescent="0.25">
      <c r="C525" s="91" t="s">
        <v>8313</v>
      </c>
      <c r="E525" s="105">
        <v>44862</v>
      </c>
    </row>
    <row r="526" spans="3:5" ht="20.25" customHeight="1" x14ac:dyDescent="0.25">
      <c r="C526" s="91" t="s">
        <v>7848</v>
      </c>
      <c r="E526" s="105">
        <v>44869</v>
      </c>
    </row>
    <row r="527" spans="3:5" ht="20.25" customHeight="1" x14ac:dyDescent="0.25">
      <c r="C527" s="91" t="s">
        <v>8314</v>
      </c>
      <c r="E527" s="103" t="s">
        <v>4357</v>
      </c>
    </row>
    <row r="528" spans="3:5" ht="20.25" customHeight="1" x14ac:dyDescent="0.25">
      <c r="C528" s="91" t="s">
        <v>8315</v>
      </c>
      <c r="E528" s="103" t="s">
        <v>4357</v>
      </c>
    </row>
    <row r="529" spans="3:5" ht="20.25" customHeight="1" x14ac:dyDescent="0.25">
      <c r="C529" s="91" t="s">
        <v>8316</v>
      </c>
      <c r="E529" s="103" t="s">
        <v>4357</v>
      </c>
    </row>
    <row r="530" spans="3:5" ht="20.25" customHeight="1" x14ac:dyDescent="0.25">
      <c r="C530" s="91" t="s">
        <v>8317</v>
      </c>
      <c r="E530" s="105">
        <v>44889</v>
      </c>
    </row>
    <row r="531" spans="3:5" ht="20.25" customHeight="1" x14ac:dyDescent="0.25">
      <c r="C531" s="91" t="s">
        <v>8318</v>
      </c>
      <c r="E531" s="105">
        <v>44910</v>
      </c>
    </row>
    <row r="532" spans="3:5" ht="20.25" customHeight="1" x14ac:dyDescent="0.25">
      <c r="C532" s="91" t="s">
        <v>8319</v>
      </c>
      <c r="E532" s="105">
        <v>44869</v>
      </c>
    </row>
    <row r="533" spans="3:5" ht="20.25" customHeight="1" x14ac:dyDescent="0.25">
      <c r="C533" s="91" t="s">
        <v>8320</v>
      </c>
      <c r="E533" s="105">
        <v>44889</v>
      </c>
    </row>
    <row r="534" spans="3:5" ht="20.25" customHeight="1" x14ac:dyDescent="0.25">
      <c r="C534" s="91" t="s">
        <v>8321</v>
      </c>
      <c r="E534" s="105">
        <v>44910</v>
      </c>
    </row>
    <row r="535" spans="3:5" ht="20.25" customHeight="1" x14ac:dyDescent="0.25">
      <c r="C535" s="91" t="s">
        <v>8322</v>
      </c>
      <c r="E535" s="105">
        <v>44889</v>
      </c>
    </row>
    <row r="536" spans="3:5" ht="20.25" customHeight="1" x14ac:dyDescent="0.25">
      <c r="C536" s="91" t="s">
        <v>8323</v>
      </c>
      <c r="E536" s="105">
        <v>44910</v>
      </c>
    </row>
    <row r="537" spans="3:5" ht="20.25" customHeight="1" x14ac:dyDescent="0.25">
      <c r="C537" s="91" t="s">
        <v>8324</v>
      </c>
      <c r="E537" s="105">
        <v>44877</v>
      </c>
    </row>
    <row r="538" spans="3:5" ht="20.25" customHeight="1" x14ac:dyDescent="0.25">
      <c r="C538" s="91" t="s">
        <v>8325</v>
      </c>
      <c r="E538" s="105">
        <v>44862</v>
      </c>
    </row>
    <row r="539" spans="3:5" ht="20.25" customHeight="1" x14ac:dyDescent="0.25">
      <c r="C539" s="91" t="s">
        <v>8326</v>
      </c>
      <c r="E539" s="103" t="s">
        <v>4357</v>
      </c>
    </row>
    <row r="540" spans="3:5" ht="20.25" customHeight="1" x14ac:dyDescent="0.25">
      <c r="C540" s="91" t="s">
        <v>8327</v>
      </c>
      <c r="E540" s="103" t="s">
        <v>4357</v>
      </c>
    </row>
    <row r="541" spans="3:5" ht="20.25" customHeight="1" x14ac:dyDescent="0.25">
      <c r="C541" s="91" t="s">
        <v>8328</v>
      </c>
      <c r="E541" s="103" t="s">
        <v>4357</v>
      </c>
    </row>
    <row r="542" spans="3:5" ht="20.25" customHeight="1" x14ac:dyDescent="0.25">
      <c r="C542" s="91" t="s">
        <v>8329</v>
      </c>
      <c r="E542" s="103" t="s">
        <v>4357</v>
      </c>
    </row>
    <row r="543" spans="3:5" ht="20.25" customHeight="1" x14ac:dyDescent="0.25">
      <c r="C543" s="91" t="s">
        <v>8330</v>
      </c>
      <c r="E543" s="105">
        <v>44816</v>
      </c>
    </row>
    <row r="544" spans="3:5" ht="20.25" customHeight="1" x14ac:dyDescent="0.25">
      <c r="C544" s="91" t="s">
        <v>8331</v>
      </c>
      <c r="E544" s="105">
        <v>44961</v>
      </c>
    </row>
    <row r="545" spans="3:5" ht="20.25" customHeight="1" x14ac:dyDescent="0.25">
      <c r="C545" s="91" t="s">
        <v>8332</v>
      </c>
      <c r="E545" s="103" t="s">
        <v>4357</v>
      </c>
    </row>
    <row r="546" spans="3:5" ht="20.25" customHeight="1" x14ac:dyDescent="0.25">
      <c r="C546" s="91" t="s">
        <v>8333</v>
      </c>
      <c r="E546" s="105">
        <v>44889</v>
      </c>
    </row>
    <row r="547" spans="3:5" ht="20.25" customHeight="1" x14ac:dyDescent="0.25">
      <c r="C547" s="91" t="s">
        <v>8334</v>
      </c>
      <c r="E547" s="105">
        <v>44816</v>
      </c>
    </row>
    <row r="548" spans="3:5" ht="20.25" customHeight="1" x14ac:dyDescent="0.25">
      <c r="C548" s="91" t="s">
        <v>8335</v>
      </c>
      <c r="E548" s="105">
        <v>44961</v>
      </c>
    </row>
    <row r="549" spans="3:5" ht="20.25" customHeight="1" x14ac:dyDescent="0.25">
      <c r="C549" s="91" t="s">
        <v>8336</v>
      </c>
      <c r="E549" s="105">
        <v>44910</v>
      </c>
    </row>
    <row r="550" spans="3:5" ht="20.25" customHeight="1" x14ac:dyDescent="0.25">
      <c r="C550" s="91" t="s">
        <v>8337</v>
      </c>
      <c r="E550" s="105">
        <v>44889</v>
      </c>
    </row>
    <row r="551" spans="3:5" ht="20.25" customHeight="1" x14ac:dyDescent="0.25">
      <c r="C551" s="95" t="s">
        <v>8338</v>
      </c>
      <c r="E551" s="105">
        <v>44816</v>
      </c>
    </row>
    <row r="552" spans="3:5" ht="20.25" customHeight="1" x14ac:dyDescent="0.25">
      <c r="C552" s="91" t="s">
        <v>8339</v>
      </c>
      <c r="E552" s="105">
        <v>44889</v>
      </c>
    </row>
    <row r="553" spans="3:5" ht="20.25" customHeight="1" x14ac:dyDescent="0.25">
      <c r="C553" s="91" t="s">
        <v>8340</v>
      </c>
      <c r="E553" s="105">
        <v>44816</v>
      </c>
    </row>
    <row r="554" spans="3:5" ht="20.25" customHeight="1" x14ac:dyDescent="0.25">
      <c r="C554" s="91" t="s">
        <v>8341</v>
      </c>
      <c r="E554" s="103" t="s">
        <v>4357</v>
      </c>
    </row>
    <row r="555" spans="3:5" ht="20.25" customHeight="1" x14ac:dyDescent="0.25">
      <c r="C555" s="91" t="s">
        <v>8342</v>
      </c>
      <c r="E555" s="103" t="s">
        <v>4357</v>
      </c>
    </row>
    <row r="556" spans="3:5" ht="20.25" customHeight="1" x14ac:dyDescent="0.25">
      <c r="C556" s="91" t="s">
        <v>7850</v>
      </c>
      <c r="E556" s="103" t="s">
        <v>4357</v>
      </c>
    </row>
    <row r="557" spans="3:5" ht="20.25" customHeight="1" x14ac:dyDescent="0.25">
      <c r="C557" s="91" t="s">
        <v>7852</v>
      </c>
      <c r="E557" s="105">
        <v>44889</v>
      </c>
    </row>
    <row r="558" spans="3:5" ht="20.25" customHeight="1" x14ac:dyDescent="0.25">
      <c r="C558" s="91" t="s">
        <v>8343</v>
      </c>
      <c r="E558" s="103" t="s">
        <v>4357</v>
      </c>
    </row>
    <row r="559" spans="3:5" ht="20.25" customHeight="1" x14ac:dyDescent="0.25">
      <c r="C559" s="91" t="s">
        <v>7854</v>
      </c>
      <c r="E559" s="103" t="s">
        <v>4357</v>
      </c>
    </row>
    <row r="560" spans="3:5" ht="20.25" customHeight="1" x14ac:dyDescent="0.25">
      <c r="C560" s="91" t="s">
        <v>8344</v>
      </c>
      <c r="E560" s="105">
        <v>44889</v>
      </c>
    </row>
    <row r="561" spans="3:5" ht="20.25" customHeight="1" x14ac:dyDescent="0.25">
      <c r="C561" s="91" t="s">
        <v>8345</v>
      </c>
      <c r="E561" s="105">
        <v>44889</v>
      </c>
    </row>
    <row r="562" spans="3:5" ht="20.25" customHeight="1" x14ac:dyDescent="0.25">
      <c r="C562" s="91" t="s">
        <v>8346</v>
      </c>
      <c r="E562" s="105"/>
    </row>
    <row r="563" spans="3:5" ht="20.25" customHeight="1" x14ac:dyDescent="0.25">
      <c r="C563" s="91" t="s">
        <v>8347</v>
      </c>
      <c r="E563" s="105">
        <v>45097</v>
      </c>
    </row>
    <row r="564" spans="3:5" ht="20.25" customHeight="1" x14ac:dyDescent="0.25">
      <c r="C564" s="91" t="s">
        <v>8348</v>
      </c>
      <c r="E564" s="105">
        <v>44910</v>
      </c>
    </row>
    <row r="565" spans="3:5" ht="20.25" customHeight="1" x14ac:dyDescent="0.25">
      <c r="C565" s="90" t="s">
        <v>8349</v>
      </c>
      <c r="E565" s="105">
        <v>44923</v>
      </c>
    </row>
    <row r="566" spans="3:5" ht="20.25" customHeight="1" x14ac:dyDescent="0.25">
      <c r="C566" s="91" t="s">
        <v>8350</v>
      </c>
      <c r="E566" s="105">
        <v>44923</v>
      </c>
    </row>
    <row r="567" spans="3:5" ht="20.25" customHeight="1" x14ac:dyDescent="0.25">
      <c r="C567" s="91" t="s">
        <v>8351</v>
      </c>
      <c r="E567" s="105">
        <v>44910</v>
      </c>
    </row>
    <row r="568" spans="3:5" ht="20.25" customHeight="1" x14ac:dyDescent="0.25">
      <c r="C568" s="91" t="s">
        <v>8352</v>
      </c>
      <c r="E568" s="105">
        <v>44910</v>
      </c>
    </row>
    <row r="569" spans="3:5" ht="20.25" customHeight="1" x14ac:dyDescent="0.25">
      <c r="C569" s="91" t="s">
        <v>8353</v>
      </c>
      <c r="E569" s="103" t="s">
        <v>4357</v>
      </c>
    </row>
    <row r="570" spans="3:5" ht="20.25" customHeight="1" x14ac:dyDescent="0.25">
      <c r="C570" s="91" t="s">
        <v>8354</v>
      </c>
      <c r="E570" s="105">
        <v>44923</v>
      </c>
    </row>
    <row r="571" spans="3:5" ht="20.25" customHeight="1" x14ac:dyDescent="0.25">
      <c r="C571" s="91" t="s">
        <v>8355</v>
      </c>
      <c r="E571" s="105">
        <v>44910</v>
      </c>
    </row>
    <row r="572" spans="3:5" ht="20.25" customHeight="1" x14ac:dyDescent="0.25">
      <c r="C572" s="91" t="s">
        <v>8356</v>
      </c>
      <c r="E572" s="105">
        <v>44923</v>
      </c>
    </row>
    <row r="573" spans="3:5" ht="20.25" customHeight="1" x14ac:dyDescent="0.25">
      <c r="C573" s="91" t="s">
        <v>8357</v>
      </c>
      <c r="E573" s="105">
        <v>44910</v>
      </c>
    </row>
    <row r="574" spans="3:5" ht="20.25" customHeight="1" x14ac:dyDescent="0.25">
      <c r="C574" s="91" t="s">
        <v>7856</v>
      </c>
      <c r="E574" s="105">
        <v>44910</v>
      </c>
    </row>
    <row r="575" spans="3:5" ht="20.25" customHeight="1" x14ac:dyDescent="0.25">
      <c r="C575" s="91" t="s">
        <v>7858</v>
      </c>
      <c r="E575" s="105">
        <v>44869</v>
      </c>
    </row>
    <row r="576" spans="3:5" ht="20.25" customHeight="1" x14ac:dyDescent="0.25">
      <c r="C576" s="91" t="s">
        <v>8358</v>
      </c>
      <c r="E576" s="105">
        <v>44869</v>
      </c>
    </row>
    <row r="577" spans="3:5" ht="20.25" customHeight="1" x14ac:dyDescent="0.25">
      <c r="C577" s="91" t="s">
        <v>8359</v>
      </c>
      <c r="E577" s="105">
        <v>44876</v>
      </c>
    </row>
    <row r="578" spans="3:5" ht="20.25" customHeight="1" x14ac:dyDescent="0.25">
      <c r="C578" s="90" t="s">
        <v>8360</v>
      </c>
      <c r="E578" s="103" t="s">
        <v>4357</v>
      </c>
    </row>
    <row r="579" spans="3:5" ht="20.25" customHeight="1" x14ac:dyDescent="0.25">
      <c r="C579" s="91" t="s">
        <v>8361</v>
      </c>
      <c r="E579" s="105">
        <v>44869</v>
      </c>
    </row>
    <row r="580" spans="3:5" ht="20.25" customHeight="1" x14ac:dyDescent="0.25">
      <c r="C580" s="91" t="s">
        <v>8362</v>
      </c>
      <c r="E580" s="103" t="s">
        <v>4357</v>
      </c>
    </row>
    <row r="581" spans="3:5" ht="20.25" customHeight="1" x14ac:dyDescent="0.25">
      <c r="C581" s="91" t="s">
        <v>8363</v>
      </c>
      <c r="E581" s="103" t="s">
        <v>4357</v>
      </c>
    </row>
    <row r="582" spans="3:5" ht="20.25" customHeight="1" x14ac:dyDescent="0.25">
      <c r="C582" s="91" t="s">
        <v>8364</v>
      </c>
      <c r="E582" s="103" t="s">
        <v>4357</v>
      </c>
    </row>
    <row r="583" spans="3:5" ht="20.25" customHeight="1" x14ac:dyDescent="0.25">
      <c r="C583" s="91" t="s">
        <v>7860</v>
      </c>
      <c r="E583" s="103" t="s">
        <v>4357</v>
      </c>
    </row>
    <row r="584" spans="3:5" ht="20.25" customHeight="1" x14ac:dyDescent="0.25">
      <c r="C584" s="91" t="s">
        <v>8365</v>
      </c>
      <c r="E584" s="103" t="s">
        <v>4357</v>
      </c>
    </row>
    <row r="585" spans="3:5" ht="20.25" customHeight="1" x14ac:dyDescent="0.25">
      <c r="C585" s="91" t="s">
        <v>8366</v>
      </c>
      <c r="E585" s="103" t="s">
        <v>4357</v>
      </c>
    </row>
    <row r="586" spans="3:5" ht="20.25" customHeight="1" x14ac:dyDescent="0.25">
      <c r="C586" s="91" t="s">
        <v>8367</v>
      </c>
      <c r="E586" s="103" t="s">
        <v>4357</v>
      </c>
    </row>
    <row r="587" spans="3:5" ht="20.25" customHeight="1" x14ac:dyDescent="0.25">
      <c r="C587" s="91" t="s">
        <v>8368</v>
      </c>
      <c r="E587" s="103" t="s">
        <v>4357</v>
      </c>
    </row>
    <row r="588" spans="3:5" ht="20.25" customHeight="1" x14ac:dyDescent="0.25">
      <c r="C588" s="91" t="s">
        <v>8369</v>
      </c>
      <c r="E588" s="103" t="s">
        <v>4357</v>
      </c>
    </row>
    <row r="589" spans="3:5" ht="20.25" customHeight="1" x14ac:dyDescent="0.25">
      <c r="C589" s="91" t="s">
        <v>8370</v>
      </c>
      <c r="E589" s="103" t="s">
        <v>4357</v>
      </c>
    </row>
    <row r="590" spans="3:5" ht="20.25" customHeight="1" x14ac:dyDescent="0.25">
      <c r="C590" s="91" t="s">
        <v>8371</v>
      </c>
      <c r="E590" s="103" t="s">
        <v>4357</v>
      </c>
    </row>
    <row r="591" spans="3:5" ht="20.25" customHeight="1" x14ac:dyDescent="0.25">
      <c r="C591" s="91" t="s">
        <v>8372</v>
      </c>
      <c r="E591" s="103" t="s">
        <v>4357</v>
      </c>
    </row>
    <row r="592" spans="3:5" ht="20.25" customHeight="1" x14ac:dyDescent="0.25">
      <c r="C592" s="91" t="s">
        <v>8373</v>
      </c>
      <c r="E592" s="103" t="s">
        <v>4357</v>
      </c>
    </row>
    <row r="593" spans="3:5" ht="20.25" customHeight="1" x14ac:dyDescent="0.25">
      <c r="C593" s="91" t="s">
        <v>8374</v>
      </c>
      <c r="E593" s="105">
        <v>44910</v>
      </c>
    </row>
    <row r="594" spans="3:5" ht="20.25" customHeight="1" x14ac:dyDescent="0.25">
      <c r="C594" s="91" t="s">
        <v>8375</v>
      </c>
      <c r="E594" s="103" t="s">
        <v>4357</v>
      </c>
    </row>
    <row r="595" spans="3:5" ht="20.25" customHeight="1" x14ac:dyDescent="0.25">
      <c r="C595" s="91" t="s">
        <v>8376</v>
      </c>
      <c r="E595" s="105">
        <v>44910</v>
      </c>
    </row>
    <row r="596" spans="3:5" ht="20.25" customHeight="1" x14ac:dyDescent="0.25">
      <c r="C596" s="91" t="s">
        <v>8377</v>
      </c>
      <c r="E596" s="103" t="s">
        <v>4357</v>
      </c>
    </row>
    <row r="597" spans="3:5" ht="20.25" customHeight="1" x14ac:dyDescent="0.25">
      <c r="C597" s="91" t="s">
        <v>8378</v>
      </c>
      <c r="E597" s="105">
        <v>44910</v>
      </c>
    </row>
    <row r="598" spans="3:5" ht="20.25" customHeight="1" x14ac:dyDescent="0.25">
      <c r="C598" s="91" t="s">
        <v>8379</v>
      </c>
      <c r="E598" s="103" t="s">
        <v>4357</v>
      </c>
    </row>
    <row r="599" spans="3:5" ht="20.25" customHeight="1" x14ac:dyDescent="0.25">
      <c r="C599" s="95" t="s">
        <v>8380</v>
      </c>
      <c r="E599" s="103" t="s">
        <v>4357</v>
      </c>
    </row>
    <row r="600" spans="3:5" ht="20.25" customHeight="1" x14ac:dyDescent="0.25">
      <c r="C600" s="91" t="s">
        <v>8381</v>
      </c>
      <c r="E600" s="103" t="s">
        <v>4357</v>
      </c>
    </row>
    <row r="601" spans="3:5" ht="20.25" customHeight="1" x14ac:dyDescent="0.25">
      <c r="C601" s="91" t="s">
        <v>8382</v>
      </c>
      <c r="E601" s="103" t="s">
        <v>4357</v>
      </c>
    </row>
    <row r="602" spans="3:5" ht="20.25" customHeight="1" x14ac:dyDescent="0.25">
      <c r="C602" s="91" t="s">
        <v>8383</v>
      </c>
      <c r="E602" s="108">
        <v>45065</v>
      </c>
    </row>
    <row r="603" spans="3:5" ht="20.25" customHeight="1" x14ac:dyDescent="0.25">
      <c r="C603" s="91" t="s">
        <v>8384</v>
      </c>
      <c r="E603" s="108">
        <v>45148</v>
      </c>
    </row>
    <row r="604" spans="3:5" ht="20.25" customHeight="1" x14ac:dyDescent="0.25">
      <c r="C604" s="91" t="s">
        <v>8385</v>
      </c>
      <c r="E604" s="105">
        <v>44910</v>
      </c>
    </row>
    <row r="605" spans="3:5" ht="20.25" customHeight="1" x14ac:dyDescent="0.25">
      <c r="C605" s="91" t="s">
        <v>8386</v>
      </c>
      <c r="E605" s="119">
        <v>45040</v>
      </c>
    </row>
    <row r="606" spans="3:5" ht="20.25" customHeight="1" x14ac:dyDescent="0.25">
      <c r="C606" s="91" t="s">
        <v>8387</v>
      </c>
      <c r="E606" s="103" t="s">
        <v>4357</v>
      </c>
    </row>
    <row r="607" spans="3:5" ht="20.25" customHeight="1" x14ac:dyDescent="0.25">
      <c r="C607" s="91" t="s">
        <v>8388</v>
      </c>
      <c r="E607" s="108">
        <v>45065</v>
      </c>
    </row>
    <row r="608" spans="3:5" ht="20.25" customHeight="1" x14ac:dyDescent="0.25">
      <c r="C608" s="91" t="s">
        <v>8389</v>
      </c>
      <c r="E608" s="103" t="s">
        <v>4357</v>
      </c>
    </row>
    <row r="609" spans="3:5" ht="20.25" customHeight="1" x14ac:dyDescent="0.25">
      <c r="C609" s="91" t="s">
        <v>8390</v>
      </c>
      <c r="E609" s="119">
        <v>45040</v>
      </c>
    </row>
    <row r="610" spans="3:5" ht="20.25" customHeight="1" x14ac:dyDescent="0.25">
      <c r="C610" s="91" t="s">
        <v>8391</v>
      </c>
      <c r="E610" s="105">
        <v>44923</v>
      </c>
    </row>
    <row r="611" spans="3:5" ht="20.25" customHeight="1" x14ac:dyDescent="0.25">
      <c r="C611" s="91" t="s">
        <v>8392</v>
      </c>
      <c r="E611" s="108">
        <v>45065</v>
      </c>
    </row>
    <row r="612" spans="3:5" ht="20.25" customHeight="1" x14ac:dyDescent="0.25">
      <c r="C612" s="91" t="s">
        <v>8393</v>
      </c>
      <c r="E612" s="103" t="s">
        <v>4357</v>
      </c>
    </row>
    <row r="613" spans="3:5" ht="20.25" customHeight="1" x14ac:dyDescent="0.25">
      <c r="C613" s="91" t="s">
        <v>8394</v>
      </c>
      <c r="E613" s="103" t="s">
        <v>4357</v>
      </c>
    </row>
    <row r="614" spans="3:5" ht="20.25" customHeight="1" x14ac:dyDescent="0.25">
      <c r="C614" s="91" t="s">
        <v>8395</v>
      </c>
      <c r="E614" s="105">
        <v>44910</v>
      </c>
    </row>
    <row r="615" spans="3:5" ht="20.25" customHeight="1" x14ac:dyDescent="0.25">
      <c r="C615" s="91" t="s">
        <v>8396</v>
      </c>
      <c r="E615" s="105">
        <v>44923</v>
      </c>
    </row>
    <row r="616" spans="3:5" ht="20.25" customHeight="1" x14ac:dyDescent="0.25">
      <c r="C616" s="91" t="s">
        <v>8397</v>
      </c>
      <c r="E616" s="105">
        <v>44910</v>
      </c>
    </row>
    <row r="617" spans="3:5" ht="20.25" customHeight="1" x14ac:dyDescent="0.25">
      <c r="C617" s="90" t="s">
        <v>8398</v>
      </c>
      <c r="E617" s="105">
        <v>44869</v>
      </c>
    </row>
    <row r="618" spans="3:5" ht="20.25" customHeight="1" x14ac:dyDescent="0.25">
      <c r="C618" s="91" t="s">
        <v>8399</v>
      </c>
      <c r="E618" s="105">
        <v>44910</v>
      </c>
    </row>
    <row r="619" spans="3:5" ht="20.25" customHeight="1" x14ac:dyDescent="0.25">
      <c r="C619" s="91" t="s">
        <v>8400</v>
      </c>
      <c r="E619" s="103"/>
    </row>
    <row r="620" spans="3:5" ht="20.25" customHeight="1" x14ac:dyDescent="0.25">
      <c r="C620" s="91" t="s">
        <v>8401</v>
      </c>
      <c r="E620" s="105">
        <v>44910</v>
      </c>
    </row>
    <row r="621" spans="3:5" ht="20.25" customHeight="1" x14ac:dyDescent="0.25">
      <c r="C621" s="91" t="s">
        <v>7862</v>
      </c>
      <c r="E621" s="103" t="s">
        <v>4357</v>
      </c>
    </row>
    <row r="622" spans="3:5" ht="20.25" customHeight="1" x14ac:dyDescent="0.25">
      <c r="C622" s="91" t="s">
        <v>8402</v>
      </c>
      <c r="E622" s="105">
        <v>44923</v>
      </c>
    </row>
    <row r="623" spans="3:5" ht="20.25" customHeight="1" x14ac:dyDescent="0.25">
      <c r="C623" s="91" t="s">
        <v>8403</v>
      </c>
      <c r="E623" s="105">
        <v>44910</v>
      </c>
    </row>
    <row r="624" spans="3:5" ht="20.25" customHeight="1" x14ac:dyDescent="0.25">
      <c r="C624" s="91" t="s">
        <v>8404</v>
      </c>
      <c r="E624" s="105">
        <v>44910</v>
      </c>
    </row>
    <row r="625" spans="3:5" ht="20.25" customHeight="1" x14ac:dyDescent="0.25">
      <c r="C625" s="91" t="s">
        <v>8405</v>
      </c>
      <c r="E625" s="103"/>
    </row>
    <row r="626" spans="3:5" ht="20.25" customHeight="1" x14ac:dyDescent="0.25">
      <c r="C626" s="91" t="s">
        <v>8406</v>
      </c>
      <c r="E626" s="112"/>
    </row>
    <row r="627" spans="3:5" ht="20.25" customHeight="1" x14ac:dyDescent="0.25">
      <c r="C627" s="91" t="s">
        <v>8407</v>
      </c>
      <c r="E627" s="112"/>
    </row>
    <row r="628" spans="3:5" ht="20.25" customHeight="1" x14ac:dyDescent="0.25">
      <c r="C628" s="91" t="s">
        <v>8408</v>
      </c>
      <c r="E628" s="112"/>
    </row>
    <row r="629" spans="3:5" ht="20.25" customHeight="1" x14ac:dyDescent="0.25">
      <c r="C629" s="91" t="s">
        <v>8409</v>
      </c>
      <c r="E629" s="112"/>
    </row>
    <row r="630" spans="3:5" ht="20.25" customHeight="1" x14ac:dyDescent="0.25">
      <c r="C630" s="91" t="s">
        <v>8410</v>
      </c>
      <c r="E630" s="112"/>
    </row>
    <row r="631" spans="3:5" ht="20.25" customHeight="1" x14ac:dyDescent="0.25">
      <c r="C631" s="91" t="s">
        <v>8411</v>
      </c>
      <c r="E631" s="112"/>
    </row>
    <row r="632" spans="3:5" ht="20.25" customHeight="1" x14ac:dyDescent="0.25">
      <c r="C632" s="91" t="s">
        <v>8412</v>
      </c>
      <c r="E632" s="112"/>
    </row>
    <row r="633" spans="3:5" ht="20.25" customHeight="1" x14ac:dyDescent="0.25">
      <c r="C633" s="91" t="s">
        <v>8413</v>
      </c>
      <c r="E633" s="112"/>
    </row>
    <row r="634" spans="3:5" ht="20.25" customHeight="1" x14ac:dyDescent="0.25">
      <c r="C634" s="91" t="s">
        <v>8414</v>
      </c>
      <c r="E634" s="112"/>
    </row>
    <row r="635" spans="3:5" ht="20.25" customHeight="1" x14ac:dyDescent="0.25">
      <c r="C635" s="91" t="s">
        <v>8415</v>
      </c>
      <c r="E635" s="112"/>
    </row>
    <row r="636" spans="3:5" ht="20.25" customHeight="1" x14ac:dyDescent="0.25">
      <c r="C636" s="95" t="s">
        <v>8416</v>
      </c>
      <c r="E636" s="112"/>
    </row>
    <row r="637" spans="3:5" ht="20.25" customHeight="1" x14ac:dyDescent="0.25">
      <c r="C637" s="91" t="s">
        <v>8417</v>
      </c>
      <c r="E637" s="112"/>
    </row>
    <row r="638" spans="3:5" ht="20.25" customHeight="1" x14ac:dyDescent="0.25">
      <c r="C638" s="91" t="s">
        <v>8418</v>
      </c>
      <c r="E638" s="112"/>
    </row>
    <row r="639" spans="3:5" ht="20.25" customHeight="1" x14ac:dyDescent="0.25">
      <c r="C639" s="95" t="s">
        <v>8419</v>
      </c>
      <c r="E639" s="112"/>
    </row>
    <row r="640" spans="3:5" ht="20.25" customHeight="1" x14ac:dyDescent="0.25">
      <c r="C640" s="91" t="s">
        <v>8420</v>
      </c>
      <c r="E640" s="112"/>
    </row>
    <row r="641" spans="3:5" ht="20.25" customHeight="1" x14ac:dyDescent="0.25">
      <c r="C641" s="91" t="s">
        <v>8421</v>
      </c>
      <c r="E641" s="112"/>
    </row>
    <row r="642" spans="3:5" ht="20.25" customHeight="1" x14ac:dyDescent="0.25">
      <c r="C642" s="91" t="s">
        <v>8422</v>
      </c>
      <c r="E642" s="112"/>
    </row>
    <row r="643" spans="3:5" ht="20.25" customHeight="1" x14ac:dyDescent="0.25">
      <c r="C643" s="91" t="s">
        <v>8423</v>
      </c>
      <c r="E643" s="112"/>
    </row>
    <row r="644" spans="3:5" ht="20.25" customHeight="1" x14ac:dyDescent="0.25">
      <c r="C644" s="95" t="s">
        <v>8424</v>
      </c>
      <c r="E644" s="112"/>
    </row>
    <row r="645" spans="3:5" ht="20.25" customHeight="1" x14ac:dyDescent="0.25">
      <c r="C645" s="91" t="s">
        <v>8425</v>
      </c>
      <c r="E645" s="112"/>
    </row>
    <row r="646" spans="3:5" ht="20.25" customHeight="1" x14ac:dyDescent="0.25">
      <c r="C646" s="91" t="s">
        <v>8426</v>
      </c>
      <c r="E646" s="112"/>
    </row>
    <row r="647" spans="3:5" ht="20.25" customHeight="1" x14ac:dyDescent="0.25">
      <c r="C647" s="97" t="s">
        <v>7864</v>
      </c>
      <c r="E647" s="112"/>
    </row>
    <row r="648" spans="3:5" ht="20.25" customHeight="1" x14ac:dyDescent="0.25">
      <c r="C648" s="95" t="s">
        <v>8427</v>
      </c>
      <c r="E648" s="103" t="s">
        <v>4357</v>
      </c>
    </row>
    <row r="649" spans="3:5" ht="20.25" customHeight="1" x14ac:dyDescent="0.25">
      <c r="C649" s="91" t="s">
        <v>8428</v>
      </c>
      <c r="E649" s="103" t="s">
        <v>4357</v>
      </c>
    </row>
    <row r="650" spans="3:5" ht="20.25" customHeight="1" x14ac:dyDescent="0.25">
      <c r="C650" s="91" t="s">
        <v>7866</v>
      </c>
      <c r="E650" s="103" t="s">
        <v>4357</v>
      </c>
    </row>
    <row r="651" spans="3:5" ht="20.25" customHeight="1" x14ac:dyDescent="0.25">
      <c r="C651" s="91" t="s">
        <v>7868</v>
      </c>
      <c r="E651" s="112" t="s">
        <v>4357</v>
      </c>
    </row>
    <row r="652" spans="3:5" ht="20.25" customHeight="1" x14ac:dyDescent="0.25">
      <c r="C652" s="91" t="s">
        <v>8429</v>
      </c>
      <c r="E652" s="112"/>
    </row>
    <row r="653" spans="3:5" ht="20.25" customHeight="1" x14ac:dyDescent="0.25">
      <c r="C653" s="91" t="s">
        <v>7870</v>
      </c>
      <c r="E653" s="112"/>
    </row>
    <row r="654" spans="3:5" ht="20.25" customHeight="1" x14ac:dyDescent="0.25">
      <c r="C654" s="91" t="s">
        <v>8430</v>
      </c>
      <c r="E654" s="112"/>
    </row>
    <row r="655" spans="3:5" ht="20.25" customHeight="1" x14ac:dyDescent="0.25">
      <c r="C655" s="91" t="s">
        <v>8431</v>
      </c>
      <c r="E655" s="112"/>
    </row>
    <row r="656" spans="3:5" ht="20.25" customHeight="1" x14ac:dyDescent="0.25">
      <c r="C656" s="91" t="s">
        <v>8432</v>
      </c>
      <c r="E656" s="112"/>
    </row>
    <row r="657" spans="3:5" ht="20.25" customHeight="1" x14ac:dyDescent="0.25">
      <c r="C657" s="91" t="s">
        <v>8433</v>
      </c>
      <c r="E657" s="112"/>
    </row>
    <row r="658" spans="3:5" ht="20.25" customHeight="1" x14ac:dyDescent="0.25">
      <c r="C658" s="91" t="s">
        <v>8434</v>
      </c>
      <c r="E658" s="112"/>
    </row>
    <row r="659" spans="3:5" ht="20.25" customHeight="1" x14ac:dyDescent="0.25">
      <c r="C659" s="91" t="s">
        <v>8435</v>
      </c>
      <c r="E659" s="112"/>
    </row>
    <row r="660" spans="3:5" ht="20.25" customHeight="1" x14ac:dyDescent="0.25">
      <c r="C660" s="91" t="s">
        <v>8436</v>
      </c>
      <c r="E660" s="112"/>
    </row>
    <row r="661" spans="3:5" ht="20.25" customHeight="1" x14ac:dyDescent="0.25">
      <c r="C661" s="91" t="s">
        <v>8437</v>
      </c>
      <c r="E661" s="112"/>
    </row>
    <row r="662" spans="3:5" ht="20.25" customHeight="1" x14ac:dyDescent="0.25">
      <c r="C662" s="91" t="s">
        <v>8438</v>
      </c>
      <c r="E662" s="112"/>
    </row>
    <row r="663" spans="3:5" ht="20.25" customHeight="1" x14ac:dyDescent="0.25">
      <c r="C663" s="91" t="s">
        <v>8439</v>
      </c>
      <c r="E663" s="112"/>
    </row>
    <row r="664" spans="3:5" ht="20.25" customHeight="1" x14ac:dyDescent="0.25">
      <c r="C664" s="91" t="s">
        <v>8440</v>
      </c>
      <c r="E664" s="112"/>
    </row>
    <row r="665" spans="3:5" ht="20.25" customHeight="1" x14ac:dyDescent="0.25">
      <c r="C665" s="91" t="s">
        <v>7872</v>
      </c>
      <c r="E665" s="112"/>
    </row>
    <row r="666" spans="3:5" ht="20.25" customHeight="1" x14ac:dyDescent="0.25">
      <c r="C666" s="91" t="s">
        <v>8441</v>
      </c>
      <c r="E666" s="112"/>
    </row>
    <row r="667" spans="3:5" ht="20.25" customHeight="1" x14ac:dyDescent="0.25">
      <c r="C667" s="91" t="s">
        <v>8442</v>
      </c>
      <c r="E667" s="119">
        <v>45040</v>
      </c>
    </row>
    <row r="668" spans="3:5" ht="20.25" customHeight="1" x14ac:dyDescent="0.25">
      <c r="C668" s="91" t="s">
        <v>8443</v>
      </c>
      <c r="E668" s="112"/>
    </row>
    <row r="669" spans="3:5" ht="20.25" customHeight="1" x14ac:dyDescent="0.25">
      <c r="C669" s="91" t="s">
        <v>8444</v>
      </c>
      <c r="E669" s="112"/>
    </row>
    <row r="670" spans="3:5" ht="20.25" customHeight="1" x14ac:dyDescent="0.25">
      <c r="C670" s="91" t="s">
        <v>8445</v>
      </c>
      <c r="E670" s="103"/>
    </row>
    <row r="671" spans="3:5" ht="20.25" customHeight="1" x14ac:dyDescent="0.25">
      <c r="C671" s="91" t="s">
        <v>8446</v>
      </c>
      <c r="E671" s="112"/>
    </row>
    <row r="672" spans="3:5" ht="20.25" customHeight="1" x14ac:dyDescent="0.25">
      <c r="C672" s="91" t="s">
        <v>8447</v>
      </c>
      <c r="E672" s="112"/>
    </row>
    <row r="673" spans="3:5" ht="20.25" customHeight="1" x14ac:dyDescent="0.25">
      <c r="C673" s="91" t="s">
        <v>8448</v>
      </c>
      <c r="E673" s="105">
        <v>44922</v>
      </c>
    </row>
    <row r="674" spans="3:5" ht="20.25" customHeight="1" x14ac:dyDescent="0.25">
      <c r="C674" s="91" t="s">
        <v>8449</v>
      </c>
      <c r="E674" s="112"/>
    </row>
    <row r="675" spans="3:5" ht="20.25" customHeight="1" x14ac:dyDescent="0.25">
      <c r="C675" s="91" t="s">
        <v>8450</v>
      </c>
      <c r="E675" s="112"/>
    </row>
    <row r="676" spans="3:5" ht="20.25" customHeight="1" x14ac:dyDescent="0.25">
      <c r="C676" s="91" t="s">
        <v>8451</v>
      </c>
      <c r="E676" s="112"/>
    </row>
    <row r="677" spans="3:5" ht="20.25" customHeight="1" x14ac:dyDescent="0.25">
      <c r="C677" s="91" t="s">
        <v>8452</v>
      </c>
      <c r="E677" s="112"/>
    </row>
    <row r="678" spans="3:5" ht="20.25" customHeight="1" x14ac:dyDescent="0.25">
      <c r="C678" s="91" t="s">
        <v>8453</v>
      </c>
      <c r="E678" s="112" t="s">
        <v>4357</v>
      </c>
    </row>
    <row r="679" spans="3:5" ht="20.25" customHeight="1" x14ac:dyDescent="0.25">
      <c r="C679" s="91" t="s">
        <v>8454</v>
      </c>
      <c r="E679" s="112" t="s">
        <v>4357</v>
      </c>
    </row>
    <row r="680" spans="3:5" ht="20.25" customHeight="1" x14ac:dyDescent="0.25">
      <c r="C680" s="91" t="s">
        <v>8455</v>
      </c>
      <c r="E680" s="112"/>
    </row>
    <row r="681" spans="3:5" ht="20.25" customHeight="1" x14ac:dyDescent="0.25">
      <c r="C681" s="91" t="s">
        <v>8456</v>
      </c>
      <c r="E681" s="112" t="s">
        <v>4357</v>
      </c>
    </row>
    <row r="682" spans="3:5" ht="20.25" customHeight="1" x14ac:dyDescent="0.25">
      <c r="C682" s="91" t="s">
        <v>8457</v>
      </c>
      <c r="E682" s="112"/>
    </row>
    <row r="683" spans="3:5" ht="20.25" customHeight="1" x14ac:dyDescent="0.25">
      <c r="C683" s="91" t="s">
        <v>8458</v>
      </c>
      <c r="E683" s="112"/>
    </row>
    <row r="684" spans="3:5" ht="20.25" customHeight="1" x14ac:dyDescent="0.25">
      <c r="C684" s="91" t="s">
        <v>8459</v>
      </c>
      <c r="E684" s="112"/>
    </row>
    <row r="685" spans="3:5" ht="20.25" customHeight="1" x14ac:dyDescent="0.25">
      <c r="C685" s="91" t="s">
        <v>8460</v>
      </c>
      <c r="E685" s="103" t="s">
        <v>4357</v>
      </c>
    </row>
    <row r="686" spans="3:5" ht="20.25" customHeight="1" x14ac:dyDescent="0.25">
      <c r="C686" s="91" t="s">
        <v>8461</v>
      </c>
      <c r="E686" s="119">
        <v>45040</v>
      </c>
    </row>
    <row r="687" spans="3:5" ht="20.25" customHeight="1" x14ac:dyDescent="0.25">
      <c r="C687" s="91" t="s">
        <v>8462</v>
      </c>
      <c r="E687" s="112"/>
    </row>
    <row r="688" spans="3:5" ht="20.25" customHeight="1" x14ac:dyDescent="0.25">
      <c r="C688" s="91" t="s">
        <v>8463</v>
      </c>
      <c r="E688" s="103" t="s">
        <v>4357</v>
      </c>
    </row>
    <row r="689" spans="3:5" ht="20.25" customHeight="1" x14ac:dyDescent="0.25">
      <c r="C689" s="91" t="s">
        <v>8464</v>
      </c>
      <c r="E689" s="108">
        <v>45148</v>
      </c>
    </row>
    <row r="690" spans="3:5" ht="20.25" customHeight="1" x14ac:dyDescent="0.25">
      <c r="C690" s="91" t="s">
        <v>8465</v>
      </c>
      <c r="E690" s="112"/>
    </row>
    <row r="691" spans="3:5" ht="20.25" customHeight="1" x14ac:dyDescent="0.25">
      <c r="C691" s="91" t="s">
        <v>8466</v>
      </c>
      <c r="E691" s="108">
        <v>45049</v>
      </c>
    </row>
    <row r="692" spans="3:5" ht="20.25" customHeight="1" x14ac:dyDescent="0.25">
      <c r="C692" s="91" t="s">
        <v>8467</v>
      </c>
      <c r="E692" s="103" t="s">
        <v>4357</v>
      </c>
    </row>
    <row r="693" spans="3:5" ht="20.25" customHeight="1" x14ac:dyDescent="0.25">
      <c r="C693" s="91" t="s">
        <v>8468</v>
      </c>
      <c r="E693" s="112" t="s">
        <v>4357</v>
      </c>
    </row>
    <row r="694" spans="3:5" ht="20.25" customHeight="1" x14ac:dyDescent="0.25">
      <c r="C694" s="91" t="s">
        <v>8469</v>
      </c>
      <c r="E694" s="112"/>
    </row>
    <row r="695" spans="3:5" ht="20.25" customHeight="1" x14ac:dyDescent="0.25">
      <c r="C695" s="91" t="s">
        <v>8470</v>
      </c>
      <c r="E695" s="112"/>
    </row>
    <row r="696" spans="3:5" ht="20.25" customHeight="1" x14ac:dyDescent="0.25">
      <c r="C696" s="91" t="s">
        <v>8471</v>
      </c>
      <c r="E696" s="108">
        <v>45049</v>
      </c>
    </row>
    <row r="697" spans="3:5" ht="20.25" customHeight="1" x14ac:dyDescent="0.25">
      <c r="C697" s="91" t="s">
        <v>8472</v>
      </c>
      <c r="E697" s="105">
        <v>45058</v>
      </c>
    </row>
    <row r="698" spans="3:5" ht="20.25" customHeight="1" x14ac:dyDescent="0.25">
      <c r="C698" s="91" t="s">
        <v>8473</v>
      </c>
      <c r="E698" s="112"/>
    </row>
    <row r="699" spans="3:5" ht="20.25" customHeight="1" x14ac:dyDescent="0.25">
      <c r="C699" s="91" t="s">
        <v>8474</v>
      </c>
      <c r="E699" s="119">
        <v>45040</v>
      </c>
    </row>
    <row r="700" spans="3:5" ht="20.25" customHeight="1" x14ac:dyDescent="0.25">
      <c r="C700" s="91" t="s">
        <v>8475</v>
      </c>
      <c r="E700" s="112"/>
    </row>
    <row r="701" spans="3:5" ht="20.25" customHeight="1" x14ac:dyDescent="0.25">
      <c r="C701" s="91" t="s">
        <v>8476</v>
      </c>
      <c r="E701" s="103" t="s">
        <v>4357</v>
      </c>
    </row>
    <row r="702" spans="3:5" ht="20.25" customHeight="1" x14ac:dyDescent="0.25">
      <c r="C702" s="91" t="s">
        <v>8477</v>
      </c>
      <c r="E702" s="112"/>
    </row>
    <row r="703" spans="3:5" ht="20.25" customHeight="1" x14ac:dyDescent="0.25">
      <c r="C703" s="91" t="s">
        <v>8478</v>
      </c>
      <c r="E703" s="112"/>
    </row>
    <row r="704" spans="3:5" ht="20.25" customHeight="1" x14ac:dyDescent="0.25">
      <c r="C704" s="91" t="s">
        <v>8479</v>
      </c>
      <c r="E704" s="112"/>
    </row>
    <row r="705" spans="3:5" ht="20.25" customHeight="1" x14ac:dyDescent="0.25">
      <c r="C705" s="91" t="s">
        <v>8480</v>
      </c>
      <c r="E705" s="103" t="s">
        <v>4357</v>
      </c>
    </row>
    <row r="706" spans="3:5" ht="20.25" customHeight="1" x14ac:dyDescent="0.25">
      <c r="C706" s="91" t="s">
        <v>8481</v>
      </c>
      <c r="E706" s="112"/>
    </row>
    <row r="707" spans="3:5" ht="20.25" customHeight="1" x14ac:dyDescent="0.25">
      <c r="C707" s="91" t="s">
        <v>8482</v>
      </c>
      <c r="E707" s="112"/>
    </row>
    <row r="708" spans="3:5" ht="20.25" customHeight="1" x14ac:dyDescent="0.25">
      <c r="C708" s="91" t="s">
        <v>8483</v>
      </c>
      <c r="E708" s="112"/>
    </row>
    <row r="709" spans="3:5" ht="20.25" customHeight="1" x14ac:dyDescent="0.25">
      <c r="C709" s="91" t="s">
        <v>8484</v>
      </c>
      <c r="E709" s="103" t="s">
        <v>4357</v>
      </c>
    </row>
    <row r="710" spans="3:5" ht="20.25" customHeight="1" x14ac:dyDescent="0.25">
      <c r="C710" s="91" t="s">
        <v>8485</v>
      </c>
      <c r="E710" s="103" t="s">
        <v>4357</v>
      </c>
    </row>
    <row r="711" spans="3:5" ht="20.25" customHeight="1" x14ac:dyDescent="0.25">
      <c r="C711" s="91" t="s">
        <v>8486</v>
      </c>
      <c r="E711" s="112"/>
    </row>
    <row r="712" spans="3:5" ht="20.25" customHeight="1" x14ac:dyDescent="0.25">
      <c r="C712" s="91" t="s">
        <v>8487</v>
      </c>
      <c r="E712" s="103" t="s">
        <v>4357</v>
      </c>
    </row>
    <row r="713" spans="3:5" ht="20.25" customHeight="1" x14ac:dyDescent="0.25">
      <c r="C713" s="91" t="s">
        <v>8488</v>
      </c>
      <c r="E713" s="112"/>
    </row>
    <row r="714" spans="3:5" ht="20.25" customHeight="1" x14ac:dyDescent="0.25">
      <c r="C714" s="91" t="s">
        <v>8489</v>
      </c>
      <c r="E714" s="112"/>
    </row>
    <row r="715" spans="3:5" ht="20.25" customHeight="1" x14ac:dyDescent="0.25">
      <c r="C715" s="91" t="s">
        <v>8490</v>
      </c>
      <c r="E715" s="103" t="s">
        <v>4357</v>
      </c>
    </row>
    <row r="716" spans="3:5" ht="20.25" customHeight="1" x14ac:dyDescent="0.25">
      <c r="C716" s="91" t="s">
        <v>8491</v>
      </c>
      <c r="E716" s="119">
        <v>45040</v>
      </c>
    </row>
    <row r="717" spans="3:5" ht="20.25" customHeight="1" x14ac:dyDescent="0.25">
      <c r="C717" s="91" t="s">
        <v>8492</v>
      </c>
      <c r="E717" s="112"/>
    </row>
    <row r="718" spans="3:5" ht="20.25" customHeight="1" x14ac:dyDescent="0.25">
      <c r="C718" s="91" t="s">
        <v>7874</v>
      </c>
      <c r="E718" s="103" t="s">
        <v>4357</v>
      </c>
    </row>
    <row r="719" spans="3:5" ht="20.25" customHeight="1" x14ac:dyDescent="0.25">
      <c r="C719" s="91" t="s">
        <v>8493</v>
      </c>
      <c r="E719" s="105">
        <v>44923</v>
      </c>
    </row>
    <row r="720" spans="3:5" ht="20.25" customHeight="1" x14ac:dyDescent="0.25">
      <c r="C720" s="91" t="s">
        <v>8494</v>
      </c>
      <c r="E720" s="112"/>
    </row>
    <row r="721" spans="3:5" ht="20.25" customHeight="1" x14ac:dyDescent="0.25">
      <c r="C721" s="91" t="s">
        <v>8495</v>
      </c>
      <c r="E721" s="105">
        <v>44877</v>
      </c>
    </row>
    <row r="722" spans="3:5" ht="20.25" customHeight="1" x14ac:dyDescent="0.25">
      <c r="C722" s="91" t="s">
        <v>8496</v>
      </c>
      <c r="E722" s="112"/>
    </row>
    <row r="723" spans="3:5" ht="20.25" customHeight="1" x14ac:dyDescent="0.25">
      <c r="C723" s="91" t="s">
        <v>8497</v>
      </c>
      <c r="E723" s="112"/>
    </row>
    <row r="724" spans="3:5" ht="20.25" customHeight="1" x14ac:dyDescent="0.25">
      <c r="C724" s="91" t="s">
        <v>8498</v>
      </c>
      <c r="E724" s="119">
        <v>45040</v>
      </c>
    </row>
    <row r="725" spans="3:5" ht="20.25" customHeight="1" x14ac:dyDescent="0.25">
      <c r="C725" s="91" t="s">
        <v>8499</v>
      </c>
      <c r="E725" s="103" t="s">
        <v>4357</v>
      </c>
    </row>
    <row r="726" spans="3:5" ht="20.25" customHeight="1" x14ac:dyDescent="0.25">
      <c r="C726" s="93" t="s">
        <v>8500</v>
      </c>
      <c r="E726" s="112"/>
    </row>
    <row r="727" spans="3:5" ht="20.25" customHeight="1" x14ac:dyDescent="0.25">
      <c r="C727" s="91" t="s">
        <v>7876</v>
      </c>
      <c r="E727" s="112"/>
    </row>
    <row r="728" spans="3:5" ht="20.25" customHeight="1" x14ac:dyDescent="0.25">
      <c r="C728" s="91" t="s">
        <v>8501</v>
      </c>
      <c r="E728" s="112"/>
    </row>
    <row r="729" spans="3:5" ht="20.25" customHeight="1" x14ac:dyDescent="0.25">
      <c r="C729" s="91" t="s">
        <v>8502</v>
      </c>
      <c r="E729" s="112"/>
    </row>
    <row r="730" spans="3:5" ht="20.25" customHeight="1" x14ac:dyDescent="0.25">
      <c r="C730" s="91" t="s">
        <v>7878</v>
      </c>
      <c r="E730" s="112"/>
    </row>
    <row r="731" spans="3:5" ht="20.25" customHeight="1" x14ac:dyDescent="0.25">
      <c r="C731" s="91" t="s">
        <v>8503</v>
      </c>
      <c r="E731" s="112"/>
    </row>
    <row r="732" spans="3:5" ht="20.25" customHeight="1" x14ac:dyDescent="0.25">
      <c r="C732" s="91" t="s">
        <v>8504</v>
      </c>
      <c r="E732" s="112"/>
    </row>
    <row r="733" spans="3:5" ht="20.25" customHeight="1" x14ac:dyDescent="0.25">
      <c r="C733" s="97" t="s">
        <v>7880</v>
      </c>
      <c r="E733" s="112"/>
    </row>
    <row r="734" spans="3:5" ht="20.25" customHeight="1" x14ac:dyDescent="0.25">
      <c r="C734" s="91" t="s">
        <v>8505</v>
      </c>
      <c r="E734" s="112"/>
    </row>
    <row r="735" spans="3:5" ht="20.25" customHeight="1" x14ac:dyDescent="0.25">
      <c r="C735" s="91" t="s">
        <v>8506</v>
      </c>
      <c r="E735" s="112"/>
    </row>
    <row r="736" spans="3:5" ht="20.25" customHeight="1" x14ac:dyDescent="0.25">
      <c r="C736" s="91" t="s">
        <v>8507</v>
      </c>
      <c r="E736" s="108">
        <v>45049</v>
      </c>
    </row>
    <row r="737" spans="3:5" ht="20.25" customHeight="1" x14ac:dyDescent="0.25">
      <c r="C737" s="91" t="s">
        <v>8508</v>
      </c>
      <c r="E737" s="119">
        <v>45040</v>
      </c>
    </row>
    <row r="738" spans="3:5" ht="20.25" customHeight="1" x14ac:dyDescent="0.25">
      <c r="C738" s="91" t="s">
        <v>8509</v>
      </c>
      <c r="E738" s="112"/>
    </row>
    <row r="739" spans="3:5" ht="20.25" customHeight="1" x14ac:dyDescent="0.25">
      <c r="C739" s="91" t="s">
        <v>8510</v>
      </c>
      <c r="E739" s="112"/>
    </row>
    <row r="740" spans="3:5" ht="20.25" customHeight="1" x14ac:dyDescent="0.25">
      <c r="C740" s="94" t="s">
        <v>8511</v>
      </c>
      <c r="E740" s="103" t="s">
        <v>4357</v>
      </c>
    </row>
    <row r="741" spans="3:5" ht="20.25" customHeight="1" x14ac:dyDescent="0.25">
      <c r="C741" s="91" t="s">
        <v>8512</v>
      </c>
      <c r="E741" s="112"/>
    </row>
    <row r="742" spans="3:5" ht="20.25" customHeight="1" x14ac:dyDescent="0.25">
      <c r="C742" s="91" t="s">
        <v>8513</v>
      </c>
      <c r="E742" s="112"/>
    </row>
    <row r="743" spans="3:5" ht="20.25" customHeight="1" x14ac:dyDescent="0.25">
      <c r="C743" s="91" t="s">
        <v>8514</v>
      </c>
      <c r="E743" s="112"/>
    </row>
    <row r="744" spans="3:5" ht="20.25" customHeight="1" x14ac:dyDescent="0.25">
      <c r="C744" s="91" t="s">
        <v>8515</v>
      </c>
      <c r="E744" s="112"/>
    </row>
    <row r="745" spans="3:5" ht="20.25" customHeight="1" x14ac:dyDescent="0.25">
      <c r="C745" s="91" t="s">
        <v>8516</v>
      </c>
      <c r="E745" s="112"/>
    </row>
    <row r="746" spans="3:5" ht="20.25" customHeight="1" x14ac:dyDescent="0.25">
      <c r="C746" s="91" t="s">
        <v>8517</v>
      </c>
      <c r="E746" s="112"/>
    </row>
    <row r="747" spans="3:5" ht="20.25" customHeight="1" x14ac:dyDescent="0.25">
      <c r="C747" s="91" t="s">
        <v>8518</v>
      </c>
      <c r="E747" s="103" t="s">
        <v>4357</v>
      </c>
    </row>
    <row r="748" spans="3:5" ht="20.25" customHeight="1" x14ac:dyDescent="0.25">
      <c r="C748" s="91" t="s">
        <v>8519</v>
      </c>
      <c r="E748" s="108">
        <v>45105</v>
      </c>
    </row>
    <row r="749" spans="3:5" ht="20.25" customHeight="1" x14ac:dyDescent="0.25">
      <c r="C749" s="91" t="s">
        <v>8520</v>
      </c>
      <c r="E749" s="119">
        <v>45040</v>
      </c>
    </row>
    <row r="750" spans="3:5" ht="20.25" customHeight="1" x14ac:dyDescent="0.25">
      <c r="C750" s="91" t="s">
        <v>8521</v>
      </c>
      <c r="E750" s="112"/>
    </row>
    <row r="751" spans="3:5" ht="20.25" customHeight="1" x14ac:dyDescent="0.25">
      <c r="C751" s="91" t="s">
        <v>8522</v>
      </c>
      <c r="E751" s="103" t="s">
        <v>4357</v>
      </c>
    </row>
    <row r="752" spans="3:5" ht="20.25" customHeight="1" x14ac:dyDescent="0.25">
      <c r="C752" s="91" t="s">
        <v>8523</v>
      </c>
      <c r="E752" s="103" t="s">
        <v>4357</v>
      </c>
    </row>
    <row r="753" spans="3:5" ht="20.25" customHeight="1" x14ac:dyDescent="0.25">
      <c r="C753" s="91" t="s">
        <v>8524</v>
      </c>
      <c r="E753" s="112"/>
    </row>
    <row r="754" spans="3:5" ht="20.25" customHeight="1" x14ac:dyDescent="0.25">
      <c r="C754" s="91" t="s">
        <v>8525</v>
      </c>
      <c r="E754" s="112"/>
    </row>
    <row r="755" spans="3:5" ht="20.25" customHeight="1" x14ac:dyDescent="0.25">
      <c r="C755" s="91" t="s">
        <v>8526</v>
      </c>
      <c r="E755" s="112"/>
    </row>
    <row r="756" spans="3:5" ht="20.25" customHeight="1" x14ac:dyDescent="0.25">
      <c r="C756" s="91" t="s">
        <v>8527</v>
      </c>
      <c r="E756" s="103" t="s">
        <v>4357</v>
      </c>
    </row>
    <row r="757" spans="3:5" ht="20.25" customHeight="1" x14ac:dyDescent="0.25">
      <c r="C757" s="91" t="s">
        <v>8528</v>
      </c>
      <c r="E757" s="112"/>
    </row>
    <row r="758" spans="3:5" ht="20.25" customHeight="1" x14ac:dyDescent="0.25">
      <c r="C758" s="91" t="s">
        <v>8529</v>
      </c>
      <c r="E758" s="105">
        <v>44910</v>
      </c>
    </row>
    <row r="759" spans="3:5" ht="20.25" customHeight="1" x14ac:dyDescent="0.25">
      <c r="C759" s="91" t="s">
        <v>8530</v>
      </c>
      <c r="E759" s="112"/>
    </row>
    <row r="760" spans="3:5" ht="20.25" customHeight="1" x14ac:dyDescent="0.25">
      <c r="C760" s="91" t="s">
        <v>8531</v>
      </c>
      <c r="E760" s="103" t="s">
        <v>4357</v>
      </c>
    </row>
    <row r="761" spans="3:5" ht="20.25" customHeight="1" x14ac:dyDescent="0.25">
      <c r="C761" s="91" t="s">
        <v>8532</v>
      </c>
      <c r="E761" s="112"/>
    </row>
    <row r="762" spans="3:5" ht="20.25" customHeight="1" x14ac:dyDescent="0.25">
      <c r="C762" s="91" t="s">
        <v>8533</v>
      </c>
      <c r="E762" s="112"/>
    </row>
    <row r="763" spans="3:5" ht="20.25" customHeight="1" x14ac:dyDescent="0.25">
      <c r="C763" s="91" t="s">
        <v>8534</v>
      </c>
      <c r="E763" s="112"/>
    </row>
    <row r="764" spans="3:5" ht="20.25" customHeight="1" x14ac:dyDescent="0.25">
      <c r="C764" s="91" t="s">
        <v>8535</v>
      </c>
      <c r="E764" s="112"/>
    </row>
    <row r="765" spans="3:5" ht="20.25" customHeight="1" x14ac:dyDescent="0.25">
      <c r="C765" s="91" t="s">
        <v>8536</v>
      </c>
      <c r="E765" s="119">
        <v>45040</v>
      </c>
    </row>
    <row r="766" spans="3:5" ht="20.25" customHeight="1" x14ac:dyDescent="0.25">
      <c r="C766" s="91" t="s">
        <v>8537</v>
      </c>
      <c r="E766" s="119">
        <v>45040</v>
      </c>
    </row>
    <row r="767" spans="3:5" ht="20.25" customHeight="1" x14ac:dyDescent="0.25">
      <c r="C767" s="91" t="s">
        <v>8538</v>
      </c>
      <c r="E767" s="112"/>
    </row>
    <row r="768" spans="3:5" ht="20.25" customHeight="1" x14ac:dyDescent="0.25">
      <c r="C768" s="91" t="s">
        <v>8539</v>
      </c>
      <c r="E768" s="112"/>
    </row>
    <row r="769" spans="3:5" ht="20.25" customHeight="1" x14ac:dyDescent="0.25">
      <c r="C769" s="91" t="s">
        <v>8540</v>
      </c>
      <c r="E769" s="119">
        <v>45040</v>
      </c>
    </row>
    <row r="770" spans="3:5" ht="20.25" customHeight="1" x14ac:dyDescent="0.25">
      <c r="C770" s="91" t="s">
        <v>8541</v>
      </c>
      <c r="E770" s="105">
        <v>44890</v>
      </c>
    </row>
    <row r="771" spans="3:5" ht="20.25" customHeight="1" x14ac:dyDescent="0.25">
      <c r="C771" s="91" t="s">
        <v>8542</v>
      </c>
      <c r="E771" s="112"/>
    </row>
    <row r="772" spans="3:5" ht="20.25" customHeight="1" x14ac:dyDescent="0.25">
      <c r="C772" s="91" t="s">
        <v>8543</v>
      </c>
      <c r="E772" s="119">
        <v>45040</v>
      </c>
    </row>
    <row r="773" spans="3:5" ht="20.25" customHeight="1" x14ac:dyDescent="0.25">
      <c r="C773" s="91" t="s">
        <v>8544</v>
      </c>
      <c r="E773" s="109"/>
    </row>
    <row r="774" spans="3:5" ht="20.25" customHeight="1" x14ac:dyDescent="0.25">
      <c r="C774" s="91" t="s">
        <v>8545</v>
      </c>
      <c r="E774" s="112"/>
    </row>
    <row r="775" spans="3:5" ht="20.25" customHeight="1" x14ac:dyDescent="0.25">
      <c r="C775" s="91" t="s">
        <v>8546</v>
      </c>
      <c r="E775" s="119">
        <v>45040</v>
      </c>
    </row>
    <row r="776" spans="3:5" ht="20.25" customHeight="1" x14ac:dyDescent="0.25">
      <c r="C776" s="91" t="s">
        <v>8547</v>
      </c>
      <c r="E776" s="112"/>
    </row>
    <row r="777" spans="3:5" ht="20.25" customHeight="1" x14ac:dyDescent="0.25">
      <c r="C777" s="91" t="s">
        <v>8548</v>
      </c>
      <c r="E777" s="112"/>
    </row>
    <row r="778" spans="3:5" ht="20.25" customHeight="1" x14ac:dyDescent="0.25">
      <c r="C778" s="91" t="s">
        <v>8549</v>
      </c>
      <c r="E778" s="119">
        <v>45040</v>
      </c>
    </row>
    <row r="779" spans="3:5" ht="20.25" customHeight="1" x14ac:dyDescent="0.25">
      <c r="C779" s="91" t="s">
        <v>8550</v>
      </c>
      <c r="E779" s="105">
        <v>44922</v>
      </c>
    </row>
    <row r="780" spans="3:5" ht="20.25" customHeight="1" x14ac:dyDescent="0.25">
      <c r="C780" s="91" t="s">
        <v>8551</v>
      </c>
      <c r="E780" s="112"/>
    </row>
    <row r="781" spans="3:5" ht="20.25" customHeight="1" x14ac:dyDescent="0.25">
      <c r="C781" s="91" t="s">
        <v>8552</v>
      </c>
      <c r="E781" s="112"/>
    </row>
    <row r="782" spans="3:5" ht="20.25" customHeight="1" x14ac:dyDescent="0.25">
      <c r="C782" s="91" t="s">
        <v>8553</v>
      </c>
      <c r="E782" s="103" t="s">
        <v>4357</v>
      </c>
    </row>
    <row r="783" spans="3:5" ht="20.25" customHeight="1" x14ac:dyDescent="0.25">
      <c r="C783" s="91" t="s">
        <v>8554</v>
      </c>
      <c r="E783" s="105">
        <v>45056</v>
      </c>
    </row>
    <row r="784" spans="3:5" ht="20.25" customHeight="1" x14ac:dyDescent="0.25">
      <c r="C784" s="91" t="s">
        <v>7882</v>
      </c>
      <c r="E784" s="112"/>
    </row>
    <row r="785" spans="3:5" ht="20.25" customHeight="1" x14ac:dyDescent="0.25">
      <c r="C785" s="91" t="s">
        <v>7884</v>
      </c>
      <c r="E785" s="103" t="s">
        <v>4357</v>
      </c>
    </row>
    <row r="786" spans="3:5" ht="20.25" customHeight="1" x14ac:dyDescent="0.25">
      <c r="C786" s="91" t="s">
        <v>8555</v>
      </c>
      <c r="E786" s="112" t="s">
        <v>4357</v>
      </c>
    </row>
    <row r="787" spans="3:5" ht="20.25" customHeight="1" x14ac:dyDescent="0.25">
      <c r="C787" s="91" t="s">
        <v>8556</v>
      </c>
      <c r="E787" s="103" t="s">
        <v>4357</v>
      </c>
    </row>
    <row r="788" spans="3:5" ht="20.25" customHeight="1" x14ac:dyDescent="0.25">
      <c r="C788" s="91" t="s">
        <v>8557</v>
      </c>
      <c r="E788" s="112"/>
    </row>
    <row r="789" spans="3:5" ht="20.25" customHeight="1" x14ac:dyDescent="0.25">
      <c r="C789" s="91" t="s">
        <v>8558</v>
      </c>
      <c r="E789" s="112"/>
    </row>
    <row r="790" spans="3:5" ht="20.25" customHeight="1" x14ac:dyDescent="0.25">
      <c r="C790" s="91" t="s">
        <v>8559</v>
      </c>
      <c r="E790" s="112"/>
    </row>
    <row r="791" spans="3:5" ht="20.25" customHeight="1" x14ac:dyDescent="0.25">
      <c r="C791" s="91" t="s">
        <v>8560</v>
      </c>
      <c r="E791" s="112"/>
    </row>
    <row r="792" spans="3:5" ht="20.25" customHeight="1" x14ac:dyDescent="0.25">
      <c r="C792" s="91" t="s">
        <v>8561</v>
      </c>
      <c r="E792" s="112"/>
    </row>
    <row r="793" spans="3:5" ht="20.25" customHeight="1" x14ac:dyDescent="0.25">
      <c r="C793" s="91" t="s">
        <v>8562</v>
      </c>
      <c r="E793" s="112"/>
    </row>
    <row r="794" spans="3:5" ht="20.25" customHeight="1" x14ac:dyDescent="0.25">
      <c r="C794" s="91" t="s">
        <v>8563</v>
      </c>
      <c r="E794" s="112"/>
    </row>
    <row r="795" spans="3:5" ht="20.25" customHeight="1" x14ac:dyDescent="0.25">
      <c r="C795" s="91" t="s">
        <v>8564</v>
      </c>
      <c r="E795" s="112"/>
    </row>
    <row r="796" spans="3:5" ht="20.25" customHeight="1" x14ac:dyDescent="0.25">
      <c r="C796" s="91" t="s">
        <v>8565</v>
      </c>
      <c r="E796" s="112"/>
    </row>
    <row r="797" spans="3:5" ht="20.25" customHeight="1" x14ac:dyDescent="0.25">
      <c r="C797" s="91" t="s">
        <v>8566</v>
      </c>
      <c r="E797" s="112"/>
    </row>
    <row r="798" spans="3:5" ht="20.25" customHeight="1" x14ac:dyDescent="0.25">
      <c r="C798" s="91" t="s">
        <v>8567</v>
      </c>
      <c r="E798" s="103" t="s">
        <v>4357</v>
      </c>
    </row>
    <row r="799" spans="3:5" ht="20.25" customHeight="1" x14ac:dyDescent="0.25">
      <c r="C799" s="91" t="s">
        <v>8568</v>
      </c>
      <c r="E799" s="103" t="s">
        <v>4357</v>
      </c>
    </row>
    <row r="800" spans="3:5" ht="20.25" customHeight="1" x14ac:dyDescent="0.25">
      <c r="C800" s="91" t="s">
        <v>8569</v>
      </c>
      <c r="E800" s="103" t="s">
        <v>4357</v>
      </c>
    </row>
    <row r="801" spans="3:5" ht="20.25" customHeight="1" x14ac:dyDescent="0.25">
      <c r="C801" s="91" t="s">
        <v>8570</v>
      </c>
      <c r="E801" s="113"/>
    </row>
    <row r="802" spans="3:5" ht="20.25" customHeight="1" x14ac:dyDescent="0.25">
      <c r="C802" s="91" t="s">
        <v>8571</v>
      </c>
      <c r="E802" s="112"/>
    </row>
    <row r="803" spans="3:5" ht="20.25" customHeight="1" x14ac:dyDescent="0.25">
      <c r="C803" s="91" t="s">
        <v>8572</v>
      </c>
      <c r="E803" s="112"/>
    </row>
    <row r="804" spans="3:5" ht="20.25" customHeight="1" x14ac:dyDescent="0.25">
      <c r="C804" s="91" t="s">
        <v>8573</v>
      </c>
      <c r="E804" s="112"/>
    </row>
    <row r="805" spans="3:5" ht="20.25" customHeight="1" x14ac:dyDescent="0.25">
      <c r="C805" s="91" t="s">
        <v>8574</v>
      </c>
      <c r="E805" s="112"/>
    </row>
    <row r="806" spans="3:5" ht="20.25" customHeight="1" x14ac:dyDescent="0.25">
      <c r="C806" s="92" t="s">
        <v>8575</v>
      </c>
      <c r="E806" s="112"/>
    </row>
    <row r="807" spans="3:5" ht="20.25" customHeight="1" x14ac:dyDescent="0.25">
      <c r="C807" s="92" t="s">
        <v>8576</v>
      </c>
      <c r="E807" s="112"/>
    </row>
    <row r="808" spans="3:5" ht="20.25" customHeight="1" x14ac:dyDescent="0.25">
      <c r="C808" s="91" t="s">
        <v>8577</v>
      </c>
      <c r="E808" s="112"/>
    </row>
    <row r="809" spans="3:5" ht="20.25" customHeight="1" x14ac:dyDescent="0.25">
      <c r="C809" s="92" t="s">
        <v>8578</v>
      </c>
      <c r="E809" s="112"/>
    </row>
    <row r="810" spans="3:5" ht="20.25" customHeight="1" x14ac:dyDescent="0.25">
      <c r="C810" s="92" t="s">
        <v>8579</v>
      </c>
      <c r="E810" s="112"/>
    </row>
    <row r="811" spans="3:5" ht="20.25" customHeight="1" x14ac:dyDescent="0.25">
      <c r="C811" s="92" t="s">
        <v>8580</v>
      </c>
      <c r="E811" s="112"/>
    </row>
    <row r="812" spans="3:5" ht="20.25" customHeight="1" x14ac:dyDescent="0.25">
      <c r="C812" s="92" t="s">
        <v>8581</v>
      </c>
      <c r="E812" s="112"/>
    </row>
    <row r="813" spans="3:5" ht="20.25" customHeight="1" x14ac:dyDescent="0.25">
      <c r="C813" s="92" t="s">
        <v>8582</v>
      </c>
      <c r="E813" s="112"/>
    </row>
    <row r="814" spans="3:5" ht="20.25" customHeight="1" x14ac:dyDescent="0.25">
      <c r="C814" s="92" t="s">
        <v>8583</v>
      </c>
      <c r="E814" s="112"/>
    </row>
    <row r="815" spans="3:5" ht="20.25" customHeight="1" x14ac:dyDescent="0.25">
      <c r="C815" s="92" t="s">
        <v>8584</v>
      </c>
      <c r="E815" s="112"/>
    </row>
    <row r="816" spans="3:5" ht="20.25" customHeight="1" x14ac:dyDescent="0.25">
      <c r="C816" s="92" t="s">
        <v>8585</v>
      </c>
      <c r="E816" s="112"/>
    </row>
    <row r="817" spans="3:5" ht="20.25" customHeight="1" x14ac:dyDescent="0.25">
      <c r="C817" s="92" t="s">
        <v>8586</v>
      </c>
      <c r="E817" s="112"/>
    </row>
    <row r="818" spans="3:5" ht="20.25" customHeight="1" x14ac:dyDescent="0.25">
      <c r="C818" s="92" t="s">
        <v>8587</v>
      </c>
      <c r="E818" s="112"/>
    </row>
    <row r="819" spans="3:5" ht="20.25" customHeight="1" x14ac:dyDescent="0.25">
      <c r="C819" s="92" t="s">
        <v>8588</v>
      </c>
      <c r="E819" s="112"/>
    </row>
    <row r="820" spans="3:5" ht="20.25" customHeight="1" x14ac:dyDescent="0.25">
      <c r="C820" s="92" t="s">
        <v>8589</v>
      </c>
      <c r="E820" s="112"/>
    </row>
    <row r="821" spans="3:5" ht="20.25" customHeight="1" x14ac:dyDescent="0.25">
      <c r="C821" s="92" t="s">
        <v>8590</v>
      </c>
      <c r="E821" s="112"/>
    </row>
    <row r="822" spans="3:5" ht="20.25" customHeight="1" x14ac:dyDescent="0.25">
      <c r="C822" s="92" t="s">
        <v>8591</v>
      </c>
      <c r="E822" s="112"/>
    </row>
    <row r="823" spans="3:5" ht="20.25" customHeight="1" x14ac:dyDescent="0.25">
      <c r="C823" s="92" t="s">
        <v>8592</v>
      </c>
      <c r="E823" s="112"/>
    </row>
    <row r="824" spans="3:5" ht="20.25" customHeight="1" x14ac:dyDescent="0.25">
      <c r="C824" s="92" t="s">
        <v>8593</v>
      </c>
      <c r="E824" s="112"/>
    </row>
    <row r="825" spans="3:5" ht="20.25" customHeight="1" x14ac:dyDescent="0.25">
      <c r="C825" s="92" t="s">
        <v>8594</v>
      </c>
      <c r="E825" s="112"/>
    </row>
    <row r="826" spans="3:5" ht="20.25" customHeight="1" x14ac:dyDescent="0.25">
      <c r="C826" s="92" t="s">
        <v>8595</v>
      </c>
      <c r="E826" s="112"/>
    </row>
    <row r="827" spans="3:5" ht="20.25" customHeight="1" x14ac:dyDescent="0.25">
      <c r="C827" s="92" t="s">
        <v>8596</v>
      </c>
      <c r="E827" s="112"/>
    </row>
    <row r="828" spans="3:5" ht="20.25" customHeight="1" x14ac:dyDescent="0.25">
      <c r="C828" s="92" t="s">
        <v>8597</v>
      </c>
      <c r="E828" s="112"/>
    </row>
    <row r="829" spans="3:5" ht="20.25" customHeight="1" x14ac:dyDescent="0.25">
      <c r="C829" s="92" t="s">
        <v>8598</v>
      </c>
      <c r="E829" s="112"/>
    </row>
    <row r="830" spans="3:5" ht="20.25" customHeight="1" x14ac:dyDescent="0.25">
      <c r="C830" s="92" t="s">
        <v>8599</v>
      </c>
      <c r="E830" s="112"/>
    </row>
    <row r="831" spans="3:5" ht="20.25" customHeight="1" x14ac:dyDescent="0.25">
      <c r="C831" s="92" t="s">
        <v>8600</v>
      </c>
      <c r="E831" s="112"/>
    </row>
    <row r="832" spans="3:5" ht="20.25" customHeight="1" x14ac:dyDescent="0.25">
      <c r="C832" s="92" t="s">
        <v>8601</v>
      </c>
      <c r="E832" s="112"/>
    </row>
    <row r="833" spans="3:5" ht="20.25" customHeight="1" x14ac:dyDescent="0.25">
      <c r="C833" s="92" t="s">
        <v>8602</v>
      </c>
      <c r="E833" s="112"/>
    </row>
    <row r="834" spans="3:5" ht="20.25" customHeight="1" x14ac:dyDescent="0.25">
      <c r="C834" s="92" t="s">
        <v>8603</v>
      </c>
      <c r="E834" s="112"/>
    </row>
    <row r="835" spans="3:5" ht="20.25" customHeight="1" x14ac:dyDescent="0.25">
      <c r="C835" s="92" t="s">
        <v>8604</v>
      </c>
      <c r="E835" s="103" t="s">
        <v>4357</v>
      </c>
    </row>
    <row r="836" spans="3:5" ht="20.25" customHeight="1" x14ac:dyDescent="0.25">
      <c r="C836" s="92" t="s">
        <v>8605</v>
      </c>
      <c r="E836" s="112"/>
    </row>
    <row r="837" spans="3:5" ht="20.25" customHeight="1" x14ac:dyDescent="0.25">
      <c r="C837" s="92" t="s">
        <v>8606</v>
      </c>
      <c r="E837" s="112"/>
    </row>
    <row r="838" spans="3:5" ht="20.25" customHeight="1" x14ac:dyDescent="0.25">
      <c r="C838" s="92" t="s">
        <v>7886</v>
      </c>
      <c r="E838" s="112"/>
    </row>
    <row r="839" spans="3:5" ht="20.25" customHeight="1" x14ac:dyDescent="0.25">
      <c r="C839" s="92" t="s">
        <v>8607</v>
      </c>
      <c r="E839" s="112"/>
    </row>
    <row r="840" spans="3:5" ht="20.25" customHeight="1" x14ac:dyDescent="0.25">
      <c r="C840" s="92" t="s">
        <v>8608</v>
      </c>
      <c r="E840" s="108">
        <v>45065</v>
      </c>
    </row>
    <row r="841" spans="3:5" ht="20.25" customHeight="1" x14ac:dyDescent="0.25">
      <c r="C841" s="92" t="s">
        <v>8609</v>
      </c>
      <c r="E841" s="103" t="s">
        <v>4357</v>
      </c>
    </row>
    <row r="842" spans="3:5" ht="20.25" customHeight="1" x14ac:dyDescent="0.25">
      <c r="C842" s="92" t="s">
        <v>8610</v>
      </c>
      <c r="E842" s="108">
        <v>45148</v>
      </c>
    </row>
    <row r="843" spans="3:5" ht="20.25" customHeight="1" x14ac:dyDescent="0.25">
      <c r="C843" s="92" t="s">
        <v>8611</v>
      </c>
      <c r="E843" s="103" t="s">
        <v>4357</v>
      </c>
    </row>
    <row r="844" spans="3:5" ht="20.25" customHeight="1" x14ac:dyDescent="0.25">
      <c r="C844" s="92" t="s">
        <v>7888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 x14ac:dyDescent="0.2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 x14ac:dyDescent="0.2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 x14ac:dyDescent="0.2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 x14ac:dyDescent="0.2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 x14ac:dyDescent="0.2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 x14ac:dyDescent="0.2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 x14ac:dyDescent="0.2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 x14ac:dyDescent="0.2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 x14ac:dyDescent="0.2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 x14ac:dyDescent="0.2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 x14ac:dyDescent="0.2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 x14ac:dyDescent="0.2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 x14ac:dyDescent="0.2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 x14ac:dyDescent="0.2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 x14ac:dyDescent="0.2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 x14ac:dyDescent="0.2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 x14ac:dyDescent="0.2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 x14ac:dyDescent="0.2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 x14ac:dyDescent="0.2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 x14ac:dyDescent="0.2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 x14ac:dyDescent="0.2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 x14ac:dyDescent="0.2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 x14ac:dyDescent="0.2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2026-08-12T14:09:26Z</dcterms:modified>
  <cp:category/>
  <cp:contentStatus/>
</cp:coreProperties>
</file>