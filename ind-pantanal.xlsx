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065" documentId="8_{DAC6C9CA-70D7-4111-A0A7-BC6755E560D9}" xr6:coauthVersionLast="47" xr6:coauthVersionMax="47" xr10:uidLastSave="{1F6C812F-7FD8-470D-8BD0-135AF6E0FAF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4" i="20" l="1"/>
  <c r="AR253" i="20"/>
  <c r="AG254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3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6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7" i="20"/>
  <c r="BH578" i="20"/>
  <c r="BH579" i="20"/>
  <c r="BH580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3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6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7" i="20"/>
  <c r="BJ578" i="20"/>
  <c r="BJ579" i="20"/>
  <c r="BJ580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3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6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7" i="20"/>
  <c r="BI578" i="20"/>
  <c r="BI579" i="20"/>
  <c r="BI580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6" i="20"/>
  <c r="BI7" i="20"/>
  <c r="BI8" i="20"/>
  <c r="BH1261" i="20"/>
  <c r="BH1262" i="20"/>
  <c r="BH1263" i="20"/>
  <c r="BH1264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3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6" i="20"/>
  <c r="AR247" i="20"/>
  <c r="AR248" i="20"/>
  <c r="AR249" i="20"/>
  <c r="AR250" i="20"/>
  <c r="AR251" i="20"/>
  <c r="AR252" i="20"/>
  <c r="AR255" i="20"/>
  <c r="AR256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7" i="20"/>
  <c r="AR578" i="20"/>
  <c r="AR579" i="20"/>
  <c r="AR580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" i="20"/>
  <c r="AG132" i="20"/>
  <c r="AG716" i="20"/>
  <c r="BJ5" i="20"/>
  <c r="BI5" i="20"/>
  <c r="AG466" i="20"/>
  <c r="AG486" i="20"/>
  <c r="AG467" i="20"/>
  <c r="AG127" i="20"/>
  <c r="AG413" i="20"/>
  <c r="AG562" i="20"/>
  <c r="AG324" i="20"/>
  <c r="AG205" i="20"/>
  <c r="AG35" i="20"/>
  <c r="AG569" i="20"/>
  <c r="AG378" i="20"/>
  <c r="AG696" i="20"/>
  <c r="AG423" i="20"/>
  <c r="AG421" i="20"/>
  <c r="AG362" i="20"/>
  <c r="AG477" i="20"/>
  <c r="AG658" i="20"/>
  <c r="AG339" i="20"/>
  <c r="AG221" i="20"/>
  <c r="AG222" i="20"/>
  <c r="AG377" i="20"/>
  <c r="AG191" i="20"/>
  <c r="AG368" i="20"/>
  <c r="AG196" i="20"/>
  <c r="AG274" i="20"/>
  <c r="AG15" i="20"/>
  <c r="AG303" i="20"/>
  <c r="AG292" i="20"/>
  <c r="AG659" i="20"/>
  <c r="AG541" i="20"/>
  <c r="AG299" i="20"/>
  <c r="AG289" i="20"/>
  <c r="AG240" i="20"/>
  <c r="AG215" i="20"/>
  <c r="AG608" i="20"/>
  <c r="AG382" i="20"/>
  <c r="AG19" i="20"/>
  <c r="AG268" i="20"/>
  <c r="AG383" i="20"/>
  <c r="AG278" i="20"/>
  <c r="AG76" i="20"/>
  <c r="AG302" i="20"/>
  <c r="AG297" i="20"/>
  <c r="AG87" i="20"/>
  <c r="AG162" i="20"/>
  <c r="AG715" i="20"/>
  <c r="AG129" i="20"/>
  <c r="AG173" i="20"/>
  <c r="AG207" i="20"/>
  <c r="AG70" i="20"/>
  <c r="AG350" i="20"/>
  <c r="AG343" i="20"/>
  <c r="AG12" i="20"/>
  <c r="AG426" i="20"/>
  <c r="AG361" i="20"/>
  <c r="AG371" i="20"/>
  <c r="AG341" i="20"/>
  <c r="AG306" i="20"/>
  <c r="AG351" i="20"/>
  <c r="AG596" i="20"/>
  <c r="AG373" i="20"/>
  <c r="AG352" i="20"/>
  <c r="AG427" i="20"/>
  <c r="AG387" i="20"/>
  <c r="AG245" i="20"/>
  <c r="AG291" i="20"/>
  <c r="AG83" i="20"/>
  <c r="AG227" i="20"/>
  <c r="AG60" i="20"/>
  <c r="AG717" i="20"/>
  <c r="AG622" i="20"/>
  <c r="AG360" i="20"/>
  <c r="AG335" i="20"/>
  <c r="AG333" i="20"/>
  <c r="AG561" i="20"/>
  <c r="AG624" i="20"/>
  <c r="AG766" i="20"/>
  <c r="AG192" i="20"/>
  <c r="AG236" i="20"/>
  <c r="AG248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<sst xmlns="http://schemas.openxmlformats.org/spreadsheetml/2006/main" count="33667" uniqueCount="8613">
  <si>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</si>
  <si>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</si>
  <si>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</si>
  <si>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</si>
  <si>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</si>
  <si>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</si>
  <si>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</si>
  <si>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</si>
  <si>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</si>
  <si>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</si>
  <si>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</si>
  <si>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</si>
  <si>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</si>
  <si>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</si>
  <si>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</si>
  <si>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</si>
  <si>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</si>
  <si>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</si>
  <si>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</si>
  <si>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</si>
  <si>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</si>
  <si>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</si>
  <si>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</si>
  <si>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</si>
  <si>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</si>
  <si>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</si>
  <si>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</si>
  <si>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</si>
  <si>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</si>
  <si>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</si>
  <si>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</si>
  <si>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</si>
  <si>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</si>
  <si>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</si>
  <si>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</si>
  <si>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</si>
  <si>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</si>
  <si>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</si>
  <si>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</si>
  <si>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</si>
  <si>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</si>
  <si>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</si>
  <si>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</si>
  <si>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</si>
  <si>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</si>
  <si>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</si>
  <si>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</si>
  <si>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</si>
  <si>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</si>
  <si>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</si>
  <si>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</si>
  <si>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</si>
  <si>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</si>
  <si>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</si>
  <si>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</si>
  <si>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</si>
  <si>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</si>
  <si>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</si>
  <si>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</si>
  <si>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</si>
  <si>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</si>
  <si>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</si>
  <si>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</si>
  <si>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</si>
  <si>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</si>
  <si>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</si>
  <si>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</si>
  <si>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</si>
  <si>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</si>
  <si>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</si>
  <si>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</si>
  <si>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</si>
  <si>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</si>
  <si>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</si>
  <si>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</si>
  <si>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</si>
  <si>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</si>
  <si>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</si>
  <si>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</si>
  <si>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</si>
  <si>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</si>
  <si>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</si>
  <si>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</si>
  <si>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</si>
  <si>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</si>
  <si>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</si>
  <si>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</si>
  <si>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</si>
  <si>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</si>
  <si>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</si>
  <si>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</si>
  <si>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</si>
  <si>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</si>
  <si>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</si>
  <si>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</si>
  <si>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</si>
  <si>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</si>
  <si>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</si>
  <si>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</si>
  <si>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</si>
  <si>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</si>
  <si>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</si>
  <si>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</si>
  <si>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</si>
  <si>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</si>
  <si>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</si>
  <si>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</si>
  <si>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</si>
  <si>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</si>
  <si>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</si>
  <si>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</si>
  <si>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</si>
  <si>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</si>
  <si>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</si>
  <si>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</si>
  <si>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</si>
  <si>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</si>
  <si>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</si>
  <si>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</si>
  <si>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</si>
  <si>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</si>
  <si>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</si>
  <si>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</si>
  <si>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</si>
  <si>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</si>
  <si>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</si>
  <si>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</si>
  <si>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</si>
  <si>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</si>
  <si>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</si>
  <si>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</si>
  <si>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</si>
  <si>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</si>
  <si>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</si>
  <si>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</si>
  <si>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</si>
  <si>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</si>
  <si>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</si>
  <si>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</si>
  <si>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</si>
  <si>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</si>
  <si>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</si>
  <si>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</si>
  <si>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</si>
  <si>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</si>
  <si>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</si>
  <si>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</si>
  <si>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</si>
  <si>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</si>
  <si>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</si>
  <si>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</si>
  <si>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</si>
  <si>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</si>
  <si>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</si>
  <si>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</si>
  <si>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</si>
  <si>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</si>
  <si>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</si>
  <si>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</si>
  <si>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</si>
  <si>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</si>
  <si>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</si>
  <si>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</si>
  <si>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</si>
  <si>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</si>
  <si>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</si>
  <si>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</si>
  <si>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</si>
  <si>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</si>
  <si>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</si>
  <si>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</si>
  <si>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</si>
  <si>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</si>
  <si>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</si>
  <si>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</si>
  <si>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</si>
  <si>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</si>
  <si>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</si>
  <si>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</si>
  <si>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</si>
  <si>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</si>
  <si>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</si>
  <si>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</si>
  <si>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</si>
  <si>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</si>
  <si>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</si>
  <si>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</si>
  <si>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</si>
  <si>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</si>
  <si>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</si>
  <si>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</si>
  <si>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</si>
  <si>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</si>
  <si>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</si>
  <si>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</si>
  <si>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</si>
  <si>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</si>
  <si>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</si>
  <si>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</si>
  <si>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</si>
  <si>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</si>
  <si>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</si>
  <si>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</si>
  <si>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</si>
  <si>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</si>
  <si>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</si>
  <si>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</si>
  <si>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</si>
  <si>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</si>
  <si>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</si>
  <si>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</si>
  <si>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</si>
  <si>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</si>
  <si>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</si>
  <si>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</si>
  <si>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</si>
  <si>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</si>
  <si>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</si>
  <si>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</si>
  <si>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</si>
  <si>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</si>
  <si>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</si>
  <si>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</si>
  <si>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</si>
  <si>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</si>
  <si>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</si>
  <si>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</si>
  <si>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</si>
  <si>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</si>
  <si>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</si>
  <si>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</si>
  <si>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</si>
  <si>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</si>
  <si>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</si>
  <si>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</si>
  <si>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</si>
  <si>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</si>
  <si>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</si>
  <si>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</si>
  <si>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</si>
  <si>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</si>
  <si>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</si>
  <si>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</si>
  <si>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</si>
  <si>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</si>
  <si>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</si>
  <si>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</si>
  <si>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</si>
  <si>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</si>
  <si>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</si>
  <si>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</si>
  <si>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</si>
  <si>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</si>
  <si>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</si>
  <si>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</si>
  <si>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</si>
  <si>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</si>
  <si>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</si>
  <si>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</si>
  <si>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</si>
  <si>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</si>
  <si>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</si>
  <si>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</si>
  <si>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</si>
  <si>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</si>
  <si>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</si>
  <si>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</si>
  <si>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</si>
  <si>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</si>
  <si>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</si>
  <si>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</si>
  <si>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</si>
  <si>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</si>
  <si>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</si>
  <si>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</si>
  <si>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</si>
  <si>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</si>
  <si>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</si>
  <si>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</si>
  <si>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</si>
  <si>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</si>
  <si>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</si>
  <si>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</si>
  <si>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</si>
  <si>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</si>
  <si>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</si>
  <si>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</si>
  <si>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</si>
  <si>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</si>
  <si>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</si>
  <si>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</si>
  <si>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</si>
  <si>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</si>
  <si>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</si>
  <si>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</si>
  <si>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</si>
  <si>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</si>
  <si>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</si>
  <si>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</si>
  <si>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</si>
  <si>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</si>
  <si>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</si>
  <si>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</si>
  <si>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</si>
  <si>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</si>
  <si>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</si>
  <si>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</si>
  <si>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</si>
  <si>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</si>
  <si>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</si>
  <si>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</si>
  <si>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</si>
  <si>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</si>
  <si>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</si>
  <si>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</si>
  <si>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</si>
  <si>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</si>
  <si>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</si>
  <si>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</si>
  <si>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</si>
  <si>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</si>
  <si>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</si>
  <si>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</si>
  <si>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</si>
  <si>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</si>
  <si>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</si>
  <si>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</si>
  <si>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</si>
  <si>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</si>
  <si>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</si>
  <si>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</si>
  <si>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</si>
  <si>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</si>
  <si>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</si>
  <si>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</si>
  <si>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</si>
  <si>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</si>
  <si>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</si>
  <si>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</si>
  <si>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</si>
  <si>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</si>
  <si>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</si>
  <si>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</si>
  <si>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</si>
  <si>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</si>
  <si>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</si>
  <si>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</si>
  <si>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</si>
  <si>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</si>
  <si>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</si>
  <si>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</si>
  <si>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</si>
  <si>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</si>
  <si>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</si>
  <si>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</si>
  <si>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</si>
  <si>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</si>
  <si>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</si>
  <si>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</si>
  <si>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</si>
  <si>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</si>
  <si>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</si>
  <si>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</si>
  <si>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</si>
  <si>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</si>
  <si>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</si>
  <si>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</si>
  <si>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</si>
  <si>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</si>
  <si>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</si>
  <si>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</si>
  <si>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</si>
  <si>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</si>
  <si>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</si>
  <si>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</si>
  <si>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</si>
  <si>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</si>
  <si>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</si>
  <si>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</si>
  <si>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</si>
  <si>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</si>
  <si>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</si>
  <si>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</si>
  <si>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</si>
  <si>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</si>
  <si>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</si>
  <si>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</si>
  <si>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</si>
  <si>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</si>
  <si>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</si>
  <si>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</si>
  <si>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</si>
  <si>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</si>
  <si>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</si>
  <si>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</si>
  <si>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</si>
  <si>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</si>
  <si>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</si>
  <si>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</si>
  <si>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</si>
  <si>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</si>
  <si>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</si>
  <si>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</si>
  <si>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</si>
  <si>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</si>
  <si>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</si>
  <si>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</si>
  <si>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</si>
  <si>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</si>
  <si>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</si>
  <si>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</si>
  <si>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</si>
  <si>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</si>
  <si>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</si>
  <si>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</si>
  <si>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</si>
  <si>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</si>
  <si>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</si>
  <si>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</si>
  <si>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</si>
  <si>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</si>
  <si>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</si>
  <si>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</si>
  <si>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</si>
  <si>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</si>
  <si>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</si>
  <si>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</si>
  <si>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</si>
  <si>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</si>
  <si>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</si>
  <si>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</si>
  <si>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</si>
  <si>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</si>
  <si>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</si>
  <si>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</si>
  <si>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</si>
  <si>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</si>
  <si>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</si>
  <si>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</si>
  <si>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</si>
  <si>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</si>
  <si>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</si>
  <si>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</si>
  <si>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</si>
  <si>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</si>
  <si>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</si>
  <si>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</si>
  <si>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</si>
  <si>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</si>
  <si>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</si>
  <si>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</si>
  <si>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</si>
  <si>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</si>
  <si>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</si>
  <si>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</si>
  <si>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</si>
  <si>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</si>
  <si>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</si>
  <si>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</si>
  <si>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</si>
  <si>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</si>
  <si>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</si>
  <si>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</si>
  <si>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</si>
  <si>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</si>
  <si>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</si>
  <si>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</si>
  <si>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</si>
  <si>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</si>
  <si>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</si>
  <si>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</si>
  <si>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</si>
  <si>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</si>
  <si>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</si>
  <si>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</si>
  <si>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</si>
  <si>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</si>
  <si>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</si>
  <si>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</si>
  <si>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</si>
  <si>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</si>
  <si>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</si>
  <si>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</si>
  <si>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</si>
  <si>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</si>
  <si>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</si>
  <si>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</si>
  <si>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</si>
  <si>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</si>
  <si>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</si>
  <si>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</si>
  <si>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</si>
  <si>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</si>
  <si>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</si>
  <si>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</si>
  <si>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</si>
  <si>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</si>
  <si>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</si>
  <si>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</si>
  <si>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</si>
  <si>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</si>
  <si>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</si>
  <si>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</si>
  <si>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</si>
  <si>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</si>
  <si>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</si>
  <si>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</si>
  <si>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</si>
  <si>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</si>
  <si>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</si>
  <si>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</si>
  <si>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</si>
  <si>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</si>
  <si>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</si>
  <si>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</si>
  <si>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</si>
  <si>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</si>
  <si>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</si>
  <si>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</si>
  <si>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</si>
  <si>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</si>
  <si>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</si>
  <si>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</si>
  <si>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</si>
  <si>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</si>
  <si>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</si>
  <si>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</si>
  <si>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</si>
  <si>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</si>
  <si>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</si>
  <si>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</si>
  <si>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</si>
  <si>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</si>
  <si>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</si>
  <si>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</si>
  <si>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</si>
  <si>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</si>
  <si>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</si>
  <si>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</si>
  <si>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</si>
  <si>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</si>
  <si>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</si>
  <si>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</si>
  <si>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</si>
  <si>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</si>
  <si>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</si>
  <si>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</si>
  <si>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</si>
  <si>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</si>
  <si>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</si>
  <si>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</si>
  <si>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</si>
  <si>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</si>
  <si>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</si>
  <si>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</si>
  <si>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</si>
  <si>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</si>
  <si>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</si>
  <si>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</si>
  <si>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</si>
  <si>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</si>
  <si>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</si>
  <si>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</si>
  <si>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</si>
  <si>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</si>
  <si>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</si>
  <si>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</si>
  <si>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</si>
  <si>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</si>
  <si>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</si>
  <si>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</si>
  <si>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</si>
  <si>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</si>
  <si>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</si>
  <si>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</si>
  <si>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</si>
  <si>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</si>
  <si>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</si>
  <si>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</si>
  <si>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</si>
  <si>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</si>
  <si>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</si>
  <si>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</si>
  <si>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</si>
  <si>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</si>
  <si>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</si>
  <si>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</si>
  <si>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</si>
  <si>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</si>
  <si>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</si>
  <si>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</si>
  <si>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</si>
  <si>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</si>
  <si>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</si>
  <si>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</si>
  <si>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</si>
  <si>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</si>
  <si>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</si>
  <si>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</si>
  <si>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</si>
  <si>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</si>
  <si>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</si>
  <si>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</si>
  <si>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</si>
  <si>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</si>
  <si>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</si>
  <si>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</si>
  <si>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</si>
  <si>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</si>
  <si>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</si>
  <si>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</si>
  <si>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</si>
  <si>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</si>
  <si>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</si>
  <si>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</si>
  <si>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</si>
  <si>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</si>
  <si>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</si>
  <si>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</si>
  <si>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</si>
  <si>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</si>
  <si>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</si>
  <si>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</si>
  <si>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</si>
  <si>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</si>
  <si>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</si>
  <si>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</si>
  <si>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</si>
  <si>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</si>
  <si>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</si>
  <si>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</si>
  <si>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</si>
  <si>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</si>
  <si>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</si>
  <si>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</si>
  <si>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</si>
  <si>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</si>
  <si>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</si>
  <si>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</si>
  <si>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</si>
  <si>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</si>
  <si>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</si>
  <si>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</si>
  <si>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</si>
  <si>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</si>
  <si>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</si>
  <si>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</si>
  <si>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</si>
  <si>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</si>
  <si>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</si>
  <si>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</si>
  <si>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</si>
  <si>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</si>
  <si>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</si>
  <si>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</si>
  <si>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</si>
  <si>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</si>
  <si>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</si>
  <si>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</si>
  <si>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</si>
  <si>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</si>
  <si>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</si>
  <si>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</si>
  <si>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</si>
  <si>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</si>
  <si>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</si>
  <si>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</si>
  <si>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</si>
  <si>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</si>
  <si>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</si>
  <si>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</si>
  <si>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</si>
  <si>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</si>
  <si>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</si>
  <si>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</si>
  <si>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</si>
  <si>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</si>
  <si>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</si>
  <si>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</si>
  <si>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</si>
  <si>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</si>
  <si>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</si>
  <si>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</si>
  <si>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</si>
  <si>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</si>
  <si>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</si>
  <si>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</si>
  <si>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</si>
  <si>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</si>
  <si>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</si>
  <si>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</si>
  <si>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</si>
  <si>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</si>
  <si>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</si>
  <si>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</si>
  <si>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</si>
  <si>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</si>
  <si>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</si>
  <si>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</si>
  <si>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</si>
  <si>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</si>
  <si>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</si>
  <si>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</si>
  <si>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</si>
  <si>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</si>
  <si>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</si>
  <si>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</si>
  <si>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</si>
  <si>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</si>
  <si>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</si>
  <si>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</si>
  <si>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</si>
  <si>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</si>
  <si>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</si>
  <si>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</si>
  <si>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</si>
  <si>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</si>
  <si>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</si>
  <si>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</si>
  <si>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</si>
  <si>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</si>
  <si>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</si>
  <si>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</si>
  <si>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</si>
  <si>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</si>
  <si>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</si>
  <si>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</si>
  <si>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</si>
  <si>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</si>
  <si>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</si>
  <si>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</si>
  <si>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</si>
  <si>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</si>
  <si>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</si>
  <si>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</si>
  <si>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</si>
  <si>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</si>
  <si>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</si>
  <si>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</si>
  <si>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</si>
  <si>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</si>
  <si>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</si>
  <si>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</si>
  <si>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</si>
  <si>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</si>
  <si>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</si>
  <si>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</si>
  <si>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</si>
  <si>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</si>
  <si>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</si>
  <si>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</si>
  <si>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</si>
  <si>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</si>
  <si>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</si>
  <si>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</si>
  <si>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</si>
  <si>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</si>
  <si>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</si>
  <si>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</si>
  <si>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</si>
  <si>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</si>
  <si>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</si>
  <si>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</si>
  <si>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</si>
  <si>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</si>
  <si>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</si>
  <si>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</si>
  <si>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</si>
  <si>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</si>
  <si>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</si>
  <si>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</si>
  <si>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</si>
  <si>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</si>
  <si>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</si>
  <si>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</si>
  <si>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</si>
  <si>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</si>
  <si>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</si>
  <si>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</si>
  <si>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</si>
  <si>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</si>
  <si>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</si>
  <si>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</si>
  <si>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</si>
  <si>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</si>
  <si>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</si>
  <si>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</si>
  <si>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</si>
  <si>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</si>
  <si>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</si>
  <si>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</si>
  <si>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</si>
  <si>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</si>
  <si>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</si>
  <si>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</si>
  <si>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</si>
  <si>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</si>
  <si>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</si>
  <si>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</si>
  <si>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</si>
  <si>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</si>
  <si>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</si>
  <si>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</si>
  <si>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</si>
  <si>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</si>
  <si>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</si>
  <si>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</si>
  <si>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</si>
  <si>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</si>
  <si>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</si>
  <si>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</si>
  <si>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</si>
  <si>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</si>
  <si>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</si>
  <si>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</si>
  <si>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</si>
  <si>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</si>
  <si>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</si>
  <si>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</si>
  <si>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</si>
  <si>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</si>
  <si>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</si>
  <si>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</si>
  <si>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</si>
  <si>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</si>
  <si>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</si>
  <si>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</si>
  <si>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</si>
  <si>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</si>
  <si>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</si>
  <si>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</si>
  <si>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</si>
  <si>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</si>
  <si>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</si>
  <si>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</si>
  <si>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</si>
  <si>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</si>
  <si>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</si>
  <si>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</si>
  <si>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</si>
  <si>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</si>
  <si>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</si>
  <si>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</si>
  <si>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</si>
  <si>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</si>
  <si>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</si>
  <si>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</si>
  <si>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</si>
  <si>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</si>
  <si>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</si>
  <si>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</si>
  <si>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</si>
  <si>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</si>
  <si>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</si>
  <si>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</si>
  <si>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</si>
  <si>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</si>
  <si>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</si>
  <si>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</si>
  <si>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</si>
  <si>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</si>
  <si>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</si>
  <si>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</si>
  <si>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</si>
  <si>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</si>
  <si>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</si>
  <si>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</si>
  <si>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</si>
  <si>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</si>
  <si>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</si>
  <si>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</si>
  <si>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</si>
  <si>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</si>
  <si>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</si>
  <si>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</si>
  <si>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</si>
  <si>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</si>
  <si>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</si>
  <si>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</si>
  <si>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</si>
  <si>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</si>
  <si>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</si>
  <si>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</si>
  <si>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</si>
  <si>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</si>
  <si>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</si>
  <si>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</si>
  <si>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</si>
  <si>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</si>
  <si>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</si>
  <si>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</si>
  <si>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</si>
  <si>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</si>
  <si>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</si>
  <si>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</si>
  <si>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</si>
  <si>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</si>
  <si>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</si>
  <si>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</si>
  <si>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</si>
  <si>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</si>
  <si>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</si>
  <si>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</si>
  <si>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</si>
  <si>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</si>
  <si>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</si>
  <si>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</si>
  <si>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</si>
  <si>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</si>
  <si>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</si>
  <si>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</si>
  <si>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</si>
  <si>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</si>
  <si>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</si>
  <si>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</si>
  <si>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</si>
  <si>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</si>
  <si>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</si>
  <si>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</si>
  <si>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</si>
  <si>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</si>
  <si>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</si>
  <si>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</si>
  <si>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</si>
  <si>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</si>
  <si>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</si>
  <si>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</si>
  <si>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</si>
  <si>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</si>
  <si>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</si>
  <si>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</si>
  <si>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</si>
  <si>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</si>
  <si>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</si>
  <si>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</si>
  <si>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</si>
  <si>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</si>
  <si>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</si>
  <si>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</si>
  <si>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</si>
  <si>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</si>
  <si>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</si>
  <si>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</si>
  <si>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</si>
  <si>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</si>
  <si>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</si>
  <si>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</si>
  <si>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</si>
  <si>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</si>
  <si>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</si>
  <si>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</si>
  <si>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</si>
  <si>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</si>
  <si>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</si>
  <si>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</si>
  <si>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</si>
  <si>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</si>
  <si>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</si>
  <si>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</si>
  <si>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</si>
  <si>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</si>
  <si>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</si>
  <si>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</si>
  <si>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</si>
  <si>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</si>
  <si>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</si>
  <si>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</si>
  <si>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</si>
  <si>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</si>
  <si>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</si>
  <si>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</si>
  <si>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</si>
  <si>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</si>
  <si>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</si>
  <si>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</si>
  <si>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</si>
  <si>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</si>
  <si>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</si>
  <si>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</si>
  <si>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</si>
  <si>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</si>
  <si>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</si>
  <si>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</si>
  <si>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</si>
  <si>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</si>
  <si>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</si>
  <si>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</si>
  <si>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</si>
  <si>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</si>
  <si>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</si>
  <si>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</si>
  <si>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</si>
  <si>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</si>
  <si>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</si>
  <si>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</si>
  <si>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</si>
  <si>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</si>
  <si>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</si>
  <si>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</si>
  <si>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</si>
  <si>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</si>
  <si>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</si>
  <si>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</si>
  <si>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</si>
  <si>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</si>
  <si>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</si>
  <si>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</si>
  <si>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</si>
  <si>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</si>
  <si>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</si>
  <si>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</si>
  <si>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</si>
  <si>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</si>
  <si>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</si>
  <si>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</si>
  <si>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</si>
  <si>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</si>
  <si>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</si>
  <si>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</si>
  <si>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</si>
  <si>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</si>
  <si>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</si>
  <si>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</si>
  <si>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</si>
  <si>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</si>
  <si>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</si>
  <si>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</si>
  <si>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</si>
  <si>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</si>
  <si>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</si>
  <si>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</si>
  <si>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</si>
  <si>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</si>
  <si>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</si>
  <si>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</si>
  <si>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</si>
  <si>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</si>
  <si>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</si>
  <si>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</si>
  <si>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</si>
  <si>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</si>
  <si>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</si>
  <si>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</si>
  <si>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</si>
  <si>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</si>
  <si>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</si>
  <si>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</si>
  <si>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</si>
  <si>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</si>
  <si>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</si>
  <si>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</si>
  <si>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</si>
  <si>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</si>
  <si>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</si>
  <si>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</si>
  <si>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</si>
  <si>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</si>
  <si>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</si>
  <si>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</si>
  <si>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</si>
  <si>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</si>
  <si>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</si>
  <si>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</si>
  <si>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</si>
  <si>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</si>
  <si>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</si>
  <si>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</si>
  <si>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</si>
  <si>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</si>
  <si>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</si>
  <si>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</si>
  <si>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</si>
  <si>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</si>
  <si>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</si>
  <si>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</si>
  <si>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</si>
  <si>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</si>
  <si>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</si>
  <si>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</si>
  <si>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</si>
  <si>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</si>
  <si>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</si>
  <si>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</si>
  <si>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</si>
  <si>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</si>
  <si>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</si>
  <si>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</si>
  <si>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</si>
  <si>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</si>
  <si>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</si>
  <si>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</si>
  <si>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</si>
  <si>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</si>
  <si>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</si>
  <si>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</si>
  <si>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</si>
  <si>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</si>
  <si>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</si>
  <si>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</si>
  <si>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</si>
  <si>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</si>
  <si>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</si>
  <si>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</si>
  <si>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</si>
  <si>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</si>
  <si>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</si>
  <si>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</si>
  <si>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</si>
  <si>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</si>
  <si>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</si>
  <si>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</si>
  <si>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</si>
  <si>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</si>
  <si>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</si>
  <si>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</si>
  <si>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</si>
  <si>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</si>
  <si>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</si>
  <si>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</si>
  <si>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</si>
  <si>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</si>
  <si>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</si>
  <si>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</si>
  <si>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</si>
  <si>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</si>
  <si>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</si>
  <si>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</si>
  <si>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</si>
  <si>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</si>
  <si>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</si>
  <si>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</si>
  <si>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</si>
  <si>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</si>
  <si>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</si>
  <si>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</si>
  <si>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</si>
  <si>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</si>
  <si>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</si>
  <si>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</si>
  <si>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</si>
  <si>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</si>
  <si>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</si>
  <si>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</si>
  <si>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</si>
  <si>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</si>
  <si>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</si>
  <si>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</si>
  <si>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</si>
  <si>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</si>
  <si>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</si>
  <si>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</si>
  <si>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</si>
  <si>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</si>
  <si>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</si>
  <si>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</si>
  <si>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</si>
  <si>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</si>
  <si>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</si>
  <si>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</si>
  <si>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</si>
  <si>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</si>
  <si>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</si>
  <si>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</si>
  <si>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</si>
  <si>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</si>
  <si>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</si>
  <si>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</si>
  <si>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</si>
  <si>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</si>
  <si>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</si>
  <si>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</si>
  <si>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</si>
  <si>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</si>
  <si>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</si>
  <si>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</si>
  <si>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</si>
  <si>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</si>
  <si>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</si>
  <si>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</si>
  <si>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</si>
  <si>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</si>
  <si>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</si>
  <si>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</si>
  <si>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</si>
  <si>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</si>
  <si>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</si>
  <si>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</si>
  <si>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</si>
  <si>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</si>
  <si>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</si>
  <si>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</si>
  <si>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</si>
  <si>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</si>
  <si>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</si>
  <si>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</si>
  <si>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</si>
  <si>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</si>
  <si>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</si>
  <si>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</si>
  <si>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</si>
  <si>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</si>
  <si>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</si>
  <si>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</si>
  <si>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</si>
  <si>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</si>
  <si>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</si>
  <si>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</si>
  <si>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</si>
  <si>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</si>
  <si>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</si>
  <si>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</si>
  <si>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</si>
  <si>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</si>
  <si>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</si>
  <si>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</si>
  <si>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</si>
  <si>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</si>
  <si>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</si>
  <si>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</si>
  <si>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</si>
  <si>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</si>
  <si>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</si>
  <si>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</si>
  <si>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</si>
  <si>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</si>
  <si>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</si>
  <si>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</si>
  <si>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</si>
  <si>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</si>
  <si>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</si>
  <si>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</si>
  <si>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</si>
  <si>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</si>
  <si>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</si>
  <si>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</si>
  <si>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</si>
  <si>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</si>
  <si>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</si>
  <si>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</si>
  <si>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</si>
  <si>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</si>
  <si>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</si>
  <si>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</si>
  <si>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</si>
  <si>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</si>
  <si>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</si>
  <si>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</si>
  <si>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</si>
  <si>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</si>
  <si>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</si>
  <si>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</si>
  <si>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</si>
  <si>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</si>
  <si>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</si>
  <si>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</si>
  <si>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</si>
  <si>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</si>
  <si>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</si>
  <si>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</si>
  <si>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</si>
  <si>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</si>
  <si>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</si>
  <si>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</si>
  <si>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</si>
  <si>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</si>
  <si>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</si>
  <si>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</si>
  <si>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</si>
  <si>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</si>
  <si>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</si>
  <si>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</si>
  <si>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</si>
  <si>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</si>
  <si>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</si>
  <si>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</si>
  <si>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</si>
  <si>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</si>
  <si>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</si>
  <si>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</si>
  <si>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</si>
  <si>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</si>
  <si>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</si>
  <si>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</si>
  <si>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</si>
  <si>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</si>
  <si>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</si>
  <si>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</si>
  <si>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</si>
  <si>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</si>
  <si>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</si>
  <si>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</si>
  <si>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</si>
  <si>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</si>
  <si>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</si>
  <si>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</si>
  <si>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</si>
  <si>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</si>
  <si>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</si>
  <si>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</si>
  <si>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</si>
  <si>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</si>
  <si>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</si>
  <si>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</si>
  <si>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</si>
  <si>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</si>
  <si>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</si>
  <si>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</si>
  <si>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</si>
  <si>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</si>
  <si>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</si>
  <si>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</si>
  <si>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</si>
  <si>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</si>
  <si>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</si>
  <si>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</si>
  <si>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</si>
  <si>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</si>
  <si>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</si>
  <si>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</si>
  <si>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</si>
  <si>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</si>
  <si>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</si>
  <si>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</si>
  <si>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</si>
  <si>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</si>
  <si>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</si>
  <si>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</si>
  <si>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</si>
  <si>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</si>
  <si>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</si>
  <si>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</si>
  <si>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</si>
  <si>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</si>
  <si>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</si>
  <si>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</si>
  <si>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</si>
  <si>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</si>
  <si>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</si>
  <si>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</si>
  <si>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</si>
  <si>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</si>
  <si>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</si>
  <si>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</si>
  <si>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</si>
  <si>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</si>
  <si>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</si>
  <si>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</si>
  <si>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</si>
  <si>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</si>
  <si>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</si>
  <si>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</si>
  <si>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</si>
  <si>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</si>
  <si>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</si>
  <si>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</si>
  <si>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</si>
  <si>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</si>
  <si>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</si>
  <si>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</si>
  <si>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</si>
  <si>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</si>
  <si>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</si>
  <si>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</si>
  <si>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</si>
  <si>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</si>
  <si>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</si>
  <si>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</si>
  <si>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</si>
  <si>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</si>
  <si>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</si>
  <si>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</si>
  <si>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</si>
  <si>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</si>
  <si>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</si>
  <si>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</si>
  <si>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</si>
  <si>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</si>
  <si>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</si>
  <si>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</si>
  <si>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</si>
  <si>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</si>
  <si>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</si>
  <si>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</si>
  <si>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</si>
  <si>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</si>
  <si>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</si>
  <si>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</si>
  <si>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</si>
  <si>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</si>
  <si>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</si>
  <si>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</si>
  <si>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</si>
  <si>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</si>
  <si>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</si>
  <si>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</si>
  <si>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</si>
  <si>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</si>
  <si>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</si>
  <si>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</si>
  <si>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</si>
  <si>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</si>
  <si>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</si>
  <si>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</si>
  <si>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</si>
  <si>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</si>
  <si>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</si>
  <si>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</si>
  <si>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</si>
  <si>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</si>
  <si>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</si>
  <si>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</si>
  <si>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</si>
  <si>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</si>
  <si>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</si>
  <si>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</si>
  <si>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</si>
  <si>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</si>
  <si>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</si>
  <si>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</si>
  <si>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</si>
  <si>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</si>
  <si>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</si>
  <si>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</si>
  <si>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</si>
  <si>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</si>
  <si>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</si>
  <si>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</si>
  <si>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</si>
  <si>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</si>
  <si>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</si>
  <si>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</si>
  <si>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</si>
  <si>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</si>
  <si>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</si>
  <si>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</si>
  <si>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</si>
  <si>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</si>
  <si>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</si>
  <si>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</si>
  <si>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</si>
  <si>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</si>
  <si>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</si>
  <si>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</si>
  <si>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</si>
  <si>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</si>
  <si>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</si>
  <si>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</si>
  <si>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</si>
  <si>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</si>
  <si>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</si>
  <si>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</si>
  <si>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</si>
  <si>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</si>
  <si>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</si>
  <si>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</si>
  <si>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</si>
  <si>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</si>
  <si>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</si>
  <si>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</si>
  <si>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</si>
  <si>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</si>
  <si>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</si>
  <si>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</si>
  <si>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</si>
  <si>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</si>
  <si>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</si>
  <si>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</si>
  <si>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</si>
  <si>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</si>
  <si>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</si>
  <si>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</si>
  <si>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</si>
  <si>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</si>
  <si>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</si>
  <si>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</si>
  <si>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</si>
  <si>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</si>
  <si>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</si>
  <si>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</si>
  <si>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</si>
  <si>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</si>
  <si>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</si>
  <si>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</si>
  <si>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</si>
  <si>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</si>
  <si>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</si>
  <si>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</si>
  <si>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</si>
  <si>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</si>
  <si>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</si>
  <si>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</si>
  <si>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</si>
  <si>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</si>
  <si>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</si>
  <si>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</si>
  <si>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</si>
  <si>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</si>
  <si>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</si>
  <si>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</si>
  <si>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</si>
  <si>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</si>
  <si>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</si>
  <si>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</si>
  <si>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</si>
  <si>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</si>
  <si>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</si>
  <si>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</si>
  <si>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</si>
  <si>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</si>
  <si>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</si>
  <si>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</si>
  <si>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</si>
  <si>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</si>
  <si>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</si>
  <si>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</si>
  <si>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</si>
  <si>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</si>
  <si>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</si>
  <si>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</si>
  <si>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</si>
  <si>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</si>
  <si>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</si>
  <si>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</si>
  <si>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</si>
  <si>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</si>
  <si>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</si>
  <si>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</si>
  <si>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</si>
  <si>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</si>
  <si>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</si>
  <si>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</si>
  <si>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</si>
  <si>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</si>
  <si>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</si>
  <si>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</si>
  <si>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</si>
  <si>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</si>
  <si>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</si>
  <si>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</si>
  <si>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</si>
  <si>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</si>
  <si>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</si>
  <si>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</si>
  <si>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</si>
  <si>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</si>
  <si>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</si>
  <si>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</si>
  <si>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</si>
  <si>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</si>
  <si>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</si>
  <si>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</si>
  <si>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</si>
  <si>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</si>
  <si>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</si>
  <si>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</si>
  <si>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</si>
  <si>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</si>
  <si>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</si>
  <si>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</si>
  <si>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</si>
  <si>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</si>
  <si>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</si>
  <si>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</si>
  <si>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</si>
  <si>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</si>
  <si>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</si>
  <si>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</si>
  <si>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</si>
  <si>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</si>
  <si>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</si>
  <si>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</si>
  <si>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</si>
  <si>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</si>
  <si>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</si>
  <si>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</si>
  <si>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</si>
  <si>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</si>
  <si>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</si>
  <si>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</si>
  <si>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</si>
  <si>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</si>
  <si>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</si>
  <si>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</si>
  <si>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</si>
  <si>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</si>
  <si>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</si>
  <si>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</si>
  <si>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</si>
  <si>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</si>
  <si>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</si>
  <si>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</si>
  <si>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</si>
  <si>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</si>
  <si>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</si>
  <si>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</si>
  <si>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</si>
  <si>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</si>
  <si>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</si>
  <si>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</si>
  <si>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</si>
  <si>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</si>
  <si>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</si>
  <si>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</si>
  <si>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</si>
  <si>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</si>
  <si>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</si>
  <si>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</si>
  <si>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</si>
  <si>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</si>
  <si>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</si>
  <si>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</si>
  <si>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</si>
  <si>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</si>
  <si>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</si>
  <si>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</si>
  <si>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</si>
  <si>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</si>
  <si>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</si>
  <si>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</si>
  <si>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</si>
  <si>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</si>
  <si>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</si>
  <si>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</si>
  <si>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</si>
  <si>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</si>
  <si>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</si>
  <si>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</si>
  <si>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</si>
  <si>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</si>
  <si>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</si>
  <si>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</si>
  <si>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</si>
  <si>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</si>
  <si>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</si>
  <si>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</si>
  <si>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</si>
  <si>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</si>
  <si>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</si>
  <si>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</si>
  <si>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</si>
  <si>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</si>
  <si>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</si>
  <si>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</si>
  <si>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</si>
  <si>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</si>
  <si>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</si>
  <si>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</si>
  <si>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</si>
  <si>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</si>
  <si>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</si>
  <si>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</si>
  <si>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</si>
  <si>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</si>
  <si>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</si>
  <si>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</si>
  <si>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</si>
  <si>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</si>
  <si>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</si>
  <si>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</si>
  <si>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</si>
  <si>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</si>
  <si>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</si>
  <si>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</si>
  <si>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</si>
  <si>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</si>
  <si>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</si>
  <si>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</si>
  <si>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</si>
  <si>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</si>
  <si>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</si>
  <si>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</si>
  <si>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</si>
  <si>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</si>
  <si>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</si>
  <si>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</si>
  <si>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</si>
  <si>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</si>
  <si>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</si>
  <si>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</si>
  <si>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</si>
  <si>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</si>
  <si>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</si>
  <si>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</si>
  <si>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</si>
  <si>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</si>
  <si>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</si>
  <si>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</si>
  <si>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</si>
  <si>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</si>
  <si>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</si>
  <si>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</si>
  <si>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</si>
  <si>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</si>
  <si>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</si>
  <si>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</si>
  <si>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</si>
  <si>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</si>
  <si>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</si>
  <si>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</si>
  <si>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</si>
  <si>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</si>
  <si>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</si>
  <si>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</si>
  <si>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</si>
  <si>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</si>
  <si>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</si>
  <si>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</si>
  <si>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</si>
  <si>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</si>
  <si>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</si>
  <si>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</si>
  <si>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</si>
  <si>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</si>
  <si>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</si>
  <si>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</si>
  <si>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</si>
  <si>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</si>
  <si>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</si>
  <si>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</si>
  <si>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</si>
  <si>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</si>
  <si>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</si>
  <si>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</si>
  <si>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</si>
  <si>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</si>
  <si>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</si>
  <si>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</si>
  <si>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</si>
  <si>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</si>
  <si>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</si>
  <si>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</si>
  <si>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</si>
  <si>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</si>
  <si>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</si>
  <si>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</si>
  <si>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</si>
  <si>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</si>
  <si>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</si>
  <si>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</si>
  <si>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</si>
  <si>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</si>
  <si>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</si>
  <si>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</si>
  <si>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</si>
  <si>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</si>
  <si>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</si>
  <si>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</si>
  <si>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</si>
  <si>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</si>
  <si>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</si>
  <si>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</si>
  <si>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</si>
  <si>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</si>
  <si>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</si>
  <si>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</si>
  <si>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</si>
  <si>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</si>
  <si>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</si>
  <si>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</si>
  <si>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</si>
  <si>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</si>
  <si>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</si>
  <si>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</si>
  <si>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</si>
  <si>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</si>
  <si>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</si>
  <si>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</si>
  <si>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</si>
  <si>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</si>
  <si>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</si>
  <si>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</si>
  <si>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</si>
  <si>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</si>
  <si>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</si>
  <si>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</si>
  <si>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</si>
  <si>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</si>
  <si>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</si>
  <si>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</si>
  <si>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</si>
  <si>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</si>
  <si>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</si>
  <si>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</si>
  <si>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</si>
  <si>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</si>
  <si>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</si>
  <si>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</si>
  <si>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</si>
  <si>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</si>
  <si>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</si>
  <si>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</si>
  <si>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</si>
  <si>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</si>
  <si>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</si>
  <si>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</si>
  <si>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</si>
  <si>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</si>
  <si>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</si>
  <si>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</si>
  <si>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</si>
  <si>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</si>
  <si>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</si>
  <si>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</si>
  <si>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</si>
  <si>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</si>
  <si>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</si>
  <si>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</si>
  <si>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</si>
  <si>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</si>
  <si>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</si>
  <si>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</si>
  <si>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</si>
  <si>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</si>
  <si>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</si>
  <si>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</si>
  <si>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</si>
  <si>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</si>
  <si>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</si>
  <si>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</si>
  <si>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</si>
  <si>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</si>
  <si>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</si>
  <si>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</si>
  <si>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</si>
  <si>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</si>
  <si>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</si>
  <si>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</si>
  <si>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</si>
  <si>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</si>
  <si>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</si>
  <si>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</si>
  <si>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</si>
  <si>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</si>
  <si>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</si>
  <si>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</si>
  <si>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</si>
  <si>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</si>
  <si>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</si>
  <si>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</si>
  <si>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</si>
  <si>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</si>
  <si>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</si>
  <si>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</si>
  <si>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</si>
  <si>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</si>
  <si>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</si>
  <si>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</si>
  <si>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</si>
  <si>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</si>
  <si>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</si>
  <si>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</si>
  <si>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</si>
  <si>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</si>
  <si>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</si>
  <si>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</si>
  <si>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</si>
  <si>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</si>
  <si>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</si>
  <si>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</si>
  <si>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</si>
  <si>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</si>
  <si>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</si>
  <si>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</si>
  <si>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</si>
  <si>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</si>
  <si>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</si>
  <si>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</si>
  <si>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</si>
  <si>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</si>
  <si>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</si>
  <si>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</si>
  <si>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</si>
  <si>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</si>
  <si>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</si>
  <si>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</si>
  <si>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</si>
  <si>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</si>
  <si>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</si>
  <si>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</si>
  <si>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</si>
  <si>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</si>
  <si>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</si>
  <si>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</si>
  <si>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</si>
  <si>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</si>
  <si>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</si>
  <si>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</si>
  <si>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</si>
  <si>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</si>
  <si>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</si>
  <si>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</si>
  <si>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</si>
  <si>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</si>
  <si>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</si>
  <si>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</si>
  <si>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</si>
  <si>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</si>
  <si>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</si>
  <si>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</si>
  <si>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</si>
  <si>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</si>
  <si>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</si>
  <si>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</si>
  <si>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</si>
  <si>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</si>
  <si>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</si>
  <si>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</si>
  <si>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</si>
  <si>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</si>
  <si>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</si>
  <si>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</si>
  <si>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</si>
  <si>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</si>
  <si>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</si>
  <si>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</si>
  <si>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</si>
  <si>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</si>
  <si>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</si>
  <si>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</si>
  <si>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</si>
  <si>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</si>
  <si>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</si>
  <si>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</si>
  <si>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</si>
  <si>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</si>
  <si>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</si>
  <si>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</si>
  <si>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</si>
  <si>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</si>
  <si>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</si>
  <si>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</si>
  <si>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</si>
  <si>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</si>
  <si>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</si>
  <si>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</si>
  <si>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</si>
  <si>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</si>
  <si>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</si>
  <si>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</si>
  <si>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</si>
  <si>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</si>
  <si>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</si>
  <si>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</si>
  <si>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</si>
  <si>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</si>
  <si>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</si>
  <si>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</si>
  <si>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</si>
  <si>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</si>
  <si>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</si>
  <si>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</si>
  <si>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</si>
  <si>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</si>
  <si>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</si>
  <si>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</si>
  <si>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</si>
  <si>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</si>
  <si>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</si>
  <si>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</si>
  <si>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</si>
  <si>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</si>
  <si>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</si>
  <si>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</si>
  <si>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</si>
  <si>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</si>
  <si>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</si>
  <si>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</si>
  <si>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</si>
  <si>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</si>
  <si>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</si>
  <si>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</si>
  <si>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</si>
  <si>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</si>
  <si>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</si>
  <si>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</si>
  <si>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</si>
  <si>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</si>
  <si>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</si>
  <si>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</si>
  <si>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</si>
  <si>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</si>
  <si>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</si>
  <si>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</si>
  <si>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</si>
  <si>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</si>
  <si>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</si>
  <si>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</si>
  <si>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</si>
  <si>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</si>
  <si>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</si>
  <si>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</si>
  <si>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</si>
  <si>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</si>
  <si>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</si>
  <si>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</si>
  <si>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</si>
  <si>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</si>
  <si>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</si>
  <si>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</si>
  <si>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</si>
  <si>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</si>
  <si>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</si>
  <si>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</si>
  <si>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</si>
  <si>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</si>
  <si>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</si>
  <si>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</si>
  <si>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</si>
  <si>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</si>
  <si>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</si>
  <si>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</si>
  <si>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</si>
  <si>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</si>
  <si>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</si>
  <si>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</si>
  <si>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</si>
  <si>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</si>
  <si>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</si>
  <si>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</si>
  <si>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</si>
  <si>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</si>
  <si>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</si>
  <si>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</si>
  <si>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</si>
  <si>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</si>
  <si>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</si>
  <si>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</si>
  <si>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</si>
  <si>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</si>
  <si>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</si>
  <si>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</si>
  <si>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</si>
  <si>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</si>
  <si>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</si>
  <si>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</si>
  <si>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</si>
  <si>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</si>
  <si>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</si>
  <si>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</si>
  <si>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</si>
  <si>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</si>
  <si>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</si>
  <si>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</si>
  <si>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</si>
  <si>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</si>
  <si>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</si>
  <si>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</si>
  <si>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</si>
  <si>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</si>
  <si>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</si>
  <si>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</si>
  <si>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</si>
  <si>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</si>
  <si>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</si>
  <si>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</si>
  <si>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</si>
  <si>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</si>
  <si>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</si>
  <si>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</si>
  <si>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</si>
  <si>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</si>
  <si>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</si>
  <si>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</si>
  <si>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</si>
  <si>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</si>
  <si>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</si>
  <si>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</si>
  <si>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</si>
  <si>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</si>
  <si>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</si>
  <si>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</si>
  <si>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</si>
  <si>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</si>
  <si>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</si>
  <si>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</si>
  <si>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</si>
  <si>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</si>
  <si>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</si>
  <si>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</si>
  <si>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</si>
  <si>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</si>
  <si>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</si>
  <si>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</si>
  <si>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</si>
  <si>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</si>
  <si>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</si>
  <si>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</si>
  <si>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</si>
  <si>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</si>
  <si>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</si>
  <si>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</si>
  <si>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</si>
  <si>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</si>
  <si>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</si>
  <si>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</si>
  <si>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</si>
  <si>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</si>
  <si>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</si>
  <si>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</si>
  <si>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</si>
  <si>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</si>
  <si>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</si>
  <si>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</si>
  <si>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</si>
  <si>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</si>
  <si>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</si>
  <si>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</si>
  <si>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</si>
  <si>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</si>
  <si>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</si>
  <si>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</si>
  <si>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</si>
  <si>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</si>
  <si>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</si>
  <si>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</si>
  <si>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</si>
  <si>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</si>
  <si>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</si>
  <si>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</si>
  <si>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</si>
  <si>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</si>
  <si>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</si>
  <si>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</si>
  <si>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</si>
  <si>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</si>
  <si>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</si>
  <si>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</si>
  <si>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</si>
  <si>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</si>
  <si>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</si>
  <si>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</si>
  <si>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</si>
  <si>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</si>
  <si>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</si>
  <si>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</si>
  <si>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</si>
  <si>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</si>
  <si>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</si>
  <si>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</si>
  <si>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</si>
  <si>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</si>
  <si>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</si>
  <si>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</si>
  <si>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</si>
  <si>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</si>
  <si>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</si>
  <si>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</si>
  <si>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</si>
  <si>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</si>
  <si>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</si>
  <si>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</si>
  <si>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</si>
  <si>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</si>
  <si>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</si>
  <si>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</si>
  <si>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</si>
  <si>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</si>
  <si>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</si>
  <si>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</si>
  <si>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</si>
  <si>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</si>
  <si>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</si>
  <si>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</si>
  <si>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</si>
  <si>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</si>
  <si>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</si>
  <si>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</si>
  <si>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</si>
  <si>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</si>
  <si>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</si>
  <si>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</si>
  <si>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</si>
  <si>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</si>
  <si>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</si>
  <si>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</si>
  <si>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</si>
  <si>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</si>
  <si>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</si>
  <si>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</si>
  <si>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</si>
  <si>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</si>
  <si>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</si>
  <si>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</si>
  <si>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</si>
  <si>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</si>
  <si>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</si>
  <si>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</si>
  <si>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</si>
  <si>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</si>
  <si>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</si>
  <si>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</si>
  <si>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</si>
  <si>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</si>
  <si>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</si>
  <si>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</si>
  <si>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</si>
  <si>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</si>
  <si>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</si>
  <si>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</si>
  <si>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</si>
  <si>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</si>
  <si>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</si>
  <si>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</si>
  <si>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</si>
  <si>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</si>
  <si>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</si>
  <si>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</si>
  <si>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</si>
  <si>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</si>
  <si>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</si>
  <si>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</si>
  <si>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</si>
  <si>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</si>
  <si>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</si>
  <si>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</si>
  <si>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</si>
  <si>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</si>
  <si>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</si>
  <si>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</si>
  <si>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</si>
  <si>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</si>
  <si>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</si>
  <si>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</si>
  <si>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</si>
  <si>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</si>
  <si>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</si>
  <si>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</si>
  <si>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</si>
  <si>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</si>
  <si>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</si>
  <si>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</si>
  <si>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</si>
  <si>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</si>
  <si>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</si>
  <si>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</si>
  <si>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</si>
  <si>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</si>
  <si>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</si>
  <si>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</si>
  <si>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</si>
  <si>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</si>
  <si>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</si>
  <si>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</si>
  <si>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</si>
  <si>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</si>
  <si>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</si>
  <si>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</si>
  <si>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</si>
  <si>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</si>
  <si>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</si>
  <si>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</si>
  <si>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</si>
  <si>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</si>
  <si>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</si>
  <si>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</si>
  <si>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</si>
  <si>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</si>
  <si>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</si>
  <si>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</si>
  <si>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</si>
  <si>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</si>
  <si>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</si>
  <si>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</si>
  <si>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</si>
  <si>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</si>
  <si>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</si>
  <si>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</si>
  <si>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</si>
  <si>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</si>
  <si>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</si>
  <si>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</si>
  <si>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</si>
  <si>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</si>
  <si>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</si>
  <si>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</si>
  <si>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</si>
  <si>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</si>
  <si>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</si>
  <si>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</si>
  <si>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</si>
  <si>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</si>
  <si>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</si>
  <si>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</si>
  <si>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</si>
  <si>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</si>
  <si>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</si>
  <si>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</si>
  <si>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</si>
  <si>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</si>
  <si>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</si>
  <si>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</si>
  <si>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</si>
  <si>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</si>
  <si>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</si>
  <si>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</si>
  <si>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</si>
  <si>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</si>
  <si>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</si>
  <si>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</si>
  <si>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</si>
  <si>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</si>
  <si>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</si>
  <si>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</si>
  <si>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</si>
  <si>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</si>
  <si>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</si>
  <si>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</si>
  <si>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</si>
  <si>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</si>
  <si>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</si>
  <si>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</si>
  <si>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</si>
  <si>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</si>
  <si>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</si>
  <si>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</si>
  <si>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</si>
  <si>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</si>
  <si>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</si>
  <si>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</si>
  <si>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</si>
  <si>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</si>
  <si>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</si>
  <si>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</si>
  <si>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</si>
  <si>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</si>
  <si>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</si>
  <si>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</si>
  <si>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</si>
  <si>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</si>
  <si>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</si>
  <si>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</si>
  <si>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</si>
  <si>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</si>
  <si>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</si>
  <si>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</si>
  <si>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</si>
  <si>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</si>
  <si>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</si>
  <si>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</si>
  <si>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</si>
  <si>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</si>
  <si>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</si>
  <si>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</si>
  <si>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</si>
  <si>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</si>
  <si>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</si>
  <si>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</si>
  <si>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</si>
  <si>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</si>
  <si>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</si>
  <si>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</si>
  <si>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</si>
  <si>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</si>
  <si>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</si>
  <si>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</si>
  <si>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</si>
  <si>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</si>
  <si>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</si>
  <si>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</si>
  <si>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</si>
  <si>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</si>
  <si>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</si>
  <si>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</si>
  <si>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</si>
  <si>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</si>
  <si>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</si>
  <si>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</si>
  <si>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</si>
  <si>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</si>
  <si>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</si>
  <si>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</si>
  <si>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</si>
  <si>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</si>
  <si>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</si>
  <si>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</si>
  <si>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</si>
  <si>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</si>
  <si>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</si>
  <si>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</si>
  <si>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</si>
  <si>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</si>
  <si>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</si>
  <si>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</si>
  <si>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</si>
  <si>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</si>
  <si>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</si>
  <si>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</si>
  <si>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</si>
  <si>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</si>
  <si>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</si>
  <si>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</si>
  <si>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</si>
  <si>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</si>
  <si>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</si>
  <si>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</si>
  <si>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</si>
  <si>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</si>
  <si>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</si>
  <si>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</si>
  <si>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</si>
  <si>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</si>
  <si>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</si>
  <si>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</si>
  <si>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</si>
  <si>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</si>
  <si>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</si>
  <si>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</si>
  <si>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</si>
  <si>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</si>
  <si>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</si>
  <si>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</si>
  <si>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</si>
  <si>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</si>
  <si>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</si>
  <si>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</si>
  <si>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</si>
  <si>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</si>
  <si>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</si>
  <si>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</si>
  <si>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</si>
  <si>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</si>
  <si>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</si>
  <si>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</si>
  <si>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</si>
  <si>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</si>
  <si>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</si>
  <si>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</si>
  <si>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</si>
  <si>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</si>
  <si>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</si>
  <si>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</si>
  <si>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</si>
  <si>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</si>
  <si>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</si>
  <si>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</si>
  <si>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</si>
  <si>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</si>
  <si>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</si>
  <si>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</si>
  <si>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</si>
  <si>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</si>
  <si>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</si>
  <si>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</si>
  <si>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</si>
  <si>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</si>
  <si>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</si>
  <si>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</si>
  <si>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</si>
  <si>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</si>
  <si>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</si>
  <si>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</si>
  <si>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</si>
  <si>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</si>
  <si>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</si>
  <si>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</si>
  <si>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</si>
  <si>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</si>
  <si>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</si>
  <si>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</si>
  <si>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</si>
  <si>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</si>
  <si>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</si>
  <si>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</si>
  <si>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</si>
  <si>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</si>
  <si>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</si>
  <si>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</si>
  <si>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</si>
  <si>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</si>
  <si>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</si>
  <si>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</si>
  <si>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</si>
  <si>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</si>
  <si>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</si>
  <si>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</si>
  <si>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</si>
  <si>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</si>
  <si>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</si>
  <si>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</si>
  <si>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</si>
  <si>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</si>
  <si>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</si>
  <si>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</si>
  <si>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</si>
  <si>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</si>
  <si>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</si>
  <si>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</si>
  <si>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</si>
  <si>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</si>
  <si>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</si>
  <si>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</si>
  <si>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</si>
  <si>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</si>
  <si>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</si>
  <si>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</si>
  <si>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</si>
  <si>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</si>
  <si>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</si>
  <si>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</si>
  <si>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</si>
  <si>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</si>
  <si>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</si>
  <si>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</si>
  <si>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</si>
  <si>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</si>
  <si>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</si>
  <si>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</si>
  <si>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</si>
  <si>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</si>
  <si>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</si>
  <si>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</si>
  <si>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</si>
  <si>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</si>
  <si>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</si>
  <si>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</si>
  <si>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</si>
  <si>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</si>
  <si>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</si>
  <si>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</si>
  <si>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</si>
  <si>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</si>
  <si>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</si>
  <si>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</si>
  <si>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</si>
  <si>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</si>
  <si>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</si>
  <si>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</si>
  <si>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</si>
  <si>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</si>
  <si>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</si>
  <si>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</si>
  <si>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</si>
  <si>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</si>
  <si>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</si>
  <si>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</si>
  <si>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</si>
  <si>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</si>
  <si>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</si>
  <si>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</si>
  <si>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</si>
  <si>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</si>
  <si>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</si>
  <si>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</si>
  <si>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</si>
  <si>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</si>
  <si>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</si>
  <si>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</si>
  <si>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</si>
  <si>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</si>
  <si>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</si>
  <si>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</si>
  <si>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</si>
  <si>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</si>
  <si>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</si>
  <si>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</si>
  <si>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</si>
  <si>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</si>
  <si>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</si>
  <si>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</si>
  <si>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</si>
  <si>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</si>
  <si>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</si>
  <si>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</si>
  <si>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</si>
  <si>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</si>
  <si>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</si>
  <si>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</si>
  <si>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</si>
  <si>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</si>
  <si>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</si>
  <si>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</si>
  <si>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</si>
  <si>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</si>
  <si>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</si>
  <si>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</si>
  <si>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</si>
  <si>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</si>
  <si>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</si>
  <si>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</si>
  <si>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</si>
  <si>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</si>
  <si>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</si>
  <si>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</si>
  <si>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</si>
  <si>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</si>
  <si>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</si>
  <si>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</si>
  <si>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</si>
  <si>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</si>
  <si>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</si>
  <si>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</si>
  <si>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</si>
  <si>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</si>
  <si>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</si>
  <si>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</si>
  <si>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</si>
  <si>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</si>
  <si>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</si>
  <si>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</si>
  <si>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</si>
  <si>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</si>
  <si>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</si>
  <si>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</si>
  <si>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</si>
  <si>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</si>
  <si>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</si>
  <si>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</si>
  <si>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</si>
  <si>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</si>
  <si>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</si>
  <si>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</si>
  <si>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</si>
  <si>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</si>
  <si>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</si>
  <si>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</si>
  <si>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</si>
  <si>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</si>
  <si>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</si>
  <si>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</si>
  <si>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</si>
  <si>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</si>
  <si>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</si>
  <si>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</si>
  <si>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</si>
  <si>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</si>
  <si>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</si>
  <si>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</si>
  <si>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</si>
  <si>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</si>
  <si>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</si>
  <si>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</si>
  <si>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</si>
  <si>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</si>
  <si>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</si>
  <si>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</si>
  <si>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</si>
  <si>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</si>
  <si>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</si>
  <si>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</si>
  <si>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</si>
  <si>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</si>
  <si>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</si>
  <si>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</si>
  <si>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</si>
  <si>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</si>
  <si>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</si>
  <si>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</si>
  <si>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</si>
  <si>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</si>
  <si>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</si>
  <si>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</si>
  <si>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</si>
  <si>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</si>
  <si>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</si>
  <si>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</si>
  <si>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</si>
  <si>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</si>
  <si>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</si>
  <si>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</si>
  <si>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</si>
  <si>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</si>
  <si>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</si>
  <si>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</si>
  <si>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</si>
  <si>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</si>
  <si>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</si>
  <si>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</si>
  <si>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</si>
  <si>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</si>
  <si>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</si>
  <si>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</si>
  <si>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</si>
  <si>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</si>
  <si>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</si>
  <si>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</si>
  <si>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</si>
  <si>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</si>
  <si>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</si>
  <si>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</si>
  <si>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</si>
  <si>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</si>
  <si>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</si>
  <si>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</si>
  <si>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</si>
  <si>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</si>
  <si>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</si>
  <si>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</si>
  <si>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</si>
  <si>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</si>
  <si>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</si>
  <si>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</si>
  <si>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</si>
  <si>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</si>
  <si>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</si>
  <si>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</si>
  <si>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</si>
  <si>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</si>
  <si>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</si>
  <si>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</si>
  <si>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</si>
  <si>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</si>
  <si>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</si>
  <si>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</si>
  <si>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</si>
  <si>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</si>
  <si>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</si>
  <si>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</si>
  <si>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</si>
  <si>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</si>
  <si>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</si>
  <si>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</si>
  <si>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</si>
  <si>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</si>
  <si>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</si>
  <si>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</si>
  <si>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</si>
  <si>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</si>
  <si>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</si>
  <si>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</si>
  <si>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</si>
  <si>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</si>
  <si>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</si>
  <si>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</si>
  <si>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</si>
  <si>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</si>
  <si>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</si>
  <si>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</si>
  <si>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</si>
  <si>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</si>
  <si>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</si>
  <si>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</si>
  <si>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</si>
  <si>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</si>
  <si>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</si>
  <si>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</si>
  <si>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</si>
  <si>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</si>
  <si>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</si>
  <si>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</si>
  <si>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</si>
  <si>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</si>
  <si>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</si>
  <si>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</si>
  <si>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</si>
  <si>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</si>
  <si>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</si>
  <si>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</si>
  <si>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</si>
  <si>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</si>
  <si>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</si>
  <si>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</si>
  <si>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</si>
  <si>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</si>
  <si>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</si>
  <si>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</si>
  <si>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</si>
  <si>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</si>
  <si>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</si>
  <si>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</si>
  <si>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</si>
  <si>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</si>
  <si>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</si>
  <si>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</si>
  <si>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</si>
  <si>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</si>
  <si>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</si>
  <si>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</si>
  <si>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</si>
  <si>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</si>
  <si>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</si>
  <si>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</si>
  <si>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</si>
  <si>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</si>
  <si>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</si>
  <si>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</si>
  <si>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</si>
  <si>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</si>
  <si>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</si>
  <si>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</si>
  <si>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</si>
  <si>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</si>
  <si>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</si>
  <si>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</si>
  <si>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</si>
  <si>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</si>
  <si>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</si>
  <si>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</si>
  <si>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</si>
  <si>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</si>
  <si>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</si>
  <si>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</si>
  <si>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</si>
  <si>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</si>
  <si>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</si>
  <si>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</si>
  <si>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</si>
  <si>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</si>
  <si>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</si>
  <si>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</si>
  <si>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</si>
  <si>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</si>
  <si>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</si>
  <si>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</si>
  <si>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</si>
  <si>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</si>
  <si>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</si>
  <si>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</si>
  <si>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</si>
  <si>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</si>
  <si>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</si>
  <si>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</si>
  <si>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</si>
  <si>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</si>
  <si>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</si>
  <si>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</si>
  <si>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</si>
  <si>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</si>
  <si>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</si>
  <si>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</si>
  <si>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</si>
  <si>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</si>
  <si>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</si>
  <si>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</si>
  <si>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</si>
  <si>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</si>
  <si>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</si>
  <si>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</si>
  <si>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</si>
  <si>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</si>
  <si>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</si>
  <si>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</si>
  <si>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</si>
  <si>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</si>
  <si>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</si>
  <si>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</si>
  <si>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</si>
  <si>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</si>
  <si>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</si>
  <si>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</si>
  <si>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</si>
  <si>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</si>
  <si>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</si>
  <si>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</si>
  <si>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</si>
  <si>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</si>
  <si>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</si>
  <si>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</si>
  <si>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</si>
  <si>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</si>
  <si>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</si>
  <si>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</si>
  <si>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</si>
  <si>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</si>
  <si>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</si>
  <si>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</si>
  <si>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</si>
  <si>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</si>
  <si>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</si>
  <si>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</si>
  <si>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</si>
  <si>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</si>
  <si>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</si>
  <si>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</si>
  <si>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</si>
  <si>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</si>
  <si>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</si>
  <si>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</si>
  <si>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</si>
  <si>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</si>
  <si>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</si>
  <si>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</si>
  <si>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</si>
  <si>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</si>
  <si>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</si>
  <si>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</si>
  <si>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</si>
  <si>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</si>
  <si>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</si>
  <si>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</si>
  <si>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</si>
  <si>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</si>
  <si>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</si>
  <si>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</si>
  <si>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</si>
  <si>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</si>
  <si>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</si>
  <si>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</si>
  <si>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</si>
  <si>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</si>
  <si>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</si>
  <si>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</si>
  <si>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</si>
  <si>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</si>
  <si>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</si>
  <si>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</si>
  <si>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</si>
  <si>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</si>
  <si>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</si>
  <si>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</si>
  <si>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</si>
  <si>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</si>
  <si>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</si>
  <si>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</si>
  <si>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</si>
  <si>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</si>
  <si>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</si>
  <si>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</si>
  <si>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</si>
  <si>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</si>
  <si>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</si>
  <si>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</si>
  <si>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</si>
  <si>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</si>
  <si>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</si>
  <si>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</si>
  <si>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</si>
  <si>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</si>
  <si>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</si>
  <si>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</si>
  <si>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</si>
  <si>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</si>
  <si>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</si>
  <si>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</si>
  <si>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</si>
  <si>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</si>
  <si>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</si>
  <si>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</si>
  <si>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</si>
  <si>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</si>
  <si>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</si>
  <si>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</si>
  <si>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</si>
  <si>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</si>
  <si>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</si>
  <si>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</si>
  <si>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</si>
  <si>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</si>
  <si>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</si>
  <si>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</si>
  <si>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</si>
  <si>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</si>
  <si>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</si>
  <si>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</si>
  <si>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</si>
  <si>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</si>
  <si>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</si>
  <si>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</si>
  <si>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</si>
  <si>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</si>
  <si>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</si>
  <si>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</si>
  <si>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</si>
  <si>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</si>
  <si>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</si>
  <si>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</si>
  <si>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</si>
  <si>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</si>
  <si>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</si>
  <si>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</si>
  <si>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</si>
  <si>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</si>
  <si>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</si>
  <si>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</si>
  <si>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</si>
  <si>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</si>
  <si>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</si>
  <si>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</si>
  <si>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</si>
  <si>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</si>
  <si>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</si>
  <si>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</si>
  <si>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</si>
  <si>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</si>
  <si>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</si>
  <si>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</si>
  <si>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</si>
  <si>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</si>
  <si>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</si>
  <si>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</si>
  <si>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</si>
  <si>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</si>
  <si>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</si>
  <si>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</si>
  <si>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</si>
  <si>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</si>
  <si>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</si>
  <si>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</si>
  <si>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</si>
  <si>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</si>
  <si>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</si>
  <si>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</si>
  <si>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</si>
  <si>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</si>
  <si>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</si>
  <si>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</si>
  <si>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</si>
  <si>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</si>
  <si>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</si>
  <si>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</si>
  <si>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</si>
  <si>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</si>
  <si>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</si>
  <si>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</si>
  <si>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</si>
  <si>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</si>
  <si>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</si>
  <si>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</si>
  <si>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</si>
  <si>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</si>
  <si>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</si>
  <si>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</si>
  <si>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</si>
  <si>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</si>
  <si>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</si>
  <si>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</si>
  <si>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</si>
  <si>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</si>
  <si>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</si>
  <si>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</si>
  <si>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</si>
  <si>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</si>
  <si>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</si>
  <si>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</si>
  <si>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</si>
  <si>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</si>
  <si>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</si>
  <si>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</si>
  <si>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</si>
  <si>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</si>
  <si>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</si>
  <si>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</si>
  <si>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</si>
  <si>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</si>
  <si>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</si>
  <si>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</si>
  <si>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</si>
  <si>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</si>
  <si>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</si>
  <si>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</si>
  <si>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</si>
  <si>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</si>
  <si>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</si>
  <si>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</si>
  <si>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</si>
  <si>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</si>
  <si>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</si>
  <si>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</si>
  <si>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</si>
  <si>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</si>
  <si>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</si>
  <si>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</si>
  <si>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</si>
  <si>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</si>
  <si>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</si>
  <si>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</si>
  <si>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</si>
  <si>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</si>
  <si>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</si>
  <si>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</si>
  <si>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</si>
  <si>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</si>
  <si>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</si>
  <si>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</si>
  <si>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</si>
  <si>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</si>
  <si>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</si>
  <si>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</si>
  <si>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</si>
  <si>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</si>
  <si>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</si>
  <si>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</si>
  <si>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</si>
  <si>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</si>
  <si>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</si>
  <si>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</si>
  <si>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</si>
  <si>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</si>
  <si>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</si>
  <si>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</si>
  <si>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</si>
  <si>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</si>
  <si>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</si>
  <si>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</si>
  <si>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</si>
  <si>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</si>
  <si>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</si>
  <si>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</si>
  <si>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</si>
  <si>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</si>
  <si>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</si>
  <si>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</si>
  <si>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</si>
  <si>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</si>
  <si>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</si>
  <si>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</si>
  <si>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</si>
  <si>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</si>
  <si>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</si>
  <si>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</si>
  <si>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</si>
  <si>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</si>
  <si>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</si>
  <si>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</si>
  <si>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</si>
  <si>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</si>
  <si>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</si>
  <si>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</si>
  <si>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</si>
  <si>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</si>
  <si>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</si>
  <si>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</si>
  <si>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</si>
  <si>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</si>
  <si>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</si>
  <si>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</si>
  <si>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</si>
  <si>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</si>
  <si>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</si>
  <si>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</si>
  <si>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</si>
  <si>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</si>
  <si>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</si>
  <si>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</si>
  <si>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</si>
  <si>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</si>
  <si>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</si>
  <si>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</si>
  <si>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</si>
  <si>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</si>
  <si>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</si>
  <si>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</si>
  <si>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</si>
  <si>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</si>
  <si>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</si>
  <si>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</si>
  <si>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</si>
  <si>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</si>
  <si>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</si>
  <si>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</si>
  <si>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</si>
  <si>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</si>
  <si>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</si>
  <si>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</si>
  <si>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</si>
  <si>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</si>
  <si>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</si>
  <si>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</si>
  <si>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</si>
  <si>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</si>
  <si>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</si>
  <si>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</si>
  <si>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</si>
  <si>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</si>
  <si>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</si>
  <si>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</si>
  <si>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</si>
  <si>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</si>
  <si>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</si>
  <si>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</si>
  <si>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</si>
  <si>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</si>
  <si>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</si>
  <si>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</si>
  <si>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</si>
  <si>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</si>
  <si>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</si>
  <si>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</si>
  <si>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</si>
  <si>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</si>
  <si>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</si>
  <si>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</si>
  <si>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</si>
  <si>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</si>
  <si>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</si>
  <si>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</si>
  <si>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</si>
  <si>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</si>
  <si>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</si>
  <si>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</si>
  <si>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</si>
  <si>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</si>
  <si>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</si>
  <si>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</si>
  <si>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</si>
  <si>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</si>
  <si>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</si>
  <si>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</si>
  <si>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</si>
  <si>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</si>
  <si>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</si>
  <si>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</si>
  <si>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</si>
  <si>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</si>
  <si>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</si>
  <si>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</si>
  <si>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</si>
  <si>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</si>
  <si>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</si>
  <si>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</si>
  <si>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</si>
  <si>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</si>
  <si>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</si>
  <si>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</si>
  <si>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</si>
  <si>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</si>
  <si>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</si>
  <si>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</si>
  <si>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</si>
  <si>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</si>
  <si>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</si>
  <si>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</si>
  <si>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</si>
  <si>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</si>
  <si>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</si>
  <si>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</si>
  <si>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</si>
  <si>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</si>
  <si>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</si>
  <si>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</si>
  <si>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</si>
  <si>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</si>
  <si>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</si>
  <si>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</si>
  <si>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</si>
  <si>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</si>
  <si>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</si>
  <si>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</si>
  <si>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</si>
  <si>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</si>
  <si>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</si>
  <si>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</si>
  <si>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</si>
  <si>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</si>
  <si>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</si>
  <si>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</si>
  <si>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</si>
  <si>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</si>
  <si>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</si>
  <si>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</si>
  <si>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</si>
  <si>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</si>
  <si>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</si>
  <si>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</si>
  <si>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</si>
  <si>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</si>
  <si>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</si>
  <si>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</si>
  <si>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</si>
  <si>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</si>
  <si>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</si>
  <si>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</si>
  <si>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</si>
  <si>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</si>
  <si>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</si>
  <si>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</si>
  <si>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</si>
  <si>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</si>
  <si>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</si>
  <si>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</si>
  <si>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</si>
  <si>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</si>
  <si>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</si>
  <si>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</si>
  <si>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</si>
  <si>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</si>
  <si>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</si>
  <si>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</si>
  <si>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</si>
  <si>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</si>
  <si>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</si>
  <si>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</si>
  <si>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</si>
  <si>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</si>
  <si>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</si>
  <si>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</si>
  <si>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</si>
  <si>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</si>
  <si>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</si>
  <si>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</si>
  <si>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</si>
  <si>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</si>
  <si>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</si>
  <si>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</si>
  <si>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</si>
  <si>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</si>
  <si>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</si>
  <si>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</si>
  <si>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</si>
  <si>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</si>
  <si>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</si>
  <si>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</si>
  <si>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</si>
  <si>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</si>
  <si>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</si>
  <si>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</si>
  <si>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</si>
  <si>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</si>
  <si>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</si>
  <si>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</si>
  <si>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</si>
  <si>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</si>
  <si>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</si>
  <si>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</si>
  <si>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</si>
  <si>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</si>
  <si>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</si>
  <si>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</si>
  <si>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</si>
  <si>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</si>
  <si>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</si>
  <si>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</si>
  <si>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</si>
  <si>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</si>
  <si>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</si>
  <si>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</si>
  <si>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</si>
  <si>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</si>
  <si>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</si>
  <si>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</si>
  <si>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</si>
  <si>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</si>
  <si>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</si>
  <si>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</si>
  <si>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</si>
  <si>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</si>
  <si>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</si>
  <si>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</si>
  <si>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</si>
  <si>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</si>
  <si>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</si>
  <si>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</si>
  <si>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</si>
  <si>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</si>
  <si>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</si>
  <si>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</si>
  <si>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</si>
  <si>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</si>
  <si>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</si>
  <si>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</si>
  <si>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</si>
  <si>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</si>
  <si>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</si>
  <si>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</si>
  <si>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</si>
  <si>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</si>
  <si>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</si>
  <si>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</si>
  <si>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</si>
  <si>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</si>
  <si>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</si>
  <si>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</si>
  <si>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</si>
  <si>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</si>
  <si>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</si>
  <si>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</si>
  <si>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</si>
  <si>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</si>
  <si>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</si>
  <si>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</si>
  <si>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</si>
  <si>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</si>
  <si>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</si>
  <si>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</si>
  <si>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</si>
  <si>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</si>
  <si>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</si>
  <si>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</si>
  <si>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</si>
  <si>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</si>
  <si>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</si>
  <si>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</si>
  <si>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</si>
  <si>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</si>
  <si>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</si>
  <si>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</si>
  <si>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</si>
  <si>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</si>
  <si>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</si>
  <si>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</si>
  <si>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</si>
  <si>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</si>
  <si>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</si>
  <si>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</si>
  <si>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</si>
  <si>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</si>
  <si>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</si>
  <si>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</si>
  <si>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</si>
  <si>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</si>
  <si>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</si>
  <si>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</si>
  <si>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</si>
  <si>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</si>
  <si>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</si>
  <si>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</si>
  <si>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</si>
  <si>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</si>
  <si>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</si>
  <si>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</si>
  <si>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</si>
  <si>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</si>
  <si>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</si>
  <si>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</si>
  <si>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</si>
  <si>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</si>
  <si>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</si>
  <si>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</si>
  <si>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</si>
  <si>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</si>
  <si>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</si>
  <si>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</si>
  <si>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</si>
  <si>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</si>
  <si>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</si>
  <si>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</si>
  <si>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</si>
  <si>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</si>
  <si>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</si>
  <si>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</si>
  <si>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</si>
  <si>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</si>
  <si>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</si>
  <si>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</si>
  <si>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</si>
  <si>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</si>
  <si>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</si>
  <si>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</si>
  <si>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</si>
  <si>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</si>
  <si>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</si>
  <si>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</si>
  <si>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</si>
  <si>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</si>
  <si>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</si>
  <si>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</si>
  <si>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</si>
  <si>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</si>
  <si>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</si>
  <si>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</si>
  <si>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</si>
  <si>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</si>
  <si>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</si>
  <si>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</si>
  <si>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</si>
  <si>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</si>
  <si>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</si>
  <si>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</si>
  <si>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</si>
  <si>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</si>
  <si>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</si>
  <si>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</si>
  <si>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</si>
  <si>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</si>
  <si>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</si>
  <si>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</si>
  <si>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</si>
  <si>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</si>
  <si>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</si>
  <si>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</si>
  <si>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</si>
  <si>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</si>
  <si>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</si>
  <si>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</si>
  <si>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</si>
  <si>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</si>
  <si>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</si>
  <si>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</si>
  <si>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</si>
  <si>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</si>
  <si>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</si>
  <si>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</si>
  <si>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</si>
  <si>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</si>
  <si>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</si>
  <si>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</si>
  <si>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</si>
  <si>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</si>
  <si>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</si>
  <si>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</si>
  <si>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</si>
  <si>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</si>
  <si>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</si>
  <si>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</si>
  <si>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</si>
  <si>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</si>
  <si>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</si>
  <si>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</si>
  <si>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</si>
  <si>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</si>
  <si>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</si>
  <si>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</si>
  <si>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</si>
  <si>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</si>
  <si>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</si>
  <si>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</si>
  <si>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</si>
  <si>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</si>
  <si>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</si>
  <si>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</si>
  <si>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</si>
  <si>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</si>
  <si>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</si>
  <si>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</si>
  <si>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</si>
  <si>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</si>
  <si>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</si>
  <si>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</si>
  <si>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</si>
  <si>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</si>
  <si>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</si>
  <si>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</si>
  <si>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</si>
  <si>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</si>
  <si>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</si>
  <si>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</si>
  <si>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</si>
  <si>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</si>
  <si>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</si>
  <si>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</si>
  <si>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</si>
  <si>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</si>
  <si>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</si>
  <si>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</si>
  <si>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</si>
  <si>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</si>
  <si>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</si>
  <si>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</si>
  <si>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</si>
  <si>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</si>
  <si>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</si>
  <si>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</si>
  <si>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</si>
  <si>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</si>
  <si>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</si>
  <si>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</si>
  <si>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</si>
  <si>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</si>
  <si>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</si>
  <si>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</si>
  <si>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</si>
  <si>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</si>
  <si>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</si>
  <si>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</si>
  <si>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</si>
  <si>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</si>
  <si>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</si>
  <si>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</si>
  <si>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</si>
  <si>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</si>
  <si>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</si>
  <si>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</si>
  <si>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</si>
  <si>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</si>
  <si>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</si>
  <si>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</si>
  <si>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</si>
  <si>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</si>
  <si>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</si>
  <si>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</si>
  <si>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</si>
  <si>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</si>
  <si>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</si>
  <si>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</si>
  <si>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</si>
  <si>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</si>
  <si>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</si>
  <si>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</si>
  <si>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</si>
  <si>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</si>
  <si>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</si>
  <si>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</si>
  <si>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</si>
  <si>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</si>
  <si>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</si>
  <si>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</si>
  <si>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</si>
  <si>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</si>
  <si>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</si>
  <si>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</si>
  <si>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</si>
  <si>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</si>
  <si>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</si>
  <si>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</si>
  <si>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</si>
  <si>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</si>
  <si>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</si>
  <si>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</si>
  <si>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</si>
  <si>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</si>
  <si>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</si>
  <si>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</si>
  <si>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</si>
  <si>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</si>
  <si>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</si>
  <si>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</si>
  <si>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</si>
  <si>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</si>
  <si>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</si>
  <si>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</si>
  <si>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</si>
  <si>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</si>
  <si>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</si>
  <si>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</si>
  <si>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</si>
  <si>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</si>
  <si>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</si>
  <si>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</si>
  <si>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</si>
  <si>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</si>
  <si>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</si>
  <si>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</si>
  <si>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</si>
  <si>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</si>
  <si>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</si>
  <si>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</si>
  <si>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</si>
  <si>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</si>
  <si>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</si>
  <si>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</si>
  <si>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</si>
  <si>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</si>
  <si>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</si>
  <si>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</si>
  <si>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</si>
  <si>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</si>
  <si>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</si>
  <si>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</si>
  <si>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</si>
  <si>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</si>
  <si>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</si>
  <si>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</si>
  <si>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</si>
  <si>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</si>
  <si>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</si>
  <si>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</si>
  <si>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</si>
  <si>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</si>
  <si>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</si>
  <si>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</si>
  <si>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</si>
  <si>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</si>
  <si>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</si>
  <si>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</si>
  <si>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</si>
  <si>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</si>
  <si>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</si>
  <si>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</si>
  <si>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</si>
  <si>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</si>
  <si>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</si>
  <si>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</si>
  <si>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</si>
  <si>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</si>
  <si>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</si>
  <si>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</si>
  <si>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</si>
  <si>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</si>
  <si>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</si>
  <si>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</si>
  <si>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</si>
  <si>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</si>
  <si>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</si>
  <si>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</si>
  <si>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</si>
  <si>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</si>
  <si>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</si>
  <si>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</si>
  <si>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</si>
  <si>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</si>
  <si>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</si>
  <si>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</si>
  <si>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</si>
  <si>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</si>
  <si>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</si>
  <si>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</si>
  <si>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</si>
  <si>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</si>
  <si>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</si>
  <si>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</si>
  <si>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</si>
  <si>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</si>
  <si>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</si>
  <si>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</si>
  <si>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</si>
  <si>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</si>
  <si>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</si>
  <si>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</si>
  <si>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</si>
  <si>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</si>
  <si>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</si>
  <si>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</si>
  <si>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</si>
  <si>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</si>
  <si>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</si>
  <si>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</si>
  <si>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</si>
  <si>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</si>
  <si>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</si>
  <si>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</si>
  <si>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</si>
  <si>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</si>
  <si>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</si>
  <si>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</si>
  <si>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</si>
  <si>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</si>
  <si>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</si>
  <si>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</si>
  <si>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</si>
  <si>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</si>
  <si>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</si>
  <si>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</si>
  <si>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</si>
  <si>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</si>
  <si>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</si>
  <si>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</si>
  <si>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</si>
  <si>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</si>
  <si>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</si>
  <si>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</si>
  <si>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</si>
  <si>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</si>
  <si>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</si>
  <si>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</si>
  <si>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</si>
  <si>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</si>
  <si>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</si>
  <si>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</si>
  <si>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</si>
  <si>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</si>
  <si>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</si>
  <si>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</si>
  <si>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</si>
  <si>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</si>
  <si>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</si>
  <si>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</si>
  <si>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</si>
  <si>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</si>
  <si>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</si>
  <si>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</si>
  <si>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</si>
  <si>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</si>
  <si>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</si>
  <si>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</si>
  <si>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</si>
  <si>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</si>
  <si>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</si>
  <si>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</si>
  <si>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</si>
  <si>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</si>
  <si>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</si>
  <si>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</si>
  <si>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</si>
  <si>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</si>
  <si>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</si>
  <si>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</si>
  <si>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</si>
  <si>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</si>
  <si>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</si>
  <si>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</si>
  <si>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</si>
  <si>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</si>
  <si>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</si>
  <si>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</si>
  <si>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</si>
  <si>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</si>
  <si>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</si>
  <si>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</si>
  <si>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</si>
  <si>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</si>
  <si>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</si>
  <si>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</si>
  <si>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</si>
  <si>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</si>
  <si>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</si>
  <si>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</si>
  <si>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</si>
  <si>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</si>
  <si>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</si>
  <si>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</si>
  <si>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</si>
  <si>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</si>
  <si>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</si>
  <si>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</si>
  <si>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</si>
  <si>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</si>
  <si>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</si>
  <si>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</si>
  <si>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</si>
  <si>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</si>
  <si>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</si>
  <si>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</si>
  <si>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</si>
  <si>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</si>
  <si>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</si>
  <si>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</si>
  <si>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</si>
  <si>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</si>
  <si>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</si>
  <si>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</si>
  <si>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</si>
  <si>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</si>
  <si>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</si>
  <si>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</si>
  <si>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</si>
  <si>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</si>
  <si>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</si>
  <si>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</si>
  <si>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</si>
  <si>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</si>
  <si>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</si>
  <si>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</si>
  <si>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</si>
  <si>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</si>
  <si>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</si>
  <si>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</si>
  <si>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</si>
  <si>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</si>
  <si>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</si>
  <si>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</si>
  <si>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</si>
  <si>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</si>
  <si>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</si>
  <si>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</si>
  <si>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</si>
  <si>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</si>
  <si>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</si>
  <si>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</si>
  <si>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</si>
  <si>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</si>
  <si>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</si>
  <si>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</si>
  <si>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</si>
  <si>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</si>
  <si>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</si>
  <si>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</si>
  <si>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</si>
  <si>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</si>
  <si>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</si>
  <si>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</si>
  <si>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</si>
  <si>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</si>
  <si>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</si>
  <si>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</si>
  <si>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</si>
  <si>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</si>
  <si>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</si>
  <si>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</si>
  <si>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</si>
  <si>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</si>
  <si>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</si>
  <si>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</si>
  <si>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</si>
  <si>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</si>
  <si>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</si>
  <si>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</si>
  <si>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</si>
  <si>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</si>
  <si>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</si>
  <si>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</si>
  <si>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</si>
  <si>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</si>
  <si>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</si>
  <si>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</si>
  <si>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</si>
  <si>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</si>
  <si>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</si>
  <si>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</si>
  <si>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</si>
  <si>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</si>
  <si>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</si>
  <si>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</si>
  <si>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</si>
  <si>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</si>
  <si>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</si>
  <si>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</si>
  <si>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</si>
  <si>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</si>
  <si>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</si>
  <si>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</si>
  <si>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</si>
  <si>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</si>
  <si>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</si>
  <si>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</si>
  <si>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</si>
  <si>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</si>
  <si>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</si>
  <si>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</si>
  <si>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</si>
  <si>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</si>
  <si>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</si>
  <si>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</si>
  <si>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</si>
  <si>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</si>
  <si>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</si>
  <si>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</si>
  <si>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</si>
  <si>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</si>
  <si>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</si>
  <si>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</si>
  <si>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</si>
  <si>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</si>
  <si>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</si>
  <si>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</si>
  <si>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</si>
  <si>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</si>
  <si>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</si>
  <si>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</si>
  <si>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</si>
  <si>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</si>
  <si>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</si>
  <si>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</si>
  <si>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</si>
  <si>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</si>
  <si>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</si>
  <si>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</si>
  <si>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</si>
  <si>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</si>
  <si>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</si>
  <si>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</si>
  <si>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</si>
  <si>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</si>
  <si>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</si>
  <si>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</si>
  <si>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</si>
  <si>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</si>
  <si>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</si>
  <si>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</si>
  <si>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</si>
  <si>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</si>
  <si>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</si>
  <si>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</si>
  <si>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</si>
  <si>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</si>
  <si>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</si>
  <si>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</si>
  <si>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</si>
  <si>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</si>
  <si>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</si>
  <si>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</si>
  <si>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</si>
  <si>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</si>
  <si>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</si>
  <si>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</si>
  <si>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</si>
  <si>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</si>
  <si>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</si>
  <si>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</si>
  <si>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</si>
  <si>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</si>
  <si>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</si>
  <si>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</si>
  <si>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</si>
  <si>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</si>
  <si>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</si>
  <si>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</si>
  <si>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</si>
  <si>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</si>
  <si>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</si>
  <si>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</si>
  <si>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</si>
  <si>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</si>
  <si>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</si>
  <si>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</si>
  <si>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</si>
  <si>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</si>
  <si>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</si>
  <si>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</si>
  <si>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</si>
  <si>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</si>
  <si>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</si>
  <si>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</si>
  <si>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</si>
  <si>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</si>
  <si>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</si>
  <si>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</si>
  <si>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</si>
  <si>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</si>
  <si>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</si>
  <si>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</si>
  <si>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</si>
  <si>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</si>
  <si>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</si>
  <si>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</si>
  <si>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</si>
  <si>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</si>
  <si>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</si>
  <si>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</si>
  <si>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</si>
  <si>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</si>
  <si>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</si>
  <si>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</si>
  <si>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</si>
  <si>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</si>
  <si>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</si>
  <si>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</si>
  <si>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</si>
  <si>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</si>
  <si>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</si>
  <si>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</si>
  <si>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</si>
  <si>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</si>
  <si>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</si>
  <si>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</si>
  <si>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</si>
  <si>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</si>
  <si>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</si>
  <si>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</si>
  <si>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</si>
  <si>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</si>
  <si>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</si>
  <si>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</si>
  <si>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</si>
  <si>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</si>
  <si>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</si>
  <si>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</si>
  <si>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</si>
  <si>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</si>
  <si>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</si>
  <si>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</si>
  <si>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</si>
  <si>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</si>
  <si>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</si>
  <si>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</si>
  <si>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</si>
  <si>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</si>
  <si>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</si>
  <si>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</si>
  <si>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</si>
  <si>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</si>
  <si>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</si>
  <si>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</si>
  <si>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</si>
  <si>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</si>
  <si>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</si>
  <si>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</si>
  <si>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</si>
  <si>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</si>
  <si>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</si>
  <si>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</si>
  <si>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</si>
  <si>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</si>
  <si>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</si>
  <si>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</si>
  <si>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</si>
  <si>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</si>
  <si>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</si>
  <si>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</si>
  <si>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</si>
  <si>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</si>
  <si>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</si>
  <si>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</si>
  <si>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</si>
  <si>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</si>
  <si>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</si>
  <si>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</si>
  <si>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</si>
  <si>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</si>
  <si>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</si>
  <si>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</si>
  <si>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</si>
  <si>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</si>
  <si>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</si>
  <si>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</si>
  <si>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</si>
  <si>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</si>
  <si>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</si>
  <si>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</si>
  <si>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</si>
  <si>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</si>
  <si>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</si>
  <si>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</si>
  <si>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</si>
  <si>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</si>
  <si>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</si>
  <si>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</si>
  <si>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</si>
  <si>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</si>
  <si>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</si>
  <si>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</si>
  <si>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</si>
  <si>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</si>
  <si>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</si>
  <si>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</si>
  <si>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</si>
  <si>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</si>
  <si>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</si>
  <si>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</si>
  <si>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</si>
  <si>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</si>
  <si>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</si>
  <si>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</si>
  <si>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</si>
  <si>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</si>
  <si>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</si>
  <si>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</si>
  <si>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</si>
  <si>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</si>
  <si>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</si>
  <si>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</si>
  <si>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</si>
  <si>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</si>
  <si>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</si>
  <si>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</si>
  <si>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</si>
  <si>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</si>
  <si>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</si>
  <si>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</si>
  <si>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</si>
  <si>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</si>
  <si>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</si>
  <si>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</si>
  <si>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</si>
  <si>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</si>
  <si>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</si>
  <si>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</si>
  <si>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</si>
  <si>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</si>
  <si>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</si>
  <si>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</si>
  <si>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</si>
  <si>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</si>
  <si>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</si>
  <si>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</si>
  <si>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</si>
  <si>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</si>
  <si>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</si>
  <si>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</si>
  <si>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</si>
  <si>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</si>
  <si>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</si>
  <si>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</si>
  <si>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</si>
  <si>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</si>
  <si>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</si>
  <si>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</si>
  <si>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</si>
  <si>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</si>
  <si>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</si>
  <si>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</si>
  <si>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</si>
  <si>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</si>
  <si>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</si>
  <si>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</si>
  <si>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</si>
  <si>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</si>
  <si>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</si>
  <si>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</si>
  <si>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</si>
  <si>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</si>
  <si>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</si>
  <si>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</si>
  <si>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</si>
  <si>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</si>
  <si>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</si>
  <si>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</si>
  <si>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</si>
  <si>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</si>
  <si>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</si>
  <si>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</si>
  <si>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</si>
  <si>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</si>
  <si>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</si>
  <si>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</si>
  <si>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</si>
  <si>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</si>
  <si>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</si>
  <si>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</si>
  <si>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</si>
  <si>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</si>
  <si>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</si>
  <si>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</si>
  <si>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</si>
  <si>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</si>
  <si>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</si>
  <si>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</si>
  <si>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</si>
  <si>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</si>
  <si>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</si>
  <si>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</si>
  <si>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</si>
  <si>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</si>
  <si>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</si>
  <si>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</si>
  <si>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</si>
  <si>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</si>
  <si>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</si>
  <si>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</si>
  <si>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</si>
  <si>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</si>
  <si>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</si>
  <si>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</si>
  <si>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</si>
  <si>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</si>
  <si>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</si>
  <si>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</si>
  <si>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</si>
  <si>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</si>
  <si>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</si>
  <si>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</si>
  <si>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</si>
  <si>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</si>
  <si>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</si>
  <si>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</si>
  <si>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</si>
  <si>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</si>
  <si>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</si>
  <si>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</si>
  <si>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</si>
  <si>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</si>
  <si>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</si>
  <si>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</si>
  <si>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</si>
  <si>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</si>
  <si>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</si>
  <si>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</si>
  <si>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</si>
  <si>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</si>
  <si>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</si>
  <si>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</si>
  <si>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</si>
  <si>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</si>
  <si>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</si>
  <si>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</si>
  <si>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</si>
  <si>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</si>
  <si>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</si>
  <si>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</si>
  <si>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</si>
  <si>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</si>
  <si>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</si>
  <si>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</si>
  <si>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</si>
  <si>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</si>
  <si>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</si>
  <si>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</si>
  <si>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</si>
  <si>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</si>
  <si>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</si>
  <si>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</si>
  <si>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</si>
  <si>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</si>
  <si>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</si>
  <si>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</si>
  <si>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</si>
  <si>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</si>
  <si>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</si>
  <si>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</si>
  <si>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</si>
  <si>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</si>
  <si>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</si>
  <si>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</si>
  <si>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</si>
  <si>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</si>
  <si>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</si>
  <si>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</si>
  <si>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</si>
  <si>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</si>
  <si>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</si>
  <si>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</si>
  <si>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</si>
  <si>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</si>
  <si>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</si>
  <si>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</si>
  <si>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</si>
  <si>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</si>
  <si>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</si>
  <si>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</si>
  <si>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</si>
  <si>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</si>
  <si>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</si>
  <si>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</si>
  <si>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</si>
  <si>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</si>
  <si>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</si>
  <si>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</si>
  <si>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</si>
  <si>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</si>
  <si>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</si>
  <si>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</si>
  <si>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</si>
  <si>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</si>
  <si>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</si>
  <si>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</si>
  <si>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</si>
  <si>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</si>
  <si>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</si>
  <si>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</si>
  <si>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</si>
  <si>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</si>
  <si>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</si>
  <si>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</si>
  <si>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</si>
  <si>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</si>
  <si>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</si>
  <si>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</si>
  <si>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</si>
  <si>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</si>
  <si>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</si>
  <si>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</si>
  <si>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</si>
  <si>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</si>
  <si>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</si>
  <si>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</si>
  <si>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</si>
  <si>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</si>
  <si>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</si>
  <si>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</si>
  <si>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</si>
  <si>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</si>
  <si>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</si>
  <si>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</si>
  <si>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</si>
  <si>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</si>
  <si>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</si>
  <si>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</si>
  <si>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</si>
  <si>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</si>
  <si>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</si>
  <si>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</si>
  <si>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</si>
  <si>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</si>
  <si>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</si>
  <si>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</si>
  <si>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</si>
  <si>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</si>
  <si>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</si>
  <si>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</si>
  <si>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</si>
  <si>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</si>
  <si>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</si>
  <si>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</si>
  <si>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</si>
  <si>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</si>
  <si>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</si>
  <si>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</si>
  <si>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</si>
  <si>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</si>
  <si>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</si>
  <si>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</si>
  <si>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</si>
  <si>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</si>
  <si>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</si>
  <si>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</si>
  <si>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</si>
  <si>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</si>
  <si>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</si>
  <si>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</si>
  <si>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</si>
  <si>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</si>
  <si>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</si>
  <si>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</si>
  <si>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</si>
  <si>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</si>
  <si>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</si>
  <si>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</si>
  <si>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</si>
  <si>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</si>
  <si>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</si>
  <si>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</si>
  <si>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</si>
  <si>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</si>
  <si>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</si>
  <si>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</si>
  <si>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</si>
  <si>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</si>
  <si>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</si>
  <si>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</si>
  <si>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</si>
  <si>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</si>
  <si>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</si>
  <si>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</si>
  <si>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</si>
  <si>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</si>
  <si>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</si>
  <si>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</si>
  <si>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</si>
  <si>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</si>
  <si>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</si>
  <si>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</si>
  <si>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</si>
  <si>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</si>
  <si>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</si>
  <si>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</si>
  <si>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</si>
  <si>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</si>
  <si>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</si>
  <si>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</si>
  <si>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</si>
  <si>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</si>
  <si>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</si>
  <si>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</si>
  <si>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</si>
  <si>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</si>
  <si>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</si>
  <si>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</si>
  <si>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</si>
  <si>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</si>
  <si>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</si>
  <si>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</si>
  <si>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</si>
  <si>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</si>
  <si>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</si>
  <si>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</si>
  <si>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</si>
  <si>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</si>
  <si>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</si>
  <si>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</si>
  <si>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</si>
  <si>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</si>
  <si>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</si>
  <si>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</si>
  <si>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</si>
  <si>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</si>
  <si>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</si>
  <si>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</si>
  <si>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</si>
  <si>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</si>
  <si>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PENDENTE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</si>
  <si>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</si>
  <si>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</si>
  <si>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</si>
  <si>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</si>
  <si>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</si>
  <si>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</si>
  <si>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</si>
  <si>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</si>
  <si>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</si>
  <si>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</si>
  <si>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</si>
  <si>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</si>
  <si>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</si>
  <si>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</si>
  <si>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</si>
  <si>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</si>
  <si>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</si>
  <si>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</si>
  <si>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</si>
  <si>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</si>
  <si>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</si>
  <si>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</si>
  <si>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</si>
  <si>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</si>
  <si>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</si>
  <si>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</si>
  <si>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</si>
  <si>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</si>
  <si>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</si>
  <si>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</si>
  <si>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</si>
  <si>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</si>
  <si>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</si>
  <si>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</si>
  <si>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</si>
  <si>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</si>
  <si>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</si>
  <si>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</si>
  <si>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</si>
  <si>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</si>
  <si>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</si>
  <si>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</si>
  <si>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</si>
  <si>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</si>
  <si>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</si>
  <si>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</si>
  <si>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</si>
  <si>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</si>
  <si>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</si>
  <si>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</si>
  <si>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</si>
  <si>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</si>
  <si>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</si>
  <si>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</si>
  <si>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</si>
  <si>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</si>
  <si>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</si>
  <si>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</si>
  <si>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</si>
  <si>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</si>
  <si>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</si>
  <si>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</si>
  <si>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</si>
  <si>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</si>
  <si>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</si>
  <si>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</si>
  <si>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</si>
  <si>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</si>
  <si>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</si>
  <si>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</si>
  <si>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</si>
  <si>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</si>
  <si>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</si>
  <si>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</si>
  <si>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</si>
  <si>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</si>
  <si>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</si>
  <si>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</si>
  <si>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</si>
  <si>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</si>
  <si>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</si>
  <si>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</si>
  <si>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</si>
  <si>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</si>
  <si>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</si>
  <si>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</si>
  <si>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</si>
  <si>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</si>
  <si>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</si>
  <si>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</si>
  <si>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</si>
  <si>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</si>
  <si>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</si>
  <si>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</si>
  <si>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</si>
  <si>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</si>
  <si>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</si>
  <si>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</si>
  <si>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</si>
  <si>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</si>
  <si>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</si>
  <si>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</si>
  <si>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</si>
  <si>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</si>
  <si>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</si>
  <si>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</si>
  <si>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</si>
  <si>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</si>
  <si>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</si>
  <si>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</si>
  <si>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</si>
  <si>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</si>
  <si>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</si>
  <si>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</si>
  <si>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</si>
  <si>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</si>
  <si>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</si>
  <si>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</si>
  <si>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</si>
  <si>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</si>
  <si>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</si>
  <si>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</si>
  <si>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</si>
  <si>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</si>
  <si>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</si>
  <si>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</si>
  <si>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</si>
  <si>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</si>
  <si>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</si>
  <si>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</si>
  <si>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</si>
  <si>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</si>
  <si>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>NÃO TEM DIREITO ATENDIMENTO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</si>
  <si>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</si>
  <si>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</si>
  <si>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</si>
  <si>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</si>
  <si>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</si>
  <si>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</si>
  <si>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</si>
  <si>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</si>
  <si>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</si>
  <si>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</si>
  <si>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</si>
  <si>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</si>
  <si>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</si>
  <si>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</si>
  <si>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</si>
  <si>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</si>
  <si>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</si>
  <si>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</si>
  <si>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</si>
  <si>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</si>
  <si>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</si>
  <si>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</si>
  <si>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</si>
  <si>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</si>
  <si>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</si>
  <si>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</si>
  <si>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</si>
  <si>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</si>
  <si>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</si>
  <si>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</si>
  <si>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</si>
  <si>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</si>
  <si>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</si>
  <si>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</si>
  <si>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</si>
  <si>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</si>
  <si>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</si>
  <si>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</si>
  <si>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</si>
  <si>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</si>
  <si>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</si>
  <si>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</si>
  <si>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</si>
  <si>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</si>
  <si>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</si>
  <si>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</si>
  <si>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</si>
  <si>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</si>
  <si>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</si>
  <si>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</si>
  <si>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</si>
  <si>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</si>
  <si>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</si>
  <si>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</si>
  <si>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</si>
  <si>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</si>
  <si>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</si>
  <si>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</si>
  <si>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</si>
  <si>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</si>
  <si>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</si>
  <si>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</si>
  <si>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</si>
  <si>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</si>
  <si>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</si>
  <si>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</si>
  <si>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</si>
  <si>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</si>
  <si>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</si>
  <si>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</si>
  <si>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</si>
  <si>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</si>
  <si>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</si>
  <si>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</si>
  <si>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</si>
  <si>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</si>
  <si>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</si>
  <si>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</si>
  <si>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</si>
  <si>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</si>
  <si>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</si>
  <si>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</si>
  <si>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</si>
  <si>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</si>
  <si>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</si>
  <si>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</si>
  <si>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</si>
  <si>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</si>
  <si>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</si>
  <si>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</si>
  <si>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</si>
  <si>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</si>
  <si>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</si>
  <si>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</si>
  <si>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</si>
  <si>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</si>
  <si>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</si>
  <si>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</si>
  <si>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</si>
  <si>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</si>
  <si>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</si>
  <si>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</si>
  <si>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</si>
  <si>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</si>
  <si>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</si>
  <si>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</si>
  <si>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</si>
  <si>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</si>
  <si>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</si>
  <si>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</si>
  <si>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</si>
  <si>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</si>
  <si>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</si>
  <si>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</si>
  <si>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</si>
  <si>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</si>
  <si>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</si>
  <si>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</si>
  <si>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</si>
  <si>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</si>
  <si>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</si>
  <si>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</si>
  <si>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</si>
  <si>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</si>
  <si>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</si>
  <si>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</si>
  <si>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</si>
  <si>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</si>
  <si>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</si>
  <si>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</si>
  <si>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</si>
  <si>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</si>
  <si>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</si>
  <si>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</si>
  <si>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</si>
  <si>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</si>
  <si>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</si>
  <si>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</si>
  <si>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</si>
  <si>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</si>
  <si>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</si>
  <si>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</si>
  <si>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</si>
  <si>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</si>
  <si>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</si>
  <si>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</si>
  <si>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</si>
  <si>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</si>
  <si>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</si>
  <si>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</si>
  <si>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</si>
  <si>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</si>
  <si>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</si>
  <si>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</si>
  <si>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</si>
  <si>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</si>
  <si>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</si>
  <si>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</si>
  <si>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</si>
  <si>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</si>
  <si>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</si>
  <si>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</si>
  <si>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</si>
  <si>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</si>
  <si>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</si>
  <si>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</si>
  <si>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</si>
  <si>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</si>
  <si>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</si>
  <si>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</si>
  <si>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</si>
  <si>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</si>
  <si>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</si>
  <si>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</si>
  <si>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</si>
  <si>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</si>
  <si>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</si>
  <si>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</si>
  <si>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</si>
  <si>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</si>
  <si>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</si>
  <si>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</si>
  <si>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</si>
  <si>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</si>
  <si>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</si>
  <si>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</si>
  <si>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</si>
  <si>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</si>
  <si>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</si>
  <si>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</si>
  <si>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</si>
  <si>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</si>
  <si>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</si>
  <si>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</si>
  <si>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</si>
  <si>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</si>
  <si>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</si>
  <si>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</si>
  <si>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</si>
  <si>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</si>
  <si>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</si>
  <si>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</si>
  <si>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</si>
  <si>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</si>
  <si>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</si>
  <si>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</si>
  <si>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</si>
  <si>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</si>
  <si>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</si>
  <si>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</si>
  <si>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</si>
  <si>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</si>
  <si>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</si>
  <si>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</si>
  <si>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</si>
  <si>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</si>
  <si>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</si>
  <si>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</si>
  <si>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</si>
  <si>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</si>
  <si>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</si>
  <si>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</si>
  <si>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</si>
  <si>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</si>
  <si>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</si>
  <si>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</si>
  <si>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</si>
  <si>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</si>
  <si>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</si>
  <si>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</si>
  <si>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</si>
  <si>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</si>
  <si>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</si>
  <si>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</si>
  <si>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</si>
  <si>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</si>
  <si>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</si>
  <si>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</si>
  <si>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</si>
  <si>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</si>
  <si>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</si>
  <si>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</si>
  <si>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</si>
  <si>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</si>
  <si>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</si>
  <si>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</si>
  <si>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</si>
  <si>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</si>
  <si>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</si>
  <si>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</si>
  <si>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</si>
  <si>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</si>
  <si>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</si>
  <si>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</si>
  <si>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</si>
  <si>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</si>
  <si>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</si>
  <si>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</si>
  <si>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</si>
  <si>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</si>
  <si>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</si>
  <si>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</si>
  <si>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</si>
  <si>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</si>
  <si>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</si>
  <si>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</si>
  <si>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</si>
  <si>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</si>
  <si>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</si>
  <si>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</si>
  <si>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</si>
  <si>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</si>
  <si>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</si>
  <si>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</si>
  <si>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</si>
  <si>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</si>
  <si>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</si>
  <si>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</si>
  <si>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</si>
  <si>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</si>
  <si>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</si>
  <si>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</si>
  <si>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</si>
  <si>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</si>
  <si>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</si>
  <si>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</si>
  <si>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</si>
  <si>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</si>
  <si>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</si>
  <si>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</si>
  <si>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</si>
  <si>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</si>
  <si>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</si>
  <si>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</si>
  <si>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</si>
  <si>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</si>
  <si>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</si>
  <si>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</si>
  <si>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</si>
  <si>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</si>
  <si>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</si>
  <si>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</si>
  <si>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</si>
  <si>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</si>
  <si>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</si>
  <si>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</si>
  <si>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</si>
  <si>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</si>
  <si>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</si>
  <si>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</si>
  <si>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</si>
  <si>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</si>
  <si>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</si>
  <si>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</si>
  <si>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</si>
  <si>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</si>
  <si>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</si>
  <si>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</si>
  <si>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</si>
  <si>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</si>
  <si>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</si>
  <si>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</si>
  <si>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</si>
  <si>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</si>
  <si>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</si>
  <si>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</si>
  <si>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</si>
  <si>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</si>
  <si>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</si>
  <si>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</si>
  <si>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</si>
  <si>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</si>
  <si>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</si>
  <si>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</si>
  <si>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</si>
  <si>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</si>
  <si>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</si>
  <si>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</si>
  <si>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</si>
  <si>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</si>
  <si>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</si>
  <si>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</si>
  <si>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</si>
  <si>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</si>
  <si>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</si>
  <si>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</si>
  <si>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</si>
  <si>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</si>
  <si>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</si>
  <si>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</si>
  <si>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</si>
  <si>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</si>
  <si>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</si>
  <si>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</si>
  <si>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</si>
  <si>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</si>
  <si>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</si>
  <si>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</si>
  <si>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</si>
  <si>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</si>
  <si>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</si>
  <si>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</si>
  <si>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</si>
  <si>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</si>
  <si>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</si>
  <si>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</si>
  <si>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</si>
  <si>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</si>
  <si>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</si>
  <si>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</si>
  <si>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</si>
  <si>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</si>
  <si>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</si>
  <si>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</si>
  <si>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</si>
  <si>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</si>
  <si>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</si>
  <si>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</si>
  <si>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</si>
  <si>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</si>
  <si>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</si>
  <si>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</si>
  <si>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</si>
  <si>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</si>
  <si>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</si>
  <si>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</si>
  <si>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</si>
  <si>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</si>
  <si>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</si>
  <si>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</si>
  <si>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</si>
  <si>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</si>
  <si>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</si>
  <si>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</si>
  <si>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</si>
  <si>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</si>
  <si>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</si>
  <si>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</si>
  <si>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</si>
  <si>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</si>
  <si>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</si>
  <si>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</si>
  <si>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</si>
  <si>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</si>
  <si>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</si>
  <si>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</si>
  <si>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</si>
  <si>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</si>
  <si>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</si>
  <si>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</si>
  <si>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</si>
  <si>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</si>
  <si>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</si>
  <si>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</si>
  <si>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</si>
  <si>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</si>
  <si>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</si>
  <si>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</si>
  <si>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</si>
  <si>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</si>
  <si>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</si>
  <si>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</si>
  <si>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</si>
  <si>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</si>
  <si>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</si>
  <si>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</si>
  <si>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</si>
  <si>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</si>
  <si>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</si>
  <si>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</si>
  <si>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</si>
  <si>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</si>
  <si>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</si>
  <si>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</si>
  <si>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</si>
  <si>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</si>
  <si>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</si>
  <si>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</si>
  <si>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</si>
  <si>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</si>
  <si>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</si>
  <si>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</si>
  <si>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</si>
  <si>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</si>
  <si>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</si>
  <si>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</si>
  <si>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</si>
  <si>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</si>
  <si>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</si>
  <si>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</si>
  <si>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</si>
  <si>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</si>
  <si>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</si>
  <si>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</si>
  <si>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</si>
  <si>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</si>
  <si>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</si>
  <si>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</si>
  <si>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</si>
  <si>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</si>
  <si>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</si>
  <si>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</si>
  <si>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</si>
  <si>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</si>
  <si>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</si>
  <si>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</si>
  <si>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</si>
  <si>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</si>
  <si>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</si>
  <si>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</si>
  <si>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</si>
  <si>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</si>
  <si>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</si>
  <si>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</si>
  <si>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</si>
  <si>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</si>
  <si>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</si>
  <si>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</si>
  <si>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</si>
  <si>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</si>
  <si>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</si>
  <si>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</si>
  <si>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</si>
  <si>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</si>
  <si>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</si>
  <si>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</si>
  <si>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</si>
  <si>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</si>
  <si>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</si>
  <si>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</si>
  <si>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</si>
  <si>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</si>
  <si>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</si>
  <si>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</si>
  <si>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</si>
  <si>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</si>
  <si>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</si>
  <si>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</si>
  <si>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</si>
  <si>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</si>
  <si>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</si>
  <si>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</si>
  <si>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</si>
  <si>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</si>
  <si>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</si>
  <si>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</si>
  <si>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</si>
  <si>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</si>
  <si>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</si>
  <si>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</si>
  <si>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</si>
  <si>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</si>
  <si>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</si>
  <si>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</si>
  <si>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</si>
  <si>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</si>
  <si>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</si>
  <si>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</si>
  <si>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</si>
  <si>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</si>
  <si>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</si>
  <si>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</si>
  <si>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</si>
  <si>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</si>
  <si>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</si>
  <si>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</si>
  <si>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</si>
  <si>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</si>
  <si>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</si>
  <si>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</si>
  <si>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</si>
  <si>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</si>
  <si>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</si>
  <si>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</si>
  <si>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</si>
  <si>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</si>
  <si>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</si>
  <si>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</si>
  <si>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</si>
  <si>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</si>
  <si>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</si>
  <si>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</si>
  <si>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</si>
  <si>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</si>
  <si>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</si>
  <si>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</si>
  <si>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</si>
  <si>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</si>
  <si>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</si>
  <si>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</si>
  <si>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</si>
  <si>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</si>
  <si>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</si>
  <si>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</si>
  <si>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</si>
  <si>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</si>
  <si>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</si>
  <si>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</si>
  <si>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</si>
  <si>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</si>
  <si>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</si>
  <si>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</si>
  <si>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</si>
  <si>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</si>
  <si>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</si>
  <si>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</si>
  <si>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</si>
  <si>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</si>
  <si>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</si>
  <si>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</si>
  <si>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</si>
  <si>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</si>
  <si>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</si>
  <si>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</si>
  <si>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</si>
  <si>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</si>
  <si>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</si>
  <si>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</si>
  <si>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</si>
  <si>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</si>
  <si>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</si>
  <si>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</si>
  <si>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</si>
  <si>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</si>
  <si>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</si>
  <si>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</si>
  <si>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</si>
  <si>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</si>
  <si>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</si>
  <si>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</si>
  <si>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</si>
  <si>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</si>
  <si>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</si>
  <si>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</si>
  <si>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</si>
  <si>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</si>
  <si>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</si>
  <si>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</si>
  <si>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</si>
  <si>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</si>
  <si>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</si>
  <si>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</si>
  <si>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</si>
  <si>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</si>
  <si>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</si>
  <si>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</si>
  <si>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</si>
  <si>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</si>
  <si>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</si>
  <si>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</si>
  <si>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</si>
  <si>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</si>
  <si>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</si>
  <si>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</si>
  <si>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</si>
  <si>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</si>
  <si>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</si>
  <si>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</si>
  <si>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</si>
  <si>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</si>
  <si>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</si>
  <si>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</si>
  <si>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</si>
  <si>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</si>
  <si>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</si>
  <si>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</si>
  <si>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</si>
  <si>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</si>
  <si>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</si>
  <si>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</si>
  <si>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</si>
  <si>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</si>
  <si>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</si>
  <si>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</si>
  <si>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</si>
  <si>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</si>
  <si>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</si>
  <si>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</si>
  <si>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</si>
  <si>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</si>
  <si>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</si>
  <si>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</si>
  <si>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</si>
  <si>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</si>
  <si>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</si>
  <si>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</si>
  <si>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</si>
  <si>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</si>
  <si>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</si>
  <si>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</si>
  <si>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</si>
  <si>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</si>
  <si>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</si>
  <si>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</si>
  <si>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</si>
  <si>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</si>
  <si>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</si>
  <si>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</si>
  <si>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</si>
  <si>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</si>
  <si>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</si>
  <si>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</si>
  <si>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</si>
  <si>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</si>
  <si>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</si>
  <si>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</si>
  <si>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</si>
  <si>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</si>
  <si>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</si>
  <si>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</si>
  <si>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</si>
  <si>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</si>
  <si>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</si>
  <si>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</si>
  <si>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</si>
  <si>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</si>
  <si>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</si>
  <si>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</si>
  <si>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</si>
  <si>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</si>
  <si>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</si>
  <si>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</si>
  <si>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</si>
  <si>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</si>
  <si>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</si>
  <si>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</si>
  <si>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</si>
  <si>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</si>
  <si>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</si>
  <si>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</si>
  <si>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</si>
  <si>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</si>
  <si>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</si>
  <si>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</si>
  <si>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</si>
  <si>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</si>
  <si>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</si>
  <si>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</si>
  <si>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</si>
  <si>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</si>
  <si>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</si>
  <si>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</si>
  <si>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</si>
  <si>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</si>
  <si>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</si>
  <si>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</si>
  <si>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</si>
  <si>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</si>
  <si>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</si>
  <si>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</si>
  <si>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</si>
  <si>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</si>
  <si>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</si>
  <si>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</si>
  <si>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</si>
  <si>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</si>
  <si>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</si>
  <si>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</si>
  <si>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</si>
  <si>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</si>
  <si>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</si>
  <si>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</si>
  <si>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</si>
  <si>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</si>
  <si>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</si>
  <si>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</si>
  <si>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</si>
  <si>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</si>
  <si>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</si>
  <si>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</si>
  <si>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</si>
  <si>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</si>
  <si>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</si>
  <si>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</si>
  <si>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</si>
  <si>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</si>
  <si>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</si>
  <si>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</si>
  <si>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</si>
  <si>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</si>
  <si>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</si>
  <si>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</si>
  <si>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</si>
  <si>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</si>
  <si>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</si>
  <si>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</si>
  <si>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</si>
  <si>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</si>
  <si>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</si>
  <si>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</si>
  <si>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</si>
  <si>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</si>
  <si>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</si>
  <si>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</si>
  <si>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</si>
  <si>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</si>
  <si>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</si>
  <si>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</si>
  <si>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</si>
  <si>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</si>
  <si>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</si>
  <si>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</si>
  <si>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</si>
  <si>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</si>
  <si>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</si>
  <si>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</si>
  <si>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</si>
  <si>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</si>
  <si>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</si>
  <si>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</si>
  <si>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</si>
  <si>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</si>
  <si>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</si>
  <si>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</si>
  <si>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</si>
  <si>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</si>
  <si>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</si>
  <si>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</si>
  <si>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</si>
  <si>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</si>
  <si>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</si>
  <si>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</si>
  <si>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</si>
  <si>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</si>
  <si>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</si>
  <si>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</si>
  <si>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</si>
  <si>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</si>
  <si>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</si>
  <si>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</si>
  <si>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</si>
  <si>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</si>
  <si>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</si>
  <si>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</si>
  <si>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</si>
  <si>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</si>
  <si>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</si>
  <si>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</si>
  <si>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</si>
  <si>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</si>
  <si>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</si>
  <si>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</si>
  <si>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</si>
  <si>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</si>
  <si>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</si>
  <si>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</si>
  <si>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</si>
  <si>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</si>
  <si>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</si>
  <si>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</si>
  <si>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</si>
  <si>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</si>
  <si>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</si>
  <si>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</si>
  <si>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</si>
  <si>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</si>
  <si>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</si>
  <si>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</si>
  <si>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</si>
  <si>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</si>
  <si>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</si>
  <si>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</si>
  <si>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</si>
  <si>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</si>
  <si>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</si>
  <si>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</si>
  <si>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</si>
  <si>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</si>
  <si>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</si>
  <si>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</si>
  <si>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</si>
  <si>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</si>
  <si>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</si>
  <si>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</si>
  <si>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</si>
  <si>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</si>
  <si>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</si>
  <si>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</si>
  <si>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</si>
  <si>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</si>
  <si>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</si>
  <si>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</si>
  <si>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</si>
  <si>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</si>
  <si>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</si>
  <si>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</si>
  <si>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</si>
  <si>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</si>
  <si>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</si>
  <si>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</si>
  <si>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</si>
  <si>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</si>
  <si>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</si>
  <si>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</si>
  <si>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</si>
  <si>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</si>
  <si>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</si>
  <si>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</si>
  <si>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</si>
  <si>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</si>
  <si>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</si>
  <si>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</si>
  <si>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</si>
  <si>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</si>
  <si>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</si>
  <si>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</si>
  <si>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</si>
  <si>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</si>
  <si>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</si>
  <si>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</si>
  <si>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</si>
  <si>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</si>
  <si>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</si>
  <si>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</si>
  <si>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</si>
  <si>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</si>
  <si>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</si>
  <si>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</si>
  <si>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</si>
  <si>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</si>
  <si>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</si>
  <si>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</si>
  <si>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</si>
  <si>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</si>
  <si>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</si>
  <si>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</si>
  <si>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</si>
  <si>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</si>
  <si>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</si>
  <si>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</si>
  <si>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</si>
  <si>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</si>
  <si>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</si>
  <si>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</si>
  <si>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</si>
  <si>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</si>
  <si>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</si>
  <si>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</si>
  <si>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</si>
  <si>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</si>
  <si>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</si>
  <si>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</si>
  <si>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</si>
  <si>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</si>
  <si>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</si>
  <si>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</si>
  <si>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</si>
  <si>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</si>
  <si>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</si>
  <si>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</si>
  <si>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</si>
  <si>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</si>
  <si>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</si>
  <si>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</si>
  <si>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</si>
  <si>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</si>
  <si>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</si>
  <si>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</si>
  <si>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</si>
  <si>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</si>
  <si>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</si>
  <si>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</si>
  <si>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</si>
  <si>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</si>
  <si>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</si>
  <si>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</si>
  <si>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</si>
  <si>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</si>
  <si>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</si>
  <si>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</si>
  <si>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</si>
  <si>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</si>
  <si>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</si>
  <si>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</si>
  <si>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</si>
  <si>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</si>
  <si>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</si>
  <si>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</si>
  <si>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</si>
  <si>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</si>
  <si>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</si>
  <si>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</si>
  <si>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</si>
  <si>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</si>
  <si>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</si>
  <si>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</si>
  <si>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</si>
  <si>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</si>
  <si>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</si>
  <si>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</si>
  <si>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</si>
  <si>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</si>
  <si>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</si>
  <si>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</si>
  <si>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</si>
  <si>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</si>
  <si>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</si>
  <si>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</si>
  <si>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</si>
  <si>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</si>
  <si>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</si>
  <si>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</si>
  <si>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</si>
  <si>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</si>
  <si>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</si>
  <si>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</si>
  <si>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</si>
  <si>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</si>
  <si>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</si>
  <si>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</si>
  <si>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</si>
  <si>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</si>
  <si>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</si>
  <si>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</si>
  <si>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</si>
  <si>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</si>
  <si>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</si>
  <si>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</si>
  <si>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</si>
  <si>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</si>
  <si>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</si>
  <si>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</si>
  <si>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</si>
  <si>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</si>
  <si>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</si>
  <si>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</si>
  <si>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</si>
  <si>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</si>
  <si>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</si>
  <si>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</si>
  <si>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</si>
  <si>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</si>
  <si>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</si>
  <si>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</si>
  <si>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</si>
  <si>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</si>
  <si>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</si>
  <si>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</si>
  <si>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</si>
  <si>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</si>
  <si>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</si>
  <si>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</si>
  <si>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</si>
  <si>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</si>
  <si>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</si>
  <si>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</si>
  <si>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</si>
  <si>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</si>
  <si>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</si>
  <si>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</si>
  <si>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</si>
  <si>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</si>
  <si>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</si>
  <si>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</si>
  <si>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</si>
  <si>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</si>
  <si>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</si>
  <si>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</si>
  <si>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</si>
  <si>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</si>
  <si>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</si>
  <si>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</si>
  <si>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</si>
  <si>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</si>
  <si>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</si>
  <si>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</si>
  <si>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</si>
  <si>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</si>
  <si>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</si>
  <si>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</si>
  <si>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</si>
  <si>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</si>
  <si>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</si>
  <si>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</si>
  <si>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</si>
  <si>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</si>
  <si>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</si>
  <si>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</si>
  <si>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</si>
  <si>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</si>
  <si>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</si>
  <si>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</si>
  <si>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</si>
  <si>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</si>
  <si>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</si>
  <si>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</si>
  <si>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</si>
  <si>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</si>
  <si>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</si>
  <si>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</si>
  <si>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</si>
  <si>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</si>
  <si>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</si>
  <si>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</si>
  <si>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</si>
  <si>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</si>
  <si>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</si>
  <si>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</si>
  <si>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</si>
  <si>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</si>
  <si>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</si>
  <si>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</si>
  <si>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</si>
  <si>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</si>
  <si>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</si>
  <si>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</si>
  <si>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</si>
  <si>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</si>
  <si>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</si>
  <si>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</si>
  <si>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</si>
  <si>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</si>
  <si>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</si>
  <si>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</si>
  <si>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</si>
  <si>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</si>
  <si>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</si>
  <si>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</si>
  <si>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</si>
  <si>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</si>
  <si>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</si>
  <si>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</si>
  <si>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</si>
  <si>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</si>
  <si>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</si>
  <si>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</si>
  <si>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</si>
  <si>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</si>
  <si>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</si>
  <si>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</si>
  <si>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</si>
  <si>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</si>
  <si>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</si>
  <si>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</si>
  <si>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</si>
  <si>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</si>
  <si>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</si>
  <si>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</si>
  <si>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</si>
  <si>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</si>
  <si>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</si>
  <si>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</si>
  <si>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</si>
  <si>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</si>
  <si>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</si>
  <si>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</si>
  <si>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</si>
  <si>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</si>
  <si>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</si>
  <si>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</si>
  <si>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</si>
  <si>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</si>
  <si>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</si>
  <si>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</si>
  <si>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</si>
  <si>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</si>
  <si>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</si>
  <si>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</si>
  <si>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</si>
  <si>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</si>
  <si>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</si>
  <si>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</si>
  <si>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</si>
  <si>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</si>
  <si>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</si>
  <si>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</si>
  <si>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</si>
  <si>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</si>
  <si>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</si>
  <si>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</si>
  <si>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</si>
  <si>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</si>
  <si>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</si>
  <si>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</si>
  <si>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</si>
  <si>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</si>
  <si>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</si>
  <si>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</si>
  <si>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</si>
  <si>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</si>
  <si>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</si>
  <si>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</si>
  <si>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</si>
  <si>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</si>
  <si>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</si>
  <si>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</si>
  <si>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</si>
  <si>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</si>
  <si>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</si>
  <si>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</si>
  <si>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</si>
  <si>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</si>
  <si>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</si>
  <si>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</si>
  <si>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</si>
  <si>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</si>
  <si>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</si>
  <si>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</si>
  <si>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</si>
  <si>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</si>
  <si>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</si>
  <si>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</si>
  <si>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</si>
  <si>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</si>
  <si>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</si>
  <si>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</si>
  <si>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</si>
  <si>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</si>
  <si>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</si>
  <si>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</si>
  <si>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</si>
  <si>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</si>
  <si>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</si>
  <si>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</si>
  <si>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</si>
  <si>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</si>
  <si>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</si>
  <si>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</si>
  <si>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</si>
  <si>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</si>
  <si>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</si>
  <si>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</si>
  <si>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</si>
  <si>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</si>
  <si>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</si>
  <si>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</si>
  <si>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</si>
  <si>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</si>
  <si>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</si>
  <si>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</si>
  <si>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</si>
  <si>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</si>
  <si>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</si>
  <si>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</si>
  <si>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</si>
  <si>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</si>
  <si>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</si>
  <si>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</si>
  <si>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</si>
  <si>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</si>
  <si>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</si>
  <si>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</si>
  <si>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</si>
  <si>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</si>
  <si>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</si>
  <si>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</si>
  <si>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</si>
  <si>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</si>
  <si>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</si>
  <si>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</si>
  <si>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</si>
  <si>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</si>
  <si>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</si>
  <si>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</si>
  <si>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</si>
  <si>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</si>
  <si>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</si>
  <si>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</si>
  <si>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</si>
  <si>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</si>
  <si>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</si>
  <si>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</si>
  <si>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</si>
  <si>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</si>
  <si>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</si>
  <si>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</si>
  <si>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</si>
  <si>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</si>
  <si>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</si>
  <si>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</si>
  <si>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</si>
  <si>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</si>
  <si>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</si>
  <si>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</si>
  <si>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</si>
  <si>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</si>
  <si>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</si>
  <si>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</si>
  <si>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</si>
  <si>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</si>
  <si>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</si>
  <si>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</si>
  <si>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</si>
  <si>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</si>
  <si>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</si>
  <si>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</si>
  <si>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</si>
  <si>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</si>
  <si>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</si>
  <si>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</si>
  <si>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</si>
  <si>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</si>
  <si>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</si>
  <si>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</si>
  <si>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</si>
  <si>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</si>
  <si>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</si>
  <si>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</si>
  <si>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</si>
  <si>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</si>
  <si>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</si>
  <si>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</si>
  <si>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</si>
  <si>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</si>
  <si>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</si>
  <si>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</si>
  <si>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</si>
  <si>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</si>
  <si>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</si>
  <si>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</si>
  <si>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</si>
  <si>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</si>
  <si>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</si>
  <si>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</si>
  <si>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</si>
  <si>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</si>
  <si>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</si>
  <si>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</si>
  <si>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</si>
  <si>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</si>
  <si>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</si>
  <si>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</si>
  <si>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</si>
  <si>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</si>
  <si>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</si>
  <si>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</si>
  <si>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</si>
  <si>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</si>
  <si>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</si>
  <si>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</si>
  <si>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</si>
  <si>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</si>
  <si>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</si>
  <si>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</si>
  <si>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</si>
  <si>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</si>
  <si>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</si>
  <si>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</si>
  <si>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</si>
  <si>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</si>
  <si>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</si>
  <si>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</si>
  <si>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</si>
  <si>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</si>
  <si>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</si>
  <si>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</si>
  <si>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</si>
  <si>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</si>
  <si>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</si>
  <si>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</si>
  <si>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</si>
  <si>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</si>
  <si>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</si>
  <si>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</si>
  <si>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</si>
  <si>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</si>
  <si>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</si>
  <si>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</si>
  <si>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</si>
  <si>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</si>
  <si>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</si>
  <si>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</si>
  <si>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</si>
  <si>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</si>
  <si>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</si>
  <si>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</si>
  <si>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</si>
  <si>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</si>
  <si>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</si>
  <si>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</si>
  <si>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</si>
  <si>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</si>
  <si>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</si>
  <si>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</si>
  <si>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</si>
  <si>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</si>
  <si>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</si>
  <si>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</si>
  <si>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</si>
  <si>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</si>
  <si>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</si>
  <si>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</si>
  <si>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</si>
  <si>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</si>
  <si>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</si>
  <si>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</si>
  <si>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</si>
  <si>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</si>
  <si>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</si>
  <si>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</si>
  <si>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</si>
  <si>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</si>
  <si>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</si>
  <si>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</si>
  <si>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</si>
  <si>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</si>
  <si>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</si>
  <si>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</si>
  <si>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</si>
  <si>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</si>
  <si>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</si>
  <si>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</si>
  <si>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</si>
  <si>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</si>
  <si>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</si>
  <si>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</si>
  <si>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</si>
  <si>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</si>
  <si>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</si>
  <si>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</si>
  <si>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</si>
  <si>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</si>
  <si>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</si>
  <si>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</si>
  <si>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</si>
  <si>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</si>
  <si>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</si>
  <si>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</si>
  <si>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</si>
  <si>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</si>
  <si>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</si>
  <si>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</si>
  <si>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</si>
  <si>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</si>
  <si>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</si>
  <si>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</si>
  <si>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</si>
  <si>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</si>
  <si>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</si>
  <si>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</si>
  <si>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</si>
  <si>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</si>
  <si>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</si>
  <si>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</si>
  <si>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</si>
  <si>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</si>
  <si>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</si>
  <si>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</si>
  <si>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</si>
  <si>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</si>
  <si>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</si>
  <si>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</si>
  <si>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</si>
  <si>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</si>
  <si>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</si>
  <si>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</si>
  <si>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</si>
  <si>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</si>
  <si>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</si>
  <si>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</si>
  <si>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</si>
  <si>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</si>
  <si>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</si>
  <si>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</si>
  <si>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</si>
  <si>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</si>
  <si>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</si>
  <si>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</si>
  <si>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</si>
  <si>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</si>
  <si>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</si>
  <si>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</si>
  <si>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</si>
  <si>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</si>
  <si>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</si>
  <si>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</si>
  <si>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</si>
  <si>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</si>
  <si>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</si>
  <si>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</si>
  <si>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</si>
  <si>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</si>
  <si>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</si>
  <si>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</si>
  <si>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</si>
  <si>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</si>
  <si>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</si>
  <si>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</si>
  <si>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</si>
  <si>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</si>
  <si>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</si>
  <si>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</si>
  <si>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</si>
  <si>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</si>
  <si>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</si>
  <si>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</si>
  <si>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</si>
  <si>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</si>
  <si>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</si>
  <si>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</si>
  <si>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</si>
  <si>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</si>
  <si>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</si>
  <si>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</si>
  <si>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</si>
  <si>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</si>
  <si>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</si>
  <si>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</si>
  <si>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</si>
  <si>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</si>
  <si>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</si>
  <si>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</si>
  <si>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</si>
  <si>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</si>
  <si>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</si>
  <si>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</si>
  <si>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</si>
  <si>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</si>
  <si>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</si>
  <si>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</si>
  <si>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</si>
  <si>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</si>
  <si>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</si>
  <si>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</si>
  <si>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</si>
  <si>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</si>
  <si>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</si>
  <si>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</si>
  <si>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</si>
  <si>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</si>
  <si>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</si>
  <si>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</si>
  <si>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</si>
  <si>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</si>
  <si>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</si>
  <si>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</si>
  <si>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</si>
  <si>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</si>
  <si>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</si>
  <si>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</si>
  <si>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</si>
  <si>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</si>
  <si>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</si>
  <si>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</si>
  <si>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</si>
  <si>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</si>
  <si>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</si>
  <si>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</si>
  <si>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</si>
  <si>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</si>
  <si>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</si>
  <si>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</si>
  <si>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</si>
  <si>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</si>
  <si>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</si>
  <si>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</si>
  <si>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</si>
  <si>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</si>
  <si>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</si>
  <si>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</si>
  <si>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</si>
  <si>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</si>
  <si>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</si>
  <si>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</si>
  <si>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</si>
  <si>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</si>
  <si>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</si>
  <si>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</si>
  <si>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</si>
  <si>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</si>
  <si>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</si>
  <si>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</si>
  <si>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</si>
  <si>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</si>
  <si>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</si>
  <si>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</si>
  <si>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</si>
  <si>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</si>
  <si>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</si>
  <si>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</si>
  <si>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</si>
  <si>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</si>
  <si>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</si>
  <si>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</si>
  <si>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</si>
  <si>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</si>
  <si>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</si>
  <si>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</si>
  <si>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</si>
  <si>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</si>
  <si>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</si>
  <si>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</si>
  <si>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</si>
  <si>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</si>
  <si>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</si>
  <si>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</si>
  <si>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</si>
  <si>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</si>
  <si>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</si>
  <si>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</si>
  <si>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</si>
  <si>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</si>
  <si>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</si>
  <si>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</si>
  <si>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</si>
  <si>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</si>
  <si>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</si>
  <si>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</si>
  <si>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</si>
  <si>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</si>
  <si>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</si>
  <si>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</si>
  <si>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</si>
  <si>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</si>
  <si>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</si>
  <si>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</si>
  <si>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</si>
  <si>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</si>
  <si>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</si>
  <si>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</si>
  <si>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</si>
  <si>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</si>
  <si>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</si>
  <si>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</si>
  <si>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</si>
  <si>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</si>
  <si>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</si>
  <si>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</si>
  <si>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</si>
  <si>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</si>
  <si>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</si>
  <si>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</si>
  <si>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</si>
  <si>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</si>
  <si>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</si>
  <si>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</si>
  <si>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</si>
  <si>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</si>
  <si>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</si>
  <si>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</si>
  <si>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</si>
  <si>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</si>
  <si>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</si>
  <si>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</si>
  <si>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</si>
  <si>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</si>
  <si>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</si>
  <si>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</si>
  <si>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</si>
  <si>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</si>
  <si>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</si>
  <si>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</si>
  <si>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</si>
  <si>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</si>
  <si>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</si>
  <si>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</si>
  <si>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</si>
  <si>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</si>
  <si>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</si>
  <si>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</si>
  <si>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</si>
  <si>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</si>
  <si>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</si>
  <si>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</si>
  <si>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</si>
  <si>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</si>
  <si>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</si>
  <si>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</si>
  <si>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</si>
  <si>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</si>
  <si>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</si>
  <si>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</si>
  <si>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</si>
  <si>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</si>
  <si>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</si>
  <si>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</si>
  <si>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</si>
  <si>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</si>
  <si>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</si>
  <si>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</si>
  <si>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</si>
  <si>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</si>
  <si>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</si>
  <si>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</si>
  <si>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</si>
  <si>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</si>
  <si>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</si>
  <si>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</si>
  <si>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</si>
  <si>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</si>
  <si>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</si>
  <si>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</si>
  <si>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</si>
  <si>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</si>
  <si>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</si>
  <si>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</si>
  <si>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</si>
  <si>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</si>
  <si>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</si>
  <si>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</si>
  <si>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</si>
  <si>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</si>
  <si>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</si>
  <si>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</si>
  <si>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</si>
  <si>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</si>
  <si>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</si>
  <si>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</si>
  <si>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</si>
  <si>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</si>
  <si>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</si>
  <si>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</si>
  <si>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</si>
  <si>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</si>
  <si>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</si>
  <si>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</si>
  <si>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</si>
  <si>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</si>
  <si>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</si>
  <si>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</si>
  <si>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</si>
  <si>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</si>
  <si>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</si>
  <si>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</si>
  <si>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</si>
  <si>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</si>
  <si>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</si>
  <si>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</si>
  <si>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</si>
  <si>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</si>
  <si>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</si>
  <si>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</si>
  <si>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</si>
  <si>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</si>
  <si>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</si>
  <si>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</si>
  <si>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</si>
  <si>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</si>
  <si>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</si>
  <si>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</si>
  <si>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</si>
  <si>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</si>
  <si>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</si>
  <si>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</si>
  <si>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</si>
  <si>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</si>
  <si>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</si>
  <si>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</si>
  <si>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</si>
  <si>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</si>
  <si>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</si>
  <si>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</si>
  <si>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</si>
  <si>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</si>
  <si>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</si>
  <si>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</si>
  <si>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</si>
  <si>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</si>
  <si>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</si>
  <si>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</si>
  <si>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</si>
  <si>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</si>
  <si>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</si>
  <si>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</si>
  <si>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</si>
  <si>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</si>
  <si>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</si>
  <si>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</si>
  <si>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</si>
  <si>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</si>
  <si>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</si>
  <si>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</si>
  <si>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</si>
  <si>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</si>
  <si>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</si>
  <si>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</si>
  <si>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</si>
  <si>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</si>
  <si>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</si>
  <si>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</si>
  <si>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</si>
  <si>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</si>
  <si>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</si>
  <si>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</si>
  <si>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</si>
  <si>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</si>
  <si>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</si>
  <si>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</si>
  <si>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</si>
  <si>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</si>
  <si>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</si>
  <si>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</si>
  <si>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</si>
  <si>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</si>
  <si>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</si>
  <si>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</si>
  <si>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</si>
  <si>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</si>
  <si>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</si>
  <si>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</si>
  <si>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</si>
  <si>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</si>
  <si>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</si>
  <si>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</si>
  <si>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</si>
  <si>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</si>
  <si>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</si>
  <si>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</si>
  <si>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</si>
  <si>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</si>
  <si>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</si>
  <si>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</si>
  <si>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</si>
  <si>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</si>
  <si>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</si>
  <si>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</si>
  <si>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</si>
  <si>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</si>
  <si>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</si>
  <si>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</si>
  <si>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</si>
  <si>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</si>
  <si>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</si>
  <si>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</si>
  <si>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</si>
  <si>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</si>
  <si>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</si>
  <si>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</si>
  <si>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</si>
  <si>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</si>
  <si>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</si>
  <si>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</si>
  <si>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</si>
  <si>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</si>
  <si>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</si>
  <si>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</si>
  <si>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</si>
  <si>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</si>
  <si>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</si>
  <si>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</si>
  <si>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</si>
  <si>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</si>
  <si>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</si>
  <si>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</si>
  <si>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</si>
  <si>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</si>
  <si>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</si>
  <si>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</si>
  <si>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</si>
  <si>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</si>
  <si>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</si>
  <si>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</si>
  <si>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</si>
  <si>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</si>
  <si>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</si>
  <si>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</si>
  <si>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</si>
  <si>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</si>
  <si>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</si>
  <si>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</si>
  <si>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</si>
  <si>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</si>
  <si>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</si>
  <si>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</si>
  <si>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</si>
  <si>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</si>
  <si>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</si>
  <si>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</si>
  <si>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</si>
  <si>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</si>
  <si>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</si>
  <si>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</si>
  <si>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</si>
  <si>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</si>
  <si>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</si>
  <si>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</si>
  <si>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</si>
  <si>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</si>
  <si>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</si>
  <si>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</si>
  <si>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</si>
  <si>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</si>
  <si>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</si>
  <si>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</si>
  <si>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</si>
  <si>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</si>
  <si>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</si>
  <si>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</si>
  <si>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</si>
  <si>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</si>
  <si>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</si>
  <si>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</si>
  <si>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</si>
  <si>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</si>
  <si>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</si>
  <si>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</si>
  <si>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</si>
  <si>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</si>
  <si>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</si>
  <si>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</si>
  <si>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</si>
  <si>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</si>
  <si>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</si>
  <si>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</si>
  <si>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</si>
  <si>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</si>
  <si>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</si>
  <si>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</si>
  <si>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</si>
  <si>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</si>
  <si>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</si>
  <si>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</si>
  <si>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</si>
  <si>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</si>
  <si>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</si>
  <si>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</si>
  <si>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</si>
  <si>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</si>
  <si>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</si>
  <si>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</si>
  <si>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</si>
  <si>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</si>
  <si>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</si>
  <si>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</si>
  <si>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</si>
  <si>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</si>
  <si>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</si>
  <si>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</si>
  <si>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</si>
  <si>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</si>
  <si>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</si>
  <si>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</si>
  <si>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</si>
  <si>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</si>
  <si>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</si>
  <si>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</si>
  <si>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</si>
  <si>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</si>
  <si>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</si>
  <si>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</si>
  <si>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</si>
  <si>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</si>
  <si>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</si>
  <si>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</si>
  <si>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</si>
  <si>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</si>
  <si>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</si>
  <si>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</si>
  <si>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</si>
  <si>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</si>
  <si>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</si>
  <si>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</si>
  <si>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</si>
  <si>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</si>
  <si>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</si>
  <si>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</si>
  <si>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</si>
  <si>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</si>
  <si>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</si>
  <si>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</si>
  <si>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</si>
  <si>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</si>
  <si>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</si>
  <si>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</si>
  <si>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</si>
  <si>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</si>
  <si>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</si>
  <si>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</si>
  <si>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</si>
  <si>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</si>
  <si>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</si>
  <si>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</si>
  <si>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</si>
  <si>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</si>
  <si>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</si>
  <si>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</si>
  <si>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</si>
  <si>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</si>
  <si>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</si>
  <si>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</si>
  <si>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</si>
  <si>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</si>
  <si>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</si>
  <si>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</si>
  <si>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</si>
  <si>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</si>
  <si>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</si>
  <si>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</si>
  <si>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</si>
  <si>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</si>
  <si>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</si>
  <si>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</si>
  <si>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</si>
  <si>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</si>
  <si>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</si>
  <si>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</si>
  <si>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</si>
  <si>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</si>
  <si>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</si>
  <si>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</si>
  <si>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</si>
  <si>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</si>
  <si>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</si>
  <si>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</si>
  <si>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</si>
  <si>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</si>
  <si>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</si>
  <si>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</si>
  <si>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</si>
  <si>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</si>
  <si>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</si>
  <si>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</si>
  <si>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</si>
  <si>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</si>
  <si>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</si>
  <si>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</si>
  <si>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</si>
  <si>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</si>
  <si>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</si>
  <si>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</si>
  <si>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</si>
  <si>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</si>
  <si>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</si>
  <si>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</si>
  <si>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</si>
  <si>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</si>
  <si>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</si>
  <si>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</si>
  <si>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</si>
  <si>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</si>
  <si>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</si>
  <si>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</si>
  <si>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</si>
  <si>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</si>
  <si>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</si>
  <si>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</si>
  <si>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</si>
  <si>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</si>
  <si>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</si>
  <si>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</si>
  <si>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</si>
  <si>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</si>
  <si>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</si>
  <si>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</si>
  <si>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</si>
  <si>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</si>
  <si>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</si>
  <si>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</si>
  <si>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</si>
  <si>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</si>
  <si>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</si>
  <si>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</si>
  <si>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</si>
  <si>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</si>
  <si>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</si>
  <si>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</si>
  <si>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</si>
  <si>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</si>
  <si>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</si>
  <si>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</si>
  <si>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</si>
  <si>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</si>
  <si>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</si>
  <si>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</si>
  <si>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</si>
  <si>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</si>
  <si>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</si>
  <si>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</si>
  <si>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</si>
  <si>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</si>
  <si>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</si>
  <si>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</si>
  <si>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</si>
  <si>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</si>
  <si>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</si>
  <si>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</si>
  <si>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</si>
  <si>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</si>
  <si>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</si>
  <si>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</si>
  <si>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</si>
  <si>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</si>
  <si>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</si>
  <si>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</si>
  <si>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</si>
  <si>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</si>
  <si>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</si>
  <si>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</si>
  <si>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</si>
  <si>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</si>
  <si>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</si>
  <si>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</si>
  <si>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</si>
  <si>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</si>
  <si>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</si>
  <si>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</si>
  <si>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</si>
  <si>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</si>
  <si>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</si>
  <si>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</si>
  <si>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</si>
  <si>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</si>
  <si>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</si>
  <si>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</si>
  <si>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</si>
  <si>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</si>
  <si>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</si>
  <si>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</si>
  <si>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</si>
  <si>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</si>
  <si>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</si>
  <si>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</si>
  <si>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</si>
  <si>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</si>
  <si>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</si>
  <si>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</si>
  <si>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</si>
  <si>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</si>
  <si>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</si>
  <si>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</si>
  <si>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</si>
  <si>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</si>
  <si>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</si>
  <si>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</si>
  <si>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</si>
  <si>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</si>
  <si>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</si>
  <si>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</si>
  <si>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</si>
  <si>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</si>
  <si>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</si>
  <si>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</si>
  <si>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</si>
  <si>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</si>
  <si>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</si>
  <si>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</si>
  <si>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</si>
  <si>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</si>
  <si>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</si>
  <si>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</si>
  <si>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</si>
  <si>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</si>
  <si>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</si>
  <si>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</si>
  <si>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</si>
  <si>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</si>
  <si>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</si>
  <si>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</si>
  <si>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</si>
  <si>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</si>
  <si>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</si>
  <si>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</si>
  <si>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</si>
  <si>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</si>
  <si>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</si>
  <si>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</si>
  <si>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</si>
  <si>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</si>
  <si>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</si>
  <si>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</si>
  <si>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</si>
  <si>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</si>
  <si>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</si>
  <si>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</si>
  <si>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</si>
  <si>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</si>
  <si>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</si>
  <si>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</si>
  <si>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</si>
  <si>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</si>
  <si>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</si>
  <si>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</si>
  <si>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</si>
  <si>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</si>
  <si>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</si>
  <si>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</si>
  <si>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</si>
  <si>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</si>
  <si>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</si>
  <si>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</si>
  <si>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</si>
  <si>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</si>
  <si>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</si>
  <si>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</si>
  <si>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</si>
  <si>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</si>
  <si>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</si>
  <si>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</si>
  <si>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</si>
  <si>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</si>
  <si>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</si>
  <si>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</si>
  <si>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</si>
  <si>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</si>
  <si>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</si>
  <si>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</si>
  <si>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</si>
  <si>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</si>
  <si>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</si>
  <si>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</si>
  <si>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</si>
  <si>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</si>
  <si>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</si>
  <si>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</si>
  <si>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</si>
  <si>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</si>
  <si>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</si>
  <si>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</si>
  <si>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</si>
  <si>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</si>
  <si>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</si>
  <si>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</si>
  <si>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</si>
  <si>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</si>
  <si>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</si>
  <si>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</si>
  <si>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</si>
  <si>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</si>
  <si>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</si>
  <si>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</si>
  <si>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</si>
  <si>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</si>
  <si>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</si>
  <si>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</si>
  <si>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</si>
  <si>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</si>
  <si>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</si>
  <si>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</si>
  <si>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</si>
  <si>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</si>
  <si>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</si>
  <si>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</si>
  <si>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</si>
  <si>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</si>
  <si>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</si>
  <si>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</si>
  <si>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</si>
  <si>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</si>
  <si>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</si>
  <si>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</si>
  <si>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</si>
  <si>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</si>
  <si>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</si>
  <si>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</si>
  <si>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</si>
  <si>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</si>
  <si>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</si>
  <si>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</si>
  <si>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</si>
  <si>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</si>
  <si>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</si>
  <si>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</si>
  <si>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</si>
  <si>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</si>
  <si>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</si>
  <si>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</si>
  <si>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</si>
  <si>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</si>
  <si>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</si>
  <si>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</si>
  <si>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</si>
  <si>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</si>
  <si>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</si>
  <si>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</si>
  <si>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</si>
  <si>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</si>
  <si>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</si>
  <si>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</si>
  <si>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</si>
  <si>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</si>
  <si>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</si>
  <si>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</si>
  <si>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</si>
  <si>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</si>
  <si>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</si>
  <si>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</si>
  <si>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</si>
  <si>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</si>
  <si>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</si>
  <si>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</si>
  <si>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</si>
  <si>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</si>
  <si>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</si>
  <si>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</si>
  <si>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</si>
  <si>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</si>
  <si>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</si>
  <si>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</si>
  <si>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</si>
  <si>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</si>
  <si>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</si>
  <si>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</si>
  <si>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</si>
  <si>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</si>
  <si>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</si>
  <si>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</si>
  <si>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</si>
  <si>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</si>
  <si>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</si>
  <si>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</si>
  <si>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</si>
  <si>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</si>
  <si>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</si>
  <si>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</si>
  <si>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</si>
  <si>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</si>
  <si>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</si>
  <si>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</si>
  <si>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</si>
  <si>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</si>
  <si>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</si>
  <si>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</si>
  <si>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</si>
  <si>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</si>
  <si>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</si>
  <si>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</si>
  <si>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</si>
  <si>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</si>
  <si>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</si>
  <si>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</si>
  <si>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</si>
  <si>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</si>
  <si>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</si>
  <si>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</si>
  <si>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</si>
  <si>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</si>
  <si>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</si>
  <si>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</si>
  <si>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</si>
  <si>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</si>
  <si>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</si>
  <si>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</si>
  <si>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</si>
  <si>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</si>
  <si>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</si>
  <si>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</si>
  <si>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</si>
  <si>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</si>
  <si>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</si>
  <si>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</si>
  <si>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</si>
  <si>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</si>
  <si>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</si>
  <si>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</si>
  <si>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</si>
  <si>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</si>
  <si>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</si>
  <si>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</si>
  <si>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</si>
  <si>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</si>
  <si>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</si>
  <si>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</si>
  <si>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</si>
  <si>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</si>
  <si>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</si>
  <si>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</si>
  <si>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</si>
  <si>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</si>
  <si>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</si>
  <si>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</si>
  <si>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</si>
  <si>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</si>
  <si>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</si>
  <si>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</si>
  <si>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</si>
  <si>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</si>
  <si>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</si>
  <si>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</si>
  <si>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</si>
  <si>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</si>
  <si>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</si>
  <si>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</si>
  <si>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</si>
  <si>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</si>
  <si>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</si>
  <si>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</si>
  <si>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</si>
  <si>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</si>
  <si>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</si>
  <si>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</si>
  <si>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</si>
  <si>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</si>
  <si>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</si>
  <si>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</si>
  <si>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</si>
  <si>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</si>
  <si>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</si>
  <si>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</si>
  <si>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</si>
  <si>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</si>
  <si>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</si>
  <si>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</si>
  <si>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</si>
  <si>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</si>
  <si>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</si>
  <si>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</si>
  <si>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</si>
  <si>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</si>
  <si>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</si>
  <si>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</si>
  <si>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</si>
  <si>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</si>
  <si>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</si>
  <si>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</si>
  <si>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</si>
  <si>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</si>
  <si>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</si>
  <si>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</si>
  <si>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</si>
  <si>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</si>
  <si>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</si>
  <si>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</si>
  <si>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</si>
  <si>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</si>
  <si>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</si>
  <si>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</si>
  <si>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</si>
  <si>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</si>
  <si>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</si>
  <si>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</si>
  <si>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</si>
  <si>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</si>
  <si>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</si>
  <si>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</si>
  <si>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</si>
  <si>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</si>
  <si>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</si>
  <si>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</si>
  <si>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</si>
  <si>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</si>
  <si>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</si>
  <si>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</si>
  <si>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</si>
  <si>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</si>
  <si>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</si>
  <si>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</si>
  <si>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</si>
  <si>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</si>
  <si>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</si>
  <si>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</si>
  <si>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</si>
  <si>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</si>
  <si>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</si>
  <si>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</si>
  <si>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</si>
  <si>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</si>
  <si>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</si>
  <si>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</si>
  <si>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</si>
  <si>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</si>
  <si>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</si>
  <si>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</si>
  <si>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</si>
  <si>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</si>
  <si>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</si>
  <si>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</si>
  <si>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</si>
  <si>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</si>
  <si>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</si>
  <si>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</si>
  <si>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</si>
  <si>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</si>
  <si>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</si>
  <si>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</si>
  <si>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</si>
  <si>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</si>
  <si>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</si>
  <si>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</si>
  <si>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</si>
  <si>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</si>
  <si>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</si>
  <si>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</si>
  <si>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</si>
  <si>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</si>
  <si>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</si>
  <si>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</si>
  <si>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</si>
  <si>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</si>
  <si>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</si>
  <si>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</si>
  <si>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</si>
  <si>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</si>
  <si>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</si>
  <si>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</si>
  <si>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</si>
  <si>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</si>
  <si>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</si>
  <si>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</si>
  <si>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</si>
  <si>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</si>
  <si>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</si>
  <si>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</si>
  <si>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</si>
  <si>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</si>
  <si>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</si>
  <si>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</si>
  <si>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</si>
  <si>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</si>
  <si>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</si>
  <si>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</si>
  <si>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</si>
  <si>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</si>
  <si>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</si>
  <si>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</si>
  <si>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</si>
  <si>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</si>
  <si>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</si>
  <si>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</si>
  <si>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</si>
  <si>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</si>
  <si>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</si>
  <si>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</si>
  <si>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</si>
  <si>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</si>
  <si>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</si>
  <si>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</si>
  <si>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</si>
  <si>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</si>
  <si>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</si>
  <si>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</si>
  <si>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</si>
  <si>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</si>
  <si>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</si>
  <si>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</si>
  <si>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</si>
  <si>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</si>
  <si>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</si>
  <si>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</si>
  <si>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</si>
  <si>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</si>
  <si>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</si>
  <si>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</si>
  <si>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</si>
  <si>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</si>
  <si>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</si>
  <si>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</si>
  <si>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</si>
  <si>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</si>
  <si>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</si>
  <si>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</si>
  <si>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</si>
  <si>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</si>
  <si>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</si>
  <si>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</si>
  <si>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</si>
  <si>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</si>
  <si>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</si>
  <si>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</si>
  <si>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</si>
  <si>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</si>
  <si>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</si>
  <si>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</si>
  <si>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</si>
  <si>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</si>
  <si>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</si>
  <si>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</si>
  <si>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</si>
  <si>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</si>
  <si>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</si>
  <si>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</si>
  <si>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</si>
  <si>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</si>
  <si>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</si>
  <si>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</si>
  <si>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</si>
  <si>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</si>
  <si>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</si>
  <si>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</si>
  <si>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</si>
  <si>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</si>
  <si>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</si>
  <si>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</si>
  <si>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</si>
  <si>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</si>
  <si>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</si>
  <si>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</si>
  <si>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</si>
  <si>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</si>
  <si>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</si>
  <si>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</si>
  <si>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</si>
  <si>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</si>
  <si>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</si>
  <si>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</si>
  <si>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</si>
  <si>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</si>
  <si>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</si>
  <si>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</si>
  <si>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</si>
  <si>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</si>
  <si>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</si>
  <si>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</si>
  <si>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</si>
  <si>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</si>
  <si>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</si>
  <si>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</si>
  <si>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</si>
  <si>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</si>
  <si>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</si>
  <si>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</si>
  <si>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</si>
  <si>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</si>
  <si>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</si>
  <si>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</si>
  <si>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</si>
  <si>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</si>
  <si>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</si>
  <si>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</si>
  <si>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</si>
  <si>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</si>
  <si>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</si>
  <si>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</si>
  <si>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</si>
  <si>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</si>
  <si>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</si>
  <si>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</si>
  <si>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</si>
  <si>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</si>
  <si>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</si>
  <si>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</si>
  <si>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</si>
  <si>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</si>
  <si>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</si>
  <si>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</si>
  <si>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</si>
  <si>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</si>
  <si>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</si>
  <si>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</si>
  <si>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</si>
  <si>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</si>
  <si>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</si>
  <si>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</si>
  <si>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</si>
  <si>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</si>
  <si>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</si>
  <si>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</si>
  <si>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</si>
  <si>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</si>
  <si>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</si>
  <si>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</si>
  <si>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</si>
  <si>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</si>
  <si>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</si>
  <si>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</si>
  <si>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</si>
  <si>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</si>
  <si>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</si>
  <si>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</si>
  <si>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</si>
  <si>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</si>
  <si>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</si>
  <si>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</si>
  <si>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</si>
  <si>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</si>
  <si>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</si>
  <si>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</si>
  <si>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</si>
  <si>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</si>
  <si>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</si>
  <si>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</si>
  <si>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</si>
  <si>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</si>
  <si>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</si>
  <si>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</si>
  <si>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</si>
  <si>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</si>
  <si>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</si>
  <si>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</si>
  <si>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</si>
  <si>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</si>
  <si>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</si>
  <si>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</si>
  <si>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</si>
  <si>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</si>
  <si>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</si>
  <si>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</si>
  <si>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</si>
  <si>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</si>
  <si>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</si>
  <si>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</si>
  <si>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</si>
  <si>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</si>
  <si>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</si>
  <si>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</si>
  <si>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</si>
  <si>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</si>
  <si>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</si>
  <si>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</si>
  <si>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</si>
  <si>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</si>
  <si>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</si>
  <si>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</si>
  <si>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</si>
  <si>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</si>
  <si>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</si>
  <si>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</si>
  <si>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</si>
  <si>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</si>
  <si>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</si>
  <si>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</si>
  <si>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</si>
  <si>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</si>
  <si>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</si>
  <si>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</si>
  <si>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</si>
  <si>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</si>
  <si>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</si>
  <si>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</si>
  <si>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</si>
  <si>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</si>
  <si>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</si>
  <si>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</si>
  <si>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</si>
  <si>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</si>
  <si>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</si>
  <si>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</si>
  <si>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</si>
  <si>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</si>
  <si>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</si>
  <si>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</si>
  <si>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</si>
  <si>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</si>
  <si>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</si>
  <si>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</si>
  <si>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</si>
  <si>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</si>
  <si>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</si>
  <si>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</si>
  <si>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</si>
  <si>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</si>
  <si>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</si>
  <si>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</si>
  <si>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</si>
  <si>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</si>
  <si>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</si>
  <si>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</si>
  <si>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</si>
  <si>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</si>
  <si>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</si>
  <si>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</si>
  <si>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</si>
  <si>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</si>
  <si>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</si>
  <si>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</si>
  <si>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</si>
  <si>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</si>
  <si>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</si>
  <si>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</si>
  <si>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</si>
  <si>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</si>
  <si>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</si>
  <si>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</si>
  <si>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</si>
  <si>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</si>
  <si>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</si>
  <si>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</si>
  <si>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</si>
  <si>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</si>
  <si>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</si>
  <si>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</si>
  <si>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</si>
  <si>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</si>
  <si>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</si>
  <si>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</si>
  <si>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</si>
  <si>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</si>
  <si>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</si>
  <si>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</si>
  <si>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</si>
  <si>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</si>
  <si>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</si>
  <si>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</si>
  <si>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</si>
  <si>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</si>
  <si>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</si>
  <si>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</si>
  <si>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</si>
  <si>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</si>
  <si>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</si>
  <si>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</si>
  <si>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</si>
  <si>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</si>
  <si>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</si>
  <si>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</si>
  <si>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</si>
  <si>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</si>
  <si>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</si>
  <si>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</si>
  <si>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</si>
  <si>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</si>
  <si>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</si>
  <si>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</si>
  <si>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</si>
  <si>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</si>
  <si>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</si>
  <si>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</si>
  <si>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</si>
  <si>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</si>
  <si>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</si>
  <si>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</si>
  <si>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</si>
  <si>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</si>
  <si>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</si>
  <si>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</si>
  <si>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</si>
  <si>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</si>
  <si>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</si>
  <si>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</si>
  <si>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</si>
  <si>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</si>
  <si>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</si>
  <si>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</si>
  <si>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</si>
  <si>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</si>
  <si>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</si>
  <si>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</si>
  <si>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</si>
  <si>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</si>
  <si>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</si>
  <si>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</si>
  <si>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</si>
  <si>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</si>
  <si>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</si>
  <si>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</si>
  <si>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</si>
  <si>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</si>
  <si>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</si>
  <si>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</si>
  <si>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</si>
  <si>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</si>
  <si>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</si>
  <si>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</si>
  <si>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</si>
  <si>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</si>
  <si>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</si>
  <si>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</si>
  <si>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</si>
  <si>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</si>
  <si>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</si>
  <si>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</si>
  <si>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</si>
  <si>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</si>
  <si>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</si>
  <si>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</si>
  <si>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</si>
  <si>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</si>
  <si>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</si>
  <si>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</si>
  <si>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</si>
  <si>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</si>
  <si>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</si>
  <si>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</si>
  <si>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</si>
  <si>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</si>
  <si>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</si>
  <si>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</si>
  <si>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</si>
  <si>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</si>
  <si>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</si>
  <si>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</si>
  <si>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</si>
  <si>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</si>
  <si>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</si>
  <si>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</si>
  <si>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</si>
  <si>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</si>
  <si>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</si>
  <si>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</si>
  <si>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</si>
  <si>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</si>
  <si>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</si>
  <si>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</si>
  <si>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</si>
  <si>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</si>
  <si>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</si>
  <si>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</si>
  <si>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</si>
  <si>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</si>
  <si>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</si>
  <si>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</si>
  <si>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</si>
  <si>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</si>
  <si>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</si>
  <si>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</si>
  <si>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</si>
  <si>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</si>
  <si>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</si>
  <si>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</si>
  <si>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</si>
  <si>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</si>
  <si>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</si>
  <si>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</si>
  <si>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</si>
  <si>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</si>
  <si>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</si>
  <si>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</si>
  <si>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</si>
  <si>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</si>
  <si>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</si>
  <si>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</si>
  <si>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</si>
  <si>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</si>
  <si>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</si>
  <si>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</si>
  <si>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</si>
  <si>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</si>
  <si>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</si>
  <si>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</si>
  <si>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</si>
  <si>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</si>
  <si>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</si>
  <si>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</si>
  <si>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</si>
  <si>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</si>
  <si>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</si>
  <si>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</si>
  <si>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</si>
  <si>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</si>
  <si>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</si>
  <si>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</si>
  <si>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</si>
  <si>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</si>
  <si>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</si>
  <si>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</si>
  <si>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</si>
  <si>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</si>
  <si>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</si>
  <si>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</si>
  <si>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</si>
  <si>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</si>
  <si>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</si>
  <si>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</si>
  <si>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</si>
  <si>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</si>
  <si>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</si>
  <si>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</si>
  <si>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</si>
  <si>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</si>
  <si>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</si>
  <si>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</si>
  <si>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</si>
  <si>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</si>
  <si>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</si>
  <si>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</si>
  <si>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</si>
  <si>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</si>
  <si>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</si>
  <si>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</si>
  <si>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</si>
  <si>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</si>
  <si>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</si>
  <si>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</si>
  <si>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</si>
  <si>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</si>
  <si>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</si>
  <si>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</si>
  <si>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</si>
  <si>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</si>
  <si>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</si>
  <si>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</si>
  <si>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</si>
  <si>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</si>
  <si>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</si>
  <si>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</si>
  <si>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</si>
  <si>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</si>
  <si>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</si>
  <si>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</si>
  <si>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</si>
  <si>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</si>
  <si>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</si>
  <si>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</si>
  <si>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</si>
  <si>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</si>
  <si>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</si>
  <si>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</si>
  <si>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</si>
  <si>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</si>
  <si>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</si>
  <si>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</si>
  <si>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</si>
  <si>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</si>
  <si>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</si>
  <si>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</si>
  <si>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</si>
  <si>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</si>
  <si>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</si>
  <si>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</si>
  <si>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</si>
  <si>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</si>
  <si>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</si>
  <si>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</si>
  <si>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</si>
  <si>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</si>
  <si>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</si>
  <si>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</si>
  <si>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</si>
  <si>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</si>
  <si>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</si>
  <si>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</si>
  <si>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</si>
  <si>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</si>
  <si>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</si>
  <si>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</si>
  <si>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</si>
  <si>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</si>
  <si>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</si>
  <si>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</si>
  <si>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</si>
  <si>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</si>
  <si>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</si>
  <si>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</si>
  <si>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</si>
  <si>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</si>
  <si>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</si>
  <si>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</si>
  <si>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</si>
  <si>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</si>
  <si>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</si>
  <si>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</si>
  <si>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</si>
  <si>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</si>
  <si>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</si>
  <si>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</si>
  <si>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</si>
  <si>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</si>
  <si>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</si>
  <si>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</si>
  <si>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</si>
  <si>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</si>
  <si>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</si>
  <si>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</si>
  <si>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</si>
  <si>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</si>
  <si>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</si>
  <si>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</si>
  <si>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</si>
  <si>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</si>
  <si>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</si>
  <si>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</si>
  <si>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</si>
  <si>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</si>
  <si>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</si>
  <si>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</si>
  <si>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</si>
  <si>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</si>
  <si>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</si>
  <si>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</si>
  <si>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</si>
  <si>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</si>
  <si>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</si>
  <si>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</si>
  <si>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</si>
  <si>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</si>
  <si>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</si>
  <si>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</si>
  <si>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</si>
  <si>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</si>
  <si>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</si>
  <si>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</si>
  <si>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</si>
  <si>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</si>
  <si>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</si>
  <si>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</si>
  <si>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</si>
  <si>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</si>
  <si>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</si>
  <si>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</si>
  <si>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</si>
  <si>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</si>
  <si>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</si>
  <si>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</si>
  <si>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</si>
  <si>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</si>
  <si>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</si>
  <si>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</si>
  <si>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</si>
  <si>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</si>
  <si>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</si>
  <si>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</si>
  <si>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</si>
  <si>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</si>
  <si>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</si>
  <si>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</si>
  <si>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</si>
  <si>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</si>
  <si>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</si>
  <si>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</si>
  <si>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</si>
  <si>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</si>
  <si>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</si>
  <si>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</si>
  <si>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</si>
  <si>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</si>
  <si>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</si>
  <si>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</si>
  <si>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</si>
  <si>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</si>
  <si>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</si>
  <si>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</si>
  <si>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</si>
  <si>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</si>
  <si>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</si>
  <si>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</si>
  <si>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</si>
  <si>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</si>
  <si>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</si>
  <si>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</si>
  <si>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</si>
  <si>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</si>
  <si>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</si>
  <si>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</si>
  <si>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</si>
  <si>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</si>
  <si>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</si>
  <si>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</si>
  <si>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</si>
  <si>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</si>
  <si>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</si>
  <si>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</si>
  <si>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</si>
  <si>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</si>
  <si>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</si>
  <si>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</si>
  <si>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</si>
  <si>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</si>
  <si>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</si>
  <si>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</si>
  <si>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</si>
  <si>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</si>
  <si>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</si>
  <si>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</si>
  <si>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</si>
  <si>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</si>
  <si>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</si>
  <si>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</si>
  <si>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</si>
  <si>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</si>
  <si>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</si>
  <si>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</si>
  <si>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</si>
  <si>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</si>
  <si>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</si>
  <si>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</si>
  <si>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</si>
  <si>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</si>
  <si>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</si>
  <si>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</si>
  <si>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</si>
  <si>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</si>
  <si>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</si>
  <si>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</si>
  <si>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</si>
  <si>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</si>
  <si>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</si>
  <si>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</si>
  <si>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</si>
  <si>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</si>
  <si>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</si>
  <si>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</si>
  <si>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</si>
  <si>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</si>
  <si>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</si>
  <si>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</si>
  <si>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</si>
  <si>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</si>
  <si>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</si>
  <si>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</si>
  <si>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</si>
  <si>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</si>
  <si>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</si>
  <si>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</si>
  <si>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</si>
  <si>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</si>
  <si>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</si>
  <si>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</si>
  <si>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</si>
  <si>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</si>
  <si>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</si>
  <si>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</si>
  <si>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</si>
  <si>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</si>
  <si>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</si>
  <si>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</si>
  <si>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</si>
  <si>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</si>
  <si>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</si>
  <si>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</si>
  <si>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</si>
  <si>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</si>
  <si>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</si>
  <si>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</si>
  <si>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</si>
  <si>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</si>
  <si>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</si>
  <si>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</si>
  <si>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</si>
  <si>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</si>
  <si>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</si>
  <si>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</si>
  <si>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</si>
  <si>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</si>
  <si>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</si>
  <si>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</si>
  <si>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</si>
  <si>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</si>
  <si>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</si>
  <si>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</si>
  <si>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</si>
  <si>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</si>
  <si>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</si>
  <si>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</si>
  <si>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</si>
  <si>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</si>
  <si>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</si>
  <si>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</si>
  <si>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</si>
  <si>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</si>
  <si>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</si>
  <si>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</si>
  <si>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</si>
  <si>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</si>
  <si>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</si>
  <si>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</si>
  <si>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</si>
  <si>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</si>
  <si>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</si>
  <si>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</si>
  <si>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</si>
  <si>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</si>
  <si>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</si>
  <si>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</si>
  <si>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</si>
  <si>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</si>
  <si>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</si>
  <si>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</si>
  <si>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</si>
  <si>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</si>
  <si>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</si>
  <si>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</si>
  <si>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</si>
  <si>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</si>
  <si>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</si>
  <si>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</si>
  <si>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</si>
  <si>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</si>
  <si>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</si>
  <si>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</si>
  <si>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</si>
  <si>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</si>
  <si>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</si>
  <si>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</si>
  <si>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</si>
  <si>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</si>
  <si>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</si>
  <si>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</si>
  <si>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</si>
  <si>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</si>
  <si>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</si>
  <si>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</si>
  <si>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</si>
  <si>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</si>
  <si>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</si>
  <si>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</si>
  <si>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</si>
  <si>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</si>
  <si>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</si>
  <si>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</si>
  <si>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</si>
  <si>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</si>
  <si>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</si>
  <si>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</si>
  <si>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</si>
  <si>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</si>
  <si>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</si>
  <si>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</si>
  <si>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</si>
  <si>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</si>
  <si>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</si>
  <si>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</si>
  <si>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</si>
  <si>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</si>
  <si>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</si>
  <si>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</si>
  <si>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</si>
  <si>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</si>
  <si>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</si>
  <si>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</si>
  <si>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</si>
  <si>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</si>
  <si>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</si>
  <si>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</si>
  <si>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</si>
  <si>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</si>
  <si>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</si>
  <si>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</si>
  <si>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</si>
  <si>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</si>
  <si>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</si>
  <si>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</si>
  <si>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</si>
  <si>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</si>
  <si>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</si>
  <si>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</si>
  <si>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</si>
  <si>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</si>
  <si>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</si>
  <si>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</si>
  <si>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</si>
  <si>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</si>
  <si>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</si>
  <si>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</si>
  <si>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</si>
  <si>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</si>
  <si>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</si>
  <si>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</si>
  <si>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</si>
  <si>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</si>
  <si>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</si>
  <si>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</si>
  <si>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</si>
  <si>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</si>
  <si>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</si>
  <si>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</si>
  <si>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</si>
  <si>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</si>
  <si>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</si>
  <si>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</si>
  <si>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</si>
  <si>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</si>
  <si>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</si>
  <si>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</si>
  <si>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</si>
  <si>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</si>
  <si>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</si>
  <si>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</si>
  <si>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</si>
  <si>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</si>
  <si>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</si>
  <si>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</si>
  <si>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</si>
  <si>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</si>
  <si>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</si>
  <si>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</si>
  <si>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</si>
  <si>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</si>
  <si>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</si>
  <si>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</si>
  <si>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</si>
  <si>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</si>
  <si>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</si>
  <si>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</si>
  <si>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</si>
  <si>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</si>
  <si>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</si>
  <si>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</si>
  <si>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</si>
  <si>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</si>
  <si>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</si>
  <si>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</si>
  <si>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</si>
  <si>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</si>
  <si>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</si>
  <si>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</si>
  <si>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</si>
  <si>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</si>
  <si>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</si>
  <si>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</si>
  <si>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</si>
  <si>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</si>
  <si>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</si>
  <si>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</si>
  <si>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</si>
  <si>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</si>
  <si>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</si>
  <si>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</si>
  <si>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</si>
  <si>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</si>
  <si>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</si>
  <si>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</si>
  <si>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</si>
  <si>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</si>
  <si>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</si>
  <si>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</si>
  <si>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</si>
  <si>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</si>
  <si>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</si>
  <si>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</si>
  <si>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</si>
  <si>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</si>
  <si>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</si>
  <si>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</si>
  <si>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</si>
  <si>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</si>
  <si>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</si>
  <si>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</si>
  <si>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</si>
  <si>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</si>
  <si>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</si>
  <si>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</si>
  <si>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</si>
  <si>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</si>
  <si>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</si>
  <si>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</si>
  <si>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</si>
  <si>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</si>
  <si>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</si>
  <si>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</si>
  <si>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</si>
  <si>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</si>
  <si>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</si>
  <si>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</si>
  <si>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</si>
  <si>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</si>
  <si>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</si>
  <si>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</si>
  <si>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</si>
  <si>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</si>
  <si>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</si>
  <si>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</si>
  <si>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</si>
  <si>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</si>
  <si>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</si>
  <si>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</si>
  <si>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</si>
  <si>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</si>
  <si>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</si>
  <si>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</si>
  <si>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</si>
  <si>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</si>
  <si>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</si>
  <si>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</si>
  <si>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</si>
  <si>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</si>
  <si>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</si>
  <si>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</si>
  <si>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</si>
  <si>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</si>
  <si>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</si>
  <si>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</si>
  <si>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</si>
  <si>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</si>
  <si>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</si>
  <si>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</si>
  <si>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</si>
  <si>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</si>
  <si>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</si>
  <si>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</si>
  <si>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</si>
  <si>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</si>
  <si>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</si>
  <si>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</si>
  <si>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</si>
  <si>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</si>
  <si>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</si>
  <si>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</si>
  <si>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</si>
  <si>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</si>
  <si>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</si>
  <si>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</si>
  <si>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</si>
  <si>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</si>
  <si>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</si>
  <si>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</si>
  <si>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</si>
  <si>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</si>
  <si>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</si>
  <si>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</si>
  <si>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</si>
  <si>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</si>
  <si>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</si>
  <si>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</si>
  <si>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</si>
  <si>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</si>
  <si>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</si>
  <si>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</si>
  <si>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</si>
  <si>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</si>
  <si>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</si>
  <si>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</si>
  <si>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</si>
  <si>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</si>
  <si>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</si>
  <si>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</si>
  <si>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</si>
  <si>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</si>
  <si>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</si>
  <si>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</si>
  <si>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</si>
  <si>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</si>
  <si>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</si>
  <si>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</si>
  <si>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</si>
  <si>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</si>
  <si>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</si>
  <si>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</si>
  <si>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</si>
  <si>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</si>
  <si>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</si>
  <si>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</si>
  <si>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</si>
  <si>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</si>
  <si>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</si>
  <si>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</si>
  <si>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</si>
  <si>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</si>
  <si>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</si>
  <si>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</si>
  <si>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</si>
  <si>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</si>
  <si>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</si>
  <si>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</si>
  <si>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</si>
  <si>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</si>
  <si>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</si>
  <si>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</si>
  <si>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</si>
  <si>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</si>
  <si>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</si>
  <si>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</si>
  <si>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</si>
  <si>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</si>
  <si>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</si>
  <si>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</si>
  <si>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</si>
  <si>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</si>
  <si>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</si>
  <si>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</si>
  <si>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</si>
  <si>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</si>
  <si>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</si>
  <si>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</si>
  <si>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</si>
  <si>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</si>
  <si>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</si>
  <si>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</si>
  <si>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</si>
  <si>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</si>
  <si>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</si>
  <si>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</si>
  <si>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</si>
  <si>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</si>
  <si>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</si>
  <si>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</si>
  <si>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</si>
  <si>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</si>
  <si>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</si>
  <si>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</si>
  <si>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</si>
  <si>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</si>
  <si>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</si>
  <si>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</si>
  <si>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</si>
  <si>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</si>
  <si>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</si>
  <si>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</si>
  <si>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</si>
  <si>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</si>
  <si>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</si>
  <si>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</si>
  <si>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</si>
  <si>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</si>
  <si>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</si>
  <si>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</si>
  <si>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</si>
  <si>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</si>
  <si>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</si>
  <si>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</si>
  <si>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</si>
  <si>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</si>
  <si>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</si>
  <si>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</si>
  <si>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</si>
  <si>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</si>
  <si>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</si>
  <si>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</si>
  <si>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</si>
  <si>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</si>
  <si>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</si>
  <si>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</si>
  <si>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</si>
  <si>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</si>
  <si>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</si>
  <si>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</si>
  <si>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</si>
  <si>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</si>
  <si>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</si>
  <si>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</si>
  <si>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</si>
  <si>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</si>
  <si>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</si>
  <si>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</si>
  <si>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</si>
  <si>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</si>
  <si>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</si>
  <si>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</si>
  <si>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</si>
  <si>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</si>
  <si>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</si>
  <si>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</si>
  <si>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</si>
  <si>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</si>
  <si>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</si>
  <si>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</si>
  <si>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</si>
  <si>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</si>
  <si>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</si>
  <si>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</si>
  <si>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</si>
  <si>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</si>
  <si>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</si>
  <si>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</si>
  <si>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</si>
  <si>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</si>
  <si>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</si>
  <si>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</si>
  <si>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</si>
  <si>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</si>
  <si>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</si>
  <si>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</si>
  <si>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</si>
  <si>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</si>
  <si>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</si>
  <si>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</si>
  <si>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</si>
  <si>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</si>
  <si>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</si>
  <si>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</si>
  <si>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</si>
  <si>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</si>
  <si>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</si>
  <si>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</si>
  <si>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</si>
  <si>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</si>
  <si>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</si>
  <si>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</si>
  <si>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</si>
  <si>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</si>
  <si>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</si>
  <si>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</si>
  <si>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</si>
  <si>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</si>
  <si>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</si>
  <si>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</si>
  <si>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</si>
  <si>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</si>
  <si>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</si>
  <si>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</si>
  <si>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</si>
  <si>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</si>
  <si>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</si>
  <si>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</si>
  <si>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</si>
  <si>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</si>
  <si>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</si>
  <si>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</si>
  <si>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</si>
  <si>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</si>
  <si>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</si>
  <si>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</si>
  <si>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</si>
  <si>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</si>
  <si>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</si>
  <si>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</si>
  <si>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</si>
  <si>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</si>
  <si>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</si>
  <si>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</si>
  <si>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</si>
  <si>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</si>
  <si>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</si>
  <si>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</si>
  <si>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</si>
  <si>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</si>
  <si>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</si>
  <si>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</si>
  <si>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</si>
  <si>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</si>
  <si>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</si>
  <si>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</si>
  <si>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</si>
  <si>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</si>
  <si>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</si>
  <si>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</si>
  <si>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</si>
  <si>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</si>
  <si>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</si>
  <si>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</si>
  <si>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</si>
  <si>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</si>
  <si>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</si>
  <si>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</si>
  <si>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</si>
  <si>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</si>
  <si>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</si>
  <si>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</si>
  <si>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</si>
  <si>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</si>
  <si>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</si>
  <si>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</si>
  <si>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</si>
  <si>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</si>
  <si>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</si>
  <si>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</si>
  <si>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</si>
  <si>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</si>
  <si>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</si>
  <si>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</si>
  <si>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</si>
  <si>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</si>
  <si>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</si>
  <si>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</si>
  <si>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</si>
  <si>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</si>
  <si>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</si>
  <si>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</si>
  <si>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</si>
  <si>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</si>
  <si>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</si>
  <si>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</si>
  <si>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</si>
  <si>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</si>
  <si>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</si>
  <si>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</si>
  <si>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</si>
  <si>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</si>
  <si>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</si>
  <si>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</si>
  <si>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</si>
  <si>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</si>
  <si>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</si>
  <si>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</si>
  <si>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</si>
  <si>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</si>
  <si>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</si>
  <si>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</si>
  <si>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</si>
  <si>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</si>
  <si>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</si>
  <si>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</si>
  <si>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</si>
  <si>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</si>
  <si>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</si>
  <si>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</si>
  <si>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</si>
  <si>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</si>
  <si>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</si>
  <si>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</si>
  <si>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</si>
  <si>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</si>
  <si>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</si>
  <si>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</si>
  <si>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</si>
  <si>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</si>
  <si>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</si>
  <si>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</si>
  <si>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</si>
  <si>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</si>
  <si>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</si>
  <si>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</si>
  <si>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</si>
  <si>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</si>
  <si>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</si>
  <si>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</si>
  <si>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</si>
  <si>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</si>
  <si>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</si>
  <si>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</si>
  <si>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</si>
  <si>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</si>
  <si>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</si>
  <si>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</si>
  <si>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</si>
  <si>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</si>
  <si>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</si>
  <si>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</si>
  <si>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</si>
  <si>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</si>
  <si>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</si>
  <si>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</si>
  <si>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</si>
  <si>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</si>
  <si>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</si>
  <si>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</si>
  <si>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</si>
  <si>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</si>
  <si>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</si>
  <si>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</si>
  <si>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</si>
  <si>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</si>
  <si>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</si>
  <si>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</si>
  <si>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</si>
  <si>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</si>
  <si>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</si>
  <si>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</si>
  <si>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</si>
  <si>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</si>
  <si>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</si>
  <si>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</si>
  <si>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</si>
  <si>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</si>
  <si>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</si>
  <si>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</si>
  <si>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</si>
  <si>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</si>
  <si>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</si>
  <si>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</si>
  <si>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</si>
  <si>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</si>
  <si>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</si>
  <si>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</si>
  <si>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</si>
  <si>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</si>
  <si>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</si>
  <si>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</si>
  <si>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</si>
  <si>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</si>
  <si>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</si>
  <si>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</si>
  <si>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</si>
  <si>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</si>
  <si>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</si>
  <si>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</si>
  <si>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</si>
  <si>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</si>
  <si>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</si>
  <si>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</si>
  <si>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</si>
  <si>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</si>
  <si>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</si>
  <si>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</si>
  <si>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</si>
  <si>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</si>
  <si>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</si>
  <si>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</si>
  <si>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</si>
  <si>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</si>
  <si>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</si>
  <si>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</si>
  <si>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</si>
  <si>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</si>
  <si>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</si>
  <si>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</si>
  <si>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</si>
  <si>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</si>
  <si>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</si>
  <si>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</si>
  <si>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</si>
  <si>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</si>
  <si>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</si>
  <si>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</si>
  <si>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</si>
  <si>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</si>
  <si>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</si>
  <si>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</si>
  <si>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</si>
  <si>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</si>
  <si>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</si>
  <si>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</si>
  <si>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</si>
  <si>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</si>
  <si>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</si>
  <si>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</si>
  <si>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</si>
  <si>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</si>
  <si>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</si>
  <si>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</si>
  <si>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</si>
  <si>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</si>
  <si>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</si>
  <si>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</si>
  <si>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</si>
  <si>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</si>
  <si>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</si>
  <si>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</si>
  <si>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</si>
  <si>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</si>
  <si>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</si>
  <si>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</si>
  <si>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</si>
  <si>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</si>
  <si>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</si>
  <si>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</si>
  <si>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</si>
  <si>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</si>
  <si>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</si>
  <si>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</si>
  <si>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</si>
  <si>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</si>
  <si>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</si>
  <si>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</si>
  <si>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</si>
  <si>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</si>
  <si>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</si>
  <si>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</si>
  <si>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</si>
  <si>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</si>
  <si>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</si>
  <si>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</si>
  <si>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</si>
  <si>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</si>
  <si>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</si>
  <si>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</si>
  <si>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</si>
  <si>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</si>
  <si>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</si>
  <si>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</si>
  <si>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</si>
  <si>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</si>
  <si>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</si>
  <si>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</si>
  <si>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</si>
  <si>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</si>
  <si>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</si>
  <si>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</si>
  <si>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</si>
  <si>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</si>
  <si>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</si>
  <si>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</si>
  <si>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</si>
  <si>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</si>
  <si>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</si>
  <si>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</si>
  <si>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</si>
  <si>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</si>
  <si>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</si>
  <si>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</si>
  <si>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</si>
  <si>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</si>
  <si>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</si>
  <si>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</si>
  <si>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</si>
  <si>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</si>
  <si>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</si>
  <si>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</si>
  <si>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</si>
  <si>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</si>
  <si>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</si>
  <si>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</si>
  <si>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</si>
  <si>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</si>
  <si>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</si>
  <si>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</si>
  <si>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</si>
  <si>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</si>
  <si>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</si>
  <si>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</si>
  <si>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</si>
  <si>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</si>
  <si>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</si>
  <si>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</si>
  <si>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</si>
  <si>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</si>
  <si>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</si>
  <si>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</si>
  <si>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</si>
  <si>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</si>
  <si>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</si>
  <si>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</si>
  <si>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</si>
  <si>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</si>
  <si>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</si>
  <si>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</si>
  <si>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</si>
  <si>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</si>
  <si>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</si>
  <si>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</si>
  <si>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</si>
  <si>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</si>
  <si>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</si>
  <si>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</si>
  <si>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</si>
  <si>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</si>
  <si>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</si>
  <si>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</si>
  <si>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</si>
  <si>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</si>
  <si>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</si>
  <si>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</si>
  <si>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</si>
  <si>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</si>
  <si>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</si>
  <si>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</si>
  <si>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</si>
  <si>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</si>
  <si>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</si>
  <si>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</si>
  <si>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</si>
  <si>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</si>
  <si>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</si>
  <si>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</si>
  <si>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</si>
  <si>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</si>
  <si>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</si>
  <si>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</si>
  <si>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</si>
  <si>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</si>
  <si>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</si>
  <si>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</si>
  <si>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</si>
  <si>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</si>
  <si>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</si>
  <si>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</si>
  <si>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</si>
  <si>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</si>
  <si>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</si>
  <si>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</si>
  <si>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</si>
  <si>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</si>
  <si>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</si>
  <si>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</si>
  <si>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</si>
  <si>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</si>
  <si>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</si>
  <si>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</si>
  <si>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</si>
  <si>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</si>
  <si>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</si>
  <si>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</si>
  <si>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</si>
  <si>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</si>
  <si>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</si>
  <si>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</si>
  <si>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</si>
  <si>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</si>
  <si>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</si>
  <si>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</si>
  <si>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</si>
  <si>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</si>
  <si>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</si>
  <si>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</si>
  <si>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</si>
  <si>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</si>
  <si>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</si>
  <si>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</si>
  <si>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</si>
  <si>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</si>
  <si>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</si>
  <si>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</si>
  <si>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</si>
  <si>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</si>
  <si>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</si>
  <si>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</si>
  <si>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</si>
  <si>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</si>
  <si>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</si>
  <si>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</si>
  <si>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</si>
  <si>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</si>
  <si>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</si>
  <si>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</si>
  <si>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</si>
  <si>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</si>
  <si>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</si>
  <si>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</si>
  <si>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</si>
  <si>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</si>
  <si>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</si>
  <si>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</si>
  <si>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</si>
  <si>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</si>
  <si>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</si>
  <si>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</si>
  <si>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</si>
  <si>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</si>
  <si>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</si>
  <si>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</si>
  <si>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</si>
  <si>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</si>
  <si>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</si>
  <si>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</si>
  <si>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</si>
  <si>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</si>
  <si>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</si>
  <si>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</si>
  <si>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</si>
  <si>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</si>
  <si>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</si>
  <si>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</si>
  <si>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</si>
  <si>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</si>
  <si>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</si>
  <si>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</si>
  <si>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</si>
  <si>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</si>
  <si>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</si>
  <si>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</si>
  <si>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</si>
  <si>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</si>
  <si>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</si>
  <si>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</si>
  <si>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</si>
  <si>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</si>
  <si>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</si>
  <si>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</si>
  <si>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</si>
  <si>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</si>
  <si>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</si>
  <si>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</si>
  <si>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</si>
  <si>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</si>
  <si>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</si>
  <si>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</si>
  <si>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</si>
  <si>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</si>
  <si>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</si>
  <si>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VILA PAZ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</si>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</sst>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3" tableId="0">
      <sortRules>
        <sortRule colId="4">
          <sortCondition ref="E4:E535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66"/>
  <sheetViews>
    <sheetView showGridLines="0" tabSelected="1" zoomScale="85" zoomScaleNormal="85" workbookViewId="0">
      <pane xSplit="6" ySplit="4" topLeftCell="AV569" activePane="bottomRight" state="frozen"/>
      <selection pane="bottomRight" activeCell="AX572" sqref="AX572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 t="s">
        <v>4417</v>
      </c>
      <c r="P6" s="202" t="s">
        <v>4407</v>
      </c>
      <c r="Q6" s="202"/>
      <c r="R6" s="202"/>
      <c r="S6" s="202"/>
      <c r="T6" s="202"/>
      <c r="U6" s="202"/>
      <c r="V6" s="202"/>
      <c r="W6" s="202"/>
      <c r="X6" s="202"/>
      <c r="Y6" s="202"/>
      <c r="Z6" s="216"/>
      <c r="AA6" s="215" t="s">
        <v>4418</v>
      </c>
      <c r="AB6" s="215" t="s">
        <v>4419</v>
      </c>
      <c r="AC6" s="215" t="s">
        <v>4420</v>
      </c>
      <c r="AD6" s="217" t="s">
        <v>4421</v>
      </c>
      <c r="AE6" s="207" t="s">
        <v>4405</v>
      </c>
      <c r="AF6" s="218">
        <v>62160.58</v>
      </c>
      <c r="AG6" s="218">
        <v>62160.58</v>
      </c>
      <c r="AH6" s="207" t="s">
        <v>4422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4423</v>
      </c>
      <c r="AT6" s="219"/>
      <c r="AU6" s="220" t="s">
        <v>4424</v>
      </c>
      <c r="AV6" s="219" t="s">
        <v>4425</v>
      </c>
      <c r="AW6" s="219" t="s">
        <v>4425</v>
      </c>
      <c r="AX6" s="257" t="s">
        <v>4426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4427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4428</v>
      </c>
      <c r="I7" s="163" t="s">
        <v>4421</v>
      </c>
      <c r="J7" s="215" t="s">
        <v>4429</v>
      </c>
      <c r="K7" s="214" t="s">
        <v>4430</v>
      </c>
      <c r="L7" s="214" t="s">
        <v>4431</v>
      </c>
      <c r="M7" s="197" t="s">
        <v>4405</v>
      </c>
      <c r="N7" s="207" t="s">
        <v>4432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4429</v>
      </c>
      <c r="AB7" s="214" t="s">
        <v>4430</v>
      </c>
      <c r="AC7" s="214" t="s">
        <v>4431</v>
      </c>
      <c r="AD7" s="217" t="s">
        <v>4421</v>
      </c>
      <c r="AE7" s="207" t="s">
        <v>4405</v>
      </c>
      <c r="AF7" s="218">
        <v>54401.18</v>
      </c>
      <c r="AG7" s="218">
        <v>60000</v>
      </c>
      <c r="AH7" s="207" t="s">
        <v>4433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4423</v>
      </c>
      <c r="AT7" s="207"/>
      <c r="AU7" s="220" t="s">
        <v>4434</v>
      </c>
      <c r="AV7" s="207" t="s">
        <v>4425</v>
      </c>
      <c r="AW7" s="207" t="s">
        <v>4425</v>
      </c>
      <c r="AX7" s="207" t="s">
        <v>4425</v>
      </c>
      <c r="AY7" s="207" t="s">
        <v>4425</v>
      </c>
      <c r="AZ7" s="203">
        <v>46024</v>
      </c>
      <c r="BA7" s="207" t="s">
        <v>4425</v>
      </c>
      <c r="BB7" s="207" t="s">
        <v>4425</v>
      </c>
      <c r="BC7" s="208">
        <v>46038</v>
      </c>
      <c r="BD7" s="226">
        <v>46038</v>
      </c>
      <c r="BE7" s="227" t="s">
        <v>4435</v>
      </c>
      <c r="BF7" s="228" t="s">
        <v>4436</v>
      </c>
      <c r="BG7" s="229" t="s">
        <v>4425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4437</v>
      </c>
      <c r="BL7" s="230" t="s">
        <v>4437</v>
      </c>
      <c r="BM7" s="230" t="s">
        <v>4437</v>
      </c>
      <c r="BN7" s="207" t="s">
        <v>4425</v>
      </c>
      <c r="BO7" s="207" t="s">
        <v>4425</v>
      </c>
      <c r="BP7" s="203">
        <v>46128</v>
      </c>
      <c r="BQ7" s="207" t="s">
        <v>4425</v>
      </c>
      <c r="BR7" s="231" t="s">
        <v>4435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4438</v>
      </c>
      <c r="G8" s="207" t="s">
        <v>4400</v>
      </c>
      <c r="H8" s="207" t="s">
        <v>4401</v>
      </c>
      <c r="I8" s="207" t="s">
        <v>4402</v>
      </c>
      <c r="J8" s="215" t="s">
        <v>4439</v>
      </c>
      <c r="K8" s="215" t="s">
        <v>4440</v>
      </c>
      <c r="L8" s="215" t="s">
        <v>4441</v>
      </c>
      <c r="M8" s="197" t="s">
        <v>4405</v>
      </c>
      <c r="N8" s="197" t="s">
        <v>4442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4439</v>
      </c>
      <c r="AB8" s="215" t="s">
        <v>4440</v>
      </c>
      <c r="AC8" s="215" t="s">
        <v>4441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4422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4423</v>
      </c>
      <c r="AT8" s="207"/>
      <c r="AU8" s="220" t="s">
        <v>4443</v>
      </c>
      <c r="AV8" s="207" t="s">
        <v>4425</v>
      </c>
      <c r="AW8" s="207" t="s">
        <v>4425</v>
      </c>
      <c r="AX8" s="207" t="s">
        <v>4425</v>
      </c>
      <c r="AY8" s="207" t="s">
        <v>4425</v>
      </c>
      <c r="AZ8" s="202">
        <v>46189</v>
      </c>
      <c r="BA8" s="207" t="s">
        <v>4425</v>
      </c>
      <c r="BB8" s="207" t="s">
        <v>4425</v>
      </c>
      <c r="BC8" s="202">
        <v>46196</v>
      </c>
      <c r="BD8" s="227">
        <v>46196</v>
      </c>
      <c r="BE8" s="227" t="s">
        <v>4435</v>
      </c>
      <c r="BF8" s="228" t="s">
        <v>4436</v>
      </c>
      <c r="BG8" s="219" t="s">
        <v>4425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4437</v>
      </c>
      <c r="BL8" s="219" t="s">
        <v>4437</v>
      </c>
      <c r="BM8" s="219" t="s">
        <v>4437</v>
      </c>
      <c r="BN8" s="207" t="s">
        <v>4425</v>
      </c>
      <c r="BO8" s="207" t="s">
        <v>4425</v>
      </c>
      <c r="BP8" s="202">
        <v>46224</v>
      </c>
      <c r="BQ8" s="207" t="s">
        <v>4425</v>
      </c>
      <c r="BR8" s="232" t="s">
        <v>4435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4444</v>
      </c>
      <c r="G9" s="207" t="s">
        <v>4400</v>
      </c>
      <c r="H9" s="207" t="s">
        <v>4401</v>
      </c>
      <c r="I9" s="163" t="s">
        <v>4421</v>
      </c>
      <c r="J9" s="215" t="s">
        <v>4445</v>
      </c>
      <c r="K9" s="215" t="s">
        <v>4440</v>
      </c>
      <c r="L9" s="215" t="s">
        <v>4446</v>
      </c>
      <c r="M9" s="197"/>
      <c r="N9" s="197"/>
      <c r="O9" s="202" t="s">
        <v>4409</v>
      </c>
      <c r="P9" s="202" t="s">
        <v>4409</v>
      </c>
      <c r="Q9" s="202" t="s">
        <v>4409</v>
      </c>
      <c r="R9" s="202" t="s">
        <v>4409</v>
      </c>
      <c r="S9" s="202" t="s">
        <v>4409</v>
      </c>
      <c r="T9" s="202" t="s">
        <v>4409</v>
      </c>
      <c r="U9" s="202" t="s">
        <v>4409</v>
      </c>
      <c r="V9" s="202" t="s">
        <v>4409</v>
      </c>
      <c r="W9" s="202" t="s">
        <v>4409</v>
      </c>
      <c r="X9" s="202" t="s">
        <v>4409</v>
      </c>
      <c r="Y9" s="202"/>
      <c r="Z9" s="219"/>
      <c r="AA9" s="215" t="s">
        <v>4445</v>
      </c>
      <c r="AB9" s="215" t="s">
        <v>4440</v>
      </c>
      <c r="AC9" s="215" t="s">
        <v>4446</v>
      </c>
      <c r="AD9" s="217" t="s">
        <v>4421</v>
      </c>
      <c r="AE9" s="207" t="s">
        <v>4405</v>
      </c>
      <c r="AF9" s="218">
        <v>93714.3</v>
      </c>
      <c r="AG9" s="218">
        <v>93714.3</v>
      </c>
      <c r="AH9" s="207" t="s">
        <v>4433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4447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4448</v>
      </c>
      <c r="G10" s="207" t="s">
        <v>4400</v>
      </c>
      <c r="H10" s="207" t="s">
        <v>4449</v>
      </c>
      <c r="I10" s="163" t="s">
        <v>4421</v>
      </c>
      <c r="J10" s="215" t="s">
        <v>4450</v>
      </c>
      <c r="K10" s="215" t="s">
        <v>4451</v>
      </c>
      <c r="L10" s="215" t="s">
        <v>4452</v>
      </c>
      <c r="M10" s="197" t="s">
        <v>4405</v>
      </c>
      <c r="N10" s="207" t="s">
        <v>4442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4450</v>
      </c>
      <c r="AB10" s="215" t="s">
        <v>4451</v>
      </c>
      <c r="AC10" s="215" t="s">
        <v>4452</v>
      </c>
      <c r="AD10" s="233" t="s">
        <v>4421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4453</v>
      </c>
      <c r="D11" s="207">
        <v>1</v>
      </c>
      <c r="E11" s="207" t="s">
        <v>4398</v>
      </c>
      <c r="F11" s="214" t="s">
        <v>4448</v>
      </c>
      <c r="G11" s="207" t="s">
        <v>4400</v>
      </c>
      <c r="H11" s="207" t="s">
        <v>4401</v>
      </c>
      <c r="I11" s="217" t="s">
        <v>4402</v>
      </c>
      <c r="J11" s="215" t="s">
        <v>4454</v>
      </c>
      <c r="K11" s="214" t="s">
        <v>4455</v>
      </c>
      <c r="L11" s="214" t="s">
        <v>4456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4454</v>
      </c>
      <c r="AB11" s="215" t="s">
        <v>4455</v>
      </c>
      <c r="AC11" s="215" t="s">
        <v>4456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4427</v>
      </c>
      <c r="D12" s="207">
        <v>1</v>
      </c>
      <c r="E12" s="207" t="s">
        <v>4398</v>
      </c>
      <c r="F12" s="214" t="s">
        <v>4448</v>
      </c>
      <c r="G12" s="207" t="s">
        <v>4400</v>
      </c>
      <c r="H12" s="207" t="s">
        <v>4401</v>
      </c>
      <c r="I12" s="217" t="s">
        <v>4402</v>
      </c>
      <c r="J12" s="215" t="s">
        <v>4457</v>
      </c>
      <c r="K12" s="214" t="s">
        <v>4398</v>
      </c>
      <c r="L12" s="214" t="s">
        <v>4458</v>
      </c>
      <c r="M12" s="197" t="s">
        <v>4405</v>
      </c>
      <c r="N12" s="207" t="s">
        <v>4442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4457</v>
      </c>
      <c r="AB12" s="214" t="s">
        <v>4398</v>
      </c>
      <c r="AC12" s="214" t="s">
        <v>4458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4433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4423</v>
      </c>
      <c r="AT12" s="207"/>
      <c r="AU12" s="220" t="s">
        <v>4459</v>
      </c>
      <c r="AV12" s="207" t="s">
        <v>4425</v>
      </c>
      <c r="AW12" s="207" t="s">
        <v>4425</v>
      </c>
      <c r="AX12" s="207" t="s">
        <v>4425</v>
      </c>
      <c r="AY12" s="207" t="s">
        <v>4425</v>
      </c>
      <c r="AZ12" s="203">
        <v>46024</v>
      </c>
      <c r="BA12" s="207" t="s">
        <v>4425</v>
      </c>
      <c r="BB12" s="207" t="s">
        <v>4425</v>
      </c>
      <c r="BC12" s="208">
        <v>46037</v>
      </c>
      <c r="BD12" s="226">
        <v>46037</v>
      </c>
      <c r="BE12" s="227" t="s">
        <v>4435</v>
      </c>
      <c r="BF12" s="228" t="s">
        <v>4436</v>
      </c>
      <c r="BG12" s="229" t="s">
        <v>4425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4437</v>
      </c>
      <c r="BL12" s="230" t="s">
        <v>4437</v>
      </c>
      <c r="BM12" s="230" t="s">
        <v>4437</v>
      </c>
      <c r="BN12" s="207" t="s">
        <v>4425</v>
      </c>
      <c r="BO12" s="207" t="s">
        <v>4425</v>
      </c>
      <c r="BP12" s="203">
        <v>46128</v>
      </c>
      <c r="BQ12" s="207" t="s">
        <v>4425</v>
      </c>
      <c r="BR12" s="231" t="s">
        <v>4435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4453</v>
      </c>
      <c r="D13" s="207">
        <v>1</v>
      </c>
      <c r="E13" s="207" t="s">
        <v>4398</v>
      </c>
      <c r="F13" s="214" t="s">
        <v>4460</v>
      </c>
      <c r="G13" s="207" t="s">
        <v>4400</v>
      </c>
      <c r="H13" s="207" t="s">
        <v>4401</v>
      </c>
      <c r="I13" s="217" t="s">
        <v>4402</v>
      </c>
      <c r="J13" s="215" t="s">
        <v>4461</v>
      </c>
      <c r="K13" s="215" t="s">
        <v>4462</v>
      </c>
      <c r="L13" s="215" t="s">
        <v>4463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4461</v>
      </c>
      <c r="AB13" s="215" t="s">
        <v>4462</v>
      </c>
      <c r="AC13" s="215" t="s">
        <v>4463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4427</v>
      </c>
      <c r="D14" s="207">
        <v>1</v>
      </c>
      <c r="E14" s="207" t="s">
        <v>4398</v>
      </c>
      <c r="F14" s="214" t="s">
        <v>4460</v>
      </c>
      <c r="G14" s="207" t="s">
        <v>4400</v>
      </c>
      <c r="H14" s="207" t="s">
        <v>4401</v>
      </c>
      <c r="I14" s="217" t="s">
        <v>4402</v>
      </c>
      <c r="J14" s="215" t="s">
        <v>4464</v>
      </c>
      <c r="K14" s="214" t="s">
        <v>4398</v>
      </c>
      <c r="L14" s="214" t="s">
        <v>4465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4464</v>
      </c>
      <c r="AB14" s="214" t="s">
        <v>4398</v>
      </c>
      <c r="AC14" s="214" t="s">
        <v>4465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4427</v>
      </c>
      <c r="D15" s="207">
        <v>1</v>
      </c>
      <c r="E15" s="250" t="s">
        <v>4398</v>
      </c>
      <c r="F15" s="214" t="s">
        <v>4466</v>
      </c>
      <c r="G15" s="207" t="s">
        <v>4400</v>
      </c>
      <c r="H15" s="207" t="s">
        <v>4401</v>
      </c>
      <c r="I15" s="217" t="s">
        <v>4402</v>
      </c>
      <c r="J15" s="215" t="s">
        <v>4467</v>
      </c>
      <c r="K15" s="214" t="s">
        <v>4468</v>
      </c>
      <c r="L15" s="214" t="s">
        <v>4469</v>
      </c>
      <c r="M15" s="197" t="s">
        <v>4405</v>
      </c>
      <c r="N15" s="197" t="s">
        <v>4442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4467</v>
      </c>
      <c r="AB15" s="214" t="s">
        <v>4468</v>
      </c>
      <c r="AC15" s="214" t="s">
        <v>4469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4433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4427</v>
      </c>
      <c r="D16" s="207">
        <v>1</v>
      </c>
      <c r="E16" s="207" t="s">
        <v>4398</v>
      </c>
      <c r="F16" s="214" t="s">
        <v>4470</v>
      </c>
      <c r="G16" s="207" t="s">
        <v>4400</v>
      </c>
      <c r="H16" s="207" t="s">
        <v>4401</v>
      </c>
      <c r="I16" s="217" t="s">
        <v>4402</v>
      </c>
      <c r="J16" s="215" t="s">
        <v>4471</v>
      </c>
      <c r="K16" s="214" t="s">
        <v>4472</v>
      </c>
      <c r="L16" s="214" t="s">
        <v>4473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4471</v>
      </c>
      <c r="AB16" s="214" t="s">
        <v>4472</v>
      </c>
      <c r="AC16" s="214" t="s">
        <v>4473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4427</v>
      </c>
      <c r="D17" s="207">
        <v>1</v>
      </c>
      <c r="E17" s="207" t="s">
        <v>4398</v>
      </c>
      <c r="F17" s="214" t="s">
        <v>4474</v>
      </c>
      <c r="G17" s="207" t="s">
        <v>4400</v>
      </c>
      <c r="H17" s="207" t="s">
        <v>4401</v>
      </c>
      <c r="I17" s="217" t="s">
        <v>4402</v>
      </c>
      <c r="J17" s="215" t="s">
        <v>4475</v>
      </c>
      <c r="K17" s="214" t="s">
        <v>4476</v>
      </c>
      <c r="L17" s="214" t="s">
        <v>4477</v>
      </c>
      <c r="M17" s="197" t="s">
        <v>4405</v>
      </c>
      <c r="N17" s="197" t="s">
        <v>4442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4475</v>
      </c>
      <c r="AB17" s="214" t="s">
        <v>4476</v>
      </c>
      <c r="AC17" s="214" t="s">
        <v>4477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4422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4423</v>
      </c>
      <c r="AT17" s="207"/>
      <c r="AU17" s="220" t="s">
        <v>4478</v>
      </c>
      <c r="AV17" s="207" t="s">
        <v>4425</v>
      </c>
      <c r="AW17" s="207" t="s">
        <v>4425</v>
      </c>
      <c r="AX17" s="207" t="s">
        <v>4425</v>
      </c>
      <c r="AY17" s="207" t="s">
        <v>4425</v>
      </c>
      <c r="AZ17" s="202">
        <v>46174</v>
      </c>
      <c r="BA17" s="207" t="s">
        <v>4425</v>
      </c>
      <c r="BB17" s="207" t="s">
        <v>4425</v>
      </c>
      <c r="BC17" s="202">
        <v>46182</v>
      </c>
      <c r="BD17" s="227">
        <v>46182</v>
      </c>
      <c r="BE17" s="235" t="s">
        <v>4435</v>
      </c>
      <c r="BF17" s="236" t="s">
        <v>4436</v>
      </c>
      <c r="BG17" s="237" t="s">
        <v>4425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4437</v>
      </c>
      <c r="BL17" s="238" t="s">
        <v>4437</v>
      </c>
      <c r="BM17" s="238" t="s">
        <v>4437</v>
      </c>
      <c r="BN17" s="207" t="s">
        <v>4425</v>
      </c>
      <c r="BO17" s="207" t="s">
        <v>4425</v>
      </c>
      <c r="BP17" s="202">
        <v>46224</v>
      </c>
      <c r="BQ17" s="207" t="s">
        <v>4425</v>
      </c>
      <c r="BR17" s="232" t="s">
        <v>4435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4427</v>
      </c>
      <c r="D18" s="207">
        <v>1</v>
      </c>
      <c r="E18" s="207" t="s">
        <v>4398</v>
      </c>
      <c r="F18" s="214" t="s">
        <v>4479</v>
      </c>
      <c r="G18" s="207" t="s">
        <v>4400</v>
      </c>
      <c r="H18" s="207" t="s">
        <v>4401</v>
      </c>
      <c r="I18" s="217" t="s">
        <v>4402</v>
      </c>
      <c r="J18" s="215" t="s">
        <v>4480</v>
      </c>
      <c r="K18" s="214" t="s">
        <v>4481</v>
      </c>
      <c r="L18" s="214" t="s">
        <v>4482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4480</v>
      </c>
      <c r="AB18" s="214" t="s">
        <v>4481</v>
      </c>
      <c r="AC18" s="214" t="s">
        <v>4482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4427</v>
      </c>
      <c r="D19" s="207">
        <v>1</v>
      </c>
      <c r="E19" s="207" t="s">
        <v>4398</v>
      </c>
      <c r="F19" s="214" t="s">
        <v>4483</v>
      </c>
      <c r="G19" s="207" t="s">
        <v>4484</v>
      </c>
      <c r="H19" s="207" t="s">
        <v>4401</v>
      </c>
      <c r="I19" s="217" t="s">
        <v>4402</v>
      </c>
      <c r="J19" s="215" t="s">
        <v>4485</v>
      </c>
      <c r="K19" s="214" t="s">
        <v>4398</v>
      </c>
      <c r="L19" s="214" t="s">
        <v>4486</v>
      </c>
      <c r="M19" s="197" t="s">
        <v>4405</v>
      </c>
      <c r="N19" s="197" t="s">
        <v>4442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4487</v>
      </c>
      <c r="AB19" s="215" t="s">
        <v>4488</v>
      </c>
      <c r="AC19" s="215" t="s">
        <v>4489</v>
      </c>
      <c r="AD19" s="217" t="s">
        <v>4421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4433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4423</v>
      </c>
      <c r="AT19" s="207"/>
      <c r="AU19" s="220" t="s">
        <v>4490</v>
      </c>
      <c r="AV19" s="197" t="s">
        <v>4425</v>
      </c>
      <c r="AW19" s="207" t="s">
        <v>4425</v>
      </c>
      <c r="AX19" s="207" t="s">
        <v>4425</v>
      </c>
      <c r="AY19" s="207" t="s">
        <v>4425</v>
      </c>
      <c r="AZ19" s="202">
        <v>46071</v>
      </c>
      <c r="BA19" s="219" t="s">
        <v>4425</v>
      </c>
      <c r="BB19" s="219" t="s">
        <v>4425</v>
      </c>
      <c r="BC19" s="239">
        <v>46093</v>
      </c>
      <c r="BD19" s="227">
        <v>46093</v>
      </c>
      <c r="BE19" s="227" t="s">
        <v>4435</v>
      </c>
      <c r="BF19" s="228" t="s">
        <v>4436</v>
      </c>
      <c r="BG19" s="229" t="s">
        <v>4425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4437</v>
      </c>
      <c r="BL19" s="230" t="s">
        <v>4437</v>
      </c>
      <c r="BM19" s="230" t="s">
        <v>4437</v>
      </c>
      <c r="BN19" s="207" t="s">
        <v>4425</v>
      </c>
      <c r="BO19" s="207" t="s">
        <v>4425</v>
      </c>
      <c r="BP19" s="203">
        <v>46128</v>
      </c>
      <c r="BQ19" s="207" t="s">
        <v>4425</v>
      </c>
      <c r="BR19" s="231" t="s">
        <v>4435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4427</v>
      </c>
      <c r="D20" s="207">
        <v>1</v>
      </c>
      <c r="E20" s="207" t="s">
        <v>4398</v>
      </c>
      <c r="F20" s="214" t="s">
        <v>4491</v>
      </c>
      <c r="G20" s="207" t="s">
        <v>4400</v>
      </c>
      <c r="H20" s="207" t="s">
        <v>4401</v>
      </c>
      <c r="I20" s="217" t="s">
        <v>4402</v>
      </c>
      <c r="J20" s="215" t="s">
        <v>4492</v>
      </c>
      <c r="K20" s="214" t="s">
        <v>4493</v>
      </c>
      <c r="L20" s="214" t="s">
        <v>4494</v>
      </c>
      <c r="M20" s="197" t="s">
        <v>4405</v>
      </c>
      <c r="N20" s="197" t="s">
        <v>4442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4492</v>
      </c>
      <c r="AB20" s="214" t="s">
        <v>4493</v>
      </c>
      <c r="AC20" s="214" t="s">
        <v>4494</v>
      </c>
      <c r="AD20" s="207" t="s">
        <v>4402</v>
      </c>
      <c r="AE20" s="207" t="s">
        <v>4495</v>
      </c>
      <c r="AF20" s="218">
        <v>17173.63</v>
      </c>
      <c r="AG20" s="218">
        <v>47173.63</v>
      </c>
      <c r="AH20" s="207" t="s">
        <v>4433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4423</v>
      </c>
      <c r="AT20" s="207"/>
      <c r="AU20" s="220" t="s">
        <v>4496</v>
      </c>
      <c r="AV20" s="197" t="s">
        <v>4425</v>
      </c>
      <c r="AW20" s="207" t="s">
        <v>4425</v>
      </c>
      <c r="AX20" s="207" t="s">
        <v>4425</v>
      </c>
      <c r="AY20" s="197" t="s">
        <v>4425</v>
      </c>
      <c r="AZ20" s="202">
        <v>46153</v>
      </c>
      <c r="BA20" s="197" t="s">
        <v>4425</v>
      </c>
      <c r="BB20" s="197" t="s">
        <v>4425</v>
      </c>
      <c r="BC20" s="202">
        <v>46157</v>
      </c>
      <c r="BD20" s="227">
        <v>46157</v>
      </c>
      <c r="BE20" s="227" t="s">
        <v>4435</v>
      </c>
      <c r="BF20" s="228" t="s">
        <v>4436</v>
      </c>
      <c r="BG20" s="229" t="s">
        <v>4425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4437</v>
      </c>
      <c r="BL20" s="230" t="s">
        <v>4437</v>
      </c>
      <c r="BM20" s="230" t="s">
        <v>4437</v>
      </c>
      <c r="BN20" s="219" t="s">
        <v>4425</v>
      </c>
      <c r="BO20" s="219" t="s">
        <v>4425</v>
      </c>
      <c r="BP20" s="202">
        <v>46195</v>
      </c>
      <c r="BQ20" s="219" t="s">
        <v>4425</v>
      </c>
      <c r="BR20" s="232" t="s">
        <v>4435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4427</v>
      </c>
      <c r="D21" s="207">
        <v>1</v>
      </c>
      <c r="E21" s="207" t="s">
        <v>4398</v>
      </c>
      <c r="F21" s="214" t="s">
        <v>4497</v>
      </c>
      <c r="G21" s="207" t="s">
        <v>4400</v>
      </c>
      <c r="H21" s="207" t="s">
        <v>4401</v>
      </c>
      <c r="I21" s="163" t="s">
        <v>4421</v>
      </c>
      <c r="J21" s="215" t="s">
        <v>4498</v>
      </c>
      <c r="K21" s="214" t="s">
        <v>4499</v>
      </c>
      <c r="L21" s="214" t="s">
        <v>4500</v>
      </c>
      <c r="M21" s="197" t="s">
        <v>4405</v>
      </c>
      <c r="N21" s="207" t="s">
        <v>4442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4498</v>
      </c>
      <c r="AB21" s="214" t="s">
        <v>4499</v>
      </c>
      <c r="AC21" s="214" t="s">
        <v>4500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4433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4423</v>
      </c>
      <c r="AT21" s="207"/>
      <c r="AU21" s="220" t="s">
        <v>4501</v>
      </c>
      <c r="AV21" s="207" t="s">
        <v>4425</v>
      </c>
      <c r="AW21" s="207" t="s">
        <v>4425</v>
      </c>
      <c r="AX21" s="207" t="s">
        <v>4425</v>
      </c>
      <c r="AY21" s="207" t="s">
        <v>4425</v>
      </c>
      <c r="AZ21" s="203">
        <v>46024</v>
      </c>
      <c r="BA21" s="207" t="s">
        <v>4425</v>
      </c>
      <c r="BB21" s="207" t="s">
        <v>4425</v>
      </c>
      <c r="BC21" s="208">
        <v>46037</v>
      </c>
      <c r="BD21" s="226">
        <v>46037</v>
      </c>
      <c r="BE21" s="227" t="s">
        <v>4435</v>
      </c>
      <c r="BF21" s="228" t="s">
        <v>4436</v>
      </c>
      <c r="BG21" s="229" t="s">
        <v>4425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4437</v>
      </c>
      <c r="BL21" s="230" t="s">
        <v>4437</v>
      </c>
      <c r="BM21" s="230" t="s">
        <v>4437</v>
      </c>
      <c r="BN21" s="207" t="s">
        <v>4425</v>
      </c>
      <c r="BO21" s="207" t="s">
        <v>4425</v>
      </c>
      <c r="BP21" s="203">
        <v>46128</v>
      </c>
      <c r="BQ21" s="207" t="s">
        <v>4425</v>
      </c>
      <c r="BR21" s="231" t="s">
        <v>4435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4502</v>
      </c>
      <c r="G22" s="207" t="s">
        <v>4400</v>
      </c>
      <c r="H22" s="207" t="s">
        <v>4449</v>
      </c>
      <c r="I22" s="163" t="s">
        <v>4421</v>
      </c>
      <c r="J22" s="215" t="s">
        <v>4503</v>
      </c>
      <c r="K22" s="215" t="s">
        <v>4504</v>
      </c>
      <c r="L22" s="215" t="s">
        <v>4505</v>
      </c>
      <c r="M22" s="197" t="s">
        <v>4405</v>
      </c>
      <c r="N22" s="207" t="s">
        <v>4442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15"/>
      <c r="AB22" s="215"/>
      <c r="AC22" s="215"/>
      <c r="AD22" s="233"/>
      <c r="AE22" s="207"/>
      <c r="AF22" s="218"/>
      <c r="AG22" s="218"/>
      <c r="AH22" s="207"/>
      <c r="AI22" s="214" t="s">
        <v>4411</v>
      </c>
      <c r="AJ22" s="207"/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4427</v>
      </c>
      <c r="D23" s="207">
        <v>1</v>
      </c>
      <c r="E23" s="207" t="s">
        <v>4398</v>
      </c>
      <c r="F23" s="214" t="s">
        <v>4502</v>
      </c>
      <c r="G23" s="207" t="s">
        <v>4400</v>
      </c>
      <c r="H23" s="207" t="s">
        <v>4401</v>
      </c>
      <c r="I23" s="217" t="s">
        <v>4402</v>
      </c>
      <c r="J23" s="215" t="s">
        <v>4506</v>
      </c>
      <c r="K23" s="215" t="s">
        <v>4507</v>
      </c>
      <c r="L23" s="215" t="s">
        <v>4508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4506</v>
      </c>
      <c r="AB23" s="215" t="s">
        <v>4507</v>
      </c>
      <c r="AC23" s="215" t="s">
        <v>4508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4453</v>
      </c>
      <c r="D24" s="207">
        <v>1</v>
      </c>
      <c r="E24" s="207" t="s">
        <v>4398</v>
      </c>
      <c r="F24" s="214" t="s">
        <v>4502</v>
      </c>
      <c r="G24" s="207" t="s">
        <v>4400</v>
      </c>
      <c r="H24" s="207" t="s">
        <v>4401</v>
      </c>
      <c r="I24" s="217" t="s">
        <v>4402</v>
      </c>
      <c r="J24" s="215" t="s">
        <v>4509</v>
      </c>
      <c r="K24" s="214" t="s">
        <v>4510</v>
      </c>
      <c r="L24" s="214" t="s">
        <v>4511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4509</v>
      </c>
      <c r="AB24" s="215" t="s">
        <v>4510</v>
      </c>
      <c r="AC24" s="215" t="s">
        <v>4511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4453</v>
      </c>
      <c r="D25" s="207">
        <v>1</v>
      </c>
      <c r="E25" s="207" t="s">
        <v>4398</v>
      </c>
      <c r="F25" s="214" t="s">
        <v>4512</v>
      </c>
      <c r="G25" s="207" t="s">
        <v>4400</v>
      </c>
      <c r="H25" s="207" t="s">
        <v>4401</v>
      </c>
      <c r="I25" s="217" t="s">
        <v>4402</v>
      </c>
      <c r="J25" s="215" t="s">
        <v>4513</v>
      </c>
      <c r="K25" s="214" t="s">
        <v>4514</v>
      </c>
      <c r="L25" s="214" t="s">
        <v>4515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4513</v>
      </c>
      <c r="AB25" s="215" t="s">
        <v>4514</v>
      </c>
      <c r="AC25" s="215" t="s">
        <v>4515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4427</v>
      </c>
      <c r="D26" s="207">
        <v>1</v>
      </c>
      <c r="E26" s="207" t="s">
        <v>4398</v>
      </c>
      <c r="F26" s="214" t="s">
        <v>4512</v>
      </c>
      <c r="G26" s="207" t="s">
        <v>4400</v>
      </c>
      <c r="H26" s="207" t="s">
        <v>4401</v>
      </c>
      <c r="I26" s="217" t="s">
        <v>4402</v>
      </c>
      <c r="J26" s="215" t="s">
        <v>4516</v>
      </c>
      <c r="K26" s="214" t="s">
        <v>4517</v>
      </c>
      <c r="L26" s="214" t="s">
        <v>4518</v>
      </c>
      <c r="M26" s="197" t="s">
        <v>4405</v>
      </c>
      <c r="N26" s="207" t="s">
        <v>4442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4516</v>
      </c>
      <c r="AB26" s="214" t="s">
        <v>4517</v>
      </c>
      <c r="AC26" s="214" t="s">
        <v>4518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4433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4423</v>
      </c>
      <c r="AT26" s="207"/>
      <c r="AU26" s="220" t="s">
        <v>4519</v>
      </c>
      <c r="AV26" s="207" t="s">
        <v>4425</v>
      </c>
      <c r="AW26" s="207" t="s">
        <v>4425</v>
      </c>
      <c r="AX26" s="207" t="s">
        <v>4425</v>
      </c>
      <c r="AY26" s="207" t="s">
        <v>4425</v>
      </c>
      <c r="AZ26" s="203">
        <v>46024</v>
      </c>
      <c r="BA26" s="207" t="s">
        <v>4425</v>
      </c>
      <c r="BB26" s="207" t="s">
        <v>4425</v>
      </c>
      <c r="BC26" s="208">
        <v>46038</v>
      </c>
      <c r="BD26" s="226">
        <v>46038</v>
      </c>
      <c r="BE26" s="244" t="s">
        <v>4435</v>
      </c>
      <c r="BF26" s="245" t="s">
        <v>4436</v>
      </c>
      <c r="BG26" s="229" t="s">
        <v>4425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4437</v>
      </c>
      <c r="BL26" s="230" t="s">
        <v>4437</v>
      </c>
      <c r="BM26" s="230" t="s">
        <v>4437</v>
      </c>
      <c r="BN26" s="207" t="s">
        <v>4425</v>
      </c>
      <c r="BO26" s="207" t="s">
        <v>4425</v>
      </c>
      <c r="BP26" s="203">
        <v>46128</v>
      </c>
      <c r="BQ26" s="207" t="s">
        <v>4425</v>
      </c>
      <c r="BR26" s="231" t="s">
        <v>4435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4520</v>
      </c>
      <c r="G27" s="207" t="s">
        <v>4400</v>
      </c>
      <c r="H27" s="207" t="s">
        <v>4401</v>
      </c>
      <c r="I27" s="217" t="s">
        <v>4402</v>
      </c>
      <c r="J27" s="215" t="s">
        <v>4521</v>
      </c>
      <c r="K27" s="215" t="s">
        <v>4522</v>
      </c>
      <c r="L27" s="215" t="s">
        <v>4523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4521</v>
      </c>
      <c r="AB27" s="215" t="s">
        <v>4522</v>
      </c>
      <c r="AC27" s="215" t="s">
        <v>4523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4524</v>
      </c>
      <c r="G28" s="207" t="s">
        <v>4400</v>
      </c>
      <c r="H28" s="207" t="s">
        <v>4401</v>
      </c>
      <c r="I28" s="217" t="s">
        <v>4402</v>
      </c>
      <c r="J28" s="215" t="s">
        <v>4525</v>
      </c>
      <c r="K28" s="215" t="s">
        <v>4526</v>
      </c>
      <c r="L28" s="215" t="s">
        <v>4527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4525</v>
      </c>
      <c r="AB28" s="215" t="s">
        <v>4526</v>
      </c>
      <c r="AC28" s="215" t="s">
        <v>4527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4453</v>
      </c>
      <c r="D29" s="207">
        <v>1</v>
      </c>
      <c r="E29" s="207" t="s">
        <v>4398</v>
      </c>
      <c r="F29" s="214" t="s">
        <v>4524</v>
      </c>
      <c r="G29" s="207" t="s">
        <v>4400</v>
      </c>
      <c r="H29" s="207" t="s">
        <v>4401</v>
      </c>
      <c r="I29" s="217" t="s">
        <v>4402</v>
      </c>
      <c r="J29" s="242" t="s">
        <v>4528</v>
      </c>
      <c r="K29" s="246" t="s">
        <v>4529</v>
      </c>
      <c r="L29" s="246" t="s">
        <v>4530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4528</v>
      </c>
      <c r="AB29" s="215" t="s">
        <v>4529</v>
      </c>
      <c r="AC29" s="215" t="s">
        <v>4530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4427</v>
      </c>
      <c r="D30" s="207">
        <v>1</v>
      </c>
      <c r="E30" s="207" t="s">
        <v>4398</v>
      </c>
      <c r="F30" s="214" t="s">
        <v>4524</v>
      </c>
      <c r="G30" s="207" t="s">
        <v>4400</v>
      </c>
      <c r="H30" s="207" t="s">
        <v>4401</v>
      </c>
      <c r="I30" s="217" t="s">
        <v>4402</v>
      </c>
      <c r="J30" s="215" t="s">
        <v>4531</v>
      </c>
      <c r="K30" s="214" t="s">
        <v>4532</v>
      </c>
      <c r="L30" s="214" t="s">
        <v>4533</v>
      </c>
      <c r="M30" s="197" t="s">
        <v>4405</v>
      </c>
      <c r="N30" s="207" t="s">
        <v>4442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4531</v>
      </c>
      <c r="AB30" s="214" t="s">
        <v>4532</v>
      </c>
      <c r="AC30" s="214" t="s">
        <v>4533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4433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4423</v>
      </c>
      <c r="AT30" s="247"/>
      <c r="AU30" s="220" t="s">
        <v>4534</v>
      </c>
      <c r="AV30" s="207" t="s">
        <v>4425</v>
      </c>
      <c r="AW30" s="207" t="s">
        <v>4425</v>
      </c>
      <c r="AX30" s="207" t="s">
        <v>4425</v>
      </c>
      <c r="AY30" s="207" t="s">
        <v>4425</v>
      </c>
      <c r="AZ30" s="202">
        <v>46085</v>
      </c>
      <c r="BA30" s="207" t="s">
        <v>4425</v>
      </c>
      <c r="BB30" s="219" t="s">
        <v>4425</v>
      </c>
      <c r="BC30" s="239">
        <v>46092</v>
      </c>
      <c r="BD30" s="226">
        <v>46092</v>
      </c>
      <c r="BE30" s="227" t="s">
        <v>4435</v>
      </c>
      <c r="BF30" s="228" t="s">
        <v>4436</v>
      </c>
      <c r="BG30" s="229" t="s">
        <v>4425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4437</v>
      </c>
      <c r="BL30" s="230" t="s">
        <v>4437</v>
      </c>
      <c r="BM30" s="230" t="s">
        <v>4437</v>
      </c>
      <c r="BN30" s="207" t="s">
        <v>4425</v>
      </c>
      <c r="BO30" s="207" t="s">
        <v>4425</v>
      </c>
      <c r="BP30" s="203">
        <v>46128</v>
      </c>
      <c r="BQ30" s="207" t="s">
        <v>4425</v>
      </c>
      <c r="BR30" s="231" t="s">
        <v>4435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4535</v>
      </c>
      <c r="G31" s="207" t="s">
        <v>4400</v>
      </c>
      <c r="H31" s="207" t="s">
        <v>4536</v>
      </c>
      <c r="I31" s="217" t="s">
        <v>4536</v>
      </c>
      <c r="J31" s="215" t="s">
        <v>4537</v>
      </c>
      <c r="K31" s="215" t="s">
        <v>4538</v>
      </c>
      <c r="L31" s="215" t="s">
        <v>4539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4537</v>
      </c>
      <c r="AB31" s="215" t="s">
        <v>4538</v>
      </c>
      <c r="AC31" s="215" t="s">
        <v>4539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4540</v>
      </c>
      <c r="G32" s="207" t="s">
        <v>4400</v>
      </c>
      <c r="H32" s="207" t="s">
        <v>4401</v>
      </c>
      <c r="I32" s="217" t="s">
        <v>4402</v>
      </c>
      <c r="J32" s="215" t="s">
        <v>4541</v>
      </c>
      <c r="K32" s="215" t="s">
        <v>4542</v>
      </c>
      <c r="L32" s="215" t="s">
        <v>4543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4541</v>
      </c>
      <c r="AB32" s="215" t="s">
        <v>4542</v>
      </c>
      <c r="AC32" s="215" t="s">
        <v>4543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4453</v>
      </c>
      <c r="D33" s="207">
        <v>1</v>
      </c>
      <c r="E33" s="207" t="s">
        <v>4398</v>
      </c>
      <c r="F33" s="214" t="s">
        <v>4544</v>
      </c>
      <c r="G33" s="219" t="s">
        <v>4545</v>
      </c>
      <c r="H33" s="207" t="s">
        <v>4546</v>
      </c>
      <c r="I33" s="233" t="s">
        <v>4421</v>
      </c>
      <c r="J33" s="242" t="s">
        <v>4547</v>
      </c>
      <c r="K33" s="246" t="s">
        <v>4548</v>
      </c>
      <c r="L33" s="246" t="s">
        <v>4549</v>
      </c>
      <c r="M33" s="197" t="s">
        <v>4405</v>
      </c>
      <c r="N33" s="207" t="s">
        <v>4550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4547</v>
      </c>
      <c r="AB33" s="215" t="s">
        <v>4398</v>
      </c>
      <c r="AC33" s="246" t="s">
        <v>4549</v>
      </c>
      <c r="AD33" s="241" t="s">
        <v>4402</v>
      </c>
      <c r="AE33" s="202" t="s">
        <v>4405</v>
      </c>
      <c r="AF33" s="248" t="s">
        <v>4437</v>
      </c>
      <c r="AG33" s="248" t="s">
        <v>4437</v>
      </c>
      <c r="AH33" s="202" t="s">
        <v>4437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4427</v>
      </c>
      <c r="D34" s="207">
        <v>1</v>
      </c>
      <c r="E34" s="207" t="s">
        <v>4398</v>
      </c>
      <c r="F34" s="214" t="s">
        <v>4544</v>
      </c>
      <c r="G34" s="160" t="s">
        <v>4400</v>
      </c>
      <c r="H34" s="207" t="s">
        <v>4401</v>
      </c>
      <c r="I34" s="249" t="s">
        <v>4402</v>
      </c>
      <c r="J34" s="242" t="s">
        <v>4551</v>
      </c>
      <c r="K34" s="246" t="s">
        <v>4552</v>
      </c>
      <c r="L34" s="246" t="s">
        <v>4553</v>
      </c>
      <c r="M34" s="197" t="s">
        <v>4405</v>
      </c>
      <c r="N34" s="207" t="s">
        <v>4442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4551</v>
      </c>
      <c r="AB34" s="246" t="s">
        <v>4552</v>
      </c>
      <c r="AC34" s="246" t="s">
        <v>4553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4433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4423</v>
      </c>
      <c r="AT34" s="207"/>
      <c r="AU34" s="220" t="s">
        <v>4554</v>
      </c>
      <c r="AV34" s="207" t="s">
        <v>4425</v>
      </c>
      <c r="AW34" s="207" t="s">
        <v>4425</v>
      </c>
      <c r="AX34" s="207" t="s">
        <v>4425</v>
      </c>
      <c r="AY34" s="207" t="s">
        <v>4425</v>
      </c>
      <c r="AZ34" s="202">
        <v>46062</v>
      </c>
      <c r="BA34" s="207" t="s">
        <v>4425</v>
      </c>
      <c r="BB34" s="207" t="s">
        <v>4425</v>
      </c>
      <c r="BC34" s="239">
        <v>46066</v>
      </c>
      <c r="BD34" s="226">
        <v>46092</v>
      </c>
      <c r="BE34" s="227" t="s">
        <v>4435</v>
      </c>
      <c r="BF34" s="228" t="s">
        <v>4436</v>
      </c>
      <c r="BG34" s="229" t="s">
        <v>4425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4437</v>
      </c>
      <c r="BL34" s="230" t="s">
        <v>4437</v>
      </c>
      <c r="BM34" s="230" t="s">
        <v>4437</v>
      </c>
      <c r="BN34" s="207" t="s">
        <v>4425</v>
      </c>
      <c r="BO34" s="207" t="s">
        <v>4425</v>
      </c>
      <c r="BP34" s="203">
        <v>46128</v>
      </c>
      <c r="BQ34" s="207" t="s">
        <v>4425</v>
      </c>
      <c r="BR34" s="231" t="s">
        <v>4435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4544</v>
      </c>
      <c r="G35" s="207" t="s">
        <v>4400</v>
      </c>
      <c r="H35" s="207" t="s">
        <v>4401</v>
      </c>
      <c r="I35" s="217" t="s">
        <v>4402</v>
      </c>
      <c r="J35" s="215" t="s">
        <v>4555</v>
      </c>
      <c r="K35" s="215" t="s">
        <v>4556</v>
      </c>
      <c r="L35" s="215" t="s">
        <v>4557</v>
      </c>
      <c r="M35" s="197" t="s">
        <v>4405</v>
      </c>
      <c r="N35" s="207" t="s">
        <v>4442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4555</v>
      </c>
      <c r="AB35" s="215" t="s">
        <v>4556</v>
      </c>
      <c r="AC35" s="215" t="s">
        <v>4557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4433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4423</v>
      </c>
      <c r="AT35" s="219"/>
      <c r="AU35" s="220" t="s">
        <v>4558</v>
      </c>
      <c r="AV35" s="250" t="s">
        <v>4425</v>
      </c>
      <c r="AW35" s="250" t="s">
        <v>4425</v>
      </c>
      <c r="AX35" s="250" t="s">
        <v>4425</v>
      </c>
      <c r="AY35" s="250" t="s">
        <v>4425</v>
      </c>
      <c r="AZ35" s="202">
        <v>46140</v>
      </c>
      <c r="BA35" s="250" t="s">
        <v>4425</v>
      </c>
      <c r="BB35" s="207" t="s">
        <v>4425</v>
      </c>
      <c r="BC35" s="202">
        <v>46161</v>
      </c>
      <c r="BD35" s="227">
        <v>46161</v>
      </c>
      <c r="BE35" s="228" t="s">
        <v>4435</v>
      </c>
      <c r="BF35" s="228" t="s">
        <v>4436</v>
      </c>
      <c r="BG35" s="219" t="s">
        <v>4425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4437</v>
      </c>
      <c r="BL35" s="219" t="s">
        <v>4437</v>
      </c>
      <c r="BM35" s="219" t="s">
        <v>4437</v>
      </c>
      <c r="BN35" s="219" t="s">
        <v>4425</v>
      </c>
      <c r="BO35" s="219" t="s">
        <v>4425</v>
      </c>
      <c r="BP35" s="202">
        <v>46195</v>
      </c>
      <c r="BQ35" s="219" t="s">
        <v>4425</v>
      </c>
      <c r="BR35" s="232" t="s">
        <v>4435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4427</v>
      </c>
      <c r="D36" s="207">
        <v>1</v>
      </c>
      <c r="E36" s="207" t="s">
        <v>4398</v>
      </c>
      <c r="F36" s="214" t="s">
        <v>4559</v>
      </c>
      <c r="G36" s="207" t="s">
        <v>4400</v>
      </c>
      <c r="H36" s="207" t="s">
        <v>4428</v>
      </c>
      <c r="I36" s="233" t="s">
        <v>4421</v>
      </c>
      <c r="J36" s="215" t="s">
        <v>4560</v>
      </c>
      <c r="K36" s="214" t="s">
        <v>4561</v>
      </c>
      <c r="L36" s="214" t="s">
        <v>4562</v>
      </c>
      <c r="M36" s="197" t="s">
        <v>4405</v>
      </c>
      <c r="N36" s="207" t="s">
        <v>4442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4563</v>
      </c>
      <c r="AB36" s="215" t="s">
        <v>4564</v>
      </c>
      <c r="AC36" s="215" t="s">
        <v>4565</v>
      </c>
      <c r="AD36" s="233" t="s">
        <v>4421</v>
      </c>
      <c r="AE36" s="207" t="s">
        <v>4405</v>
      </c>
      <c r="AF36" s="218">
        <v>58762.46</v>
      </c>
      <c r="AG36" s="218">
        <v>60000</v>
      </c>
      <c r="AH36" s="207" t="s">
        <v>4433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4423</v>
      </c>
      <c r="AT36" s="207"/>
      <c r="AU36" s="220" t="s">
        <v>4566</v>
      </c>
      <c r="AV36" s="197" t="s">
        <v>4425</v>
      </c>
      <c r="AW36" s="207" t="s">
        <v>4425</v>
      </c>
      <c r="AX36" s="207" t="s">
        <v>4425</v>
      </c>
      <c r="AY36" s="207" t="s">
        <v>4425</v>
      </c>
      <c r="AZ36" s="202">
        <v>46085</v>
      </c>
      <c r="BA36" s="207" t="s">
        <v>4425</v>
      </c>
      <c r="BB36" s="219" t="s">
        <v>4425</v>
      </c>
      <c r="BC36" s="239">
        <v>46092</v>
      </c>
      <c r="BD36" s="226">
        <v>46092</v>
      </c>
      <c r="BE36" s="227" t="s">
        <v>4435</v>
      </c>
      <c r="BF36" s="228" t="s">
        <v>4436</v>
      </c>
      <c r="BG36" s="229" t="s">
        <v>4425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4437</v>
      </c>
      <c r="BL36" s="230" t="s">
        <v>4437</v>
      </c>
      <c r="BM36" s="230" t="s">
        <v>4437</v>
      </c>
      <c r="BN36" s="207" t="s">
        <v>4425</v>
      </c>
      <c r="BO36" s="207" t="s">
        <v>4425</v>
      </c>
      <c r="BP36" s="203">
        <v>46128</v>
      </c>
      <c r="BQ36" s="207" t="s">
        <v>4425</v>
      </c>
      <c r="BR36" s="231" t="s">
        <v>4435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4567</v>
      </c>
      <c r="G37" s="207" t="s">
        <v>4400</v>
      </c>
      <c r="H37" s="207" t="s">
        <v>4401</v>
      </c>
      <c r="I37" s="249" t="s">
        <v>4402</v>
      </c>
      <c r="J37" s="215" t="s">
        <v>4568</v>
      </c>
      <c r="K37" s="215" t="s">
        <v>4398</v>
      </c>
      <c r="L37" s="215" t="s">
        <v>4569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4568</v>
      </c>
      <c r="AB37" s="215" t="s">
        <v>4398</v>
      </c>
      <c r="AC37" s="215" t="s">
        <v>4569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4570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4453</v>
      </c>
      <c r="D38" s="207">
        <v>1</v>
      </c>
      <c r="E38" s="207" t="s">
        <v>4398</v>
      </c>
      <c r="F38" s="214" t="s">
        <v>4567</v>
      </c>
      <c r="G38" s="207" t="s">
        <v>4400</v>
      </c>
      <c r="H38" s="207" t="s">
        <v>4401</v>
      </c>
      <c r="I38" s="217" t="s">
        <v>4402</v>
      </c>
      <c r="J38" s="242" t="s">
        <v>4571</v>
      </c>
      <c r="K38" s="214" t="s">
        <v>4572</v>
      </c>
      <c r="L38" s="214" t="s">
        <v>4573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4571</v>
      </c>
      <c r="AB38" s="215" t="s">
        <v>4572</v>
      </c>
      <c r="AC38" s="215" t="s">
        <v>4573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4427</v>
      </c>
      <c r="D39" s="207">
        <v>1</v>
      </c>
      <c r="E39" s="207" t="s">
        <v>4398</v>
      </c>
      <c r="F39" s="214" t="s">
        <v>4567</v>
      </c>
      <c r="G39" s="207" t="s">
        <v>4400</v>
      </c>
      <c r="H39" s="207" t="s">
        <v>4401</v>
      </c>
      <c r="I39" s="217" t="s">
        <v>4402</v>
      </c>
      <c r="J39" s="215" t="s">
        <v>4574</v>
      </c>
      <c r="K39" s="214" t="s">
        <v>4575</v>
      </c>
      <c r="L39" s="214" t="s">
        <v>4576</v>
      </c>
      <c r="M39" s="197" t="s">
        <v>4405</v>
      </c>
      <c r="N39" s="207" t="s">
        <v>4442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4574</v>
      </c>
      <c r="AB39" s="214" t="s">
        <v>4575</v>
      </c>
      <c r="AC39" s="214" t="s">
        <v>4576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4433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4423</v>
      </c>
      <c r="AT39" s="207"/>
      <c r="AU39" s="220" t="s">
        <v>4577</v>
      </c>
      <c r="AV39" s="207" t="s">
        <v>4425</v>
      </c>
      <c r="AW39" s="207" t="s">
        <v>4425</v>
      </c>
      <c r="AX39" s="207" t="s">
        <v>4425</v>
      </c>
      <c r="AY39" s="207" t="s">
        <v>4425</v>
      </c>
      <c r="AZ39" s="202">
        <v>46085</v>
      </c>
      <c r="BA39" s="207" t="s">
        <v>4425</v>
      </c>
      <c r="BB39" s="219" t="s">
        <v>4425</v>
      </c>
      <c r="BC39" s="239">
        <v>46092</v>
      </c>
      <c r="BD39" s="226">
        <v>46092</v>
      </c>
      <c r="BE39" s="244" t="s">
        <v>4435</v>
      </c>
      <c r="BF39" s="245" t="s">
        <v>4436</v>
      </c>
      <c r="BG39" s="229" t="s">
        <v>4425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4437</v>
      </c>
      <c r="BL39" s="230" t="s">
        <v>4437</v>
      </c>
      <c r="BM39" s="230" t="s">
        <v>4437</v>
      </c>
      <c r="BN39" s="207" t="s">
        <v>4425</v>
      </c>
      <c r="BO39" s="207" t="s">
        <v>4425</v>
      </c>
      <c r="BP39" s="203">
        <v>46128</v>
      </c>
      <c r="BQ39" s="207" t="s">
        <v>4425</v>
      </c>
      <c r="BR39" s="231" t="s">
        <v>4435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4453</v>
      </c>
      <c r="D40" s="207">
        <v>1</v>
      </c>
      <c r="E40" s="207" t="s">
        <v>4398</v>
      </c>
      <c r="F40" s="214" t="s">
        <v>4578</v>
      </c>
      <c r="G40" s="207" t="s">
        <v>4400</v>
      </c>
      <c r="H40" s="207" t="s">
        <v>4401</v>
      </c>
      <c r="I40" s="217" t="s">
        <v>4402</v>
      </c>
      <c r="J40" s="215" t="s">
        <v>4579</v>
      </c>
      <c r="K40" s="214" t="s">
        <v>4580</v>
      </c>
      <c r="L40" s="214" t="s">
        <v>4581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4579</v>
      </c>
      <c r="AB40" s="215" t="s">
        <v>4582</v>
      </c>
      <c r="AC40" s="215" t="s">
        <v>4581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4427</v>
      </c>
      <c r="D41" s="207">
        <v>1</v>
      </c>
      <c r="E41" s="207" t="s">
        <v>4398</v>
      </c>
      <c r="F41" s="214" t="s">
        <v>4578</v>
      </c>
      <c r="G41" s="207" t="s">
        <v>4400</v>
      </c>
      <c r="H41" s="207" t="s">
        <v>4583</v>
      </c>
      <c r="I41" s="217" t="s">
        <v>4402</v>
      </c>
      <c r="J41" s="215" t="s">
        <v>4584</v>
      </c>
      <c r="K41" s="214" t="s">
        <v>4585</v>
      </c>
      <c r="L41" s="214" t="s">
        <v>4586</v>
      </c>
      <c r="M41" s="197" t="s">
        <v>4405</v>
      </c>
      <c r="N41" s="207" t="s">
        <v>4442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4584</v>
      </c>
      <c r="AB41" s="214" t="s">
        <v>4585</v>
      </c>
      <c r="AC41" s="214" t="s">
        <v>4586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4433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4423</v>
      </c>
      <c r="AT41" s="207"/>
      <c r="AU41" s="220" t="s">
        <v>4587</v>
      </c>
      <c r="AV41" s="197" t="s">
        <v>4425</v>
      </c>
      <c r="AW41" s="207" t="s">
        <v>4425</v>
      </c>
      <c r="AX41" s="207" t="s">
        <v>4425</v>
      </c>
      <c r="AY41" s="207" t="s">
        <v>4425</v>
      </c>
      <c r="AZ41" s="202">
        <v>46085</v>
      </c>
      <c r="BA41" s="207" t="s">
        <v>4425</v>
      </c>
      <c r="BB41" s="219" t="s">
        <v>4425</v>
      </c>
      <c r="BC41" s="239">
        <v>46092</v>
      </c>
      <c r="BD41" s="226">
        <v>46092</v>
      </c>
      <c r="BE41" s="244" t="s">
        <v>4435</v>
      </c>
      <c r="BF41" s="245" t="s">
        <v>4436</v>
      </c>
      <c r="BG41" s="229" t="s">
        <v>4425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4437</v>
      </c>
      <c r="BL41" s="230" t="s">
        <v>4437</v>
      </c>
      <c r="BM41" s="230" t="s">
        <v>4437</v>
      </c>
      <c r="BN41" s="207" t="s">
        <v>4425</v>
      </c>
      <c r="BO41" s="207" t="s">
        <v>4425</v>
      </c>
      <c r="BP41" s="203">
        <v>46128</v>
      </c>
      <c r="BQ41" s="207" t="s">
        <v>4425</v>
      </c>
      <c r="BR41" s="231" t="s">
        <v>4435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4578</v>
      </c>
      <c r="G42" s="207" t="s">
        <v>4400</v>
      </c>
      <c r="H42" s="207" t="s">
        <v>4401</v>
      </c>
      <c r="I42" s="217" t="s">
        <v>4402</v>
      </c>
      <c r="J42" s="215" t="s">
        <v>4588</v>
      </c>
      <c r="K42" s="215" t="s">
        <v>4589</v>
      </c>
      <c r="L42" s="215" t="s">
        <v>4590</v>
      </c>
      <c r="M42" s="197" t="s">
        <v>4405</v>
      </c>
      <c r="N42" s="207" t="s">
        <v>4442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4588</v>
      </c>
      <c r="AB42" s="215" t="s">
        <v>4589</v>
      </c>
      <c r="AC42" s="215" t="s">
        <v>4590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4433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4423</v>
      </c>
      <c r="AT42" s="219"/>
      <c r="AU42" s="220" t="s">
        <v>4591</v>
      </c>
      <c r="AV42" s="207" t="s">
        <v>4425</v>
      </c>
      <c r="AW42" s="207" t="s">
        <v>4425</v>
      </c>
      <c r="AX42" s="207" t="s">
        <v>4425</v>
      </c>
      <c r="AY42" s="207" t="s">
        <v>4425</v>
      </c>
      <c r="AZ42" s="202">
        <v>46128</v>
      </c>
      <c r="BA42" s="207" t="s">
        <v>4425</v>
      </c>
      <c r="BB42" s="207" t="s">
        <v>4425</v>
      </c>
      <c r="BC42" s="202">
        <v>46136</v>
      </c>
      <c r="BD42" s="227">
        <v>46136</v>
      </c>
      <c r="BE42" s="227" t="s">
        <v>4435</v>
      </c>
      <c r="BF42" s="228" t="s">
        <v>4436</v>
      </c>
      <c r="BG42" s="229" t="s">
        <v>4425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4437</v>
      </c>
      <c r="BL42" s="219" t="s">
        <v>4437</v>
      </c>
      <c r="BM42" s="219" t="s">
        <v>4437</v>
      </c>
      <c r="BN42" s="219" t="s">
        <v>4425</v>
      </c>
      <c r="BO42" s="219" t="s">
        <v>4425</v>
      </c>
      <c r="BP42" s="202">
        <v>46195</v>
      </c>
      <c r="BQ42" s="219" t="s">
        <v>4425</v>
      </c>
      <c r="BR42" s="232" t="s">
        <v>4435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4453</v>
      </c>
      <c r="D43" s="207">
        <v>1</v>
      </c>
      <c r="E43" s="207" t="s">
        <v>4398</v>
      </c>
      <c r="F43" s="214" t="s">
        <v>4592</v>
      </c>
      <c r="G43" s="207" t="s">
        <v>4400</v>
      </c>
      <c r="H43" s="207" t="s">
        <v>4401</v>
      </c>
      <c r="I43" s="217" t="s">
        <v>4402</v>
      </c>
      <c r="J43" s="215" t="s">
        <v>4593</v>
      </c>
      <c r="K43" s="214" t="s">
        <v>4594</v>
      </c>
      <c r="L43" s="214" t="s">
        <v>4595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4593</v>
      </c>
      <c r="AB43" s="215" t="s">
        <v>4594</v>
      </c>
      <c r="AC43" s="215" t="s">
        <v>4595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4592</v>
      </c>
      <c r="G44" s="207" t="s">
        <v>4400</v>
      </c>
      <c r="H44" s="207" t="s">
        <v>4583</v>
      </c>
      <c r="I44" s="217" t="s">
        <v>4402</v>
      </c>
      <c r="J44" s="215" t="s">
        <v>4596</v>
      </c>
      <c r="K44" s="215" t="s">
        <v>4597</v>
      </c>
      <c r="L44" s="215" t="s">
        <v>4598</v>
      </c>
      <c r="M44" s="197" t="s">
        <v>4405</v>
      </c>
      <c r="N44" s="207" t="s">
        <v>4442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4596</v>
      </c>
      <c r="AB44" s="215" t="s">
        <v>4597</v>
      </c>
      <c r="AC44" s="215" t="s">
        <v>4598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4433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4423</v>
      </c>
      <c r="AT44" s="219"/>
      <c r="AU44" s="220" t="s">
        <v>4599</v>
      </c>
      <c r="AV44" s="207" t="s">
        <v>4425</v>
      </c>
      <c r="AW44" s="207" t="s">
        <v>4425</v>
      </c>
      <c r="AX44" s="207" t="s">
        <v>4425</v>
      </c>
      <c r="AY44" s="207" t="s">
        <v>4425</v>
      </c>
      <c r="AZ44" s="202">
        <v>46118</v>
      </c>
      <c r="BA44" s="207" t="s">
        <v>4425</v>
      </c>
      <c r="BB44" s="207" t="s">
        <v>4425</v>
      </c>
      <c r="BC44" s="202">
        <v>46122</v>
      </c>
      <c r="BD44" s="227">
        <v>46122</v>
      </c>
      <c r="BE44" s="244" t="s">
        <v>4435</v>
      </c>
      <c r="BF44" s="245" t="s">
        <v>4436</v>
      </c>
      <c r="BG44" s="229" t="s">
        <v>4425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4437</v>
      </c>
      <c r="BL44" s="219" t="s">
        <v>4437</v>
      </c>
      <c r="BM44" s="219" t="s">
        <v>4437</v>
      </c>
      <c r="BN44" s="219" t="s">
        <v>4425</v>
      </c>
      <c r="BO44" s="219" t="s">
        <v>4425</v>
      </c>
      <c r="BP44" s="202">
        <v>46195</v>
      </c>
      <c r="BQ44" s="219" t="s">
        <v>4425</v>
      </c>
      <c r="BR44" s="232" t="s">
        <v>4435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4427</v>
      </c>
      <c r="D45" s="207">
        <v>1</v>
      </c>
      <c r="E45" s="207" t="s">
        <v>4398</v>
      </c>
      <c r="F45" s="214" t="s">
        <v>4592</v>
      </c>
      <c r="G45" s="207" t="s">
        <v>4400</v>
      </c>
      <c r="H45" s="207" t="s">
        <v>4401</v>
      </c>
      <c r="I45" s="217" t="s">
        <v>4402</v>
      </c>
      <c r="J45" s="215" t="s">
        <v>4600</v>
      </c>
      <c r="K45" s="214" t="s">
        <v>4601</v>
      </c>
      <c r="L45" s="214" t="s">
        <v>4602</v>
      </c>
      <c r="M45" s="197" t="s">
        <v>4405</v>
      </c>
      <c r="N45" s="207" t="s">
        <v>4442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4600</v>
      </c>
      <c r="AB45" s="214" t="s">
        <v>4601</v>
      </c>
      <c r="AC45" s="214" t="s">
        <v>4602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4433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4423</v>
      </c>
      <c r="AT45" s="217"/>
      <c r="AU45" s="220" t="s">
        <v>4603</v>
      </c>
      <c r="AV45" s="219" t="s">
        <v>4425</v>
      </c>
      <c r="AW45" s="161" t="s">
        <v>4425</v>
      </c>
      <c r="AX45" s="207" t="s">
        <v>4425</v>
      </c>
      <c r="AY45" s="197" t="s">
        <v>4425</v>
      </c>
      <c r="AZ45" s="202">
        <v>46153</v>
      </c>
      <c r="BA45" s="197" t="s">
        <v>4425</v>
      </c>
      <c r="BB45" s="207" t="s">
        <v>4425</v>
      </c>
      <c r="BC45" s="202">
        <v>46157</v>
      </c>
      <c r="BD45" s="227">
        <v>46157</v>
      </c>
      <c r="BE45" s="227" t="s">
        <v>4435</v>
      </c>
      <c r="BF45" s="228" t="s">
        <v>4436</v>
      </c>
      <c r="BG45" s="229" t="s">
        <v>4425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4437</v>
      </c>
      <c r="BL45" s="230" t="s">
        <v>4437</v>
      </c>
      <c r="BM45" s="230" t="s">
        <v>4437</v>
      </c>
      <c r="BN45" s="219" t="s">
        <v>4425</v>
      </c>
      <c r="BO45" s="219" t="s">
        <v>4425</v>
      </c>
      <c r="BP45" s="202">
        <v>46195</v>
      </c>
      <c r="BQ45" s="219" t="s">
        <v>4425</v>
      </c>
      <c r="BR45" s="232" t="s">
        <v>4435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4453</v>
      </c>
      <c r="D46" s="207">
        <v>1</v>
      </c>
      <c r="E46" s="207" t="s">
        <v>4398</v>
      </c>
      <c r="F46" s="214" t="s">
        <v>4604</v>
      </c>
      <c r="G46" s="207" t="s">
        <v>4400</v>
      </c>
      <c r="H46" s="207" t="s">
        <v>4401</v>
      </c>
      <c r="I46" s="217" t="s">
        <v>4402</v>
      </c>
      <c r="J46" s="215" t="s">
        <v>4605</v>
      </c>
      <c r="K46" s="214" t="s">
        <v>4606</v>
      </c>
      <c r="L46" s="214" t="s">
        <v>4607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4605</v>
      </c>
      <c r="AB46" s="214" t="s">
        <v>4607</v>
      </c>
      <c r="AC46" s="215" t="s">
        <v>4608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4453</v>
      </c>
      <c r="D47" s="207">
        <v>1</v>
      </c>
      <c r="E47" s="207" t="s">
        <v>4398</v>
      </c>
      <c r="F47" s="214" t="s">
        <v>4609</v>
      </c>
      <c r="G47" s="207" t="s">
        <v>4400</v>
      </c>
      <c r="H47" s="207" t="s">
        <v>4401</v>
      </c>
      <c r="I47" s="217" t="s">
        <v>4402</v>
      </c>
      <c r="J47" s="215" t="s">
        <v>4610</v>
      </c>
      <c r="K47" s="215" t="s">
        <v>4398</v>
      </c>
      <c r="L47" s="214" t="s">
        <v>4611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4610</v>
      </c>
      <c r="AB47" s="215" t="s">
        <v>4612</v>
      </c>
      <c r="AC47" s="215" t="s">
        <v>4611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4453</v>
      </c>
      <c r="D48" s="207">
        <v>1</v>
      </c>
      <c r="E48" s="207" t="s">
        <v>4398</v>
      </c>
      <c r="F48" s="214" t="s">
        <v>4613</v>
      </c>
      <c r="G48" s="207" t="s">
        <v>4400</v>
      </c>
      <c r="H48" s="207" t="s">
        <v>4401</v>
      </c>
      <c r="I48" s="217" t="s">
        <v>4402</v>
      </c>
      <c r="J48" s="215" t="s">
        <v>4614</v>
      </c>
      <c r="K48" s="214" t="s">
        <v>4440</v>
      </c>
      <c r="L48" s="214" t="s">
        <v>4615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4614</v>
      </c>
      <c r="AB48" s="214" t="s">
        <v>4440</v>
      </c>
      <c r="AC48" s="214" t="s">
        <v>4615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4613</v>
      </c>
      <c r="G49" s="207" t="s">
        <v>4400</v>
      </c>
      <c r="H49" s="207" t="s">
        <v>4401</v>
      </c>
      <c r="I49" s="217" t="s">
        <v>4402</v>
      </c>
      <c r="J49" s="215" t="s">
        <v>4616</v>
      </c>
      <c r="K49" s="215" t="s">
        <v>4617</v>
      </c>
      <c r="L49" s="215" t="s">
        <v>4618</v>
      </c>
      <c r="M49" s="197" t="s">
        <v>4405</v>
      </c>
      <c r="N49" s="207" t="s">
        <v>4442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4616</v>
      </c>
      <c r="AB49" s="215" t="s">
        <v>4617</v>
      </c>
      <c r="AC49" s="215" t="s">
        <v>4618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4422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4423</v>
      </c>
      <c r="AT49" s="219"/>
      <c r="AU49" s="220" t="s">
        <v>4619</v>
      </c>
      <c r="AV49" s="207" t="s">
        <v>4425</v>
      </c>
      <c r="AW49" s="207" t="s">
        <v>4425</v>
      </c>
      <c r="AX49" s="207" t="s">
        <v>4425</v>
      </c>
      <c r="AY49" s="207" t="s">
        <v>4425</v>
      </c>
      <c r="AZ49" s="202">
        <v>46128</v>
      </c>
      <c r="BA49" s="207" t="s">
        <v>4425</v>
      </c>
      <c r="BB49" s="207" t="s">
        <v>4425</v>
      </c>
      <c r="BC49" s="202">
        <v>46139</v>
      </c>
      <c r="BD49" s="227">
        <v>46139</v>
      </c>
      <c r="BE49" s="244" t="s">
        <v>4435</v>
      </c>
      <c r="BF49" s="245" t="s">
        <v>4436</v>
      </c>
      <c r="BG49" s="229" t="s">
        <v>4425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4437</v>
      </c>
      <c r="BL49" s="219" t="s">
        <v>4437</v>
      </c>
      <c r="BM49" s="219" t="s">
        <v>4437</v>
      </c>
      <c r="BN49" s="219" t="s">
        <v>4425</v>
      </c>
      <c r="BO49" s="219" t="s">
        <v>4425</v>
      </c>
      <c r="BP49" s="202">
        <v>46195</v>
      </c>
      <c r="BQ49" s="219" t="s">
        <v>4425</v>
      </c>
      <c r="BR49" s="232" t="s">
        <v>4435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4620</v>
      </c>
      <c r="G50" s="207" t="s">
        <v>4400</v>
      </c>
      <c r="H50" s="207" t="s">
        <v>4536</v>
      </c>
      <c r="I50" s="217" t="s">
        <v>4536</v>
      </c>
      <c r="J50" s="215" t="s">
        <v>4621</v>
      </c>
      <c r="K50" s="215" t="s">
        <v>4622</v>
      </c>
      <c r="L50" s="215" t="s">
        <v>4623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4621</v>
      </c>
      <c r="AB50" s="215" t="s">
        <v>4622</v>
      </c>
      <c r="AC50" s="215" t="s">
        <v>4623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4453</v>
      </c>
      <c r="D51" s="207">
        <v>1</v>
      </c>
      <c r="E51" s="207" t="s">
        <v>4398</v>
      </c>
      <c r="F51" s="214" t="s">
        <v>4624</v>
      </c>
      <c r="G51" s="207" t="s">
        <v>4400</v>
      </c>
      <c r="H51" s="207" t="s">
        <v>4401</v>
      </c>
      <c r="I51" s="217" t="s">
        <v>4402</v>
      </c>
      <c r="J51" s="215" t="s">
        <v>4625</v>
      </c>
      <c r="K51" s="214" t="s">
        <v>4626</v>
      </c>
      <c r="L51" s="214" t="s">
        <v>4627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4625</v>
      </c>
      <c r="AB51" s="215" t="s">
        <v>4626</v>
      </c>
      <c r="AC51" s="215" t="s">
        <v>4627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4628</v>
      </c>
      <c r="D52" s="207">
        <v>1</v>
      </c>
      <c r="E52" s="207" t="s">
        <v>4398</v>
      </c>
      <c r="F52" s="214" t="s">
        <v>4624</v>
      </c>
      <c r="G52" s="207" t="s">
        <v>4546</v>
      </c>
      <c r="H52" s="207" t="s">
        <v>4546</v>
      </c>
      <c r="I52" s="233" t="s">
        <v>4421</v>
      </c>
      <c r="J52" s="215" t="s">
        <v>4629</v>
      </c>
      <c r="K52" s="215" t="s">
        <v>4630</v>
      </c>
      <c r="L52" s="215" t="s">
        <v>4631</v>
      </c>
      <c r="M52" s="197" t="s">
        <v>4405</v>
      </c>
      <c r="N52" s="207" t="s">
        <v>4442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4632</v>
      </c>
      <c r="AB52" s="215" t="s">
        <v>4398</v>
      </c>
      <c r="AC52" s="215" t="s">
        <v>4633</v>
      </c>
      <c r="AD52" s="252" t="s">
        <v>4421</v>
      </c>
      <c r="AE52" s="197" t="s">
        <v>4405</v>
      </c>
      <c r="AF52" s="243">
        <v>1702.35</v>
      </c>
      <c r="AG52" s="243">
        <v>1702.35</v>
      </c>
      <c r="AH52" s="197" t="s">
        <v>4422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4453</v>
      </c>
      <c r="D53" s="207">
        <v>1</v>
      </c>
      <c r="E53" s="207" t="s">
        <v>4398</v>
      </c>
      <c r="F53" s="214" t="s">
        <v>4634</v>
      </c>
      <c r="G53" s="207" t="s">
        <v>4400</v>
      </c>
      <c r="H53" s="207" t="s">
        <v>4401</v>
      </c>
      <c r="I53" s="249" t="s">
        <v>4402</v>
      </c>
      <c r="J53" s="242" t="s">
        <v>4635</v>
      </c>
      <c r="K53" s="214" t="s">
        <v>4636</v>
      </c>
      <c r="L53" s="214" t="s">
        <v>4637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4635</v>
      </c>
      <c r="AB53" s="215" t="s">
        <v>4636</v>
      </c>
      <c r="AC53" s="215" t="s">
        <v>4637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4634</v>
      </c>
      <c r="G54" s="207" t="s">
        <v>4400</v>
      </c>
      <c r="H54" s="207" t="s">
        <v>4401</v>
      </c>
      <c r="I54" s="217" t="s">
        <v>4402</v>
      </c>
      <c r="J54" s="215" t="s">
        <v>4638</v>
      </c>
      <c r="K54" s="215" t="s">
        <v>4639</v>
      </c>
      <c r="L54" s="215" t="s">
        <v>4640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4638</v>
      </c>
      <c r="AB54" s="215" t="s">
        <v>4639</v>
      </c>
      <c r="AC54" s="215" t="s">
        <v>4640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4453</v>
      </c>
      <c r="D55" s="207">
        <v>1</v>
      </c>
      <c r="E55" s="207" t="s">
        <v>4398</v>
      </c>
      <c r="F55" s="214" t="s">
        <v>4641</v>
      </c>
      <c r="G55" s="207" t="s">
        <v>4400</v>
      </c>
      <c r="H55" s="207" t="s">
        <v>4401</v>
      </c>
      <c r="I55" s="217" t="s">
        <v>4402</v>
      </c>
      <c r="J55" s="215" t="s">
        <v>4642</v>
      </c>
      <c r="K55" s="214" t="s">
        <v>4643</v>
      </c>
      <c r="L55" s="214" t="s">
        <v>4644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4642</v>
      </c>
      <c r="AB55" s="215" t="s">
        <v>4643</v>
      </c>
      <c r="AC55" s="215" t="s">
        <v>4644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4453</v>
      </c>
      <c r="D56" s="207">
        <v>1</v>
      </c>
      <c r="E56" s="207" t="s">
        <v>4398</v>
      </c>
      <c r="F56" s="214" t="s">
        <v>4645</v>
      </c>
      <c r="G56" s="207" t="s">
        <v>4400</v>
      </c>
      <c r="H56" s="207" t="s">
        <v>4401</v>
      </c>
      <c r="I56" s="217" t="s">
        <v>4402</v>
      </c>
      <c r="J56" s="215" t="s">
        <v>4646</v>
      </c>
      <c r="K56" s="214" t="s">
        <v>4647</v>
      </c>
      <c r="L56" s="214" t="s">
        <v>4648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4646</v>
      </c>
      <c r="AB56" s="214" t="s">
        <v>4647</v>
      </c>
      <c r="AC56" s="214" t="s">
        <v>4648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4645</v>
      </c>
      <c r="G57" s="207" t="s">
        <v>4400</v>
      </c>
      <c r="H57" s="207" t="s">
        <v>4401</v>
      </c>
      <c r="I57" s="217" t="s">
        <v>4402</v>
      </c>
      <c r="J57" s="215" t="s">
        <v>4649</v>
      </c>
      <c r="K57" s="215" t="s">
        <v>4650</v>
      </c>
      <c r="L57" s="215" t="s">
        <v>4651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4649</v>
      </c>
      <c r="AB57" s="215" t="s">
        <v>4650</v>
      </c>
      <c r="AC57" s="215" t="s">
        <v>4651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4453</v>
      </c>
      <c r="D58" s="207">
        <v>1</v>
      </c>
      <c r="E58" s="207" t="s">
        <v>4398</v>
      </c>
      <c r="F58" s="214" t="s">
        <v>4652</v>
      </c>
      <c r="G58" s="207" t="s">
        <v>4400</v>
      </c>
      <c r="H58" s="207" t="s">
        <v>4401</v>
      </c>
      <c r="I58" s="217" t="s">
        <v>4402</v>
      </c>
      <c r="J58" s="242" t="s">
        <v>4653</v>
      </c>
      <c r="K58" s="214" t="s">
        <v>4654</v>
      </c>
      <c r="L58" s="214" t="s">
        <v>4655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4653</v>
      </c>
      <c r="AB58" s="215" t="s">
        <v>4654</v>
      </c>
      <c r="AC58" s="215" t="s">
        <v>4655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4652</v>
      </c>
      <c r="G59" s="207" t="s">
        <v>4400</v>
      </c>
      <c r="H59" s="207" t="s">
        <v>4401</v>
      </c>
      <c r="I59" s="217" t="s">
        <v>4402</v>
      </c>
      <c r="J59" s="215" t="s">
        <v>4656</v>
      </c>
      <c r="K59" s="215" t="s">
        <v>4657</v>
      </c>
      <c r="L59" s="215" t="s">
        <v>4658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4656</v>
      </c>
      <c r="AB59" s="215" t="s">
        <v>4657</v>
      </c>
      <c r="AC59" s="215" t="s">
        <v>4658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4453</v>
      </c>
      <c r="D60" s="207">
        <v>1</v>
      </c>
      <c r="E60" s="207" t="s">
        <v>4398</v>
      </c>
      <c r="F60" s="214" t="s">
        <v>4659</v>
      </c>
      <c r="G60" s="207" t="s">
        <v>4400</v>
      </c>
      <c r="H60" s="207" t="s">
        <v>4401</v>
      </c>
      <c r="I60" s="217" t="s">
        <v>4402</v>
      </c>
      <c r="J60" s="215" t="s">
        <v>4660</v>
      </c>
      <c r="K60" s="214" t="s">
        <v>4661</v>
      </c>
      <c r="L60" s="214" t="s">
        <v>4662</v>
      </c>
      <c r="M60" s="197" t="s">
        <v>4405</v>
      </c>
      <c r="N60" s="207" t="s">
        <v>4442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4660</v>
      </c>
      <c r="AB60" s="255"/>
      <c r="AC60" s="214" t="s">
        <v>4662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4433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4423</v>
      </c>
      <c r="AT60" s="207"/>
      <c r="AU60" s="220" t="s">
        <v>4663</v>
      </c>
      <c r="AV60" s="197" t="s">
        <v>4425</v>
      </c>
      <c r="AW60" s="207" t="s">
        <v>4425</v>
      </c>
      <c r="AX60" s="207" t="s">
        <v>4425</v>
      </c>
      <c r="AY60" s="207" t="s">
        <v>4425</v>
      </c>
      <c r="AZ60" s="202">
        <v>46008</v>
      </c>
      <c r="BA60" s="207" t="s">
        <v>4425</v>
      </c>
      <c r="BB60" s="207" t="s">
        <v>4425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4425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4437</v>
      </c>
      <c r="BL60" s="230" t="s">
        <v>4437</v>
      </c>
      <c r="BM60" s="230" t="s">
        <v>4437</v>
      </c>
      <c r="BN60" s="207" t="s">
        <v>4425</v>
      </c>
      <c r="BO60" s="207" t="s">
        <v>4425</v>
      </c>
      <c r="BP60" s="203">
        <v>46128</v>
      </c>
      <c r="BQ60" s="207" t="s">
        <v>4425</v>
      </c>
      <c r="BR60" s="231" t="s">
        <v>4435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4659</v>
      </c>
      <c r="G61" s="207" t="s">
        <v>4400</v>
      </c>
      <c r="H61" s="207" t="s">
        <v>4401</v>
      </c>
      <c r="I61" s="217" t="s">
        <v>4402</v>
      </c>
      <c r="J61" s="215" t="s">
        <v>4664</v>
      </c>
      <c r="K61" s="215" t="s">
        <v>4665</v>
      </c>
      <c r="L61" s="215" t="s">
        <v>4666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4664</v>
      </c>
      <c r="AB61" s="215" t="s">
        <v>4665</v>
      </c>
      <c r="AC61" s="215" t="s">
        <v>4666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4453</v>
      </c>
      <c r="D62" s="207">
        <v>1</v>
      </c>
      <c r="E62" s="207" t="s">
        <v>4398</v>
      </c>
      <c r="F62" s="214" t="s">
        <v>4667</v>
      </c>
      <c r="G62" s="207" t="s">
        <v>4400</v>
      </c>
      <c r="H62" s="207" t="s">
        <v>4401</v>
      </c>
      <c r="I62" s="217" t="s">
        <v>4402</v>
      </c>
      <c r="J62" s="215" t="s">
        <v>4668</v>
      </c>
      <c r="K62" s="214" t="s">
        <v>4669</v>
      </c>
      <c r="L62" s="214" t="s">
        <v>4670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4668</v>
      </c>
      <c r="AB62" s="215" t="s">
        <v>4669</v>
      </c>
      <c r="AC62" s="215" t="s">
        <v>4670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4667</v>
      </c>
      <c r="G63" s="207" t="s">
        <v>4400</v>
      </c>
      <c r="H63" s="207" t="s">
        <v>4583</v>
      </c>
      <c r="I63" s="217" t="s">
        <v>4402</v>
      </c>
      <c r="J63" s="215" t="s">
        <v>4671</v>
      </c>
      <c r="K63" s="215" t="s">
        <v>4672</v>
      </c>
      <c r="L63" s="215" t="s">
        <v>4673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4671</v>
      </c>
      <c r="AB63" s="215" t="s">
        <v>4672</v>
      </c>
      <c r="AC63" s="215" t="s">
        <v>4673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4453</v>
      </c>
      <c r="D64" s="207">
        <v>1</v>
      </c>
      <c r="E64" s="207" t="s">
        <v>4398</v>
      </c>
      <c r="F64" s="214" t="s">
        <v>4674</v>
      </c>
      <c r="G64" s="207" t="s">
        <v>4400</v>
      </c>
      <c r="H64" s="207" t="s">
        <v>4401</v>
      </c>
      <c r="I64" s="217" t="s">
        <v>4402</v>
      </c>
      <c r="J64" s="215" t="s">
        <v>4675</v>
      </c>
      <c r="K64" s="214" t="s">
        <v>4676</v>
      </c>
      <c r="L64" s="214" t="s">
        <v>4677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4675</v>
      </c>
      <c r="AB64" s="215" t="s">
        <v>4676</v>
      </c>
      <c r="AC64" s="215" t="s">
        <v>4677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4674</v>
      </c>
      <c r="G65" s="207" t="s">
        <v>4546</v>
      </c>
      <c r="H65" s="207" t="s">
        <v>4546</v>
      </c>
      <c r="I65" s="233" t="s">
        <v>4421</v>
      </c>
      <c r="J65" s="215" t="s">
        <v>4678</v>
      </c>
      <c r="K65" s="215" t="s">
        <v>4398</v>
      </c>
      <c r="L65" s="215" t="s">
        <v>4679</v>
      </c>
      <c r="M65" s="197" t="s">
        <v>4405</v>
      </c>
      <c r="N65" s="207" t="s">
        <v>4442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4678</v>
      </c>
      <c r="AB65" s="215" t="s">
        <v>4398</v>
      </c>
      <c r="AC65" s="215" t="s">
        <v>4679</v>
      </c>
      <c r="AD65" s="252" t="s">
        <v>4421</v>
      </c>
      <c r="AE65" s="197" t="s">
        <v>4405</v>
      </c>
      <c r="AF65" s="243">
        <v>2975.66</v>
      </c>
      <c r="AG65" s="243">
        <v>2975.66</v>
      </c>
      <c r="AH65" s="197" t="s">
        <v>4433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4423</v>
      </c>
      <c r="AT65" s="219"/>
      <c r="AU65" s="220" t="s">
        <v>4680</v>
      </c>
      <c r="AV65" s="207" t="s">
        <v>4425</v>
      </c>
      <c r="AW65" s="207" t="s">
        <v>4425</v>
      </c>
      <c r="AX65" s="207" t="s">
        <v>4425</v>
      </c>
      <c r="AY65" s="207" t="s">
        <v>4425</v>
      </c>
      <c r="AZ65" s="202">
        <v>46153</v>
      </c>
      <c r="BA65" s="207" t="s">
        <v>4425</v>
      </c>
      <c r="BB65" s="207" t="s">
        <v>4425</v>
      </c>
      <c r="BC65" s="202">
        <v>46157</v>
      </c>
      <c r="BD65" s="227">
        <v>46157</v>
      </c>
      <c r="BE65" s="228" t="s">
        <v>4435</v>
      </c>
      <c r="BF65" s="245" t="s">
        <v>4436</v>
      </c>
      <c r="BG65" s="219" t="s">
        <v>4425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4437</v>
      </c>
      <c r="BL65" s="219" t="s">
        <v>4437</v>
      </c>
      <c r="BM65" s="219" t="s">
        <v>4437</v>
      </c>
      <c r="BN65" s="219" t="s">
        <v>4425</v>
      </c>
      <c r="BO65" s="219" t="s">
        <v>4425</v>
      </c>
      <c r="BP65" s="202">
        <v>46195</v>
      </c>
      <c r="BQ65" s="219" t="s">
        <v>4425</v>
      </c>
      <c r="BR65" s="232" t="s">
        <v>4435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4453</v>
      </c>
      <c r="D66" s="207">
        <v>1</v>
      </c>
      <c r="E66" s="207" t="s">
        <v>4398</v>
      </c>
      <c r="F66" s="214" t="s">
        <v>4681</v>
      </c>
      <c r="G66" s="207" t="s">
        <v>4400</v>
      </c>
      <c r="H66" s="207" t="s">
        <v>4401</v>
      </c>
      <c r="I66" s="249" t="s">
        <v>4402</v>
      </c>
      <c r="J66" s="215" t="s">
        <v>4682</v>
      </c>
      <c r="K66" s="214" t="s">
        <v>4683</v>
      </c>
      <c r="L66" s="214" t="s">
        <v>4684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4682</v>
      </c>
      <c r="AB66" s="215" t="s">
        <v>4683</v>
      </c>
      <c r="AC66" s="215" t="s">
        <v>4684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4453</v>
      </c>
      <c r="D67" s="207">
        <v>1</v>
      </c>
      <c r="E67" s="207" t="s">
        <v>4398</v>
      </c>
      <c r="F67" s="214" t="s">
        <v>4685</v>
      </c>
      <c r="G67" s="207" t="s">
        <v>4400</v>
      </c>
      <c r="H67" s="207" t="s">
        <v>4401</v>
      </c>
      <c r="I67" s="217" t="s">
        <v>4402</v>
      </c>
      <c r="J67" s="242" t="s">
        <v>4686</v>
      </c>
      <c r="K67" s="214" t="s">
        <v>4687</v>
      </c>
      <c r="L67" s="214" t="s">
        <v>4688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4686</v>
      </c>
      <c r="AB67" s="215" t="s">
        <v>4687</v>
      </c>
      <c r="AC67" s="215" t="s">
        <v>4688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4453</v>
      </c>
      <c r="D68" s="207">
        <v>1</v>
      </c>
      <c r="E68" s="207" t="s">
        <v>4398</v>
      </c>
      <c r="F68" s="214" t="s">
        <v>4689</v>
      </c>
      <c r="G68" s="207" t="s">
        <v>4400</v>
      </c>
      <c r="H68" s="207" t="s">
        <v>4401</v>
      </c>
      <c r="I68" s="217" t="s">
        <v>4402</v>
      </c>
      <c r="J68" s="215" t="s">
        <v>4690</v>
      </c>
      <c r="K68" s="214" t="s">
        <v>4691</v>
      </c>
      <c r="L68" s="214" t="s">
        <v>4692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4690</v>
      </c>
      <c r="AB68" s="215" t="s">
        <v>4691</v>
      </c>
      <c r="AC68" s="215" t="s">
        <v>4692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4453</v>
      </c>
      <c r="D69" s="207">
        <v>1</v>
      </c>
      <c r="E69" s="207" t="s">
        <v>4398</v>
      </c>
      <c r="F69" s="214" t="s">
        <v>4693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4694</v>
      </c>
      <c r="L69" s="214" t="s">
        <v>4695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4694</v>
      </c>
      <c r="AC69" s="215" t="s">
        <v>4695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4453</v>
      </c>
      <c r="D70" s="207">
        <v>1</v>
      </c>
      <c r="E70" s="207" t="s">
        <v>4398</v>
      </c>
      <c r="F70" s="214" t="s">
        <v>4696</v>
      </c>
      <c r="G70" s="207" t="s">
        <v>4400</v>
      </c>
      <c r="H70" s="207" t="s">
        <v>4401</v>
      </c>
      <c r="I70" s="217" t="s">
        <v>4402</v>
      </c>
      <c r="J70" s="242" t="s">
        <v>4697</v>
      </c>
      <c r="K70" s="214" t="s">
        <v>4698</v>
      </c>
      <c r="L70" s="214" t="s">
        <v>4699</v>
      </c>
      <c r="M70" s="197" t="s">
        <v>4405</v>
      </c>
      <c r="N70" s="207" t="s">
        <v>4442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4697</v>
      </c>
      <c r="AB70" s="214" t="s">
        <v>4698</v>
      </c>
      <c r="AC70" s="214" t="s">
        <v>4699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4433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4423</v>
      </c>
      <c r="AT70" s="207"/>
      <c r="AU70" s="220" t="s">
        <v>4700</v>
      </c>
      <c r="AV70" s="197" t="s">
        <v>4425</v>
      </c>
      <c r="AW70" s="207" t="s">
        <v>4425</v>
      </c>
      <c r="AX70" s="207" t="s">
        <v>4425</v>
      </c>
      <c r="AY70" s="207" t="s">
        <v>4425</v>
      </c>
      <c r="AZ70" s="202">
        <v>46062</v>
      </c>
      <c r="BA70" s="207" t="s">
        <v>4425</v>
      </c>
      <c r="BB70" s="207" t="s">
        <v>4425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4425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4437</v>
      </c>
      <c r="BL70" s="230" t="s">
        <v>4437</v>
      </c>
      <c r="BM70" s="230" t="s">
        <v>4437</v>
      </c>
      <c r="BN70" s="207" t="s">
        <v>4425</v>
      </c>
      <c r="BO70" s="207" t="s">
        <v>4425</v>
      </c>
      <c r="BP70" s="203">
        <v>46128</v>
      </c>
      <c r="BQ70" s="207" t="s">
        <v>4425</v>
      </c>
      <c r="BR70" s="231" t="s">
        <v>4435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4453</v>
      </c>
      <c r="D71" s="207">
        <v>1</v>
      </c>
      <c r="E71" s="207" t="s">
        <v>4440</v>
      </c>
      <c r="F71" s="214" t="s">
        <v>4701</v>
      </c>
      <c r="G71" s="207" t="s">
        <v>4400</v>
      </c>
      <c r="H71" s="207" t="s">
        <v>4401</v>
      </c>
      <c r="I71" s="217" t="s">
        <v>4402</v>
      </c>
      <c r="J71" s="215" t="s">
        <v>4702</v>
      </c>
      <c r="K71" s="214" t="s">
        <v>4703</v>
      </c>
      <c r="L71" s="214" t="s">
        <v>4704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4702</v>
      </c>
      <c r="AB71" s="215" t="s">
        <v>4703</v>
      </c>
      <c r="AC71" s="215" t="s">
        <v>4704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4453</v>
      </c>
      <c r="D72" s="207">
        <v>1</v>
      </c>
      <c r="E72" s="207" t="s">
        <v>4440</v>
      </c>
      <c r="F72" s="214" t="s">
        <v>4705</v>
      </c>
      <c r="G72" s="207" t="s">
        <v>4400</v>
      </c>
      <c r="H72" s="207" t="s">
        <v>4401</v>
      </c>
      <c r="I72" s="217" t="s">
        <v>4402</v>
      </c>
      <c r="J72" s="215" t="s">
        <v>4706</v>
      </c>
      <c r="K72" s="214" t="s">
        <v>4707</v>
      </c>
      <c r="L72" s="214" t="s">
        <v>4708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4706</v>
      </c>
      <c r="AB72" s="214" t="s">
        <v>4707</v>
      </c>
      <c r="AC72" s="214" t="s">
        <v>4708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4453</v>
      </c>
      <c r="D73" s="207">
        <v>1</v>
      </c>
      <c r="E73" s="207" t="s">
        <v>4398</v>
      </c>
      <c r="F73" s="214" t="s">
        <v>4709</v>
      </c>
      <c r="G73" s="207" t="s">
        <v>4400</v>
      </c>
      <c r="H73" s="207" t="s">
        <v>4401</v>
      </c>
      <c r="I73" s="217" t="s">
        <v>4402</v>
      </c>
      <c r="J73" s="215" t="s">
        <v>4710</v>
      </c>
      <c r="K73" s="214" t="s">
        <v>4711</v>
      </c>
      <c r="L73" s="214" t="s">
        <v>4712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4710</v>
      </c>
      <c r="AB73" s="215" t="s">
        <v>4711</v>
      </c>
      <c r="AC73" s="215" t="s">
        <v>4712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4453</v>
      </c>
      <c r="D74" s="207">
        <v>1</v>
      </c>
      <c r="E74" s="207" t="s">
        <v>4398</v>
      </c>
      <c r="F74" s="214" t="s">
        <v>4713</v>
      </c>
      <c r="G74" s="207" t="s">
        <v>4400</v>
      </c>
      <c r="H74" s="207" t="s">
        <v>4401</v>
      </c>
      <c r="I74" s="217" t="s">
        <v>4402</v>
      </c>
      <c r="J74" s="215" t="s">
        <v>4714</v>
      </c>
      <c r="K74" s="214" t="s">
        <v>4715</v>
      </c>
      <c r="L74" s="214" t="s">
        <v>4716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4714</v>
      </c>
      <c r="AB74" s="215" t="s">
        <v>4715</v>
      </c>
      <c r="AC74" s="215" t="s">
        <v>4716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4453</v>
      </c>
      <c r="D75" s="207">
        <v>1</v>
      </c>
      <c r="E75" s="207" t="s">
        <v>4398</v>
      </c>
      <c r="F75" s="214" t="s">
        <v>4717</v>
      </c>
      <c r="G75" s="207" t="s">
        <v>4400</v>
      </c>
      <c r="H75" s="207" t="s">
        <v>4401</v>
      </c>
      <c r="I75" s="217" t="s">
        <v>4402</v>
      </c>
      <c r="J75" s="215" t="s">
        <v>4718</v>
      </c>
      <c r="K75" s="214" t="s">
        <v>4719</v>
      </c>
      <c r="L75" s="214" t="s">
        <v>4720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4718</v>
      </c>
      <c r="AB75" s="215" t="s">
        <v>4719</v>
      </c>
      <c r="AC75" s="215" t="s">
        <v>4720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4453</v>
      </c>
      <c r="D76" s="207">
        <v>1</v>
      </c>
      <c r="E76" s="207" t="s">
        <v>4398</v>
      </c>
      <c r="F76" s="214" t="s">
        <v>4721</v>
      </c>
      <c r="G76" s="207" t="s">
        <v>4400</v>
      </c>
      <c r="H76" s="207" t="s">
        <v>4401</v>
      </c>
      <c r="I76" s="217" t="s">
        <v>4402</v>
      </c>
      <c r="J76" s="215" t="s">
        <v>4722</v>
      </c>
      <c r="K76" s="214" t="s">
        <v>4723</v>
      </c>
      <c r="L76" s="214" t="s">
        <v>4724</v>
      </c>
      <c r="M76" s="197" t="s">
        <v>4405</v>
      </c>
      <c r="N76" s="207" t="s">
        <v>4442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4722</v>
      </c>
      <c r="AB76" s="214" t="s">
        <v>4723</v>
      </c>
      <c r="AC76" s="214" t="s">
        <v>4724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4433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4423</v>
      </c>
      <c r="AT76" s="207"/>
      <c r="AU76" s="220" t="s">
        <v>4725</v>
      </c>
      <c r="AV76" s="197" t="s">
        <v>4425</v>
      </c>
      <c r="AW76" s="207" t="s">
        <v>4425</v>
      </c>
      <c r="AX76" s="207" t="s">
        <v>4425</v>
      </c>
      <c r="AY76" s="207" t="s">
        <v>4425</v>
      </c>
      <c r="AZ76" s="202">
        <v>46062</v>
      </c>
      <c r="BA76" s="207" t="s">
        <v>4425</v>
      </c>
      <c r="BB76" s="207" t="s">
        <v>4425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4425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4437</v>
      </c>
      <c r="BL76" s="230" t="s">
        <v>4437</v>
      </c>
      <c r="BM76" s="230" t="s">
        <v>4437</v>
      </c>
      <c r="BN76" s="207" t="s">
        <v>4425</v>
      </c>
      <c r="BO76" s="207" t="s">
        <v>4425</v>
      </c>
      <c r="BP76" s="203">
        <v>46128</v>
      </c>
      <c r="BQ76" s="207" t="s">
        <v>4425</v>
      </c>
      <c r="BR76" s="231" t="s">
        <v>4435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4453</v>
      </c>
      <c r="D77" s="207">
        <v>1</v>
      </c>
      <c r="E77" s="207" t="s">
        <v>4398</v>
      </c>
      <c r="F77" s="214" t="s">
        <v>4726</v>
      </c>
      <c r="G77" s="207" t="s">
        <v>4400</v>
      </c>
      <c r="H77" s="207" t="s">
        <v>4401</v>
      </c>
      <c r="I77" s="217" t="s">
        <v>4402</v>
      </c>
      <c r="J77" s="215" t="s">
        <v>4727</v>
      </c>
      <c r="K77" s="214" t="s">
        <v>4728</v>
      </c>
      <c r="L77" s="214" t="s">
        <v>4729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4727</v>
      </c>
      <c r="AB77" s="215" t="s">
        <v>4728</v>
      </c>
      <c r="AC77" s="215" t="s">
        <v>4729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4453</v>
      </c>
      <c r="D78" s="207">
        <v>1</v>
      </c>
      <c r="E78" s="207" t="s">
        <v>4398</v>
      </c>
      <c r="F78" s="214" t="s">
        <v>4730</v>
      </c>
      <c r="G78" s="207" t="s">
        <v>4400</v>
      </c>
      <c r="H78" s="207" t="s">
        <v>4401</v>
      </c>
      <c r="I78" s="217" t="s">
        <v>4402</v>
      </c>
      <c r="J78" s="242" t="s">
        <v>4731</v>
      </c>
      <c r="K78" s="214" t="s">
        <v>4732</v>
      </c>
      <c r="L78" s="214" t="s">
        <v>4733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4731</v>
      </c>
      <c r="AB78" s="215" t="s">
        <v>4732</v>
      </c>
      <c r="AC78" s="215" t="s">
        <v>4733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4453</v>
      </c>
      <c r="D79" s="207">
        <v>1</v>
      </c>
      <c r="E79" s="207" t="s">
        <v>4398</v>
      </c>
      <c r="F79" s="214" t="s">
        <v>4734</v>
      </c>
      <c r="G79" s="207" t="s">
        <v>4400</v>
      </c>
      <c r="H79" s="207" t="s">
        <v>4401</v>
      </c>
      <c r="I79" s="217" t="s">
        <v>4402</v>
      </c>
      <c r="J79" s="215" t="s">
        <v>4735</v>
      </c>
      <c r="K79" s="214" t="s">
        <v>4736</v>
      </c>
      <c r="L79" s="214" t="s">
        <v>4737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4735</v>
      </c>
      <c r="AB79" s="215" t="s">
        <v>4736</v>
      </c>
      <c r="AC79" s="215" t="s">
        <v>4737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4453</v>
      </c>
      <c r="D80" s="207">
        <v>1</v>
      </c>
      <c r="E80" s="207" t="s">
        <v>4398</v>
      </c>
      <c r="F80" s="214" t="s">
        <v>4738</v>
      </c>
      <c r="G80" s="207" t="s">
        <v>4400</v>
      </c>
      <c r="H80" s="207" t="s">
        <v>4401</v>
      </c>
      <c r="I80" s="217" t="s">
        <v>4402</v>
      </c>
      <c r="J80" s="215" t="s">
        <v>4739</v>
      </c>
      <c r="K80" s="214" t="s">
        <v>4740</v>
      </c>
      <c r="L80" s="214" t="s">
        <v>4741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4739</v>
      </c>
      <c r="AB80" s="215" t="s">
        <v>4740</v>
      </c>
      <c r="AC80" s="215" t="s">
        <v>4741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4453</v>
      </c>
      <c r="D81" s="207">
        <v>1</v>
      </c>
      <c r="E81" s="207" t="s">
        <v>4398</v>
      </c>
      <c r="F81" s="214" t="s">
        <v>4742</v>
      </c>
      <c r="G81" s="207" t="s">
        <v>4400</v>
      </c>
      <c r="H81" s="207" t="s">
        <v>4401</v>
      </c>
      <c r="I81" s="217" t="s">
        <v>4402</v>
      </c>
      <c r="J81" s="215" t="s">
        <v>4743</v>
      </c>
      <c r="K81" s="214" t="s">
        <v>4744</v>
      </c>
      <c r="L81" s="214" t="s">
        <v>4745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4743</v>
      </c>
      <c r="AB81" s="215" t="s">
        <v>4744</v>
      </c>
      <c r="AC81" s="215" t="s">
        <v>4745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4453</v>
      </c>
      <c r="D82" s="207">
        <v>1</v>
      </c>
      <c r="E82" s="207" t="s">
        <v>4398</v>
      </c>
      <c r="F82" s="214" t="s">
        <v>4746</v>
      </c>
      <c r="G82" s="207" t="s">
        <v>4400</v>
      </c>
      <c r="H82" s="207" t="s">
        <v>4401</v>
      </c>
      <c r="I82" s="217" t="s">
        <v>4402</v>
      </c>
      <c r="J82" s="215" t="s">
        <v>4747</v>
      </c>
      <c r="K82" s="214" t="s">
        <v>4748</v>
      </c>
      <c r="L82" s="214" t="s">
        <v>4749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4747</v>
      </c>
      <c r="AB82" s="215" t="s">
        <v>4748</v>
      </c>
      <c r="AC82" s="215" t="s">
        <v>4749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4453</v>
      </c>
      <c r="D83" s="207">
        <v>1</v>
      </c>
      <c r="E83" s="207" t="s">
        <v>4398</v>
      </c>
      <c r="F83" s="214" t="s">
        <v>4750</v>
      </c>
      <c r="G83" s="207" t="s">
        <v>4400</v>
      </c>
      <c r="H83" s="207" t="s">
        <v>4401</v>
      </c>
      <c r="I83" s="217" t="s">
        <v>4402</v>
      </c>
      <c r="J83" s="242" t="s">
        <v>4751</v>
      </c>
      <c r="K83" s="214" t="s">
        <v>4440</v>
      </c>
      <c r="L83" s="214" t="s">
        <v>4752</v>
      </c>
      <c r="M83" s="197" t="s">
        <v>4405</v>
      </c>
      <c r="N83" s="207" t="s">
        <v>4442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4751</v>
      </c>
      <c r="AB83" s="214" t="s">
        <v>4398</v>
      </c>
      <c r="AC83" s="214" t="s">
        <v>4752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4433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4423</v>
      </c>
      <c r="AT83" s="207"/>
      <c r="AU83" s="220" t="s">
        <v>4753</v>
      </c>
      <c r="AV83" s="197" t="s">
        <v>4425</v>
      </c>
      <c r="AW83" s="207" t="s">
        <v>4425</v>
      </c>
      <c r="AX83" s="207" t="s">
        <v>4425</v>
      </c>
      <c r="AY83" s="207" t="s">
        <v>4425</v>
      </c>
      <c r="AZ83" s="202">
        <v>46008</v>
      </c>
      <c r="BA83" s="207" t="s">
        <v>4425</v>
      </c>
      <c r="BB83" s="207" t="s">
        <v>4425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4425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4437</v>
      </c>
      <c r="BL83" s="230" t="s">
        <v>4437</v>
      </c>
      <c r="BM83" s="230" t="s">
        <v>4437</v>
      </c>
      <c r="BN83" s="207" t="s">
        <v>4425</v>
      </c>
      <c r="BO83" s="207" t="s">
        <v>4425</v>
      </c>
      <c r="BP83" s="203">
        <v>46128</v>
      </c>
      <c r="BQ83" s="207" t="s">
        <v>4425</v>
      </c>
      <c r="BR83" s="231" t="s">
        <v>4435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4453</v>
      </c>
      <c r="D84" s="207">
        <v>1</v>
      </c>
      <c r="E84" s="207" t="s">
        <v>4398</v>
      </c>
      <c r="F84" s="214" t="s">
        <v>4754</v>
      </c>
      <c r="G84" s="207" t="s">
        <v>4400</v>
      </c>
      <c r="H84" s="207" t="s">
        <v>4401</v>
      </c>
      <c r="I84" s="217" t="s">
        <v>4414</v>
      </c>
      <c r="J84" s="215" t="s">
        <v>4755</v>
      </c>
      <c r="K84" s="215" t="s">
        <v>4756</v>
      </c>
      <c r="L84" s="215" t="s">
        <v>4757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4758</v>
      </c>
      <c r="AB84" s="214" t="s">
        <v>4759</v>
      </c>
      <c r="AC84" s="214" t="s">
        <v>4760</v>
      </c>
      <c r="AD84" s="199" t="s">
        <v>4421</v>
      </c>
      <c r="AE84" s="197" t="s">
        <v>4405</v>
      </c>
      <c r="AF84" s="218">
        <v>7579.04</v>
      </c>
      <c r="AG84" s="218">
        <v>7579.04</v>
      </c>
      <c r="AH84" s="207" t="s">
        <v>4433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4423</v>
      </c>
      <c r="AT84" s="207"/>
      <c r="AU84" s="220" t="s">
        <v>4761</v>
      </c>
      <c r="AV84" s="197" t="s">
        <v>4425</v>
      </c>
      <c r="AW84" s="207" t="s">
        <v>4425</v>
      </c>
      <c r="AX84" s="207" t="s">
        <v>4425</v>
      </c>
      <c r="AY84" s="207" t="s">
        <v>4425</v>
      </c>
      <c r="AZ84" s="202">
        <v>46056</v>
      </c>
      <c r="BA84" s="207" t="s">
        <v>4425</v>
      </c>
      <c r="BB84" s="207" t="s">
        <v>4425</v>
      </c>
      <c r="BC84" s="202">
        <v>46063</v>
      </c>
      <c r="BD84" s="227">
        <v>46063</v>
      </c>
      <c r="BE84" s="209">
        <v>46017</v>
      </c>
      <c r="BF84" s="197" t="s">
        <v>4762</v>
      </c>
      <c r="BG84" s="229" t="s">
        <v>4425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4437</v>
      </c>
      <c r="BL84" s="230" t="s">
        <v>4437</v>
      </c>
      <c r="BM84" s="230" t="s">
        <v>4437</v>
      </c>
      <c r="BN84" s="207" t="s">
        <v>4425</v>
      </c>
      <c r="BO84" s="207" t="s">
        <v>4425</v>
      </c>
      <c r="BP84" s="202">
        <v>46182</v>
      </c>
      <c r="BQ84" s="207" t="s">
        <v>4425</v>
      </c>
      <c r="BR84" s="256" t="s">
        <v>4435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4453</v>
      </c>
      <c r="D85" s="207">
        <v>1</v>
      </c>
      <c r="E85" s="207" t="s">
        <v>4398</v>
      </c>
      <c r="F85" s="214" t="s">
        <v>4763</v>
      </c>
      <c r="G85" s="207" t="s">
        <v>4400</v>
      </c>
      <c r="H85" s="207" t="s">
        <v>4401</v>
      </c>
      <c r="I85" s="217" t="s">
        <v>4402</v>
      </c>
      <c r="J85" s="242" t="s">
        <v>4764</v>
      </c>
      <c r="K85" s="215" t="s">
        <v>4398</v>
      </c>
      <c r="L85" s="214" t="s">
        <v>4765</v>
      </c>
      <c r="M85" s="197" t="s">
        <v>4405</v>
      </c>
      <c r="N85" s="207" t="s">
        <v>4442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4764</v>
      </c>
      <c r="AB85" s="214" t="s">
        <v>4398</v>
      </c>
      <c r="AC85" s="214" t="s">
        <v>4765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4433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4423</v>
      </c>
      <c r="AT85" s="207"/>
      <c r="AU85" s="220" t="s">
        <v>4766</v>
      </c>
      <c r="AV85" s="197" t="s">
        <v>4425</v>
      </c>
      <c r="AW85" s="207" t="s">
        <v>4425</v>
      </c>
      <c r="AX85" s="207" t="s">
        <v>4425</v>
      </c>
      <c r="AY85" s="207" t="s">
        <v>4425</v>
      </c>
      <c r="AZ85" s="202">
        <v>46008</v>
      </c>
      <c r="BA85" s="207" t="s">
        <v>4425</v>
      </c>
      <c r="BB85" s="207" t="s">
        <v>4425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4425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4437</v>
      </c>
      <c r="BL85" s="230" t="s">
        <v>4437</v>
      </c>
      <c r="BM85" s="230" t="s">
        <v>4437</v>
      </c>
      <c r="BN85" s="207" t="s">
        <v>4425</v>
      </c>
      <c r="BO85" s="207" t="s">
        <v>4425</v>
      </c>
      <c r="BP85" s="202">
        <v>46182</v>
      </c>
      <c r="BQ85" s="207" t="s">
        <v>4425</v>
      </c>
      <c r="BR85" s="256" t="s">
        <v>4435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4453</v>
      </c>
      <c r="D86" s="207">
        <v>1</v>
      </c>
      <c r="E86" s="207" t="s">
        <v>4398</v>
      </c>
      <c r="F86" s="214" t="s">
        <v>4767</v>
      </c>
      <c r="G86" s="207" t="s">
        <v>4400</v>
      </c>
      <c r="H86" s="207" t="s">
        <v>4401</v>
      </c>
      <c r="I86" s="217" t="s">
        <v>4402</v>
      </c>
      <c r="J86" s="215" t="s">
        <v>4768</v>
      </c>
      <c r="K86" s="214" t="s">
        <v>4769</v>
      </c>
      <c r="L86" s="214" t="s">
        <v>4770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4768</v>
      </c>
      <c r="AB86" s="215" t="s">
        <v>4769</v>
      </c>
      <c r="AC86" s="215" t="s">
        <v>4770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4453</v>
      </c>
      <c r="D87" s="207">
        <v>1</v>
      </c>
      <c r="E87" s="207" t="s">
        <v>4398</v>
      </c>
      <c r="F87" s="214" t="s">
        <v>4771</v>
      </c>
      <c r="G87" s="207" t="s">
        <v>4400</v>
      </c>
      <c r="H87" s="207" t="s">
        <v>4401</v>
      </c>
      <c r="I87" s="217" t="s">
        <v>4402</v>
      </c>
      <c r="J87" s="215" t="s">
        <v>4772</v>
      </c>
      <c r="K87" s="214" t="s">
        <v>4773</v>
      </c>
      <c r="L87" s="214" t="s">
        <v>4774</v>
      </c>
      <c r="M87" s="197" t="s">
        <v>4405</v>
      </c>
      <c r="N87" s="207" t="s">
        <v>4442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4772</v>
      </c>
      <c r="AB87" s="214" t="s">
        <v>4773</v>
      </c>
      <c r="AC87" s="214" t="s">
        <v>4774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4433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4423</v>
      </c>
      <c r="AT87" s="207"/>
      <c r="AU87" s="220" t="s">
        <v>4775</v>
      </c>
      <c r="AV87" s="197" t="s">
        <v>4425</v>
      </c>
      <c r="AW87" s="207" t="s">
        <v>4425</v>
      </c>
      <c r="AX87" s="207" t="s">
        <v>4425</v>
      </c>
      <c r="AY87" s="207" t="s">
        <v>4425</v>
      </c>
      <c r="AZ87" s="202">
        <v>46062</v>
      </c>
      <c r="BA87" s="207" t="s">
        <v>4425</v>
      </c>
      <c r="BB87" s="207" t="s">
        <v>4425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4425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4437</v>
      </c>
      <c r="BL87" s="230" t="s">
        <v>4437</v>
      </c>
      <c r="BM87" s="230" t="s">
        <v>4437</v>
      </c>
      <c r="BN87" s="207" t="s">
        <v>4425</v>
      </c>
      <c r="BO87" s="207" t="s">
        <v>4425</v>
      </c>
      <c r="BP87" s="202">
        <v>46182</v>
      </c>
      <c r="BQ87" s="207" t="s">
        <v>4425</v>
      </c>
      <c r="BR87" s="256" t="s">
        <v>4435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4453</v>
      </c>
      <c r="D88" s="207">
        <v>1</v>
      </c>
      <c r="E88" s="207" t="s">
        <v>4398</v>
      </c>
      <c r="F88" s="214" t="s">
        <v>4776</v>
      </c>
      <c r="G88" s="207" t="s">
        <v>4400</v>
      </c>
      <c r="H88" s="207" t="s">
        <v>4401</v>
      </c>
      <c r="I88" s="217" t="s">
        <v>4402</v>
      </c>
      <c r="J88" s="215" t="s">
        <v>4777</v>
      </c>
      <c r="K88" s="214" t="s">
        <v>4778</v>
      </c>
      <c r="L88" s="214" t="s">
        <v>4779</v>
      </c>
      <c r="M88" s="197" t="s">
        <v>4405</v>
      </c>
      <c r="N88" s="207" t="s">
        <v>4442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4777</v>
      </c>
      <c r="AB88" s="214" t="s">
        <v>4778</v>
      </c>
      <c r="AC88" s="214" t="s">
        <v>4779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4433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4423</v>
      </c>
      <c r="AT88" s="207"/>
      <c r="AU88" s="220" t="s">
        <v>4780</v>
      </c>
      <c r="AV88" s="197" t="s">
        <v>4425</v>
      </c>
      <c r="AW88" s="207" t="s">
        <v>4425</v>
      </c>
      <c r="AX88" s="207" t="s">
        <v>4425</v>
      </c>
      <c r="AY88" s="207" t="s">
        <v>4425</v>
      </c>
      <c r="AZ88" s="202">
        <v>46014</v>
      </c>
      <c r="BA88" s="207" t="s">
        <v>4425</v>
      </c>
      <c r="BB88" s="207" t="s">
        <v>4425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4425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4437</v>
      </c>
      <c r="BL88" s="230" t="s">
        <v>4437</v>
      </c>
      <c r="BM88" s="230" t="s">
        <v>4437</v>
      </c>
      <c r="BN88" s="207" t="s">
        <v>4425</v>
      </c>
      <c r="BO88" s="207" t="s">
        <v>4425</v>
      </c>
      <c r="BP88" s="202">
        <v>46182</v>
      </c>
      <c r="BQ88" s="207" t="s">
        <v>4425</v>
      </c>
      <c r="BR88" s="256" t="s">
        <v>4435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4453</v>
      </c>
      <c r="D89" s="207">
        <v>1</v>
      </c>
      <c r="E89" s="207" t="s">
        <v>4398</v>
      </c>
      <c r="F89" s="214" t="s">
        <v>4781</v>
      </c>
      <c r="G89" s="207" t="s">
        <v>4400</v>
      </c>
      <c r="H89" s="207" t="s">
        <v>4401</v>
      </c>
      <c r="I89" s="217" t="s">
        <v>4402</v>
      </c>
      <c r="J89" s="215" t="s">
        <v>4782</v>
      </c>
      <c r="K89" s="214" t="s">
        <v>4783</v>
      </c>
      <c r="L89" s="214" t="s">
        <v>4784</v>
      </c>
      <c r="M89" s="197" t="s">
        <v>4405</v>
      </c>
      <c r="N89" s="207" t="s">
        <v>4442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4782</v>
      </c>
      <c r="AB89" s="214" t="s">
        <v>4783</v>
      </c>
      <c r="AC89" s="214" t="s">
        <v>4784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4433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4423</v>
      </c>
      <c r="AT89" s="207"/>
      <c r="AU89" s="220" t="s">
        <v>4785</v>
      </c>
      <c r="AV89" s="197" t="s">
        <v>4425</v>
      </c>
      <c r="AW89" s="207" t="s">
        <v>4425</v>
      </c>
      <c r="AX89" s="207" t="s">
        <v>4425</v>
      </c>
      <c r="AY89" s="207" t="s">
        <v>4425</v>
      </c>
      <c r="AZ89" s="202">
        <v>46014</v>
      </c>
      <c r="BA89" s="207" t="s">
        <v>4425</v>
      </c>
      <c r="BB89" s="207" t="s">
        <v>4425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4425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4437</v>
      </c>
      <c r="BL89" s="230" t="s">
        <v>4437</v>
      </c>
      <c r="BM89" s="230" t="s">
        <v>4437</v>
      </c>
      <c r="BN89" s="207" t="s">
        <v>4425</v>
      </c>
      <c r="BO89" s="207" t="s">
        <v>4425</v>
      </c>
      <c r="BP89" s="202">
        <v>46182</v>
      </c>
      <c r="BQ89" s="207" t="s">
        <v>4425</v>
      </c>
      <c r="BR89" s="256" t="s">
        <v>4435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4453</v>
      </c>
      <c r="D90" s="207">
        <v>1</v>
      </c>
      <c r="E90" s="207" t="s">
        <v>4398</v>
      </c>
      <c r="F90" s="214" t="s">
        <v>4786</v>
      </c>
      <c r="G90" s="207" t="s">
        <v>4400</v>
      </c>
      <c r="H90" s="207" t="s">
        <v>4401</v>
      </c>
      <c r="I90" s="217" t="s">
        <v>4402</v>
      </c>
      <c r="J90" s="215" t="s">
        <v>4787</v>
      </c>
      <c r="K90" s="214" t="s">
        <v>4788</v>
      </c>
      <c r="L90" s="214" t="s">
        <v>4789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4787</v>
      </c>
      <c r="AB90" s="215" t="s">
        <v>4788</v>
      </c>
      <c r="AC90" s="215" t="s">
        <v>4789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4453</v>
      </c>
      <c r="D91" s="207">
        <v>1</v>
      </c>
      <c r="E91" s="207" t="s">
        <v>4398</v>
      </c>
      <c r="F91" s="214" t="s">
        <v>4790</v>
      </c>
      <c r="G91" s="207" t="s">
        <v>4400</v>
      </c>
      <c r="H91" s="207" t="s">
        <v>4401</v>
      </c>
      <c r="I91" s="217" t="s">
        <v>4402</v>
      </c>
      <c r="J91" s="214" t="s">
        <v>4791</v>
      </c>
      <c r="K91" s="214" t="s">
        <v>4792</v>
      </c>
      <c r="L91" s="214" t="s">
        <v>4793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4791</v>
      </c>
      <c r="AB91" s="215" t="s">
        <v>4792</v>
      </c>
      <c r="AC91" s="215" t="s">
        <v>4793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4453</v>
      </c>
      <c r="D92" s="207">
        <v>1</v>
      </c>
      <c r="E92" s="207" t="s">
        <v>4398</v>
      </c>
      <c r="F92" s="214" t="s">
        <v>4794</v>
      </c>
      <c r="G92" s="207" t="s">
        <v>4400</v>
      </c>
      <c r="H92" s="207" t="s">
        <v>4401</v>
      </c>
      <c r="I92" s="217" t="s">
        <v>4402</v>
      </c>
      <c r="J92" s="215" t="s">
        <v>4795</v>
      </c>
      <c r="K92" s="214" t="s">
        <v>4796</v>
      </c>
      <c r="L92" s="214" t="s">
        <v>4797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4795</v>
      </c>
      <c r="AB92" s="215" t="s">
        <v>4796</v>
      </c>
      <c r="AC92" s="215" t="s">
        <v>4797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4453</v>
      </c>
      <c r="D93" s="207">
        <v>1</v>
      </c>
      <c r="E93" s="207" t="s">
        <v>4398</v>
      </c>
      <c r="F93" s="214" t="s">
        <v>4798</v>
      </c>
      <c r="G93" s="207" t="s">
        <v>4400</v>
      </c>
      <c r="H93" s="207" t="s">
        <v>4401</v>
      </c>
      <c r="I93" s="217" t="s">
        <v>4402</v>
      </c>
      <c r="J93" s="215" t="s">
        <v>4799</v>
      </c>
      <c r="K93" s="214" t="s">
        <v>4800</v>
      </c>
      <c r="L93" s="214" t="s">
        <v>4801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4799</v>
      </c>
      <c r="AB93" s="215" t="s">
        <v>4800</v>
      </c>
      <c r="AC93" s="215" t="s">
        <v>4801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4453</v>
      </c>
      <c r="D94" s="207">
        <v>1</v>
      </c>
      <c r="E94" s="207" t="s">
        <v>4398</v>
      </c>
      <c r="F94" s="214" t="s">
        <v>4802</v>
      </c>
      <c r="G94" s="207" t="s">
        <v>4400</v>
      </c>
      <c r="H94" s="207" t="s">
        <v>4401</v>
      </c>
      <c r="I94" s="217" t="s">
        <v>4402</v>
      </c>
      <c r="J94" s="215" t="s">
        <v>4803</v>
      </c>
      <c r="K94" s="215" t="s">
        <v>4398</v>
      </c>
      <c r="L94" s="214" t="s">
        <v>4804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4803</v>
      </c>
      <c r="AB94" s="215" t="s">
        <v>4398</v>
      </c>
      <c r="AC94" s="215" t="s">
        <v>4804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4453</v>
      </c>
      <c r="D95" s="207">
        <v>1</v>
      </c>
      <c r="E95" s="207" t="s">
        <v>4398</v>
      </c>
      <c r="F95" s="214" t="s">
        <v>4805</v>
      </c>
      <c r="G95" s="207" t="s">
        <v>4400</v>
      </c>
      <c r="H95" s="207" t="s">
        <v>4401</v>
      </c>
      <c r="I95" s="217" t="s">
        <v>4402</v>
      </c>
      <c r="J95" s="215" t="s">
        <v>4806</v>
      </c>
      <c r="K95" s="214" t="s">
        <v>4807</v>
      </c>
      <c r="L95" s="214" t="s">
        <v>4808</v>
      </c>
      <c r="M95" s="197" t="s">
        <v>4405</v>
      </c>
      <c r="N95" s="207" t="s">
        <v>4442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4806</v>
      </c>
      <c r="AB95" s="214" t="s">
        <v>4807</v>
      </c>
      <c r="AC95" s="214" t="s">
        <v>4808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4433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4423</v>
      </c>
      <c r="AT95" s="207"/>
      <c r="AU95" s="220" t="s">
        <v>4809</v>
      </c>
      <c r="AV95" s="197" t="s">
        <v>4425</v>
      </c>
      <c r="AW95" s="207" t="s">
        <v>4425</v>
      </c>
      <c r="AX95" s="207" t="s">
        <v>4425</v>
      </c>
      <c r="AY95" s="207" t="s">
        <v>4425</v>
      </c>
      <c r="AZ95" s="202">
        <v>46009</v>
      </c>
      <c r="BA95" s="207" t="s">
        <v>4425</v>
      </c>
      <c r="BB95" s="207" t="s">
        <v>4425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4425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4437</v>
      </c>
      <c r="BL95" s="230" t="s">
        <v>4437</v>
      </c>
      <c r="BM95" s="230" t="s">
        <v>4437</v>
      </c>
      <c r="BN95" s="207" t="s">
        <v>4425</v>
      </c>
      <c r="BO95" s="207" t="s">
        <v>4425</v>
      </c>
      <c r="BP95" s="202">
        <v>46182</v>
      </c>
      <c r="BQ95" s="207" t="s">
        <v>4425</v>
      </c>
      <c r="BR95" s="256" t="s">
        <v>4435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4805</v>
      </c>
      <c r="G96" s="207" t="s">
        <v>4400</v>
      </c>
      <c r="H96" s="207" t="s">
        <v>4401</v>
      </c>
      <c r="I96" s="217" t="s">
        <v>4402</v>
      </c>
      <c r="J96" s="215" t="s">
        <v>4810</v>
      </c>
      <c r="K96" s="215" t="s">
        <v>4811</v>
      </c>
      <c r="L96" s="215" t="s">
        <v>4812</v>
      </c>
      <c r="M96" s="197" t="s">
        <v>4405</v>
      </c>
      <c r="N96" s="207" t="s">
        <v>4442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4810</v>
      </c>
      <c r="AB96" s="215" t="s">
        <v>4811</v>
      </c>
      <c r="AC96" s="215" t="s">
        <v>4812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4422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4423</v>
      </c>
      <c r="AT96" s="219"/>
      <c r="AU96" s="220" t="s">
        <v>4813</v>
      </c>
      <c r="AV96" s="197" t="s">
        <v>4425</v>
      </c>
      <c r="AW96" s="207" t="s">
        <v>4425</v>
      </c>
      <c r="AX96" s="207" t="s">
        <v>4425</v>
      </c>
      <c r="AY96" s="207" t="s">
        <v>4425</v>
      </c>
      <c r="AZ96" s="202">
        <v>46150</v>
      </c>
      <c r="BA96" s="207" t="s">
        <v>4425</v>
      </c>
      <c r="BB96" s="207" t="s">
        <v>4425</v>
      </c>
      <c r="BC96" s="202">
        <v>46192</v>
      </c>
      <c r="BD96" s="227">
        <v>46192</v>
      </c>
      <c r="BE96" s="227" t="s">
        <v>4435</v>
      </c>
      <c r="BF96" s="228" t="s">
        <v>4400</v>
      </c>
      <c r="BG96" s="219" t="s">
        <v>4425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4437</v>
      </c>
      <c r="BL96" s="219" t="s">
        <v>4437</v>
      </c>
      <c r="BM96" s="219" t="s">
        <v>4437</v>
      </c>
      <c r="BN96" s="207" t="s">
        <v>4425</v>
      </c>
      <c r="BO96" s="207" t="s">
        <v>4425</v>
      </c>
      <c r="BP96" s="202">
        <v>46224</v>
      </c>
      <c r="BQ96" s="207" t="s">
        <v>4425</v>
      </c>
      <c r="BR96" s="232" t="s">
        <v>4435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4805</v>
      </c>
      <c r="G97" s="207" t="s">
        <v>4545</v>
      </c>
      <c r="H97" s="207"/>
      <c r="I97" s="217" t="s">
        <v>4421</v>
      </c>
      <c r="J97" s="215" t="s">
        <v>4814</v>
      </c>
      <c r="K97" s="215" t="s">
        <v>4815</v>
      </c>
      <c r="L97" s="215" t="s">
        <v>4816</v>
      </c>
      <c r="M97" s="197" t="s">
        <v>4405</v>
      </c>
      <c r="N97" s="207" t="s">
        <v>4442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4814</v>
      </c>
      <c r="AB97" s="215" t="s">
        <v>4815</v>
      </c>
      <c r="AC97" s="215" t="s">
        <v>4816</v>
      </c>
      <c r="AD97" s="197" t="s">
        <v>4421</v>
      </c>
      <c r="AE97" s="197" t="s">
        <v>4405</v>
      </c>
      <c r="AF97" s="243">
        <v>28264.6</v>
      </c>
      <c r="AG97" s="243">
        <v>58264.6</v>
      </c>
      <c r="AH97" s="197" t="s">
        <v>4433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4423</v>
      </c>
      <c r="AT97" s="219"/>
      <c r="AU97" s="220" t="s">
        <v>4817</v>
      </c>
      <c r="AV97" s="207" t="s">
        <v>4818</v>
      </c>
      <c r="AW97" s="207" t="s">
        <v>4818</v>
      </c>
      <c r="AX97" s="207" t="s">
        <v>4818</v>
      </c>
      <c r="AY97" s="207" t="s">
        <v>4818</v>
      </c>
      <c r="AZ97" s="202">
        <v>46233</v>
      </c>
      <c r="BA97" s="207" t="s">
        <v>4818</v>
      </c>
      <c r="BB97" s="207" t="s">
        <v>4818</v>
      </c>
      <c r="BC97" s="202">
        <v>46234</v>
      </c>
      <c r="BD97" s="226">
        <v>46234</v>
      </c>
      <c r="BE97" s="257" t="s">
        <v>4435</v>
      </c>
      <c r="BF97" s="257" t="s">
        <v>4436</v>
      </c>
      <c r="BG97" s="219" t="s">
        <v>4425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4437</v>
      </c>
      <c r="BL97" s="219" t="s">
        <v>4437</v>
      </c>
      <c r="BM97" s="219" t="s">
        <v>4437</v>
      </c>
      <c r="BN97" s="250" t="s">
        <v>4425</v>
      </c>
      <c r="BO97" s="250" t="s">
        <v>4425</v>
      </c>
      <c r="BP97" s="202">
        <v>46269</v>
      </c>
      <c r="BQ97" s="257" t="s">
        <v>4819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4820</v>
      </c>
      <c r="G98" s="207" t="s">
        <v>4400</v>
      </c>
      <c r="H98" s="207" t="s">
        <v>4401</v>
      </c>
      <c r="I98" s="207" t="s">
        <v>4414</v>
      </c>
      <c r="J98" s="215" t="s">
        <v>4821</v>
      </c>
      <c r="K98" s="215" t="s">
        <v>4822</v>
      </c>
      <c r="L98" s="215" t="s">
        <v>4823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4440</v>
      </c>
      <c r="Z98" s="202"/>
      <c r="AA98" s="215" t="s">
        <v>4824</v>
      </c>
      <c r="AB98" s="215" t="s">
        <v>4825</v>
      </c>
      <c r="AC98" s="215" t="s">
        <v>4826</v>
      </c>
      <c r="AD98" s="259" t="s">
        <v>4421</v>
      </c>
      <c r="AE98" s="197" t="s">
        <v>4405</v>
      </c>
      <c r="AF98" s="243">
        <v>56124.06</v>
      </c>
      <c r="AG98" s="243">
        <v>56124.06</v>
      </c>
      <c r="AH98" s="197" t="s">
        <v>4433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4423</v>
      </c>
      <c r="AT98" s="219"/>
      <c r="AU98" s="220" t="s">
        <v>4827</v>
      </c>
      <c r="AV98" s="219" t="s">
        <v>4425</v>
      </c>
      <c r="AW98" s="219" t="s">
        <v>4425</v>
      </c>
      <c r="AX98" s="257" t="s">
        <v>4828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4829</v>
      </c>
      <c r="G99" s="207" t="s">
        <v>4400</v>
      </c>
      <c r="H99" s="207" t="s">
        <v>4401</v>
      </c>
      <c r="I99" s="207" t="s">
        <v>4414</v>
      </c>
      <c r="J99" s="215" t="s">
        <v>4830</v>
      </c>
      <c r="K99" s="215" t="s">
        <v>4831</v>
      </c>
      <c r="L99" s="215" t="s">
        <v>4832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4833</v>
      </c>
      <c r="AB99" s="242" t="s">
        <v>4834</v>
      </c>
      <c r="AC99" s="242" t="s">
        <v>4835</v>
      </c>
      <c r="AD99" s="260" t="s">
        <v>4421</v>
      </c>
      <c r="AE99" s="219" t="s">
        <v>4405</v>
      </c>
      <c r="AF99" s="243">
        <v>74383.570000000007</v>
      </c>
      <c r="AG99" s="243">
        <v>74383.570000000007</v>
      </c>
      <c r="AH99" s="241" t="s">
        <v>4422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4423</v>
      </c>
      <c r="AT99" s="219"/>
      <c r="AU99" s="220" t="s">
        <v>4836</v>
      </c>
      <c r="AV99" s="197" t="s">
        <v>4818</v>
      </c>
      <c r="AW99" s="207" t="s">
        <v>4818</v>
      </c>
      <c r="AX99" s="207" t="s">
        <v>4818</v>
      </c>
      <c r="AY99" s="207" t="s">
        <v>4818</v>
      </c>
      <c r="AZ99" s="202">
        <v>46233</v>
      </c>
      <c r="BA99" s="207" t="s">
        <v>4818</v>
      </c>
      <c r="BB99" s="207" t="s">
        <v>4818</v>
      </c>
      <c r="BC99" s="202">
        <v>46234</v>
      </c>
      <c r="BD99" s="226">
        <v>46234</v>
      </c>
      <c r="BE99" s="257" t="s">
        <v>4435</v>
      </c>
      <c r="BF99" s="257" t="s">
        <v>4436</v>
      </c>
      <c r="BG99" s="219" t="s">
        <v>4425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4437</v>
      </c>
      <c r="BL99" s="219" t="s">
        <v>4437</v>
      </c>
      <c r="BM99" s="219" t="s">
        <v>4437</v>
      </c>
      <c r="BN99" s="250" t="s">
        <v>4425</v>
      </c>
      <c r="BO99" s="250" t="s">
        <v>4425</v>
      </c>
      <c r="BP99" s="202">
        <v>46269</v>
      </c>
      <c r="BQ99" s="257" t="s">
        <v>4819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4837</v>
      </c>
      <c r="G100" s="207" t="s">
        <v>4400</v>
      </c>
      <c r="H100" s="207" t="s">
        <v>4583</v>
      </c>
      <c r="I100" s="207" t="s">
        <v>4414</v>
      </c>
      <c r="J100" s="215" t="s">
        <v>4838</v>
      </c>
      <c r="K100" s="215" t="s">
        <v>4839</v>
      </c>
      <c r="L100" s="215" t="s">
        <v>4840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4841</v>
      </c>
      <c r="AB100" s="242" t="s">
        <v>4440</v>
      </c>
      <c r="AC100" s="242" t="s">
        <v>4842</v>
      </c>
      <c r="AD100" s="207" t="s">
        <v>4421</v>
      </c>
      <c r="AE100" s="207" t="s">
        <v>4405</v>
      </c>
      <c r="AF100" s="218">
        <v>46888.6</v>
      </c>
      <c r="AG100" s="218">
        <v>46888.6</v>
      </c>
      <c r="AH100" s="207" t="s">
        <v>4433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4423</v>
      </c>
      <c r="AT100" s="219"/>
      <c r="AU100" s="220" t="s">
        <v>4843</v>
      </c>
      <c r="AV100" s="219" t="s">
        <v>4425</v>
      </c>
      <c r="AW100" s="219" t="s">
        <v>4425</v>
      </c>
      <c r="AX100" s="257" t="s">
        <v>4828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4453</v>
      </c>
      <c r="D101" s="207">
        <v>1</v>
      </c>
      <c r="E101" s="207" t="s">
        <v>4398</v>
      </c>
      <c r="F101" s="214" t="s">
        <v>4837</v>
      </c>
      <c r="G101" s="207" t="s">
        <v>4400</v>
      </c>
      <c r="H101" s="207" t="s">
        <v>4401</v>
      </c>
      <c r="I101" s="217" t="s">
        <v>4402</v>
      </c>
      <c r="J101" s="242" t="s">
        <v>4844</v>
      </c>
      <c r="K101" s="214" t="s">
        <v>4845</v>
      </c>
      <c r="L101" s="214" t="s">
        <v>4846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4844</v>
      </c>
      <c r="AB101" s="215" t="s">
        <v>4845</v>
      </c>
      <c r="AC101" s="215" t="s">
        <v>4846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4837</v>
      </c>
      <c r="G102" s="207" t="s">
        <v>4546</v>
      </c>
      <c r="H102" s="207" t="s">
        <v>4546</v>
      </c>
      <c r="I102" s="233" t="s">
        <v>4421</v>
      </c>
      <c r="J102" s="215" t="s">
        <v>4847</v>
      </c>
      <c r="K102" s="215" t="s">
        <v>4398</v>
      </c>
      <c r="L102" s="215" t="s">
        <v>4848</v>
      </c>
      <c r="M102" s="197" t="s">
        <v>4405</v>
      </c>
      <c r="N102" s="207" t="s">
        <v>4442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4847</v>
      </c>
      <c r="AB102" s="215" t="s">
        <v>4398</v>
      </c>
      <c r="AC102" s="215" t="s">
        <v>4848</v>
      </c>
      <c r="AD102" s="252" t="s">
        <v>4421</v>
      </c>
      <c r="AE102" s="197" t="s">
        <v>4405</v>
      </c>
      <c r="AF102" s="243">
        <v>3074.65</v>
      </c>
      <c r="AG102" s="243">
        <v>3074.65</v>
      </c>
      <c r="AH102" s="197" t="s">
        <v>4433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4423</v>
      </c>
      <c r="AT102" s="219"/>
      <c r="AU102" s="220" t="s">
        <v>4849</v>
      </c>
      <c r="AV102" s="207" t="s">
        <v>4425</v>
      </c>
      <c r="AW102" s="207" t="s">
        <v>4425</v>
      </c>
      <c r="AX102" s="207" t="s">
        <v>4425</v>
      </c>
      <c r="AY102" s="197" t="s">
        <v>4425</v>
      </c>
      <c r="AZ102" s="202">
        <v>46128</v>
      </c>
      <c r="BA102" s="207" t="s">
        <v>4425</v>
      </c>
      <c r="BB102" s="207" t="s">
        <v>4425</v>
      </c>
      <c r="BC102" s="202">
        <v>46139</v>
      </c>
      <c r="BD102" s="227">
        <v>46139</v>
      </c>
      <c r="BE102" s="244" t="s">
        <v>4435</v>
      </c>
      <c r="BF102" s="245" t="s">
        <v>4436</v>
      </c>
      <c r="BG102" s="229" t="s">
        <v>4425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4437</v>
      </c>
      <c r="BL102" s="219" t="s">
        <v>4437</v>
      </c>
      <c r="BM102" s="219" t="s">
        <v>4437</v>
      </c>
      <c r="BN102" s="219" t="s">
        <v>4425</v>
      </c>
      <c r="BO102" s="219" t="s">
        <v>4425</v>
      </c>
      <c r="BP102" s="202">
        <v>46195</v>
      </c>
      <c r="BQ102" s="219" t="s">
        <v>4425</v>
      </c>
      <c r="BR102" s="232" t="s">
        <v>4435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4850</v>
      </c>
      <c r="G103" s="207" t="s">
        <v>4400</v>
      </c>
      <c r="H103" s="207" t="s">
        <v>4401</v>
      </c>
      <c r="I103" s="160" t="s">
        <v>4414</v>
      </c>
      <c r="J103" s="215" t="s">
        <v>4851</v>
      </c>
      <c r="K103" s="215" t="s">
        <v>4398</v>
      </c>
      <c r="L103" s="215" t="s">
        <v>4852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4853</v>
      </c>
      <c r="AB103" s="242" t="s">
        <v>4854</v>
      </c>
      <c r="AC103" s="242" t="s">
        <v>4855</v>
      </c>
      <c r="AD103" s="241" t="s">
        <v>4856</v>
      </c>
      <c r="AE103" s="207" t="s">
        <v>4405</v>
      </c>
      <c r="AF103" s="218">
        <v>114220.05</v>
      </c>
      <c r="AG103" s="218">
        <v>114220.05</v>
      </c>
      <c r="AH103" s="207" t="s">
        <v>4433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4423</v>
      </c>
      <c r="AT103" s="219"/>
      <c r="AU103" s="220" t="s">
        <v>4857</v>
      </c>
      <c r="AV103" s="219" t="s">
        <v>4425</v>
      </c>
      <c r="AW103" s="219" t="s">
        <v>4425</v>
      </c>
      <c r="AX103" s="257" t="s">
        <v>4426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4453</v>
      </c>
      <c r="D104" s="207">
        <v>1</v>
      </c>
      <c r="E104" s="207" t="s">
        <v>4398</v>
      </c>
      <c r="F104" s="214" t="s">
        <v>4850</v>
      </c>
      <c r="G104" s="207" t="s">
        <v>4400</v>
      </c>
      <c r="H104" s="207" t="s">
        <v>4401</v>
      </c>
      <c r="I104" s="217" t="s">
        <v>4402</v>
      </c>
      <c r="J104" s="242" t="s">
        <v>4858</v>
      </c>
      <c r="K104" s="214" t="s">
        <v>4859</v>
      </c>
      <c r="L104" s="214" t="s">
        <v>4860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4858</v>
      </c>
      <c r="AB104" s="215" t="s">
        <v>4859</v>
      </c>
      <c r="AC104" s="215" t="s">
        <v>4860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4850</v>
      </c>
      <c r="G105" s="207" t="s">
        <v>4400</v>
      </c>
      <c r="H105" s="207" t="s">
        <v>4401</v>
      </c>
      <c r="I105" s="217" t="s">
        <v>4402</v>
      </c>
      <c r="J105" s="215" t="s">
        <v>4861</v>
      </c>
      <c r="K105" s="215" t="s">
        <v>4862</v>
      </c>
      <c r="L105" s="215" t="s">
        <v>4863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4861</v>
      </c>
      <c r="AB105" s="215" t="s">
        <v>4862</v>
      </c>
      <c r="AC105" s="215" t="s">
        <v>4863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4453</v>
      </c>
      <c r="D106" s="207">
        <v>1</v>
      </c>
      <c r="E106" s="207" t="s">
        <v>4398</v>
      </c>
      <c r="F106" s="214" t="s">
        <v>4864</v>
      </c>
      <c r="G106" s="207" t="s">
        <v>4400</v>
      </c>
      <c r="H106" s="207" t="s">
        <v>4401</v>
      </c>
      <c r="I106" s="217" t="s">
        <v>4402</v>
      </c>
      <c r="J106" s="242" t="s">
        <v>4865</v>
      </c>
      <c r="K106" s="215" t="s">
        <v>4398</v>
      </c>
      <c r="L106" s="214" t="s">
        <v>4866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4865</v>
      </c>
      <c r="AB106" s="215" t="s">
        <v>4398</v>
      </c>
      <c r="AC106" s="215" t="s">
        <v>4866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4864</v>
      </c>
      <c r="G107" s="207" t="s">
        <v>4400</v>
      </c>
      <c r="H107" s="207" t="s">
        <v>4401</v>
      </c>
      <c r="I107" s="217" t="s">
        <v>4402</v>
      </c>
      <c r="J107" s="215" t="s">
        <v>4867</v>
      </c>
      <c r="K107" s="215" t="s">
        <v>4868</v>
      </c>
      <c r="L107" s="215" t="s">
        <v>4869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4867</v>
      </c>
      <c r="AB107" s="215" t="s">
        <v>4868</v>
      </c>
      <c r="AC107" s="215" t="s">
        <v>4869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4437</v>
      </c>
      <c r="AY107" s="219" t="s">
        <v>4437</v>
      </c>
      <c r="AZ107" s="219" t="s">
        <v>4437</v>
      </c>
      <c r="BA107" s="219" t="s">
        <v>4437</v>
      </c>
      <c r="BB107" s="219" t="s">
        <v>4437</v>
      </c>
      <c r="BC107" s="219" t="s">
        <v>4437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4453</v>
      </c>
      <c r="D108" s="207">
        <v>1</v>
      </c>
      <c r="E108" s="207" t="s">
        <v>4398</v>
      </c>
      <c r="F108" s="214" t="s">
        <v>4870</v>
      </c>
      <c r="G108" s="207" t="s">
        <v>4400</v>
      </c>
      <c r="H108" s="207" t="s">
        <v>4401</v>
      </c>
      <c r="I108" s="217" t="s">
        <v>4402</v>
      </c>
      <c r="J108" s="242" t="s">
        <v>4871</v>
      </c>
      <c r="K108" s="215" t="s">
        <v>4398</v>
      </c>
      <c r="L108" s="246" t="s">
        <v>4872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4871</v>
      </c>
      <c r="AB108" s="215" t="s">
        <v>4398</v>
      </c>
      <c r="AC108" s="215" t="s">
        <v>4872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4870</v>
      </c>
      <c r="G109" s="207" t="s">
        <v>4400</v>
      </c>
      <c r="H109" s="207" t="s">
        <v>4401</v>
      </c>
      <c r="I109" s="217" t="s">
        <v>4402</v>
      </c>
      <c r="J109" s="215" t="s">
        <v>4873</v>
      </c>
      <c r="K109" s="215" t="s">
        <v>4874</v>
      </c>
      <c r="L109" s="215" t="s">
        <v>4875</v>
      </c>
      <c r="M109" s="207" t="s">
        <v>4405</v>
      </c>
      <c r="N109" s="207" t="s">
        <v>4442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4873</v>
      </c>
      <c r="AB109" s="215" t="s">
        <v>4874</v>
      </c>
      <c r="AC109" s="215" t="s">
        <v>4875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4433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4423</v>
      </c>
      <c r="AT109" s="207"/>
      <c r="AU109" s="220" t="s">
        <v>4876</v>
      </c>
      <c r="AV109" s="207" t="s">
        <v>4425</v>
      </c>
      <c r="AW109" s="207" t="s">
        <v>4425</v>
      </c>
      <c r="AX109" s="207" t="s">
        <v>4425</v>
      </c>
      <c r="AY109" s="207" t="s">
        <v>4425</v>
      </c>
      <c r="AZ109" s="202">
        <v>46128</v>
      </c>
      <c r="BA109" s="207" t="s">
        <v>4425</v>
      </c>
      <c r="BB109" s="207" t="s">
        <v>4425</v>
      </c>
      <c r="BC109" s="202">
        <v>46139</v>
      </c>
      <c r="BD109" s="227">
        <v>46139</v>
      </c>
      <c r="BE109" s="244" t="s">
        <v>4435</v>
      </c>
      <c r="BF109" s="245" t="s">
        <v>4436</v>
      </c>
      <c r="BG109" s="229" t="s">
        <v>4425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4437</v>
      </c>
      <c r="BL109" s="219" t="s">
        <v>4437</v>
      </c>
      <c r="BM109" s="219" t="s">
        <v>4437</v>
      </c>
      <c r="BN109" s="219" t="s">
        <v>4425</v>
      </c>
      <c r="BO109" s="219" t="s">
        <v>4425</v>
      </c>
      <c r="BP109" s="202">
        <v>46195</v>
      </c>
      <c r="BQ109" s="219" t="s">
        <v>4425</v>
      </c>
      <c r="BR109" s="232" t="s">
        <v>4435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4453</v>
      </c>
      <c r="D110" s="207">
        <v>1</v>
      </c>
      <c r="E110" s="207" t="s">
        <v>4398</v>
      </c>
      <c r="F110" s="214" t="s">
        <v>4877</v>
      </c>
      <c r="G110" s="207" t="s">
        <v>4400</v>
      </c>
      <c r="H110" s="207" t="s">
        <v>4401</v>
      </c>
      <c r="I110" s="217" t="s">
        <v>4402</v>
      </c>
      <c r="J110" s="215" t="s">
        <v>4878</v>
      </c>
      <c r="K110" s="214" t="s">
        <v>4879</v>
      </c>
      <c r="L110" s="214" t="s">
        <v>4880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4878</v>
      </c>
      <c r="AB110" s="215" t="s">
        <v>4879</v>
      </c>
      <c r="AC110" s="215" t="s">
        <v>4880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4453</v>
      </c>
      <c r="D111" s="207">
        <v>1</v>
      </c>
      <c r="E111" s="207" t="s">
        <v>4398</v>
      </c>
      <c r="F111" s="214" t="s">
        <v>4881</v>
      </c>
      <c r="G111" s="207" t="s">
        <v>4400</v>
      </c>
      <c r="H111" s="207" t="s">
        <v>4401</v>
      </c>
      <c r="I111" s="217" t="s">
        <v>4402</v>
      </c>
      <c r="J111" s="215" t="s">
        <v>4882</v>
      </c>
      <c r="K111" s="215" t="s">
        <v>4883</v>
      </c>
      <c r="L111" s="215" t="s">
        <v>4884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4882</v>
      </c>
      <c r="AB111" s="215" t="s">
        <v>4883</v>
      </c>
      <c r="AC111" s="215" t="s">
        <v>4884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4881</v>
      </c>
      <c r="G112" s="207" t="s">
        <v>4400</v>
      </c>
      <c r="H112" s="207" t="s">
        <v>4401</v>
      </c>
      <c r="I112" s="217" t="s">
        <v>4402</v>
      </c>
      <c r="J112" s="215" t="s">
        <v>4885</v>
      </c>
      <c r="K112" s="215" t="s">
        <v>4886</v>
      </c>
      <c r="L112" s="215" t="s">
        <v>4887</v>
      </c>
      <c r="M112" s="207" t="s">
        <v>4405</v>
      </c>
      <c r="N112" s="207" t="s">
        <v>4432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4885</v>
      </c>
      <c r="AB112" s="215" t="s">
        <v>4886</v>
      </c>
      <c r="AC112" s="215" t="s">
        <v>4887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4422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4423</v>
      </c>
      <c r="AT112" s="217"/>
      <c r="AU112" s="220" t="s">
        <v>4888</v>
      </c>
      <c r="AV112" s="207" t="s">
        <v>4425</v>
      </c>
      <c r="AW112" s="207" t="s">
        <v>4425</v>
      </c>
      <c r="AX112" s="207" t="s">
        <v>4425</v>
      </c>
      <c r="AY112" s="207" t="s">
        <v>4425</v>
      </c>
      <c r="AZ112" s="202">
        <v>46174</v>
      </c>
      <c r="BA112" s="207" t="s">
        <v>4425</v>
      </c>
      <c r="BB112" s="207" t="s">
        <v>4425</v>
      </c>
      <c r="BC112" s="202">
        <v>46182</v>
      </c>
      <c r="BD112" s="227">
        <v>46182</v>
      </c>
      <c r="BE112" s="235" t="s">
        <v>4435</v>
      </c>
      <c r="BF112" s="236" t="s">
        <v>4436</v>
      </c>
      <c r="BG112" s="237" t="s">
        <v>4425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4437</v>
      </c>
      <c r="BL112" s="238" t="s">
        <v>4437</v>
      </c>
      <c r="BM112" s="238" t="s">
        <v>4437</v>
      </c>
      <c r="BN112" s="207" t="s">
        <v>4425</v>
      </c>
      <c r="BO112" s="207" t="s">
        <v>4425</v>
      </c>
      <c r="BP112" s="202">
        <v>46224</v>
      </c>
      <c r="BQ112" s="207" t="s">
        <v>4425</v>
      </c>
      <c r="BR112" s="232" t="s">
        <v>4435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4889</v>
      </c>
      <c r="G113" s="207" t="s">
        <v>4400</v>
      </c>
      <c r="H113" s="207" t="s">
        <v>4536</v>
      </c>
      <c r="I113" s="217" t="s">
        <v>4536</v>
      </c>
      <c r="J113" s="215" t="s">
        <v>4890</v>
      </c>
      <c r="K113" s="215" t="s">
        <v>4891</v>
      </c>
      <c r="L113" s="215" t="s">
        <v>4892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4890</v>
      </c>
      <c r="AB113" s="215" t="s">
        <v>4891</v>
      </c>
      <c r="AC113" s="215" t="s">
        <v>4892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4453</v>
      </c>
      <c r="D114" s="207">
        <v>1</v>
      </c>
      <c r="E114" s="207" t="s">
        <v>4398</v>
      </c>
      <c r="F114" s="214" t="s">
        <v>4893</v>
      </c>
      <c r="G114" s="207" t="s">
        <v>4400</v>
      </c>
      <c r="H114" s="207" t="s">
        <v>4401</v>
      </c>
      <c r="I114" s="217" t="s">
        <v>4402</v>
      </c>
      <c r="J114" s="215" t="s">
        <v>4894</v>
      </c>
      <c r="K114" s="215" t="s">
        <v>4895</v>
      </c>
      <c r="L114" s="215" t="s">
        <v>4896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4894</v>
      </c>
      <c r="AB114" s="215" t="s">
        <v>4895</v>
      </c>
      <c r="AC114" s="215" t="s">
        <v>4896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4893</v>
      </c>
      <c r="G115" s="207" t="s">
        <v>4400</v>
      </c>
      <c r="H115" s="207" t="s">
        <v>4401</v>
      </c>
      <c r="I115" s="217" t="s">
        <v>4402</v>
      </c>
      <c r="J115" s="215" t="s">
        <v>4897</v>
      </c>
      <c r="K115" s="215" t="s">
        <v>4398</v>
      </c>
      <c r="L115" s="215" t="s">
        <v>4898</v>
      </c>
      <c r="M115" s="207" t="s">
        <v>4405</v>
      </c>
      <c r="N115" s="207" t="s">
        <v>4442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4897</v>
      </c>
      <c r="AB115" s="215" t="s">
        <v>4398</v>
      </c>
      <c r="AC115" s="215" t="s">
        <v>4898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4433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4423</v>
      </c>
      <c r="AT115" s="219"/>
      <c r="AU115" s="220" t="s">
        <v>4899</v>
      </c>
      <c r="AV115" s="197" t="s">
        <v>4425</v>
      </c>
      <c r="AW115" s="207" t="s">
        <v>4425</v>
      </c>
      <c r="AX115" s="250" t="s">
        <v>4425</v>
      </c>
      <c r="AY115" s="250" t="s">
        <v>4425</v>
      </c>
      <c r="AZ115" s="202">
        <v>46140</v>
      </c>
      <c r="BA115" s="250" t="s">
        <v>4425</v>
      </c>
      <c r="BB115" s="250" t="s">
        <v>4425</v>
      </c>
      <c r="BC115" s="202">
        <v>46147</v>
      </c>
      <c r="BD115" s="227">
        <v>46147</v>
      </c>
      <c r="BE115" s="228" t="s">
        <v>4435</v>
      </c>
      <c r="BF115" s="228" t="s">
        <v>4436</v>
      </c>
      <c r="BG115" s="219" t="s">
        <v>4425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4437</v>
      </c>
      <c r="BL115" s="219" t="s">
        <v>4437</v>
      </c>
      <c r="BM115" s="219" t="s">
        <v>4437</v>
      </c>
      <c r="BN115" s="219" t="s">
        <v>4425</v>
      </c>
      <c r="BO115" s="219" t="s">
        <v>4425</v>
      </c>
      <c r="BP115" s="202">
        <v>46195</v>
      </c>
      <c r="BQ115" s="219" t="s">
        <v>4425</v>
      </c>
      <c r="BR115" s="232" t="s">
        <v>4435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4893</v>
      </c>
      <c r="G116" s="207" t="s">
        <v>4400</v>
      </c>
      <c r="H116" s="207" t="s">
        <v>4401</v>
      </c>
      <c r="I116" s="207" t="s">
        <v>4402</v>
      </c>
      <c r="J116" s="215" t="s">
        <v>4900</v>
      </c>
      <c r="K116" s="215" t="s">
        <v>4901</v>
      </c>
      <c r="L116" s="215" t="s">
        <v>4902</v>
      </c>
      <c r="M116" s="207" t="s">
        <v>4405</v>
      </c>
      <c r="N116" s="207" t="s">
        <v>4442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4900</v>
      </c>
      <c r="AB116" s="215" t="s">
        <v>4901</v>
      </c>
      <c r="AC116" s="215" t="s">
        <v>4902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4422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4423</v>
      </c>
      <c r="AT116" s="219"/>
      <c r="AU116" s="220" t="s">
        <v>4903</v>
      </c>
      <c r="AV116" s="207" t="s">
        <v>4818</v>
      </c>
      <c r="AW116" s="207" t="s">
        <v>4818</v>
      </c>
      <c r="AX116" s="207" t="s">
        <v>4818</v>
      </c>
      <c r="AY116" s="207" t="s">
        <v>4818</v>
      </c>
      <c r="AZ116" s="202">
        <v>46233</v>
      </c>
      <c r="BA116" s="207" t="s">
        <v>4818</v>
      </c>
      <c r="BB116" s="207" t="s">
        <v>4818</v>
      </c>
      <c r="BC116" s="202">
        <v>46234</v>
      </c>
      <c r="BD116" s="226">
        <v>46234</v>
      </c>
      <c r="BE116" s="257" t="s">
        <v>4435</v>
      </c>
      <c r="BF116" s="257" t="s">
        <v>4436</v>
      </c>
      <c r="BG116" s="219" t="s">
        <v>4425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4437</v>
      </c>
      <c r="BL116" s="219" t="s">
        <v>4437</v>
      </c>
      <c r="BM116" s="219" t="s">
        <v>4437</v>
      </c>
      <c r="BN116" s="250" t="s">
        <v>4425</v>
      </c>
      <c r="BO116" s="250" t="s">
        <v>4425</v>
      </c>
      <c r="BP116" s="202">
        <v>46269</v>
      </c>
      <c r="BQ116" s="257" t="s">
        <v>4819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4904</v>
      </c>
      <c r="G117" s="207" t="s">
        <v>4400</v>
      </c>
      <c r="H117" s="207" t="s">
        <v>4401</v>
      </c>
      <c r="I117" s="217" t="s">
        <v>4402</v>
      </c>
      <c r="J117" s="215" t="s">
        <v>4905</v>
      </c>
      <c r="K117" s="215" t="s">
        <v>4906</v>
      </c>
      <c r="L117" s="215" t="s">
        <v>4907</v>
      </c>
      <c r="M117" s="207" t="s">
        <v>4405</v>
      </c>
      <c r="N117" s="207" t="s">
        <v>4442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4905</v>
      </c>
      <c r="AB117" s="215" t="s">
        <v>4906</v>
      </c>
      <c r="AC117" s="215" t="s">
        <v>4907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4433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4423</v>
      </c>
      <c r="AT117" s="262"/>
      <c r="AU117" s="220" t="s">
        <v>4908</v>
      </c>
      <c r="AV117" s="262" t="s">
        <v>4425</v>
      </c>
      <c r="AW117" s="219" t="s">
        <v>4425</v>
      </c>
      <c r="AX117" s="219" t="s">
        <v>4425</v>
      </c>
      <c r="AY117" s="219" t="s">
        <v>4425</v>
      </c>
      <c r="AZ117" s="202">
        <v>46216</v>
      </c>
      <c r="BA117" s="262" t="s">
        <v>4425</v>
      </c>
      <c r="BB117" s="262" t="s">
        <v>4425</v>
      </c>
      <c r="BC117" s="202">
        <v>46220</v>
      </c>
      <c r="BD117" s="264">
        <v>46220</v>
      </c>
      <c r="BE117" s="257" t="s">
        <v>4435</v>
      </c>
      <c r="BF117" s="228" t="s">
        <v>4436</v>
      </c>
      <c r="BG117" s="229" t="s">
        <v>4425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4437</v>
      </c>
      <c r="BL117" s="230" t="s">
        <v>4437</v>
      </c>
      <c r="BM117" s="230" t="s">
        <v>4437</v>
      </c>
      <c r="BN117" s="250" t="s">
        <v>4425</v>
      </c>
      <c r="BO117" s="250" t="s">
        <v>4425</v>
      </c>
      <c r="BP117" s="202">
        <v>46269</v>
      </c>
      <c r="BQ117" s="257" t="s">
        <v>4819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4909</v>
      </c>
      <c r="G118" s="207" t="s">
        <v>4400</v>
      </c>
      <c r="H118" s="207" t="s">
        <v>4401</v>
      </c>
      <c r="I118" s="217" t="s">
        <v>4402</v>
      </c>
      <c r="J118" s="215" t="s">
        <v>4910</v>
      </c>
      <c r="K118" s="215" t="s">
        <v>4906</v>
      </c>
      <c r="L118" s="215" t="s">
        <v>4911</v>
      </c>
      <c r="M118" s="207" t="s">
        <v>4405</v>
      </c>
      <c r="N118" s="207" t="s">
        <v>4442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4910</v>
      </c>
      <c r="AB118" s="215" t="s">
        <v>4906</v>
      </c>
      <c r="AC118" s="215" t="s">
        <v>4911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4422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4423</v>
      </c>
      <c r="AT118" s="262"/>
      <c r="AU118" s="220" t="s">
        <v>4912</v>
      </c>
      <c r="AV118" s="262" t="s">
        <v>4425</v>
      </c>
      <c r="AW118" s="219" t="s">
        <v>4425</v>
      </c>
      <c r="AX118" s="219" t="s">
        <v>4425</v>
      </c>
      <c r="AY118" s="219" t="s">
        <v>4425</v>
      </c>
      <c r="AZ118" s="202">
        <v>46216</v>
      </c>
      <c r="BA118" s="262" t="s">
        <v>4425</v>
      </c>
      <c r="BB118" s="262" t="s">
        <v>4425</v>
      </c>
      <c r="BC118" s="202">
        <v>46223</v>
      </c>
      <c r="BD118" s="264">
        <v>46223</v>
      </c>
      <c r="BE118" s="257" t="s">
        <v>4435</v>
      </c>
      <c r="BF118" s="228" t="s">
        <v>4436</v>
      </c>
      <c r="BG118" s="229" t="s">
        <v>4425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4437</v>
      </c>
      <c r="BL118" s="230" t="s">
        <v>4437</v>
      </c>
      <c r="BM118" s="230" t="s">
        <v>4437</v>
      </c>
      <c r="BN118" s="250" t="s">
        <v>4425</v>
      </c>
      <c r="BO118" s="250" t="s">
        <v>4425</v>
      </c>
      <c r="BP118" s="202">
        <v>46269</v>
      </c>
      <c r="BQ118" s="257" t="s">
        <v>4819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4913</v>
      </c>
      <c r="G119" s="207" t="s">
        <v>4400</v>
      </c>
      <c r="H119" s="207" t="s">
        <v>4401</v>
      </c>
      <c r="I119" s="217" t="s">
        <v>4402</v>
      </c>
      <c r="J119" s="215" t="s">
        <v>4914</v>
      </c>
      <c r="K119" s="215" t="s">
        <v>4915</v>
      </c>
      <c r="L119" s="215" t="s">
        <v>4916</v>
      </c>
      <c r="M119" s="207" t="s">
        <v>4405</v>
      </c>
      <c r="N119" s="207" t="s">
        <v>4442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4914</v>
      </c>
      <c r="AB119" s="215" t="s">
        <v>4915</v>
      </c>
      <c r="AC119" s="215" t="s">
        <v>4916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4422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4423</v>
      </c>
      <c r="AT119" s="219"/>
      <c r="AU119" s="220" t="s">
        <v>4917</v>
      </c>
      <c r="AV119" s="219" t="s">
        <v>4425</v>
      </c>
      <c r="AW119" s="219" t="s">
        <v>4425</v>
      </c>
      <c r="AX119" s="219" t="s">
        <v>4425</v>
      </c>
      <c r="AY119" s="219" t="s">
        <v>4425</v>
      </c>
      <c r="AZ119" s="202">
        <v>46226</v>
      </c>
      <c r="BA119" s="219" t="s">
        <v>4425</v>
      </c>
      <c r="BB119" s="219" t="s">
        <v>4425</v>
      </c>
      <c r="BC119" s="202">
        <v>46232</v>
      </c>
      <c r="BD119" s="226">
        <v>46232</v>
      </c>
      <c r="BE119" s="257" t="s">
        <v>4435</v>
      </c>
      <c r="BF119" s="257" t="s">
        <v>4436</v>
      </c>
      <c r="BG119" s="219" t="s">
        <v>4425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4437</v>
      </c>
      <c r="BL119" s="219" t="s">
        <v>4437</v>
      </c>
      <c r="BM119" s="219" t="s">
        <v>4437</v>
      </c>
      <c r="BN119" s="250" t="s">
        <v>4425</v>
      </c>
      <c r="BO119" s="250" t="s">
        <v>4425</v>
      </c>
      <c r="BP119" s="202">
        <v>46269</v>
      </c>
      <c r="BQ119" s="257" t="s">
        <v>4819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4918</v>
      </c>
      <c r="G120" s="207" t="s">
        <v>4400</v>
      </c>
      <c r="H120" s="207" t="s">
        <v>4401</v>
      </c>
      <c r="I120" s="207" t="s">
        <v>4402</v>
      </c>
      <c r="J120" s="215" t="s">
        <v>4919</v>
      </c>
      <c r="K120" s="215" t="s">
        <v>4920</v>
      </c>
      <c r="L120" s="215" t="s">
        <v>4921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4919</v>
      </c>
      <c r="AB120" s="215" t="s">
        <v>4920</v>
      </c>
      <c r="AC120" s="215" t="s">
        <v>4921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4918</v>
      </c>
      <c r="G121" s="207" t="s">
        <v>4400</v>
      </c>
      <c r="H121" s="207" t="s">
        <v>4401</v>
      </c>
      <c r="I121" s="217" t="s">
        <v>4922</v>
      </c>
      <c r="J121" s="215" t="s">
        <v>4923</v>
      </c>
      <c r="K121" s="215" t="s">
        <v>4924</v>
      </c>
      <c r="L121" s="215" t="s">
        <v>4925</v>
      </c>
      <c r="M121" s="207" t="s">
        <v>4405</v>
      </c>
      <c r="N121" s="207" t="s">
        <v>4406</v>
      </c>
      <c r="O121" s="202">
        <v>46217</v>
      </c>
      <c r="P121" s="202" t="s">
        <v>4407</v>
      </c>
      <c r="Q121" s="203"/>
      <c r="R121" s="203"/>
      <c r="S121" s="203"/>
      <c r="T121" s="202"/>
      <c r="U121" s="203"/>
      <c r="V121" s="203"/>
      <c r="W121" s="203"/>
      <c r="X121" s="203"/>
      <c r="Y121" s="203"/>
      <c r="Z121" s="219"/>
      <c r="AA121" s="215" t="s">
        <v>4926</v>
      </c>
      <c r="AB121" s="215" t="s">
        <v>4927</v>
      </c>
      <c r="AC121" s="215" t="s">
        <v>4928</v>
      </c>
      <c r="AD121" s="217" t="s">
        <v>4421</v>
      </c>
      <c r="AE121" s="207" t="s">
        <v>4405</v>
      </c>
      <c r="AF121" s="218">
        <v>78337.789999999994</v>
      </c>
      <c r="AG121" s="218">
        <v>78337.789999999994</v>
      </c>
      <c r="AH121" s="207" t="s">
        <v>4422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4423</v>
      </c>
      <c r="AT121" s="219"/>
      <c r="AU121" s="220" t="s">
        <v>4929</v>
      </c>
      <c r="AV121" s="219" t="s">
        <v>4425</v>
      </c>
      <c r="AW121" s="219" t="s">
        <v>4425</v>
      </c>
      <c r="AX121" s="219" t="s">
        <v>4425</v>
      </c>
      <c r="AY121" s="219" t="s">
        <v>4425</v>
      </c>
      <c r="AZ121" s="202">
        <v>46226</v>
      </c>
      <c r="BA121" s="219" t="s">
        <v>4425</v>
      </c>
      <c r="BB121" s="219" t="s">
        <v>4425</v>
      </c>
      <c r="BC121" s="202">
        <v>46232</v>
      </c>
      <c r="BD121" s="226">
        <v>46232</v>
      </c>
      <c r="BE121" s="257" t="s">
        <v>4435</v>
      </c>
      <c r="BF121" s="257" t="s">
        <v>4436</v>
      </c>
      <c r="BG121" s="219" t="s">
        <v>4425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4437</v>
      </c>
      <c r="BL121" s="219" t="s">
        <v>4437</v>
      </c>
      <c r="BM121" s="219" t="s">
        <v>4437</v>
      </c>
      <c r="BN121" s="250" t="s">
        <v>4425</v>
      </c>
      <c r="BO121" s="250" t="s">
        <v>4425</v>
      </c>
      <c r="BP121" s="202">
        <v>46269</v>
      </c>
      <c r="BQ121" s="257" t="s">
        <v>4819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4930</v>
      </c>
      <c r="G122" s="207" t="s">
        <v>4400</v>
      </c>
      <c r="H122" s="207" t="s">
        <v>4401</v>
      </c>
      <c r="I122" s="217" t="s">
        <v>4402</v>
      </c>
      <c r="J122" s="215" t="s">
        <v>4931</v>
      </c>
      <c r="K122" s="215" t="s">
        <v>4932</v>
      </c>
      <c r="L122" s="215" t="s">
        <v>4933</v>
      </c>
      <c r="M122" s="207" t="s">
        <v>4405</v>
      </c>
      <c r="N122" s="207" t="s">
        <v>4442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4931</v>
      </c>
      <c r="AB122" s="215" t="s">
        <v>4932</v>
      </c>
      <c r="AC122" s="215" t="s">
        <v>4933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4422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4423</v>
      </c>
      <c r="AT122" s="219"/>
      <c r="AU122" s="220" t="s">
        <v>4934</v>
      </c>
      <c r="AV122" s="197" t="s">
        <v>4425</v>
      </c>
      <c r="AW122" s="207" t="s">
        <v>4425</v>
      </c>
      <c r="AX122" s="207" t="s">
        <v>4425</v>
      </c>
      <c r="AY122" s="207" t="s">
        <v>4425</v>
      </c>
      <c r="AZ122" s="202">
        <v>46128</v>
      </c>
      <c r="BA122" s="207" t="s">
        <v>4425</v>
      </c>
      <c r="BB122" s="207" t="s">
        <v>4425</v>
      </c>
      <c r="BC122" s="202">
        <v>46139</v>
      </c>
      <c r="BD122" s="227">
        <v>46139</v>
      </c>
      <c r="BE122" s="227" t="s">
        <v>4435</v>
      </c>
      <c r="BF122" s="228" t="s">
        <v>4436</v>
      </c>
      <c r="BG122" s="229" t="s">
        <v>4425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4437</v>
      </c>
      <c r="BL122" s="219" t="s">
        <v>4437</v>
      </c>
      <c r="BM122" s="219" t="s">
        <v>4437</v>
      </c>
      <c r="BN122" s="219" t="s">
        <v>4425</v>
      </c>
      <c r="BO122" s="219" t="s">
        <v>4425</v>
      </c>
      <c r="BP122" s="202">
        <v>46195</v>
      </c>
      <c r="BQ122" s="219" t="s">
        <v>4425</v>
      </c>
      <c r="BR122" s="232" t="s">
        <v>4435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4930</v>
      </c>
      <c r="G123" s="207" t="s">
        <v>4400</v>
      </c>
      <c r="H123" s="207" t="s">
        <v>4401</v>
      </c>
      <c r="I123" s="217" t="s">
        <v>4402</v>
      </c>
      <c r="J123" s="215" t="s">
        <v>4935</v>
      </c>
      <c r="K123" s="215"/>
      <c r="L123" s="215" t="s">
        <v>4936</v>
      </c>
      <c r="M123" s="207" t="s">
        <v>4405</v>
      </c>
      <c r="N123" s="207" t="s">
        <v>4442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4935</v>
      </c>
      <c r="AB123" s="215" t="s">
        <v>4906</v>
      </c>
      <c r="AC123" s="215" t="s">
        <v>4936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4422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4423</v>
      </c>
      <c r="AT123" s="219"/>
      <c r="AU123" s="220" t="s">
        <v>4937</v>
      </c>
      <c r="AV123" s="207" t="s">
        <v>4818</v>
      </c>
      <c r="AW123" s="207" t="s">
        <v>4818</v>
      </c>
      <c r="AX123" s="207" t="s">
        <v>4818</v>
      </c>
      <c r="AY123" s="207" t="s">
        <v>4818</v>
      </c>
      <c r="AZ123" s="202">
        <v>46233</v>
      </c>
      <c r="BA123" s="207" t="s">
        <v>4818</v>
      </c>
      <c r="BB123" s="207" t="s">
        <v>4818</v>
      </c>
      <c r="BC123" s="202">
        <v>46234</v>
      </c>
      <c r="BD123" s="226">
        <v>46234</v>
      </c>
      <c r="BE123" s="257" t="s">
        <v>4435</v>
      </c>
      <c r="BF123" s="257" t="s">
        <v>4436</v>
      </c>
      <c r="BG123" s="219" t="s">
        <v>4425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4437</v>
      </c>
      <c r="BL123" s="219" t="s">
        <v>4437</v>
      </c>
      <c r="BM123" s="219" t="s">
        <v>4437</v>
      </c>
      <c r="BN123" s="250" t="s">
        <v>4425</v>
      </c>
      <c r="BO123" s="250" t="s">
        <v>4425</v>
      </c>
      <c r="BP123" s="202">
        <v>46269</v>
      </c>
      <c r="BQ123" s="257" t="s">
        <v>4819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4938</v>
      </c>
      <c r="G124" s="207" t="s">
        <v>4400</v>
      </c>
      <c r="H124" s="207" t="s">
        <v>4401</v>
      </c>
      <c r="I124" s="207" t="s">
        <v>4402</v>
      </c>
      <c r="J124" s="215" t="s">
        <v>4939</v>
      </c>
      <c r="K124" s="215" t="s">
        <v>4940</v>
      </c>
      <c r="L124" s="215" t="s">
        <v>4941</v>
      </c>
      <c r="M124" s="207" t="s">
        <v>4405</v>
      </c>
      <c r="N124" s="207" t="s">
        <v>4442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4939</v>
      </c>
      <c r="AB124" s="215" t="s">
        <v>4940</v>
      </c>
      <c r="AC124" s="215" t="s">
        <v>4941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4433</v>
      </c>
      <c r="AI124" s="214" t="s">
        <v>4942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4423</v>
      </c>
      <c r="AT124" s="207"/>
      <c r="AU124" s="220" t="s">
        <v>4942</v>
      </c>
      <c r="AV124" s="207" t="s">
        <v>4425</v>
      </c>
      <c r="AW124" s="207" t="s">
        <v>4425</v>
      </c>
      <c r="AX124" s="207" t="s">
        <v>4425</v>
      </c>
      <c r="AY124" s="207" t="s">
        <v>4425</v>
      </c>
      <c r="AZ124" s="202">
        <v>46128</v>
      </c>
      <c r="BA124" s="207" t="s">
        <v>4425</v>
      </c>
      <c r="BB124" s="207" t="s">
        <v>4425</v>
      </c>
      <c r="BC124" s="202">
        <v>46139</v>
      </c>
      <c r="BD124" s="227">
        <v>46139</v>
      </c>
      <c r="BE124" s="227" t="s">
        <v>4435</v>
      </c>
      <c r="BF124" s="228" t="s">
        <v>4436</v>
      </c>
      <c r="BG124" s="229" t="s">
        <v>4425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4437</v>
      </c>
      <c r="BL124" s="219" t="s">
        <v>4437</v>
      </c>
      <c r="BM124" s="219" t="s">
        <v>4437</v>
      </c>
      <c r="BN124" s="219" t="s">
        <v>4425</v>
      </c>
      <c r="BO124" s="219" t="s">
        <v>4425</v>
      </c>
      <c r="BP124" s="202">
        <v>46195</v>
      </c>
      <c r="BQ124" s="219" t="s">
        <v>4425</v>
      </c>
      <c r="BR124" s="232" t="s">
        <v>4435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4938</v>
      </c>
      <c r="G125" s="207" t="s">
        <v>4400</v>
      </c>
      <c r="H125" s="207" t="s">
        <v>4583</v>
      </c>
      <c r="I125" s="217" t="s">
        <v>4402</v>
      </c>
      <c r="J125" s="215" t="s">
        <v>4943</v>
      </c>
      <c r="K125" s="215" t="s">
        <v>4944</v>
      </c>
      <c r="L125" s="215" t="s">
        <v>4945</v>
      </c>
      <c r="M125" s="207" t="s">
        <v>4405</v>
      </c>
      <c r="N125" s="207" t="s">
        <v>4442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4943</v>
      </c>
      <c r="AB125" s="215" t="s">
        <v>4944</v>
      </c>
      <c r="AC125" s="215" t="s">
        <v>4945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4433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4423</v>
      </c>
      <c r="AT125" s="207"/>
      <c r="AU125" s="220" t="s">
        <v>4946</v>
      </c>
      <c r="AV125" s="207" t="s">
        <v>4425</v>
      </c>
      <c r="AW125" s="207" t="s">
        <v>4425</v>
      </c>
      <c r="AX125" s="250" t="s">
        <v>4425</v>
      </c>
      <c r="AY125" s="207" t="s">
        <v>4425</v>
      </c>
      <c r="AZ125" s="202">
        <v>46139</v>
      </c>
      <c r="BA125" s="207" t="s">
        <v>4425</v>
      </c>
      <c r="BB125" s="207" t="s">
        <v>4425</v>
      </c>
      <c r="BC125" s="202">
        <v>46157</v>
      </c>
      <c r="BD125" s="227">
        <v>46157</v>
      </c>
      <c r="BE125" s="228" t="s">
        <v>4435</v>
      </c>
      <c r="BF125" s="228" t="s">
        <v>4436</v>
      </c>
      <c r="BG125" s="219" t="s">
        <v>4425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4437</v>
      </c>
      <c r="BL125" s="219" t="s">
        <v>4437</v>
      </c>
      <c r="BM125" s="219" t="s">
        <v>4437</v>
      </c>
      <c r="BN125" s="219" t="s">
        <v>4425</v>
      </c>
      <c r="BO125" s="219" t="s">
        <v>4425</v>
      </c>
      <c r="BP125" s="202">
        <v>46195</v>
      </c>
      <c r="BQ125" s="219" t="s">
        <v>4425</v>
      </c>
      <c r="BR125" s="232" t="s">
        <v>4435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4947</v>
      </c>
      <c r="G126" s="219" t="s">
        <v>4400</v>
      </c>
      <c r="H126" s="219" t="s">
        <v>4401</v>
      </c>
      <c r="I126" s="219" t="s">
        <v>4402</v>
      </c>
      <c r="J126" s="255" t="s">
        <v>4948</v>
      </c>
      <c r="K126" s="255" t="s">
        <v>4949</v>
      </c>
      <c r="L126" s="220" t="s">
        <v>4950</v>
      </c>
      <c r="M126" s="219" t="s">
        <v>4405</v>
      </c>
      <c r="N126" s="219" t="s">
        <v>4432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4948</v>
      </c>
      <c r="AB126" s="255" t="s">
        <v>4949</v>
      </c>
      <c r="AC126" s="220" t="s">
        <v>4950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4433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4423</v>
      </c>
      <c r="AT126" s="262"/>
      <c r="AU126" s="220" t="s">
        <v>4951</v>
      </c>
      <c r="AV126" s="262" t="s">
        <v>4425</v>
      </c>
      <c r="AW126" s="219" t="s">
        <v>4425</v>
      </c>
      <c r="AX126" s="219" t="s">
        <v>4425</v>
      </c>
      <c r="AY126" s="219" t="s">
        <v>4425</v>
      </c>
      <c r="AZ126" s="202">
        <v>46226</v>
      </c>
      <c r="BA126" s="219" t="s">
        <v>4425</v>
      </c>
      <c r="BB126" s="219" t="s">
        <v>4425</v>
      </c>
      <c r="BC126" s="202">
        <v>46232</v>
      </c>
      <c r="BD126" s="226">
        <v>46232</v>
      </c>
      <c r="BE126" s="257" t="s">
        <v>4435</v>
      </c>
      <c r="BF126" s="257" t="s">
        <v>4436</v>
      </c>
      <c r="BG126" s="219" t="s">
        <v>4425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4437</v>
      </c>
      <c r="BL126" s="219" t="s">
        <v>4437</v>
      </c>
      <c r="BM126" s="219" t="s">
        <v>4437</v>
      </c>
      <c r="BN126" s="250" t="s">
        <v>4425</v>
      </c>
      <c r="BO126" s="250" t="s">
        <v>4425</v>
      </c>
      <c r="BP126" s="202">
        <v>46269</v>
      </c>
      <c r="BQ126" s="257" t="s">
        <v>4819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4952</v>
      </c>
      <c r="G127" s="219" t="s">
        <v>4400</v>
      </c>
      <c r="H127" s="219" t="s">
        <v>4401</v>
      </c>
      <c r="I127" s="219" t="s">
        <v>4402</v>
      </c>
      <c r="J127" s="255" t="s">
        <v>4953</v>
      </c>
      <c r="K127" s="255" t="s">
        <v>4954</v>
      </c>
      <c r="L127" s="220" t="s">
        <v>4955</v>
      </c>
      <c r="M127" s="219" t="s">
        <v>4405</v>
      </c>
      <c r="N127" s="219" t="s">
        <v>4432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4953</v>
      </c>
      <c r="AB127" s="255" t="s">
        <v>4954</v>
      </c>
      <c r="AC127" s="220" t="s">
        <v>4955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4433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4423</v>
      </c>
      <c r="AT127" s="262"/>
      <c r="AU127" s="220" t="s">
        <v>4956</v>
      </c>
      <c r="AV127" s="207" t="s">
        <v>4425</v>
      </c>
      <c r="AW127" s="207" t="s">
        <v>4425</v>
      </c>
      <c r="AX127" s="207" t="s">
        <v>4425</v>
      </c>
      <c r="AY127" s="207" t="s">
        <v>4425</v>
      </c>
      <c r="AZ127" s="202">
        <v>46240</v>
      </c>
      <c r="BA127" s="207" t="s">
        <v>4425</v>
      </c>
      <c r="BB127" s="207" t="s">
        <v>4425</v>
      </c>
      <c r="BC127" s="202">
        <v>46254</v>
      </c>
      <c r="BD127" s="264">
        <v>46254</v>
      </c>
      <c r="BE127" s="266" t="s">
        <v>4435</v>
      </c>
      <c r="BF127" s="257" t="s">
        <v>4436</v>
      </c>
      <c r="BG127" s="219" t="s">
        <v>4425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4437</v>
      </c>
      <c r="BL127" s="219" t="s">
        <v>4437</v>
      </c>
      <c r="BM127" s="219" t="s">
        <v>4437</v>
      </c>
      <c r="BN127" s="207" t="s">
        <v>4425</v>
      </c>
      <c r="BO127" s="257" t="s">
        <v>4435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4957</v>
      </c>
      <c r="G128" s="207" t="s">
        <v>4400</v>
      </c>
      <c r="H128" s="207" t="s">
        <v>4401</v>
      </c>
      <c r="I128" s="207" t="s">
        <v>4402</v>
      </c>
      <c r="J128" s="215" t="s">
        <v>4958</v>
      </c>
      <c r="K128" s="215" t="s">
        <v>4959</v>
      </c>
      <c r="L128" s="215" t="s">
        <v>4960</v>
      </c>
      <c r="M128" s="207" t="s">
        <v>4405</v>
      </c>
      <c r="N128" s="207" t="s">
        <v>4442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4958</v>
      </c>
      <c r="AB128" s="215" t="s">
        <v>4959</v>
      </c>
      <c r="AC128" s="215" t="s">
        <v>4960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4422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4423</v>
      </c>
      <c r="AT128" s="207"/>
      <c r="AU128" s="220" t="s">
        <v>4961</v>
      </c>
      <c r="AV128" s="207" t="s">
        <v>4425</v>
      </c>
      <c r="AW128" s="207" t="s">
        <v>4425</v>
      </c>
      <c r="AX128" s="207" t="s">
        <v>4425</v>
      </c>
      <c r="AY128" s="207" t="s">
        <v>4425</v>
      </c>
      <c r="AZ128" s="202">
        <v>46150</v>
      </c>
      <c r="BA128" s="207" t="s">
        <v>4425</v>
      </c>
      <c r="BB128" s="207" t="s">
        <v>4425</v>
      </c>
      <c r="BC128" s="202">
        <v>46157</v>
      </c>
      <c r="BD128" s="227">
        <v>46157</v>
      </c>
      <c r="BE128" s="227" t="s">
        <v>4435</v>
      </c>
      <c r="BF128" s="228" t="s">
        <v>4436</v>
      </c>
      <c r="BG128" s="229" t="s">
        <v>4425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4437</v>
      </c>
      <c r="BL128" s="230" t="s">
        <v>4437</v>
      </c>
      <c r="BM128" s="230" t="s">
        <v>4437</v>
      </c>
      <c r="BN128" s="219" t="s">
        <v>4425</v>
      </c>
      <c r="BO128" s="219" t="s">
        <v>4425</v>
      </c>
      <c r="BP128" s="202">
        <v>46195</v>
      </c>
      <c r="BQ128" s="219" t="s">
        <v>4425</v>
      </c>
      <c r="BR128" s="232" t="s">
        <v>4435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4427</v>
      </c>
      <c r="D129" s="207">
        <v>1</v>
      </c>
      <c r="E129" s="207" t="s">
        <v>4398</v>
      </c>
      <c r="F129" s="214" t="s">
        <v>4962</v>
      </c>
      <c r="G129" s="207" t="s">
        <v>4400</v>
      </c>
      <c r="H129" s="207" t="s">
        <v>4401</v>
      </c>
      <c r="I129" s="217" t="s">
        <v>4402</v>
      </c>
      <c r="J129" s="242" t="s">
        <v>4963</v>
      </c>
      <c r="K129" s="215" t="s">
        <v>4964</v>
      </c>
      <c r="L129" s="215" t="s">
        <v>4965</v>
      </c>
      <c r="M129" s="207" t="s">
        <v>4405</v>
      </c>
      <c r="N129" s="207" t="s">
        <v>4442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4963</v>
      </c>
      <c r="AB129" s="242" t="s">
        <v>4964</v>
      </c>
      <c r="AC129" s="242" t="s">
        <v>4965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4433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4423</v>
      </c>
      <c r="AT129" s="207"/>
      <c r="AU129" s="220" t="s">
        <v>4966</v>
      </c>
      <c r="AV129" s="197" t="s">
        <v>4425</v>
      </c>
      <c r="AW129" s="207" t="s">
        <v>4425</v>
      </c>
      <c r="AX129" s="207" t="s">
        <v>4425</v>
      </c>
      <c r="AY129" s="207" t="s">
        <v>4425</v>
      </c>
      <c r="AZ129" s="202">
        <v>46071</v>
      </c>
      <c r="BA129" s="219" t="s">
        <v>4425</v>
      </c>
      <c r="BB129" s="219" t="s">
        <v>4425</v>
      </c>
      <c r="BC129" s="202">
        <v>46101</v>
      </c>
      <c r="BD129" s="227">
        <v>46101</v>
      </c>
      <c r="BE129" s="227" t="s">
        <v>4435</v>
      </c>
      <c r="BF129" s="228" t="s">
        <v>4436</v>
      </c>
      <c r="BG129" s="229" t="s">
        <v>4425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4437</v>
      </c>
      <c r="BL129" s="230" t="s">
        <v>4437</v>
      </c>
      <c r="BM129" s="230" t="s">
        <v>4437</v>
      </c>
      <c r="BN129" s="207" t="s">
        <v>4425</v>
      </c>
      <c r="BO129" s="207" t="s">
        <v>4425</v>
      </c>
      <c r="BP129" s="202">
        <v>46182</v>
      </c>
      <c r="BQ129" s="207" t="s">
        <v>4425</v>
      </c>
      <c r="BR129" s="256" t="s">
        <v>4435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4962</v>
      </c>
      <c r="G130" s="207" t="s">
        <v>4400</v>
      </c>
      <c r="H130" s="207" t="s">
        <v>4401</v>
      </c>
      <c r="I130" s="217" t="s">
        <v>4402</v>
      </c>
      <c r="J130" s="242" t="s">
        <v>4967</v>
      </c>
      <c r="K130" s="215" t="s">
        <v>4968</v>
      </c>
      <c r="L130" s="215" t="s">
        <v>4969</v>
      </c>
      <c r="M130" s="207" t="s">
        <v>4405</v>
      </c>
      <c r="N130" s="207" t="s">
        <v>4432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4967</v>
      </c>
      <c r="AB130" s="215" t="s">
        <v>4968</v>
      </c>
      <c r="AC130" s="215" t="s">
        <v>4969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4422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4423</v>
      </c>
      <c r="AT130" s="207"/>
      <c r="AU130" s="220" t="s">
        <v>4970</v>
      </c>
      <c r="AV130" s="207" t="s">
        <v>4818</v>
      </c>
      <c r="AW130" s="207" t="s">
        <v>4818</v>
      </c>
      <c r="AX130" s="207" t="s">
        <v>4818</v>
      </c>
      <c r="AY130" s="207" t="s">
        <v>4818</v>
      </c>
      <c r="AZ130" s="202">
        <v>46233</v>
      </c>
      <c r="BA130" s="197" t="s">
        <v>4818</v>
      </c>
      <c r="BB130" s="197" t="s">
        <v>4818</v>
      </c>
      <c r="BC130" s="202">
        <v>46234</v>
      </c>
      <c r="BD130" s="226">
        <v>46234</v>
      </c>
      <c r="BE130" s="257" t="s">
        <v>4435</v>
      </c>
      <c r="BF130" s="257" t="s">
        <v>4436</v>
      </c>
      <c r="BG130" s="219" t="s">
        <v>4425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4437</v>
      </c>
      <c r="BL130" s="219" t="s">
        <v>4437</v>
      </c>
      <c r="BM130" s="219" t="s">
        <v>4437</v>
      </c>
      <c r="BN130" s="250" t="s">
        <v>4425</v>
      </c>
      <c r="BO130" s="250" t="s">
        <v>4425</v>
      </c>
      <c r="BP130" s="202">
        <v>46269</v>
      </c>
      <c r="BQ130" s="257" t="s">
        <v>4819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4427</v>
      </c>
      <c r="D131" s="207">
        <v>1</v>
      </c>
      <c r="E131" s="207" t="s">
        <v>4398</v>
      </c>
      <c r="F131" s="214" t="s">
        <v>4971</v>
      </c>
      <c r="G131" s="207" t="s">
        <v>4400</v>
      </c>
      <c r="H131" s="207" t="s">
        <v>4401</v>
      </c>
      <c r="I131" s="217" t="s">
        <v>4402</v>
      </c>
      <c r="J131" s="242" t="s">
        <v>4972</v>
      </c>
      <c r="K131" s="215" t="s">
        <v>4973</v>
      </c>
      <c r="L131" s="215" t="s">
        <v>4974</v>
      </c>
      <c r="M131" s="207" t="s">
        <v>4405</v>
      </c>
      <c r="N131" s="207" t="s">
        <v>4442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4972</v>
      </c>
      <c r="AB131" s="215" t="s">
        <v>4973</v>
      </c>
      <c r="AC131" s="215" t="s">
        <v>4974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4433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4423</v>
      </c>
      <c r="AT131" s="207"/>
      <c r="AU131" s="220" t="s">
        <v>4975</v>
      </c>
      <c r="AV131" s="197" t="s">
        <v>4425</v>
      </c>
      <c r="AW131" s="207" t="s">
        <v>4425</v>
      </c>
      <c r="AX131" s="207" t="s">
        <v>4425</v>
      </c>
      <c r="AY131" s="207" t="s">
        <v>4425</v>
      </c>
      <c r="AZ131" s="202">
        <v>46111</v>
      </c>
      <c r="BA131" s="207" t="s">
        <v>4425</v>
      </c>
      <c r="BB131" s="207" t="s">
        <v>4425</v>
      </c>
      <c r="BC131" s="202">
        <v>46114</v>
      </c>
      <c r="BD131" s="227">
        <v>46114</v>
      </c>
      <c r="BE131" s="227" t="s">
        <v>4435</v>
      </c>
      <c r="BF131" s="228" t="s">
        <v>4436</v>
      </c>
      <c r="BG131" s="229" t="s">
        <v>4425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4437</v>
      </c>
      <c r="BL131" s="230" t="s">
        <v>4437</v>
      </c>
      <c r="BM131" s="230" t="s">
        <v>4437</v>
      </c>
      <c r="BN131" s="207" t="s">
        <v>4425</v>
      </c>
      <c r="BO131" s="207" t="s">
        <v>4425</v>
      </c>
      <c r="BP131" s="202">
        <v>46182</v>
      </c>
      <c r="BQ131" s="207" t="s">
        <v>4425</v>
      </c>
      <c r="BR131" s="256" t="s">
        <v>4435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4971</v>
      </c>
      <c r="G132" s="207" t="s">
        <v>4400</v>
      </c>
      <c r="H132" s="207" t="s">
        <v>4401</v>
      </c>
      <c r="I132" s="217" t="s">
        <v>4402</v>
      </c>
      <c r="J132" s="242" t="s">
        <v>4976</v>
      </c>
      <c r="K132" s="215"/>
      <c r="L132" s="215" t="s">
        <v>4977</v>
      </c>
      <c r="M132" s="207" t="s">
        <v>4405</v>
      </c>
      <c r="N132" s="207" t="s">
        <v>4442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4976</v>
      </c>
      <c r="AB132" s="215"/>
      <c r="AC132" s="215" t="s">
        <v>4977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4422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4423</v>
      </c>
      <c r="AT132" s="207"/>
      <c r="AU132" s="220" t="s">
        <v>4978</v>
      </c>
      <c r="AV132" s="197" t="s">
        <v>4818</v>
      </c>
      <c r="AW132" s="207" t="s">
        <v>4818</v>
      </c>
      <c r="AX132" s="207" t="s">
        <v>4818</v>
      </c>
      <c r="AY132" s="207" t="s">
        <v>4818</v>
      </c>
      <c r="AZ132" s="202">
        <v>46233</v>
      </c>
      <c r="BA132" s="207" t="s">
        <v>4818</v>
      </c>
      <c r="BB132" s="207" t="s">
        <v>4818</v>
      </c>
      <c r="BC132" s="202">
        <v>46234</v>
      </c>
      <c r="BD132" s="226">
        <v>46234</v>
      </c>
      <c r="BE132" s="257" t="s">
        <v>4435</v>
      </c>
      <c r="BF132" s="257" t="s">
        <v>4436</v>
      </c>
      <c r="BG132" s="219" t="s">
        <v>4425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4437</v>
      </c>
      <c r="BL132" s="219" t="s">
        <v>4437</v>
      </c>
      <c r="BM132" s="219" t="s">
        <v>4437</v>
      </c>
      <c r="BN132" s="250" t="s">
        <v>4425</v>
      </c>
      <c r="BO132" s="250" t="s">
        <v>4425</v>
      </c>
      <c r="BP132" s="202">
        <v>46269</v>
      </c>
      <c r="BQ132" s="257" t="s">
        <v>4819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4427</v>
      </c>
      <c r="D133" s="207">
        <v>1</v>
      </c>
      <c r="E133" s="207" t="s">
        <v>4398</v>
      </c>
      <c r="F133" s="214" t="s">
        <v>4979</v>
      </c>
      <c r="G133" s="207" t="s">
        <v>4400</v>
      </c>
      <c r="H133" s="207" t="s">
        <v>4401</v>
      </c>
      <c r="I133" s="217" t="s">
        <v>4414</v>
      </c>
      <c r="J133" s="242" t="s">
        <v>4980</v>
      </c>
      <c r="K133" s="215" t="s">
        <v>4981</v>
      </c>
      <c r="L133" s="215" t="s">
        <v>4982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4983</v>
      </c>
      <c r="AB133" s="242" t="s">
        <v>4984</v>
      </c>
      <c r="AC133" s="242" t="s">
        <v>4985</v>
      </c>
      <c r="AD133" s="233" t="s">
        <v>4421</v>
      </c>
      <c r="AE133" s="207" t="s">
        <v>4405</v>
      </c>
      <c r="AF133" s="218">
        <v>17142.46</v>
      </c>
      <c r="AG133" s="218">
        <v>17142.46</v>
      </c>
      <c r="AH133" s="207" t="s">
        <v>4422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4447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4986</v>
      </c>
      <c r="G134" s="207" t="s">
        <v>4400</v>
      </c>
      <c r="H134" s="207" t="s">
        <v>4401</v>
      </c>
      <c r="I134" s="217" t="s">
        <v>4402</v>
      </c>
      <c r="J134" s="242" t="s">
        <v>4987</v>
      </c>
      <c r="K134" s="215" t="s">
        <v>4988</v>
      </c>
      <c r="L134" s="215" t="s">
        <v>4989</v>
      </c>
      <c r="M134" s="207" t="s">
        <v>4405</v>
      </c>
      <c r="N134" s="207" t="s">
        <v>4442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4987</v>
      </c>
      <c r="AB134" s="215" t="s">
        <v>4988</v>
      </c>
      <c r="AC134" s="215" t="s">
        <v>4989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4433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7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4423</v>
      </c>
      <c r="AT134" s="207"/>
      <c r="AU134" s="220" t="s">
        <v>4990</v>
      </c>
      <c r="AV134" s="219" t="s">
        <v>4425</v>
      </c>
      <c r="AW134" s="207" t="s">
        <v>4425</v>
      </c>
      <c r="AX134" s="228" t="s">
        <v>4426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7" si="13">IFERROR(IF(BD134-KI134=0,"",BD134-AK134),"")</f>
        <v/>
      </c>
      <c r="BI134" s="98" t="str">
        <f t="shared" ref="BI134:BI197" si="14">IF(AND(AH134&lt;&gt;"SIM",AH134="UH"),"AA","INDENIZAÇÃO")</f>
        <v>INDENIZAÇÃO</v>
      </c>
      <c r="BJ134" s="98" t="str">
        <f t="shared" ref="BJ134:BJ197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4427</v>
      </c>
      <c r="D135" s="207">
        <v>1</v>
      </c>
      <c r="E135" s="207" t="s">
        <v>4398</v>
      </c>
      <c r="F135" s="214" t="s">
        <v>4986</v>
      </c>
      <c r="G135" s="207" t="s">
        <v>4400</v>
      </c>
      <c r="H135" s="207" t="s">
        <v>4401</v>
      </c>
      <c r="I135" s="217" t="s">
        <v>4402</v>
      </c>
      <c r="J135" s="242" t="s">
        <v>4991</v>
      </c>
      <c r="K135" s="215" t="s">
        <v>4992</v>
      </c>
      <c r="L135" s="215" t="s">
        <v>4993</v>
      </c>
      <c r="M135" s="207" t="s">
        <v>4405</v>
      </c>
      <c r="N135" s="207" t="s">
        <v>4442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4991</v>
      </c>
      <c r="AB135" s="246" t="s">
        <v>4992</v>
      </c>
      <c r="AC135" s="246" t="s">
        <v>4993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4433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4423</v>
      </c>
      <c r="AT135" s="207"/>
      <c r="AU135" s="220" t="s">
        <v>4994</v>
      </c>
      <c r="AV135" s="207" t="s">
        <v>4425</v>
      </c>
      <c r="AW135" s="207" t="s">
        <v>4425</v>
      </c>
      <c r="AX135" s="207" t="s">
        <v>4425</v>
      </c>
      <c r="AY135" s="207" t="s">
        <v>4425</v>
      </c>
      <c r="AZ135" s="202">
        <v>46127</v>
      </c>
      <c r="BA135" s="207" t="s">
        <v>4425</v>
      </c>
      <c r="BB135" s="207" t="s">
        <v>4425</v>
      </c>
      <c r="BC135" s="202">
        <v>46140</v>
      </c>
      <c r="BD135" s="227">
        <v>46140</v>
      </c>
      <c r="BE135" s="227" t="s">
        <v>4435</v>
      </c>
      <c r="BF135" s="228" t="s">
        <v>4436</v>
      </c>
      <c r="BG135" s="229" t="s">
        <v>4425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4437</v>
      </c>
      <c r="BL135" s="219" t="s">
        <v>4437</v>
      </c>
      <c r="BM135" s="219" t="s">
        <v>4437</v>
      </c>
      <c r="BN135" s="219" t="s">
        <v>4425</v>
      </c>
      <c r="BO135" s="219" t="s">
        <v>4425</v>
      </c>
      <c r="BP135" s="202">
        <v>46195</v>
      </c>
      <c r="BQ135" s="219" t="s">
        <v>4425</v>
      </c>
      <c r="BR135" s="232" t="s">
        <v>4435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4427</v>
      </c>
      <c r="D136" s="207">
        <v>1</v>
      </c>
      <c r="E136" s="207" t="s">
        <v>4398</v>
      </c>
      <c r="F136" s="261" t="s">
        <v>4995</v>
      </c>
      <c r="G136" s="207" t="s">
        <v>4400</v>
      </c>
      <c r="H136" s="207" t="s">
        <v>4401</v>
      </c>
      <c r="I136" s="217" t="s">
        <v>4402</v>
      </c>
      <c r="J136" s="242" t="s">
        <v>4996</v>
      </c>
      <c r="K136" s="215" t="s">
        <v>4997</v>
      </c>
      <c r="L136" s="215" t="s">
        <v>4998</v>
      </c>
      <c r="M136" s="207" t="s">
        <v>4405</v>
      </c>
      <c r="N136" s="207" t="s">
        <v>4442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4996</v>
      </c>
      <c r="AB136" s="246" t="s">
        <v>4997</v>
      </c>
      <c r="AC136" s="246" t="s">
        <v>4998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4433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4423</v>
      </c>
      <c r="AT136" s="207"/>
      <c r="AU136" s="220" t="s">
        <v>4999</v>
      </c>
      <c r="AV136" s="207" t="s">
        <v>4425</v>
      </c>
      <c r="AW136" s="207" t="s">
        <v>4425</v>
      </c>
      <c r="AX136" s="207" t="s">
        <v>4425</v>
      </c>
      <c r="AY136" s="207" t="s">
        <v>4425</v>
      </c>
      <c r="AZ136" s="202">
        <v>46071</v>
      </c>
      <c r="BA136" s="219" t="s">
        <v>4425</v>
      </c>
      <c r="BB136" s="219" t="s">
        <v>4425</v>
      </c>
      <c r="BC136" s="202">
        <v>46101</v>
      </c>
      <c r="BD136" s="227">
        <v>46101</v>
      </c>
      <c r="BE136" s="227" t="s">
        <v>4435</v>
      </c>
      <c r="BF136" s="228" t="s">
        <v>4436</v>
      </c>
      <c r="BG136" s="229" t="s">
        <v>4425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4437</v>
      </c>
      <c r="BL136" s="230" t="s">
        <v>4437</v>
      </c>
      <c r="BM136" s="230" t="s">
        <v>4437</v>
      </c>
      <c r="BN136" s="207" t="s">
        <v>4425</v>
      </c>
      <c r="BO136" s="207" t="s">
        <v>4425</v>
      </c>
      <c r="BP136" s="202">
        <v>46182</v>
      </c>
      <c r="BQ136" s="207" t="s">
        <v>4425</v>
      </c>
      <c r="BR136" s="256" t="s">
        <v>4435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4995</v>
      </c>
      <c r="G137" s="207" t="s">
        <v>4400</v>
      </c>
      <c r="H137" s="207" t="s">
        <v>4401</v>
      </c>
      <c r="I137" s="207" t="s">
        <v>4402</v>
      </c>
      <c r="J137" s="215" t="s">
        <v>5000</v>
      </c>
      <c r="K137" s="215" t="s">
        <v>5001</v>
      </c>
      <c r="L137" s="215" t="s">
        <v>5002</v>
      </c>
      <c r="M137" s="207" t="s">
        <v>4405</v>
      </c>
      <c r="N137" s="207" t="s">
        <v>4442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5000</v>
      </c>
      <c r="AB137" s="215" t="s">
        <v>5001</v>
      </c>
      <c r="AC137" s="215" t="s">
        <v>5002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4433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4423</v>
      </c>
      <c r="AT137" s="207"/>
      <c r="AU137" s="220" t="s">
        <v>5003</v>
      </c>
      <c r="AV137" s="207" t="s">
        <v>4425</v>
      </c>
      <c r="AW137" s="207" t="s">
        <v>4425</v>
      </c>
      <c r="AX137" s="250" t="s">
        <v>4425</v>
      </c>
      <c r="AY137" s="207" t="s">
        <v>4425</v>
      </c>
      <c r="AZ137" s="202">
        <v>46139</v>
      </c>
      <c r="BA137" s="207" t="s">
        <v>4425</v>
      </c>
      <c r="BB137" s="207" t="s">
        <v>4425</v>
      </c>
      <c r="BC137" s="202">
        <v>46146</v>
      </c>
      <c r="BD137" s="227">
        <v>46146</v>
      </c>
      <c r="BE137" s="227" t="s">
        <v>4435</v>
      </c>
      <c r="BF137" s="228" t="s">
        <v>4436</v>
      </c>
      <c r="BG137" s="229" t="s">
        <v>4425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4437</v>
      </c>
      <c r="BL137" s="219" t="s">
        <v>4437</v>
      </c>
      <c r="BM137" s="219" t="s">
        <v>4437</v>
      </c>
      <c r="BN137" s="219" t="s">
        <v>4425</v>
      </c>
      <c r="BO137" s="219" t="s">
        <v>4425</v>
      </c>
      <c r="BP137" s="202">
        <v>46195</v>
      </c>
      <c r="BQ137" s="219" t="s">
        <v>4425</v>
      </c>
      <c r="BR137" s="232" t="s">
        <v>4435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5004</v>
      </c>
      <c r="G138" s="207" t="s">
        <v>4400</v>
      </c>
      <c r="H138" s="207" t="s">
        <v>4401</v>
      </c>
      <c r="I138" s="207" t="s">
        <v>4402</v>
      </c>
      <c r="J138" s="215" t="s">
        <v>5005</v>
      </c>
      <c r="K138" s="215" t="s">
        <v>5006</v>
      </c>
      <c r="L138" s="215" t="s">
        <v>5007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5005</v>
      </c>
      <c r="AB138" s="215" t="s">
        <v>5006</v>
      </c>
      <c r="AC138" s="215" t="s">
        <v>5007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4427</v>
      </c>
      <c r="D139" s="207">
        <v>1</v>
      </c>
      <c r="E139" s="207" t="s">
        <v>4398</v>
      </c>
      <c r="F139" s="261" t="s">
        <v>5004</v>
      </c>
      <c r="G139" s="207" t="s">
        <v>4400</v>
      </c>
      <c r="H139" s="207" t="s">
        <v>4401</v>
      </c>
      <c r="I139" s="217" t="s">
        <v>4402</v>
      </c>
      <c r="J139" s="242" t="s">
        <v>5008</v>
      </c>
      <c r="K139" s="215" t="s">
        <v>5009</v>
      </c>
      <c r="L139" s="215" t="s">
        <v>5010</v>
      </c>
      <c r="M139" s="207" t="s">
        <v>4405</v>
      </c>
      <c r="N139" s="207" t="s">
        <v>4442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5008</v>
      </c>
      <c r="AB139" s="246" t="s">
        <v>5009</v>
      </c>
      <c r="AC139" s="246" t="s">
        <v>5010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4433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4423</v>
      </c>
      <c r="AT139" s="207"/>
      <c r="AU139" s="220" t="s">
        <v>5011</v>
      </c>
      <c r="AV139" s="207" t="s">
        <v>4425</v>
      </c>
      <c r="AW139" s="207" t="s">
        <v>4425</v>
      </c>
      <c r="AX139" s="207" t="s">
        <v>4425</v>
      </c>
      <c r="AY139" s="207" t="s">
        <v>4425</v>
      </c>
      <c r="AZ139" s="202">
        <v>46098</v>
      </c>
      <c r="BA139" s="207" t="s">
        <v>4425</v>
      </c>
      <c r="BB139" s="207" t="s">
        <v>4425</v>
      </c>
      <c r="BC139" s="202">
        <v>46114</v>
      </c>
      <c r="BD139" s="227">
        <v>46114</v>
      </c>
      <c r="BE139" s="227" t="s">
        <v>4435</v>
      </c>
      <c r="BF139" s="228" t="s">
        <v>4436</v>
      </c>
      <c r="BG139" s="229" t="s">
        <v>4425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4437</v>
      </c>
      <c r="BL139" s="230" t="s">
        <v>4437</v>
      </c>
      <c r="BM139" s="230" t="s">
        <v>4437</v>
      </c>
      <c r="BN139" s="207" t="s">
        <v>4425</v>
      </c>
      <c r="BO139" s="207" t="s">
        <v>4425</v>
      </c>
      <c r="BP139" s="202">
        <v>46182</v>
      </c>
      <c r="BQ139" s="207" t="s">
        <v>4425</v>
      </c>
      <c r="BR139" s="256" t="s">
        <v>4435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4427</v>
      </c>
      <c r="D140" s="207">
        <v>1</v>
      </c>
      <c r="E140" s="207" t="s">
        <v>4398</v>
      </c>
      <c r="F140" s="261" t="s">
        <v>5012</v>
      </c>
      <c r="G140" s="207" t="s">
        <v>4400</v>
      </c>
      <c r="H140" s="207" t="s">
        <v>4401</v>
      </c>
      <c r="I140" s="217" t="s">
        <v>4402</v>
      </c>
      <c r="J140" s="242" t="s">
        <v>5013</v>
      </c>
      <c r="K140" s="215" t="s">
        <v>5014</v>
      </c>
      <c r="L140" s="215" t="s">
        <v>5015</v>
      </c>
      <c r="M140" s="207" t="s">
        <v>4405</v>
      </c>
      <c r="N140" s="207" t="s">
        <v>4442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5013</v>
      </c>
      <c r="AB140" s="246" t="s">
        <v>5014</v>
      </c>
      <c r="AC140" s="246" t="s">
        <v>5015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4422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4423</v>
      </c>
      <c r="AT140" s="207"/>
      <c r="AU140" s="220" t="s">
        <v>5016</v>
      </c>
      <c r="AV140" s="207" t="s">
        <v>4425</v>
      </c>
      <c r="AW140" s="207" t="s">
        <v>4425</v>
      </c>
      <c r="AX140" s="207" t="s">
        <v>4425</v>
      </c>
      <c r="AY140" s="207" t="s">
        <v>4425</v>
      </c>
      <c r="AZ140" s="202">
        <v>46153</v>
      </c>
      <c r="BA140" s="207" t="s">
        <v>4425</v>
      </c>
      <c r="BB140" s="207" t="s">
        <v>4425</v>
      </c>
      <c r="BC140" s="202">
        <v>46157</v>
      </c>
      <c r="BD140" s="227">
        <v>46157</v>
      </c>
      <c r="BE140" s="227" t="s">
        <v>4435</v>
      </c>
      <c r="BF140" s="228" t="s">
        <v>4436</v>
      </c>
      <c r="BG140" s="229" t="s">
        <v>4425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4437</v>
      </c>
      <c r="BL140" s="230" t="s">
        <v>4437</v>
      </c>
      <c r="BM140" s="230" t="s">
        <v>4437</v>
      </c>
      <c r="BN140" s="219" t="s">
        <v>4425</v>
      </c>
      <c r="BO140" s="219" t="s">
        <v>4425</v>
      </c>
      <c r="BP140" s="202">
        <v>46195</v>
      </c>
      <c r="BQ140" s="219" t="s">
        <v>4425</v>
      </c>
      <c r="BR140" s="232" t="s">
        <v>4435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5012</v>
      </c>
      <c r="G141" s="207" t="s">
        <v>4400</v>
      </c>
      <c r="H141" s="207" t="s">
        <v>4401</v>
      </c>
      <c r="I141" s="207" t="s">
        <v>4402</v>
      </c>
      <c r="J141" s="215" t="s">
        <v>5017</v>
      </c>
      <c r="K141" s="215" t="s">
        <v>5018</v>
      </c>
      <c r="L141" s="215" t="s">
        <v>5019</v>
      </c>
      <c r="M141" s="207" t="s">
        <v>4405</v>
      </c>
      <c r="N141" s="207" t="s">
        <v>4442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5017</v>
      </c>
      <c r="AB141" s="215" t="s">
        <v>5018</v>
      </c>
      <c r="AC141" s="215" t="s">
        <v>5019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4433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4423</v>
      </c>
      <c r="AT141" s="262"/>
      <c r="AU141" s="220" t="s">
        <v>5020</v>
      </c>
      <c r="AV141" s="207" t="s">
        <v>4425</v>
      </c>
      <c r="AW141" s="207" t="s">
        <v>4425</v>
      </c>
      <c r="AX141" s="207" t="s">
        <v>4425</v>
      </c>
      <c r="AY141" s="197" t="s">
        <v>4425</v>
      </c>
      <c r="AZ141" s="202">
        <v>46226</v>
      </c>
      <c r="BA141" s="254" t="s">
        <v>4425</v>
      </c>
      <c r="BB141" s="219" t="s">
        <v>4425</v>
      </c>
      <c r="BC141" s="202">
        <v>46232</v>
      </c>
      <c r="BD141" s="226">
        <v>46232</v>
      </c>
      <c r="BE141" s="257" t="s">
        <v>4435</v>
      </c>
      <c r="BF141" s="257" t="s">
        <v>4436</v>
      </c>
      <c r="BG141" s="219" t="s">
        <v>4425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4437</v>
      </c>
      <c r="BL141" s="219" t="s">
        <v>4437</v>
      </c>
      <c r="BM141" s="219" t="s">
        <v>4437</v>
      </c>
      <c r="BN141" s="250" t="s">
        <v>4425</v>
      </c>
      <c r="BO141" s="250" t="s">
        <v>4425</v>
      </c>
      <c r="BP141" s="202">
        <v>46269</v>
      </c>
      <c r="BQ141" s="257" t="s">
        <v>4819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5021</v>
      </c>
      <c r="G142" s="207" t="s">
        <v>4400</v>
      </c>
      <c r="H142" s="207" t="s">
        <v>4401</v>
      </c>
      <c r="I142" s="217" t="s">
        <v>4402</v>
      </c>
      <c r="J142" s="215" t="s">
        <v>5022</v>
      </c>
      <c r="K142" s="215" t="s">
        <v>5023</v>
      </c>
      <c r="L142" s="215" t="s">
        <v>5024</v>
      </c>
      <c r="M142" s="207" t="s">
        <v>4405</v>
      </c>
      <c r="N142" s="207" t="s">
        <v>4442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5022</v>
      </c>
      <c r="AB142" s="215" t="s">
        <v>5025</v>
      </c>
      <c r="AC142" s="215" t="s">
        <v>5024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4422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4423</v>
      </c>
      <c r="AT142" s="219"/>
      <c r="AU142" s="220" t="s">
        <v>5026</v>
      </c>
      <c r="AV142" s="219" t="s">
        <v>4425</v>
      </c>
      <c r="AW142" s="219" t="s">
        <v>4425</v>
      </c>
      <c r="AX142" s="257" t="s">
        <v>4828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4427</v>
      </c>
      <c r="D143" s="207">
        <v>1</v>
      </c>
      <c r="E143" s="207" t="s">
        <v>4398</v>
      </c>
      <c r="F143" s="261" t="s">
        <v>5021</v>
      </c>
      <c r="G143" s="207" t="s">
        <v>4400</v>
      </c>
      <c r="H143" s="207" t="s">
        <v>4401</v>
      </c>
      <c r="I143" s="217" t="s">
        <v>4402</v>
      </c>
      <c r="J143" s="242" t="s">
        <v>5027</v>
      </c>
      <c r="K143" s="215" t="s">
        <v>5028</v>
      </c>
      <c r="L143" s="215" t="s">
        <v>5029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5027</v>
      </c>
      <c r="AB143" s="215" t="s">
        <v>5028</v>
      </c>
      <c r="AC143" s="215" t="s">
        <v>5029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5030</v>
      </c>
      <c r="G144" s="207" t="s">
        <v>4400</v>
      </c>
      <c r="H144" s="207" t="s">
        <v>4401</v>
      </c>
      <c r="I144" s="207" t="s">
        <v>4414</v>
      </c>
      <c r="J144" s="215" t="s">
        <v>5031</v>
      </c>
      <c r="K144" s="215" t="s">
        <v>5032</v>
      </c>
      <c r="L144" s="215" t="s">
        <v>5033</v>
      </c>
      <c r="M144" s="207" t="s">
        <v>4405</v>
      </c>
      <c r="N144" s="207" t="s">
        <v>4406</v>
      </c>
      <c r="O144" s="202">
        <v>46217</v>
      </c>
      <c r="P144" s="202" t="s">
        <v>4407</v>
      </c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15" t="s">
        <v>5034</v>
      </c>
      <c r="AB144" s="215" t="s">
        <v>5035</v>
      </c>
      <c r="AC144" s="215" t="s">
        <v>5036</v>
      </c>
      <c r="AD144" s="217" t="s">
        <v>4421</v>
      </c>
      <c r="AE144" s="207" t="s">
        <v>4405</v>
      </c>
      <c r="AF144" s="218">
        <v>65997.289999999994</v>
      </c>
      <c r="AG144" s="218">
        <v>65997.289999999994</v>
      </c>
      <c r="AH144" s="207" t="s">
        <v>4422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4423</v>
      </c>
      <c r="AT144" s="219"/>
      <c r="AU144" s="220" t="s">
        <v>5037</v>
      </c>
      <c r="AV144" s="197" t="s">
        <v>4818</v>
      </c>
      <c r="AW144" s="207" t="s">
        <v>4818</v>
      </c>
      <c r="AX144" s="207" t="s">
        <v>4818</v>
      </c>
      <c r="AY144" s="207" t="s">
        <v>4818</v>
      </c>
      <c r="AZ144" s="202">
        <v>46233</v>
      </c>
      <c r="BA144" s="207" t="s">
        <v>4818</v>
      </c>
      <c r="BB144" s="207" t="s">
        <v>4818</v>
      </c>
      <c r="BC144" s="202">
        <v>46237</v>
      </c>
      <c r="BD144" s="226">
        <v>46237</v>
      </c>
      <c r="BE144" s="257" t="s">
        <v>4435</v>
      </c>
      <c r="BF144" s="257" t="s">
        <v>4436</v>
      </c>
      <c r="BG144" s="219" t="s">
        <v>4425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4437</v>
      </c>
      <c r="BL144" s="219" t="s">
        <v>4437</v>
      </c>
      <c r="BM144" s="219" t="s">
        <v>4437</v>
      </c>
      <c r="BN144" s="250" t="s">
        <v>4425</v>
      </c>
      <c r="BO144" s="250" t="s">
        <v>4425</v>
      </c>
      <c r="BP144" s="202">
        <v>46269</v>
      </c>
      <c r="BQ144" s="257" t="s">
        <v>4819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5038</v>
      </c>
      <c r="G145" s="207" t="s">
        <v>4400</v>
      </c>
      <c r="H145" s="207" t="s">
        <v>4401</v>
      </c>
      <c r="I145" s="207" t="s">
        <v>4414</v>
      </c>
      <c r="J145" s="215" t="s">
        <v>5039</v>
      </c>
      <c r="K145" s="215" t="s">
        <v>5040</v>
      </c>
      <c r="L145" s="215" t="s">
        <v>5041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5042</v>
      </c>
      <c r="AB145" s="215" t="s">
        <v>5043</v>
      </c>
      <c r="AC145" s="215" t="s">
        <v>5044</v>
      </c>
      <c r="AD145" s="217" t="s">
        <v>4421</v>
      </c>
      <c r="AE145" s="217" t="s">
        <v>5045</v>
      </c>
      <c r="AF145" s="218">
        <v>64521.279999999999</v>
      </c>
      <c r="AG145" s="218">
        <v>64521.279999999999</v>
      </c>
      <c r="AH145" s="207" t="s">
        <v>4433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4423</v>
      </c>
      <c r="AT145" s="207"/>
      <c r="AU145" s="220" t="s">
        <v>5046</v>
      </c>
      <c r="AV145" s="207" t="s">
        <v>4425</v>
      </c>
      <c r="AW145" s="207" t="s">
        <v>4425</v>
      </c>
      <c r="AX145" s="207" t="s">
        <v>4425</v>
      </c>
      <c r="AY145" s="207" t="s">
        <v>4425</v>
      </c>
      <c r="AZ145" s="202">
        <v>46139</v>
      </c>
      <c r="BA145" s="207" t="s">
        <v>4425</v>
      </c>
      <c r="BB145" s="207" t="s">
        <v>4425</v>
      </c>
      <c r="BC145" s="202">
        <v>46142</v>
      </c>
      <c r="BD145" s="227">
        <v>46142</v>
      </c>
      <c r="BE145" s="227" t="s">
        <v>4435</v>
      </c>
      <c r="BF145" s="228" t="s">
        <v>4436</v>
      </c>
      <c r="BG145" s="229" t="s">
        <v>4425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4437</v>
      </c>
      <c r="BL145" s="219" t="s">
        <v>4437</v>
      </c>
      <c r="BM145" s="219" t="s">
        <v>4437</v>
      </c>
      <c r="BN145" s="207" t="s">
        <v>4425</v>
      </c>
      <c r="BO145" s="207" t="s">
        <v>4425</v>
      </c>
      <c r="BP145" s="202">
        <v>46182</v>
      </c>
      <c r="BQ145" s="207" t="s">
        <v>4425</v>
      </c>
      <c r="BR145" s="256" t="s">
        <v>4435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4427</v>
      </c>
      <c r="D146" s="207">
        <v>1</v>
      </c>
      <c r="E146" s="207" t="s">
        <v>4398</v>
      </c>
      <c r="F146" s="261" t="s">
        <v>5038</v>
      </c>
      <c r="G146" s="207" t="s">
        <v>4400</v>
      </c>
      <c r="H146" s="207" t="s">
        <v>4401</v>
      </c>
      <c r="I146" s="217" t="s">
        <v>4402</v>
      </c>
      <c r="J146" s="242" t="s">
        <v>5047</v>
      </c>
      <c r="K146" s="215" t="s">
        <v>5048</v>
      </c>
      <c r="L146" s="215" t="s">
        <v>5049</v>
      </c>
      <c r="M146" s="207" t="s">
        <v>4405</v>
      </c>
      <c r="N146" s="207" t="s">
        <v>4442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5047</v>
      </c>
      <c r="AB146" s="215" t="s">
        <v>5048</v>
      </c>
      <c r="AC146" s="215" t="s">
        <v>5049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4433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4423</v>
      </c>
      <c r="AT146" s="207"/>
      <c r="AU146" s="220" t="s">
        <v>5050</v>
      </c>
      <c r="AV146" s="207" t="s">
        <v>4425</v>
      </c>
      <c r="AW146" s="207" t="s">
        <v>4425</v>
      </c>
      <c r="AX146" s="207" t="s">
        <v>4425</v>
      </c>
      <c r="AY146" s="207" t="s">
        <v>4425</v>
      </c>
      <c r="AZ146" s="202">
        <v>46189</v>
      </c>
      <c r="BA146" s="207" t="s">
        <v>4425</v>
      </c>
      <c r="BB146" s="207" t="s">
        <v>4425</v>
      </c>
      <c r="BC146" s="202">
        <v>46195</v>
      </c>
      <c r="BD146" s="227">
        <v>46195</v>
      </c>
      <c r="BE146" s="227" t="s">
        <v>4435</v>
      </c>
      <c r="BF146" s="228" t="s">
        <v>4400</v>
      </c>
      <c r="BG146" s="219" t="s">
        <v>4425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4437</v>
      </c>
      <c r="BL146" s="219" t="s">
        <v>4437</v>
      </c>
      <c r="BM146" s="219" t="s">
        <v>4437</v>
      </c>
      <c r="BN146" s="207" t="s">
        <v>4425</v>
      </c>
      <c r="BO146" s="207" t="s">
        <v>4425</v>
      </c>
      <c r="BP146" s="202">
        <v>46224</v>
      </c>
      <c r="BQ146" s="207" t="s">
        <v>4425</v>
      </c>
      <c r="BR146" s="232" t="s">
        <v>4435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4427</v>
      </c>
      <c r="D147" s="207">
        <v>1</v>
      </c>
      <c r="E147" s="207" t="s">
        <v>4398</v>
      </c>
      <c r="F147" s="214" t="s">
        <v>5051</v>
      </c>
      <c r="G147" s="207" t="s">
        <v>4400</v>
      </c>
      <c r="H147" s="207" t="s">
        <v>4401</v>
      </c>
      <c r="I147" s="217" t="s">
        <v>4536</v>
      </c>
      <c r="J147" s="242" t="s">
        <v>5052</v>
      </c>
      <c r="K147" s="215" t="s">
        <v>5053</v>
      </c>
      <c r="L147" s="215" t="s">
        <v>5054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5052</v>
      </c>
      <c r="AB147" s="215" t="s">
        <v>5053</v>
      </c>
      <c r="AC147" s="215" t="s">
        <v>5054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5055</v>
      </c>
      <c r="G148" s="207" t="s">
        <v>4400</v>
      </c>
      <c r="H148" s="207" t="s">
        <v>4401</v>
      </c>
      <c r="I148" s="217" t="s">
        <v>4402</v>
      </c>
      <c r="J148" s="242" t="s">
        <v>5056</v>
      </c>
      <c r="K148" s="215" t="s">
        <v>5057</v>
      </c>
      <c r="L148" s="215" t="s">
        <v>5058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4427</v>
      </c>
      <c r="D149" s="207">
        <v>1</v>
      </c>
      <c r="E149" s="207" t="s">
        <v>4398</v>
      </c>
      <c r="F149" s="214" t="s">
        <v>5055</v>
      </c>
      <c r="G149" s="207" t="s">
        <v>4400</v>
      </c>
      <c r="H149" s="207" t="s">
        <v>4401</v>
      </c>
      <c r="I149" s="217" t="s">
        <v>4402</v>
      </c>
      <c r="J149" s="242" t="s">
        <v>5059</v>
      </c>
      <c r="K149" s="215" t="s">
        <v>5060</v>
      </c>
      <c r="L149" s="215" t="s">
        <v>5061</v>
      </c>
      <c r="M149" s="207" t="s">
        <v>4405</v>
      </c>
      <c r="N149" s="207" t="s">
        <v>4442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5059</v>
      </c>
      <c r="AB149" s="215" t="s">
        <v>5060</v>
      </c>
      <c r="AC149" s="215" t="s">
        <v>5061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4433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4423</v>
      </c>
      <c r="AT149" s="207"/>
      <c r="AU149" s="220" t="s">
        <v>5062</v>
      </c>
      <c r="AV149" s="207" t="s">
        <v>4425</v>
      </c>
      <c r="AW149" s="207" t="s">
        <v>4425</v>
      </c>
      <c r="AX149" s="250" t="s">
        <v>4425</v>
      </c>
      <c r="AY149" s="207" t="s">
        <v>4425</v>
      </c>
      <c r="AZ149" s="202">
        <v>46127</v>
      </c>
      <c r="BA149" s="197" t="s">
        <v>4425</v>
      </c>
      <c r="BB149" s="207" t="s">
        <v>4425</v>
      </c>
      <c r="BC149" s="202">
        <v>46140</v>
      </c>
      <c r="BD149" s="227">
        <v>46140</v>
      </c>
      <c r="BE149" s="227" t="s">
        <v>4435</v>
      </c>
      <c r="BF149" s="228" t="s">
        <v>4436</v>
      </c>
      <c r="BG149" s="229" t="s">
        <v>4425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4437</v>
      </c>
      <c r="BL149" s="219" t="s">
        <v>4437</v>
      </c>
      <c r="BM149" s="219" t="s">
        <v>4437</v>
      </c>
      <c r="BN149" s="219" t="s">
        <v>4425</v>
      </c>
      <c r="BO149" s="219" t="s">
        <v>4425</v>
      </c>
      <c r="BP149" s="202">
        <v>46195</v>
      </c>
      <c r="BQ149" s="219" t="s">
        <v>4425</v>
      </c>
      <c r="BR149" s="232" t="s">
        <v>4435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5055</v>
      </c>
      <c r="G150" s="207" t="s">
        <v>4400</v>
      </c>
      <c r="H150" s="207" t="s">
        <v>4401</v>
      </c>
      <c r="I150" s="217" t="s">
        <v>4402</v>
      </c>
      <c r="J150" s="215" t="s">
        <v>5063</v>
      </c>
      <c r="K150" s="215" t="s">
        <v>4398</v>
      </c>
      <c r="L150" s="215" t="s">
        <v>5064</v>
      </c>
      <c r="M150" s="207" t="s">
        <v>4405</v>
      </c>
      <c r="N150" s="207" t="s">
        <v>4442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5063</v>
      </c>
      <c r="AB150" s="215" t="s">
        <v>4398</v>
      </c>
      <c r="AC150" s="215" t="s">
        <v>5064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4433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4423</v>
      </c>
      <c r="AT150" s="219"/>
      <c r="AU150" s="220" t="s">
        <v>5065</v>
      </c>
      <c r="AV150" s="207" t="s">
        <v>4425</v>
      </c>
      <c r="AW150" s="207" t="s">
        <v>4425</v>
      </c>
      <c r="AX150" s="207" t="s">
        <v>4425</v>
      </c>
      <c r="AY150" s="207" t="s">
        <v>4425</v>
      </c>
      <c r="AZ150" s="202">
        <v>46153</v>
      </c>
      <c r="BA150" s="197" t="s">
        <v>4425</v>
      </c>
      <c r="BB150" s="207" t="s">
        <v>4425</v>
      </c>
      <c r="BC150" s="202">
        <v>46157</v>
      </c>
      <c r="BD150" s="227">
        <v>46157</v>
      </c>
      <c r="BE150" s="227" t="s">
        <v>4435</v>
      </c>
      <c r="BF150" s="228" t="s">
        <v>4436</v>
      </c>
      <c r="BG150" s="229" t="s">
        <v>4425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4437</v>
      </c>
      <c r="BL150" s="230" t="s">
        <v>4437</v>
      </c>
      <c r="BM150" s="230" t="s">
        <v>4437</v>
      </c>
      <c r="BN150" s="219" t="s">
        <v>4425</v>
      </c>
      <c r="BO150" s="219" t="s">
        <v>4425</v>
      </c>
      <c r="BP150" s="202">
        <v>46195</v>
      </c>
      <c r="BQ150" s="219" t="s">
        <v>4425</v>
      </c>
      <c r="BR150" s="232" t="s">
        <v>4435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5066</v>
      </c>
      <c r="G151" s="207" t="s">
        <v>4400</v>
      </c>
      <c r="H151" s="207" t="s">
        <v>4401</v>
      </c>
      <c r="I151" s="217" t="s">
        <v>4402</v>
      </c>
      <c r="J151" s="215" t="s">
        <v>5067</v>
      </c>
      <c r="K151" s="215" t="s">
        <v>5068</v>
      </c>
      <c r="L151" s="215" t="s">
        <v>5069</v>
      </c>
      <c r="M151" s="207" t="s">
        <v>4405</v>
      </c>
      <c r="N151" s="207" t="s">
        <v>4432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5067</v>
      </c>
      <c r="AB151" s="215" t="s">
        <v>5068</v>
      </c>
      <c r="AC151" s="215" t="s">
        <v>5069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4433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4423</v>
      </c>
      <c r="AT151" s="219"/>
      <c r="AU151" s="220" t="s">
        <v>5070</v>
      </c>
      <c r="AV151" s="219" t="s">
        <v>4425</v>
      </c>
      <c r="AW151" s="207" t="s">
        <v>4425</v>
      </c>
      <c r="AX151" s="257" t="s">
        <v>4828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5071</v>
      </c>
      <c r="G152" s="207" t="s">
        <v>4400</v>
      </c>
      <c r="H152" s="207" t="s">
        <v>4401</v>
      </c>
      <c r="I152" s="207" t="s">
        <v>4402</v>
      </c>
      <c r="J152" s="215" t="s">
        <v>5072</v>
      </c>
      <c r="K152" s="215" t="s">
        <v>5073</v>
      </c>
      <c r="L152" s="215" t="s">
        <v>5074</v>
      </c>
      <c r="M152" s="207" t="s">
        <v>4405</v>
      </c>
      <c r="N152" s="207" t="s">
        <v>4442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5072</v>
      </c>
      <c r="AB152" s="215" t="s">
        <v>5073</v>
      </c>
      <c r="AC152" s="215" t="s">
        <v>5074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4422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4423</v>
      </c>
      <c r="AT152" s="207"/>
      <c r="AU152" s="220" t="s">
        <v>5075</v>
      </c>
      <c r="AV152" s="207" t="s">
        <v>4425</v>
      </c>
      <c r="AW152" s="207" t="s">
        <v>4425</v>
      </c>
      <c r="AX152" s="207" t="s">
        <v>4425</v>
      </c>
      <c r="AY152" s="207" t="s">
        <v>4425</v>
      </c>
      <c r="AZ152" s="202">
        <v>46153</v>
      </c>
      <c r="BA152" s="197" t="s">
        <v>4425</v>
      </c>
      <c r="BB152" s="207" t="s">
        <v>4425</v>
      </c>
      <c r="BC152" s="202">
        <v>46157</v>
      </c>
      <c r="BD152" s="227">
        <v>46157</v>
      </c>
      <c r="BE152" s="228" t="s">
        <v>4435</v>
      </c>
      <c r="BF152" s="228" t="s">
        <v>4436</v>
      </c>
      <c r="BG152" s="219" t="s">
        <v>4425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4437</v>
      </c>
      <c r="BL152" s="219" t="s">
        <v>4437</v>
      </c>
      <c r="BM152" s="219" t="s">
        <v>4437</v>
      </c>
      <c r="BN152" s="219" t="s">
        <v>4425</v>
      </c>
      <c r="BO152" s="219" t="s">
        <v>4425</v>
      </c>
      <c r="BP152" s="202">
        <v>46195</v>
      </c>
      <c r="BQ152" s="219" t="s">
        <v>4425</v>
      </c>
      <c r="BR152" s="232" t="s">
        <v>4435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5076</v>
      </c>
      <c r="G153" s="207" t="s">
        <v>4400</v>
      </c>
      <c r="H153" s="207" t="s">
        <v>4401</v>
      </c>
      <c r="I153" s="207" t="s">
        <v>4402</v>
      </c>
      <c r="J153" s="215" t="s">
        <v>5077</v>
      </c>
      <c r="K153" s="215" t="s">
        <v>5078</v>
      </c>
      <c r="L153" s="215" t="s">
        <v>5079</v>
      </c>
      <c r="M153" s="207" t="s">
        <v>4405</v>
      </c>
      <c r="N153" s="207" t="s">
        <v>4442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5077</v>
      </c>
      <c r="AB153" s="215" t="s">
        <v>5078</v>
      </c>
      <c r="AC153" s="215" t="s">
        <v>5079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4422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4423</v>
      </c>
      <c r="AT153" s="251"/>
      <c r="AU153" s="220" t="s">
        <v>5080</v>
      </c>
      <c r="AV153" s="207" t="s">
        <v>4425</v>
      </c>
      <c r="AW153" s="207" t="s">
        <v>4425</v>
      </c>
      <c r="AX153" s="250" t="s">
        <v>4425</v>
      </c>
      <c r="AY153" s="197" t="s">
        <v>4425</v>
      </c>
      <c r="AZ153" s="202">
        <v>46150</v>
      </c>
      <c r="BA153" s="197" t="s">
        <v>4425</v>
      </c>
      <c r="BB153" s="197" t="s">
        <v>4425</v>
      </c>
      <c r="BC153" s="202">
        <v>46189</v>
      </c>
      <c r="BD153" s="227">
        <v>46189</v>
      </c>
      <c r="BE153" s="227" t="s">
        <v>4435</v>
      </c>
      <c r="BF153" s="228" t="s">
        <v>4400</v>
      </c>
      <c r="BG153" s="219" t="s">
        <v>4425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4437</v>
      </c>
      <c r="BL153" s="219" t="s">
        <v>4437</v>
      </c>
      <c r="BM153" s="219" t="s">
        <v>4437</v>
      </c>
      <c r="BN153" s="207" t="s">
        <v>4425</v>
      </c>
      <c r="BO153" s="207" t="s">
        <v>4425</v>
      </c>
      <c r="BP153" s="202">
        <v>46224</v>
      </c>
      <c r="BQ153" s="207" t="s">
        <v>4425</v>
      </c>
      <c r="BR153" s="232" t="s">
        <v>4435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4427</v>
      </c>
      <c r="D154" s="207">
        <v>1</v>
      </c>
      <c r="E154" s="207" t="s">
        <v>4398</v>
      </c>
      <c r="F154" s="214" t="s">
        <v>5081</v>
      </c>
      <c r="G154" s="207" t="s">
        <v>4400</v>
      </c>
      <c r="H154" s="207" t="s">
        <v>4401</v>
      </c>
      <c r="I154" s="217" t="s">
        <v>4402</v>
      </c>
      <c r="J154" s="242" t="s">
        <v>5082</v>
      </c>
      <c r="K154" s="215" t="s">
        <v>5083</v>
      </c>
      <c r="L154" s="215" t="s">
        <v>5084</v>
      </c>
      <c r="M154" s="207" t="s">
        <v>4405</v>
      </c>
      <c r="N154" s="207" t="s">
        <v>4442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5082</v>
      </c>
      <c r="AB154" s="246" t="s">
        <v>5083</v>
      </c>
      <c r="AC154" s="246" t="s">
        <v>5084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4433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4423</v>
      </c>
      <c r="AT154" s="207"/>
      <c r="AU154" s="220" t="s">
        <v>5085</v>
      </c>
      <c r="AV154" s="207" t="s">
        <v>4425</v>
      </c>
      <c r="AW154" s="207" t="s">
        <v>4425</v>
      </c>
      <c r="AX154" s="207" t="s">
        <v>4425</v>
      </c>
      <c r="AY154" s="207" t="s">
        <v>4425</v>
      </c>
      <c r="AZ154" s="202">
        <v>46111</v>
      </c>
      <c r="BA154" s="160" t="s">
        <v>4425</v>
      </c>
      <c r="BB154" s="160" t="s">
        <v>4425</v>
      </c>
      <c r="BC154" s="267">
        <v>46114</v>
      </c>
      <c r="BD154" s="227">
        <v>46114</v>
      </c>
      <c r="BE154" s="227" t="s">
        <v>4435</v>
      </c>
      <c r="BF154" s="228" t="s">
        <v>4436</v>
      </c>
      <c r="BG154" s="229" t="s">
        <v>4425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4437</v>
      </c>
      <c r="BL154" s="230" t="s">
        <v>4437</v>
      </c>
      <c r="BM154" s="230" t="s">
        <v>4437</v>
      </c>
      <c r="BN154" s="207" t="s">
        <v>4425</v>
      </c>
      <c r="BO154" s="207" t="s">
        <v>4425</v>
      </c>
      <c r="BP154" s="202">
        <v>46182</v>
      </c>
      <c r="BQ154" s="207" t="s">
        <v>4425</v>
      </c>
      <c r="BR154" s="256" t="s">
        <v>4435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5081</v>
      </c>
      <c r="G155" s="207" t="s">
        <v>4400</v>
      </c>
      <c r="H155" s="207" t="s">
        <v>4428</v>
      </c>
      <c r="I155" s="233" t="s">
        <v>4421</v>
      </c>
      <c r="J155" s="215" t="s">
        <v>5086</v>
      </c>
      <c r="K155" s="215" t="s">
        <v>5087</v>
      </c>
      <c r="L155" s="215" t="s">
        <v>5088</v>
      </c>
      <c r="M155" s="207" t="s">
        <v>4405</v>
      </c>
      <c r="N155" s="207" t="s">
        <v>4442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5086</v>
      </c>
      <c r="AB155" s="215" t="s">
        <v>5087</v>
      </c>
      <c r="AC155" s="215" t="s">
        <v>5088</v>
      </c>
      <c r="AD155" s="233" t="s">
        <v>4421</v>
      </c>
      <c r="AE155" s="207" t="s">
        <v>4405</v>
      </c>
      <c r="AF155" s="218">
        <v>178577.55</v>
      </c>
      <c r="AG155" s="218">
        <v>178577.55</v>
      </c>
      <c r="AH155" s="207" t="s">
        <v>4422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4423</v>
      </c>
      <c r="AT155" s="251"/>
      <c r="AU155" s="220" t="s">
        <v>5089</v>
      </c>
      <c r="AV155" s="207" t="s">
        <v>4425</v>
      </c>
      <c r="AW155" s="207" t="s">
        <v>4425</v>
      </c>
      <c r="AX155" s="250" t="s">
        <v>4425</v>
      </c>
      <c r="AY155" s="207" t="s">
        <v>4425</v>
      </c>
      <c r="AZ155" s="202">
        <v>46150</v>
      </c>
      <c r="BA155" s="207" t="s">
        <v>4425</v>
      </c>
      <c r="BB155" s="207" t="s">
        <v>4425</v>
      </c>
      <c r="BC155" s="202">
        <v>46157</v>
      </c>
      <c r="BD155" s="227">
        <v>46157</v>
      </c>
      <c r="BE155" s="227" t="s">
        <v>4435</v>
      </c>
      <c r="BF155" s="228" t="s">
        <v>4436</v>
      </c>
      <c r="BG155" s="229" t="s">
        <v>4425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4437</v>
      </c>
      <c r="BL155" s="230" t="s">
        <v>4437</v>
      </c>
      <c r="BM155" s="230" t="s">
        <v>4437</v>
      </c>
      <c r="BN155" s="219" t="s">
        <v>4425</v>
      </c>
      <c r="BO155" s="219" t="s">
        <v>4425</v>
      </c>
      <c r="BP155" s="202">
        <v>46195</v>
      </c>
      <c r="BQ155" s="219" t="s">
        <v>4425</v>
      </c>
      <c r="BR155" s="232" t="s">
        <v>4435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4427</v>
      </c>
      <c r="D156" s="207">
        <v>1</v>
      </c>
      <c r="E156" s="207" t="s">
        <v>4398</v>
      </c>
      <c r="F156" s="214" t="s">
        <v>5090</v>
      </c>
      <c r="G156" s="207" t="s">
        <v>4400</v>
      </c>
      <c r="H156" s="207" t="s">
        <v>4401</v>
      </c>
      <c r="I156" s="249" t="s">
        <v>4402</v>
      </c>
      <c r="J156" s="242" t="s">
        <v>5091</v>
      </c>
      <c r="K156" s="215" t="s">
        <v>5092</v>
      </c>
      <c r="L156" s="215" t="s">
        <v>5093</v>
      </c>
      <c r="M156" s="207" t="s">
        <v>4405</v>
      </c>
      <c r="N156" s="207" t="s">
        <v>4442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5091</v>
      </c>
      <c r="AB156" s="246" t="s">
        <v>5092</v>
      </c>
      <c r="AC156" s="246" t="s">
        <v>5093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4433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4423</v>
      </c>
      <c r="AT156" s="207"/>
      <c r="AU156" s="220" t="s">
        <v>5094</v>
      </c>
      <c r="AV156" s="207" t="s">
        <v>4425</v>
      </c>
      <c r="AW156" s="207" t="s">
        <v>4425</v>
      </c>
      <c r="AX156" s="207" t="s">
        <v>4425</v>
      </c>
      <c r="AY156" s="207" t="s">
        <v>4425</v>
      </c>
      <c r="AZ156" s="202">
        <v>46098</v>
      </c>
      <c r="BA156" s="207" t="s">
        <v>4425</v>
      </c>
      <c r="BB156" s="207" t="s">
        <v>4425</v>
      </c>
      <c r="BC156" s="202">
        <v>46114</v>
      </c>
      <c r="BD156" s="227">
        <v>46114</v>
      </c>
      <c r="BE156" s="227" t="s">
        <v>4435</v>
      </c>
      <c r="BF156" s="228" t="s">
        <v>4436</v>
      </c>
      <c r="BG156" s="229" t="s">
        <v>4425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4437</v>
      </c>
      <c r="BL156" s="230" t="s">
        <v>4437</v>
      </c>
      <c r="BM156" s="230" t="s">
        <v>4437</v>
      </c>
      <c r="BN156" s="207" t="s">
        <v>4425</v>
      </c>
      <c r="BO156" s="207" t="s">
        <v>4425</v>
      </c>
      <c r="BP156" s="202">
        <v>46182</v>
      </c>
      <c r="BQ156" s="207" t="s">
        <v>4425</v>
      </c>
      <c r="BR156" s="256" t="s">
        <v>4435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5090</v>
      </c>
      <c r="G157" s="207" t="s">
        <v>4400</v>
      </c>
      <c r="H157" s="207" t="s">
        <v>4583</v>
      </c>
      <c r="I157" s="207" t="s">
        <v>4402</v>
      </c>
      <c r="J157" s="215" t="s">
        <v>5095</v>
      </c>
      <c r="K157" s="215" t="s">
        <v>4906</v>
      </c>
      <c r="L157" s="215" t="s">
        <v>5096</v>
      </c>
      <c r="M157" s="207" t="s">
        <v>4405</v>
      </c>
      <c r="N157" s="207" t="s">
        <v>4432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5095</v>
      </c>
      <c r="AB157" s="215" t="s">
        <v>4906</v>
      </c>
      <c r="AC157" s="215" t="s">
        <v>5096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4433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4423</v>
      </c>
      <c r="AT157" s="260"/>
      <c r="AU157" s="220" t="s">
        <v>5097</v>
      </c>
      <c r="AV157" s="207" t="s">
        <v>4425</v>
      </c>
      <c r="AW157" s="207" t="s">
        <v>4425</v>
      </c>
      <c r="AX157" s="207" t="s">
        <v>4425</v>
      </c>
      <c r="AY157" s="207" t="s">
        <v>4425</v>
      </c>
      <c r="AZ157" s="202">
        <v>46189</v>
      </c>
      <c r="BA157" s="207" t="s">
        <v>4425</v>
      </c>
      <c r="BB157" s="207" t="s">
        <v>4425</v>
      </c>
      <c r="BC157" s="202">
        <v>46195</v>
      </c>
      <c r="BD157" s="227">
        <v>46195</v>
      </c>
      <c r="BE157" s="227" t="s">
        <v>4435</v>
      </c>
      <c r="BF157" s="228" t="s">
        <v>4400</v>
      </c>
      <c r="BG157" s="219" t="s">
        <v>4425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4437</v>
      </c>
      <c r="BL157" s="219" t="s">
        <v>4437</v>
      </c>
      <c r="BM157" s="219" t="s">
        <v>4437</v>
      </c>
      <c r="BN157" s="207" t="s">
        <v>4425</v>
      </c>
      <c r="BO157" s="207" t="s">
        <v>4425</v>
      </c>
      <c r="BP157" s="202">
        <v>46224</v>
      </c>
      <c r="BQ157" s="207" t="s">
        <v>4425</v>
      </c>
      <c r="BR157" s="232" t="s">
        <v>4435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5098</v>
      </c>
      <c r="G158" s="207" t="s">
        <v>4400</v>
      </c>
      <c r="H158" s="207" t="s">
        <v>4401</v>
      </c>
      <c r="I158" s="207" t="s">
        <v>4402</v>
      </c>
      <c r="J158" s="215" t="s">
        <v>5099</v>
      </c>
      <c r="K158" s="215" t="s">
        <v>5100</v>
      </c>
      <c r="L158" s="215" t="s">
        <v>5101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5099</v>
      </c>
      <c r="AB158" s="215" t="s">
        <v>5100</v>
      </c>
      <c r="AC158" s="215" t="s">
        <v>5101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4425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4427</v>
      </c>
      <c r="D159" s="207">
        <v>1</v>
      </c>
      <c r="E159" s="207" t="s">
        <v>4398</v>
      </c>
      <c r="F159" s="214" t="s">
        <v>5098</v>
      </c>
      <c r="G159" s="207" t="s">
        <v>4400</v>
      </c>
      <c r="H159" s="207" t="s">
        <v>4401</v>
      </c>
      <c r="I159" s="217" t="s">
        <v>4402</v>
      </c>
      <c r="J159" s="242" t="s">
        <v>5102</v>
      </c>
      <c r="K159" s="215" t="s">
        <v>5103</v>
      </c>
      <c r="L159" s="215" t="s">
        <v>5104</v>
      </c>
      <c r="M159" s="207" t="s">
        <v>4405</v>
      </c>
      <c r="N159" s="207" t="s">
        <v>4442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5102</v>
      </c>
      <c r="AB159" s="215" t="s">
        <v>5103</v>
      </c>
      <c r="AC159" s="215" t="s">
        <v>5104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4433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4423</v>
      </c>
      <c r="AT159" s="207"/>
      <c r="AU159" s="220" t="s">
        <v>5105</v>
      </c>
      <c r="AV159" s="207" t="s">
        <v>4425</v>
      </c>
      <c r="AW159" s="207" t="s">
        <v>4425</v>
      </c>
      <c r="AX159" s="207" t="s">
        <v>4425</v>
      </c>
      <c r="AY159" s="207" t="s">
        <v>4425</v>
      </c>
      <c r="AZ159" s="202">
        <v>46174</v>
      </c>
      <c r="BA159" s="207" t="s">
        <v>4425</v>
      </c>
      <c r="BB159" s="207" t="s">
        <v>4425</v>
      </c>
      <c r="BC159" s="202">
        <v>46182</v>
      </c>
      <c r="BD159" s="227">
        <v>46182</v>
      </c>
      <c r="BE159" s="235" t="s">
        <v>4435</v>
      </c>
      <c r="BF159" s="236" t="s">
        <v>4436</v>
      </c>
      <c r="BG159" s="237" t="s">
        <v>4425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4437</v>
      </c>
      <c r="BL159" s="238" t="s">
        <v>4437</v>
      </c>
      <c r="BM159" s="238" t="s">
        <v>4437</v>
      </c>
      <c r="BN159" s="207" t="s">
        <v>4425</v>
      </c>
      <c r="BO159" s="207" t="s">
        <v>4425</v>
      </c>
      <c r="BP159" s="202">
        <v>46224</v>
      </c>
      <c r="BQ159" s="207" t="s">
        <v>4425</v>
      </c>
      <c r="BR159" s="232" t="s">
        <v>4435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5106</v>
      </c>
      <c r="G160" s="207" t="s">
        <v>4400</v>
      </c>
      <c r="H160" s="207" t="s">
        <v>4536</v>
      </c>
      <c r="I160" s="207" t="s">
        <v>4536</v>
      </c>
      <c r="J160" s="215" t="s">
        <v>5107</v>
      </c>
      <c r="K160" s="215" t="s">
        <v>5108</v>
      </c>
      <c r="L160" s="215" t="s">
        <v>5109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5107</v>
      </c>
      <c r="AB160" s="215" t="s">
        <v>5108</v>
      </c>
      <c r="AC160" s="215" t="s">
        <v>5109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5110</v>
      </c>
      <c r="G161" s="207" t="s">
        <v>4400</v>
      </c>
      <c r="H161" s="207" t="s">
        <v>4401</v>
      </c>
      <c r="I161" s="217" t="s">
        <v>4402</v>
      </c>
      <c r="J161" s="242" t="s">
        <v>5111</v>
      </c>
      <c r="K161" s="215" t="s">
        <v>5112</v>
      </c>
      <c r="L161" s="215" t="s">
        <v>5113</v>
      </c>
      <c r="M161" s="207" t="s">
        <v>4405</v>
      </c>
      <c r="N161" s="207" t="s">
        <v>4432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 t="s">
        <v>4409</v>
      </c>
      <c r="Z161" s="202"/>
      <c r="AA161" s="242" t="s">
        <v>5111</v>
      </c>
      <c r="AB161" s="215" t="s">
        <v>5112</v>
      </c>
      <c r="AC161" s="215" t="s">
        <v>5113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4422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4433</v>
      </c>
      <c r="AR161" s="315" t="str">
        <f t="shared" si="12"/>
        <v>AGUARDANDO CORREÇÃO</v>
      </c>
      <c r="AS161" s="207"/>
      <c r="AT161" s="251" t="s">
        <v>5114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4427</v>
      </c>
      <c r="D162" s="207">
        <v>1</v>
      </c>
      <c r="E162" s="207" t="s">
        <v>4398</v>
      </c>
      <c r="F162" s="214" t="s">
        <v>5110</v>
      </c>
      <c r="G162" s="207" t="s">
        <v>4400</v>
      </c>
      <c r="H162" s="207" t="s">
        <v>4428</v>
      </c>
      <c r="I162" s="233" t="s">
        <v>4421</v>
      </c>
      <c r="J162" s="242" t="s">
        <v>5115</v>
      </c>
      <c r="K162" s="215" t="s">
        <v>5116</v>
      </c>
      <c r="L162" s="215" t="s">
        <v>5117</v>
      </c>
      <c r="M162" s="207" t="s">
        <v>4405</v>
      </c>
      <c r="N162" s="207" t="s">
        <v>4442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5115</v>
      </c>
      <c r="AB162" s="214" t="s">
        <v>5116</v>
      </c>
      <c r="AC162" s="246" t="s">
        <v>5117</v>
      </c>
      <c r="AD162" s="233" t="s">
        <v>4421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4433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4423</v>
      </c>
      <c r="AT162" s="247"/>
      <c r="AU162" s="220" t="s">
        <v>5118</v>
      </c>
      <c r="AV162" s="207" t="s">
        <v>4425</v>
      </c>
      <c r="AW162" s="207" t="s">
        <v>4425</v>
      </c>
      <c r="AX162" s="207" t="s">
        <v>4425</v>
      </c>
      <c r="AY162" s="207" t="s">
        <v>4425</v>
      </c>
      <c r="AZ162" s="202">
        <v>46098</v>
      </c>
      <c r="BA162" s="207" t="s">
        <v>4425</v>
      </c>
      <c r="BB162" s="207" t="s">
        <v>4425</v>
      </c>
      <c r="BC162" s="202">
        <v>46114</v>
      </c>
      <c r="BD162" s="227">
        <v>46114</v>
      </c>
      <c r="BE162" s="227" t="s">
        <v>4435</v>
      </c>
      <c r="BF162" s="228" t="s">
        <v>4436</v>
      </c>
      <c r="BG162" s="229" t="s">
        <v>4425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4437</v>
      </c>
      <c r="BL162" s="230" t="s">
        <v>4437</v>
      </c>
      <c r="BM162" s="230" t="s">
        <v>4437</v>
      </c>
      <c r="BN162" s="207" t="s">
        <v>4425</v>
      </c>
      <c r="BO162" s="207" t="s">
        <v>4425</v>
      </c>
      <c r="BP162" s="202">
        <v>46182</v>
      </c>
      <c r="BQ162" s="207" t="s">
        <v>4425</v>
      </c>
      <c r="BR162" s="256" t="s">
        <v>4435</v>
      </c>
    </row>
    <row r="163" spans="1:73" s="240" customFormat="1" ht="27" customHeight="1">
      <c r="A163" s="207">
        <v>159</v>
      </c>
      <c r="B163" s="197" t="s">
        <v>4396</v>
      </c>
      <c r="C163" s="207" t="s">
        <v>4413</v>
      </c>
      <c r="D163" s="207">
        <v>1</v>
      </c>
      <c r="E163" s="207" t="s">
        <v>4398</v>
      </c>
      <c r="F163" s="214" t="s">
        <v>5119</v>
      </c>
      <c r="G163" s="207" t="s">
        <v>4400</v>
      </c>
      <c r="H163" s="207" t="s">
        <v>4401</v>
      </c>
      <c r="I163" s="160" t="s">
        <v>4402</v>
      </c>
      <c r="J163" s="215" t="s">
        <v>5120</v>
      </c>
      <c r="K163" s="215" t="s">
        <v>5121</v>
      </c>
      <c r="L163" s="215" t="s">
        <v>5122</v>
      </c>
      <c r="M163" s="207" t="s">
        <v>4405</v>
      </c>
      <c r="N163" s="207" t="s">
        <v>4406</v>
      </c>
      <c r="O163" s="202">
        <v>46084</v>
      </c>
      <c r="P163" s="202" t="s">
        <v>4407</v>
      </c>
      <c r="Q163" s="202">
        <v>46083</v>
      </c>
      <c r="R163" s="203">
        <v>46084</v>
      </c>
      <c r="S163" s="203">
        <v>46087</v>
      </c>
      <c r="T163" s="203">
        <v>46090</v>
      </c>
      <c r="U163" s="202" t="s">
        <v>4408</v>
      </c>
      <c r="V163" s="202" t="s">
        <v>4408</v>
      </c>
      <c r="W163" s="202">
        <v>46101</v>
      </c>
      <c r="X163" s="202">
        <v>46104</v>
      </c>
      <c r="Y163" s="202"/>
      <c r="Z163" s="202"/>
      <c r="AA163" s="215" t="s">
        <v>5120</v>
      </c>
      <c r="AB163" s="215" t="s">
        <v>5121</v>
      </c>
      <c r="AC163" s="215" t="s">
        <v>5122</v>
      </c>
      <c r="AD163" s="217" t="s">
        <v>4402</v>
      </c>
      <c r="AE163" s="207" t="s">
        <v>4405</v>
      </c>
      <c r="AF163" s="218" t="s">
        <v>4409</v>
      </c>
      <c r="AG163" s="218" t="s">
        <v>4409</v>
      </c>
      <c r="AH163" s="207" t="s">
        <v>4410</v>
      </c>
      <c r="AI163" s="214" t="s">
        <v>4411</v>
      </c>
      <c r="AJ163" s="207"/>
      <c r="AK163" s="316">
        <v>46080</v>
      </c>
      <c r="AL163" s="316">
        <v>46080</v>
      </c>
      <c r="AM163" s="316">
        <v>46080</v>
      </c>
      <c r="AN163" s="316">
        <v>46080</v>
      </c>
      <c r="AO163" s="316">
        <v>46080</v>
      </c>
      <c r="AP163" s="316">
        <v>46080</v>
      </c>
      <c r="AQ163" s="314"/>
      <c r="AR163" s="315" t="str">
        <f t="shared" si="12"/>
        <v>FINALIZADO</v>
      </c>
      <c r="AS163" s="207"/>
      <c r="AT163" s="260"/>
      <c r="AU163" s="220"/>
      <c r="AV163" s="207"/>
      <c r="AW163" s="207"/>
      <c r="AX163" s="228"/>
      <c r="AY163" s="219"/>
      <c r="AZ163" s="219"/>
      <c r="BA163" s="219"/>
      <c r="BB163" s="219"/>
      <c r="BC163" s="219"/>
      <c r="BD163" s="208"/>
      <c r="BE163" s="203"/>
      <c r="BF163" s="219"/>
      <c r="BG163" s="219"/>
      <c r="BH163" s="321" t="str">
        <f t="shared" si="13"/>
        <v/>
      </c>
      <c r="BI163" s="98" t="str">
        <f t="shared" si="14"/>
        <v>AA</v>
      </c>
      <c r="BJ163" s="98" t="str">
        <f t="shared" si="15"/>
        <v>NÃO</v>
      </c>
      <c r="BK163" s="219"/>
      <c r="BL163" s="221"/>
      <c r="BM163" s="221"/>
      <c r="BN163" s="219"/>
      <c r="BO163" s="219"/>
      <c r="BP163" s="219"/>
      <c r="BQ163" s="219"/>
      <c r="BR163" s="222"/>
      <c r="BS163" s="223"/>
      <c r="BT163" s="223"/>
      <c r="BU163" s="223"/>
    </row>
    <row r="164" spans="1:73" s="240" customFormat="1" ht="27" hidden="1" customHeight="1">
      <c r="A164" s="197">
        <v>160</v>
      </c>
      <c r="B164" s="197" t="s">
        <v>4396</v>
      </c>
      <c r="C164" s="207" t="s">
        <v>4427</v>
      </c>
      <c r="D164" s="207">
        <v>1</v>
      </c>
      <c r="E164" s="207" t="s">
        <v>4398</v>
      </c>
      <c r="F164" s="214" t="s">
        <v>5119</v>
      </c>
      <c r="G164" s="207" t="s">
        <v>4400</v>
      </c>
      <c r="H164" s="207" t="s">
        <v>4401</v>
      </c>
      <c r="I164" s="217" t="s">
        <v>4402</v>
      </c>
      <c r="J164" s="242" t="s">
        <v>5123</v>
      </c>
      <c r="K164" s="215" t="s">
        <v>4398</v>
      </c>
      <c r="L164" s="215" t="s">
        <v>5124</v>
      </c>
      <c r="M164" s="207" t="s">
        <v>4405</v>
      </c>
      <c r="N164" s="207" t="s">
        <v>4406</v>
      </c>
      <c r="O164" s="202">
        <v>46002</v>
      </c>
      <c r="P164" s="202" t="s">
        <v>4407</v>
      </c>
      <c r="Q164" s="202">
        <v>45999</v>
      </c>
      <c r="R164" s="202">
        <v>46006</v>
      </c>
      <c r="S164" s="202">
        <v>46006</v>
      </c>
      <c r="T164" s="202">
        <v>46009</v>
      </c>
      <c r="U164" s="202" t="s">
        <v>4408</v>
      </c>
      <c r="V164" s="202" t="s">
        <v>4408</v>
      </c>
      <c r="W164" s="202">
        <v>46014</v>
      </c>
      <c r="X164" s="202">
        <v>46027</v>
      </c>
      <c r="Y164" s="202"/>
      <c r="Z164" s="207"/>
      <c r="AA164" s="242" t="s">
        <v>5123</v>
      </c>
      <c r="AB164" s="215" t="s">
        <v>4398</v>
      </c>
      <c r="AC164" s="215" t="s">
        <v>5124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45996</v>
      </c>
      <c r="AL164" s="316">
        <v>45996</v>
      </c>
      <c r="AM164" s="316">
        <v>45996</v>
      </c>
      <c r="AN164" s="316">
        <v>45996</v>
      </c>
      <c r="AO164" s="316">
        <v>45996</v>
      </c>
      <c r="AP164" s="316">
        <v>45996</v>
      </c>
      <c r="AQ164" s="314"/>
      <c r="AR164" s="315" t="str">
        <f t="shared" si="12"/>
        <v>FINALIZADO</v>
      </c>
      <c r="AS164" s="207"/>
      <c r="AT164" s="207"/>
      <c r="AU164" s="220"/>
      <c r="AV164" s="207"/>
      <c r="AW164" s="207"/>
      <c r="AX164" s="228"/>
      <c r="AY164" s="207"/>
      <c r="AZ164" s="202"/>
      <c r="BA164" s="219"/>
      <c r="BB164" s="207"/>
      <c r="BC164" s="202"/>
      <c r="BD164" s="208"/>
      <c r="BE164" s="202"/>
      <c r="BF164" s="207"/>
      <c r="BG164" s="22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30"/>
      <c r="BL164" s="230"/>
      <c r="BM164" s="230"/>
      <c r="BN164" s="230"/>
      <c r="BO164" s="230"/>
      <c r="BP164" s="230"/>
      <c r="BQ164" s="230"/>
      <c r="BR164" s="234"/>
    </row>
    <row r="165" spans="1:73" s="240" customFormat="1" ht="27" customHeight="1">
      <c r="A165" s="197">
        <v>161</v>
      </c>
      <c r="B165" s="197" t="s">
        <v>4396</v>
      </c>
      <c r="C165" s="207" t="s">
        <v>4413</v>
      </c>
      <c r="D165" s="207">
        <v>1</v>
      </c>
      <c r="E165" s="250" t="s">
        <v>4398</v>
      </c>
      <c r="F165" s="214" t="s">
        <v>5125</v>
      </c>
      <c r="G165" s="207" t="s">
        <v>4400</v>
      </c>
      <c r="H165" s="207" t="s">
        <v>4401</v>
      </c>
      <c r="I165" s="207" t="s">
        <v>4414</v>
      </c>
      <c r="J165" s="215" t="s">
        <v>5126</v>
      </c>
      <c r="K165" s="215" t="s">
        <v>5127</v>
      </c>
      <c r="L165" s="215" t="s">
        <v>5128</v>
      </c>
      <c r="M165" s="207" t="s">
        <v>4405</v>
      </c>
      <c r="N165" s="207" t="s">
        <v>4406</v>
      </c>
      <c r="O165" s="202">
        <v>46126</v>
      </c>
      <c r="P165" s="202" t="s">
        <v>4407</v>
      </c>
      <c r="Q165" s="203">
        <v>46126</v>
      </c>
      <c r="R165" s="203">
        <v>46126</v>
      </c>
      <c r="S165" s="203">
        <v>46136</v>
      </c>
      <c r="T165" s="203">
        <v>46140</v>
      </c>
      <c r="U165" s="203" t="s">
        <v>4408</v>
      </c>
      <c r="V165" s="203" t="s">
        <v>4408</v>
      </c>
      <c r="W165" s="202">
        <v>46153</v>
      </c>
      <c r="X165" s="202">
        <v>46154</v>
      </c>
      <c r="Y165" s="202"/>
      <c r="Z165" s="202"/>
      <c r="AA165" s="220" t="s">
        <v>5129</v>
      </c>
      <c r="AB165" s="220" t="s">
        <v>5130</v>
      </c>
      <c r="AC165" s="220" t="s">
        <v>5131</v>
      </c>
      <c r="AD165" s="217" t="s">
        <v>4421</v>
      </c>
      <c r="AE165" s="207" t="s">
        <v>4405</v>
      </c>
      <c r="AF165" s="218">
        <v>39857.25</v>
      </c>
      <c r="AG165" s="218">
        <v>39857.25</v>
      </c>
      <c r="AH165" s="207" t="s">
        <v>4422</v>
      </c>
      <c r="AI165" s="214" t="s">
        <v>4411</v>
      </c>
      <c r="AJ165" s="207">
        <v>156886893</v>
      </c>
      <c r="AK165" s="316">
        <v>46209</v>
      </c>
      <c r="AL165" s="316">
        <v>46209</v>
      </c>
      <c r="AM165" s="316">
        <v>46209</v>
      </c>
      <c r="AN165" s="316">
        <v>46209</v>
      </c>
      <c r="AO165" s="316">
        <v>46209</v>
      </c>
      <c r="AP165" s="316">
        <v>46209</v>
      </c>
      <c r="AQ165" s="314"/>
      <c r="AR165" s="315" t="str">
        <f t="shared" si="12"/>
        <v>FINALIZADO</v>
      </c>
      <c r="AS165" s="207" t="s">
        <v>4423</v>
      </c>
      <c r="AT165" s="260"/>
      <c r="AU165" s="220" t="s">
        <v>5132</v>
      </c>
      <c r="AV165" s="219" t="s">
        <v>4425</v>
      </c>
      <c r="AW165" s="207" t="s">
        <v>4425</v>
      </c>
      <c r="AX165" s="228" t="s">
        <v>4426</v>
      </c>
      <c r="AY165" s="228"/>
      <c r="AZ165" s="227"/>
      <c r="BA165" s="257"/>
      <c r="BB165" s="228"/>
      <c r="BC165" s="227"/>
      <c r="BD165" s="226"/>
      <c r="BE165" s="227"/>
      <c r="BF165" s="228" t="s">
        <v>4400</v>
      </c>
      <c r="BG165" s="229"/>
      <c r="BH165" s="321" t="str">
        <f t="shared" si="13"/>
        <v/>
      </c>
      <c r="BI165" s="98" t="str">
        <f t="shared" si="14"/>
        <v>INDENIZAÇÃO</v>
      </c>
      <c r="BJ165" s="98" t="str">
        <f t="shared" si="15"/>
        <v>NÃO</v>
      </c>
      <c r="BK165" s="219"/>
      <c r="BL165" s="221"/>
      <c r="BM165" s="221"/>
      <c r="BN165" s="219"/>
      <c r="BO165" s="219"/>
      <c r="BP165" s="219"/>
      <c r="BQ165" s="219"/>
      <c r="BR165" s="222"/>
    </row>
    <row r="166" spans="1:73" s="240" customFormat="1" ht="27" customHeight="1">
      <c r="A166" s="207">
        <v>162</v>
      </c>
      <c r="B166" s="197" t="s">
        <v>4396</v>
      </c>
      <c r="C166" s="207" t="s">
        <v>4413</v>
      </c>
      <c r="D166" s="207">
        <v>1</v>
      </c>
      <c r="E166" s="207" t="s">
        <v>4398</v>
      </c>
      <c r="F166" s="214" t="s">
        <v>5133</v>
      </c>
      <c r="G166" s="207" t="s">
        <v>4400</v>
      </c>
      <c r="H166" s="207" t="s">
        <v>4401</v>
      </c>
      <c r="I166" s="207" t="s">
        <v>4402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4442</v>
      </c>
      <c r="O166" s="202" t="s">
        <v>4409</v>
      </c>
      <c r="P166" s="202" t="s">
        <v>4409</v>
      </c>
      <c r="Q166" s="202" t="s">
        <v>4409</v>
      </c>
      <c r="R166" s="202" t="s">
        <v>4409</v>
      </c>
      <c r="S166" s="202" t="s">
        <v>4409</v>
      </c>
      <c r="T166" s="202" t="s">
        <v>4409</v>
      </c>
      <c r="U166" s="202" t="s">
        <v>4409</v>
      </c>
      <c r="V166" s="202" t="s">
        <v>4409</v>
      </c>
      <c r="W166" s="202" t="s">
        <v>4409</v>
      </c>
      <c r="X166" s="202" t="s">
        <v>4409</v>
      </c>
      <c r="Y166" s="202"/>
      <c r="Z166" s="202"/>
      <c r="AA166" s="215" t="s">
        <v>5137</v>
      </c>
      <c r="AB166" s="215" t="s">
        <v>5135</v>
      </c>
      <c r="AC166" s="215" t="s">
        <v>5136</v>
      </c>
      <c r="AD166" s="207" t="s">
        <v>4402</v>
      </c>
      <c r="AE166" s="207" t="s">
        <v>4405</v>
      </c>
      <c r="AF166" s="218">
        <v>91453.29</v>
      </c>
      <c r="AG166" s="218">
        <v>91453.29</v>
      </c>
      <c r="AH166" s="207" t="s">
        <v>4422</v>
      </c>
      <c r="AI166" s="214" t="s">
        <v>4411</v>
      </c>
      <c r="AJ166" s="207">
        <v>156883512</v>
      </c>
      <c r="AK166" s="316">
        <v>46188</v>
      </c>
      <c r="AL166" s="316">
        <v>46188</v>
      </c>
      <c r="AM166" s="316">
        <v>46188</v>
      </c>
      <c r="AN166" s="316">
        <v>46188</v>
      </c>
      <c r="AO166" s="316">
        <v>46188</v>
      </c>
      <c r="AP166" s="316">
        <v>46188</v>
      </c>
      <c r="AQ166" s="314"/>
      <c r="AR166" s="315" t="str">
        <f t="shared" si="12"/>
        <v>FINALIZADO</v>
      </c>
      <c r="AS166" s="207" t="s">
        <v>4423</v>
      </c>
      <c r="AT166" s="260"/>
      <c r="AU166" s="220" t="s">
        <v>5138</v>
      </c>
      <c r="AV166" s="197" t="s">
        <v>4818</v>
      </c>
      <c r="AW166" s="207" t="s">
        <v>4818</v>
      </c>
      <c r="AX166" s="207" t="s">
        <v>4818</v>
      </c>
      <c r="AY166" s="207" t="s">
        <v>4818</v>
      </c>
      <c r="AZ166" s="202">
        <v>46233</v>
      </c>
      <c r="BA166" s="207" t="s">
        <v>4818</v>
      </c>
      <c r="BB166" s="207" t="s">
        <v>4818</v>
      </c>
      <c r="BC166" s="202">
        <v>46237</v>
      </c>
      <c r="BD166" s="226">
        <v>46237</v>
      </c>
      <c r="BE166" s="257" t="s">
        <v>4435</v>
      </c>
      <c r="BF166" s="257" t="s">
        <v>4436</v>
      </c>
      <c r="BG166" s="219" t="s">
        <v>4425</v>
      </c>
      <c r="BH166" s="321">
        <f t="shared" si="13"/>
        <v>49</v>
      </c>
      <c r="BI166" s="98" t="str">
        <f t="shared" si="14"/>
        <v>INDENIZAÇÃO</v>
      </c>
      <c r="BJ166" s="98" t="str">
        <f t="shared" si="15"/>
        <v>NÃO</v>
      </c>
      <c r="BK166" s="219" t="s">
        <v>4437</v>
      </c>
      <c r="BL166" s="219" t="s">
        <v>4437</v>
      </c>
      <c r="BM166" s="219" t="s">
        <v>4437</v>
      </c>
      <c r="BN166" s="250" t="s">
        <v>4425</v>
      </c>
      <c r="BO166" s="250" t="s">
        <v>4425</v>
      </c>
      <c r="BP166" s="202">
        <v>46269</v>
      </c>
      <c r="BQ166" s="257" t="s">
        <v>4819</v>
      </c>
      <c r="BR166" s="258"/>
      <c r="BS166" s="223"/>
    </row>
    <row r="167" spans="1:73" s="240" customFormat="1" ht="27" customHeight="1">
      <c r="A167" s="207">
        <v>163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5139</v>
      </c>
      <c r="G167" s="207" t="s">
        <v>4400</v>
      </c>
      <c r="H167" s="207" t="s">
        <v>4583</v>
      </c>
      <c r="I167" s="207" t="s">
        <v>4402</v>
      </c>
      <c r="J167" s="215" t="s">
        <v>5140</v>
      </c>
      <c r="K167" s="215" t="s">
        <v>5141</v>
      </c>
      <c r="L167" s="215" t="s">
        <v>5142</v>
      </c>
      <c r="M167" s="207" t="s">
        <v>4405</v>
      </c>
      <c r="N167" s="207" t="s">
        <v>4442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5140</v>
      </c>
      <c r="AB167" s="215" t="s">
        <v>5141</v>
      </c>
      <c r="AC167" s="215" t="s">
        <v>5142</v>
      </c>
      <c r="AD167" s="207" t="s">
        <v>4402</v>
      </c>
      <c r="AE167" s="207" t="s">
        <v>4405</v>
      </c>
      <c r="AF167" s="218">
        <v>92686.14</v>
      </c>
      <c r="AG167" s="218">
        <v>92686.14</v>
      </c>
      <c r="AH167" s="207" t="s">
        <v>4433</v>
      </c>
      <c r="AI167" s="214" t="s">
        <v>4411</v>
      </c>
      <c r="AJ167" s="207">
        <v>152695487</v>
      </c>
      <c r="AK167" s="316">
        <v>46112</v>
      </c>
      <c r="AL167" s="316">
        <v>46112</v>
      </c>
      <c r="AM167" s="316">
        <v>46112</v>
      </c>
      <c r="AN167" s="316">
        <v>46112</v>
      </c>
      <c r="AO167" s="316">
        <v>46112</v>
      </c>
      <c r="AP167" s="316">
        <v>46112</v>
      </c>
      <c r="AQ167" s="314"/>
      <c r="AR167" s="315" t="str">
        <f t="shared" si="12"/>
        <v>FINALIZADO</v>
      </c>
      <c r="AS167" s="207" t="s">
        <v>4423</v>
      </c>
      <c r="AT167" s="251"/>
      <c r="AU167" s="220" t="s">
        <v>5143</v>
      </c>
      <c r="AV167" s="207" t="s">
        <v>4425</v>
      </c>
      <c r="AW167" s="207" t="s">
        <v>4425</v>
      </c>
      <c r="AX167" s="250" t="s">
        <v>4425</v>
      </c>
      <c r="AY167" s="207" t="s">
        <v>4425</v>
      </c>
      <c r="AZ167" s="202">
        <v>46139</v>
      </c>
      <c r="BA167" s="207" t="s">
        <v>4425</v>
      </c>
      <c r="BB167" s="207" t="s">
        <v>4425</v>
      </c>
      <c r="BC167" s="202">
        <v>46142</v>
      </c>
      <c r="BD167" s="227">
        <v>46142</v>
      </c>
      <c r="BE167" s="227" t="s">
        <v>4435</v>
      </c>
      <c r="BF167" s="268" t="s">
        <v>4436</v>
      </c>
      <c r="BG167" s="269" t="s">
        <v>4425</v>
      </c>
      <c r="BH167" s="321">
        <f t="shared" si="13"/>
        <v>30</v>
      </c>
      <c r="BI167" s="98" t="str">
        <f t="shared" si="14"/>
        <v>INDENIZAÇÃO</v>
      </c>
      <c r="BJ167" s="98" t="str">
        <f t="shared" si="15"/>
        <v>NÃO</v>
      </c>
      <c r="BK167" s="161" t="s">
        <v>4437</v>
      </c>
      <c r="BL167" s="219" t="s">
        <v>4437</v>
      </c>
      <c r="BM167" s="219" t="s">
        <v>4437</v>
      </c>
      <c r="BN167" s="161" t="s">
        <v>4425</v>
      </c>
      <c r="BO167" s="219" t="s">
        <v>4425</v>
      </c>
      <c r="BP167" s="202">
        <v>46195</v>
      </c>
      <c r="BQ167" s="219" t="s">
        <v>4425</v>
      </c>
      <c r="BR167" s="232" t="s">
        <v>4435</v>
      </c>
    </row>
    <row r="168" spans="1:73" s="240" customFormat="1" ht="27" hidden="1" customHeight="1">
      <c r="A168" s="207">
        <v>164</v>
      </c>
      <c r="B168" s="197" t="s">
        <v>4396</v>
      </c>
      <c r="C168" s="207" t="s">
        <v>4427</v>
      </c>
      <c r="D168" s="207">
        <v>1</v>
      </c>
      <c r="E168" s="207" t="s">
        <v>4398</v>
      </c>
      <c r="F168" s="214" t="s">
        <v>5144</v>
      </c>
      <c r="G168" s="207" t="s">
        <v>4400</v>
      </c>
      <c r="H168" s="207" t="s">
        <v>4401</v>
      </c>
      <c r="I168" s="217" t="s">
        <v>4402</v>
      </c>
      <c r="J168" s="242" t="s">
        <v>5145</v>
      </c>
      <c r="K168" s="214" t="s">
        <v>5146</v>
      </c>
      <c r="L168" s="242" t="s">
        <v>5147</v>
      </c>
      <c r="M168" s="207" t="s">
        <v>4405</v>
      </c>
      <c r="N168" s="207" t="s">
        <v>4442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42" t="s">
        <v>5145</v>
      </c>
      <c r="AB168" s="214" t="s">
        <v>5146</v>
      </c>
      <c r="AC168" s="242" t="s">
        <v>5147</v>
      </c>
      <c r="AD168" s="207" t="s">
        <v>4402</v>
      </c>
      <c r="AE168" s="207" t="s">
        <v>4405</v>
      </c>
      <c r="AF168" s="218">
        <v>126759.31</v>
      </c>
      <c r="AG168" s="218">
        <v>126759.31</v>
      </c>
      <c r="AH168" s="207" t="s">
        <v>4433</v>
      </c>
      <c r="AI168" s="214" t="s">
        <v>4411</v>
      </c>
      <c r="AJ168" s="207">
        <v>146664998</v>
      </c>
      <c r="AK168" s="316">
        <v>46001</v>
      </c>
      <c r="AL168" s="316">
        <v>46001</v>
      </c>
      <c r="AM168" s="316">
        <v>46001</v>
      </c>
      <c r="AN168" s="316">
        <v>46001</v>
      </c>
      <c r="AO168" s="316">
        <v>46001</v>
      </c>
      <c r="AP168" s="316">
        <v>46001</v>
      </c>
      <c r="AQ168" s="314"/>
      <c r="AR168" s="315" t="str">
        <f t="shared" si="12"/>
        <v>FINALIZADO</v>
      </c>
      <c r="AS168" s="207" t="s">
        <v>4423</v>
      </c>
      <c r="AT168" s="207"/>
      <c r="AU168" s="220" t="s">
        <v>5148</v>
      </c>
      <c r="AV168" s="197" t="s">
        <v>4425</v>
      </c>
      <c r="AW168" s="207" t="s">
        <v>4425</v>
      </c>
      <c r="AX168" s="207" t="s">
        <v>4425</v>
      </c>
      <c r="AY168" s="207" t="s">
        <v>4425</v>
      </c>
      <c r="AZ168" s="203">
        <v>46024</v>
      </c>
      <c r="BA168" s="219" t="s">
        <v>4425</v>
      </c>
      <c r="BB168" s="207" t="s">
        <v>4425</v>
      </c>
      <c r="BC168" s="203">
        <v>46057</v>
      </c>
      <c r="BD168" s="227">
        <v>46057</v>
      </c>
      <c r="BE168" s="227" t="s">
        <v>4435</v>
      </c>
      <c r="BF168" s="228" t="s">
        <v>4436</v>
      </c>
      <c r="BG168" s="229" t="s">
        <v>4425</v>
      </c>
      <c r="BH168" s="321">
        <f t="shared" si="13"/>
        <v>56</v>
      </c>
      <c r="BI168" s="98" t="str">
        <f t="shared" si="14"/>
        <v>INDENIZAÇÃO</v>
      </c>
      <c r="BJ168" s="98" t="str">
        <f t="shared" si="15"/>
        <v>NÃO</v>
      </c>
      <c r="BK168" s="230" t="s">
        <v>4437</v>
      </c>
      <c r="BL168" s="230" t="s">
        <v>4437</v>
      </c>
      <c r="BM168" s="230" t="s">
        <v>4437</v>
      </c>
      <c r="BN168" s="207" t="s">
        <v>4425</v>
      </c>
      <c r="BO168" s="207" t="s">
        <v>4425</v>
      </c>
      <c r="BP168" s="202">
        <v>46182</v>
      </c>
      <c r="BQ168" s="207" t="s">
        <v>4425</v>
      </c>
      <c r="BR168" s="256" t="s">
        <v>4435</v>
      </c>
      <c r="BS168" s="223"/>
      <c r="BT168" s="223"/>
    </row>
    <row r="169" spans="1:73" s="240" customFormat="1" ht="27" customHeight="1">
      <c r="A169" s="197">
        <v>165</v>
      </c>
      <c r="B169" s="197" t="s">
        <v>4396</v>
      </c>
      <c r="C169" s="207" t="s">
        <v>4413</v>
      </c>
      <c r="D169" s="207">
        <v>1</v>
      </c>
      <c r="E169" s="207" t="s">
        <v>4398</v>
      </c>
      <c r="F169" s="214" t="s">
        <v>5144</v>
      </c>
      <c r="G169" s="207" t="s">
        <v>4400</v>
      </c>
      <c r="H169" s="207" t="s">
        <v>4401</v>
      </c>
      <c r="I169" s="207" t="s">
        <v>4402</v>
      </c>
      <c r="J169" s="215" t="s">
        <v>5149</v>
      </c>
      <c r="K169" s="215" t="s">
        <v>5150</v>
      </c>
      <c r="L169" s="215" t="s">
        <v>5151</v>
      </c>
      <c r="M169" s="207" t="s">
        <v>4405</v>
      </c>
      <c r="N169" s="207" t="s">
        <v>4442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15" t="s">
        <v>5149</v>
      </c>
      <c r="AB169" s="215" t="s">
        <v>5150</v>
      </c>
      <c r="AC169" s="215" t="s">
        <v>5151</v>
      </c>
      <c r="AD169" s="207" t="s">
        <v>4402</v>
      </c>
      <c r="AE169" s="207" t="s">
        <v>4405</v>
      </c>
      <c r="AF169" s="218">
        <v>54328.45</v>
      </c>
      <c r="AG169" s="218">
        <v>60000</v>
      </c>
      <c r="AH169" s="207" t="s">
        <v>4433</v>
      </c>
      <c r="AI169" s="214" t="s">
        <v>4411</v>
      </c>
      <c r="AJ169" s="207">
        <v>152696742</v>
      </c>
      <c r="AK169" s="316">
        <v>46188</v>
      </c>
      <c r="AL169" s="316">
        <v>46188</v>
      </c>
      <c r="AM169" s="316">
        <v>46188</v>
      </c>
      <c r="AN169" s="316">
        <v>46188</v>
      </c>
      <c r="AO169" s="316">
        <v>46188</v>
      </c>
      <c r="AP169" s="316">
        <v>46188</v>
      </c>
      <c r="AQ169" s="314"/>
      <c r="AR169" s="315" t="str">
        <f t="shared" si="12"/>
        <v>FINALIZADO</v>
      </c>
      <c r="AS169" s="207" t="s">
        <v>4423</v>
      </c>
      <c r="AT169" s="260"/>
      <c r="AU169" s="220" t="s">
        <v>5152</v>
      </c>
      <c r="AV169" s="207" t="s">
        <v>4818</v>
      </c>
      <c r="AW169" s="207" t="s">
        <v>4818</v>
      </c>
      <c r="AX169" s="207" t="s">
        <v>4818</v>
      </c>
      <c r="AY169" s="207" t="s">
        <v>4818</v>
      </c>
      <c r="AZ169" s="202">
        <v>46233</v>
      </c>
      <c r="BA169" s="207" t="s">
        <v>4818</v>
      </c>
      <c r="BB169" s="207" t="s">
        <v>4818</v>
      </c>
      <c r="BC169" s="202">
        <v>46237</v>
      </c>
      <c r="BD169" s="226">
        <v>46237</v>
      </c>
      <c r="BE169" s="257" t="s">
        <v>4435</v>
      </c>
      <c r="BF169" s="257" t="s">
        <v>4436</v>
      </c>
      <c r="BG169" s="219" t="s">
        <v>4425</v>
      </c>
      <c r="BH169" s="321">
        <f t="shared" si="13"/>
        <v>49</v>
      </c>
      <c r="BI169" s="98" t="str">
        <f t="shared" si="14"/>
        <v>INDENIZAÇÃO</v>
      </c>
      <c r="BJ169" s="98" t="str">
        <f t="shared" si="15"/>
        <v>NÃO</v>
      </c>
      <c r="BK169" s="219" t="s">
        <v>4437</v>
      </c>
      <c r="BL169" s="219" t="s">
        <v>4437</v>
      </c>
      <c r="BM169" s="219" t="s">
        <v>4437</v>
      </c>
      <c r="BN169" s="250" t="s">
        <v>4425</v>
      </c>
      <c r="BO169" s="250" t="s">
        <v>4425</v>
      </c>
      <c r="BP169" s="202">
        <v>46269</v>
      </c>
      <c r="BQ169" s="257" t="s">
        <v>4819</v>
      </c>
      <c r="BR169" s="258"/>
      <c r="BS169" s="223"/>
    </row>
    <row r="170" spans="1:73" s="240" customFormat="1" ht="27" hidden="1" customHeight="1">
      <c r="A170" s="197">
        <v>166</v>
      </c>
      <c r="B170" s="197" t="s">
        <v>4396</v>
      </c>
      <c r="C170" s="207" t="s">
        <v>4427</v>
      </c>
      <c r="D170" s="207">
        <v>1</v>
      </c>
      <c r="E170" s="207" t="s">
        <v>4398</v>
      </c>
      <c r="F170" s="214" t="s">
        <v>5153</v>
      </c>
      <c r="G170" s="207" t="s">
        <v>4400</v>
      </c>
      <c r="H170" s="207" t="s">
        <v>4401</v>
      </c>
      <c r="I170" s="217" t="s">
        <v>4402</v>
      </c>
      <c r="J170" s="215" t="s">
        <v>5154</v>
      </c>
      <c r="K170" s="215" t="s">
        <v>5155</v>
      </c>
      <c r="L170" s="215" t="s">
        <v>5156</v>
      </c>
      <c r="M170" s="207" t="s">
        <v>4405</v>
      </c>
      <c r="N170" s="207" t="s">
        <v>4442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5154</v>
      </c>
      <c r="AB170" s="214" t="s">
        <v>5155</v>
      </c>
      <c r="AC170" s="214" t="s">
        <v>5156</v>
      </c>
      <c r="AD170" s="207" t="s">
        <v>4402</v>
      </c>
      <c r="AE170" s="207" t="s">
        <v>4405</v>
      </c>
      <c r="AF170" s="218">
        <v>266194.56</v>
      </c>
      <c r="AG170" s="218">
        <v>266194.56</v>
      </c>
      <c r="AH170" s="207" t="s">
        <v>4433</v>
      </c>
      <c r="AI170" s="214" t="s">
        <v>4411</v>
      </c>
      <c r="AJ170" s="207">
        <v>146667845</v>
      </c>
      <c r="AK170" s="316">
        <v>46001</v>
      </c>
      <c r="AL170" s="316">
        <v>46001</v>
      </c>
      <c r="AM170" s="316">
        <v>46001</v>
      </c>
      <c r="AN170" s="316">
        <v>46001</v>
      </c>
      <c r="AO170" s="316">
        <v>46001</v>
      </c>
      <c r="AP170" s="316">
        <v>46001</v>
      </c>
      <c r="AQ170" s="314"/>
      <c r="AR170" s="315" t="str">
        <f t="shared" si="12"/>
        <v>FINALIZADO</v>
      </c>
      <c r="AS170" s="207" t="s">
        <v>4423</v>
      </c>
      <c r="AT170" s="207"/>
      <c r="AU170" s="220" t="s">
        <v>5157</v>
      </c>
      <c r="AV170" s="207" t="s">
        <v>4425</v>
      </c>
      <c r="AW170" s="207" t="s">
        <v>4425</v>
      </c>
      <c r="AX170" s="207" t="s">
        <v>4425</v>
      </c>
      <c r="AY170" s="207" t="s">
        <v>4425</v>
      </c>
      <c r="AZ170" s="202">
        <v>46021</v>
      </c>
      <c r="BA170" s="219" t="s">
        <v>4425</v>
      </c>
      <c r="BB170" s="207" t="s">
        <v>4425</v>
      </c>
      <c r="BC170" s="202">
        <v>46041</v>
      </c>
      <c r="BD170" s="227">
        <v>46041</v>
      </c>
      <c r="BE170" s="227" t="s">
        <v>4435</v>
      </c>
      <c r="BF170" s="228" t="s">
        <v>4436</v>
      </c>
      <c r="BG170" s="229" t="s">
        <v>4425</v>
      </c>
      <c r="BH170" s="321">
        <f t="shared" si="13"/>
        <v>40</v>
      </c>
      <c r="BI170" s="98" t="str">
        <f t="shared" si="14"/>
        <v>INDENIZAÇÃO</v>
      </c>
      <c r="BJ170" s="98" t="str">
        <f t="shared" si="15"/>
        <v>NÃO</v>
      </c>
      <c r="BK170" s="230" t="s">
        <v>4437</v>
      </c>
      <c r="BL170" s="230" t="s">
        <v>4437</v>
      </c>
      <c r="BM170" s="230" t="s">
        <v>4437</v>
      </c>
      <c r="BN170" s="207" t="s">
        <v>4425</v>
      </c>
      <c r="BO170" s="207" t="s">
        <v>4425</v>
      </c>
      <c r="BP170" s="202">
        <v>46182</v>
      </c>
      <c r="BQ170" s="207" t="s">
        <v>4425</v>
      </c>
      <c r="BR170" s="256" t="s">
        <v>4435</v>
      </c>
    </row>
    <row r="171" spans="1:73" s="240" customFormat="1" ht="27" hidden="1" customHeight="1">
      <c r="A171" s="207">
        <v>167</v>
      </c>
      <c r="B171" s="197" t="s">
        <v>4396</v>
      </c>
      <c r="C171" s="207" t="s">
        <v>4427</v>
      </c>
      <c r="D171" s="207">
        <v>1</v>
      </c>
      <c r="E171" s="207" t="s">
        <v>4398</v>
      </c>
      <c r="F171" s="214" t="s">
        <v>5158</v>
      </c>
      <c r="G171" s="207" t="s">
        <v>4400</v>
      </c>
      <c r="H171" s="207" t="s">
        <v>4401</v>
      </c>
      <c r="I171" s="217" t="s">
        <v>4402</v>
      </c>
      <c r="J171" s="215" t="s">
        <v>5159</v>
      </c>
      <c r="K171" s="215" t="s">
        <v>5160</v>
      </c>
      <c r="L171" s="215" t="s">
        <v>5161</v>
      </c>
      <c r="M171" s="207" t="s">
        <v>4405</v>
      </c>
      <c r="N171" s="207" t="s">
        <v>4442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5159</v>
      </c>
      <c r="AB171" s="215" t="s">
        <v>5160</v>
      </c>
      <c r="AC171" s="215" t="s">
        <v>5161</v>
      </c>
      <c r="AD171" s="207" t="s">
        <v>4402</v>
      </c>
      <c r="AE171" s="207" t="s">
        <v>4405</v>
      </c>
      <c r="AF171" s="218">
        <v>17059.61</v>
      </c>
      <c r="AG171" s="218">
        <v>47059.61</v>
      </c>
      <c r="AH171" s="207" t="s">
        <v>4433</v>
      </c>
      <c r="AI171" s="214" t="s">
        <v>4411</v>
      </c>
      <c r="AJ171" s="207">
        <v>150861319</v>
      </c>
      <c r="AK171" s="316">
        <v>46129</v>
      </c>
      <c r="AL171" s="316">
        <v>46129</v>
      </c>
      <c r="AM171" s="316">
        <v>46129</v>
      </c>
      <c r="AN171" s="316">
        <v>46129</v>
      </c>
      <c r="AO171" s="316">
        <v>46129</v>
      </c>
      <c r="AP171" s="316">
        <v>46129</v>
      </c>
      <c r="AQ171" s="314"/>
      <c r="AR171" s="315" t="str">
        <f t="shared" si="12"/>
        <v>FINALIZADO</v>
      </c>
      <c r="AS171" s="207" t="s">
        <v>4423</v>
      </c>
      <c r="AT171" s="207"/>
      <c r="AU171" s="220" t="s">
        <v>5162</v>
      </c>
      <c r="AV171" s="270" t="s">
        <v>4425</v>
      </c>
      <c r="AW171" s="207" t="s">
        <v>4425</v>
      </c>
      <c r="AX171" s="219" t="s">
        <v>4425</v>
      </c>
      <c r="AY171" s="219" t="s">
        <v>4425</v>
      </c>
      <c r="AZ171" s="202">
        <v>46226</v>
      </c>
      <c r="BA171" s="219" t="s">
        <v>4425</v>
      </c>
      <c r="BB171" s="219" t="s">
        <v>4425</v>
      </c>
      <c r="BC171" s="202">
        <v>46232</v>
      </c>
      <c r="BD171" s="226">
        <v>46232</v>
      </c>
      <c r="BE171" s="257" t="s">
        <v>4435</v>
      </c>
      <c r="BF171" s="257" t="s">
        <v>4436</v>
      </c>
      <c r="BG171" s="219" t="s">
        <v>4425</v>
      </c>
      <c r="BH171" s="321">
        <f t="shared" si="13"/>
        <v>103</v>
      </c>
      <c r="BI171" s="98" t="str">
        <f t="shared" si="14"/>
        <v>INDENIZAÇÃO</v>
      </c>
      <c r="BJ171" s="98" t="str">
        <f t="shared" si="15"/>
        <v>NÃO</v>
      </c>
      <c r="BK171" s="219" t="s">
        <v>4437</v>
      </c>
      <c r="BL171" s="219" t="s">
        <v>4437</v>
      </c>
      <c r="BM171" s="219" t="s">
        <v>4437</v>
      </c>
      <c r="BN171" s="250" t="s">
        <v>4425</v>
      </c>
      <c r="BO171" s="250" t="s">
        <v>4425</v>
      </c>
      <c r="BP171" s="202">
        <v>46269</v>
      </c>
      <c r="BQ171" s="257" t="s">
        <v>4819</v>
      </c>
      <c r="BR171" s="258"/>
      <c r="BS171" s="223"/>
    </row>
    <row r="172" spans="1:73" s="240" customFormat="1" ht="27" customHeight="1">
      <c r="A172" s="207">
        <v>168</v>
      </c>
      <c r="B172" s="197" t="s">
        <v>4396</v>
      </c>
      <c r="C172" s="207" t="s">
        <v>4413</v>
      </c>
      <c r="D172" s="207">
        <v>1</v>
      </c>
      <c r="E172" s="207" t="s">
        <v>4398</v>
      </c>
      <c r="F172" s="214" t="s">
        <v>5158</v>
      </c>
      <c r="G172" s="207" t="s">
        <v>4400</v>
      </c>
      <c r="H172" s="207" t="s">
        <v>4401</v>
      </c>
      <c r="I172" s="207" t="s">
        <v>4402</v>
      </c>
      <c r="J172" s="215" t="s">
        <v>5163</v>
      </c>
      <c r="K172" s="215" t="s">
        <v>5164</v>
      </c>
      <c r="L172" s="215" t="s">
        <v>5165</v>
      </c>
      <c r="M172" s="207" t="s">
        <v>4405</v>
      </c>
      <c r="N172" s="207" t="s">
        <v>4442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5163</v>
      </c>
      <c r="AB172" s="215" t="s">
        <v>5164</v>
      </c>
      <c r="AC172" s="215" t="s">
        <v>5165</v>
      </c>
      <c r="AD172" s="207" t="s">
        <v>4402</v>
      </c>
      <c r="AE172" s="207" t="s">
        <v>4405</v>
      </c>
      <c r="AF172" s="218">
        <v>83292.070000000007</v>
      </c>
      <c r="AG172" s="218">
        <v>83292.070000000007</v>
      </c>
      <c r="AH172" s="207" t="s">
        <v>4422</v>
      </c>
      <c r="AI172" s="214" t="s">
        <v>4411</v>
      </c>
      <c r="AJ172" s="207">
        <v>152696098</v>
      </c>
      <c r="AK172" s="316">
        <v>46189</v>
      </c>
      <c r="AL172" s="316">
        <v>46189</v>
      </c>
      <c r="AM172" s="316">
        <v>46189</v>
      </c>
      <c r="AN172" s="316">
        <v>46189</v>
      </c>
      <c r="AO172" s="316">
        <v>46189</v>
      </c>
      <c r="AP172" s="316">
        <v>46189</v>
      </c>
      <c r="AQ172" s="314"/>
      <c r="AR172" s="315" t="str">
        <f t="shared" si="12"/>
        <v>FINALIZADO</v>
      </c>
      <c r="AS172" s="207" t="s">
        <v>4423</v>
      </c>
      <c r="AT172" s="233"/>
      <c r="AU172" s="220" t="s">
        <v>5166</v>
      </c>
      <c r="AV172" s="207" t="s">
        <v>4818</v>
      </c>
      <c r="AW172" s="207" t="s">
        <v>4818</v>
      </c>
      <c r="AX172" s="207" t="s">
        <v>4818</v>
      </c>
      <c r="AY172" s="207" t="s">
        <v>4818</v>
      </c>
      <c r="AZ172" s="202">
        <v>46233</v>
      </c>
      <c r="BA172" s="207" t="s">
        <v>4818</v>
      </c>
      <c r="BB172" s="207" t="s">
        <v>4818</v>
      </c>
      <c r="BC172" s="202">
        <v>46237</v>
      </c>
      <c r="BD172" s="226">
        <v>46237</v>
      </c>
      <c r="BE172" s="257" t="s">
        <v>4435</v>
      </c>
      <c r="BF172" s="257" t="s">
        <v>4436</v>
      </c>
      <c r="BG172" s="219" t="s">
        <v>4425</v>
      </c>
      <c r="BH172" s="321">
        <f t="shared" si="13"/>
        <v>48</v>
      </c>
      <c r="BI172" s="98" t="str">
        <f t="shared" si="14"/>
        <v>INDENIZAÇÃO</v>
      </c>
      <c r="BJ172" s="98" t="str">
        <f t="shared" si="15"/>
        <v>NÃO</v>
      </c>
      <c r="BK172" s="219" t="s">
        <v>4437</v>
      </c>
      <c r="BL172" s="219" t="s">
        <v>4437</v>
      </c>
      <c r="BM172" s="219" t="s">
        <v>4437</v>
      </c>
      <c r="BN172" s="250" t="s">
        <v>4425</v>
      </c>
      <c r="BO172" s="250" t="s">
        <v>4425</v>
      </c>
      <c r="BP172" s="202">
        <v>46269</v>
      </c>
      <c r="BQ172" s="257" t="s">
        <v>4819</v>
      </c>
      <c r="BR172" s="258"/>
      <c r="BS172" s="223"/>
    </row>
    <row r="173" spans="1:73" s="240" customFormat="1" ht="27" hidden="1" customHeight="1">
      <c r="A173" s="207">
        <v>169</v>
      </c>
      <c r="B173" s="197" t="s">
        <v>4396</v>
      </c>
      <c r="C173" s="207" t="s">
        <v>4427</v>
      </c>
      <c r="D173" s="207">
        <v>1</v>
      </c>
      <c r="E173" s="207" t="s">
        <v>4398</v>
      </c>
      <c r="F173" s="214" t="s">
        <v>5167</v>
      </c>
      <c r="G173" s="207" t="s">
        <v>4400</v>
      </c>
      <c r="H173" s="207" t="s">
        <v>4401</v>
      </c>
      <c r="I173" s="217" t="s">
        <v>4402</v>
      </c>
      <c r="J173" s="242" t="s">
        <v>5168</v>
      </c>
      <c r="K173" s="215" t="s">
        <v>5169</v>
      </c>
      <c r="L173" s="215" t="s">
        <v>5170</v>
      </c>
      <c r="M173" s="207" t="s">
        <v>4405</v>
      </c>
      <c r="N173" s="207" t="s">
        <v>4442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42" t="s">
        <v>5168</v>
      </c>
      <c r="AB173" s="214" t="s">
        <v>5169</v>
      </c>
      <c r="AC173" s="246" t="s">
        <v>5170</v>
      </c>
      <c r="AD173" s="207" t="s">
        <v>4402</v>
      </c>
      <c r="AE173" s="207" t="s">
        <v>4405</v>
      </c>
      <c r="AF173" s="218">
        <v>22191</v>
      </c>
      <c r="AG173" s="218">
        <f>AF173+30000</f>
        <v>52191</v>
      </c>
      <c r="AH173" s="207" t="s">
        <v>4433</v>
      </c>
      <c r="AI173" s="214" t="s">
        <v>4411</v>
      </c>
      <c r="AJ173" s="207">
        <v>148259258</v>
      </c>
      <c r="AK173" s="316">
        <v>46038</v>
      </c>
      <c r="AL173" s="316">
        <v>46038</v>
      </c>
      <c r="AM173" s="316">
        <v>46038</v>
      </c>
      <c r="AN173" s="316">
        <v>46038</v>
      </c>
      <c r="AO173" s="316">
        <v>46038</v>
      </c>
      <c r="AP173" s="316">
        <v>46038</v>
      </c>
      <c r="AQ173" s="314"/>
      <c r="AR173" s="315" t="str">
        <f t="shared" si="12"/>
        <v>FINALIZADO</v>
      </c>
      <c r="AS173" s="207" t="s">
        <v>4423</v>
      </c>
      <c r="AT173" s="207"/>
      <c r="AU173" s="220" t="s">
        <v>5171</v>
      </c>
      <c r="AV173" s="207" t="s">
        <v>4425</v>
      </c>
      <c r="AW173" s="207" t="s">
        <v>4425</v>
      </c>
      <c r="AX173" s="207" t="s">
        <v>4425</v>
      </c>
      <c r="AY173" s="207" t="s">
        <v>4425</v>
      </c>
      <c r="AZ173" s="202">
        <v>46062</v>
      </c>
      <c r="BA173" s="219" t="s">
        <v>4425</v>
      </c>
      <c r="BB173" s="207" t="s">
        <v>4425</v>
      </c>
      <c r="BC173" s="202">
        <v>46066</v>
      </c>
      <c r="BD173" s="226">
        <v>46066</v>
      </c>
      <c r="BE173" s="227" t="s">
        <v>4435</v>
      </c>
      <c r="BF173" s="228" t="s">
        <v>4436</v>
      </c>
      <c r="BG173" s="229" t="s">
        <v>4425</v>
      </c>
      <c r="BH173" s="321">
        <f t="shared" si="13"/>
        <v>28</v>
      </c>
      <c r="BI173" s="98" t="str">
        <f t="shared" si="14"/>
        <v>INDENIZAÇÃO</v>
      </c>
      <c r="BJ173" s="98" t="str">
        <f t="shared" si="15"/>
        <v>NÃO</v>
      </c>
      <c r="BK173" s="230" t="s">
        <v>4437</v>
      </c>
      <c r="BL173" s="230" t="s">
        <v>4437</v>
      </c>
      <c r="BM173" s="230" t="s">
        <v>4437</v>
      </c>
      <c r="BN173" s="207" t="s">
        <v>4425</v>
      </c>
      <c r="BO173" s="207" t="s">
        <v>4425</v>
      </c>
      <c r="BP173" s="202">
        <v>46182</v>
      </c>
      <c r="BQ173" s="207" t="s">
        <v>4425</v>
      </c>
      <c r="BR173" s="256" t="s">
        <v>4435</v>
      </c>
    </row>
    <row r="174" spans="1:73" s="240" customFormat="1" ht="27" customHeight="1">
      <c r="A174" s="197">
        <v>170</v>
      </c>
      <c r="B174" s="197" t="s">
        <v>4396</v>
      </c>
      <c r="C174" s="207" t="s">
        <v>4413</v>
      </c>
      <c r="D174" s="207">
        <v>1</v>
      </c>
      <c r="E174" s="207" t="s">
        <v>4398</v>
      </c>
      <c r="F174" s="214" t="s">
        <v>5172</v>
      </c>
      <c r="G174" s="207" t="s">
        <v>4400</v>
      </c>
      <c r="H174" s="207" t="s">
        <v>4401</v>
      </c>
      <c r="I174" s="207" t="s">
        <v>4402</v>
      </c>
      <c r="J174" s="215" t="s">
        <v>5173</v>
      </c>
      <c r="K174" s="215" t="s">
        <v>5174</v>
      </c>
      <c r="L174" s="215" t="s">
        <v>5175</v>
      </c>
      <c r="M174" s="207" t="s">
        <v>4405</v>
      </c>
      <c r="N174" s="207" t="s">
        <v>4442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15" t="s">
        <v>5173</v>
      </c>
      <c r="AB174" s="215" t="s">
        <v>5174</v>
      </c>
      <c r="AC174" s="215" t="s">
        <v>5175</v>
      </c>
      <c r="AD174" s="207" t="s">
        <v>4402</v>
      </c>
      <c r="AE174" s="207" t="s">
        <v>4405</v>
      </c>
      <c r="AF174" s="218">
        <v>152775.79</v>
      </c>
      <c r="AG174" s="218">
        <v>152775.79</v>
      </c>
      <c r="AH174" s="207" t="s">
        <v>4422</v>
      </c>
      <c r="AI174" s="214" t="s">
        <v>4411</v>
      </c>
      <c r="AJ174" s="207">
        <v>152696357</v>
      </c>
      <c r="AK174" s="316">
        <v>46112</v>
      </c>
      <c r="AL174" s="316">
        <v>46112</v>
      </c>
      <c r="AM174" s="316">
        <v>46112</v>
      </c>
      <c r="AN174" s="316">
        <v>46112</v>
      </c>
      <c r="AO174" s="316">
        <v>46112</v>
      </c>
      <c r="AP174" s="316">
        <v>46112</v>
      </c>
      <c r="AQ174" s="314"/>
      <c r="AR174" s="315" t="str">
        <f t="shared" si="12"/>
        <v>FINALIZADO</v>
      </c>
      <c r="AS174" s="207" t="s">
        <v>4423</v>
      </c>
      <c r="AT174" s="207"/>
      <c r="AU174" s="220" t="s">
        <v>5176</v>
      </c>
      <c r="AV174" s="207" t="s">
        <v>4425</v>
      </c>
      <c r="AW174" s="207" t="s">
        <v>4425</v>
      </c>
      <c r="AX174" s="250" t="s">
        <v>4425</v>
      </c>
      <c r="AY174" s="207" t="s">
        <v>4425</v>
      </c>
      <c r="AZ174" s="202">
        <v>46150</v>
      </c>
      <c r="BA174" s="207" t="s">
        <v>4425</v>
      </c>
      <c r="BB174" s="207" t="s">
        <v>4425</v>
      </c>
      <c r="BC174" s="202">
        <v>46157</v>
      </c>
      <c r="BD174" s="227">
        <v>46157</v>
      </c>
      <c r="BE174" s="227" t="s">
        <v>4435</v>
      </c>
      <c r="BF174" s="228" t="s">
        <v>4436</v>
      </c>
      <c r="BG174" s="229" t="s">
        <v>4425</v>
      </c>
      <c r="BH174" s="321">
        <f t="shared" si="13"/>
        <v>45</v>
      </c>
      <c r="BI174" s="98" t="str">
        <f t="shared" si="14"/>
        <v>INDENIZAÇÃO</v>
      </c>
      <c r="BJ174" s="98" t="str">
        <f t="shared" si="15"/>
        <v>NÃO</v>
      </c>
      <c r="BK174" s="230" t="s">
        <v>4437</v>
      </c>
      <c r="BL174" s="230" t="s">
        <v>4437</v>
      </c>
      <c r="BM174" s="230" t="s">
        <v>4437</v>
      </c>
      <c r="BN174" s="219" t="s">
        <v>4425</v>
      </c>
      <c r="BO174" s="219" t="s">
        <v>4425</v>
      </c>
      <c r="BP174" s="202">
        <v>46195</v>
      </c>
      <c r="BQ174" s="219" t="s">
        <v>4425</v>
      </c>
      <c r="BR174" s="232" t="s">
        <v>4435</v>
      </c>
    </row>
    <row r="175" spans="1:73" s="240" customFormat="1" ht="27" customHeight="1">
      <c r="A175" s="197">
        <v>171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5177</v>
      </c>
      <c r="G175" s="207" t="s">
        <v>4484</v>
      </c>
      <c r="H175" s="207" t="s">
        <v>4401</v>
      </c>
      <c r="I175" s="207" t="s">
        <v>4402</v>
      </c>
      <c r="J175" s="215" t="s">
        <v>5178</v>
      </c>
      <c r="K175" s="215" t="s">
        <v>5179</v>
      </c>
      <c r="L175" s="215" t="s">
        <v>5180</v>
      </c>
      <c r="M175" s="207" t="s">
        <v>4405</v>
      </c>
      <c r="N175" s="207" t="s">
        <v>4442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5178</v>
      </c>
      <c r="AB175" s="215" t="s">
        <v>5179</v>
      </c>
      <c r="AC175" s="215" t="s">
        <v>5180</v>
      </c>
      <c r="AD175" s="207" t="s">
        <v>4402</v>
      </c>
      <c r="AE175" s="207" t="s">
        <v>4405</v>
      </c>
      <c r="AF175" s="218">
        <v>81479.28</v>
      </c>
      <c r="AG175" s="218">
        <v>81479.28</v>
      </c>
      <c r="AH175" s="207" t="s">
        <v>4422</v>
      </c>
      <c r="AI175" s="214" t="s">
        <v>4411</v>
      </c>
      <c r="AJ175" s="207">
        <v>152696502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4423</v>
      </c>
      <c r="AT175" s="207"/>
      <c r="AU175" s="220" t="s">
        <v>5181</v>
      </c>
      <c r="AV175" s="207" t="s">
        <v>4425</v>
      </c>
      <c r="AW175" s="207" t="s">
        <v>4425</v>
      </c>
      <c r="AX175" s="207" t="s">
        <v>4425</v>
      </c>
      <c r="AY175" s="207" t="s">
        <v>4425</v>
      </c>
      <c r="AZ175" s="202">
        <v>46153</v>
      </c>
      <c r="BA175" s="207" t="s">
        <v>4425</v>
      </c>
      <c r="BB175" s="207" t="s">
        <v>4425</v>
      </c>
      <c r="BC175" s="202">
        <v>46171</v>
      </c>
      <c r="BD175" s="227">
        <v>46171</v>
      </c>
      <c r="BE175" s="227" t="s">
        <v>4435</v>
      </c>
      <c r="BF175" s="236" t="s">
        <v>4436</v>
      </c>
      <c r="BG175" s="237" t="s">
        <v>4425</v>
      </c>
      <c r="BH175" s="321">
        <f t="shared" si="13"/>
        <v>59</v>
      </c>
      <c r="BI175" s="98" t="str">
        <f t="shared" si="14"/>
        <v>INDENIZAÇÃO</v>
      </c>
      <c r="BJ175" s="98" t="str">
        <f t="shared" si="15"/>
        <v>NÃO</v>
      </c>
      <c r="BK175" s="238" t="s">
        <v>4437</v>
      </c>
      <c r="BL175" s="238" t="s">
        <v>4437</v>
      </c>
      <c r="BM175" s="238" t="s">
        <v>4437</v>
      </c>
      <c r="BN175" s="219" t="s">
        <v>4425</v>
      </c>
      <c r="BO175" s="219" t="s">
        <v>4425</v>
      </c>
      <c r="BP175" s="202">
        <v>46195</v>
      </c>
      <c r="BQ175" s="219" t="s">
        <v>4425</v>
      </c>
      <c r="BR175" s="232" t="s">
        <v>4435</v>
      </c>
    </row>
    <row r="176" spans="1:73" s="240" customFormat="1" ht="27" customHeight="1">
      <c r="A176" s="207">
        <v>172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5182</v>
      </c>
      <c r="G176" s="207" t="s">
        <v>4400</v>
      </c>
      <c r="H176" s="207" t="s">
        <v>4401</v>
      </c>
      <c r="I176" s="207" t="s">
        <v>4402</v>
      </c>
      <c r="J176" s="215" t="s">
        <v>5183</v>
      </c>
      <c r="K176" s="215" t="s">
        <v>5184</v>
      </c>
      <c r="L176" s="215" t="s">
        <v>5185</v>
      </c>
      <c r="M176" s="207" t="s">
        <v>4405</v>
      </c>
      <c r="N176" s="207" t="s">
        <v>4442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5183</v>
      </c>
      <c r="AB176" s="215" t="s">
        <v>5184</v>
      </c>
      <c r="AC176" s="215" t="s">
        <v>5185</v>
      </c>
      <c r="AD176" s="207" t="s">
        <v>4402</v>
      </c>
      <c r="AE176" s="207" t="s">
        <v>4405</v>
      </c>
      <c r="AF176" s="218">
        <v>74617.63</v>
      </c>
      <c r="AG176" s="218">
        <v>74617.63</v>
      </c>
      <c r="AH176" s="207" t="s">
        <v>4422</v>
      </c>
      <c r="AI176" s="214" t="s">
        <v>4411</v>
      </c>
      <c r="AJ176" s="207">
        <v>153001375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4423</v>
      </c>
      <c r="AT176" s="207"/>
      <c r="AU176" s="220" t="s">
        <v>5186</v>
      </c>
      <c r="AV176" s="207" t="s">
        <v>4425</v>
      </c>
      <c r="AW176" s="207" t="s">
        <v>4425</v>
      </c>
      <c r="AX176" s="250" t="s">
        <v>4425</v>
      </c>
      <c r="AY176" s="197" t="s">
        <v>4425</v>
      </c>
      <c r="AZ176" s="202">
        <v>46150</v>
      </c>
      <c r="BA176" s="160" t="s">
        <v>4425</v>
      </c>
      <c r="BB176" s="207" t="s">
        <v>4425</v>
      </c>
      <c r="BC176" s="202">
        <v>46160</v>
      </c>
      <c r="BD176" s="227">
        <v>46160</v>
      </c>
      <c r="BE176" s="227" t="s">
        <v>4435</v>
      </c>
      <c r="BF176" s="228" t="s">
        <v>4436</v>
      </c>
      <c r="BG176" s="229" t="s">
        <v>4425</v>
      </c>
      <c r="BH176" s="321">
        <f t="shared" si="13"/>
        <v>48</v>
      </c>
      <c r="BI176" s="98" t="str">
        <f t="shared" si="14"/>
        <v>INDENIZAÇÃO</v>
      </c>
      <c r="BJ176" s="98" t="str">
        <f t="shared" si="15"/>
        <v>NÃO</v>
      </c>
      <c r="BK176" s="230" t="s">
        <v>4437</v>
      </c>
      <c r="BL176" s="230" t="s">
        <v>4437</v>
      </c>
      <c r="BM176" s="230" t="s">
        <v>4437</v>
      </c>
      <c r="BN176" s="219" t="s">
        <v>4425</v>
      </c>
      <c r="BO176" s="219" t="s">
        <v>4425</v>
      </c>
      <c r="BP176" s="202">
        <v>46195</v>
      </c>
      <c r="BQ176" s="219" t="s">
        <v>4425</v>
      </c>
      <c r="BR176" s="232" t="s">
        <v>4435</v>
      </c>
    </row>
    <row r="177" spans="1:112" s="240" customFormat="1" ht="27" customHeight="1">
      <c r="A177" s="207">
        <v>173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5187</v>
      </c>
      <c r="G177" s="207" t="s">
        <v>4400</v>
      </c>
      <c r="H177" s="207" t="s">
        <v>4401</v>
      </c>
      <c r="I177" s="207" t="s">
        <v>4402</v>
      </c>
      <c r="J177" s="215" t="s">
        <v>4487</v>
      </c>
      <c r="K177" s="215" t="s">
        <v>4488</v>
      </c>
      <c r="L177" s="215" t="s">
        <v>4489</v>
      </c>
      <c r="M177" s="207" t="s">
        <v>4405</v>
      </c>
      <c r="N177" s="207" t="s">
        <v>4406</v>
      </c>
      <c r="O177" s="202">
        <v>46084</v>
      </c>
      <c r="P177" s="202" t="s">
        <v>4407</v>
      </c>
      <c r="Q177" s="202">
        <v>46083</v>
      </c>
      <c r="R177" s="203">
        <v>46084</v>
      </c>
      <c r="S177" s="203">
        <v>46087</v>
      </c>
      <c r="T177" s="203">
        <v>46090</v>
      </c>
      <c r="U177" s="202" t="s">
        <v>4408</v>
      </c>
      <c r="V177" s="202" t="s">
        <v>4408</v>
      </c>
      <c r="W177" s="202">
        <v>46101</v>
      </c>
      <c r="X177" s="202">
        <v>46101</v>
      </c>
      <c r="Y177" s="202"/>
      <c r="Z177" s="202"/>
      <c r="AA177" s="215" t="s">
        <v>4487</v>
      </c>
      <c r="AB177" s="215" t="s">
        <v>4488</v>
      </c>
      <c r="AC177" s="215" t="s">
        <v>4489</v>
      </c>
      <c r="AD177" s="217" t="s">
        <v>4402</v>
      </c>
      <c r="AE177" s="207" t="s">
        <v>4405</v>
      </c>
      <c r="AF177" s="218" t="s">
        <v>4409</v>
      </c>
      <c r="AG177" s="218" t="s">
        <v>4409</v>
      </c>
      <c r="AH177" s="207" t="s">
        <v>4410</v>
      </c>
      <c r="AI177" s="214" t="s">
        <v>4411</v>
      </c>
      <c r="AJ177" s="207"/>
      <c r="AK177" s="316">
        <v>46080</v>
      </c>
      <c r="AL177" s="316">
        <v>46080</v>
      </c>
      <c r="AM177" s="316">
        <v>46080</v>
      </c>
      <c r="AN177" s="316">
        <v>46080</v>
      </c>
      <c r="AO177" s="316">
        <v>46080</v>
      </c>
      <c r="AP177" s="316">
        <v>46080</v>
      </c>
      <c r="AQ177" s="314"/>
      <c r="AR177" s="315" t="str">
        <f t="shared" si="12"/>
        <v>FINALIZADO</v>
      </c>
      <c r="AS177" s="207"/>
      <c r="AT177" s="219"/>
      <c r="AU177" s="220"/>
      <c r="AV177" s="207"/>
      <c r="AW177" s="207"/>
      <c r="AX177" s="228"/>
      <c r="AY177" s="219"/>
      <c r="AZ177" s="219"/>
      <c r="BA177" s="161"/>
      <c r="BB177" s="254"/>
      <c r="BC177" s="219"/>
      <c r="BD177" s="208"/>
      <c r="BE177" s="203"/>
      <c r="BF177" s="219"/>
      <c r="BG177" s="219"/>
      <c r="BH177" s="321" t="str">
        <f t="shared" si="13"/>
        <v/>
      </c>
      <c r="BI177" s="98" t="str">
        <f t="shared" si="14"/>
        <v>AA</v>
      </c>
      <c r="BJ177" s="98" t="str">
        <f t="shared" si="15"/>
        <v>NÃO</v>
      </c>
      <c r="BK177" s="219"/>
      <c r="BL177" s="221"/>
      <c r="BM177" s="221"/>
      <c r="BN177" s="219"/>
      <c r="BO177" s="219"/>
      <c r="BP177" s="219"/>
      <c r="BQ177" s="219"/>
      <c r="BR177" s="222"/>
      <c r="BS177" s="223"/>
      <c r="BT177" s="223"/>
    </row>
    <row r="178" spans="1:112" s="240" customFormat="1" ht="27" customHeight="1">
      <c r="A178" s="207">
        <v>174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5188</v>
      </c>
      <c r="G178" s="207" t="s">
        <v>4400</v>
      </c>
      <c r="H178" s="207" t="s">
        <v>4401</v>
      </c>
      <c r="I178" s="217" t="s">
        <v>4402</v>
      </c>
      <c r="J178" s="215" t="s">
        <v>5189</v>
      </c>
      <c r="K178" s="215" t="s">
        <v>5190</v>
      </c>
      <c r="L178" s="215" t="s">
        <v>5191</v>
      </c>
      <c r="M178" s="207" t="s">
        <v>4405</v>
      </c>
      <c r="N178" s="207" t="s">
        <v>4406</v>
      </c>
      <c r="O178" s="202">
        <v>46106</v>
      </c>
      <c r="P178" s="202" t="s">
        <v>4407</v>
      </c>
      <c r="Q178" s="202">
        <v>46106</v>
      </c>
      <c r="R178" s="202">
        <v>46107</v>
      </c>
      <c r="S178" s="202">
        <v>46111</v>
      </c>
      <c r="T178" s="202">
        <v>46087</v>
      </c>
      <c r="U178" s="202" t="s">
        <v>4408</v>
      </c>
      <c r="V178" s="202" t="s">
        <v>4408</v>
      </c>
      <c r="W178" s="202">
        <v>46132</v>
      </c>
      <c r="X178" s="202">
        <v>46129</v>
      </c>
      <c r="Y178" s="203"/>
      <c r="Z178" s="219"/>
      <c r="AA178" s="215" t="s">
        <v>5189</v>
      </c>
      <c r="AB178" s="215" t="s">
        <v>5190</v>
      </c>
      <c r="AC178" s="215" t="s">
        <v>5191</v>
      </c>
      <c r="AD178" s="233" t="s">
        <v>4402</v>
      </c>
      <c r="AE178" s="219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46001</v>
      </c>
      <c r="AL178" s="316">
        <v>46001</v>
      </c>
      <c r="AM178" s="316">
        <v>46001</v>
      </c>
      <c r="AN178" s="316">
        <v>46001</v>
      </c>
      <c r="AO178" s="316">
        <v>46001</v>
      </c>
      <c r="AP178" s="316">
        <v>46001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219"/>
      <c r="BB178" s="219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</row>
    <row r="179" spans="1:112" s="240" customFormat="1" ht="27" customHeight="1">
      <c r="A179" s="197">
        <v>175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5192</v>
      </c>
      <c r="G179" s="207" t="s">
        <v>4546</v>
      </c>
      <c r="H179" s="207" t="s">
        <v>4546</v>
      </c>
      <c r="I179" s="233" t="s">
        <v>4421</v>
      </c>
      <c r="J179" s="215" t="s">
        <v>5193</v>
      </c>
      <c r="K179" s="215" t="s">
        <v>5194</v>
      </c>
      <c r="L179" s="215" t="s">
        <v>5195</v>
      </c>
      <c r="M179" s="207" t="s">
        <v>4405</v>
      </c>
      <c r="N179" s="207" t="s">
        <v>4442</v>
      </c>
      <c r="O179" s="202" t="s">
        <v>4409</v>
      </c>
      <c r="P179" s="202" t="s">
        <v>4409</v>
      </c>
      <c r="Q179" s="202" t="s">
        <v>4409</v>
      </c>
      <c r="R179" s="202" t="s">
        <v>4409</v>
      </c>
      <c r="S179" s="202" t="s">
        <v>4409</v>
      </c>
      <c r="T179" s="202" t="s">
        <v>4409</v>
      </c>
      <c r="U179" s="202" t="s">
        <v>4409</v>
      </c>
      <c r="V179" s="202" t="s">
        <v>4409</v>
      </c>
      <c r="W179" s="202" t="s">
        <v>4409</v>
      </c>
      <c r="X179" s="202" t="s">
        <v>4409</v>
      </c>
      <c r="Y179" s="202"/>
      <c r="Z179" s="202"/>
      <c r="AA179" s="215" t="s">
        <v>5193</v>
      </c>
      <c r="AB179" s="215" t="s">
        <v>5194</v>
      </c>
      <c r="AC179" s="215" t="s">
        <v>5196</v>
      </c>
      <c r="AD179" s="233" t="s">
        <v>4421</v>
      </c>
      <c r="AE179" s="207" t="s">
        <v>4405</v>
      </c>
      <c r="AF179" s="218">
        <v>7834.78</v>
      </c>
      <c r="AG179" s="218">
        <v>7834.78</v>
      </c>
      <c r="AH179" s="207" t="s">
        <v>4422</v>
      </c>
      <c r="AI179" s="214" t="s">
        <v>4411</v>
      </c>
      <c r="AJ179" s="207">
        <v>153001719</v>
      </c>
      <c r="AK179" s="316">
        <v>46112</v>
      </c>
      <c r="AL179" s="316">
        <v>46112</v>
      </c>
      <c r="AM179" s="316">
        <v>46112</v>
      </c>
      <c r="AN179" s="316">
        <v>46112</v>
      </c>
      <c r="AO179" s="316">
        <v>46112</v>
      </c>
      <c r="AP179" s="316">
        <v>46112</v>
      </c>
      <c r="AQ179" s="314"/>
      <c r="AR179" s="315" t="str">
        <f t="shared" si="12"/>
        <v>FINALIZADO</v>
      </c>
      <c r="AS179" s="207" t="s">
        <v>4423</v>
      </c>
      <c r="AT179" s="219"/>
      <c r="AU179" s="220" t="s">
        <v>5197</v>
      </c>
      <c r="AV179" s="207" t="s">
        <v>4425</v>
      </c>
      <c r="AW179" s="207" t="s">
        <v>4425</v>
      </c>
      <c r="AX179" s="207" t="s">
        <v>4425</v>
      </c>
      <c r="AY179" s="207" t="s">
        <v>4425</v>
      </c>
      <c r="AZ179" s="202">
        <v>46174</v>
      </c>
      <c r="BA179" s="207" t="s">
        <v>4425</v>
      </c>
      <c r="BB179" s="207" t="s">
        <v>4425</v>
      </c>
      <c r="BC179" s="202">
        <v>46182</v>
      </c>
      <c r="BD179" s="227">
        <v>46182</v>
      </c>
      <c r="BE179" s="235" t="s">
        <v>4435</v>
      </c>
      <c r="BF179" s="236" t="s">
        <v>4436</v>
      </c>
      <c r="BG179" s="237" t="s">
        <v>4425</v>
      </c>
      <c r="BH179" s="321">
        <f t="shared" si="13"/>
        <v>70</v>
      </c>
      <c r="BI179" s="98" t="str">
        <f t="shared" si="14"/>
        <v>INDENIZAÇÃO</v>
      </c>
      <c r="BJ179" s="98" t="str">
        <f t="shared" si="15"/>
        <v>NÃO</v>
      </c>
      <c r="BK179" s="238" t="s">
        <v>4437</v>
      </c>
      <c r="BL179" s="238" t="s">
        <v>4437</v>
      </c>
      <c r="BM179" s="238" t="s">
        <v>4437</v>
      </c>
      <c r="BN179" s="207" t="s">
        <v>4425</v>
      </c>
      <c r="BO179" s="207" t="s">
        <v>4425</v>
      </c>
      <c r="BP179" s="202">
        <v>46224</v>
      </c>
      <c r="BQ179" s="207" t="s">
        <v>4425</v>
      </c>
      <c r="BR179" s="232" t="s">
        <v>4435</v>
      </c>
      <c r="BS179" s="223"/>
      <c r="BU179" s="161"/>
      <c r="BV179" s="161"/>
      <c r="BW179" s="161"/>
      <c r="BX179" s="161"/>
      <c r="BY179" s="161"/>
      <c r="BZ179" s="161"/>
      <c r="CA179" s="161"/>
      <c r="CB179" s="161"/>
      <c r="CC179" s="161"/>
      <c r="CD179" s="161"/>
      <c r="CE179" s="161"/>
      <c r="CF179" s="161"/>
      <c r="CG179" s="161"/>
      <c r="CH179" s="161"/>
      <c r="CI179" s="161"/>
      <c r="CJ179" s="161"/>
      <c r="CK179" s="161"/>
      <c r="CL179" s="161"/>
      <c r="CM179" s="161"/>
      <c r="CN179" s="161"/>
      <c r="CO179" s="161"/>
      <c r="CP179" s="161"/>
      <c r="CQ179" s="161"/>
      <c r="CR179" s="161"/>
      <c r="CS179" s="161"/>
      <c r="CT179" s="161"/>
      <c r="CU179" s="161"/>
      <c r="CV179" s="161"/>
      <c r="CW179" s="161"/>
      <c r="CX179" s="161"/>
      <c r="CY179" s="161"/>
      <c r="CZ179" s="161"/>
      <c r="DA179" s="161"/>
      <c r="DB179" s="161"/>
      <c r="DC179" s="161"/>
      <c r="DD179" s="161"/>
      <c r="DE179" s="161"/>
      <c r="DF179" s="161"/>
      <c r="DG179" s="161"/>
      <c r="DH179" s="161"/>
    </row>
    <row r="180" spans="1:112" s="240" customFormat="1" ht="27" customHeight="1">
      <c r="A180" s="197">
        <v>176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5198</v>
      </c>
      <c r="G180" s="207" t="s">
        <v>4400</v>
      </c>
      <c r="H180" s="207" t="s">
        <v>4401</v>
      </c>
      <c r="I180" s="160" t="s">
        <v>4402</v>
      </c>
      <c r="J180" s="215" t="s">
        <v>5199</v>
      </c>
      <c r="K180" s="215" t="s">
        <v>5200</v>
      </c>
      <c r="L180" s="215" t="s">
        <v>5201</v>
      </c>
      <c r="M180" s="207" t="s">
        <v>4405</v>
      </c>
      <c r="N180" s="207" t="s">
        <v>4442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5199</v>
      </c>
      <c r="AB180" s="215" t="s">
        <v>5200</v>
      </c>
      <c r="AC180" s="215" t="s">
        <v>5201</v>
      </c>
      <c r="AD180" s="207" t="s">
        <v>4402</v>
      </c>
      <c r="AE180" s="207" t="s">
        <v>4405</v>
      </c>
      <c r="AF180" s="218">
        <v>100153.32</v>
      </c>
      <c r="AG180" s="218">
        <v>100153.32</v>
      </c>
      <c r="AH180" s="207" t="s">
        <v>4422</v>
      </c>
      <c r="AI180" s="214" t="s">
        <v>4411</v>
      </c>
      <c r="AJ180" s="207">
        <v>153001805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4423</v>
      </c>
      <c r="AT180" s="207"/>
      <c r="AU180" s="220" t="s">
        <v>5202</v>
      </c>
      <c r="AV180" s="207" t="s">
        <v>4425</v>
      </c>
      <c r="AW180" s="207" t="s">
        <v>4425</v>
      </c>
      <c r="AX180" s="250" t="s">
        <v>4425</v>
      </c>
      <c r="AY180" s="207" t="s">
        <v>4425</v>
      </c>
      <c r="AZ180" s="202">
        <v>46150</v>
      </c>
      <c r="BA180" s="207" t="s">
        <v>4425</v>
      </c>
      <c r="BB180" s="207" t="s">
        <v>4425</v>
      </c>
      <c r="BC180" s="202">
        <v>46160</v>
      </c>
      <c r="BD180" s="227">
        <v>46160</v>
      </c>
      <c r="BE180" s="227" t="s">
        <v>4435</v>
      </c>
      <c r="BF180" s="228" t="s">
        <v>4436</v>
      </c>
      <c r="BG180" s="219" t="s">
        <v>4425</v>
      </c>
      <c r="BH180" s="321">
        <f t="shared" si="13"/>
        <v>48</v>
      </c>
      <c r="BI180" s="98" t="str">
        <f t="shared" si="14"/>
        <v>INDENIZAÇÃO</v>
      </c>
      <c r="BJ180" s="98" t="str">
        <f t="shared" si="15"/>
        <v>NÃO</v>
      </c>
      <c r="BK180" s="219" t="s">
        <v>4437</v>
      </c>
      <c r="BL180" s="219" t="s">
        <v>4437</v>
      </c>
      <c r="BM180" s="219" t="s">
        <v>4437</v>
      </c>
      <c r="BN180" s="219" t="s">
        <v>4425</v>
      </c>
      <c r="BO180" s="219" t="s">
        <v>4425</v>
      </c>
      <c r="BP180" s="202">
        <v>46195</v>
      </c>
      <c r="BQ180" s="219" t="s">
        <v>4425</v>
      </c>
      <c r="BR180" s="232" t="s">
        <v>4435</v>
      </c>
      <c r="BS180" s="161"/>
      <c r="BT180" s="161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207">
        <v>177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5203</v>
      </c>
      <c r="G181" s="207" t="s">
        <v>4400</v>
      </c>
      <c r="H181" s="207" t="s">
        <v>4401</v>
      </c>
      <c r="I181" s="207" t="s">
        <v>4402</v>
      </c>
      <c r="J181" s="215" t="s">
        <v>5204</v>
      </c>
      <c r="K181" s="215" t="s">
        <v>5205</v>
      </c>
      <c r="L181" s="215" t="s">
        <v>5206</v>
      </c>
      <c r="M181" s="207" t="s">
        <v>4405</v>
      </c>
      <c r="N181" s="207" t="s">
        <v>4442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5204</v>
      </c>
      <c r="AB181" s="215" t="s">
        <v>5205</v>
      </c>
      <c r="AC181" s="215" t="s">
        <v>5206</v>
      </c>
      <c r="AD181" s="207" t="s">
        <v>4402</v>
      </c>
      <c r="AE181" s="207" t="s">
        <v>4405</v>
      </c>
      <c r="AF181" s="218">
        <v>91984.02</v>
      </c>
      <c r="AG181" s="218">
        <v>91984.02</v>
      </c>
      <c r="AH181" s="207" t="s">
        <v>4422</v>
      </c>
      <c r="AI181" s="214" t="s">
        <v>4411</v>
      </c>
      <c r="AJ181" s="207">
        <v>153001878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4423</v>
      </c>
      <c r="AT181" s="207"/>
      <c r="AU181" s="220" t="s">
        <v>5207</v>
      </c>
      <c r="AV181" s="207" t="s">
        <v>4425</v>
      </c>
      <c r="AW181" s="207" t="s">
        <v>4425</v>
      </c>
      <c r="AX181" s="250" t="s">
        <v>4425</v>
      </c>
      <c r="AY181" s="207" t="s">
        <v>4425</v>
      </c>
      <c r="AZ181" s="202">
        <v>46150</v>
      </c>
      <c r="BA181" s="207" t="s">
        <v>4425</v>
      </c>
      <c r="BB181" s="207" t="s">
        <v>4425</v>
      </c>
      <c r="BC181" s="202">
        <v>46160</v>
      </c>
      <c r="BD181" s="227">
        <v>46160</v>
      </c>
      <c r="BE181" s="227" t="s">
        <v>4435</v>
      </c>
      <c r="BF181" s="228" t="s">
        <v>4436</v>
      </c>
      <c r="BG181" s="219" t="s">
        <v>4425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4437</v>
      </c>
      <c r="BL181" s="219" t="s">
        <v>4437</v>
      </c>
      <c r="BM181" s="219" t="s">
        <v>4437</v>
      </c>
      <c r="BN181" s="219" t="s">
        <v>4425</v>
      </c>
      <c r="BO181" s="219" t="s">
        <v>4425</v>
      </c>
      <c r="BP181" s="202">
        <v>46195</v>
      </c>
      <c r="BQ181" s="219" t="s">
        <v>4425</v>
      </c>
      <c r="BR181" s="232" t="s">
        <v>4435</v>
      </c>
    </row>
    <row r="182" spans="1:112" s="240" customFormat="1" ht="27" customHeight="1">
      <c r="A182" s="207">
        <v>178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5208</v>
      </c>
      <c r="G182" s="207" t="s">
        <v>4400</v>
      </c>
      <c r="H182" s="207" t="s">
        <v>4401</v>
      </c>
      <c r="I182" s="207" t="s">
        <v>4402</v>
      </c>
      <c r="J182" s="215" t="s">
        <v>5209</v>
      </c>
      <c r="K182" s="215" t="s">
        <v>5210</v>
      </c>
      <c r="L182" s="215" t="s">
        <v>5211</v>
      </c>
      <c r="M182" s="207" t="s">
        <v>4405</v>
      </c>
      <c r="N182" s="207" t="s">
        <v>4442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5209</v>
      </c>
      <c r="AB182" s="215" t="s">
        <v>5210</v>
      </c>
      <c r="AC182" s="215" t="s">
        <v>5211</v>
      </c>
      <c r="AD182" s="207" t="s">
        <v>4402</v>
      </c>
      <c r="AE182" s="207" t="s">
        <v>4405</v>
      </c>
      <c r="AF182" s="218">
        <v>177755.43</v>
      </c>
      <c r="AG182" s="218">
        <v>177755.43</v>
      </c>
      <c r="AH182" s="207" t="s">
        <v>4422</v>
      </c>
      <c r="AI182" s="214" t="s">
        <v>4411</v>
      </c>
      <c r="AJ182" s="207">
        <v>153001950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4423</v>
      </c>
      <c r="AT182" s="207"/>
      <c r="AU182" s="220" t="s">
        <v>5212</v>
      </c>
      <c r="AV182" s="207" t="s">
        <v>4425</v>
      </c>
      <c r="AW182" s="207" t="s">
        <v>4425</v>
      </c>
      <c r="AX182" s="250" t="s">
        <v>4425</v>
      </c>
      <c r="AY182" s="207" t="s">
        <v>4425</v>
      </c>
      <c r="AZ182" s="202">
        <v>46153</v>
      </c>
      <c r="BA182" s="207" t="s">
        <v>4425</v>
      </c>
      <c r="BB182" s="207" t="s">
        <v>4425</v>
      </c>
      <c r="BC182" s="202">
        <v>46160</v>
      </c>
      <c r="BD182" s="227">
        <v>46160</v>
      </c>
      <c r="BE182" s="227" t="s">
        <v>4435</v>
      </c>
      <c r="BF182" s="228" t="s">
        <v>4436</v>
      </c>
      <c r="BG182" s="219" t="s">
        <v>4425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4437</v>
      </c>
      <c r="BL182" s="219" t="s">
        <v>4437</v>
      </c>
      <c r="BM182" s="219" t="s">
        <v>4437</v>
      </c>
      <c r="BN182" s="219" t="s">
        <v>4425</v>
      </c>
      <c r="BO182" s="219" t="s">
        <v>4425</v>
      </c>
      <c r="BP182" s="202">
        <v>46195</v>
      </c>
      <c r="BQ182" s="219" t="s">
        <v>4425</v>
      </c>
      <c r="BR182" s="232" t="s">
        <v>4435</v>
      </c>
    </row>
    <row r="183" spans="1:112" s="240" customFormat="1" ht="27" customHeight="1">
      <c r="A183" s="207">
        <v>179</v>
      </c>
      <c r="B183" s="197" t="s">
        <v>4396</v>
      </c>
      <c r="C183" s="207" t="s">
        <v>4413</v>
      </c>
      <c r="D183" s="207">
        <v>1</v>
      </c>
      <c r="E183" s="250" t="s">
        <v>4398</v>
      </c>
      <c r="F183" s="214" t="s">
        <v>5213</v>
      </c>
      <c r="G183" s="207" t="s">
        <v>4400</v>
      </c>
      <c r="H183" s="207" t="s">
        <v>4401</v>
      </c>
      <c r="I183" s="207" t="s">
        <v>4402</v>
      </c>
      <c r="J183" s="215" t="s">
        <v>5214</v>
      </c>
      <c r="K183" s="215" t="s">
        <v>5215</v>
      </c>
      <c r="L183" s="215" t="s">
        <v>5216</v>
      </c>
      <c r="M183" s="207" t="s">
        <v>4405</v>
      </c>
      <c r="N183" s="207" t="s">
        <v>4432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5214</v>
      </c>
      <c r="AB183" s="215" t="s">
        <v>5215</v>
      </c>
      <c r="AC183" s="215" t="s">
        <v>5216</v>
      </c>
      <c r="AD183" s="207" t="s">
        <v>5217</v>
      </c>
      <c r="AE183" s="207" t="s">
        <v>4405</v>
      </c>
      <c r="AF183" s="218">
        <v>53046.34</v>
      </c>
      <c r="AG183" s="218">
        <v>60000</v>
      </c>
      <c r="AH183" s="207" t="s">
        <v>4433</v>
      </c>
      <c r="AI183" s="214" t="s">
        <v>4411</v>
      </c>
      <c r="AJ183" s="207">
        <v>159894245</v>
      </c>
      <c r="AK183" s="316">
        <v>46206</v>
      </c>
      <c r="AL183" s="316">
        <v>46206</v>
      </c>
      <c r="AM183" s="316">
        <v>46206</v>
      </c>
      <c r="AN183" s="316">
        <v>46206</v>
      </c>
      <c r="AO183" s="316">
        <v>46206</v>
      </c>
      <c r="AP183" s="316">
        <v>46206</v>
      </c>
      <c r="AQ183" s="314"/>
      <c r="AR183" s="315" t="str">
        <f t="shared" si="12"/>
        <v>FINALIZADO</v>
      </c>
      <c r="AS183" s="207" t="s">
        <v>4423</v>
      </c>
      <c r="AT183" s="207"/>
      <c r="AU183" s="220" t="s">
        <v>5218</v>
      </c>
      <c r="AV183" s="219" t="s">
        <v>4425</v>
      </c>
      <c r="AW183" s="207" t="s">
        <v>4425</v>
      </c>
      <c r="AX183" s="257" t="s">
        <v>4426</v>
      </c>
      <c r="AY183" s="245"/>
      <c r="AZ183" s="227"/>
      <c r="BA183" s="228"/>
      <c r="BB183" s="268"/>
      <c r="BC183" s="227"/>
      <c r="BD183" s="226"/>
      <c r="BE183" s="227"/>
      <c r="BF183" s="228" t="s">
        <v>4400</v>
      </c>
      <c r="BG183" s="219"/>
      <c r="BH183" s="321" t="str">
        <f t="shared" si="13"/>
        <v/>
      </c>
      <c r="BI183" s="98" t="str">
        <f t="shared" si="14"/>
        <v>INDENIZAÇÃO</v>
      </c>
      <c r="BJ183" s="98" t="str">
        <f t="shared" si="15"/>
        <v>NÃO</v>
      </c>
      <c r="BK183" s="219"/>
      <c r="BL183" s="219"/>
      <c r="BM183" s="219"/>
      <c r="BN183" s="257"/>
      <c r="BO183" s="257"/>
      <c r="BP183" s="257"/>
      <c r="BQ183" s="257"/>
      <c r="BR183" s="258"/>
    </row>
    <row r="184" spans="1:112" s="240" customFormat="1" ht="27" customHeight="1">
      <c r="A184" s="197">
        <v>180</v>
      </c>
      <c r="B184" s="197" t="s">
        <v>4396</v>
      </c>
      <c r="C184" s="207" t="s">
        <v>4413</v>
      </c>
      <c r="D184" s="207">
        <v>1</v>
      </c>
      <c r="E184" s="207" t="s">
        <v>4398</v>
      </c>
      <c r="F184" s="214" t="s">
        <v>5219</v>
      </c>
      <c r="G184" s="207" t="s">
        <v>4400</v>
      </c>
      <c r="H184" s="207" t="s">
        <v>4401</v>
      </c>
      <c r="I184" s="207" t="s">
        <v>4402</v>
      </c>
      <c r="J184" s="215" t="s">
        <v>5220</v>
      </c>
      <c r="K184" s="215" t="s">
        <v>4440</v>
      </c>
      <c r="L184" s="215" t="s">
        <v>5221</v>
      </c>
      <c r="M184" s="207" t="s">
        <v>4405</v>
      </c>
      <c r="N184" s="207" t="s">
        <v>4442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5220</v>
      </c>
      <c r="AB184" s="215" t="s">
        <v>4440</v>
      </c>
      <c r="AC184" s="215" t="s">
        <v>5221</v>
      </c>
      <c r="AD184" s="207" t="s">
        <v>4402</v>
      </c>
      <c r="AE184" s="207" t="s">
        <v>4405</v>
      </c>
      <c r="AF184" s="218">
        <v>4719.9399999999996</v>
      </c>
      <c r="AG184" s="218">
        <v>34719.94</v>
      </c>
      <c r="AH184" s="207" t="s">
        <v>4422</v>
      </c>
      <c r="AI184" s="214" t="s">
        <v>4411</v>
      </c>
      <c r="AJ184" s="207">
        <v>152696620</v>
      </c>
      <c r="AK184" s="316">
        <v>46188</v>
      </c>
      <c r="AL184" s="316">
        <v>46188</v>
      </c>
      <c r="AM184" s="316">
        <v>46188</v>
      </c>
      <c r="AN184" s="316">
        <v>46188</v>
      </c>
      <c r="AO184" s="316">
        <v>46188</v>
      </c>
      <c r="AP184" s="316">
        <v>46188</v>
      </c>
      <c r="AQ184" s="314"/>
      <c r="AR184" s="315" t="str">
        <f t="shared" si="12"/>
        <v>FINALIZADO</v>
      </c>
      <c r="AS184" s="207" t="s">
        <v>4423</v>
      </c>
      <c r="AT184" s="219"/>
      <c r="AU184" s="220" t="s">
        <v>5222</v>
      </c>
      <c r="AV184" s="197" t="s">
        <v>4818</v>
      </c>
      <c r="AW184" s="207" t="s">
        <v>4818</v>
      </c>
      <c r="AX184" s="207" t="s">
        <v>4818</v>
      </c>
      <c r="AY184" s="207" t="s">
        <v>4818</v>
      </c>
      <c r="AZ184" s="202">
        <v>46233</v>
      </c>
      <c r="BA184" s="207" t="s">
        <v>4818</v>
      </c>
      <c r="BB184" s="207" t="s">
        <v>4818</v>
      </c>
      <c r="BC184" s="202">
        <v>46237</v>
      </c>
      <c r="BD184" s="226">
        <v>46237</v>
      </c>
      <c r="BE184" s="257" t="s">
        <v>4435</v>
      </c>
      <c r="BF184" s="257" t="s">
        <v>4436</v>
      </c>
      <c r="BG184" s="219" t="s">
        <v>4425</v>
      </c>
      <c r="BH184" s="321">
        <f t="shared" si="13"/>
        <v>49</v>
      </c>
      <c r="BI184" s="98" t="str">
        <f t="shared" si="14"/>
        <v>INDENIZAÇÃO</v>
      </c>
      <c r="BJ184" s="98" t="str">
        <f t="shared" si="15"/>
        <v>NÃO</v>
      </c>
      <c r="BK184" s="219" t="s">
        <v>4437</v>
      </c>
      <c r="BL184" s="219" t="s">
        <v>4437</v>
      </c>
      <c r="BM184" s="219" t="s">
        <v>4437</v>
      </c>
      <c r="BN184" s="250" t="s">
        <v>4425</v>
      </c>
      <c r="BO184" s="250" t="s">
        <v>4425</v>
      </c>
      <c r="BP184" s="202">
        <v>46269</v>
      </c>
      <c r="BQ184" s="257" t="s">
        <v>4819</v>
      </c>
      <c r="BR184" s="258"/>
      <c r="BS184" s="223"/>
    </row>
    <row r="185" spans="1:112" s="240" customFormat="1" ht="27" customHeight="1">
      <c r="A185" s="197">
        <v>181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5223</v>
      </c>
      <c r="G185" s="207" t="s">
        <v>4400</v>
      </c>
      <c r="H185" s="207" t="s">
        <v>4401</v>
      </c>
      <c r="I185" s="207" t="s">
        <v>4402</v>
      </c>
      <c r="J185" s="215" t="s">
        <v>5224</v>
      </c>
      <c r="K185" s="215" t="s">
        <v>5225</v>
      </c>
      <c r="L185" s="215" t="s">
        <v>5226</v>
      </c>
      <c r="M185" s="207" t="s">
        <v>4405</v>
      </c>
      <c r="N185" s="207" t="s">
        <v>4406</v>
      </c>
      <c r="O185" s="202">
        <v>46126</v>
      </c>
      <c r="P185" s="202" t="s">
        <v>4407</v>
      </c>
      <c r="Q185" s="203">
        <v>46126</v>
      </c>
      <c r="R185" s="203">
        <v>46126</v>
      </c>
      <c r="S185" s="203">
        <v>46136</v>
      </c>
      <c r="T185" s="203">
        <v>46140</v>
      </c>
      <c r="U185" s="203" t="s">
        <v>4408</v>
      </c>
      <c r="V185" s="203" t="s">
        <v>4408</v>
      </c>
      <c r="W185" s="202">
        <v>46153</v>
      </c>
      <c r="X185" s="203">
        <v>46155</v>
      </c>
      <c r="Y185" s="203"/>
      <c r="Z185" s="219"/>
      <c r="AA185" s="215" t="s">
        <v>5224</v>
      </c>
      <c r="AB185" s="215" t="s">
        <v>5225</v>
      </c>
      <c r="AC185" s="215" t="s">
        <v>5226</v>
      </c>
      <c r="AD185" s="233" t="s">
        <v>4402</v>
      </c>
      <c r="AE185" s="219" t="s">
        <v>4405</v>
      </c>
      <c r="AF185" s="218" t="s">
        <v>4409</v>
      </c>
      <c r="AG185" s="218" t="s">
        <v>4409</v>
      </c>
      <c r="AH185" s="207" t="s">
        <v>4410</v>
      </c>
      <c r="AI185" s="214" t="s">
        <v>4411</v>
      </c>
      <c r="AJ185" s="207"/>
      <c r="AK185" s="317">
        <v>46134</v>
      </c>
      <c r="AL185" s="317">
        <v>46134</v>
      </c>
      <c r="AM185" s="317">
        <v>46134</v>
      </c>
      <c r="AN185" s="317">
        <v>46134</v>
      </c>
      <c r="AO185" s="317">
        <v>46134</v>
      </c>
      <c r="AP185" s="317">
        <v>46134</v>
      </c>
      <c r="AQ185" s="314"/>
      <c r="AR185" s="315" t="str">
        <f t="shared" si="12"/>
        <v>FINALIZADO</v>
      </c>
      <c r="AS185" s="207"/>
      <c r="AT185" s="219"/>
      <c r="AU185" s="220"/>
      <c r="AV185" s="207"/>
      <c r="AW185" s="207"/>
      <c r="AX185" s="228"/>
      <c r="AY185" s="219"/>
      <c r="AZ185" s="219"/>
      <c r="BA185" s="219"/>
      <c r="BB185" s="219"/>
      <c r="BC185" s="219"/>
      <c r="BD185" s="208"/>
      <c r="BE185" s="203"/>
      <c r="BF185" s="219"/>
      <c r="BG185" s="219"/>
      <c r="BH185" s="321" t="str">
        <f t="shared" si="13"/>
        <v/>
      </c>
      <c r="BI185" s="98" t="str">
        <f t="shared" si="14"/>
        <v>AA</v>
      </c>
      <c r="BJ185" s="98" t="str">
        <f t="shared" si="15"/>
        <v>NÃO</v>
      </c>
      <c r="BK185" s="219"/>
      <c r="BL185" s="221"/>
      <c r="BM185" s="221"/>
      <c r="BN185" s="219"/>
      <c r="BO185" s="219"/>
      <c r="BP185" s="219"/>
      <c r="BQ185" s="219"/>
      <c r="BR185" s="222"/>
    </row>
    <row r="186" spans="1:112" s="240" customFormat="1" ht="27" customHeight="1">
      <c r="A186" s="207">
        <v>182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5227</v>
      </c>
      <c r="G186" s="207" t="s">
        <v>4400</v>
      </c>
      <c r="H186" s="207" t="s">
        <v>4401</v>
      </c>
      <c r="I186" s="207" t="s">
        <v>4402</v>
      </c>
      <c r="J186" s="215" t="s">
        <v>5228</v>
      </c>
      <c r="K186" s="215" t="s">
        <v>5229</v>
      </c>
      <c r="L186" s="215" t="s">
        <v>5230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46164</v>
      </c>
      <c r="Y186" s="203"/>
      <c r="Z186" s="219"/>
      <c r="AA186" s="215" t="s">
        <v>5228</v>
      </c>
      <c r="AB186" s="215" t="s">
        <v>5229</v>
      </c>
      <c r="AC186" s="215" t="s">
        <v>5230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  <c r="BS186" s="161"/>
      <c r="BT186" s="161"/>
      <c r="BU186" s="161"/>
      <c r="BV186" s="161"/>
      <c r="BW186" s="161"/>
      <c r="BX186" s="161"/>
      <c r="BY186" s="161"/>
      <c r="BZ186" s="161"/>
      <c r="CA186" s="161"/>
      <c r="CB186" s="161"/>
      <c r="CC186" s="161"/>
      <c r="CD186" s="161"/>
      <c r="CE186" s="161"/>
      <c r="CF186" s="161"/>
      <c r="CG186" s="161"/>
      <c r="CH186" s="161"/>
      <c r="CI186" s="161"/>
      <c r="CJ186" s="161"/>
      <c r="CK186" s="161"/>
      <c r="CL186" s="161"/>
      <c r="CM186" s="161"/>
      <c r="CN186" s="161"/>
      <c r="CO186" s="161"/>
      <c r="CP186" s="161"/>
      <c r="CQ186" s="161"/>
      <c r="CR186" s="161"/>
      <c r="CS186" s="161"/>
      <c r="CT186" s="161"/>
      <c r="CU186" s="161"/>
      <c r="CV186" s="161"/>
      <c r="CW186" s="161"/>
      <c r="CX186" s="161"/>
      <c r="CY186" s="161"/>
      <c r="CZ186" s="161"/>
      <c r="DA186" s="161"/>
      <c r="DB186" s="161"/>
      <c r="DC186" s="161"/>
      <c r="DD186" s="161"/>
      <c r="DE186" s="161"/>
      <c r="DF186" s="161"/>
      <c r="DG186" s="161"/>
      <c r="DH186" s="161"/>
    </row>
    <row r="187" spans="1:112" s="240" customFormat="1" ht="27" customHeight="1">
      <c r="A187" s="207">
        <v>183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5231</v>
      </c>
      <c r="G187" s="207" t="s">
        <v>4400</v>
      </c>
      <c r="H187" s="207" t="s">
        <v>4401</v>
      </c>
      <c r="I187" s="207" t="s">
        <v>4402</v>
      </c>
      <c r="J187" s="215" t="s">
        <v>5232</v>
      </c>
      <c r="K187" s="215" t="s">
        <v>5233</v>
      </c>
      <c r="L187" s="215" t="s">
        <v>5234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/>
      <c r="Y187" s="203"/>
      <c r="Z187" s="219"/>
      <c r="AA187" s="215" t="s">
        <v>5232</v>
      </c>
      <c r="AB187" s="215" t="s">
        <v>5233</v>
      </c>
      <c r="AC187" s="215" t="s">
        <v>5234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hidden="1" customHeight="1">
      <c r="A188" s="207">
        <v>184</v>
      </c>
      <c r="B188" s="197" t="s">
        <v>4396</v>
      </c>
      <c r="C188" s="207" t="s">
        <v>4453</v>
      </c>
      <c r="D188" s="207">
        <v>1</v>
      </c>
      <c r="E188" s="207" t="s">
        <v>4398</v>
      </c>
      <c r="F188" s="214" t="s">
        <v>5235</v>
      </c>
      <c r="G188" s="207" t="s">
        <v>4400</v>
      </c>
      <c r="H188" s="207" t="s">
        <v>4401</v>
      </c>
      <c r="I188" s="217" t="s">
        <v>4402</v>
      </c>
      <c r="J188" s="215" t="s">
        <v>5236</v>
      </c>
      <c r="K188" s="215" t="s">
        <v>5237</v>
      </c>
      <c r="L188" s="215" t="s">
        <v>5238</v>
      </c>
      <c r="M188" s="207" t="s">
        <v>4405</v>
      </c>
      <c r="N188" s="207" t="s">
        <v>4442</v>
      </c>
      <c r="O188" s="202" t="s">
        <v>4409</v>
      </c>
      <c r="P188" s="202" t="s">
        <v>4409</v>
      </c>
      <c r="Q188" s="202" t="s">
        <v>4409</v>
      </c>
      <c r="R188" s="202" t="s">
        <v>4409</v>
      </c>
      <c r="S188" s="202" t="s">
        <v>4409</v>
      </c>
      <c r="T188" s="202" t="s">
        <v>4409</v>
      </c>
      <c r="U188" s="202" t="s">
        <v>4409</v>
      </c>
      <c r="V188" s="202" t="s">
        <v>4409</v>
      </c>
      <c r="W188" s="202" t="s">
        <v>4409</v>
      </c>
      <c r="X188" s="202" t="s">
        <v>4409</v>
      </c>
      <c r="Y188" s="202"/>
      <c r="Z188" s="207"/>
      <c r="AA188" s="215" t="s">
        <v>5236</v>
      </c>
      <c r="AB188" s="214" t="s">
        <v>5237</v>
      </c>
      <c r="AC188" s="214" t="s">
        <v>5238</v>
      </c>
      <c r="AD188" s="241" t="s">
        <v>4402</v>
      </c>
      <c r="AE188" s="241" t="s">
        <v>4405</v>
      </c>
      <c r="AF188" s="218">
        <v>33245.97</v>
      </c>
      <c r="AG188" s="218">
        <v>60000</v>
      </c>
      <c r="AH188" s="207" t="s">
        <v>4433</v>
      </c>
      <c r="AI188" s="214" t="s">
        <v>4411</v>
      </c>
      <c r="AJ188" s="207">
        <v>146039820</v>
      </c>
      <c r="AK188" s="316">
        <v>45979</v>
      </c>
      <c r="AL188" s="316">
        <v>45979</v>
      </c>
      <c r="AM188" s="316">
        <v>45979</v>
      </c>
      <c r="AN188" s="316">
        <v>45979</v>
      </c>
      <c r="AO188" s="316">
        <v>45979</v>
      </c>
      <c r="AP188" s="316">
        <v>45979</v>
      </c>
      <c r="AQ188" s="314"/>
      <c r="AR188" s="315" t="str">
        <f t="shared" si="12"/>
        <v>FINALIZADO</v>
      </c>
      <c r="AS188" s="207" t="s">
        <v>4423</v>
      </c>
      <c r="AT188" s="207"/>
      <c r="AU188" s="220" t="s">
        <v>5239</v>
      </c>
      <c r="AV188" s="207" t="s">
        <v>4425</v>
      </c>
      <c r="AW188" s="207" t="s">
        <v>4425</v>
      </c>
      <c r="AX188" s="207" t="s">
        <v>4425</v>
      </c>
      <c r="AY188" s="207" t="s">
        <v>4425</v>
      </c>
      <c r="AZ188" s="202">
        <v>46014</v>
      </c>
      <c r="BA188" s="219" t="s">
        <v>4425</v>
      </c>
      <c r="BB188" s="207" t="s">
        <v>4425</v>
      </c>
      <c r="BC188" s="202">
        <v>46021</v>
      </c>
      <c r="BD188" s="227">
        <v>46021</v>
      </c>
      <c r="BE188" s="239">
        <v>46017</v>
      </c>
      <c r="BF188" s="207" t="s">
        <v>4412</v>
      </c>
      <c r="BG188" s="229" t="s">
        <v>4425</v>
      </c>
      <c r="BH188" s="321">
        <f t="shared" si="13"/>
        <v>42</v>
      </c>
      <c r="BI188" s="98" t="str">
        <f t="shared" si="14"/>
        <v>INDENIZAÇÃO</v>
      </c>
      <c r="BJ188" s="98" t="str">
        <f t="shared" si="15"/>
        <v>NÃO</v>
      </c>
      <c r="BK188" s="230" t="s">
        <v>4437</v>
      </c>
      <c r="BL188" s="230" t="s">
        <v>4437</v>
      </c>
      <c r="BM188" s="230" t="s">
        <v>4437</v>
      </c>
      <c r="BN188" s="207" t="s">
        <v>4425</v>
      </c>
      <c r="BO188" s="207" t="s">
        <v>4425</v>
      </c>
      <c r="BP188" s="202">
        <v>46182</v>
      </c>
      <c r="BQ188" s="207" t="s">
        <v>4425</v>
      </c>
      <c r="BR188" s="256" t="s">
        <v>4435</v>
      </c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197">
        <v>185</v>
      </c>
      <c r="B189" s="197" t="s">
        <v>4396</v>
      </c>
      <c r="C189" s="207" t="s">
        <v>4427</v>
      </c>
      <c r="D189" s="207">
        <v>1</v>
      </c>
      <c r="E189" s="207" t="s">
        <v>4398</v>
      </c>
      <c r="F189" s="214" t="s">
        <v>5235</v>
      </c>
      <c r="G189" s="207" t="s">
        <v>4400</v>
      </c>
      <c r="H189" s="207" t="s">
        <v>4401</v>
      </c>
      <c r="I189" s="217" t="s">
        <v>4402</v>
      </c>
      <c r="J189" s="215" t="s">
        <v>5240</v>
      </c>
      <c r="K189" s="215" t="s">
        <v>4398</v>
      </c>
      <c r="L189" s="215" t="s">
        <v>5241</v>
      </c>
      <c r="M189" s="207" t="s">
        <v>4405</v>
      </c>
      <c r="N189" s="207" t="s">
        <v>4442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5240</v>
      </c>
      <c r="AB189" s="214" t="s">
        <v>4398</v>
      </c>
      <c r="AC189" s="214" t="s">
        <v>5241</v>
      </c>
      <c r="AD189" s="207" t="s">
        <v>4402</v>
      </c>
      <c r="AE189" s="207" t="s">
        <v>4405</v>
      </c>
      <c r="AF189" s="218">
        <v>35493.25</v>
      </c>
      <c r="AG189" s="218">
        <v>60000</v>
      </c>
      <c r="AH189" s="207" t="s">
        <v>4433</v>
      </c>
      <c r="AI189" s="214" t="s">
        <v>4411</v>
      </c>
      <c r="AJ189" s="207">
        <v>148262364</v>
      </c>
      <c r="AK189" s="316">
        <v>46038</v>
      </c>
      <c r="AL189" s="316">
        <v>46038</v>
      </c>
      <c r="AM189" s="316">
        <v>46038</v>
      </c>
      <c r="AN189" s="316">
        <v>46038</v>
      </c>
      <c r="AO189" s="316">
        <v>46038</v>
      </c>
      <c r="AP189" s="316">
        <v>46038</v>
      </c>
      <c r="AQ189" s="314"/>
      <c r="AR189" s="315" t="str">
        <f t="shared" si="12"/>
        <v>FINALIZADO</v>
      </c>
      <c r="AS189" s="207" t="s">
        <v>4423</v>
      </c>
      <c r="AT189" s="207"/>
      <c r="AU189" s="220" t="s">
        <v>5242</v>
      </c>
      <c r="AV189" s="207" t="s">
        <v>4425</v>
      </c>
      <c r="AW189" s="207" t="s">
        <v>4425</v>
      </c>
      <c r="AX189" s="207" t="s">
        <v>4425</v>
      </c>
      <c r="AY189" s="207" t="s">
        <v>4425</v>
      </c>
      <c r="AZ189" s="202">
        <v>46111</v>
      </c>
      <c r="BA189" s="207" t="s">
        <v>4425</v>
      </c>
      <c r="BB189" s="207" t="s">
        <v>4425</v>
      </c>
      <c r="BC189" s="202">
        <v>46114</v>
      </c>
      <c r="BD189" s="227">
        <v>46114</v>
      </c>
      <c r="BE189" s="227" t="s">
        <v>4435</v>
      </c>
      <c r="BF189" s="228" t="s">
        <v>4436</v>
      </c>
      <c r="BG189" s="229" t="s">
        <v>4425</v>
      </c>
      <c r="BH189" s="321">
        <f t="shared" si="13"/>
        <v>76</v>
      </c>
      <c r="BI189" s="98" t="str">
        <f t="shared" si="14"/>
        <v>INDENIZAÇÃO</v>
      </c>
      <c r="BJ189" s="98" t="str">
        <f t="shared" si="15"/>
        <v>NÃO</v>
      </c>
      <c r="BK189" s="230" t="s">
        <v>4437</v>
      </c>
      <c r="BL189" s="230" t="s">
        <v>4437</v>
      </c>
      <c r="BM189" s="230" t="s">
        <v>4437</v>
      </c>
      <c r="BN189" s="207" t="s">
        <v>4425</v>
      </c>
      <c r="BO189" s="207" t="s">
        <v>4425</v>
      </c>
      <c r="BP189" s="202">
        <v>46182</v>
      </c>
      <c r="BQ189" s="207" t="s">
        <v>4425</v>
      </c>
      <c r="BR189" s="256" t="s">
        <v>4435</v>
      </c>
    </row>
    <row r="190" spans="1:112" s="240" customFormat="1" ht="27" hidden="1" customHeight="1">
      <c r="A190" s="197">
        <v>186</v>
      </c>
      <c r="B190" s="197" t="s">
        <v>4396</v>
      </c>
      <c r="C190" s="207" t="s">
        <v>4453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4414</v>
      </c>
      <c r="J190" s="242" t="s">
        <v>5244</v>
      </c>
      <c r="K190" s="215" t="s">
        <v>4398</v>
      </c>
      <c r="L190" s="215" t="s">
        <v>5245</v>
      </c>
      <c r="M190" s="207" t="s">
        <v>4405</v>
      </c>
      <c r="N190" s="207" t="s">
        <v>4406</v>
      </c>
      <c r="O190" s="202">
        <v>45986</v>
      </c>
      <c r="P190" s="203" t="s">
        <v>4407</v>
      </c>
      <c r="Q190" s="203">
        <v>45985</v>
      </c>
      <c r="R190" s="203">
        <v>45986</v>
      </c>
      <c r="S190" s="203">
        <v>45987</v>
      </c>
      <c r="T190" s="203">
        <v>45992</v>
      </c>
      <c r="U190" s="202" t="s">
        <v>4408</v>
      </c>
      <c r="V190" s="202" t="s">
        <v>4408</v>
      </c>
      <c r="W190" s="202">
        <v>45999</v>
      </c>
      <c r="X190" s="202">
        <v>46000</v>
      </c>
      <c r="Y190" s="202">
        <v>46017</v>
      </c>
      <c r="Z190" s="207"/>
      <c r="AA190" s="242" t="s">
        <v>5246</v>
      </c>
      <c r="AB190" s="214" t="s">
        <v>5247</v>
      </c>
      <c r="AC190" s="214" t="s">
        <v>5248</v>
      </c>
      <c r="AD190" s="199" t="s">
        <v>4421</v>
      </c>
      <c r="AE190" s="197" t="s">
        <v>4405</v>
      </c>
      <c r="AF190" s="243">
        <v>18871.310000000001</v>
      </c>
      <c r="AG190" s="243">
        <v>18871.310000000001</v>
      </c>
      <c r="AH190" s="197" t="s">
        <v>4433</v>
      </c>
      <c r="AI190" s="214" t="s">
        <v>4411</v>
      </c>
      <c r="AJ190" s="207">
        <v>146040097</v>
      </c>
      <c r="AK190" s="316">
        <v>45979</v>
      </c>
      <c r="AL190" s="316">
        <v>45979</v>
      </c>
      <c r="AM190" s="316">
        <v>45979</v>
      </c>
      <c r="AN190" s="316">
        <v>45979</v>
      </c>
      <c r="AO190" s="316">
        <v>45979</v>
      </c>
      <c r="AP190" s="316">
        <v>45979</v>
      </c>
      <c r="AQ190" s="314"/>
      <c r="AR190" s="315" t="str">
        <f t="shared" si="12"/>
        <v>FINALIZADO</v>
      </c>
      <c r="AS190" s="207" t="s">
        <v>4423</v>
      </c>
      <c r="AT190" s="207"/>
      <c r="AU190" s="220" t="s">
        <v>5249</v>
      </c>
      <c r="AV190" s="207" t="s">
        <v>4425</v>
      </c>
      <c r="AW190" s="207" t="s">
        <v>4425</v>
      </c>
      <c r="AX190" s="207" t="s">
        <v>4425</v>
      </c>
      <c r="AY190" s="197" t="s">
        <v>4425</v>
      </c>
      <c r="AZ190" s="203">
        <v>46017</v>
      </c>
      <c r="BA190" s="219" t="s">
        <v>4425</v>
      </c>
      <c r="BB190" s="207" t="s">
        <v>4425</v>
      </c>
      <c r="BC190" s="203">
        <v>46024</v>
      </c>
      <c r="BD190" s="227">
        <v>46024</v>
      </c>
      <c r="BE190" s="209">
        <v>46017</v>
      </c>
      <c r="BF190" s="197" t="s">
        <v>4762</v>
      </c>
      <c r="BG190" s="229" t="s">
        <v>4425</v>
      </c>
      <c r="BH190" s="321">
        <f t="shared" si="13"/>
        <v>45</v>
      </c>
      <c r="BI190" s="98" t="str">
        <f t="shared" si="14"/>
        <v>INDENIZAÇÃO</v>
      </c>
      <c r="BJ190" s="98" t="str">
        <f t="shared" si="15"/>
        <v>NÃO</v>
      </c>
      <c r="BK190" s="230" t="s">
        <v>4437</v>
      </c>
      <c r="BL190" s="230" t="s">
        <v>4437</v>
      </c>
      <c r="BM190" s="230" t="s">
        <v>4437</v>
      </c>
      <c r="BN190" s="207" t="s">
        <v>4425</v>
      </c>
      <c r="BO190" s="207" t="s">
        <v>4425</v>
      </c>
      <c r="BP190" s="202">
        <v>46182</v>
      </c>
      <c r="BQ190" s="207" t="s">
        <v>4425</v>
      </c>
      <c r="BR190" s="256" t="s">
        <v>4435</v>
      </c>
    </row>
    <row r="191" spans="1:112" s="240" customFormat="1" ht="27" hidden="1" customHeight="1">
      <c r="A191" s="207">
        <v>187</v>
      </c>
      <c r="B191" s="197" t="s">
        <v>4396</v>
      </c>
      <c r="C191" s="207" t="s">
        <v>4427</v>
      </c>
      <c r="D191" s="207">
        <v>1</v>
      </c>
      <c r="E191" s="207" t="s">
        <v>4398</v>
      </c>
      <c r="F191" s="214" t="s">
        <v>5243</v>
      </c>
      <c r="G191" s="207" t="s">
        <v>4400</v>
      </c>
      <c r="H191" s="207" t="s">
        <v>4401</v>
      </c>
      <c r="I191" s="217" t="s">
        <v>4402</v>
      </c>
      <c r="J191" s="215" t="s">
        <v>5250</v>
      </c>
      <c r="K191" s="215" t="s">
        <v>5251</v>
      </c>
      <c r="L191" s="215" t="s">
        <v>5252</v>
      </c>
      <c r="M191" s="207" t="s">
        <v>4405</v>
      </c>
      <c r="N191" s="207" t="s">
        <v>4442</v>
      </c>
      <c r="O191" s="202" t="s">
        <v>4409</v>
      </c>
      <c r="P191" s="202" t="s">
        <v>4409</v>
      </c>
      <c r="Q191" s="202" t="s">
        <v>4409</v>
      </c>
      <c r="R191" s="202" t="s">
        <v>4409</v>
      </c>
      <c r="S191" s="202" t="s">
        <v>4409</v>
      </c>
      <c r="T191" s="202" t="s">
        <v>4409</v>
      </c>
      <c r="U191" s="202" t="s">
        <v>4409</v>
      </c>
      <c r="V191" s="202" t="s">
        <v>4409</v>
      </c>
      <c r="W191" s="202" t="s">
        <v>4409</v>
      </c>
      <c r="X191" s="202" t="s">
        <v>4409</v>
      </c>
      <c r="Y191" s="202"/>
      <c r="Z191" s="207"/>
      <c r="AA191" s="215" t="s">
        <v>5250</v>
      </c>
      <c r="AB191" s="214" t="s">
        <v>5251</v>
      </c>
      <c r="AC191" s="214" t="s">
        <v>5252</v>
      </c>
      <c r="AD191" s="207" t="s">
        <v>4402</v>
      </c>
      <c r="AE191" s="207" t="s">
        <v>4405</v>
      </c>
      <c r="AF191" s="218">
        <v>24163.62</v>
      </c>
      <c r="AG191" s="218">
        <f>AF191+30000</f>
        <v>54163.619999999995</v>
      </c>
      <c r="AH191" s="207" t="s">
        <v>4433</v>
      </c>
      <c r="AI191" s="214" t="s">
        <v>4411</v>
      </c>
      <c r="AJ191" s="207">
        <v>148262838</v>
      </c>
      <c r="AK191" s="316">
        <v>46059</v>
      </c>
      <c r="AL191" s="316">
        <v>46059</v>
      </c>
      <c r="AM191" s="316">
        <v>46059</v>
      </c>
      <c r="AN191" s="316">
        <v>46059</v>
      </c>
      <c r="AO191" s="316">
        <v>46059</v>
      </c>
      <c r="AP191" s="316">
        <v>46059</v>
      </c>
      <c r="AQ191" s="314"/>
      <c r="AR191" s="315" t="str">
        <f t="shared" si="12"/>
        <v>FINALIZADO</v>
      </c>
      <c r="AS191" s="207" t="s">
        <v>4423</v>
      </c>
      <c r="AT191" s="207"/>
      <c r="AU191" s="220" t="s">
        <v>5253</v>
      </c>
      <c r="AV191" s="207" t="s">
        <v>4425</v>
      </c>
      <c r="AW191" s="207" t="s">
        <v>4425</v>
      </c>
      <c r="AX191" s="250" t="s">
        <v>4425</v>
      </c>
      <c r="AY191" s="207" t="s">
        <v>4425</v>
      </c>
      <c r="AZ191" s="202">
        <v>46118</v>
      </c>
      <c r="BA191" s="207" t="s">
        <v>4425</v>
      </c>
      <c r="BB191" s="207" t="s">
        <v>4425</v>
      </c>
      <c r="BC191" s="202">
        <v>46122</v>
      </c>
      <c r="BD191" s="227">
        <v>46122</v>
      </c>
      <c r="BE191" s="227" t="s">
        <v>4435</v>
      </c>
      <c r="BF191" s="228" t="s">
        <v>4436</v>
      </c>
      <c r="BG191" s="229" t="s">
        <v>4425</v>
      </c>
      <c r="BH191" s="321">
        <f t="shared" si="13"/>
        <v>63</v>
      </c>
      <c r="BI191" s="98" t="str">
        <f t="shared" si="14"/>
        <v>INDENIZAÇÃO</v>
      </c>
      <c r="BJ191" s="98" t="str">
        <f t="shared" si="15"/>
        <v>NÃO</v>
      </c>
      <c r="BK191" s="219" t="s">
        <v>4437</v>
      </c>
      <c r="BL191" s="219" t="s">
        <v>4437</v>
      </c>
      <c r="BM191" s="219" t="s">
        <v>4437</v>
      </c>
      <c r="BN191" s="219" t="s">
        <v>4425</v>
      </c>
      <c r="BO191" s="219" t="s">
        <v>4425</v>
      </c>
      <c r="BP191" s="202">
        <v>46195</v>
      </c>
      <c r="BQ191" s="219" t="s">
        <v>4425</v>
      </c>
      <c r="BR191" s="232" t="s">
        <v>4435</v>
      </c>
      <c r="BS191" s="223"/>
      <c r="BT191" s="223"/>
    </row>
    <row r="192" spans="1:112" s="240" customFormat="1" ht="27" hidden="1" customHeight="1">
      <c r="A192" s="207">
        <v>188</v>
      </c>
      <c r="B192" s="197" t="s">
        <v>4396</v>
      </c>
      <c r="C192" s="207" t="s">
        <v>4453</v>
      </c>
      <c r="D192" s="207">
        <v>1</v>
      </c>
      <c r="E192" s="207" t="s">
        <v>4398</v>
      </c>
      <c r="F192" s="214" t="s">
        <v>5254</v>
      </c>
      <c r="G192" s="207" t="s">
        <v>4400</v>
      </c>
      <c r="H192" s="207" t="s">
        <v>4401</v>
      </c>
      <c r="I192" s="217" t="s">
        <v>4402</v>
      </c>
      <c r="J192" s="215" t="s">
        <v>5255</v>
      </c>
      <c r="K192" s="215" t="s">
        <v>5256</v>
      </c>
      <c r="L192" s="215" t="s">
        <v>5257</v>
      </c>
      <c r="M192" s="207" t="s">
        <v>4405</v>
      </c>
      <c r="N192" s="207" t="s">
        <v>4442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5255</v>
      </c>
      <c r="AB192" s="214" t="s">
        <v>5256</v>
      </c>
      <c r="AC192" s="214" t="s">
        <v>5257</v>
      </c>
      <c r="AD192" s="241" t="s">
        <v>4402</v>
      </c>
      <c r="AE192" s="241" t="s">
        <v>4405</v>
      </c>
      <c r="AF192" s="218">
        <v>10921.94</v>
      </c>
      <c r="AG192" s="218">
        <f>AF192+30000</f>
        <v>40921.94</v>
      </c>
      <c r="AH192" s="207" t="s">
        <v>4433</v>
      </c>
      <c r="AI192" s="214" t="s">
        <v>4411</v>
      </c>
      <c r="AJ192" s="207">
        <v>146040612</v>
      </c>
      <c r="AK192" s="316">
        <v>45979</v>
      </c>
      <c r="AL192" s="316">
        <v>45979</v>
      </c>
      <c r="AM192" s="316">
        <v>45979</v>
      </c>
      <c r="AN192" s="316">
        <v>45979</v>
      </c>
      <c r="AO192" s="316">
        <v>45979</v>
      </c>
      <c r="AP192" s="316">
        <v>45979</v>
      </c>
      <c r="AQ192" s="314"/>
      <c r="AR192" s="315" t="str">
        <f t="shared" si="12"/>
        <v>FINALIZADO</v>
      </c>
      <c r="AS192" s="207" t="s">
        <v>4423</v>
      </c>
      <c r="AT192" s="207"/>
      <c r="AU192" s="220" t="s">
        <v>5258</v>
      </c>
      <c r="AV192" s="207" t="s">
        <v>4425</v>
      </c>
      <c r="AW192" s="207" t="s">
        <v>4425</v>
      </c>
      <c r="AX192" s="207" t="s">
        <v>4425</v>
      </c>
      <c r="AY192" s="207" t="s">
        <v>4425</v>
      </c>
      <c r="AZ192" s="202">
        <v>46008</v>
      </c>
      <c r="BA192" s="219" t="s">
        <v>4425</v>
      </c>
      <c r="BB192" s="207" t="s">
        <v>4425</v>
      </c>
      <c r="BC192" s="202">
        <v>46014</v>
      </c>
      <c r="BD192" s="227">
        <v>46014</v>
      </c>
      <c r="BE192" s="209">
        <v>46017</v>
      </c>
      <c r="BF192" s="207" t="s">
        <v>4412</v>
      </c>
      <c r="BG192" s="229" t="s">
        <v>4425</v>
      </c>
      <c r="BH192" s="321">
        <f t="shared" si="13"/>
        <v>35</v>
      </c>
      <c r="BI192" s="98" t="str">
        <f t="shared" si="14"/>
        <v>INDENIZAÇÃO</v>
      </c>
      <c r="BJ192" s="98" t="str">
        <f t="shared" si="15"/>
        <v>NÃO</v>
      </c>
      <c r="BK192" s="230" t="s">
        <v>4437</v>
      </c>
      <c r="BL192" s="230" t="s">
        <v>4437</v>
      </c>
      <c r="BM192" s="230" t="s">
        <v>4437</v>
      </c>
      <c r="BN192" s="207" t="s">
        <v>4425</v>
      </c>
      <c r="BO192" s="207" t="s">
        <v>4425</v>
      </c>
      <c r="BP192" s="202">
        <v>46182</v>
      </c>
      <c r="BQ192" s="207" t="s">
        <v>4425</v>
      </c>
      <c r="BR192" s="256" t="s">
        <v>4435</v>
      </c>
    </row>
    <row r="193" spans="1:73" s="240" customFormat="1" ht="27" hidden="1" customHeight="1">
      <c r="A193" s="207">
        <v>189</v>
      </c>
      <c r="B193" s="197" t="s">
        <v>4396</v>
      </c>
      <c r="C193" s="207" t="s">
        <v>4427</v>
      </c>
      <c r="D193" s="207">
        <v>1</v>
      </c>
      <c r="E193" s="207" t="s">
        <v>4398</v>
      </c>
      <c r="F193" s="214" t="s">
        <v>5254</v>
      </c>
      <c r="G193" s="207" t="s">
        <v>4400</v>
      </c>
      <c r="H193" s="207" t="s">
        <v>4401</v>
      </c>
      <c r="I193" s="217" t="s">
        <v>4402</v>
      </c>
      <c r="J193" s="215" t="s">
        <v>5259</v>
      </c>
      <c r="K193" s="215" t="s">
        <v>4398</v>
      </c>
      <c r="L193" s="215" t="s">
        <v>5260</v>
      </c>
      <c r="M193" s="207" t="s">
        <v>4405</v>
      </c>
      <c r="N193" s="207" t="s">
        <v>4442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50"/>
      <c r="AA193" s="224" t="s">
        <v>5259</v>
      </c>
      <c r="AB193" s="214" t="s">
        <v>4398</v>
      </c>
      <c r="AC193" s="261" t="s">
        <v>5260</v>
      </c>
      <c r="AD193" s="207" t="s">
        <v>4402</v>
      </c>
      <c r="AE193" s="207" t="s">
        <v>4405</v>
      </c>
      <c r="AF193" s="218">
        <v>70863.649999999994</v>
      </c>
      <c r="AG193" s="218">
        <v>70863.649999999994</v>
      </c>
      <c r="AH193" s="207" t="s">
        <v>4433</v>
      </c>
      <c r="AI193" s="214" t="s">
        <v>4411</v>
      </c>
      <c r="AJ193" s="207">
        <v>149646375</v>
      </c>
      <c r="AK193" s="316">
        <v>46142</v>
      </c>
      <c r="AL193" s="316">
        <v>46142</v>
      </c>
      <c r="AM193" s="316">
        <v>46142</v>
      </c>
      <c r="AN193" s="316">
        <v>46142</v>
      </c>
      <c r="AO193" s="316">
        <v>46142</v>
      </c>
      <c r="AP193" s="316">
        <v>46142</v>
      </c>
      <c r="AQ193" s="314"/>
      <c r="AR193" s="315" t="str">
        <f t="shared" si="12"/>
        <v>FINALIZADO</v>
      </c>
      <c r="AS193" s="207" t="s">
        <v>4423</v>
      </c>
      <c r="AT193" s="250"/>
      <c r="AU193" s="220" t="s">
        <v>5261</v>
      </c>
      <c r="AV193" s="250" t="s">
        <v>4425</v>
      </c>
      <c r="AW193" s="207" t="s">
        <v>4425</v>
      </c>
      <c r="AX193" s="207" t="s">
        <v>4818</v>
      </c>
      <c r="AY193" s="207" t="s">
        <v>4818</v>
      </c>
      <c r="AZ193" s="202">
        <v>46233</v>
      </c>
      <c r="BA193" s="207" t="s">
        <v>4818</v>
      </c>
      <c r="BB193" s="207" t="s">
        <v>4818</v>
      </c>
      <c r="BC193" s="202">
        <v>46237</v>
      </c>
      <c r="BD193" s="226">
        <v>46237</v>
      </c>
      <c r="BE193" s="257" t="s">
        <v>4435</v>
      </c>
      <c r="BF193" s="257" t="s">
        <v>4436</v>
      </c>
      <c r="BG193" s="219" t="s">
        <v>4425</v>
      </c>
      <c r="BH193" s="321">
        <f t="shared" si="13"/>
        <v>95</v>
      </c>
      <c r="BI193" s="98" t="str">
        <f t="shared" si="14"/>
        <v>INDENIZAÇÃO</v>
      </c>
      <c r="BJ193" s="98" t="str">
        <f t="shared" si="15"/>
        <v>NÃO</v>
      </c>
      <c r="BK193" s="219" t="s">
        <v>4437</v>
      </c>
      <c r="BL193" s="219" t="s">
        <v>4437</v>
      </c>
      <c r="BM193" s="219" t="s">
        <v>4437</v>
      </c>
      <c r="BN193" s="250" t="s">
        <v>4425</v>
      </c>
      <c r="BO193" s="250" t="s">
        <v>4425</v>
      </c>
      <c r="BP193" s="202">
        <v>46269</v>
      </c>
      <c r="BQ193" s="257" t="s">
        <v>4819</v>
      </c>
      <c r="BR193" s="258"/>
      <c r="BS193" s="223"/>
    </row>
    <row r="194" spans="1:73" s="240" customFormat="1" ht="27" hidden="1" customHeight="1">
      <c r="A194" s="197">
        <v>190</v>
      </c>
      <c r="B194" s="197" t="s">
        <v>4396</v>
      </c>
      <c r="C194" s="207" t="s">
        <v>4427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5263</v>
      </c>
      <c r="K194" s="215" t="s">
        <v>5264</v>
      </c>
      <c r="L194" s="215" t="s">
        <v>5265</v>
      </c>
      <c r="M194" s="207" t="s">
        <v>4405</v>
      </c>
      <c r="N194" s="207" t="s">
        <v>4406</v>
      </c>
      <c r="O194" s="203">
        <v>46044</v>
      </c>
      <c r="P194" s="203" t="s">
        <v>4407</v>
      </c>
      <c r="Q194" s="203">
        <v>46043</v>
      </c>
      <c r="R194" s="203">
        <v>46044</v>
      </c>
      <c r="S194" s="203">
        <v>46045</v>
      </c>
      <c r="T194" s="203">
        <v>46155</v>
      </c>
      <c r="U194" s="202" t="s">
        <v>4408</v>
      </c>
      <c r="V194" s="202" t="s">
        <v>4408</v>
      </c>
      <c r="W194" s="202">
        <v>46055</v>
      </c>
      <c r="X194" s="202">
        <v>46059</v>
      </c>
      <c r="Y194" s="239"/>
      <c r="Z194" s="250"/>
      <c r="AA194" s="215" t="s">
        <v>5263</v>
      </c>
      <c r="AB194" s="215" t="s">
        <v>5264</v>
      </c>
      <c r="AC194" s="215" t="s">
        <v>5265</v>
      </c>
      <c r="AD194" s="271" t="s">
        <v>4402</v>
      </c>
      <c r="AE194" s="270" t="s">
        <v>4405</v>
      </c>
      <c r="AF194" s="218" t="s">
        <v>4409</v>
      </c>
      <c r="AG194" s="218" t="s">
        <v>4409</v>
      </c>
      <c r="AH194" s="207" t="s">
        <v>4410</v>
      </c>
      <c r="AI194" s="214" t="s">
        <v>4411</v>
      </c>
      <c r="AJ194" s="207"/>
      <c r="AK194" s="316">
        <v>46041</v>
      </c>
      <c r="AL194" s="316">
        <v>46041</v>
      </c>
      <c r="AM194" s="316">
        <v>46041</v>
      </c>
      <c r="AN194" s="316">
        <v>46041</v>
      </c>
      <c r="AO194" s="316">
        <v>46041</v>
      </c>
      <c r="AP194" s="316">
        <v>46041</v>
      </c>
      <c r="AQ194" s="314"/>
      <c r="AR194" s="315" t="str">
        <f t="shared" si="12"/>
        <v>FINALIZADO</v>
      </c>
      <c r="AS194" s="207"/>
      <c r="AT194" s="250"/>
      <c r="AU194" s="220"/>
      <c r="AV194" s="207"/>
      <c r="AW194" s="207"/>
      <c r="AX194" s="228"/>
      <c r="AY194" s="250"/>
      <c r="AZ194" s="239"/>
      <c r="BA194" s="219"/>
      <c r="BB194" s="250"/>
      <c r="BC194" s="250"/>
      <c r="BD194" s="208"/>
      <c r="BE194" s="209"/>
      <c r="BF194" s="270"/>
      <c r="BG194" s="229"/>
      <c r="BH194" s="321" t="str">
        <f t="shared" si="13"/>
        <v/>
      </c>
      <c r="BI194" s="98" t="str">
        <f t="shared" si="14"/>
        <v>AA</v>
      </c>
      <c r="BJ194" s="98" t="str">
        <f t="shared" si="15"/>
        <v>NÃO</v>
      </c>
      <c r="BK194" s="230"/>
      <c r="BL194" s="230"/>
      <c r="BM194" s="230"/>
      <c r="BN194" s="230"/>
      <c r="BO194" s="230"/>
      <c r="BP194" s="230"/>
      <c r="BQ194" s="230"/>
      <c r="BR194" s="234"/>
    </row>
    <row r="195" spans="1:73" s="240" customFormat="1" ht="27" hidden="1" customHeight="1">
      <c r="A195" s="197">
        <v>191</v>
      </c>
      <c r="B195" s="197" t="s">
        <v>4396</v>
      </c>
      <c r="C195" s="207" t="s">
        <v>4453</v>
      </c>
      <c r="D195" s="207">
        <v>1</v>
      </c>
      <c r="E195" s="207" t="s">
        <v>4398</v>
      </c>
      <c r="F195" s="214" t="s">
        <v>5266</v>
      </c>
      <c r="G195" s="207" t="s">
        <v>4400</v>
      </c>
      <c r="H195" s="207" t="s">
        <v>4401</v>
      </c>
      <c r="I195" s="217" t="s">
        <v>4402</v>
      </c>
      <c r="J195" s="215" t="s">
        <v>5267</v>
      </c>
      <c r="K195" s="215" t="s">
        <v>5268</v>
      </c>
      <c r="L195" s="215" t="s">
        <v>5269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46056</v>
      </c>
      <c r="Y195" s="202">
        <v>46017</v>
      </c>
      <c r="Z195" s="250"/>
      <c r="AA195" s="215" t="s">
        <v>5267</v>
      </c>
      <c r="AB195" s="215" t="s">
        <v>5268</v>
      </c>
      <c r="AC195" s="215" t="s">
        <v>5269</v>
      </c>
      <c r="AD195" s="241" t="s">
        <v>4402</v>
      </c>
      <c r="AE195" s="241" t="s">
        <v>4405</v>
      </c>
      <c r="AF195" s="242" t="s">
        <v>4409</v>
      </c>
      <c r="AG195" s="242" t="s">
        <v>4409</v>
      </c>
      <c r="AH195" s="241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39">
        <v>46017</v>
      </c>
      <c r="BF195" s="207" t="s">
        <v>4412</v>
      </c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207">
        <v>192</v>
      </c>
      <c r="B196" s="197" t="s">
        <v>4396</v>
      </c>
      <c r="C196" s="207" t="s">
        <v>4427</v>
      </c>
      <c r="D196" s="207">
        <v>1</v>
      </c>
      <c r="E196" s="207" t="s">
        <v>4398</v>
      </c>
      <c r="F196" s="214" t="s">
        <v>5266</v>
      </c>
      <c r="G196" s="207" t="s">
        <v>4400</v>
      </c>
      <c r="H196" s="207" t="s">
        <v>4401</v>
      </c>
      <c r="I196" s="217" t="s">
        <v>4402</v>
      </c>
      <c r="J196" s="215" t="s">
        <v>5270</v>
      </c>
      <c r="K196" s="215" t="s">
        <v>5271</v>
      </c>
      <c r="L196" s="215" t="s">
        <v>5272</v>
      </c>
      <c r="M196" s="207" t="s">
        <v>4405</v>
      </c>
      <c r="N196" s="207" t="s">
        <v>4442</v>
      </c>
      <c r="O196" s="202" t="s">
        <v>4409</v>
      </c>
      <c r="P196" s="202" t="s">
        <v>4409</v>
      </c>
      <c r="Q196" s="202" t="s">
        <v>4409</v>
      </c>
      <c r="R196" s="202" t="s">
        <v>4409</v>
      </c>
      <c r="S196" s="202" t="s">
        <v>4409</v>
      </c>
      <c r="T196" s="202" t="s">
        <v>4409</v>
      </c>
      <c r="U196" s="202" t="s">
        <v>4409</v>
      </c>
      <c r="V196" s="202" t="s">
        <v>4409</v>
      </c>
      <c r="W196" s="202" t="s">
        <v>4409</v>
      </c>
      <c r="X196" s="202" t="s">
        <v>4409</v>
      </c>
      <c r="Y196" s="202"/>
      <c r="Z196" s="207"/>
      <c r="AA196" s="215" t="s">
        <v>5270</v>
      </c>
      <c r="AB196" s="214" t="s">
        <v>5271</v>
      </c>
      <c r="AC196" s="214" t="s">
        <v>5272</v>
      </c>
      <c r="AD196" s="207" t="s">
        <v>4402</v>
      </c>
      <c r="AE196" s="207" t="s">
        <v>4405</v>
      </c>
      <c r="AF196" s="218">
        <v>25280.43</v>
      </c>
      <c r="AG196" s="218">
        <f>AF196+30000</f>
        <v>55280.43</v>
      </c>
      <c r="AH196" s="207" t="s">
        <v>4433</v>
      </c>
      <c r="AI196" s="214" t="s">
        <v>4411</v>
      </c>
      <c r="AJ196" s="207">
        <v>149646443</v>
      </c>
      <c r="AK196" s="316">
        <v>46059</v>
      </c>
      <c r="AL196" s="316">
        <v>46059</v>
      </c>
      <c r="AM196" s="316">
        <v>46059</v>
      </c>
      <c r="AN196" s="316">
        <v>46059</v>
      </c>
      <c r="AO196" s="316">
        <v>46059</v>
      </c>
      <c r="AP196" s="316">
        <v>46059</v>
      </c>
      <c r="AQ196" s="314"/>
      <c r="AR196" s="315" t="str">
        <f t="shared" si="12"/>
        <v>FINALIZADO</v>
      </c>
      <c r="AS196" s="207" t="s">
        <v>4423</v>
      </c>
      <c r="AT196" s="207"/>
      <c r="AU196" s="220" t="s">
        <v>5273</v>
      </c>
      <c r="AV196" s="207" t="s">
        <v>4425</v>
      </c>
      <c r="AW196" s="207" t="s">
        <v>4425</v>
      </c>
      <c r="AX196" s="250" t="s">
        <v>4425</v>
      </c>
      <c r="AY196" s="207" t="s">
        <v>4425</v>
      </c>
      <c r="AZ196" s="202">
        <v>46118</v>
      </c>
      <c r="BA196" s="207" t="s">
        <v>4425</v>
      </c>
      <c r="BB196" s="207" t="s">
        <v>4425</v>
      </c>
      <c r="BC196" s="202">
        <v>46122</v>
      </c>
      <c r="BD196" s="227">
        <v>46122</v>
      </c>
      <c r="BE196" s="244" t="s">
        <v>4435</v>
      </c>
      <c r="BF196" s="228" t="s">
        <v>4436</v>
      </c>
      <c r="BG196" s="229" t="s">
        <v>4425</v>
      </c>
      <c r="BH196" s="321">
        <f t="shared" si="13"/>
        <v>63</v>
      </c>
      <c r="BI196" s="98" t="str">
        <f t="shared" si="14"/>
        <v>INDENIZAÇÃO</v>
      </c>
      <c r="BJ196" s="98" t="str">
        <f t="shared" si="15"/>
        <v>NÃO</v>
      </c>
      <c r="BK196" s="219" t="s">
        <v>4437</v>
      </c>
      <c r="BL196" s="219" t="s">
        <v>4437</v>
      </c>
      <c r="BM196" s="219" t="s">
        <v>4437</v>
      </c>
      <c r="BN196" s="219" t="s">
        <v>4425</v>
      </c>
      <c r="BO196" s="219" t="s">
        <v>4425</v>
      </c>
      <c r="BP196" s="202">
        <v>46195</v>
      </c>
      <c r="BQ196" s="219" t="s">
        <v>4425</v>
      </c>
      <c r="BR196" s="232" t="s">
        <v>4435</v>
      </c>
      <c r="BS196" s="223"/>
      <c r="BT196" s="223"/>
    </row>
    <row r="197" spans="1:73" s="240" customFormat="1" ht="27" hidden="1" customHeight="1">
      <c r="A197" s="207">
        <v>193</v>
      </c>
      <c r="B197" s="197" t="s">
        <v>4396</v>
      </c>
      <c r="C197" s="207" t="s">
        <v>4453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5275</v>
      </c>
      <c r="K197" s="215" t="s">
        <v>5276</v>
      </c>
      <c r="L197" s="215" t="s">
        <v>5277</v>
      </c>
      <c r="M197" s="207" t="s">
        <v>4405</v>
      </c>
      <c r="N197" s="207" t="s">
        <v>4442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5275</v>
      </c>
      <c r="AB197" s="214" t="s">
        <v>5276</v>
      </c>
      <c r="AC197" s="214" t="s">
        <v>5277</v>
      </c>
      <c r="AD197" s="204" t="s">
        <v>4402</v>
      </c>
      <c r="AE197" s="204" t="s">
        <v>4405</v>
      </c>
      <c r="AF197" s="243">
        <v>35733.199999999997</v>
      </c>
      <c r="AG197" s="243">
        <v>60000</v>
      </c>
      <c r="AH197" s="197" t="s">
        <v>4433</v>
      </c>
      <c r="AI197" s="214" t="s">
        <v>4411</v>
      </c>
      <c r="AJ197" s="207">
        <v>146040737</v>
      </c>
      <c r="AK197" s="316">
        <v>45979</v>
      </c>
      <c r="AL197" s="316">
        <v>45979</v>
      </c>
      <c r="AM197" s="316">
        <v>45979</v>
      </c>
      <c r="AN197" s="316">
        <v>45979</v>
      </c>
      <c r="AO197" s="316">
        <v>45979</v>
      </c>
      <c r="AP197" s="316">
        <v>45979</v>
      </c>
      <c r="AQ197" s="314"/>
      <c r="AR197" s="315" t="str">
        <f t="shared" si="12"/>
        <v>FINALIZADO</v>
      </c>
      <c r="AS197" s="207" t="s">
        <v>4423</v>
      </c>
      <c r="AT197" s="207"/>
      <c r="AU197" s="220" t="s">
        <v>5278</v>
      </c>
      <c r="AV197" s="207" t="s">
        <v>4425</v>
      </c>
      <c r="AW197" s="207" t="s">
        <v>4425</v>
      </c>
      <c r="AX197" s="207" t="s">
        <v>4425</v>
      </c>
      <c r="AY197" s="207" t="s">
        <v>4425</v>
      </c>
      <c r="AZ197" s="202">
        <v>46014</v>
      </c>
      <c r="BA197" s="219" t="s">
        <v>4425</v>
      </c>
      <c r="BB197" s="207" t="s">
        <v>4425</v>
      </c>
      <c r="BC197" s="202">
        <v>46021</v>
      </c>
      <c r="BD197" s="227">
        <v>46021</v>
      </c>
      <c r="BE197" s="209">
        <v>46017</v>
      </c>
      <c r="BF197" s="197" t="s">
        <v>4412</v>
      </c>
      <c r="BG197" s="229" t="s">
        <v>4425</v>
      </c>
      <c r="BH197" s="321">
        <f t="shared" si="13"/>
        <v>42</v>
      </c>
      <c r="BI197" s="98" t="str">
        <f t="shared" si="14"/>
        <v>INDENIZAÇÃO</v>
      </c>
      <c r="BJ197" s="98" t="str">
        <f t="shared" si="15"/>
        <v>NÃO</v>
      </c>
      <c r="BK197" s="230" t="s">
        <v>4437</v>
      </c>
      <c r="BL197" s="230" t="s">
        <v>4437</v>
      </c>
      <c r="BM197" s="230" t="s">
        <v>4437</v>
      </c>
      <c r="BN197" s="207" t="s">
        <v>4425</v>
      </c>
      <c r="BO197" s="207" t="s">
        <v>4425</v>
      </c>
      <c r="BP197" s="202">
        <v>46182</v>
      </c>
      <c r="BQ197" s="207" t="s">
        <v>4425</v>
      </c>
      <c r="BR197" s="256" t="s">
        <v>4435</v>
      </c>
    </row>
    <row r="198" spans="1:73" s="240" customFormat="1" ht="27" hidden="1" customHeight="1">
      <c r="A198" s="207">
        <v>194</v>
      </c>
      <c r="B198" s="197" t="s">
        <v>4396</v>
      </c>
      <c r="C198" s="207" t="s">
        <v>4427</v>
      </c>
      <c r="D198" s="207">
        <v>1</v>
      </c>
      <c r="E198" s="207" t="s">
        <v>4398</v>
      </c>
      <c r="F198" s="214" t="s">
        <v>5274</v>
      </c>
      <c r="G198" s="207" t="s">
        <v>4400</v>
      </c>
      <c r="H198" s="207" t="s">
        <v>4401</v>
      </c>
      <c r="I198" s="217" t="s">
        <v>4402</v>
      </c>
      <c r="J198" s="215" t="s">
        <v>5279</v>
      </c>
      <c r="K198" s="215" t="s">
        <v>5280</v>
      </c>
      <c r="L198" s="215" t="s">
        <v>5281</v>
      </c>
      <c r="M198" s="207" t="s">
        <v>4405</v>
      </c>
      <c r="N198" s="207" t="s">
        <v>4406</v>
      </c>
      <c r="O198" s="202">
        <v>46002</v>
      </c>
      <c r="P198" s="202" t="s">
        <v>4407</v>
      </c>
      <c r="Q198" s="202">
        <v>45999</v>
      </c>
      <c r="R198" s="202">
        <v>46006</v>
      </c>
      <c r="S198" s="202">
        <v>46006</v>
      </c>
      <c r="T198" s="202">
        <v>46009</v>
      </c>
      <c r="U198" s="202" t="s">
        <v>4408</v>
      </c>
      <c r="V198" s="202" t="s">
        <v>4408</v>
      </c>
      <c r="W198" s="202">
        <v>46014</v>
      </c>
      <c r="X198" s="202">
        <v>46017</v>
      </c>
      <c r="Y198" s="202"/>
      <c r="Z198" s="207"/>
      <c r="AA198" s="215" t="s">
        <v>5279</v>
      </c>
      <c r="AB198" s="215" t="s">
        <v>5280</v>
      </c>
      <c r="AC198" s="215" t="s">
        <v>5281</v>
      </c>
      <c r="AD198" s="217" t="s">
        <v>4402</v>
      </c>
      <c r="AE198" s="207" t="s">
        <v>4405</v>
      </c>
      <c r="AF198" s="218" t="s">
        <v>4409</v>
      </c>
      <c r="AG198" s="218" t="s">
        <v>4409</v>
      </c>
      <c r="AH198" s="207" t="s">
        <v>4410</v>
      </c>
      <c r="AI198" s="214" t="s">
        <v>4411</v>
      </c>
      <c r="AJ198" s="207"/>
      <c r="AK198" s="316">
        <v>45988</v>
      </c>
      <c r="AL198" s="316">
        <v>45988</v>
      </c>
      <c r="AM198" s="316">
        <v>45988</v>
      </c>
      <c r="AN198" s="316">
        <v>45988</v>
      </c>
      <c r="AO198" s="316">
        <v>45988</v>
      </c>
      <c r="AP198" s="316">
        <v>45988</v>
      </c>
      <c r="AQ198" s="314"/>
      <c r="AR198" s="315" t="str">
        <f t="shared" ref="AR198:AR261" si="16">IF(AQ198="SIM","AGUARDANDO CORREÇÃO",IF(AP198&lt;&gt;"","FINALIZADO",IF(AO198&lt;&gt;"","AGUARDANDO ENVIO DTS",IF(AN198&lt;&gt;"","AGUARDANDO ASSINATURA GAB",IF(AM198&lt;&gt;"","AGUARDANDO ASSINATURA CTS",IF(AL198&lt;&gt;"","AGUARDANDO ENVIO ASSINATURA CTS",IF(AK198&lt;&gt;"","AGUARDANDO CONFERÊNCIA","")))))))</f>
        <v>FINALIZADO</v>
      </c>
      <c r="AS198" s="207"/>
      <c r="AT198" s="207"/>
      <c r="AU198" s="220"/>
      <c r="AV198" s="207"/>
      <c r="AW198" s="207"/>
      <c r="AX198" s="228"/>
      <c r="AY198" s="207"/>
      <c r="AZ198" s="202"/>
      <c r="BA198" s="219"/>
      <c r="BB198" s="207"/>
      <c r="BC198" s="202"/>
      <c r="BD198" s="208"/>
      <c r="BE198" s="202"/>
      <c r="BF198" s="207"/>
      <c r="BG198" s="229"/>
      <c r="BH198" s="321" t="str">
        <f t="shared" ref="BH198:BH261" si="17">IFERROR(IF(BD198-KI198=0,"",BD198-AK198),"")</f>
        <v/>
      </c>
      <c r="BI198" s="98" t="str">
        <f t="shared" ref="BI198:BI261" si="18">IF(AND(AH198&lt;&gt;"SIM",AH198="UH"),"AA","INDENIZAÇÃO")</f>
        <v>AA</v>
      </c>
      <c r="BJ198" s="98" t="str">
        <f t="shared" ref="BJ198:BJ261" si="19">IF(AND(BD198&lt;&gt;"AGUARDANDO",BD198&lt;&gt;"",N198="AUXÍLIO ALUGUEL ATÉ INDENIZAÇÃO"),"SIM","NÃO")</f>
        <v>NÃO</v>
      </c>
      <c r="BK198" s="230"/>
      <c r="BL198" s="230"/>
      <c r="BM198" s="230"/>
      <c r="BN198" s="230"/>
      <c r="BO198" s="230"/>
      <c r="BP198" s="230"/>
      <c r="BQ198" s="230"/>
      <c r="BR198" s="234"/>
    </row>
    <row r="199" spans="1:73" s="240" customFormat="1" ht="27" hidden="1" customHeight="1">
      <c r="A199" s="197">
        <v>195</v>
      </c>
      <c r="B199" s="197" t="s">
        <v>4396</v>
      </c>
      <c r="C199" s="207" t="s">
        <v>4453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5283</v>
      </c>
      <c r="K199" s="215" t="s">
        <v>5284</v>
      </c>
      <c r="L199" s="215" t="s">
        <v>5285</v>
      </c>
      <c r="M199" s="207" t="s">
        <v>4405</v>
      </c>
      <c r="N199" s="207" t="s">
        <v>4406</v>
      </c>
      <c r="O199" s="202">
        <v>45986</v>
      </c>
      <c r="P199" s="203" t="s">
        <v>4407</v>
      </c>
      <c r="Q199" s="203">
        <v>45985</v>
      </c>
      <c r="R199" s="203">
        <v>45986</v>
      </c>
      <c r="S199" s="203">
        <v>45987</v>
      </c>
      <c r="T199" s="203">
        <v>45992</v>
      </c>
      <c r="U199" s="202" t="s">
        <v>4408</v>
      </c>
      <c r="V199" s="202" t="s">
        <v>4408</v>
      </c>
      <c r="W199" s="202">
        <v>45999</v>
      </c>
      <c r="X199" s="202">
        <v>46006</v>
      </c>
      <c r="Y199" s="202">
        <v>46017</v>
      </c>
      <c r="Z199" s="207"/>
      <c r="AA199" s="215" t="s">
        <v>5283</v>
      </c>
      <c r="AB199" s="215" t="s">
        <v>5284</v>
      </c>
      <c r="AC199" s="215" t="s">
        <v>5285</v>
      </c>
      <c r="AD199" s="204" t="s">
        <v>4402</v>
      </c>
      <c r="AE199" s="204" t="s">
        <v>4405</v>
      </c>
      <c r="AF199" s="205" t="s">
        <v>4409</v>
      </c>
      <c r="AG199" s="205" t="s">
        <v>4409</v>
      </c>
      <c r="AH199" s="204" t="s">
        <v>4410</v>
      </c>
      <c r="AI199" s="214" t="s">
        <v>4411</v>
      </c>
      <c r="AJ199" s="207"/>
      <c r="AK199" s="316">
        <v>45996</v>
      </c>
      <c r="AL199" s="316">
        <v>45996</v>
      </c>
      <c r="AM199" s="316">
        <v>45996</v>
      </c>
      <c r="AN199" s="316">
        <v>45996</v>
      </c>
      <c r="AO199" s="316">
        <v>45996</v>
      </c>
      <c r="AP199" s="316">
        <v>45996</v>
      </c>
      <c r="AQ199" s="314"/>
      <c r="AR199" s="315" t="str">
        <f t="shared" si="16"/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9">
        <v>46017</v>
      </c>
      <c r="BF199" s="207" t="s">
        <v>4412</v>
      </c>
      <c r="BG199" s="229"/>
      <c r="BH199" s="321" t="str">
        <f t="shared" si="17"/>
        <v/>
      </c>
      <c r="BI199" s="98" t="str">
        <f t="shared" si="18"/>
        <v>AA</v>
      </c>
      <c r="BJ199" s="98" t="str">
        <f t="shared" si="19"/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196</v>
      </c>
      <c r="B200" s="197" t="s">
        <v>4396</v>
      </c>
      <c r="C200" s="207" t="s">
        <v>4427</v>
      </c>
      <c r="D200" s="207">
        <v>1</v>
      </c>
      <c r="E200" s="207" t="s">
        <v>4398</v>
      </c>
      <c r="F200" s="214" t="s">
        <v>5282</v>
      </c>
      <c r="G200" s="207" t="s">
        <v>4400</v>
      </c>
      <c r="H200" s="207" t="s">
        <v>4401</v>
      </c>
      <c r="I200" s="217" t="s">
        <v>4402</v>
      </c>
      <c r="J200" s="215" t="s">
        <v>5286</v>
      </c>
      <c r="K200" s="215" t="s">
        <v>4398</v>
      </c>
      <c r="L200" s="215" t="s">
        <v>5287</v>
      </c>
      <c r="M200" s="207" t="s">
        <v>4405</v>
      </c>
      <c r="N200" s="207" t="s">
        <v>4442</v>
      </c>
      <c r="O200" s="202" t="s">
        <v>4409</v>
      </c>
      <c r="P200" s="202" t="s">
        <v>4409</v>
      </c>
      <c r="Q200" s="202" t="s">
        <v>4409</v>
      </c>
      <c r="R200" s="202" t="s">
        <v>4409</v>
      </c>
      <c r="S200" s="202" t="s">
        <v>4409</v>
      </c>
      <c r="T200" s="202" t="s">
        <v>4409</v>
      </c>
      <c r="U200" s="202" t="s">
        <v>4409</v>
      </c>
      <c r="V200" s="202" t="s">
        <v>4409</v>
      </c>
      <c r="W200" s="202" t="s">
        <v>4409</v>
      </c>
      <c r="X200" s="202" t="s">
        <v>4409</v>
      </c>
      <c r="Y200" s="202"/>
      <c r="Z200" s="207"/>
      <c r="AA200" s="215" t="s">
        <v>5286</v>
      </c>
      <c r="AB200" s="215" t="s">
        <v>4398</v>
      </c>
      <c r="AC200" s="215" t="s">
        <v>5287</v>
      </c>
      <c r="AD200" s="204" t="s">
        <v>4402</v>
      </c>
      <c r="AE200" s="204" t="s">
        <v>4405</v>
      </c>
      <c r="AF200" s="243">
        <v>37801.07</v>
      </c>
      <c r="AG200" s="243">
        <v>60000</v>
      </c>
      <c r="AH200" s="197" t="s">
        <v>4433</v>
      </c>
      <c r="AI200" s="214" t="s">
        <v>4411</v>
      </c>
      <c r="AJ200" s="207">
        <v>148259487</v>
      </c>
      <c r="AK200" s="316">
        <v>46038</v>
      </c>
      <c r="AL200" s="316">
        <v>46038</v>
      </c>
      <c r="AM200" s="316">
        <v>46038</v>
      </c>
      <c r="AN200" s="316">
        <v>46038</v>
      </c>
      <c r="AO200" s="316">
        <v>46038</v>
      </c>
      <c r="AP200" s="316">
        <v>46038</v>
      </c>
      <c r="AQ200" s="314"/>
      <c r="AR200" s="315" t="str">
        <f t="shared" si="16"/>
        <v>FINALIZADO</v>
      </c>
      <c r="AS200" s="207" t="s">
        <v>4423</v>
      </c>
      <c r="AT200" s="207"/>
      <c r="AU200" s="220" t="s">
        <v>5288</v>
      </c>
      <c r="AV200" s="207" t="s">
        <v>4425</v>
      </c>
      <c r="AW200" s="207" t="s">
        <v>4425</v>
      </c>
      <c r="AX200" s="250" t="s">
        <v>4425</v>
      </c>
      <c r="AY200" s="207" t="s">
        <v>4425</v>
      </c>
      <c r="AZ200" s="202">
        <v>46125</v>
      </c>
      <c r="BA200" s="207" t="s">
        <v>4425</v>
      </c>
      <c r="BB200" s="207" t="s">
        <v>4425</v>
      </c>
      <c r="BC200" s="202">
        <v>46155</v>
      </c>
      <c r="BD200" s="227">
        <v>46155</v>
      </c>
      <c r="BE200" s="244" t="s">
        <v>4435</v>
      </c>
      <c r="BF200" s="245" t="s">
        <v>4436</v>
      </c>
      <c r="BG200" s="229" t="s">
        <v>4425</v>
      </c>
      <c r="BH200" s="321">
        <f t="shared" si="17"/>
        <v>117</v>
      </c>
      <c r="BI200" s="98" t="str">
        <f t="shared" si="18"/>
        <v>INDENIZAÇÃO</v>
      </c>
      <c r="BJ200" s="98" t="str">
        <f t="shared" si="19"/>
        <v>NÃO</v>
      </c>
      <c r="BK200" s="230" t="s">
        <v>4437</v>
      </c>
      <c r="BL200" s="230" t="s">
        <v>4437</v>
      </c>
      <c r="BM200" s="230" t="s">
        <v>4437</v>
      </c>
      <c r="BN200" s="207" t="s">
        <v>4425</v>
      </c>
      <c r="BO200" s="207" t="s">
        <v>4425</v>
      </c>
      <c r="BP200" s="202">
        <v>46224</v>
      </c>
      <c r="BQ200" s="207" t="s">
        <v>4425</v>
      </c>
      <c r="BR200" s="232" t="s">
        <v>4435</v>
      </c>
    </row>
    <row r="201" spans="1:73" s="240" customFormat="1" ht="27" hidden="1" customHeight="1">
      <c r="A201" s="207">
        <v>197</v>
      </c>
      <c r="B201" s="197" t="s">
        <v>4396</v>
      </c>
      <c r="C201" s="207" t="s">
        <v>4427</v>
      </c>
      <c r="D201" s="207">
        <v>1</v>
      </c>
      <c r="E201" s="207" t="s">
        <v>4398</v>
      </c>
      <c r="F201" s="214" t="s">
        <v>5289</v>
      </c>
      <c r="G201" s="207" t="s">
        <v>4400</v>
      </c>
      <c r="H201" s="207" t="s">
        <v>4401</v>
      </c>
      <c r="I201" s="217" t="s">
        <v>4536</v>
      </c>
      <c r="J201" s="215" t="s">
        <v>5290</v>
      </c>
      <c r="K201" s="215" t="s">
        <v>5291</v>
      </c>
      <c r="L201" s="215" t="s">
        <v>5292</v>
      </c>
      <c r="M201" s="207" t="s">
        <v>4405</v>
      </c>
      <c r="N201" s="207" t="s">
        <v>4406</v>
      </c>
      <c r="O201" s="202">
        <v>46002</v>
      </c>
      <c r="P201" s="202" t="s">
        <v>4407</v>
      </c>
      <c r="Q201" s="202">
        <v>45999</v>
      </c>
      <c r="R201" s="202">
        <v>46006</v>
      </c>
      <c r="S201" s="202">
        <v>46006</v>
      </c>
      <c r="T201" s="202">
        <v>46009</v>
      </c>
      <c r="U201" s="202" t="s">
        <v>4408</v>
      </c>
      <c r="V201" s="202" t="s">
        <v>4408</v>
      </c>
      <c r="W201" s="202">
        <v>46014</v>
      </c>
      <c r="X201" s="202">
        <v>46017</v>
      </c>
      <c r="Y201" s="202"/>
      <c r="Z201" s="207"/>
      <c r="AA201" s="215" t="s">
        <v>5290</v>
      </c>
      <c r="AB201" s="215" t="s">
        <v>5291</v>
      </c>
      <c r="AC201" s="215" t="s">
        <v>5292</v>
      </c>
      <c r="AD201" s="217" t="s">
        <v>4402</v>
      </c>
      <c r="AE201" s="207" t="s">
        <v>4405</v>
      </c>
      <c r="AF201" s="218" t="s">
        <v>4409</v>
      </c>
      <c r="AG201" s="218" t="s">
        <v>4409</v>
      </c>
      <c r="AH201" s="207" t="s">
        <v>4410</v>
      </c>
      <c r="AI201" s="214" t="s">
        <v>4411</v>
      </c>
      <c r="AJ201" s="207"/>
      <c r="AK201" s="316">
        <v>45988</v>
      </c>
      <c r="AL201" s="316">
        <v>45988</v>
      </c>
      <c r="AM201" s="316">
        <v>45988</v>
      </c>
      <c r="AN201" s="316">
        <v>45988</v>
      </c>
      <c r="AO201" s="316">
        <v>45988</v>
      </c>
      <c r="AP201" s="316">
        <v>45988</v>
      </c>
      <c r="AQ201" s="314"/>
      <c r="AR201" s="315" t="str">
        <f t="shared" si="16"/>
        <v>FINALIZADO</v>
      </c>
      <c r="AS201" s="207"/>
      <c r="AT201" s="207"/>
      <c r="AU201" s="220"/>
      <c r="AV201" s="207"/>
      <c r="AW201" s="207"/>
      <c r="AX201" s="228"/>
      <c r="AY201" s="207"/>
      <c r="AZ201" s="202"/>
      <c r="BA201" s="219"/>
      <c r="BB201" s="207"/>
      <c r="BC201" s="202"/>
      <c r="BD201" s="208"/>
      <c r="BE201" s="201"/>
      <c r="BF201" s="207"/>
      <c r="BG201" s="229"/>
      <c r="BH201" s="321" t="str">
        <f t="shared" si="17"/>
        <v/>
      </c>
      <c r="BI201" s="98" t="str">
        <f t="shared" si="18"/>
        <v>AA</v>
      </c>
      <c r="BJ201" s="98" t="str">
        <f t="shared" si="19"/>
        <v>NÃO</v>
      </c>
      <c r="BK201" s="230"/>
      <c r="BL201" s="230"/>
      <c r="BM201" s="230"/>
      <c r="BN201" s="230"/>
      <c r="BO201" s="230"/>
      <c r="BP201" s="230"/>
      <c r="BQ201" s="230"/>
      <c r="BR201" s="234"/>
      <c r="BS201" s="223"/>
      <c r="BT201" s="223"/>
    </row>
    <row r="202" spans="1:73" s="240" customFormat="1" ht="27" hidden="1" customHeight="1">
      <c r="A202" s="207">
        <v>198</v>
      </c>
      <c r="B202" s="197" t="s">
        <v>4396</v>
      </c>
      <c r="C202" s="207" t="s">
        <v>4427</v>
      </c>
      <c r="D202" s="207">
        <v>1</v>
      </c>
      <c r="E202" s="207" t="s">
        <v>4398</v>
      </c>
      <c r="F202" s="214" t="s">
        <v>5293</v>
      </c>
      <c r="G202" s="207" t="s">
        <v>4400</v>
      </c>
      <c r="H202" s="207" t="s">
        <v>4401</v>
      </c>
      <c r="I202" s="217" t="s">
        <v>4536</v>
      </c>
      <c r="J202" s="215" t="s">
        <v>5294</v>
      </c>
      <c r="K202" s="215" t="s">
        <v>5295</v>
      </c>
      <c r="L202" s="215" t="s">
        <v>5296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5294</v>
      </c>
      <c r="AB202" s="215" t="s">
        <v>5295</v>
      </c>
      <c r="AC202" s="215" t="s">
        <v>5296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2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</row>
    <row r="203" spans="1:73" s="240" customFormat="1" ht="27" hidden="1" customHeight="1">
      <c r="A203" s="207">
        <v>199</v>
      </c>
      <c r="B203" s="197" t="s">
        <v>4396</v>
      </c>
      <c r="C203" s="207" t="s">
        <v>5297</v>
      </c>
      <c r="D203" s="207">
        <v>1</v>
      </c>
      <c r="E203" s="207" t="s">
        <v>4398</v>
      </c>
      <c r="F203" s="214" t="s">
        <v>5298</v>
      </c>
      <c r="G203" s="207" t="s">
        <v>4400</v>
      </c>
      <c r="H203" s="207" t="s">
        <v>4401</v>
      </c>
      <c r="I203" s="217" t="s">
        <v>4402</v>
      </c>
      <c r="J203" s="215" t="s">
        <v>5299</v>
      </c>
      <c r="K203" s="215" t="s">
        <v>5300</v>
      </c>
      <c r="L203" s="215" t="s">
        <v>5301</v>
      </c>
      <c r="M203" s="207" t="s">
        <v>4405</v>
      </c>
      <c r="N203" s="207" t="s">
        <v>4406</v>
      </c>
      <c r="O203" s="202">
        <v>45986</v>
      </c>
      <c r="P203" s="203" t="s">
        <v>4407</v>
      </c>
      <c r="Q203" s="203">
        <v>45985</v>
      </c>
      <c r="R203" s="203">
        <v>45986</v>
      </c>
      <c r="S203" s="203">
        <v>45987</v>
      </c>
      <c r="T203" s="203">
        <v>45992</v>
      </c>
      <c r="U203" s="202" t="s">
        <v>4408</v>
      </c>
      <c r="V203" s="202" t="s">
        <v>4408</v>
      </c>
      <c r="W203" s="202">
        <v>45999</v>
      </c>
      <c r="X203" s="202">
        <v>46000</v>
      </c>
      <c r="Y203" s="202">
        <v>46017</v>
      </c>
      <c r="Z203" s="207"/>
      <c r="AA203" s="215" t="s">
        <v>5299</v>
      </c>
      <c r="AB203" s="215" t="s">
        <v>5300</v>
      </c>
      <c r="AC203" s="215" t="s">
        <v>5301</v>
      </c>
      <c r="AD203" s="241" t="s">
        <v>4402</v>
      </c>
      <c r="AE203" s="241" t="s">
        <v>4405</v>
      </c>
      <c r="AF203" s="242" t="s">
        <v>4409</v>
      </c>
      <c r="AG203" s="242" t="s">
        <v>4409</v>
      </c>
      <c r="AH203" s="241" t="s">
        <v>4410</v>
      </c>
      <c r="AI203" s="214" t="s">
        <v>4411</v>
      </c>
      <c r="AJ203" s="207"/>
      <c r="AK203" s="316">
        <v>45979</v>
      </c>
      <c r="AL203" s="316">
        <v>45979</v>
      </c>
      <c r="AM203" s="316">
        <v>45979</v>
      </c>
      <c r="AN203" s="316">
        <v>45979</v>
      </c>
      <c r="AO203" s="316">
        <v>45979</v>
      </c>
      <c r="AP203" s="316">
        <v>45979</v>
      </c>
      <c r="AQ203" s="314"/>
      <c r="AR203" s="315" t="str">
        <f t="shared" si="16"/>
        <v>FINALIZADO</v>
      </c>
      <c r="AS203" s="207"/>
      <c r="AT203" s="217"/>
      <c r="AU203" s="220"/>
      <c r="AV203" s="207"/>
      <c r="AW203" s="207"/>
      <c r="AX203" s="228"/>
      <c r="AY203" s="160"/>
      <c r="AZ203" s="267"/>
      <c r="BA203" s="219"/>
      <c r="BB203" s="207"/>
      <c r="BC203" s="202"/>
      <c r="BD203" s="208"/>
      <c r="BE203" s="239">
        <v>46017</v>
      </c>
      <c r="BF203" s="207" t="s">
        <v>4412</v>
      </c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197">
        <v>200</v>
      </c>
      <c r="B204" s="197" t="s">
        <v>4396</v>
      </c>
      <c r="C204" s="207" t="s">
        <v>4427</v>
      </c>
      <c r="D204" s="207">
        <v>1</v>
      </c>
      <c r="E204" s="207" t="s">
        <v>4398</v>
      </c>
      <c r="F204" s="214" t="s">
        <v>5298</v>
      </c>
      <c r="G204" s="207" t="s">
        <v>4400</v>
      </c>
      <c r="H204" s="207" t="s">
        <v>4401</v>
      </c>
      <c r="I204" s="217" t="s">
        <v>4414</v>
      </c>
      <c r="J204" s="215" t="s">
        <v>5302</v>
      </c>
      <c r="K204" s="215" t="s">
        <v>4398</v>
      </c>
      <c r="L204" s="215" t="s">
        <v>5303</v>
      </c>
      <c r="M204" s="207" t="s">
        <v>4405</v>
      </c>
      <c r="N204" s="207" t="s">
        <v>4406</v>
      </c>
      <c r="O204" s="203">
        <v>46044</v>
      </c>
      <c r="P204" s="203" t="s">
        <v>4407</v>
      </c>
      <c r="Q204" s="203">
        <v>46043</v>
      </c>
      <c r="R204" s="203">
        <v>46044</v>
      </c>
      <c r="S204" s="203">
        <v>46045</v>
      </c>
      <c r="T204" s="203">
        <v>46155</v>
      </c>
      <c r="U204" s="202" t="s">
        <v>4408</v>
      </c>
      <c r="V204" s="202" t="s">
        <v>4408</v>
      </c>
      <c r="W204" s="202">
        <v>46055</v>
      </c>
      <c r="X204" s="202">
        <v>46115</v>
      </c>
      <c r="Y204" s="202"/>
      <c r="Z204" s="207"/>
      <c r="AA204" s="215" t="s">
        <v>5304</v>
      </c>
      <c r="AB204" s="246" t="s">
        <v>5305</v>
      </c>
      <c r="AC204" s="272" t="s">
        <v>5306</v>
      </c>
      <c r="AD204" s="199" t="s">
        <v>4421</v>
      </c>
      <c r="AE204" s="197" t="s">
        <v>4405</v>
      </c>
      <c r="AF204" s="218">
        <v>16706.66</v>
      </c>
      <c r="AG204" s="218">
        <v>16706.66</v>
      </c>
      <c r="AH204" s="207" t="s">
        <v>4422</v>
      </c>
      <c r="AI204" s="214" t="s">
        <v>4411</v>
      </c>
      <c r="AJ204" s="207">
        <v>152307104</v>
      </c>
      <c r="AK204" s="316">
        <v>46086</v>
      </c>
      <c r="AL204" s="316">
        <v>46086</v>
      </c>
      <c r="AM204" s="316">
        <v>46086</v>
      </c>
      <c r="AN204" s="316">
        <v>46086</v>
      </c>
      <c r="AO204" s="316">
        <v>46086</v>
      </c>
      <c r="AP204" s="316">
        <v>46086</v>
      </c>
      <c r="AQ204" s="314"/>
      <c r="AR204" s="315" t="str">
        <f t="shared" si="16"/>
        <v>FINALIZADO</v>
      </c>
      <c r="AS204" s="207" t="s">
        <v>4423</v>
      </c>
      <c r="AT204" s="217"/>
      <c r="AU204" s="220" t="s">
        <v>5307</v>
      </c>
      <c r="AV204" s="207" t="s">
        <v>4425</v>
      </c>
      <c r="AW204" s="207" t="s">
        <v>4425</v>
      </c>
      <c r="AX204" s="250" t="s">
        <v>4425</v>
      </c>
      <c r="AY204" s="197" t="s">
        <v>4425</v>
      </c>
      <c r="AZ204" s="202">
        <v>46153</v>
      </c>
      <c r="BA204" s="207" t="s">
        <v>4425</v>
      </c>
      <c r="BB204" s="207" t="s">
        <v>4425</v>
      </c>
      <c r="BC204" s="202">
        <v>46160</v>
      </c>
      <c r="BD204" s="227">
        <v>46160</v>
      </c>
      <c r="BE204" s="227" t="s">
        <v>4435</v>
      </c>
      <c r="BF204" s="228" t="s">
        <v>4436</v>
      </c>
      <c r="BG204" s="219" t="s">
        <v>4425</v>
      </c>
      <c r="BH204" s="321">
        <f t="shared" si="17"/>
        <v>74</v>
      </c>
      <c r="BI204" s="98" t="str">
        <f t="shared" si="18"/>
        <v>INDENIZAÇÃO</v>
      </c>
      <c r="BJ204" s="98" t="str">
        <f t="shared" si="19"/>
        <v>NÃO</v>
      </c>
      <c r="BK204" s="219" t="s">
        <v>4437</v>
      </c>
      <c r="BL204" s="219" t="s">
        <v>4437</v>
      </c>
      <c r="BM204" s="219" t="s">
        <v>4437</v>
      </c>
      <c r="BN204" s="207" t="s">
        <v>4425</v>
      </c>
      <c r="BO204" s="207" t="s">
        <v>4425</v>
      </c>
      <c r="BP204" s="202">
        <v>46224</v>
      </c>
      <c r="BQ204" s="207" t="s">
        <v>4425</v>
      </c>
      <c r="BR204" s="232" t="s">
        <v>4435</v>
      </c>
    </row>
    <row r="205" spans="1:73" s="240" customFormat="1" ht="27" hidden="1" customHeight="1">
      <c r="A205" s="197">
        <v>201</v>
      </c>
      <c r="B205" s="197" t="s">
        <v>4396</v>
      </c>
      <c r="C205" s="207" t="s">
        <v>5297</v>
      </c>
      <c r="D205" s="207">
        <v>1</v>
      </c>
      <c r="E205" s="207" t="s">
        <v>4398</v>
      </c>
      <c r="F205" s="214" t="s">
        <v>5308</v>
      </c>
      <c r="G205" s="207" t="s">
        <v>4400</v>
      </c>
      <c r="H205" s="207" t="s">
        <v>4401</v>
      </c>
      <c r="I205" s="217" t="s">
        <v>4402</v>
      </c>
      <c r="J205" s="215" t="s">
        <v>5309</v>
      </c>
      <c r="K205" s="215" t="s">
        <v>5310</v>
      </c>
      <c r="L205" s="215" t="s">
        <v>5311</v>
      </c>
      <c r="M205" s="207" t="s">
        <v>4405</v>
      </c>
      <c r="N205" s="207" t="s">
        <v>4442</v>
      </c>
      <c r="O205" s="202" t="s">
        <v>4409</v>
      </c>
      <c r="P205" s="202" t="s">
        <v>4409</v>
      </c>
      <c r="Q205" s="202" t="s">
        <v>4409</v>
      </c>
      <c r="R205" s="202" t="s">
        <v>4409</v>
      </c>
      <c r="S205" s="202" t="s">
        <v>4409</v>
      </c>
      <c r="T205" s="202" t="s">
        <v>4409</v>
      </c>
      <c r="U205" s="202" t="s">
        <v>4409</v>
      </c>
      <c r="V205" s="202" t="s">
        <v>4409</v>
      </c>
      <c r="W205" s="202" t="s">
        <v>4409</v>
      </c>
      <c r="X205" s="202" t="s">
        <v>4409</v>
      </c>
      <c r="Y205" s="202"/>
      <c r="Z205" s="207"/>
      <c r="AA205" s="200" t="s">
        <v>5309</v>
      </c>
      <c r="AB205" s="198" t="s">
        <v>5310</v>
      </c>
      <c r="AC205" s="198" t="s">
        <v>5311</v>
      </c>
      <c r="AD205" s="204" t="s">
        <v>4402</v>
      </c>
      <c r="AE205" s="204" t="s">
        <v>4405</v>
      </c>
      <c r="AF205" s="243">
        <v>13707.29</v>
      </c>
      <c r="AG205" s="243">
        <f>AF205+30000</f>
        <v>43707.29</v>
      </c>
      <c r="AH205" s="197" t="s">
        <v>4433</v>
      </c>
      <c r="AI205" s="214" t="s">
        <v>4411</v>
      </c>
      <c r="AJ205" s="207">
        <v>146041017</v>
      </c>
      <c r="AK205" s="316">
        <v>45979</v>
      </c>
      <c r="AL205" s="316">
        <v>45979</v>
      </c>
      <c r="AM205" s="316">
        <v>45979</v>
      </c>
      <c r="AN205" s="316">
        <v>45979</v>
      </c>
      <c r="AO205" s="316">
        <v>45979</v>
      </c>
      <c r="AP205" s="316">
        <v>45979</v>
      </c>
      <c r="AQ205" s="314"/>
      <c r="AR205" s="315" t="str">
        <f t="shared" si="16"/>
        <v>FINALIZADO</v>
      </c>
      <c r="AS205" s="207" t="s">
        <v>4423</v>
      </c>
      <c r="AT205" s="207"/>
      <c r="AU205" s="220" t="s">
        <v>5312</v>
      </c>
      <c r="AV205" s="207" t="s">
        <v>4425</v>
      </c>
      <c r="AW205" s="207" t="s">
        <v>4425</v>
      </c>
      <c r="AX205" s="207" t="s">
        <v>4425</v>
      </c>
      <c r="AY205" s="207" t="s">
        <v>4425</v>
      </c>
      <c r="AZ205" s="202">
        <v>46014</v>
      </c>
      <c r="BA205" s="219" t="s">
        <v>4425</v>
      </c>
      <c r="BB205" s="207" t="s">
        <v>4425</v>
      </c>
      <c r="BC205" s="202">
        <v>46021</v>
      </c>
      <c r="BD205" s="227">
        <v>46021</v>
      </c>
      <c r="BE205" s="239">
        <v>46017</v>
      </c>
      <c r="BF205" s="207" t="s">
        <v>4412</v>
      </c>
      <c r="BG205" s="229" t="s">
        <v>4425</v>
      </c>
      <c r="BH205" s="321">
        <f t="shared" si="17"/>
        <v>42</v>
      </c>
      <c r="BI205" s="98" t="str">
        <f t="shared" si="18"/>
        <v>INDENIZAÇÃO</v>
      </c>
      <c r="BJ205" s="98" t="str">
        <f t="shared" si="19"/>
        <v>NÃO</v>
      </c>
      <c r="BK205" s="230" t="s">
        <v>4437</v>
      </c>
      <c r="BL205" s="230" t="s">
        <v>4437</v>
      </c>
      <c r="BM205" s="230" t="s">
        <v>4437</v>
      </c>
      <c r="BN205" s="207" t="s">
        <v>4425</v>
      </c>
      <c r="BO205" s="207" t="s">
        <v>4425</v>
      </c>
      <c r="BP205" s="202">
        <v>46182</v>
      </c>
      <c r="BQ205" s="207" t="s">
        <v>4425</v>
      </c>
      <c r="BR205" s="256" t="s">
        <v>4435</v>
      </c>
      <c r="BS205" s="223"/>
      <c r="BT205" s="223"/>
      <c r="BU205" s="223"/>
    </row>
    <row r="206" spans="1:73" s="240" customFormat="1" ht="27" hidden="1" customHeight="1">
      <c r="A206" s="207">
        <v>202</v>
      </c>
      <c r="B206" s="197" t="s">
        <v>4396</v>
      </c>
      <c r="C206" s="207" t="s">
        <v>4427</v>
      </c>
      <c r="D206" s="207">
        <v>1</v>
      </c>
      <c r="E206" s="207" t="s">
        <v>4398</v>
      </c>
      <c r="F206" s="214" t="s">
        <v>5308</v>
      </c>
      <c r="G206" s="207" t="s">
        <v>4400</v>
      </c>
      <c r="H206" s="207" t="s">
        <v>4401</v>
      </c>
      <c r="I206" s="217" t="s">
        <v>4414</v>
      </c>
      <c r="J206" s="215" t="s">
        <v>5313</v>
      </c>
      <c r="K206" s="215" t="s">
        <v>5314</v>
      </c>
      <c r="L206" s="215" t="s">
        <v>5315</v>
      </c>
      <c r="M206" s="207" t="s">
        <v>4405</v>
      </c>
      <c r="N206" s="207" t="s">
        <v>4406</v>
      </c>
      <c r="O206" s="203">
        <v>46031</v>
      </c>
      <c r="P206" s="202" t="s">
        <v>4407</v>
      </c>
      <c r="Q206" s="203">
        <v>46030</v>
      </c>
      <c r="R206" s="203">
        <v>46031</v>
      </c>
      <c r="S206" s="203">
        <v>46036</v>
      </c>
      <c r="T206" s="203">
        <v>46045</v>
      </c>
      <c r="U206" s="203" t="s">
        <v>4408</v>
      </c>
      <c r="V206" s="203" t="s">
        <v>4408</v>
      </c>
      <c r="W206" s="202">
        <v>46055</v>
      </c>
      <c r="X206" s="202" t="s">
        <v>4440</v>
      </c>
      <c r="Y206" s="202"/>
      <c r="Z206" s="217" t="s">
        <v>5316</v>
      </c>
      <c r="AA206" s="215" t="s">
        <v>5317</v>
      </c>
      <c r="AB206" s="214" t="s">
        <v>5318</v>
      </c>
      <c r="AC206" s="214" t="s">
        <v>5319</v>
      </c>
      <c r="AD206" s="217" t="s">
        <v>4421</v>
      </c>
      <c r="AE206" s="207" t="s">
        <v>4405</v>
      </c>
      <c r="AF206" s="218">
        <v>36865.35</v>
      </c>
      <c r="AG206" s="218">
        <v>36865.35</v>
      </c>
      <c r="AH206" s="207" t="s">
        <v>4422</v>
      </c>
      <c r="AI206" s="214" t="s">
        <v>4411</v>
      </c>
      <c r="AJ206" s="207">
        <v>154259383</v>
      </c>
      <c r="AK206" s="316">
        <v>46093</v>
      </c>
      <c r="AL206" s="316">
        <v>46093</v>
      </c>
      <c r="AM206" s="316">
        <v>46093</v>
      </c>
      <c r="AN206" s="316">
        <v>46093</v>
      </c>
      <c r="AO206" s="316">
        <v>46093</v>
      </c>
      <c r="AP206" s="316">
        <v>46093</v>
      </c>
      <c r="AQ206" s="314"/>
      <c r="AR206" s="315" t="str">
        <f t="shared" si="16"/>
        <v>FINALIZADO</v>
      </c>
      <c r="AS206" s="207" t="s">
        <v>4423</v>
      </c>
      <c r="AT206" s="217"/>
      <c r="AU206" s="220" t="s">
        <v>5320</v>
      </c>
      <c r="AV206" s="207" t="s">
        <v>4425</v>
      </c>
      <c r="AW206" s="207" t="s">
        <v>4425</v>
      </c>
      <c r="AX206" s="207" t="s">
        <v>4425</v>
      </c>
      <c r="AY206" s="197" t="s">
        <v>4425</v>
      </c>
      <c r="AZ206" s="202">
        <v>46153</v>
      </c>
      <c r="BA206" s="207" t="s">
        <v>4425</v>
      </c>
      <c r="BB206" s="207" t="s">
        <v>4425</v>
      </c>
      <c r="BC206" s="202">
        <v>46195</v>
      </c>
      <c r="BD206" s="227">
        <v>46195</v>
      </c>
      <c r="BE206" s="227" t="s">
        <v>4435</v>
      </c>
      <c r="BF206" s="228" t="s">
        <v>4436</v>
      </c>
      <c r="BG206" s="219" t="s">
        <v>4425</v>
      </c>
      <c r="BH206" s="321">
        <f t="shared" si="17"/>
        <v>102</v>
      </c>
      <c r="BI206" s="98" t="str">
        <f t="shared" si="18"/>
        <v>INDENIZAÇÃO</v>
      </c>
      <c r="BJ206" s="98" t="str">
        <f t="shared" si="19"/>
        <v>NÃO</v>
      </c>
      <c r="BK206" s="219" t="s">
        <v>4437</v>
      </c>
      <c r="BL206" s="230" t="s">
        <v>4437</v>
      </c>
      <c r="BM206" s="230" t="s">
        <v>4437</v>
      </c>
      <c r="BN206" s="207" t="s">
        <v>4425</v>
      </c>
      <c r="BO206" s="207" t="s">
        <v>4425</v>
      </c>
      <c r="BP206" s="202">
        <v>46224</v>
      </c>
      <c r="BQ206" s="207" t="s">
        <v>4425</v>
      </c>
      <c r="BR206" s="232" t="s">
        <v>4435</v>
      </c>
    </row>
    <row r="207" spans="1:73" s="240" customFormat="1" ht="27" hidden="1" customHeight="1">
      <c r="A207" s="207">
        <v>203</v>
      </c>
      <c r="B207" s="197" t="s">
        <v>4396</v>
      </c>
      <c r="C207" s="207" t="s">
        <v>4427</v>
      </c>
      <c r="D207" s="207">
        <v>1</v>
      </c>
      <c r="E207" s="207" t="s">
        <v>4398</v>
      </c>
      <c r="F207" s="214" t="s">
        <v>5321</v>
      </c>
      <c r="G207" s="207" t="s">
        <v>4400</v>
      </c>
      <c r="H207" s="207" t="s">
        <v>4401</v>
      </c>
      <c r="I207" s="217" t="s">
        <v>4402</v>
      </c>
      <c r="J207" s="215" t="s">
        <v>5322</v>
      </c>
      <c r="K207" s="215" t="s">
        <v>4398</v>
      </c>
      <c r="L207" s="215" t="s">
        <v>5323</v>
      </c>
      <c r="M207" s="207" t="s">
        <v>4405</v>
      </c>
      <c r="N207" s="207" t="s">
        <v>4442</v>
      </c>
      <c r="O207" s="202" t="s">
        <v>4409</v>
      </c>
      <c r="P207" s="202" t="s">
        <v>4409</v>
      </c>
      <c r="Q207" s="202" t="s">
        <v>4409</v>
      </c>
      <c r="R207" s="202" t="s">
        <v>4409</v>
      </c>
      <c r="S207" s="202" t="s">
        <v>4409</v>
      </c>
      <c r="T207" s="202" t="s">
        <v>4409</v>
      </c>
      <c r="U207" s="202" t="s">
        <v>4409</v>
      </c>
      <c r="V207" s="202" t="s">
        <v>4409</v>
      </c>
      <c r="W207" s="202" t="s">
        <v>4409</v>
      </c>
      <c r="X207" s="202" t="s">
        <v>4409</v>
      </c>
      <c r="Y207" s="202"/>
      <c r="Z207" s="207"/>
      <c r="AA207" s="215" t="s">
        <v>5322</v>
      </c>
      <c r="AB207" s="214" t="s">
        <v>4398</v>
      </c>
      <c r="AC207" s="214" t="s">
        <v>5323</v>
      </c>
      <c r="AD207" s="197" t="s">
        <v>4402</v>
      </c>
      <c r="AE207" s="197" t="s">
        <v>4405</v>
      </c>
      <c r="AF207" s="243">
        <v>24067.119999999999</v>
      </c>
      <c r="AG207" s="243">
        <f>AF207+30000</f>
        <v>54067.119999999995</v>
      </c>
      <c r="AH207" s="197" t="s">
        <v>4433</v>
      </c>
      <c r="AI207" s="214" t="s">
        <v>4411</v>
      </c>
      <c r="AJ207" s="207">
        <v>148260156</v>
      </c>
      <c r="AK207" s="316">
        <v>46038</v>
      </c>
      <c r="AL207" s="316">
        <v>46038</v>
      </c>
      <c r="AM207" s="316">
        <v>46038</v>
      </c>
      <c r="AN207" s="316">
        <v>46038</v>
      </c>
      <c r="AO207" s="316">
        <v>46038</v>
      </c>
      <c r="AP207" s="316">
        <v>46038</v>
      </c>
      <c r="AQ207" s="314"/>
      <c r="AR207" s="315" t="str">
        <f t="shared" si="16"/>
        <v>FINALIZADO</v>
      </c>
      <c r="AS207" s="207" t="s">
        <v>4423</v>
      </c>
      <c r="AT207" s="207"/>
      <c r="AU207" s="220" t="s">
        <v>5324</v>
      </c>
      <c r="AV207" s="207" t="s">
        <v>4425</v>
      </c>
      <c r="AW207" s="207" t="s">
        <v>4425</v>
      </c>
      <c r="AX207" s="207" t="s">
        <v>4425</v>
      </c>
      <c r="AY207" s="207" t="s">
        <v>4425</v>
      </c>
      <c r="AZ207" s="202">
        <v>46062</v>
      </c>
      <c r="BA207" s="219" t="s">
        <v>4425</v>
      </c>
      <c r="BB207" s="207" t="s">
        <v>4425</v>
      </c>
      <c r="BC207" s="202">
        <v>46066</v>
      </c>
      <c r="BD207" s="227">
        <v>46066</v>
      </c>
      <c r="BE207" s="244" t="s">
        <v>4435</v>
      </c>
      <c r="BF207" s="245" t="s">
        <v>4436</v>
      </c>
      <c r="BG207" s="229" t="s">
        <v>4425</v>
      </c>
      <c r="BH207" s="321">
        <f t="shared" si="17"/>
        <v>28</v>
      </c>
      <c r="BI207" s="98" t="str">
        <f t="shared" si="18"/>
        <v>INDENIZAÇÃO</v>
      </c>
      <c r="BJ207" s="98" t="str">
        <f t="shared" si="19"/>
        <v>NÃO</v>
      </c>
      <c r="BK207" s="230" t="s">
        <v>4437</v>
      </c>
      <c r="BL207" s="230" t="s">
        <v>4437</v>
      </c>
      <c r="BM207" s="230" t="s">
        <v>4437</v>
      </c>
      <c r="BN207" s="207" t="s">
        <v>4425</v>
      </c>
      <c r="BO207" s="207" t="s">
        <v>4425</v>
      </c>
      <c r="BP207" s="202">
        <v>46182</v>
      </c>
      <c r="BQ207" s="207" t="s">
        <v>4425</v>
      </c>
      <c r="BR207" s="256" t="s">
        <v>4435</v>
      </c>
    </row>
    <row r="208" spans="1:73" s="240" customFormat="1" ht="27" hidden="1" customHeight="1">
      <c r="A208" s="207">
        <v>204</v>
      </c>
      <c r="B208" s="197" t="s">
        <v>4396</v>
      </c>
      <c r="C208" s="207" t="s">
        <v>5297</v>
      </c>
      <c r="D208" s="207">
        <v>1</v>
      </c>
      <c r="E208" s="207" t="s">
        <v>4398</v>
      </c>
      <c r="F208" s="214" t="s">
        <v>5321</v>
      </c>
      <c r="G208" s="207" t="s">
        <v>4400</v>
      </c>
      <c r="H208" s="207" t="s">
        <v>4401</v>
      </c>
      <c r="I208" s="217" t="s">
        <v>4402</v>
      </c>
      <c r="J208" s="215" t="s">
        <v>5325</v>
      </c>
      <c r="K208" s="215" t="s">
        <v>5326</v>
      </c>
      <c r="L208" s="215" t="s">
        <v>5327</v>
      </c>
      <c r="M208" s="207" t="s">
        <v>4405</v>
      </c>
      <c r="N208" s="207" t="s">
        <v>4406</v>
      </c>
      <c r="O208" s="202">
        <v>45986</v>
      </c>
      <c r="P208" s="203" t="s">
        <v>4407</v>
      </c>
      <c r="Q208" s="203">
        <v>45985</v>
      </c>
      <c r="R208" s="203">
        <v>45986</v>
      </c>
      <c r="S208" s="203">
        <v>45987</v>
      </c>
      <c r="T208" s="203">
        <v>45992</v>
      </c>
      <c r="U208" s="202" t="s">
        <v>4408</v>
      </c>
      <c r="V208" s="202" t="s">
        <v>4408</v>
      </c>
      <c r="W208" s="202">
        <v>45999</v>
      </c>
      <c r="X208" s="202">
        <v>46001</v>
      </c>
      <c r="Y208" s="202">
        <v>46017</v>
      </c>
      <c r="Z208" s="207"/>
      <c r="AA208" s="215" t="s">
        <v>5325</v>
      </c>
      <c r="AB208" s="215" t="s">
        <v>5326</v>
      </c>
      <c r="AC208" s="215" t="s">
        <v>5327</v>
      </c>
      <c r="AD208" s="241" t="s">
        <v>4402</v>
      </c>
      <c r="AE208" s="241" t="s">
        <v>4405</v>
      </c>
      <c r="AF208" s="242" t="s">
        <v>4409</v>
      </c>
      <c r="AG208" s="242" t="s">
        <v>4409</v>
      </c>
      <c r="AH208" s="241" t="s">
        <v>4410</v>
      </c>
      <c r="AI208" s="214" t="s">
        <v>4411</v>
      </c>
      <c r="AJ208" s="207"/>
      <c r="AK208" s="316">
        <v>45979</v>
      </c>
      <c r="AL208" s="316">
        <v>45979</v>
      </c>
      <c r="AM208" s="316">
        <v>45979</v>
      </c>
      <c r="AN208" s="316">
        <v>45979</v>
      </c>
      <c r="AO208" s="316">
        <v>45979</v>
      </c>
      <c r="AP208" s="316">
        <v>45979</v>
      </c>
      <c r="AQ208" s="314"/>
      <c r="AR208" s="315" t="str">
        <f t="shared" si="16"/>
        <v>FINALIZADO</v>
      </c>
      <c r="AS208" s="207"/>
      <c r="AT208" s="207"/>
      <c r="AU208" s="220"/>
      <c r="AV208" s="207"/>
      <c r="AW208" s="207"/>
      <c r="AX208" s="228"/>
      <c r="AY208" s="207"/>
      <c r="AZ208" s="202"/>
      <c r="BA208" s="219"/>
      <c r="BB208" s="207"/>
      <c r="BC208" s="202"/>
      <c r="BD208" s="208"/>
      <c r="BE208" s="239">
        <v>46017</v>
      </c>
      <c r="BF208" s="207" t="s">
        <v>4412</v>
      </c>
      <c r="BG208" s="229"/>
      <c r="BH208" s="321" t="str">
        <f t="shared" si="17"/>
        <v/>
      </c>
      <c r="BI208" s="98" t="str">
        <f t="shared" si="18"/>
        <v>AA</v>
      </c>
      <c r="BJ208" s="98" t="str">
        <f t="shared" si="19"/>
        <v>NÃO</v>
      </c>
      <c r="BK208" s="230"/>
      <c r="BL208" s="230"/>
      <c r="BM208" s="230"/>
      <c r="BN208" s="230"/>
      <c r="BO208" s="230"/>
      <c r="BP208" s="230"/>
      <c r="BQ208" s="230"/>
      <c r="BR208" s="234"/>
    </row>
    <row r="209" spans="1:72" s="240" customFormat="1" ht="27" hidden="1" customHeight="1">
      <c r="A209" s="197">
        <v>205</v>
      </c>
      <c r="B209" s="197" t="s">
        <v>4396</v>
      </c>
      <c r="C209" s="207" t="s">
        <v>4427</v>
      </c>
      <c r="D209" s="207">
        <v>1</v>
      </c>
      <c r="E209" s="207" t="s">
        <v>4398</v>
      </c>
      <c r="F209" s="214" t="s">
        <v>5328</v>
      </c>
      <c r="G209" s="207" t="s">
        <v>4400</v>
      </c>
      <c r="H209" s="207" t="s">
        <v>4401</v>
      </c>
      <c r="I209" s="217" t="s">
        <v>4402</v>
      </c>
      <c r="J209" s="215" t="s">
        <v>5329</v>
      </c>
      <c r="K209" s="215" t="s">
        <v>5330</v>
      </c>
      <c r="L209" s="215" t="s">
        <v>5331</v>
      </c>
      <c r="M209" s="207" t="s">
        <v>4405</v>
      </c>
      <c r="N209" s="207" t="s">
        <v>4442</v>
      </c>
      <c r="O209" s="202" t="s">
        <v>4409</v>
      </c>
      <c r="P209" s="202" t="s">
        <v>4409</v>
      </c>
      <c r="Q209" s="202" t="s">
        <v>4409</v>
      </c>
      <c r="R209" s="202" t="s">
        <v>4409</v>
      </c>
      <c r="S209" s="202" t="s">
        <v>4409</v>
      </c>
      <c r="T209" s="202" t="s">
        <v>4409</v>
      </c>
      <c r="U209" s="202" t="s">
        <v>4409</v>
      </c>
      <c r="V209" s="202" t="s">
        <v>4409</v>
      </c>
      <c r="W209" s="202" t="s">
        <v>4409</v>
      </c>
      <c r="X209" s="202" t="s">
        <v>4409</v>
      </c>
      <c r="Y209" s="202"/>
      <c r="Z209" s="207"/>
      <c r="AA209" s="215" t="s">
        <v>5329</v>
      </c>
      <c r="AB209" s="214" t="s">
        <v>5330</v>
      </c>
      <c r="AC209" s="214" t="s">
        <v>5331</v>
      </c>
      <c r="AD209" s="197" t="s">
        <v>4402</v>
      </c>
      <c r="AE209" s="197" t="s">
        <v>4405</v>
      </c>
      <c r="AF209" s="243">
        <v>72840.820000000007</v>
      </c>
      <c r="AG209" s="243">
        <v>72840.820000000007</v>
      </c>
      <c r="AH209" s="197" t="s">
        <v>4433</v>
      </c>
      <c r="AI209" s="214" t="s">
        <v>4411</v>
      </c>
      <c r="AJ209" s="207">
        <v>148260815</v>
      </c>
      <c r="AK209" s="316">
        <v>46045</v>
      </c>
      <c r="AL209" s="316">
        <v>46045</v>
      </c>
      <c r="AM209" s="316">
        <v>46045</v>
      </c>
      <c r="AN209" s="316">
        <v>46045</v>
      </c>
      <c r="AO209" s="316">
        <v>46045</v>
      </c>
      <c r="AP209" s="316">
        <v>46045</v>
      </c>
      <c r="AQ209" s="314"/>
      <c r="AR209" s="315" t="str">
        <f t="shared" si="16"/>
        <v>FINALIZADO</v>
      </c>
      <c r="AS209" s="207" t="s">
        <v>4423</v>
      </c>
      <c r="AT209" s="207"/>
      <c r="AU209" s="220" t="s">
        <v>5332</v>
      </c>
      <c r="AV209" s="207" t="s">
        <v>4425</v>
      </c>
      <c r="AW209" s="207" t="s">
        <v>4425</v>
      </c>
      <c r="AX209" s="250" t="s">
        <v>4425</v>
      </c>
      <c r="AY209" s="207" t="s">
        <v>4425</v>
      </c>
      <c r="AZ209" s="202">
        <v>46098</v>
      </c>
      <c r="BA209" s="219" t="s">
        <v>4425</v>
      </c>
      <c r="BB209" s="219" t="s">
        <v>4425</v>
      </c>
      <c r="BC209" s="202">
        <v>46101</v>
      </c>
      <c r="BD209" s="227">
        <v>46101</v>
      </c>
      <c r="BE209" s="244" t="s">
        <v>4435</v>
      </c>
      <c r="BF209" s="245" t="s">
        <v>4436</v>
      </c>
      <c r="BG209" s="229" t="s">
        <v>4425</v>
      </c>
      <c r="BH209" s="321">
        <f t="shared" si="17"/>
        <v>56</v>
      </c>
      <c r="BI209" s="98" t="str">
        <f t="shared" si="18"/>
        <v>INDENIZAÇÃO</v>
      </c>
      <c r="BJ209" s="98" t="str">
        <f t="shared" si="19"/>
        <v>NÃO</v>
      </c>
      <c r="BK209" s="230" t="s">
        <v>4437</v>
      </c>
      <c r="BL209" s="230" t="s">
        <v>4437</v>
      </c>
      <c r="BM209" s="230" t="s">
        <v>4437</v>
      </c>
      <c r="BN209" s="207" t="s">
        <v>4425</v>
      </c>
      <c r="BO209" s="207" t="s">
        <v>4425</v>
      </c>
      <c r="BP209" s="202">
        <v>46224</v>
      </c>
      <c r="BQ209" s="207" t="s">
        <v>4425</v>
      </c>
      <c r="BR209" s="232" t="s">
        <v>4435</v>
      </c>
    </row>
    <row r="210" spans="1:72" s="240" customFormat="1" ht="27" hidden="1" customHeight="1">
      <c r="A210" s="197">
        <v>206</v>
      </c>
      <c r="B210" s="197" t="s">
        <v>4396</v>
      </c>
      <c r="C210" s="207" t="s">
        <v>5297</v>
      </c>
      <c r="D210" s="207">
        <v>1</v>
      </c>
      <c r="E210" s="207" t="s">
        <v>4398</v>
      </c>
      <c r="F210" s="214" t="s">
        <v>5328</v>
      </c>
      <c r="G210" s="207" t="s">
        <v>4400</v>
      </c>
      <c r="H210" s="207" t="s">
        <v>4401</v>
      </c>
      <c r="I210" s="217" t="s">
        <v>4402</v>
      </c>
      <c r="J210" s="215" t="s">
        <v>5333</v>
      </c>
      <c r="K210" s="215" t="s">
        <v>5334</v>
      </c>
      <c r="L210" s="215" t="s">
        <v>5335</v>
      </c>
      <c r="M210" s="207" t="s">
        <v>4405</v>
      </c>
      <c r="N210" s="207" t="s">
        <v>4406</v>
      </c>
      <c r="O210" s="202">
        <v>45986</v>
      </c>
      <c r="P210" s="203" t="s">
        <v>4407</v>
      </c>
      <c r="Q210" s="203">
        <v>45985</v>
      </c>
      <c r="R210" s="203">
        <v>45986</v>
      </c>
      <c r="S210" s="203">
        <v>45987</v>
      </c>
      <c r="T210" s="203">
        <v>45992</v>
      </c>
      <c r="U210" s="202" t="s">
        <v>4408</v>
      </c>
      <c r="V210" s="202" t="s">
        <v>4408</v>
      </c>
      <c r="W210" s="202">
        <v>45999</v>
      </c>
      <c r="X210" s="202">
        <v>46002</v>
      </c>
      <c r="Y210" s="202">
        <v>46017</v>
      </c>
      <c r="Z210" s="207"/>
      <c r="AA210" s="215" t="s">
        <v>5333</v>
      </c>
      <c r="AB210" s="215" t="s">
        <v>5334</v>
      </c>
      <c r="AC210" s="215" t="s">
        <v>5335</v>
      </c>
      <c r="AD210" s="204" t="s">
        <v>4402</v>
      </c>
      <c r="AE210" s="204" t="s">
        <v>4405</v>
      </c>
      <c r="AF210" s="205" t="s">
        <v>4409</v>
      </c>
      <c r="AG210" s="205" t="s">
        <v>4409</v>
      </c>
      <c r="AH210" s="204" t="s">
        <v>4410</v>
      </c>
      <c r="AI210" s="214" t="s">
        <v>4411</v>
      </c>
      <c r="AJ210" s="207"/>
      <c r="AK210" s="316">
        <v>45979</v>
      </c>
      <c r="AL210" s="316">
        <v>45979</v>
      </c>
      <c r="AM210" s="316">
        <v>45979</v>
      </c>
      <c r="AN210" s="316">
        <v>45979</v>
      </c>
      <c r="AO210" s="316">
        <v>45979</v>
      </c>
      <c r="AP210" s="316">
        <v>45979</v>
      </c>
      <c r="AQ210" s="314"/>
      <c r="AR210" s="315" t="str">
        <f t="shared" si="16"/>
        <v>FINALIZADO</v>
      </c>
      <c r="AS210" s="207"/>
      <c r="AT210" s="207"/>
      <c r="AU210" s="220"/>
      <c r="AV210" s="207"/>
      <c r="AW210" s="207"/>
      <c r="AX210" s="228"/>
      <c r="AY210" s="207"/>
      <c r="AZ210" s="202"/>
      <c r="BA210" s="219"/>
      <c r="BB210" s="207"/>
      <c r="BC210" s="202"/>
      <c r="BD210" s="208"/>
      <c r="BE210" s="209">
        <v>46017</v>
      </c>
      <c r="BF210" s="197" t="s">
        <v>4412</v>
      </c>
      <c r="BG210" s="229"/>
      <c r="BH210" s="321" t="str">
        <f t="shared" si="17"/>
        <v/>
      </c>
      <c r="BI210" s="98" t="str">
        <f t="shared" si="18"/>
        <v>AA</v>
      </c>
      <c r="BJ210" s="98" t="str">
        <f t="shared" si="19"/>
        <v>NÃO</v>
      </c>
      <c r="BK210" s="230"/>
      <c r="BL210" s="230"/>
      <c r="BM210" s="230"/>
      <c r="BN210" s="230"/>
      <c r="BO210" s="230"/>
      <c r="BP210" s="230"/>
      <c r="BQ210" s="230"/>
      <c r="BR210" s="234"/>
    </row>
    <row r="211" spans="1:72" s="240" customFormat="1" ht="27" hidden="1" customHeight="1">
      <c r="A211" s="207">
        <v>207</v>
      </c>
      <c r="B211" s="197" t="s">
        <v>4396</v>
      </c>
      <c r="C211" s="207" t="s">
        <v>4427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5337</v>
      </c>
      <c r="K211" s="215" t="s">
        <v>5338</v>
      </c>
      <c r="L211" s="215" t="s">
        <v>5339</v>
      </c>
      <c r="M211" s="207" t="s">
        <v>4405</v>
      </c>
      <c r="N211" s="207" t="s">
        <v>4406</v>
      </c>
      <c r="O211" s="202">
        <v>46002</v>
      </c>
      <c r="P211" s="202" t="s">
        <v>4407</v>
      </c>
      <c r="Q211" s="202">
        <v>45999</v>
      </c>
      <c r="R211" s="202">
        <v>46006</v>
      </c>
      <c r="S211" s="202">
        <v>46006</v>
      </c>
      <c r="T211" s="202">
        <v>46009</v>
      </c>
      <c r="U211" s="202" t="s">
        <v>4408</v>
      </c>
      <c r="V211" s="202" t="s">
        <v>4408</v>
      </c>
      <c r="W211" s="202">
        <v>46014</v>
      </c>
      <c r="X211" s="202">
        <v>46017</v>
      </c>
      <c r="Y211" s="202"/>
      <c r="Z211" s="207"/>
      <c r="AA211" s="215" t="s">
        <v>5337</v>
      </c>
      <c r="AB211" s="215" t="s">
        <v>5338</v>
      </c>
      <c r="AC211" s="215" t="s">
        <v>5339</v>
      </c>
      <c r="AD211" s="217" t="s">
        <v>4402</v>
      </c>
      <c r="AE211" s="207" t="s">
        <v>4405</v>
      </c>
      <c r="AF211" s="218" t="s">
        <v>4409</v>
      </c>
      <c r="AG211" s="218" t="s">
        <v>4409</v>
      </c>
      <c r="AH211" s="207" t="s">
        <v>4410</v>
      </c>
      <c r="AI211" s="214" t="s">
        <v>4411</v>
      </c>
      <c r="AJ211" s="207"/>
      <c r="AK211" s="316">
        <v>45988</v>
      </c>
      <c r="AL211" s="316">
        <v>45988</v>
      </c>
      <c r="AM211" s="316">
        <v>45988</v>
      </c>
      <c r="AN211" s="316">
        <v>45988</v>
      </c>
      <c r="AO211" s="316">
        <v>45988</v>
      </c>
      <c r="AP211" s="316">
        <v>45988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2"/>
      <c r="BF211" s="207"/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208</v>
      </c>
      <c r="B212" s="197" t="s">
        <v>4396</v>
      </c>
      <c r="C212" s="207" t="s">
        <v>4427</v>
      </c>
      <c r="D212" s="207">
        <v>1</v>
      </c>
      <c r="E212" s="207" t="s">
        <v>4398</v>
      </c>
      <c r="F212" s="214" t="s">
        <v>5340</v>
      </c>
      <c r="G212" s="207" t="s">
        <v>4400</v>
      </c>
      <c r="H212" s="207" t="s">
        <v>4401</v>
      </c>
      <c r="I212" s="217" t="s">
        <v>4402</v>
      </c>
      <c r="J212" s="215" t="s">
        <v>5341</v>
      </c>
      <c r="K212" s="215" t="s">
        <v>5342</v>
      </c>
      <c r="L212" s="215" t="s">
        <v>5343</v>
      </c>
      <c r="M212" s="207" t="s">
        <v>4405</v>
      </c>
      <c r="N212" s="207" t="s">
        <v>4442</v>
      </c>
      <c r="O212" s="202" t="s">
        <v>4409</v>
      </c>
      <c r="P212" s="202" t="s">
        <v>4409</v>
      </c>
      <c r="Q212" s="202" t="s">
        <v>4409</v>
      </c>
      <c r="R212" s="202" t="s">
        <v>4409</v>
      </c>
      <c r="S212" s="202" t="s">
        <v>4409</v>
      </c>
      <c r="T212" s="202" t="s">
        <v>4409</v>
      </c>
      <c r="U212" s="202" t="s">
        <v>4409</v>
      </c>
      <c r="V212" s="202" t="s">
        <v>4409</v>
      </c>
      <c r="W212" s="202" t="s">
        <v>4409</v>
      </c>
      <c r="X212" s="202" t="s">
        <v>4409</v>
      </c>
      <c r="Y212" s="202"/>
      <c r="Z212" s="207"/>
      <c r="AA212" s="215" t="s">
        <v>5341</v>
      </c>
      <c r="AB212" s="214" t="s">
        <v>5342</v>
      </c>
      <c r="AC212" s="214" t="s">
        <v>5343</v>
      </c>
      <c r="AD212" s="207" t="s">
        <v>4402</v>
      </c>
      <c r="AE212" s="207" t="s">
        <v>4405</v>
      </c>
      <c r="AF212" s="218">
        <v>118230.69</v>
      </c>
      <c r="AG212" s="218">
        <v>118230.69</v>
      </c>
      <c r="AH212" s="207" t="s">
        <v>4433</v>
      </c>
      <c r="AI212" s="214" t="s">
        <v>4411</v>
      </c>
      <c r="AJ212" s="207">
        <v>148260947</v>
      </c>
      <c r="AK212" s="316">
        <v>46045</v>
      </c>
      <c r="AL212" s="316">
        <v>46045</v>
      </c>
      <c r="AM212" s="316">
        <v>46045</v>
      </c>
      <c r="AN212" s="316">
        <v>46045</v>
      </c>
      <c r="AO212" s="316">
        <v>46045</v>
      </c>
      <c r="AP212" s="316">
        <v>46045</v>
      </c>
      <c r="AQ212" s="314"/>
      <c r="AR212" s="315" t="str">
        <f t="shared" si="16"/>
        <v>FINALIZADO</v>
      </c>
      <c r="AS212" s="207" t="s">
        <v>4423</v>
      </c>
      <c r="AT212" s="207"/>
      <c r="AU212" s="220" t="s">
        <v>5344</v>
      </c>
      <c r="AV212" s="207" t="s">
        <v>4425</v>
      </c>
      <c r="AW212" s="207" t="s">
        <v>4425</v>
      </c>
      <c r="AX212" s="250" t="s">
        <v>4425</v>
      </c>
      <c r="AY212" s="207" t="s">
        <v>4425</v>
      </c>
      <c r="AZ212" s="202">
        <v>46111</v>
      </c>
      <c r="BA212" s="207" t="s">
        <v>4425</v>
      </c>
      <c r="BB212" s="207" t="s">
        <v>4425</v>
      </c>
      <c r="BC212" s="202">
        <v>46114</v>
      </c>
      <c r="BD212" s="227">
        <v>46114</v>
      </c>
      <c r="BE212" s="227" t="s">
        <v>4435</v>
      </c>
      <c r="BF212" s="228" t="s">
        <v>4436</v>
      </c>
      <c r="BG212" s="229" t="s">
        <v>4425</v>
      </c>
      <c r="BH212" s="321">
        <f t="shared" si="17"/>
        <v>69</v>
      </c>
      <c r="BI212" s="98" t="str">
        <f t="shared" si="18"/>
        <v>INDENIZAÇÃO</v>
      </c>
      <c r="BJ212" s="98" t="str">
        <f t="shared" si="19"/>
        <v>NÃO</v>
      </c>
      <c r="BK212" s="230" t="s">
        <v>4437</v>
      </c>
      <c r="BL212" s="230" t="s">
        <v>4437</v>
      </c>
      <c r="BM212" s="230" t="s">
        <v>4437</v>
      </c>
      <c r="BN212" s="207" t="s">
        <v>4425</v>
      </c>
      <c r="BO212" s="207" t="s">
        <v>4425</v>
      </c>
      <c r="BP212" s="202">
        <v>46224</v>
      </c>
      <c r="BQ212" s="207" t="s">
        <v>4425</v>
      </c>
      <c r="BR212" s="232" t="s">
        <v>4435</v>
      </c>
    </row>
    <row r="213" spans="1:72" s="240" customFormat="1" ht="27" hidden="1" customHeight="1">
      <c r="A213" s="207">
        <v>209</v>
      </c>
      <c r="B213" s="197" t="s">
        <v>4396</v>
      </c>
      <c r="C213" s="207" t="s">
        <v>4427</v>
      </c>
      <c r="D213" s="207">
        <v>1</v>
      </c>
      <c r="E213" s="207" t="s">
        <v>4398</v>
      </c>
      <c r="F213" s="214" t="s">
        <v>5345</v>
      </c>
      <c r="G213" s="207" t="s">
        <v>4400</v>
      </c>
      <c r="H213" s="207" t="s">
        <v>4401</v>
      </c>
      <c r="I213" s="217" t="s">
        <v>4536</v>
      </c>
      <c r="J213" s="215" t="s">
        <v>5346</v>
      </c>
      <c r="K213" s="215" t="s">
        <v>5347</v>
      </c>
      <c r="L213" s="215" t="s">
        <v>5348</v>
      </c>
      <c r="M213" s="207" t="s">
        <v>4405</v>
      </c>
      <c r="N213" s="207" t="s">
        <v>4406</v>
      </c>
      <c r="O213" s="202">
        <v>46002</v>
      </c>
      <c r="P213" s="202" t="s">
        <v>4407</v>
      </c>
      <c r="Q213" s="202">
        <v>45999</v>
      </c>
      <c r="R213" s="202">
        <v>46006</v>
      </c>
      <c r="S213" s="202">
        <v>46006</v>
      </c>
      <c r="T213" s="202">
        <v>46009</v>
      </c>
      <c r="U213" s="202" t="s">
        <v>4408</v>
      </c>
      <c r="V213" s="202" t="s">
        <v>4408</v>
      </c>
      <c r="W213" s="202">
        <v>46014</v>
      </c>
      <c r="X213" s="202">
        <v>46017</v>
      </c>
      <c r="Y213" s="202"/>
      <c r="Z213" s="207"/>
      <c r="AA213" s="215" t="s">
        <v>5346</v>
      </c>
      <c r="AB213" s="215" t="s">
        <v>5347</v>
      </c>
      <c r="AC213" s="215" t="s">
        <v>5348</v>
      </c>
      <c r="AD213" s="217" t="s">
        <v>4402</v>
      </c>
      <c r="AE213" s="207" t="s">
        <v>4405</v>
      </c>
      <c r="AF213" s="218" t="s">
        <v>4409</v>
      </c>
      <c r="AG213" s="218" t="s">
        <v>4409</v>
      </c>
      <c r="AH213" s="207" t="s">
        <v>4410</v>
      </c>
      <c r="AI213" s="214" t="s">
        <v>4411</v>
      </c>
      <c r="AJ213" s="207"/>
      <c r="AK213" s="316">
        <v>45988</v>
      </c>
      <c r="AL213" s="316">
        <v>45988</v>
      </c>
      <c r="AM213" s="316">
        <v>45988</v>
      </c>
      <c r="AN213" s="316">
        <v>45988</v>
      </c>
      <c r="AO213" s="316">
        <v>45988</v>
      </c>
      <c r="AP213" s="316">
        <v>45988</v>
      </c>
      <c r="AQ213" s="314"/>
      <c r="AR213" s="315" t="str">
        <f t="shared" si="16"/>
        <v>FINALIZADO</v>
      </c>
      <c r="AS213" s="207"/>
      <c r="AT213" s="207"/>
      <c r="AU213" s="220"/>
      <c r="AV213" s="207"/>
      <c r="AW213" s="207"/>
      <c r="AX213" s="228"/>
      <c r="AY213" s="207"/>
      <c r="AZ213" s="202"/>
      <c r="BA213" s="219"/>
      <c r="BB213" s="207"/>
      <c r="BC213" s="202"/>
      <c r="BD213" s="208"/>
      <c r="BE213" s="202"/>
      <c r="BF213" s="207"/>
      <c r="BG213" s="229"/>
      <c r="BH213" s="321" t="str">
        <f t="shared" si="17"/>
        <v/>
      </c>
      <c r="BI213" s="98" t="str">
        <f t="shared" si="18"/>
        <v>AA</v>
      </c>
      <c r="BJ213" s="98" t="str">
        <f t="shared" si="19"/>
        <v>NÃO</v>
      </c>
      <c r="BK213" s="230"/>
      <c r="BL213" s="230"/>
      <c r="BM213" s="230"/>
      <c r="BN213" s="230"/>
      <c r="BO213" s="230"/>
      <c r="BP213" s="230"/>
      <c r="BQ213" s="230"/>
      <c r="BR213" s="234"/>
    </row>
    <row r="214" spans="1:72" s="240" customFormat="1" ht="27" hidden="1" customHeight="1">
      <c r="A214" s="197">
        <v>210</v>
      </c>
      <c r="B214" s="197" t="s">
        <v>4396</v>
      </c>
      <c r="C214" s="207" t="s">
        <v>4427</v>
      </c>
      <c r="D214" s="207">
        <v>1</v>
      </c>
      <c r="E214" s="207" t="s">
        <v>4398</v>
      </c>
      <c r="F214" s="214" t="s">
        <v>5349</v>
      </c>
      <c r="G214" s="207" t="s">
        <v>4400</v>
      </c>
      <c r="H214" s="207" t="s">
        <v>4401</v>
      </c>
      <c r="I214" s="217" t="s">
        <v>4536</v>
      </c>
      <c r="J214" s="215" t="s">
        <v>5350</v>
      </c>
      <c r="K214" s="215" t="s">
        <v>5351</v>
      </c>
      <c r="L214" s="215" t="s">
        <v>5352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5350</v>
      </c>
      <c r="AB214" s="215" t="s">
        <v>5351</v>
      </c>
      <c r="AC214" s="215" t="s">
        <v>5352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211</v>
      </c>
      <c r="B215" s="197" t="s">
        <v>4396</v>
      </c>
      <c r="C215" s="207" t="s">
        <v>4427</v>
      </c>
      <c r="D215" s="207">
        <v>1</v>
      </c>
      <c r="E215" s="207" t="s">
        <v>4398</v>
      </c>
      <c r="F215" s="214" t="s">
        <v>5353</v>
      </c>
      <c r="G215" s="207" t="s">
        <v>4400</v>
      </c>
      <c r="H215" s="207" t="s">
        <v>4401</v>
      </c>
      <c r="I215" s="217" t="s">
        <v>4402</v>
      </c>
      <c r="J215" s="215" t="s">
        <v>5354</v>
      </c>
      <c r="K215" s="215" t="s">
        <v>5355</v>
      </c>
      <c r="L215" s="215" t="s">
        <v>5356</v>
      </c>
      <c r="M215" s="207" t="s">
        <v>4405</v>
      </c>
      <c r="N215" s="207" t="s">
        <v>4442</v>
      </c>
      <c r="O215" s="202" t="s">
        <v>4409</v>
      </c>
      <c r="P215" s="202" t="s">
        <v>4409</v>
      </c>
      <c r="Q215" s="202" t="s">
        <v>4409</v>
      </c>
      <c r="R215" s="202" t="s">
        <v>4409</v>
      </c>
      <c r="S215" s="202" t="s">
        <v>4409</v>
      </c>
      <c r="T215" s="202" t="s">
        <v>4409</v>
      </c>
      <c r="U215" s="202" t="s">
        <v>4409</v>
      </c>
      <c r="V215" s="202" t="s">
        <v>4409</v>
      </c>
      <c r="W215" s="202" t="s">
        <v>4409</v>
      </c>
      <c r="X215" s="202" t="s">
        <v>4409</v>
      </c>
      <c r="Y215" s="202"/>
      <c r="Z215" s="207"/>
      <c r="AA215" s="215" t="s">
        <v>5354</v>
      </c>
      <c r="AB215" s="214" t="s">
        <v>5355</v>
      </c>
      <c r="AC215" s="214" t="s">
        <v>5356</v>
      </c>
      <c r="AD215" s="207" t="s">
        <v>4402</v>
      </c>
      <c r="AE215" s="207" t="s">
        <v>4405</v>
      </c>
      <c r="AF215" s="218">
        <v>19698.900000000001</v>
      </c>
      <c r="AG215" s="218">
        <f>AF215+30000</f>
        <v>49698.9</v>
      </c>
      <c r="AH215" s="207" t="s">
        <v>4433</v>
      </c>
      <c r="AI215" s="214" t="s">
        <v>4411</v>
      </c>
      <c r="AJ215" s="207">
        <v>148261075</v>
      </c>
      <c r="AK215" s="316">
        <v>46045</v>
      </c>
      <c r="AL215" s="316">
        <v>46045</v>
      </c>
      <c r="AM215" s="316">
        <v>46045</v>
      </c>
      <c r="AN215" s="316">
        <v>46045</v>
      </c>
      <c r="AO215" s="316">
        <v>46045</v>
      </c>
      <c r="AP215" s="316">
        <v>46045</v>
      </c>
      <c r="AQ215" s="314"/>
      <c r="AR215" s="315" t="str">
        <f t="shared" si="16"/>
        <v>FINALIZADO</v>
      </c>
      <c r="AS215" s="207" t="s">
        <v>4423</v>
      </c>
      <c r="AT215" s="207"/>
      <c r="AU215" s="220" t="s">
        <v>5357</v>
      </c>
      <c r="AV215" s="207" t="s">
        <v>4425</v>
      </c>
      <c r="AW215" s="207" t="s">
        <v>4425</v>
      </c>
      <c r="AX215" s="250" t="s">
        <v>4425</v>
      </c>
      <c r="AY215" s="207" t="s">
        <v>4425</v>
      </c>
      <c r="AZ215" s="202">
        <v>46118</v>
      </c>
      <c r="BA215" s="207" t="s">
        <v>4425</v>
      </c>
      <c r="BB215" s="207" t="s">
        <v>4425</v>
      </c>
      <c r="BC215" s="202">
        <v>46122</v>
      </c>
      <c r="BD215" s="227">
        <v>46122</v>
      </c>
      <c r="BE215" s="227" t="s">
        <v>4435</v>
      </c>
      <c r="BF215" s="228" t="s">
        <v>4436</v>
      </c>
      <c r="BG215" s="229" t="s">
        <v>4425</v>
      </c>
      <c r="BH215" s="321">
        <f t="shared" si="17"/>
        <v>77</v>
      </c>
      <c r="BI215" s="98" t="str">
        <f t="shared" si="18"/>
        <v>INDENIZAÇÃO</v>
      </c>
      <c r="BJ215" s="98" t="str">
        <f t="shared" si="19"/>
        <v>NÃO</v>
      </c>
      <c r="BK215" s="219" t="s">
        <v>4437</v>
      </c>
      <c r="BL215" s="219" t="s">
        <v>4437</v>
      </c>
      <c r="BM215" s="219" t="s">
        <v>4437</v>
      </c>
      <c r="BN215" s="207" t="s">
        <v>4425</v>
      </c>
      <c r="BO215" s="207" t="s">
        <v>4425</v>
      </c>
      <c r="BP215" s="202">
        <v>46224</v>
      </c>
      <c r="BQ215" s="207" t="s">
        <v>4425</v>
      </c>
      <c r="BR215" s="232" t="s">
        <v>4435</v>
      </c>
    </row>
    <row r="216" spans="1:72" s="240" customFormat="1" ht="27" hidden="1" customHeight="1">
      <c r="A216" s="207">
        <v>212</v>
      </c>
      <c r="B216" s="197" t="s">
        <v>4396</v>
      </c>
      <c r="C216" s="207" t="s">
        <v>4427</v>
      </c>
      <c r="D216" s="207">
        <v>1</v>
      </c>
      <c r="E216" s="207" t="s">
        <v>4398</v>
      </c>
      <c r="F216" s="214" t="s">
        <v>5358</v>
      </c>
      <c r="G216" s="207" t="s">
        <v>4400</v>
      </c>
      <c r="H216" s="207" t="s">
        <v>4401</v>
      </c>
      <c r="I216" s="217" t="s">
        <v>4402</v>
      </c>
      <c r="J216" s="215" t="s">
        <v>5359</v>
      </c>
      <c r="K216" s="215" t="s">
        <v>5360</v>
      </c>
      <c r="L216" s="215" t="s">
        <v>5361</v>
      </c>
      <c r="M216" s="207" t="s">
        <v>4405</v>
      </c>
      <c r="N216" s="207" t="s">
        <v>4406</v>
      </c>
      <c r="O216" s="202">
        <v>46002</v>
      </c>
      <c r="P216" s="202" t="s">
        <v>4407</v>
      </c>
      <c r="Q216" s="202">
        <v>45999</v>
      </c>
      <c r="R216" s="202">
        <v>46006</v>
      </c>
      <c r="S216" s="202">
        <v>46006</v>
      </c>
      <c r="T216" s="202">
        <v>46009</v>
      </c>
      <c r="U216" s="202" t="s">
        <v>4408</v>
      </c>
      <c r="V216" s="202" t="s">
        <v>4408</v>
      </c>
      <c r="W216" s="202">
        <v>46014</v>
      </c>
      <c r="X216" s="202">
        <v>46017</v>
      </c>
      <c r="Y216" s="202"/>
      <c r="Z216" s="207"/>
      <c r="AA216" s="215" t="s">
        <v>5359</v>
      </c>
      <c r="AB216" s="215" t="s">
        <v>5360</v>
      </c>
      <c r="AC216" s="215" t="s">
        <v>5361</v>
      </c>
      <c r="AD216" s="217" t="s">
        <v>4402</v>
      </c>
      <c r="AE216" s="207" t="s">
        <v>4405</v>
      </c>
      <c r="AF216" s="218" t="s">
        <v>4409</v>
      </c>
      <c r="AG216" s="218" t="s">
        <v>4409</v>
      </c>
      <c r="AH216" s="207" t="s">
        <v>4410</v>
      </c>
      <c r="AI216" s="214" t="s">
        <v>4411</v>
      </c>
      <c r="AJ216" s="207"/>
      <c r="AK216" s="316">
        <v>45988</v>
      </c>
      <c r="AL216" s="316">
        <v>45988</v>
      </c>
      <c r="AM216" s="316">
        <v>45988</v>
      </c>
      <c r="AN216" s="316">
        <v>45988</v>
      </c>
      <c r="AO216" s="316">
        <v>45988</v>
      </c>
      <c r="AP216" s="316">
        <v>45988</v>
      </c>
      <c r="AQ216" s="314"/>
      <c r="AR216" s="315" t="str">
        <f t="shared" si="16"/>
        <v>FINALIZADO</v>
      </c>
      <c r="AS216" s="207"/>
      <c r="AT216" s="207"/>
      <c r="AU216" s="220"/>
      <c r="AV216" s="207"/>
      <c r="AW216" s="207"/>
      <c r="AX216" s="228"/>
      <c r="AY216" s="207"/>
      <c r="AZ216" s="202"/>
      <c r="BA216" s="219"/>
      <c r="BB216" s="207"/>
      <c r="BC216" s="202"/>
      <c r="BD216" s="208"/>
      <c r="BE216" s="202"/>
      <c r="BF216" s="207"/>
      <c r="BG216" s="229"/>
      <c r="BH216" s="321" t="str">
        <f t="shared" si="17"/>
        <v/>
      </c>
      <c r="BI216" s="98" t="str">
        <f t="shared" si="18"/>
        <v>AA</v>
      </c>
      <c r="BJ216" s="98" t="str">
        <f t="shared" si="19"/>
        <v>NÃO</v>
      </c>
      <c r="BK216" s="230"/>
      <c r="BL216" s="230"/>
      <c r="BM216" s="230"/>
      <c r="BN216" s="230"/>
      <c r="BO216" s="230"/>
      <c r="BP216" s="230"/>
      <c r="BQ216" s="230"/>
      <c r="BR216" s="234"/>
      <c r="BS216" s="223"/>
      <c r="BT216" s="223"/>
    </row>
    <row r="217" spans="1:72" s="240" customFormat="1" ht="27" hidden="1" customHeight="1">
      <c r="A217" s="207">
        <v>213</v>
      </c>
      <c r="B217" s="197" t="s">
        <v>4396</v>
      </c>
      <c r="C217" s="207" t="s">
        <v>4427</v>
      </c>
      <c r="D217" s="207">
        <v>1</v>
      </c>
      <c r="E217" s="207" t="s">
        <v>4398</v>
      </c>
      <c r="F217" s="214" t="s">
        <v>5362</v>
      </c>
      <c r="G217" s="207" t="s">
        <v>4400</v>
      </c>
      <c r="H217" s="207" t="s">
        <v>4401</v>
      </c>
      <c r="I217" s="217" t="s">
        <v>4402</v>
      </c>
      <c r="J217" s="215" t="s">
        <v>5363</v>
      </c>
      <c r="K217" s="215" t="s">
        <v>5364</v>
      </c>
      <c r="L217" s="215" t="s">
        <v>5365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5363</v>
      </c>
      <c r="AB217" s="215" t="s">
        <v>5364</v>
      </c>
      <c r="AC217" s="215" t="s">
        <v>5365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</row>
    <row r="218" spans="1:72" s="240" customFormat="1" ht="27" hidden="1" customHeight="1">
      <c r="A218" s="207">
        <v>214</v>
      </c>
      <c r="B218" s="197" t="s">
        <v>4396</v>
      </c>
      <c r="C218" s="207" t="s">
        <v>5297</v>
      </c>
      <c r="D218" s="207">
        <v>1</v>
      </c>
      <c r="E218" s="207" t="s">
        <v>4398</v>
      </c>
      <c r="F218" s="214" t="s">
        <v>5366</v>
      </c>
      <c r="G218" s="207" t="s">
        <v>4400</v>
      </c>
      <c r="H218" s="207" t="s">
        <v>4401</v>
      </c>
      <c r="I218" s="217" t="s">
        <v>4402</v>
      </c>
      <c r="J218" s="215" t="s">
        <v>5367</v>
      </c>
      <c r="K218" s="215" t="s">
        <v>5368</v>
      </c>
      <c r="L218" s="215" t="s">
        <v>5369</v>
      </c>
      <c r="M218" s="207" t="s">
        <v>4405</v>
      </c>
      <c r="N218" s="207" t="s">
        <v>4406</v>
      </c>
      <c r="O218" s="202">
        <v>45986</v>
      </c>
      <c r="P218" s="203" t="s">
        <v>4407</v>
      </c>
      <c r="Q218" s="203">
        <v>45985</v>
      </c>
      <c r="R218" s="203">
        <v>45986</v>
      </c>
      <c r="S218" s="203">
        <v>45987</v>
      </c>
      <c r="T218" s="203">
        <v>45992</v>
      </c>
      <c r="U218" s="202" t="s">
        <v>4408</v>
      </c>
      <c r="V218" s="202" t="s">
        <v>4408</v>
      </c>
      <c r="W218" s="202">
        <v>45999</v>
      </c>
      <c r="X218" s="202">
        <v>46000</v>
      </c>
      <c r="Y218" s="202">
        <v>46017</v>
      </c>
      <c r="Z218" s="207"/>
      <c r="AA218" s="215" t="s">
        <v>5367</v>
      </c>
      <c r="AB218" s="215" t="s">
        <v>5368</v>
      </c>
      <c r="AC218" s="215" t="s">
        <v>5369</v>
      </c>
      <c r="AD218" s="241" t="s">
        <v>4402</v>
      </c>
      <c r="AE218" s="241" t="s">
        <v>4405</v>
      </c>
      <c r="AF218" s="242" t="s">
        <v>4409</v>
      </c>
      <c r="AG218" s="242" t="s">
        <v>4409</v>
      </c>
      <c r="AH218" s="241" t="s">
        <v>4410</v>
      </c>
      <c r="AI218" s="214" t="s">
        <v>4411</v>
      </c>
      <c r="AJ218" s="207"/>
      <c r="AK218" s="316">
        <v>45979</v>
      </c>
      <c r="AL218" s="316">
        <v>45979</v>
      </c>
      <c r="AM218" s="316">
        <v>45979</v>
      </c>
      <c r="AN218" s="316">
        <v>45979</v>
      </c>
      <c r="AO218" s="316">
        <v>45979</v>
      </c>
      <c r="AP218" s="316">
        <v>45979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39">
        <v>46017</v>
      </c>
      <c r="BF218" s="207" t="s">
        <v>4412</v>
      </c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197">
        <v>215</v>
      </c>
      <c r="B219" s="197" t="s">
        <v>4396</v>
      </c>
      <c r="C219" s="207" t="s">
        <v>4427</v>
      </c>
      <c r="D219" s="207">
        <v>1</v>
      </c>
      <c r="E219" s="207" t="s">
        <v>4398</v>
      </c>
      <c r="F219" s="214" t="s">
        <v>5366</v>
      </c>
      <c r="G219" s="207" t="s">
        <v>4400</v>
      </c>
      <c r="H219" s="207" t="s">
        <v>4401</v>
      </c>
      <c r="I219" s="217" t="s">
        <v>4402</v>
      </c>
      <c r="J219" s="215" t="s">
        <v>5370</v>
      </c>
      <c r="K219" s="215" t="s">
        <v>5371</v>
      </c>
      <c r="L219" s="215" t="s">
        <v>5372</v>
      </c>
      <c r="M219" s="207" t="s">
        <v>4405</v>
      </c>
      <c r="N219" s="207" t="s">
        <v>4442</v>
      </c>
      <c r="O219" s="202" t="s">
        <v>4409</v>
      </c>
      <c r="P219" s="202" t="s">
        <v>4409</v>
      </c>
      <c r="Q219" s="202" t="s">
        <v>4409</v>
      </c>
      <c r="R219" s="202" t="s">
        <v>4409</v>
      </c>
      <c r="S219" s="202" t="s">
        <v>4409</v>
      </c>
      <c r="T219" s="202" t="s">
        <v>4409</v>
      </c>
      <c r="U219" s="202" t="s">
        <v>4409</v>
      </c>
      <c r="V219" s="202" t="s">
        <v>4409</v>
      </c>
      <c r="W219" s="202" t="s">
        <v>4409</v>
      </c>
      <c r="X219" s="202" t="s">
        <v>4409</v>
      </c>
      <c r="Y219" s="202"/>
      <c r="Z219" s="202"/>
      <c r="AA219" s="215" t="s">
        <v>5370</v>
      </c>
      <c r="AB219" s="214" t="s">
        <v>5371</v>
      </c>
      <c r="AC219" s="214" t="s">
        <v>5372</v>
      </c>
      <c r="AD219" s="197" t="s">
        <v>4402</v>
      </c>
      <c r="AE219" s="197" t="s">
        <v>4405</v>
      </c>
      <c r="AF219" s="243">
        <v>95871.57</v>
      </c>
      <c r="AG219" s="243">
        <v>95871.57</v>
      </c>
      <c r="AH219" s="197" t="s">
        <v>4433</v>
      </c>
      <c r="AI219" s="214" t="s">
        <v>4411</v>
      </c>
      <c r="AJ219" s="207">
        <v>148261241</v>
      </c>
      <c r="AK219" s="316">
        <v>46045</v>
      </c>
      <c r="AL219" s="316">
        <v>46045</v>
      </c>
      <c r="AM219" s="316">
        <v>46045</v>
      </c>
      <c r="AN219" s="316">
        <v>46045</v>
      </c>
      <c r="AO219" s="316">
        <v>46045</v>
      </c>
      <c r="AP219" s="316">
        <v>46045</v>
      </c>
      <c r="AQ219" s="314"/>
      <c r="AR219" s="315" t="str">
        <f t="shared" si="16"/>
        <v>FINALIZADO</v>
      </c>
      <c r="AS219" s="207" t="s">
        <v>4423</v>
      </c>
      <c r="AT219" s="207"/>
      <c r="AU219" s="220" t="s">
        <v>5373</v>
      </c>
      <c r="AV219" s="207" t="s">
        <v>4425</v>
      </c>
      <c r="AW219" s="207" t="s">
        <v>4425</v>
      </c>
      <c r="AX219" s="250" t="s">
        <v>4425</v>
      </c>
      <c r="AY219" s="207" t="s">
        <v>4425</v>
      </c>
      <c r="AZ219" s="202">
        <v>46127</v>
      </c>
      <c r="BA219" s="207" t="s">
        <v>4425</v>
      </c>
      <c r="BB219" s="207" t="s">
        <v>4425</v>
      </c>
      <c r="BC219" s="202">
        <v>46139</v>
      </c>
      <c r="BD219" s="227">
        <v>46139</v>
      </c>
      <c r="BE219" s="244" t="s">
        <v>4435</v>
      </c>
      <c r="BF219" s="245" t="s">
        <v>4436</v>
      </c>
      <c r="BG219" s="229" t="s">
        <v>4425</v>
      </c>
      <c r="BH219" s="321">
        <f t="shared" si="17"/>
        <v>94</v>
      </c>
      <c r="BI219" s="98" t="str">
        <f t="shared" si="18"/>
        <v>INDENIZAÇÃO</v>
      </c>
      <c r="BJ219" s="98" t="str">
        <f t="shared" si="19"/>
        <v>NÃO</v>
      </c>
      <c r="BK219" s="219" t="s">
        <v>4437</v>
      </c>
      <c r="BL219" s="219" t="s">
        <v>4437</v>
      </c>
      <c r="BM219" s="219" t="s">
        <v>4437</v>
      </c>
      <c r="BN219" s="207" t="s">
        <v>4425</v>
      </c>
      <c r="BO219" s="207" t="s">
        <v>4425</v>
      </c>
      <c r="BP219" s="202">
        <v>46224</v>
      </c>
      <c r="BQ219" s="207" t="s">
        <v>4425</v>
      </c>
      <c r="BR219" s="232" t="s">
        <v>4435</v>
      </c>
    </row>
    <row r="220" spans="1:72" s="240" customFormat="1" ht="27" hidden="1" customHeight="1">
      <c r="A220" s="197">
        <v>216</v>
      </c>
      <c r="B220" s="197" t="s">
        <v>4396</v>
      </c>
      <c r="C220" s="207" t="s">
        <v>4427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5375</v>
      </c>
      <c r="K220" s="215" t="s">
        <v>5376</v>
      </c>
      <c r="L220" s="215" t="s">
        <v>5377</v>
      </c>
      <c r="M220" s="207" t="s">
        <v>4405</v>
      </c>
      <c r="N220" s="207" t="s">
        <v>4406</v>
      </c>
      <c r="O220" s="202">
        <v>46106</v>
      </c>
      <c r="P220" s="202" t="s">
        <v>4407</v>
      </c>
      <c r="Q220" s="202">
        <v>46106</v>
      </c>
      <c r="R220" s="202">
        <v>46107</v>
      </c>
      <c r="S220" s="202">
        <v>46111</v>
      </c>
      <c r="T220" s="202">
        <v>46087</v>
      </c>
      <c r="U220" s="202" t="s">
        <v>4408</v>
      </c>
      <c r="V220" s="202" t="s">
        <v>4408</v>
      </c>
      <c r="W220" s="202">
        <v>46132</v>
      </c>
      <c r="X220" s="202">
        <v>46140</v>
      </c>
      <c r="Y220" s="202"/>
      <c r="Z220" s="207"/>
      <c r="AA220" s="215" t="s">
        <v>5375</v>
      </c>
      <c r="AB220" s="215" t="s">
        <v>5376</v>
      </c>
      <c r="AC220" s="215" t="s">
        <v>5377</v>
      </c>
      <c r="AD220" s="207" t="s">
        <v>4402</v>
      </c>
      <c r="AE220" s="207" t="s">
        <v>4405</v>
      </c>
      <c r="AF220" s="218" t="s">
        <v>4409</v>
      </c>
      <c r="AG220" s="218" t="s">
        <v>4409</v>
      </c>
      <c r="AH220" s="207" t="s">
        <v>4410</v>
      </c>
      <c r="AI220" s="214" t="s">
        <v>4411</v>
      </c>
      <c r="AJ220" s="207"/>
      <c r="AK220" s="316">
        <v>45988</v>
      </c>
      <c r="AL220" s="316">
        <v>45988</v>
      </c>
      <c r="AM220" s="316">
        <v>45988</v>
      </c>
      <c r="AN220" s="316">
        <v>45988</v>
      </c>
      <c r="AO220" s="316">
        <v>45988</v>
      </c>
      <c r="AP220" s="316">
        <v>45988</v>
      </c>
      <c r="AQ220" s="314"/>
      <c r="AR220" s="315" t="str">
        <f t="shared" si="16"/>
        <v>FINALIZADO</v>
      </c>
      <c r="AS220" s="207"/>
      <c r="AT220" s="207"/>
      <c r="AU220" s="220"/>
      <c r="AV220" s="207"/>
      <c r="AW220" s="207"/>
      <c r="AX220" s="228"/>
      <c r="AY220" s="207"/>
      <c r="AZ220" s="202"/>
      <c r="BA220" s="219"/>
      <c r="BB220" s="207"/>
      <c r="BC220" s="202"/>
      <c r="BD220" s="208"/>
      <c r="BE220" s="202"/>
      <c r="BF220" s="207"/>
      <c r="BG220" s="229"/>
      <c r="BH220" s="321" t="str">
        <f t="shared" si="17"/>
        <v/>
      </c>
      <c r="BI220" s="98" t="str">
        <f t="shared" si="18"/>
        <v>AA</v>
      </c>
      <c r="BJ220" s="98" t="str">
        <f t="shared" si="19"/>
        <v>NÃO</v>
      </c>
      <c r="BK220" s="230"/>
      <c r="BL220" s="230"/>
      <c r="BM220" s="230"/>
      <c r="BN220" s="230"/>
      <c r="BO220" s="230"/>
      <c r="BP220" s="230"/>
      <c r="BQ220" s="230"/>
      <c r="BR220" s="234"/>
      <c r="BS220" s="223"/>
      <c r="BT220" s="223"/>
    </row>
    <row r="221" spans="1:72" s="240" customFormat="1" ht="27" hidden="1" customHeight="1">
      <c r="A221" s="207">
        <v>217</v>
      </c>
      <c r="B221" s="197" t="s">
        <v>4396</v>
      </c>
      <c r="C221" s="207" t="s">
        <v>4427</v>
      </c>
      <c r="D221" s="207">
        <v>1</v>
      </c>
      <c r="E221" s="207" t="s">
        <v>4398</v>
      </c>
      <c r="F221" s="214" t="s">
        <v>5378</v>
      </c>
      <c r="G221" s="207" t="s">
        <v>4400</v>
      </c>
      <c r="H221" s="207" t="s">
        <v>4401</v>
      </c>
      <c r="I221" s="217" t="s">
        <v>4402</v>
      </c>
      <c r="J221" s="215" t="s">
        <v>5379</v>
      </c>
      <c r="K221" s="215" t="s">
        <v>5380</v>
      </c>
      <c r="L221" s="215" t="s">
        <v>5381</v>
      </c>
      <c r="M221" s="207" t="s">
        <v>4405</v>
      </c>
      <c r="N221" s="207" t="s">
        <v>4442</v>
      </c>
      <c r="O221" s="202" t="s">
        <v>4409</v>
      </c>
      <c r="P221" s="202" t="s">
        <v>4409</v>
      </c>
      <c r="Q221" s="202" t="s">
        <v>4409</v>
      </c>
      <c r="R221" s="202" t="s">
        <v>4409</v>
      </c>
      <c r="S221" s="202" t="s">
        <v>4409</v>
      </c>
      <c r="T221" s="202" t="s">
        <v>4409</v>
      </c>
      <c r="U221" s="202" t="s">
        <v>4409</v>
      </c>
      <c r="V221" s="202" t="s">
        <v>4409</v>
      </c>
      <c r="W221" s="202" t="s">
        <v>4409</v>
      </c>
      <c r="X221" s="202" t="s">
        <v>4409</v>
      </c>
      <c r="Y221" s="202"/>
      <c r="Z221" s="207"/>
      <c r="AA221" s="215" t="s">
        <v>5379</v>
      </c>
      <c r="AB221" s="214" t="s">
        <v>5380</v>
      </c>
      <c r="AC221" s="214" t="s">
        <v>5381</v>
      </c>
      <c r="AD221" s="207" t="s">
        <v>4402</v>
      </c>
      <c r="AE221" s="207" t="s">
        <v>4405</v>
      </c>
      <c r="AF221" s="218">
        <v>25620.44</v>
      </c>
      <c r="AG221" s="218">
        <f>AF221+30000</f>
        <v>55620.44</v>
      </c>
      <c r="AH221" s="207" t="s">
        <v>4433</v>
      </c>
      <c r="AI221" s="214" t="s">
        <v>4411</v>
      </c>
      <c r="AJ221" s="207">
        <v>148261499</v>
      </c>
      <c r="AK221" s="316">
        <v>46059</v>
      </c>
      <c r="AL221" s="316">
        <v>46059</v>
      </c>
      <c r="AM221" s="316">
        <v>46059</v>
      </c>
      <c r="AN221" s="316">
        <v>46059</v>
      </c>
      <c r="AO221" s="316">
        <v>46059</v>
      </c>
      <c r="AP221" s="316">
        <v>46059</v>
      </c>
      <c r="AQ221" s="314"/>
      <c r="AR221" s="315" t="str">
        <f t="shared" si="16"/>
        <v>FINALIZADO</v>
      </c>
      <c r="AS221" s="207" t="s">
        <v>4423</v>
      </c>
      <c r="AT221" s="207"/>
      <c r="AU221" s="220" t="s">
        <v>5382</v>
      </c>
      <c r="AV221" s="207" t="s">
        <v>4425</v>
      </c>
      <c r="AW221" s="207" t="s">
        <v>4425</v>
      </c>
      <c r="AX221" s="250" t="s">
        <v>4425</v>
      </c>
      <c r="AY221" s="207" t="s">
        <v>4425</v>
      </c>
      <c r="AZ221" s="202">
        <v>46153</v>
      </c>
      <c r="BA221" s="207" t="s">
        <v>4425</v>
      </c>
      <c r="BB221" s="207" t="s">
        <v>4425</v>
      </c>
      <c r="BC221" s="202">
        <v>46160</v>
      </c>
      <c r="BD221" s="227">
        <v>46160</v>
      </c>
      <c r="BE221" s="227" t="s">
        <v>4435</v>
      </c>
      <c r="BF221" s="228" t="s">
        <v>4436</v>
      </c>
      <c r="BG221" s="219" t="s">
        <v>4425</v>
      </c>
      <c r="BH221" s="321">
        <f t="shared" si="17"/>
        <v>101</v>
      </c>
      <c r="BI221" s="98" t="str">
        <f t="shared" si="18"/>
        <v>INDENIZAÇÃO</v>
      </c>
      <c r="BJ221" s="98" t="str">
        <f t="shared" si="19"/>
        <v>NÃO</v>
      </c>
      <c r="BK221" s="219" t="s">
        <v>4437</v>
      </c>
      <c r="BL221" s="219" t="s">
        <v>4437</v>
      </c>
      <c r="BM221" s="219" t="s">
        <v>4437</v>
      </c>
      <c r="BN221" s="207" t="s">
        <v>4425</v>
      </c>
      <c r="BO221" s="207" t="s">
        <v>4425</v>
      </c>
      <c r="BP221" s="202">
        <v>46224</v>
      </c>
      <c r="BQ221" s="207" t="s">
        <v>4425</v>
      </c>
      <c r="BR221" s="232" t="s">
        <v>4435</v>
      </c>
    </row>
    <row r="222" spans="1:72" s="240" customFormat="1" ht="27" hidden="1" customHeight="1">
      <c r="A222" s="207">
        <v>218</v>
      </c>
      <c r="B222" s="197" t="s">
        <v>4396</v>
      </c>
      <c r="C222" s="207" t="s">
        <v>4427</v>
      </c>
      <c r="D222" s="207">
        <v>1</v>
      </c>
      <c r="E222" s="207" t="s">
        <v>4398</v>
      </c>
      <c r="F222" s="214" t="s">
        <v>5383</v>
      </c>
      <c r="G222" s="207" t="s">
        <v>4400</v>
      </c>
      <c r="H222" s="207" t="s">
        <v>4401</v>
      </c>
      <c r="I222" s="217" t="s">
        <v>4402</v>
      </c>
      <c r="J222" s="215" t="s">
        <v>5384</v>
      </c>
      <c r="K222" s="215" t="s">
        <v>5385</v>
      </c>
      <c r="L222" s="215" t="s">
        <v>5386</v>
      </c>
      <c r="M222" s="207" t="s">
        <v>4405</v>
      </c>
      <c r="N222" s="207" t="s">
        <v>4442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5384</v>
      </c>
      <c r="AB222" s="215" t="s">
        <v>5385</v>
      </c>
      <c r="AC222" s="215" t="s">
        <v>5386</v>
      </c>
      <c r="AD222" s="207" t="s">
        <v>4402</v>
      </c>
      <c r="AE222" s="207" t="s">
        <v>4405</v>
      </c>
      <c r="AF222" s="218">
        <v>12879.33</v>
      </c>
      <c r="AG222" s="218">
        <f>AF222+30000</f>
        <v>42879.33</v>
      </c>
      <c r="AH222" s="207" t="s">
        <v>4433</v>
      </c>
      <c r="AI222" s="214" t="s">
        <v>4411</v>
      </c>
      <c r="AJ222" s="207">
        <v>148261614</v>
      </c>
      <c r="AK222" s="316">
        <v>46066</v>
      </c>
      <c r="AL222" s="316">
        <v>46066</v>
      </c>
      <c r="AM222" s="316">
        <v>46066</v>
      </c>
      <c r="AN222" s="316">
        <v>46066</v>
      </c>
      <c r="AO222" s="316">
        <v>46066</v>
      </c>
      <c r="AP222" s="316">
        <v>46066</v>
      </c>
      <c r="AQ222" s="314"/>
      <c r="AR222" s="315" t="str">
        <f t="shared" si="16"/>
        <v>FINALIZADO</v>
      </c>
      <c r="AS222" s="207" t="s">
        <v>4423</v>
      </c>
      <c r="AT222" s="207"/>
      <c r="AU222" s="220" t="s">
        <v>5387</v>
      </c>
      <c r="AV222" s="207" t="s">
        <v>4425</v>
      </c>
      <c r="AW222" s="207" t="s">
        <v>4425</v>
      </c>
      <c r="AX222" s="250" t="s">
        <v>4425</v>
      </c>
      <c r="AY222" s="197" t="s">
        <v>4425</v>
      </c>
      <c r="AZ222" s="202">
        <v>46153</v>
      </c>
      <c r="BA222" s="207" t="s">
        <v>4425</v>
      </c>
      <c r="BB222" s="207" t="s">
        <v>4425</v>
      </c>
      <c r="BC222" s="202">
        <v>46160</v>
      </c>
      <c r="BD222" s="227">
        <v>46160</v>
      </c>
      <c r="BE222" s="228" t="s">
        <v>4435</v>
      </c>
      <c r="BF222" s="228" t="s">
        <v>4436</v>
      </c>
      <c r="BG222" s="219" t="s">
        <v>4425</v>
      </c>
      <c r="BH222" s="321">
        <f t="shared" si="17"/>
        <v>94</v>
      </c>
      <c r="BI222" s="98" t="str">
        <f t="shared" si="18"/>
        <v>INDENIZAÇÃO</v>
      </c>
      <c r="BJ222" s="98" t="str">
        <f t="shared" si="19"/>
        <v>NÃO</v>
      </c>
      <c r="BK222" s="219" t="s">
        <v>4437</v>
      </c>
      <c r="BL222" s="219" t="s">
        <v>4437</v>
      </c>
      <c r="BM222" s="219" t="s">
        <v>4437</v>
      </c>
      <c r="BN222" s="207" t="s">
        <v>4425</v>
      </c>
      <c r="BO222" s="207" t="s">
        <v>4425</v>
      </c>
      <c r="BP222" s="202">
        <v>46224</v>
      </c>
      <c r="BQ222" s="207" t="s">
        <v>4425</v>
      </c>
      <c r="BR222" s="232" t="s">
        <v>4435</v>
      </c>
    </row>
    <row r="223" spans="1:72" s="240" customFormat="1" ht="27" hidden="1" customHeight="1">
      <c r="A223" s="207">
        <v>219</v>
      </c>
      <c r="B223" s="197" t="s">
        <v>4396</v>
      </c>
      <c r="C223" s="207" t="s">
        <v>5297</v>
      </c>
      <c r="D223" s="207">
        <v>1</v>
      </c>
      <c r="E223" s="207" t="s">
        <v>4398</v>
      </c>
      <c r="F223" s="214" t="s">
        <v>5388</v>
      </c>
      <c r="G223" s="207" t="s">
        <v>4400</v>
      </c>
      <c r="H223" s="207" t="s">
        <v>4401</v>
      </c>
      <c r="I223" s="217" t="s">
        <v>4402</v>
      </c>
      <c r="J223" s="215" t="s">
        <v>5389</v>
      </c>
      <c r="K223" s="215" t="s">
        <v>5390</v>
      </c>
      <c r="L223" s="215" t="s">
        <v>5391</v>
      </c>
      <c r="M223" s="207" t="s">
        <v>4405</v>
      </c>
      <c r="N223" s="207" t="s">
        <v>4406</v>
      </c>
      <c r="O223" s="202">
        <v>45986</v>
      </c>
      <c r="P223" s="230" t="s">
        <v>4407</v>
      </c>
      <c r="Q223" s="202">
        <v>45985</v>
      </c>
      <c r="R223" s="202">
        <v>45986</v>
      </c>
      <c r="S223" s="202">
        <v>45987</v>
      </c>
      <c r="T223" s="202">
        <v>45992</v>
      </c>
      <c r="U223" s="230" t="s">
        <v>4408</v>
      </c>
      <c r="V223" s="230" t="s">
        <v>4408</v>
      </c>
      <c r="W223" s="202">
        <v>45999</v>
      </c>
      <c r="X223" s="202">
        <v>46000</v>
      </c>
      <c r="Y223" s="202">
        <v>46017</v>
      </c>
      <c r="Z223" s="207"/>
      <c r="AA223" s="215" t="s">
        <v>5389</v>
      </c>
      <c r="AB223" s="215" t="s">
        <v>5390</v>
      </c>
      <c r="AC223" s="215" t="s">
        <v>5391</v>
      </c>
      <c r="AD223" s="241" t="s">
        <v>4402</v>
      </c>
      <c r="AE223" s="241" t="s">
        <v>4405</v>
      </c>
      <c r="AF223" s="242" t="s">
        <v>4409</v>
      </c>
      <c r="AG223" s="242" t="s">
        <v>4409</v>
      </c>
      <c r="AH223" s="241" t="s">
        <v>4410</v>
      </c>
      <c r="AI223" s="214" t="s">
        <v>4411</v>
      </c>
      <c r="AJ223" s="207"/>
      <c r="AK223" s="316">
        <v>45979</v>
      </c>
      <c r="AL223" s="316">
        <v>45979</v>
      </c>
      <c r="AM223" s="316">
        <v>45979</v>
      </c>
      <c r="AN223" s="316">
        <v>45979</v>
      </c>
      <c r="AO223" s="316">
        <v>45979</v>
      </c>
      <c r="AP223" s="316">
        <v>45979</v>
      </c>
      <c r="AQ223" s="314"/>
      <c r="AR223" s="315" t="str">
        <f t="shared" si="16"/>
        <v>FINALIZADO</v>
      </c>
      <c r="AS223" s="207"/>
      <c r="AT223" s="207"/>
      <c r="AU223" s="220"/>
      <c r="AV223" s="207"/>
      <c r="AW223" s="207"/>
      <c r="AX223" s="228"/>
      <c r="AY223" s="197"/>
      <c r="AZ223" s="202"/>
      <c r="BA223" s="219"/>
      <c r="BB223" s="207"/>
      <c r="BC223" s="202"/>
      <c r="BD223" s="208"/>
      <c r="BE223" s="239">
        <v>46017</v>
      </c>
      <c r="BF223" s="207" t="s">
        <v>4412</v>
      </c>
      <c r="BG223" s="229"/>
      <c r="BH223" s="321" t="str">
        <f t="shared" si="17"/>
        <v/>
      </c>
      <c r="BI223" s="98" t="str">
        <f t="shared" si="18"/>
        <v>AA</v>
      </c>
      <c r="BJ223" s="98" t="str">
        <f t="shared" si="19"/>
        <v>NÃO</v>
      </c>
      <c r="BK223" s="230"/>
      <c r="BL223" s="230"/>
      <c r="BM223" s="230"/>
      <c r="BN223" s="230"/>
      <c r="BO223" s="230"/>
      <c r="BP223" s="230"/>
      <c r="BQ223" s="230"/>
      <c r="BR223" s="234"/>
    </row>
    <row r="224" spans="1:72" s="240" customFormat="1" ht="27" hidden="1" customHeight="1">
      <c r="A224" s="197">
        <v>220</v>
      </c>
      <c r="B224" s="197" t="s">
        <v>4396</v>
      </c>
      <c r="C224" s="207" t="s">
        <v>4427</v>
      </c>
      <c r="D224" s="207">
        <v>1</v>
      </c>
      <c r="E224" s="207" t="s">
        <v>4398</v>
      </c>
      <c r="F224" s="214" t="s">
        <v>5388</v>
      </c>
      <c r="G224" s="207" t="s">
        <v>4400</v>
      </c>
      <c r="H224" s="207" t="s">
        <v>4401</v>
      </c>
      <c r="I224" s="217" t="s">
        <v>4402</v>
      </c>
      <c r="J224" s="215" t="s">
        <v>5392</v>
      </c>
      <c r="K224" s="215" t="s">
        <v>5393</v>
      </c>
      <c r="L224" s="215" t="s">
        <v>5394</v>
      </c>
      <c r="M224" s="207" t="s">
        <v>4405</v>
      </c>
      <c r="N224" s="207" t="s">
        <v>4442</v>
      </c>
      <c r="O224" s="202" t="s">
        <v>4409</v>
      </c>
      <c r="P224" s="202" t="s">
        <v>4409</v>
      </c>
      <c r="Q224" s="202" t="s">
        <v>4409</v>
      </c>
      <c r="R224" s="202" t="s">
        <v>4409</v>
      </c>
      <c r="S224" s="202" t="s">
        <v>4409</v>
      </c>
      <c r="T224" s="202" t="s">
        <v>4409</v>
      </c>
      <c r="U224" s="202" t="s">
        <v>4409</v>
      </c>
      <c r="V224" s="202" t="s">
        <v>4409</v>
      </c>
      <c r="W224" s="202" t="s">
        <v>4409</v>
      </c>
      <c r="X224" s="202" t="s">
        <v>4409</v>
      </c>
      <c r="Y224" s="202"/>
      <c r="Z224" s="203"/>
      <c r="AA224" s="215" t="s">
        <v>5392</v>
      </c>
      <c r="AB224" s="215" t="s">
        <v>5393</v>
      </c>
      <c r="AC224" s="215" t="s">
        <v>5394</v>
      </c>
      <c r="AD224" s="197" t="s">
        <v>4402</v>
      </c>
      <c r="AE224" s="197" t="s">
        <v>4405</v>
      </c>
      <c r="AF224" s="243">
        <v>52850.13</v>
      </c>
      <c r="AG224" s="243">
        <v>60000</v>
      </c>
      <c r="AH224" s="197" t="s">
        <v>4433</v>
      </c>
      <c r="AI224" s="214" t="s">
        <v>4411</v>
      </c>
      <c r="AJ224" s="207">
        <v>151379771</v>
      </c>
      <c r="AK224" s="316">
        <v>46086</v>
      </c>
      <c r="AL224" s="316">
        <v>46086</v>
      </c>
      <c r="AM224" s="316">
        <v>46086</v>
      </c>
      <c r="AN224" s="316">
        <v>46086</v>
      </c>
      <c r="AO224" s="316">
        <v>46086</v>
      </c>
      <c r="AP224" s="316">
        <v>46086</v>
      </c>
      <c r="AQ224" s="314"/>
      <c r="AR224" s="315" t="str">
        <f t="shared" si="16"/>
        <v>FINALIZADO</v>
      </c>
      <c r="AS224" s="207" t="s">
        <v>4423</v>
      </c>
      <c r="AT224" s="207"/>
      <c r="AU224" s="220" t="s">
        <v>5395</v>
      </c>
      <c r="AV224" s="207" t="s">
        <v>4425</v>
      </c>
      <c r="AW224" s="207" t="s">
        <v>4425</v>
      </c>
      <c r="AX224" s="207" t="s">
        <v>4425</v>
      </c>
      <c r="AY224" s="207" t="s">
        <v>4425</v>
      </c>
      <c r="AZ224" s="202">
        <v>46170</v>
      </c>
      <c r="BA224" s="207" t="s">
        <v>4425</v>
      </c>
      <c r="BB224" s="207" t="s">
        <v>4425</v>
      </c>
      <c r="BC224" s="202">
        <v>46182</v>
      </c>
      <c r="BD224" s="227">
        <v>46182</v>
      </c>
      <c r="BE224" s="235" t="s">
        <v>4435</v>
      </c>
      <c r="BF224" s="236" t="s">
        <v>4436</v>
      </c>
      <c r="BG224" s="237" t="s">
        <v>4425</v>
      </c>
      <c r="BH224" s="321">
        <f t="shared" si="17"/>
        <v>96</v>
      </c>
      <c r="BI224" s="98" t="str">
        <f t="shared" si="18"/>
        <v>INDENIZAÇÃO</v>
      </c>
      <c r="BJ224" s="98" t="str">
        <f t="shared" si="19"/>
        <v>NÃO</v>
      </c>
      <c r="BK224" s="238" t="s">
        <v>4437</v>
      </c>
      <c r="BL224" s="238" t="s">
        <v>4437</v>
      </c>
      <c r="BM224" s="238" t="s">
        <v>4437</v>
      </c>
      <c r="BN224" s="207" t="s">
        <v>4425</v>
      </c>
      <c r="BO224" s="250" t="s">
        <v>4425</v>
      </c>
      <c r="BP224" s="202">
        <v>46269</v>
      </c>
      <c r="BQ224" s="257" t="s">
        <v>4819</v>
      </c>
      <c r="BR224" s="231"/>
      <c r="BS224" s="223"/>
    </row>
    <row r="225" spans="1:72" s="240" customFormat="1" ht="27" hidden="1" customHeight="1">
      <c r="A225" s="197">
        <v>221</v>
      </c>
      <c r="B225" s="197" t="s">
        <v>4396</v>
      </c>
      <c r="C225" s="207" t="s">
        <v>5297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5397</v>
      </c>
      <c r="K225" s="215" t="s">
        <v>5398</v>
      </c>
      <c r="L225" s="215" t="s">
        <v>5399</v>
      </c>
      <c r="M225" s="207" t="s">
        <v>4405</v>
      </c>
      <c r="N225" s="207" t="s">
        <v>4406</v>
      </c>
      <c r="O225" s="202">
        <v>45986</v>
      </c>
      <c r="P225" s="203" t="s">
        <v>4407</v>
      </c>
      <c r="Q225" s="203">
        <v>45985</v>
      </c>
      <c r="R225" s="203">
        <v>45986</v>
      </c>
      <c r="S225" s="203">
        <v>45987</v>
      </c>
      <c r="T225" s="203">
        <v>45992</v>
      </c>
      <c r="U225" s="203" t="s">
        <v>4408</v>
      </c>
      <c r="V225" s="203" t="s">
        <v>4408</v>
      </c>
      <c r="W225" s="202">
        <v>45999</v>
      </c>
      <c r="X225" s="202">
        <v>46001</v>
      </c>
      <c r="Y225" s="202">
        <v>46017</v>
      </c>
      <c r="Z225" s="207"/>
      <c r="AA225" s="215" t="s">
        <v>5397</v>
      </c>
      <c r="AB225" s="215" t="s">
        <v>5398</v>
      </c>
      <c r="AC225" s="215" t="s">
        <v>5399</v>
      </c>
      <c r="AD225" s="241" t="s">
        <v>4402</v>
      </c>
      <c r="AE225" s="241" t="s">
        <v>4405</v>
      </c>
      <c r="AF225" s="242" t="s">
        <v>4409</v>
      </c>
      <c r="AG225" s="242" t="s">
        <v>4409</v>
      </c>
      <c r="AH225" s="241" t="s">
        <v>4410</v>
      </c>
      <c r="AI225" s="214" t="s">
        <v>4411</v>
      </c>
      <c r="AJ225" s="207"/>
      <c r="AK225" s="316">
        <v>45979</v>
      </c>
      <c r="AL225" s="316">
        <v>45979</v>
      </c>
      <c r="AM225" s="316">
        <v>45979</v>
      </c>
      <c r="AN225" s="316">
        <v>45979</v>
      </c>
      <c r="AO225" s="316">
        <v>45979</v>
      </c>
      <c r="AP225" s="316">
        <v>45979</v>
      </c>
      <c r="AQ225" s="314"/>
      <c r="AR225" s="315" t="str">
        <f t="shared" si="16"/>
        <v>FINALIZADO</v>
      </c>
      <c r="AS225" s="207"/>
      <c r="AT225" s="207"/>
      <c r="AU225" s="220"/>
      <c r="AV225" s="207"/>
      <c r="AW225" s="207"/>
      <c r="AX225" s="228"/>
      <c r="AY225" s="207"/>
      <c r="AZ225" s="202"/>
      <c r="BA225" s="219"/>
      <c r="BB225" s="207"/>
      <c r="BC225" s="202"/>
      <c r="BD225" s="208"/>
      <c r="BE225" s="239">
        <v>46017</v>
      </c>
      <c r="BF225" s="207" t="s">
        <v>4412</v>
      </c>
      <c r="BG225" s="229"/>
      <c r="BH225" s="321" t="str">
        <f t="shared" si="17"/>
        <v/>
      </c>
      <c r="BI225" s="98" t="str">
        <f t="shared" si="18"/>
        <v>AA</v>
      </c>
      <c r="BJ225" s="98" t="str">
        <f t="shared" si="19"/>
        <v>NÃO</v>
      </c>
      <c r="BK225" s="230"/>
      <c r="BL225" s="230"/>
      <c r="BM225" s="230"/>
      <c r="BN225" s="230"/>
      <c r="BO225" s="230"/>
      <c r="BP225" s="230"/>
      <c r="BQ225" s="230"/>
      <c r="BR225" s="234"/>
    </row>
    <row r="226" spans="1:72" s="240" customFormat="1" ht="27" hidden="1" customHeight="1">
      <c r="A226" s="207">
        <v>222</v>
      </c>
      <c r="B226" s="197" t="s">
        <v>4396</v>
      </c>
      <c r="C226" s="207" t="s">
        <v>4427</v>
      </c>
      <c r="D226" s="207">
        <v>1</v>
      </c>
      <c r="E226" s="207" t="s">
        <v>4398</v>
      </c>
      <c r="F226" s="214" t="s">
        <v>5396</v>
      </c>
      <c r="G226" s="207" t="s">
        <v>4400</v>
      </c>
      <c r="H226" s="207" t="s">
        <v>4583</v>
      </c>
      <c r="I226" s="217" t="s">
        <v>4402</v>
      </c>
      <c r="J226" s="215" t="s">
        <v>5400</v>
      </c>
      <c r="K226" s="215" t="s">
        <v>5401</v>
      </c>
      <c r="L226" s="215" t="s">
        <v>5402</v>
      </c>
      <c r="M226" s="207" t="s">
        <v>4405</v>
      </c>
      <c r="N226" s="207" t="s">
        <v>4406</v>
      </c>
      <c r="O226" s="203">
        <v>46031</v>
      </c>
      <c r="P226" s="202" t="s">
        <v>4407</v>
      </c>
      <c r="Q226" s="203">
        <v>46030</v>
      </c>
      <c r="R226" s="203">
        <v>46031</v>
      </c>
      <c r="S226" s="203">
        <v>46036</v>
      </c>
      <c r="T226" s="203">
        <v>46045</v>
      </c>
      <c r="U226" s="203" t="s">
        <v>4408</v>
      </c>
      <c r="V226" s="203" t="s">
        <v>4408</v>
      </c>
      <c r="W226" s="202">
        <v>46055</v>
      </c>
      <c r="X226" s="202">
        <v>46058</v>
      </c>
      <c r="Y226" s="202"/>
      <c r="Z226" s="202"/>
      <c r="AA226" s="215" t="s">
        <v>5400</v>
      </c>
      <c r="AB226" s="214" t="s">
        <v>4440</v>
      </c>
      <c r="AC226" s="214" t="s">
        <v>5402</v>
      </c>
      <c r="AD226" s="197" t="s">
        <v>4402</v>
      </c>
      <c r="AE226" s="197" t="s">
        <v>4405</v>
      </c>
      <c r="AF226" s="205" t="s">
        <v>4409</v>
      </c>
      <c r="AG226" s="205" t="s">
        <v>4409</v>
      </c>
      <c r="AH226" s="197" t="s">
        <v>4410</v>
      </c>
      <c r="AI226" s="214" t="s">
        <v>4411</v>
      </c>
      <c r="AJ226" s="207"/>
      <c r="AK226" s="316">
        <v>45986</v>
      </c>
      <c r="AL226" s="316">
        <v>45986</v>
      </c>
      <c r="AM226" s="316">
        <v>45986</v>
      </c>
      <c r="AN226" s="316">
        <v>45986</v>
      </c>
      <c r="AO226" s="316">
        <v>45986</v>
      </c>
      <c r="AP226" s="316">
        <v>45986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01"/>
      <c r="BF226" s="197"/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223</v>
      </c>
      <c r="B227" s="197" t="s">
        <v>4396</v>
      </c>
      <c r="C227" s="207" t="s">
        <v>5297</v>
      </c>
      <c r="D227" s="207">
        <v>1</v>
      </c>
      <c r="E227" s="207" t="s">
        <v>4398</v>
      </c>
      <c r="F227" s="214" t="s">
        <v>5403</v>
      </c>
      <c r="G227" s="207" t="s">
        <v>4546</v>
      </c>
      <c r="H227" s="207" t="s">
        <v>4401</v>
      </c>
      <c r="I227" s="233" t="s">
        <v>4421</v>
      </c>
      <c r="J227" s="215" t="s">
        <v>5404</v>
      </c>
      <c r="K227" s="215" t="s">
        <v>5405</v>
      </c>
      <c r="L227" s="215" t="s">
        <v>5406</v>
      </c>
      <c r="M227" s="207" t="s">
        <v>4405</v>
      </c>
      <c r="N227" s="207" t="s">
        <v>4442</v>
      </c>
      <c r="O227" s="202" t="s">
        <v>4409</v>
      </c>
      <c r="P227" s="202" t="s">
        <v>4409</v>
      </c>
      <c r="Q227" s="202" t="s">
        <v>4409</v>
      </c>
      <c r="R227" s="202" t="s">
        <v>4409</v>
      </c>
      <c r="S227" s="202" t="s">
        <v>4409</v>
      </c>
      <c r="T227" s="202" t="s">
        <v>4409</v>
      </c>
      <c r="U227" s="202" t="s">
        <v>4409</v>
      </c>
      <c r="V227" s="202" t="s">
        <v>4409</v>
      </c>
      <c r="W227" s="202" t="s">
        <v>4409</v>
      </c>
      <c r="X227" s="202" t="s">
        <v>4409</v>
      </c>
      <c r="Y227" s="202"/>
      <c r="Z227" s="202"/>
      <c r="AA227" s="215" t="s">
        <v>5404</v>
      </c>
      <c r="AB227" s="214" t="s">
        <v>5405</v>
      </c>
      <c r="AC227" s="214" t="s">
        <v>5406</v>
      </c>
      <c r="AD227" s="233" t="s">
        <v>4421</v>
      </c>
      <c r="AE227" s="207" t="s">
        <v>4405</v>
      </c>
      <c r="AF227" s="243">
        <v>2213.9299999999998</v>
      </c>
      <c r="AG227" s="243">
        <f>AF227+30000</f>
        <v>32213.93</v>
      </c>
      <c r="AH227" s="207" t="s">
        <v>4433</v>
      </c>
      <c r="AI227" s="214" t="s">
        <v>4411</v>
      </c>
      <c r="AJ227" s="207">
        <v>146041203</v>
      </c>
      <c r="AK227" s="316">
        <v>45979</v>
      </c>
      <c r="AL227" s="316">
        <v>45979</v>
      </c>
      <c r="AM227" s="316">
        <v>45979</v>
      </c>
      <c r="AN227" s="316">
        <v>45979</v>
      </c>
      <c r="AO227" s="316">
        <v>45979</v>
      </c>
      <c r="AP227" s="316">
        <v>45979</v>
      </c>
      <c r="AQ227" s="314"/>
      <c r="AR227" s="315" t="str">
        <f t="shared" si="16"/>
        <v>FINALIZADO</v>
      </c>
      <c r="AS227" s="207" t="s">
        <v>4423</v>
      </c>
      <c r="AT227" s="207"/>
      <c r="AU227" s="220" t="s">
        <v>5407</v>
      </c>
      <c r="AV227" s="207" t="s">
        <v>4425</v>
      </c>
      <c r="AW227" s="207" t="s">
        <v>4425</v>
      </c>
      <c r="AX227" s="250" t="s">
        <v>4425</v>
      </c>
      <c r="AY227" s="207" t="s">
        <v>4425</v>
      </c>
      <c r="AZ227" s="202">
        <v>46014</v>
      </c>
      <c r="BA227" s="219" t="s">
        <v>4425</v>
      </c>
      <c r="BB227" s="207" t="s">
        <v>4425</v>
      </c>
      <c r="BC227" s="202">
        <v>46021</v>
      </c>
      <c r="BD227" s="227">
        <v>46021</v>
      </c>
      <c r="BE227" s="239">
        <v>46017</v>
      </c>
      <c r="BF227" s="207" t="s">
        <v>4762</v>
      </c>
      <c r="BG227" s="229" t="s">
        <v>4425</v>
      </c>
      <c r="BH227" s="321">
        <f t="shared" si="17"/>
        <v>42</v>
      </c>
      <c r="BI227" s="98" t="str">
        <f t="shared" si="18"/>
        <v>INDENIZAÇÃO</v>
      </c>
      <c r="BJ227" s="98" t="str">
        <f t="shared" si="19"/>
        <v>NÃO</v>
      </c>
      <c r="BK227" s="230" t="s">
        <v>4437</v>
      </c>
      <c r="BL227" s="230" t="s">
        <v>4437</v>
      </c>
      <c r="BM227" s="230" t="s">
        <v>4437</v>
      </c>
      <c r="BN227" s="207" t="s">
        <v>4425</v>
      </c>
      <c r="BO227" s="207" t="s">
        <v>4425</v>
      </c>
      <c r="BP227" s="202">
        <v>46205</v>
      </c>
      <c r="BQ227" s="207" t="s">
        <v>4425</v>
      </c>
      <c r="BR227" s="232" t="s">
        <v>4435</v>
      </c>
    </row>
    <row r="228" spans="1:72" s="240" customFormat="1" ht="27" hidden="1" customHeight="1">
      <c r="A228" s="207">
        <v>224</v>
      </c>
      <c r="B228" s="197" t="s">
        <v>4396</v>
      </c>
      <c r="C228" s="207" t="s">
        <v>4427</v>
      </c>
      <c r="D228" s="207">
        <v>1</v>
      </c>
      <c r="E228" s="207" t="s">
        <v>4398</v>
      </c>
      <c r="F228" s="214" t="s">
        <v>5408</v>
      </c>
      <c r="G228" s="207" t="s">
        <v>4545</v>
      </c>
      <c r="H228" s="207" t="s">
        <v>4545</v>
      </c>
      <c r="I228" s="249" t="s">
        <v>4545</v>
      </c>
      <c r="J228" s="215" t="s">
        <v>5409</v>
      </c>
      <c r="K228" s="215" t="s">
        <v>4440</v>
      </c>
      <c r="L228" s="215" t="s">
        <v>5410</v>
      </c>
      <c r="M228" s="207" t="s">
        <v>4405</v>
      </c>
      <c r="N228" s="207" t="s">
        <v>4442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/>
      <c r="AB228" s="214"/>
      <c r="AC228" s="214"/>
      <c r="AD228" s="217"/>
      <c r="AE228" s="207"/>
      <c r="AF228" s="218"/>
      <c r="AG228" s="218"/>
      <c r="AH228" s="207"/>
      <c r="AI228" s="214" t="s">
        <v>4411</v>
      </c>
      <c r="AJ228" s="207"/>
      <c r="AK228" s="316">
        <v>46134</v>
      </c>
      <c r="AL228" s="316">
        <v>46134</v>
      </c>
      <c r="AM228" s="316">
        <v>46134</v>
      </c>
      <c r="AN228" s="316">
        <v>46134</v>
      </c>
      <c r="AO228" s="316">
        <v>46134</v>
      </c>
      <c r="AP228" s="316">
        <v>46134</v>
      </c>
      <c r="AQ228" s="314"/>
      <c r="AR228" s="315" t="str">
        <f t="shared" si="16"/>
        <v>FINALIZADO</v>
      </c>
      <c r="AS228" s="207"/>
      <c r="AT228" s="207"/>
      <c r="AU228" s="220"/>
      <c r="AV228" s="207"/>
      <c r="AW228" s="207"/>
      <c r="AX228" s="228"/>
      <c r="AY228" s="207"/>
      <c r="AZ228" s="202"/>
      <c r="BA228" s="219"/>
      <c r="BB228" s="207"/>
      <c r="BC228" s="202"/>
      <c r="BD228" s="208"/>
      <c r="BE228" s="274"/>
      <c r="BF228" s="228"/>
      <c r="BG228" s="229"/>
      <c r="BH228" s="321" t="str">
        <f t="shared" si="17"/>
        <v/>
      </c>
      <c r="BI228" s="98" t="str">
        <f t="shared" si="18"/>
        <v>INDENIZAÇÃO</v>
      </c>
      <c r="BJ228" s="98" t="str">
        <f t="shared" si="19"/>
        <v>NÃO</v>
      </c>
      <c r="BK228" s="230"/>
      <c r="BL228" s="230"/>
      <c r="BM228" s="230"/>
      <c r="BN228" s="265"/>
      <c r="BO228" s="265"/>
      <c r="BP228" s="265"/>
      <c r="BQ228" s="265"/>
      <c r="BR228" s="231"/>
    </row>
    <row r="229" spans="1:72" s="240" customFormat="1" ht="27" hidden="1" customHeight="1">
      <c r="A229" s="197">
        <v>225</v>
      </c>
      <c r="B229" s="197" t="s">
        <v>4396</v>
      </c>
      <c r="C229" s="207" t="s">
        <v>4427</v>
      </c>
      <c r="D229" s="207">
        <v>1</v>
      </c>
      <c r="E229" s="207" t="s">
        <v>4398</v>
      </c>
      <c r="F229" s="214" t="s">
        <v>5411</v>
      </c>
      <c r="G229" s="207" t="s">
        <v>4400</v>
      </c>
      <c r="H229" s="207" t="s">
        <v>4401</v>
      </c>
      <c r="I229" s="217" t="s">
        <v>4414</v>
      </c>
      <c r="J229" s="215" t="s">
        <v>5412</v>
      </c>
      <c r="K229" s="215" t="s">
        <v>5413</v>
      </c>
      <c r="L229" s="215" t="s">
        <v>5414</v>
      </c>
      <c r="M229" s="207" t="s">
        <v>4405</v>
      </c>
      <c r="N229" s="207" t="s">
        <v>4406</v>
      </c>
      <c r="O229" s="202">
        <v>46002</v>
      </c>
      <c r="P229" s="202" t="s">
        <v>4407</v>
      </c>
      <c r="Q229" s="202">
        <v>45999</v>
      </c>
      <c r="R229" s="202">
        <v>46006</v>
      </c>
      <c r="S229" s="202">
        <v>46006</v>
      </c>
      <c r="T229" s="202">
        <v>46009</v>
      </c>
      <c r="U229" s="202" t="s">
        <v>4408</v>
      </c>
      <c r="V229" s="202" t="s">
        <v>4408</v>
      </c>
      <c r="W229" s="202">
        <v>46014</v>
      </c>
      <c r="X229" s="202">
        <v>46017</v>
      </c>
      <c r="Y229" s="202"/>
      <c r="Z229" s="202"/>
      <c r="AA229" s="215" t="s">
        <v>5415</v>
      </c>
      <c r="AB229" s="214"/>
      <c r="AC229" s="214" t="s">
        <v>5416</v>
      </c>
      <c r="AD229" s="217" t="s">
        <v>4421</v>
      </c>
      <c r="AE229" s="207" t="s">
        <v>4405</v>
      </c>
      <c r="AF229" s="218">
        <v>38903.870000000003</v>
      </c>
      <c r="AG229" s="218">
        <v>38903.870000000003</v>
      </c>
      <c r="AH229" s="207" t="s">
        <v>14</v>
      </c>
      <c r="AI229" s="214" t="s">
        <v>4411</v>
      </c>
      <c r="AJ229" s="207"/>
      <c r="AK229" s="316">
        <v>45986</v>
      </c>
      <c r="AL229" s="316">
        <v>45986</v>
      </c>
      <c r="AM229" s="316">
        <v>45986</v>
      </c>
      <c r="AN229" s="316">
        <v>45986</v>
      </c>
      <c r="AO229" s="316">
        <v>45986</v>
      </c>
      <c r="AP229" s="316">
        <v>45986</v>
      </c>
      <c r="AQ229" s="314"/>
      <c r="AR229" s="315" t="str">
        <f t="shared" si="16"/>
        <v>FINALIZADO</v>
      </c>
      <c r="AS229" s="207"/>
      <c r="AT229" s="207" t="s">
        <v>5417</v>
      </c>
      <c r="AU229" s="220"/>
      <c r="AV229" s="207"/>
      <c r="AW229" s="207"/>
      <c r="AX229" s="228"/>
      <c r="AY229" s="160"/>
      <c r="AZ229" s="267"/>
      <c r="BA229" s="219"/>
      <c r="BB229" s="207"/>
      <c r="BC229" s="202"/>
      <c r="BD229" s="208"/>
      <c r="BE229" s="202"/>
      <c r="BF229" s="207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30"/>
      <c r="BO229" s="230"/>
      <c r="BP229" s="230"/>
      <c r="BQ229" s="230"/>
      <c r="BR229" s="234"/>
    </row>
    <row r="230" spans="1:72" s="240" customFormat="1" ht="27" hidden="1" customHeight="1">
      <c r="A230" s="197">
        <v>226</v>
      </c>
      <c r="B230" s="197" t="s">
        <v>4396</v>
      </c>
      <c r="C230" s="207" t="s">
        <v>4427</v>
      </c>
      <c r="D230" s="207">
        <v>1</v>
      </c>
      <c r="E230" s="207" t="s">
        <v>4398</v>
      </c>
      <c r="F230" s="214" t="s">
        <v>5418</v>
      </c>
      <c r="G230" s="207" t="s">
        <v>4545</v>
      </c>
      <c r="H230" s="207" t="s">
        <v>4545</v>
      </c>
      <c r="I230" s="217" t="s">
        <v>4545</v>
      </c>
      <c r="J230" s="215" t="s">
        <v>5419</v>
      </c>
      <c r="K230" s="215" t="s">
        <v>4440</v>
      </c>
      <c r="L230" s="215" t="s">
        <v>5420</v>
      </c>
      <c r="M230" s="207" t="s">
        <v>4405</v>
      </c>
      <c r="N230" s="207" t="s">
        <v>4442</v>
      </c>
      <c r="O230" s="202" t="s">
        <v>4409</v>
      </c>
      <c r="P230" s="202" t="s">
        <v>4409</v>
      </c>
      <c r="Q230" s="202" t="s">
        <v>4409</v>
      </c>
      <c r="R230" s="202" t="s">
        <v>4409</v>
      </c>
      <c r="S230" s="202" t="s">
        <v>4409</v>
      </c>
      <c r="T230" s="202" t="s">
        <v>4409</v>
      </c>
      <c r="U230" s="202" t="s">
        <v>4409</v>
      </c>
      <c r="V230" s="202" t="s">
        <v>4409</v>
      </c>
      <c r="W230" s="202" t="s">
        <v>4409</v>
      </c>
      <c r="X230" s="202" t="s">
        <v>4409</v>
      </c>
      <c r="Y230" s="202"/>
      <c r="Z230" s="202"/>
      <c r="AA230" s="215"/>
      <c r="AB230" s="214"/>
      <c r="AC230" s="214"/>
      <c r="AD230" s="217"/>
      <c r="AE230" s="207"/>
      <c r="AF230" s="218"/>
      <c r="AG230" s="218"/>
      <c r="AH230" s="207"/>
      <c r="AI230" s="214" t="s">
        <v>4411</v>
      </c>
      <c r="AJ230" s="207"/>
      <c r="AK230" s="316">
        <v>46134</v>
      </c>
      <c r="AL230" s="316">
        <v>46134</v>
      </c>
      <c r="AM230" s="316">
        <v>46134</v>
      </c>
      <c r="AN230" s="316">
        <v>46134</v>
      </c>
      <c r="AO230" s="316">
        <v>46134</v>
      </c>
      <c r="AP230" s="316">
        <v>46134</v>
      </c>
      <c r="AQ230" s="314"/>
      <c r="AR230" s="315" t="str">
        <f t="shared" si="16"/>
        <v>FINALIZADO</v>
      </c>
      <c r="AS230" s="207"/>
      <c r="AT230" s="207"/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207">
        <v>227</v>
      </c>
      <c r="B231" s="197" t="s">
        <v>4396</v>
      </c>
      <c r="C231" s="207" t="s">
        <v>4427</v>
      </c>
      <c r="D231" s="207">
        <v>1</v>
      </c>
      <c r="E231" s="207" t="s">
        <v>4398</v>
      </c>
      <c r="F231" s="214" t="s">
        <v>5421</v>
      </c>
      <c r="G231" s="207" t="s">
        <v>4400</v>
      </c>
      <c r="H231" s="207" t="s">
        <v>4401</v>
      </c>
      <c r="I231" s="217" t="s">
        <v>4414</v>
      </c>
      <c r="J231" s="215" t="s">
        <v>5422</v>
      </c>
      <c r="K231" s="215" t="s">
        <v>5423</v>
      </c>
      <c r="L231" s="215" t="s">
        <v>5424</v>
      </c>
      <c r="M231" s="207" t="s">
        <v>4405</v>
      </c>
      <c r="N231" s="207" t="s">
        <v>4406</v>
      </c>
      <c r="O231" s="202">
        <v>46002</v>
      </c>
      <c r="P231" s="202" t="s">
        <v>4407</v>
      </c>
      <c r="Q231" s="202">
        <v>45999</v>
      </c>
      <c r="R231" s="202">
        <v>46006</v>
      </c>
      <c r="S231" s="202">
        <v>46006</v>
      </c>
      <c r="T231" s="202">
        <v>46009</v>
      </c>
      <c r="U231" s="202" t="s">
        <v>4408</v>
      </c>
      <c r="V231" s="202" t="s">
        <v>4408</v>
      </c>
      <c r="W231" s="202">
        <v>46014</v>
      </c>
      <c r="X231" s="202">
        <v>46017</v>
      </c>
      <c r="Y231" s="202"/>
      <c r="Z231" s="202"/>
      <c r="AA231" s="215" t="s">
        <v>5425</v>
      </c>
      <c r="AB231" s="214" t="s">
        <v>5426</v>
      </c>
      <c r="AC231" s="214" t="s">
        <v>5427</v>
      </c>
      <c r="AD231" s="217" t="s">
        <v>4421</v>
      </c>
      <c r="AE231" s="207" t="s">
        <v>4405</v>
      </c>
      <c r="AF231" s="218">
        <v>39365.589999999997</v>
      </c>
      <c r="AG231" s="218">
        <v>39365.589999999997</v>
      </c>
      <c r="AH231" s="207" t="s">
        <v>14</v>
      </c>
      <c r="AI231" s="214" t="s">
        <v>4411</v>
      </c>
      <c r="AJ231" s="207"/>
      <c r="AK231" s="316">
        <v>45986</v>
      </c>
      <c r="AL231" s="316">
        <v>45986</v>
      </c>
      <c r="AM231" s="316">
        <v>45986</v>
      </c>
      <c r="AN231" s="316">
        <v>45986</v>
      </c>
      <c r="AO231" s="316">
        <v>45986</v>
      </c>
      <c r="AP231" s="316">
        <v>45986</v>
      </c>
      <c r="AQ231" s="314"/>
      <c r="AR231" s="315" t="str">
        <f t="shared" si="16"/>
        <v>FINALIZADO</v>
      </c>
      <c r="AS231" s="207"/>
      <c r="AT231" s="207" t="s">
        <v>5417</v>
      </c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228</v>
      </c>
      <c r="B232" s="197" t="s">
        <v>4396</v>
      </c>
      <c r="C232" s="207" t="s">
        <v>5297</v>
      </c>
      <c r="D232" s="207">
        <v>1</v>
      </c>
      <c r="E232" s="207" t="s">
        <v>4398</v>
      </c>
      <c r="F232" s="214" t="s">
        <v>5428</v>
      </c>
      <c r="G232" s="207" t="s">
        <v>4400</v>
      </c>
      <c r="H232" s="207" t="s">
        <v>4401</v>
      </c>
      <c r="I232" s="217" t="s">
        <v>4402</v>
      </c>
      <c r="J232" s="215" t="s">
        <v>5429</v>
      </c>
      <c r="K232" s="215" t="s">
        <v>5430</v>
      </c>
      <c r="L232" s="215" t="s">
        <v>5431</v>
      </c>
      <c r="M232" s="207" t="s">
        <v>4405</v>
      </c>
      <c r="N232" s="207" t="s">
        <v>4406</v>
      </c>
      <c r="O232" s="202">
        <v>45986</v>
      </c>
      <c r="P232" s="203" t="s">
        <v>4407</v>
      </c>
      <c r="Q232" s="203">
        <v>45985</v>
      </c>
      <c r="R232" s="203">
        <v>45986</v>
      </c>
      <c r="S232" s="203">
        <v>45987</v>
      </c>
      <c r="T232" s="203">
        <v>45992</v>
      </c>
      <c r="U232" s="202" t="s">
        <v>4408</v>
      </c>
      <c r="V232" s="202" t="s">
        <v>4408</v>
      </c>
      <c r="W232" s="202">
        <v>45999</v>
      </c>
      <c r="X232" s="202">
        <v>46000</v>
      </c>
      <c r="Y232" s="202">
        <v>46017</v>
      </c>
      <c r="Z232" s="207"/>
      <c r="AA232" s="215" t="s">
        <v>5429</v>
      </c>
      <c r="AB232" s="215" t="s">
        <v>5430</v>
      </c>
      <c r="AC232" s="215" t="s">
        <v>5431</v>
      </c>
      <c r="AD232" s="241" t="s">
        <v>4402</v>
      </c>
      <c r="AE232" s="241" t="s">
        <v>4405</v>
      </c>
      <c r="AF232" s="242" t="s">
        <v>4409</v>
      </c>
      <c r="AG232" s="242" t="s">
        <v>4409</v>
      </c>
      <c r="AH232" s="241" t="s">
        <v>4410</v>
      </c>
      <c r="AI232" s="214" t="s">
        <v>4411</v>
      </c>
      <c r="AJ232" s="207"/>
      <c r="AK232" s="316">
        <v>45979</v>
      </c>
      <c r="AL232" s="316">
        <v>45979</v>
      </c>
      <c r="AM232" s="316">
        <v>45979</v>
      </c>
      <c r="AN232" s="316">
        <v>45979</v>
      </c>
      <c r="AO232" s="316">
        <v>45979</v>
      </c>
      <c r="AP232" s="316">
        <v>45979</v>
      </c>
      <c r="AQ232" s="314"/>
      <c r="AR232" s="315" t="str">
        <f t="shared" si="16"/>
        <v>FINALIZADO</v>
      </c>
      <c r="AS232" s="207"/>
      <c r="AT232" s="207"/>
      <c r="AU232" s="220"/>
      <c r="AV232" s="207"/>
      <c r="AW232" s="207"/>
      <c r="AX232" s="228"/>
      <c r="AY232" s="207"/>
      <c r="AZ232" s="202"/>
      <c r="BA232" s="219"/>
      <c r="BB232" s="207"/>
      <c r="BC232" s="202"/>
      <c r="BD232" s="208"/>
      <c r="BE232" s="239">
        <v>46017</v>
      </c>
      <c r="BF232" s="207" t="s">
        <v>4412</v>
      </c>
      <c r="BG232" s="229"/>
      <c r="BH232" s="321" t="str">
        <f t="shared" si="17"/>
        <v/>
      </c>
      <c r="BI232" s="98" t="str">
        <f t="shared" si="18"/>
        <v>AA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229</v>
      </c>
      <c r="B233" s="197" t="s">
        <v>4396</v>
      </c>
      <c r="C233" s="207" t="s">
        <v>4427</v>
      </c>
      <c r="D233" s="207">
        <v>1</v>
      </c>
      <c r="E233" s="207" t="s">
        <v>4398</v>
      </c>
      <c r="F233" s="214" t="s">
        <v>5432</v>
      </c>
      <c r="G233" s="207" t="s">
        <v>4400</v>
      </c>
      <c r="H233" s="207" t="s">
        <v>4583</v>
      </c>
      <c r="I233" s="217" t="s">
        <v>4402</v>
      </c>
      <c r="J233" s="215" t="s">
        <v>5433</v>
      </c>
      <c r="K233" s="215" t="s">
        <v>5434</v>
      </c>
      <c r="L233" s="215" t="s">
        <v>5435</v>
      </c>
      <c r="M233" s="207" t="s">
        <v>4405</v>
      </c>
      <c r="N233" s="207" t="s">
        <v>4406</v>
      </c>
      <c r="O233" s="202">
        <v>46065</v>
      </c>
      <c r="P233" s="203" t="s">
        <v>4407</v>
      </c>
      <c r="Q233" s="202">
        <v>46072</v>
      </c>
      <c r="R233" s="203">
        <v>46072</v>
      </c>
      <c r="S233" s="203">
        <v>46080</v>
      </c>
      <c r="T233" s="202">
        <v>46083</v>
      </c>
      <c r="U233" s="202" t="s">
        <v>4408</v>
      </c>
      <c r="V233" s="202" t="s">
        <v>4408</v>
      </c>
      <c r="W233" s="203">
        <v>46055</v>
      </c>
      <c r="X233" s="203">
        <v>46092</v>
      </c>
      <c r="Y233" s="202"/>
      <c r="Z233" s="207"/>
      <c r="AA233" s="215" t="s">
        <v>5433</v>
      </c>
      <c r="AB233" s="215" t="s">
        <v>5434</v>
      </c>
      <c r="AC233" s="215" t="s">
        <v>5435</v>
      </c>
      <c r="AD233" s="197" t="s">
        <v>4402</v>
      </c>
      <c r="AE233" s="197" t="s">
        <v>4405</v>
      </c>
      <c r="AF233" s="205" t="s">
        <v>4409</v>
      </c>
      <c r="AG233" s="205" t="s">
        <v>4409</v>
      </c>
      <c r="AH233" s="197" t="s">
        <v>4410</v>
      </c>
      <c r="AI233" s="214" t="s">
        <v>4411</v>
      </c>
      <c r="AJ233" s="207"/>
      <c r="AK233" s="316"/>
      <c r="AL233" s="316"/>
      <c r="AM233" s="316"/>
      <c r="AN233" s="316"/>
      <c r="AO233" s="316"/>
      <c r="AP233" s="316"/>
      <c r="AQ233" s="314"/>
      <c r="AR233" s="315" t="str">
        <f t="shared" si="16"/>
        <v/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01"/>
      <c r="BF233" s="197"/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197">
        <v>230</v>
      </c>
      <c r="B234" s="197" t="s">
        <v>4396</v>
      </c>
      <c r="C234" s="207" t="s">
        <v>4427</v>
      </c>
      <c r="D234" s="207">
        <v>1</v>
      </c>
      <c r="E234" s="207" t="s">
        <v>4398</v>
      </c>
      <c r="F234" s="214" t="s">
        <v>5436</v>
      </c>
      <c r="G234" s="207" t="s">
        <v>4400</v>
      </c>
      <c r="H234" s="207" t="s">
        <v>4401</v>
      </c>
      <c r="I234" s="217" t="s">
        <v>4402</v>
      </c>
      <c r="J234" s="215" t="s">
        <v>5437</v>
      </c>
      <c r="K234" s="215" t="s">
        <v>5438</v>
      </c>
      <c r="L234" s="215" t="s">
        <v>5439</v>
      </c>
      <c r="M234" s="207" t="s">
        <v>4405</v>
      </c>
      <c r="N234" s="207" t="s">
        <v>4442</v>
      </c>
      <c r="O234" s="202" t="s">
        <v>4409</v>
      </c>
      <c r="P234" s="202" t="s">
        <v>4409</v>
      </c>
      <c r="Q234" s="202" t="s">
        <v>4409</v>
      </c>
      <c r="R234" s="202" t="s">
        <v>4409</v>
      </c>
      <c r="S234" s="202" t="s">
        <v>4409</v>
      </c>
      <c r="T234" s="202" t="s">
        <v>4409</v>
      </c>
      <c r="U234" s="202" t="s">
        <v>4409</v>
      </c>
      <c r="V234" s="202" t="s">
        <v>4409</v>
      </c>
      <c r="W234" s="202" t="s">
        <v>4409</v>
      </c>
      <c r="X234" s="202" t="s">
        <v>4409</v>
      </c>
      <c r="Y234" s="202"/>
      <c r="Z234" s="202"/>
      <c r="AA234" s="215" t="s">
        <v>5437</v>
      </c>
      <c r="AB234" s="214" t="s">
        <v>5438</v>
      </c>
      <c r="AC234" s="214" t="s">
        <v>5439</v>
      </c>
      <c r="AD234" s="207" t="s">
        <v>4402</v>
      </c>
      <c r="AE234" s="207" t="s">
        <v>4405</v>
      </c>
      <c r="AF234" s="243">
        <v>67529.31</v>
      </c>
      <c r="AG234" s="243">
        <v>67529.31</v>
      </c>
      <c r="AH234" s="207" t="s">
        <v>4433</v>
      </c>
      <c r="AI234" s="214" t="s">
        <v>4411</v>
      </c>
      <c r="AJ234" s="207">
        <v>148263063</v>
      </c>
      <c r="AK234" s="316">
        <v>46038</v>
      </c>
      <c r="AL234" s="316">
        <v>46038</v>
      </c>
      <c r="AM234" s="316">
        <v>46038</v>
      </c>
      <c r="AN234" s="316">
        <v>46038</v>
      </c>
      <c r="AO234" s="316">
        <v>46038</v>
      </c>
      <c r="AP234" s="316">
        <v>46038</v>
      </c>
      <c r="AQ234" s="314"/>
      <c r="AR234" s="315" t="str">
        <f t="shared" si="16"/>
        <v>FINALIZADO</v>
      </c>
      <c r="AS234" s="207" t="s">
        <v>4423</v>
      </c>
      <c r="AT234" s="207"/>
      <c r="AU234" s="220" t="s">
        <v>5440</v>
      </c>
      <c r="AV234" s="207" t="s">
        <v>4425</v>
      </c>
      <c r="AW234" s="207" t="s">
        <v>4425</v>
      </c>
      <c r="AX234" s="250" t="s">
        <v>4425</v>
      </c>
      <c r="AY234" s="207" t="s">
        <v>4425</v>
      </c>
      <c r="AZ234" s="202">
        <v>46118</v>
      </c>
      <c r="BA234" s="207" t="s">
        <v>4425</v>
      </c>
      <c r="BB234" s="207" t="s">
        <v>4425</v>
      </c>
      <c r="BC234" s="202">
        <v>46122</v>
      </c>
      <c r="BD234" s="227">
        <v>46122</v>
      </c>
      <c r="BE234" s="227" t="s">
        <v>4435</v>
      </c>
      <c r="BF234" s="228" t="s">
        <v>4436</v>
      </c>
      <c r="BG234" s="229" t="s">
        <v>4425</v>
      </c>
      <c r="BH234" s="321">
        <f t="shared" si="17"/>
        <v>84</v>
      </c>
      <c r="BI234" s="98" t="str">
        <f t="shared" si="18"/>
        <v>INDENIZAÇÃO</v>
      </c>
      <c r="BJ234" s="98" t="str">
        <f t="shared" si="19"/>
        <v>NÃO</v>
      </c>
      <c r="BK234" s="219" t="s">
        <v>4437</v>
      </c>
      <c r="BL234" s="219" t="s">
        <v>4437</v>
      </c>
      <c r="BM234" s="219" t="s">
        <v>4437</v>
      </c>
      <c r="BN234" s="207" t="s">
        <v>4425</v>
      </c>
      <c r="BO234" s="257" t="s">
        <v>4435</v>
      </c>
      <c r="BP234" s="257"/>
      <c r="BQ234" s="257"/>
      <c r="BR234" s="258"/>
    </row>
    <row r="235" spans="1:72" s="240" customFormat="1" ht="27" hidden="1" customHeight="1">
      <c r="A235" s="197">
        <v>231</v>
      </c>
      <c r="B235" s="197" t="s">
        <v>4396</v>
      </c>
      <c r="C235" s="207" t="s">
        <v>4427</v>
      </c>
      <c r="D235" s="207">
        <v>1</v>
      </c>
      <c r="E235" s="207" t="s">
        <v>4398</v>
      </c>
      <c r="F235" s="214" t="s">
        <v>5441</v>
      </c>
      <c r="G235" s="207" t="s">
        <v>4400</v>
      </c>
      <c r="H235" s="207" t="s">
        <v>4401</v>
      </c>
      <c r="I235" s="217" t="s">
        <v>4402</v>
      </c>
      <c r="J235" s="215" t="s">
        <v>5442</v>
      </c>
      <c r="K235" s="215" t="s">
        <v>5443</v>
      </c>
      <c r="L235" s="215" t="s">
        <v>5444</v>
      </c>
      <c r="M235" s="207" t="s">
        <v>4405</v>
      </c>
      <c r="N235" s="207" t="s">
        <v>4442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5442</v>
      </c>
      <c r="AB235" s="214" t="s">
        <v>5443</v>
      </c>
      <c r="AC235" s="214" t="s">
        <v>5444</v>
      </c>
      <c r="AD235" s="207" t="s">
        <v>4402</v>
      </c>
      <c r="AE235" s="207" t="s">
        <v>4405</v>
      </c>
      <c r="AF235" s="218">
        <v>60481.1</v>
      </c>
      <c r="AG235" s="218">
        <v>60481.1</v>
      </c>
      <c r="AH235" s="207" t="s">
        <v>4433</v>
      </c>
      <c r="AI235" s="214" t="s">
        <v>4411</v>
      </c>
      <c r="AJ235" s="207">
        <v>148263429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4423</v>
      </c>
      <c r="AT235" s="207"/>
      <c r="AU235" s="220" t="s">
        <v>5445</v>
      </c>
      <c r="AV235" s="207" t="s">
        <v>4425</v>
      </c>
      <c r="AW235" s="207" t="s">
        <v>4425</v>
      </c>
      <c r="AX235" s="250" t="s">
        <v>4425</v>
      </c>
      <c r="AY235" s="207" t="s">
        <v>4425</v>
      </c>
      <c r="AZ235" s="202">
        <v>46125</v>
      </c>
      <c r="BA235" s="207" t="s">
        <v>4425</v>
      </c>
      <c r="BB235" s="207" t="s">
        <v>4425</v>
      </c>
      <c r="BC235" s="202">
        <v>46139</v>
      </c>
      <c r="BD235" s="227">
        <v>46139</v>
      </c>
      <c r="BE235" s="227" t="s">
        <v>4435</v>
      </c>
      <c r="BF235" s="228" t="s">
        <v>4436</v>
      </c>
      <c r="BG235" s="229" t="s">
        <v>4425</v>
      </c>
      <c r="BH235" s="321">
        <f t="shared" si="17"/>
        <v>101</v>
      </c>
      <c r="BI235" s="98" t="str">
        <f t="shared" si="18"/>
        <v>INDENIZAÇÃO</v>
      </c>
      <c r="BJ235" s="98" t="str">
        <f t="shared" si="19"/>
        <v>NÃO</v>
      </c>
      <c r="BK235" s="219" t="s">
        <v>4437</v>
      </c>
      <c r="BL235" s="219" t="s">
        <v>4437</v>
      </c>
      <c r="BM235" s="219" t="s">
        <v>4437</v>
      </c>
      <c r="BN235" s="207" t="s">
        <v>4425</v>
      </c>
      <c r="BO235" s="257" t="s">
        <v>4435</v>
      </c>
      <c r="BP235" s="257"/>
      <c r="BQ235" s="257"/>
      <c r="BR235" s="258"/>
      <c r="BS235" s="223"/>
      <c r="BT235" s="223"/>
    </row>
    <row r="236" spans="1:72" s="240" customFormat="1" ht="27" hidden="1" customHeight="1">
      <c r="A236" s="207">
        <v>232</v>
      </c>
      <c r="B236" s="197" t="s">
        <v>4396</v>
      </c>
      <c r="C236" s="207" t="s">
        <v>5297</v>
      </c>
      <c r="D236" s="207">
        <v>1</v>
      </c>
      <c r="E236" s="207" t="s">
        <v>4398</v>
      </c>
      <c r="F236" s="214" t="s">
        <v>5446</v>
      </c>
      <c r="G236" s="207" t="s">
        <v>4400</v>
      </c>
      <c r="H236" s="207" t="s">
        <v>4401</v>
      </c>
      <c r="I236" s="217" t="s">
        <v>4402</v>
      </c>
      <c r="J236" s="215" t="s">
        <v>5447</v>
      </c>
      <c r="K236" s="215" t="s">
        <v>5448</v>
      </c>
      <c r="L236" s="215" t="s">
        <v>5449</v>
      </c>
      <c r="M236" s="207" t="s">
        <v>4405</v>
      </c>
      <c r="N236" s="207" t="s">
        <v>4442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7"/>
      <c r="AA236" s="215" t="s">
        <v>5447</v>
      </c>
      <c r="AB236" s="215" t="s">
        <v>5448</v>
      </c>
      <c r="AC236" s="215" t="s">
        <v>5449</v>
      </c>
      <c r="AD236" s="241" t="s">
        <v>4402</v>
      </c>
      <c r="AE236" s="241" t="s">
        <v>4405</v>
      </c>
      <c r="AF236" s="218">
        <v>13517.83</v>
      </c>
      <c r="AG236" s="218">
        <f>AF236+30000</f>
        <v>43517.83</v>
      </c>
      <c r="AH236" s="207" t="s">
        <v>4433</v>
      </c>
      <c r="AI236" s="214" t="s">
        <v>4411</v>
      </c>
      <c r="AJ236" s="207">
        <v>146041333</v>
      </c>
      <c r="AK236" s="316">
        <v>45979</v>
      </c>
      <c r="AL236" s="316">
        <v>45979</v>
      </c>
      <c r="AM236" s="316">
        <v>45979</v>
      </c>
      <c r="AN236" s="316">
        <v>45979</v>
      </c>
      <c r="AO236" s="316">
        <v>45979</v>
      </c>
      <c r="AP236" s="316">
        <v>45979</v>
      </c>
      <c r="AQ236" s="314"/>
      <c r="AR236" s="315" t="str">
        <f t="shared" si="16"/>
        <v>FINALIZADO</v>
      </c>
      <c r="AS236" s="207" t="s">
        <v>4423</v>
      </c>
      <c r="AT236" s="207"/>
      <c r="AU236" s="220" t="s">
        <v>5450</v>
      </c>
      <c r="AV236" s="207" t="s">
        <v>4425</v>
      </c>
      <c r="AW236" s="207" t="s">
        <v>4425</v>
      </c>
      <c r="AX236" s="250" t="s">
        <v>4425</v>
      </c>
      <c r="AY236" s="207" t="s">
        <v>4425</v>
      </c>
      <c r="AZ236" s="202">
        <v>46014</v>
      </c>
      <c r="BA236" s="219" t="s">
        <v>4425</v>
      </c>
      <c r="BB236" s="207" t="s">
        <v>4425</v>
      </c>
      <c r="BC236" s="202">
        <v>46021</v>
      </c>
      <c r="BD236" s="227">
        <v>46021</v>
      </c>
      <c r="BE236" s="239">
        <v>46017</v>
      </c>
      <c r="BF236" s="207" t="s">
        <v>4412</v>
      </c>
      <c r="BG236" s="229" t="s">
        <v>4425</v>
      </c>
      <c r="BH236" s="321">
        <f t="shared" si="17"/>
        <v>42</v>
      </c>
      <c r="BI236" s="98" t="str">
        <f t="shared" si="18"/>
        <v>INDENIZAÇÃO</v>
      </c>
      <c r="BJ236" s="98" t="str">
        <f t="shared" si="19"/>
        <v>NÃO</v>
      </c>
      <c r="BK236" s="230" t="s">
        <v>4437</v>
      </c>
      <c r="BL236" s="230" t="s">
        <v>4437</v>
      </c>
      <c r="BM236" s="230" t="s">
        <v>4437</v>
      </c>
      <c r="BN236" s="207" t="s">
        <v>4425</v>
      </c>
      <c r="BO236" s="207" t="s">
        <v>4425</v>
      </c>
      <c r="BP236" s="202">
        <v>46205</v>
      </c>
      <c r="BQ236" s="207" t="s">
        <v>4425</v>
      </c>
      <c r="BR236" s="232" t="s">
        <v>4435</v>
      </c>
      <c r="BS236" s="223"/>
      <c r="BT236" s="223"/>
    </row>
    <row r="237" spans="1:72" s="240" customFormat="1" ht="27" hidden="1" customHeight="1">
      <c r="A237" s="207">
        <v>233</v>
      </c>
      <c r="B237" s="197" t="s">
        <v>4396</v>
      </c>
      <c r="C237" s="207" t="s">
        <v>4427</v>
      </c>
      <c r="D237" s="207">
        <v>1</v>
      </c>
      <c r="E237" s="207" t="s">
        <v>4398</v>
      </c>
      <c r="F237" s="214" t="s">
        <v>5451</v>
      </c>
      <c r="G237" s="207" t="s">
        <v>4400</v>
      </c>
      <c r="H237" s="207" t="s">
        <v>4401</v>
      </c>
      <c r="I237" s="217" t="s">
        <v>4402</v>
      </c>
      <c r="J237" s="215" t="s">
        <v>5452</v>
      </c>
      <c r="K237" s="215" t="s">
        <v>5453</v>
      </c>
      <c r="L237" s="215" t="s">
        <v>5454</v>
      </c>
      <c r="M237" s="207" t="s">
        <v>4405</v>
      </c>
      <c r="N237" s="207" t="s">
        <v>4442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5452</v>
      </c>
      <c r="AB237" s="214" t="s">
        <v>5453</v>
      </c>
      <c r="AC237" s="214" t="s">
        <v>5454</v>
      </c>
      <c r="AD237" s="197" t="s">
        <v>4402</v>
      </c>
      <c r="AE237" s="197" t="s">
        <v>4405</v>
      </c>
      <c r="AF237" s="218">
        <v>40492.53</v>
      </c>
      <c r="AG237" s="218">
        <v>60000</v>
      </c>
      <c r="AH237" s="207" t="s">
        <v>4433</v>
      </c>
      <c r="AI237" s="214" t="s">
        <v>4411</v>
      </c>
      <c r="AJ237" s="207">
        <v>149646688</v>
      </c>
      <c r="AK237" s="316">
        <v>46059</v>
      </c>
      <c r="AL237" s="316">
        <v>46059</v>
      </c>
      <c r="AM237" s="316">
        <v>46059</v>
      </c>
      <c r="AN237" s="316">
        <v>46059</v>
      </c>
      <c r="AO237" s="316">
        <v>46059</v>
      </c>
      <c r="AP237" s="316">
        <v>46059</v>
      </c>
      <c r="AQ237" s="314"/>
      <c r="AR237" s="315" t="str">
        <f t="shared" si="16"/>
        <v>FINALIZADO</v>
      </c>
      <c r="AS237" s="207" t="s">
        <v>4423</v>
      </c>
      <c r="AT237" s="207"/>
      <c r="AU237" s="220" t="s">
        <v>5455</v>
      </c>
      <c r="AV237" s="207" t="s">
        <v>4425</v>
      </c>
      <c r="AW237" s="207" t="s">
        <v>4425</v>
      </c>
      <c r="AX237" s="250" t="s">
        <v>4425</v>
      </c>
      <c r="AY237" s="207" t="s">
        <v>4425</v>
      </c>
      <c r="AZ237" s="202">
        <v>46153</v>
      </c>
      <c r="BA237" s="207" t="s">
        <v>4425</v>
      </c>
      <c r="BB237" s="207" t="s">
        <v>4425</v>
      </c>
      <c r="BC237" s="202">
        <v>46160</v>
      </c>
      <c r="BD237" s="227">
        <v>46160</v>
      </c>
      <c r="BE237" s="245" t="s">
        <v>4435</v>
      </c>
      <c r="BF237" s="245" t="s">
        <v>4436</v>
      </c>
      <c r="BG237" s="219" t="s">
        <v>4425</v>
      </c>
      <c r="BH237" s="321">
        <f t="shared" si="17"/>
        <v>101</v>
      </c>
      <c r="BI237" s="98" t="str">
        <f t="shared" si="18"/>
        <v>INDENIZAÇÃO</v>
      </c>
      <c r="BJ237" s="98" t="str">
        <f t="shared" si="19"/>
        <v>NÃO</v>
      </c>
      <c r="BK237" s="219" t="s">
        <v>4437</v>
      </c>
      <c r="BL237" s="219" t="s">
        <v>4437</v>
      </c>
      <c r="BM237" s="219" t="s">
        <v>4437</v>
      </c>
      <c r="BN237" s="207" t="s">
        <v>4425</v>
      </c>
      <c r="BO237" s="257" t="s">
        <v>4435</v>
      </c>
      <c r="BP237" s="257"/>
      <c r="BQ237" s="257"/>
      <c r="BR237" s="258"/>
    </row>
    <row r="238" spans="1:72" s="240" customFormat="1" ht="27" hidden="1" customHeight="1">
      <c r="A238" s="207">
        <v>234</v>
      </c>
      <c r="B238" s="197" t="s">
        <v>4396</v>
      </c>
      <c r="C238" s="207" t="s">
        <v>4427</v>
      </c>
      <c r="D238" s="207">
        <v>1</v>
      </c>
      <c r="E238" s="207" t="s">
        <v>4398</v>
      </c>
      <c r="F238" s="214" t="s">
        <v>5456</v>
      </c>
      <c r="G238" s="207" t="s">
        <v>4400</v>
      </c>
      <c r="H238" s="207" t="s">
        <v>4401</v>
      </c>
      <c r="I238" s="217" t="s">
        <v>4402</v>
      </c>
      <c r="J238" s="215" t="s">
        <v>5457</v>
      </c>
      <c r="K238" s="215" t="s">
        <v>5458</v>
      </c>
      <c r="L238" s="215" t="s">
        <v>5459</v>
      </c>
      <c r="M238" s="207" t="s">
        <v>4405</v>
      </c>
      <c r="N238" s="207" t="s">
        <v>4442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2"/>
      <c r="AA238" s="215" t="s">
        <v>5457</v>
      </c>
      <c r="AB238" s="214" t="s">
        <v>5458</v>
      </c>
      <c r="AC238" s="214" t="s">
        <v>5459</v>
      </c>
      <c r="AD238" s="207" t="s">
        <v>4402</v>
      </c>
      <c r="AE238" s="207" t="s">
        <v>4405</v>
      </c>
      <c r="AF238" s="218">
        <v>72048.3</v>
      </c>
      <c r="AG238" s="218">
        <v>72048.3</v>
      </c>
      <c r="AH238" s="207" t="s">
        <v>4433</v>
      </c>
      <c r="AI238" s="214" t="s">
        <v>4411</v>
      </c>
      <c r="AJ238" s="207">
        <v>147039412</v>
      </c>
      <c r="AK238" s="316">
        <v>45996</v>
      </c>
      <c r="AL238" s="316">
        <v>45996</v>
      </c>
      <c r="AM238" s="316">
        <v>45996</v>
      </c>
      <c r="AN238" s="316">
        <v>45996</v>
      </c>
      <c r="AO238" s="316">
        <v>45996</v>
      </c>
      <c r="AP238" s="316">
        <v>45996</v>
      </c>
      <c r="AQ238" s="314"/>
      <c r="AR238" s="315" t="str">
        <f t="shared" si="16"/>
        <v>FINALIZADO</v>
      </c>
      <c r="AS238" s="207" t="s">
        <v>4423</v>
      </c>
      <c r="AT238" s="207"/>
      <c r="AU238" s="220" t="s">
        <v>5460</v>
      </c>
      <c r="AV238" s="207" t="s">
        <v>4425</v>
      </c>
      <c r="AW238" s="207" t="s">
        <v>4425</v>
      </c>
      <c r="AX238" s="250" t="s">
        <v>4425</v>
      </c>
      <c r="AY238" s="197" t="s">
        <v>4425</v>
      </c>
      <c r="AZ238" s="202">
        <v>46009</v>
      </c>
      <c r="BA238" s="219" t="s">
        <v>4425</v>
      </c>
      <c r="BB238" s="207" t="s">
        <v>4425</v>
      </c>
      <c r="BC238" s="202">
        <v>46021</v>
      </c>
      <c r="BD238" s="227">
        <v>46021</v>
      </c>
      <c r="BE238" s="227" t="s">
        <v>4435</v>
      </c>
      <c r="BF238" s="228" t="s">
        <v>4436</v>
      </c>
      <c r="BG238" s="229" t="s">
        <v>4425</v>
      </c>
      <c r="BH238" s="321">
        <f t="shared" si="17"/>
        <v>25</v>
      </c>
      <c r="BI238" s="98" t="str">
        <f t="shared" si="18"/>
        <v>INDENIZAÇÃO</v>
      </c>
      <c r="BJ238" s="98" t="str">
        <f t="shared" si="19"/>
        <v>NÃO</v>
      </c>
      <c r="BK238" s="230" t="s">
        <v>4437</v>
      </c>
      <c r="BL238" s="230" t="s">
        <v>4437</v>
      </c>
      <c r="BM238" s="230" t="s">
        <v>4437</v>
      </c>
      <c r="BN238" s="207" t="s">
        <v>4425</v>
      </c>
      <c r="BO238" s="207" t="s">
        <v>4425</v>
      </c>
      <c r="BP238" s="202">
        <v>46205</v>
      </c>
      <c r="BQ238" s="207" t="s">
        <v>4425</v>
      </c>
      <c r="BR238" s="232" t="s">
        <v>4435</v>
      </c>
    </row>
    <row r="239" spans="1:72" s="240" customFormat="1" ht="27" hidden="1" customHeight="1">
      <c r="A239" s="197">
        <v>235</v>
      </c>
      <c r="B239" s="197" t="s">
        <v>4396</v>
      </c>
      <c r="C239" s="207" t="s">
        <v>4427</v>
      </c>
      <c r="D239" s="207">
        <v>1</v>
      </c>
      <c r="E239" s="207" t="s">
        <v>4398</v>
      </c>
      <c r="F239" s="214" t="s">
        <v>5461</v>
      </c>
      <c r="G239" s="207" t="s">
        <v>4400</v>
      </c>
      <c r="H239" s="207" t="s">
        <v>4401</v>
      </c>
      <c r="I239" s="217" t="s">
        <v>4402</v>
      </c>
      <c r="J239" s="215" t="s">
        <v>5462</v>
      </c>
      <c r="K239" s="215" t="s">
        <v>5463</v>
      </c>
      <c r="L239" s="215" t="s">
        <v>5464</v>
      </c>
      <c r="M239" s="207" t="s">
        <v>4405</v>
      </c>
      <c r="N239" s="207" t="s">
        <v>4442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5462</v>
      </c>
      <c r="AB239" s="214" t="s">
        <v>5463</v>
      </c>
      <c r="AC239" s="214" t="s">
        <v>5464</v>
      </c>
      <c r="AD239" s="207" t="s">
        <v>4402</v>
      </c>
      <c r="AE239" s="207" t="s">
        <v>4405</v>
      </c>
      <c r="AF239" s="218">
        <v>70103.820000000007</v>
      </c>
      <c r="AG239" s="218">
        <v>70103.820000000007</v>
      </c>
      <c r="AH239" s="207" t="s">
        <v>4433</v>
      </c>
      <c r="AI239" s="214" t="s">
        <v>4411</v>
      </c>
      <c r="AJ239" s="207">
        <v>152013359</v>
      </c>
      <c r="AK239" s="316">
        <v>46059</v>
      </c>
      <c r="AL239" s="316">
        <v>46059</v>
      </c>
      <c r="AM239" s="316">
        <v>46059</v>
      </c>
      <c r="AN239" s="316">
        <v>46059</v>
      </c>
      <c r="AO239" s="316">
        <v>46059</v>
      </c>
      <c r="AP239" s="316">
        <v>46059</v>
      </c>
      <c r="AQ239" s="314"/>
      <c r="AR239" s="315" t="str">
        <f t="shared" si="16"/>
        <v>FINALIZADO</v>
      </c>
      <c r="AS239" s="207" t="s">
        <v>4423</v>
      </c>
      <c r="AT239" s="207"/>
      <c r="AU239" s="220" t="s">
        <v>5465</v>
      </c>
      <c r="AV239" s="207" t="s">
        <v>4425</v>
      </c>
      <c r="AW239" s="207" t="s">
        <v>4425</v>
      </c>
      <c r="AX239" s="250" t="s">
        <v>4425</v>
      </c>
      <c r="AY239" s="207" t="s">
        <v>4425</v>
      </c>
      <c r="AZ239" s="202">
        <v>46118</v>
      </c>
      <c r="BA239" s="207" t="s">
        <v>4425</v>
      </c>
      <c r="BB239" s="207" t="s">
        <v>4425</v>
      </c>
      <c r="BC239" s="202">
        <v>46122</v>
      </c>
      <c r="BD239" s="227">
        <v>46122</v>
      </c>
      <c r="BE239" s="227" t="s">
        <v>4435</v>
      </c>
      <c r="BF239" s="228" t="s">
        <v>4436</v>
      </c>
      <c r="BG239" s="229" t="s">
        <v>4425</v>
      </c>
      <c r="BH239" s="321">
        <f t="shared" si="17"/>
        <v>63</v>
      </c>
      <c r="BI239" s="98" t="str">
        <f t="shared" si="18"/>
        <v>INDENIZAÇÃO</v>
      </c>
      <c r="BJ239" s="98" t="str">
        <f t="shared" si="19"/>
        <v>NÃO</v>
      </c>
      <c r="BK239" s="219" t="s">
        <v>4437</v>
      </c>
      <c r="BL239" s="219" t="s">
        <v>4437</v>
      </c>
      <c r="BM239" s="219" t="s">
        <v>4437</v>
      </c>
      <c r="BN239" s="207" t="s">
        <v>4425</v>
      </c>
      <c r="BO239" s="257" t="s">
        <v>4435</v>
      </c>
      <c r="BP239" s="257"/>
      <c r="BQ239" s="257"/>
      <c r="BR239" s="258"/>
    </row>
    <row r="240" spans="1:72" s="240" customFormat="1" ht="27" hidden="1" customHeight="1">
      <c r="A240" s="197">
        <v>236</v>
      </c>
      <c r="B240" s="197" t="s">
        <v>4396</v>
      </c>
      <c r="C240" s="207" t="s">
        <v>4427</v>
      </c>
      <c r="D240" s="207">
        <v>1</v>
      </c>
      <c r="E240" s="207" t="s">
        <v>4398</v>
      </c>
      <c r="F240" s="214" t="s">
        <v>5466</v>
      </c>
      <c r="G240" s="207" t="s">
        <v>4400</v>
      </c>
      <c r="H240" s="207" t="s">
        <v>4401</v>
      </c>
      <c r="I240" s="217" t="s">
        <v>4402</v>
      </c>
      <c r="J240" s="215" t="s">
        <v>5467</v>
      </c>
      <c r="K240" s="215" t="s">
        <v>5468</v>
      </c>
      <c r="L240" s="215" t="s">
        <v>5469</v>
      </c>
      <c r="M240" s="207" t="s">
        <v>4405</v>
      </c>
      <c r="N240" s="207" t="s">
        <v>4442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5467</v>
      </c>
      <c r="AB240" s="214" t="s">
        <v>5468</v>
      </c>
      <c r="AC240" s="214" t="s">
        <v>5469</v>
      </c>
      <c r="AD240" s="207" t="s">
        <v>4402</v>
      </c>
      <c r="AE240" s="207" t="s">
        <v>4405</v>
      </c>
      <c r="AF240" s="218">
        <v>12093.09</v>
      </c>
      <c r="AG240" s="218">
        <f>AF240+30000</f>
        <v>42093.09</v>
      </c>
      <c r="AH240" s="207" t="s">
        <v>4433</v>
      </c>
      <c r="AI240" s="214" t="s">
        <v>4411</v>
      </c>
      <c r="AJ240" s="207">
        <v>149097459</v>
      </c>
      <c r="AK240" s="316">
        <v>46045</v>
      </c>
      <c r="AL240" s="316">
        <v>46045</v>
      </c>
      <c r="AM240" s="316">
        <v>46045</v>
      </c>
      <c r="AN240" s="316">
        <v>46045</v>
      </c>
      <c r="AO240" s="316">
        <v>46045</v>
      </c>
      <c r="AP240" s="316">
        <v>46045</v>
      </c>
      <c r="AQ240" s="314"/>
      <c r="AR240" s="315" t="str">
        <f t="shared" si="16"/>
        <v>FINALIZADO</v>
      </c>
      <c r="AS240" s="207" t="s">
        <v>4423</v>
      </c>
      <c r="AT240" s="207"/>
      <c r="AU240" s="220" t="s">
        <v>5470</v>
      </c>
      <c r="AV240" s="207" t="s">
        <v>4425</v>
      </c>
      <c r="AW240" s="207" t="s">
        <v>4425</v>
      </c>
      <c r="AX240" s="250" t="s">
        <v>4425</v>
      </c>
      <c r="AY240" s="207" t="s">
        <v>4425</v>
      </c>
      <c r="AZ240" s="202">
        <v>46111</v>
      </c>
      <c r="BA240" s="207" t="s">
        <v>4425</v>
      </c>
      <c r="BB240" s="207" t="s">
        <v>4425</v>
      </c>
      <c r="BC240" s="202">
        <v>46114</v>
      </c>
      <c r="BD240" s="227">
        <v>46114</v>
      </c>
      <c r="BE240" s="227" t="s">
        <v>4435</v>
      </c>
      <c r="BF240" s="228" t="s">
        <v>4436</v>
      </c>
      <c r="BG240" s="229" t="s">
        <v>4425</v>
      </c>
      <c r="BH240" s="321">
        <f t="shared" si="17"/>
        <v>69</v>
      </c>
      <c r="BI240" s="98" t="str">
        <f t="shared" si="18"/>
        <v>INDENIZAÇÃO</v>
      </c>
      <c r="BJ240" s="98" t="str">
        <f t="shared" si="19"/>
        <v>NÃO</v>
      </c>
      <c r="BK240" s="230" t="s">
        <v>4437</v>
      </c>
      <c r="BL240" s="230" t="s">
        <v>4437</v>
      </c>
      <c r="BM240" s="230" t="s">
        <v>4437</v>
      </c>
      <c r="BN240" s="207" t="s">
        <v>4425</v>
      </c>
      <c r="BO240" s="257" t="s">
        <v>4435</v>
      </c>
      <c r="BP240" s="265"/>
      <c r="BQ240" s="265"/>
      <c r="BR240" s="231"/>
      <c r="BS240" s="223"/>
      <c r="BT240" s="223"/>
    </row>
    <row r="241" spans="1:112" s="240" customFormat="1" ht="27" hidden="1" customHeight="1">
      <c r="A241" s="207">
        <v>237</v>
      </c>
      <c r="B241" s="197" t="s">
        <v>4396</v>
      </c>
      <c r="C241" s="207" t="s">
        <v>5297</v>
      </c>
      <c r="D241" s="207">
        <v>1</v>
      </c>
      <c r="E241" s="207" t="s">
        <v>4398</v>
      </c>
      <c r="F241" s="214" t="s">
        <v>5471</v>
      </c>
      <c r="G241" s="207" t="s">
        <v>4400</v>
      </c>
      <c r="H241" s="207" t="s">
        <v>4401</v>
      </c>
      <c r="I241" s="217" t="s">
        <v>4402</v>
      </c>
      <c r="J241" s="215" t="s">
        <v>5472</v>
      </c>
      <c r="K241" s="215" t="s">
        <v>5473</v>
      </c>
      <c r="L241" s="215" t="s">
        <v>5474</v>
      </c>
      <c r="M241" s="207" t="s">
        <v>4405</v>
      </c>
      <c r="N241" s="207" t="s">
        <v>4406</v>
      </c>
      <c r="O241" s="203">
        <v>46045</v>
      </c>
      <c r="P241" s="203" t="s">
        <v>4407</v>
      </c>
      <c r="Q241" s="203">
        <v>46045</v>
      </c>
      <c r="R241" s="203">
        <v>46045</v>
      </c>
      <c r="S241" s="203">
        <v>46048</v>
      </c>
      <c r="T241" s="203">
        <v>46059</v>
      </c>
      <c r="U241" s="203" t="s">
        <v>4408</v>
      </c>
      <c r="V241" s="203" t="s">
        <v>4408</v>
      </c>
      <c r="W241" s="203">
        <v>46073</v>
      </c>
      <c r="X241" s="203">
        <v>46066</v>
      </c>
      <c r="Y241" s="202">
        <v>46017</v>
      </c>
      <c r="Z241" s="219"/>
      <c r="AA241" s="215" t="s">
        <v>5472</v>
      </c>
      <c r="AB241" s="215" t="s">
        <v>5473</v>
      </c>
      <c r="AC241" s="215" t="s">
        <v>5474</v>
      </c>
      <c r="AD241" s="241" t="s">
        <v>4402</v>
      </c>
      <c r="AE241" s="241" t="s">
        <v>4405</v>
      </c>
      <c r="AF241" s="242" t="s">
        <v>4409</v>
      </c>
      <c r="AG241" s="242" t="s">
        <v>4409</v>
      </c>
      <c r="AH241" s="241" t="s">
        <v>4410</v>
      </c>
      <c r="AI241" s="214" t="s">
        <v>4411</v>
      </c>
      <c r="AJ241" s="207"/>
      <c r="AK241" s="316">
        <v>46041</v>
      </c>
      <c r="AL241" s="316">
        <v>46041</v>
      </c>
      <c r="AM241" s="316">
        <v>46041</v>
      </c>
      <c r="AN241" s="316">
        <v>46041</v>
      </c>
      <c r="AO241" s="316">
        <v>46041</v>
      </c>
      <c r="AP241" s="316">
        <v>46041</v>
      </c>
      <c r="AQ241" s="314"/>
      <c r="AR241" s="315" t="str">
        <f t="shared" si="16"/>
        <v>FINALIZADO</v>
      </c>
      <c r="AS241" s="207"/>
      <c r="AT241" s="219"/>
      <c r="AU241" s="220"/>
      <c r="AV241" s="207"/>
      <c r="AW241" s="207"/>
      <c r="AX241" s="228"/>
      <c r="AY241" s="219"/>
      <c r="AZ241" s="219"/>
      <c r="BA241" s="219"/>
      <c r="BB241" s="219"/>
      <c r="BC241" s="219"/>
      <c r="BD241" s="208"/>
      <c r="BE241" s="239">
        <v>46017</v>
      </c>
      <c r="BF241" s="207" t="s">
        <v>4412</v>
      </c>
      <c r="BG241" s="219"/>
      <c r="BH241" s="321" t="str">
        <f t="shared" si="17"/>
        <v/>
      </c>
      <c r="BI241" s="98" t="str">
        <f t="shared" si="18"/>
        <v>AA</v>
      </c>
      <c r="BJ241" s="98" t="str">
        <f t="shared" si="19"/>
        <v>NÃO</v>
      </c>
      <c r="BK241" s="219"/>
      <c r="BL241" s="221"/>
      <c r="BM241" s="221"/>
      <c r="BN241" s="219"/>
      <c r="BO241" s="219"/>
      <c r="BP241" s="219"/>
      <c r="BQ241" s="219"/>
      <c r="BR241" s="222"/>
    </row>
    <row r="242" spans="1:112" s="240" customFormat="1" ht="27" hidden="1" customHeight="1">
      <c r="A242" s="207">
        <v>238</v>
      </c>
      <c r="B242" s="197" t="s">
        <v>4396</v>
      </c>
      <c r="C242" s="207" t="s">
        <v>4427</v>
      </c>
      <c r="D242" s="207">
        <v>1</v>
      </c>
      <c r="E242" s="207" t="s">
        <v>4398</v>
      </c>
      <c r="F242" s="214" t="s">
        <v>5475</v>
      </c>
      <c r="G242" s="207" t="s">
        <v>4400</v>
      </c>
      <c r="H242" s="207" t="s">
        <v>4401</v>
      </c>
      <c r="I242" s="217" t="s">
        <v>4402</v>
      </c>
      <c r="J242" s="215" t="s">
        <v>5476</v>
      </c>
      <c r="K242" s="215" t="s">
        <v>5477</v>
      </c>
      <c r="L242" s="215" t="s">
        <v>5478</v>
      </c>
      <c r="M242" s="207" t="s">
        <v>4405</v>
      </c>
      <c r="N242" s="207" t="s">
        <v>4442</v>
      </c>
      <c r="O242" s="202" t="s">
        <v>4409</v>
      </c>
      <c r="P242" s="202" t="s">
        <v>4409</v>
      </c>
      <c r="Q242" s="202" t="s">
        <v>4409</v>
      </c>
      <c r="R242" s="202" t="s">
        <v>4409</v>
      </c>
      <c r="S242" s="202" t="s">
        <v>4409</v>
      </c>
      <c r="T242" s="202" t="s">
        <v>4409</v>
      </c>
      <c r="U242" s="202" t="s">
        <v>4409</v>
      </c>
      <c r="V242" s="202" t="s">
        <v>4409</v>
      </c>
      <c r="W242" s="202" t="s">
        <v>4409</v>
      </c>
      <c r="X242" s="202" t="s">
        <v>4409</v>
      </c>
      <c r="Y242" s="202"/>
      <c r="Z242" s="202"/>
      <c r="AA242" s="215" t="s">
        <v>5476</v>
      </c>
      <c r="AB242" s="215" t="s">
        <v>5477</v>
      </c>
      <c r="AC242" s="215" t="s">
        <v>5478</v>
      </c>
      <c r="AD242" s="197" t="s">
        <v>4402</v>
      </c>
      <c r="AE242" s="197" t="s">
        <v>4405</v>
      </c>
      <c r="AF242" s="243">
        <v>97512.55</v>
      </c>
      <c r="AG242" s="243">
        <v>97512.55</v>
      </c>
      <c r="AH242" s="197" t="s">
        <v>4433</v>
      </c>
      <c r="AI242" s="214" t="s">
        <v>4411</v>
      </c>
      <c r="AJ242" s="207">
        <v>147041642</v>
      </c>
      <c r="AK242" s="316">
        <v>46001</v>
      </c>
      <c r="AL242" s="316">
        <v>46001</v>
      </c>
      <c r="AM242" s="316">
        <v>46001</v>
      </c>
      <c r="AN242" s="316">
        <v>46001</v>
      </c>
      <c r="AO242" s="316">
        <v>46001</v>
      </c>
      <c r="AP242" s="316">
        <v>46001</v>
      </c>
      <c r="AQ242" s="314"/>
      <c r="AR242" s="315" t="str">
        <f t="shared" si="16"/>
        <v>FINALIZADO</v>
      </c>
      <c r="AS242" s="207" t="s">
        <v>4423</v>
      </c>
      <c r="AT242" s="207"/>
      <c r="AU242" s="220" t="s">
        <v>5479</v>
      </c>
      <c r="AV242" s="207" t="s">
        <v>4425</v>
      </c>
      <c r="AW242" s="207" t="s">
        <v>4425</v>
      </c>
      <c r="AX242" s="250" t="s">
        <v>4425</v>
      </c>
      <c r="AY242" s="207" t="s">
        <v>4425</v>
      </c>
      <c r="AZ242" s="203">
        <v>46017</v>
      </c>
      <c r="BA242" s="219" t="s">
        <v>4425</v>
      </c>
      <c r="BB242" s="207" t="s">
        <v>4425</v>
      </c>
      <c r="BC242" s="203">
        <v>46024</v>
      </c>
      <c r="BD242" s="227">
        <v>46024</v>
      </c>
      <c r="BE242" s="274" t="s">
        <v>4435</v>
      </c>
      <c r="BF242" s="245" t="s">
        <v>4436</v>
      </c>
      <c r="BG242" s="229" t="s">
        <v>4425</v>
      </c>
      <c r="BH242" s="321">
        <f t="shared" si="17"/>
        <v>23</v>
      </c>
      <c r="BI242" s="98" t="str">
        <f t="shared" si="18"/>
        <v>INDENIZAÇÃO</v>
      </c>
      <c r="BJ242" s="98" t="str">
        <f t="shared" si="19"/>
        <v>NÃO</v>
      </c>
      <c r="BK242" s="230" t="s">
        <v>4437</v>
      </c>
      <c r="BL242" s="230" t="s">
        <v>4437</v>
      </c>
      <c r="BM242" s="230" t="s">
        <v>4437</v>
      </c>
      <c r="BN242" s="207" t="s">
        <v>4425</v>
      </c>
      <c r="BO242" s="207" t="s">
        <v>4425</v>
      </c>
      <c r="BP242" s="202">
        <v>46205</v>
      </c>
      <c r="BQ242" s="207" t="s">
        <v>4425</v>
      </c>
      <c r="BR242" s="232" t="s">
        <v>4435</v>
      </c>
    </row>
    <row r="243" spans="1:112" s="240" customFormat="1" ht="27" hidden="1" customHeight="1">
      <c r="A243" s="207">
        <v>239</v>
      </c>
      <c r="B243" s="197" t="s">
        <v>4396</v>
      </c>
      <c r="C243" s="207" t="s">
        <v>5297</v>
      </c>
      <c r="D243" s="207">
        <v>1</v>
      </c>
      <c r="E243" s="207" t="s">
        <v>4398</v>
      </c>
      <c r="F243" s="214" t="s">
        <v>5480</v>
      </c>
      <c r="G243" s="207" t="s">
        <v>4400</v>
      </c>
      <c r="H243" s="207" t="s">
        <v>4401</v>
      </c>
      <c r="I243" s="217" t="s">
        <v>4402</v>
      </c>
      <c r="J243" s="242" t="s">
        <v>5481</v>
      </c>
      <c r="K243" s="215" t="s">
        <v>4398</v>
      </c>
      <c r="L243" s="215" t="s">
        <v>5482</v>
      </c>
      <c r="M243" s="207" t="s">
        <v>4405</v>
      </c>
      <c r="N243" s="207" t="s">
        <v>4406</v>
      </c>
      <c r="O243" s="202">
        <v>46031</v>
      </c>
      <c r="P243" s="202" t="s">
        <v>4407</v>
      </c>
      <c r="Q243" s="202">
        <v>46023</v>
      </c>
      <c r="R243" s="202">
        <v>46023</v>
      </c>
      <c r="S243" s="202">
        <v>46036</v>
      </c>
      <c r="T243" s="202">
        <v>46045</v>
      </c>
      <c r="U243" s="202" t="s">
        <v>4408</v>
      </c>
      <c r="V243" s="202" t="s">
        <v>4408</v>
      </c>
      <c r="W243" s="202">
        <v>46055</v>
      </c>
      <c r="X243" s="202">
        <v>46055</v>
      </c>
      <c r="Y243" s="202">
        <v>46017</v>
      </c>
      <c r="Z243" s="202"/>
      <c r="AA243" s="242" t="s">
        <v>5481</v>
      </c>
      <c r="AB243" s="215" t="s">
        <v>4398</v>
      </c>
      <c r="AC243" s="215" t="s">
        <v>5482</v>
      </c>
      <c r="AD243" s="241" t="s">
        <v>4402</v>
      </c>
      <c r="AE243" s="241" t="s">
        <v>4405</v>
      </c>
      <c r="AF243" s="242" t="s">
        <v>4409</v>
      </c>
      <c r="AG243" s="242" t="s">
        <v>4409</v>
      </c>
      <c r="AH243" s="241" t="s">
        <v>4410</v>
      </c>
      <c r="AI243" s="214" t="s">
        <v>4411</v>
      </c>
      <c r="AJ243" s="207"/>
      <c r="AK243" s="316">
        <v>46041</v>
      </c>
      <c r="AL243" s="316">
        <v>46041</v>
      </c>
      <c r="AM243" s="316">
        <v>46041</v>
      </c>
      <c r="AN243" s="316">
        <v>46041</v>
      </c>
      <c r="AO243" s="316">
        <v>46041</v>
      </c>
      <c r="AP243" s="316">
        <v>46041</v>
      </c>
      <c r="AQ243" s="314"/>
      <c r="AR243" s="315" t="str">
        <f t="shared" si="16"/>
        <v>FINALIZADO</v>
      </c>
      <c r="AS243" s="207"/>
      <c r="AT243" s="207"/>
      <c r="AU243" s="220"/>
      <c r="AV243" s="207"/>
      <c r="AW243" s="207"/>
      <c r="AX243" s="228"/>
      <c r="AY243" s="207"/>
      <c r="AZ243" s="203"/>
      <c r="BA243" s="219"/>
      <c r="BB243" s="207"/>
      <c r="BC243" s="203"/>
      <c r="BD243" s="208"/>
      <c r="BE243" s="239">
        <v>46017</v>
      </c>
      <c r="BF243" s="207" t="s">
        <v>4412</v>
      </c>
      <c r="BG243" s="229"/>
      <c r="BH243" s="321" t="str">
        <f t="shared" si="17"/>
        <v/>
      </c>
      <c r="BI243" s="98" t="str">
        <f t="shared" si="18"/>
        <v>AA</v>
      </c>
      <c r="BJ243" s="98" t="str">
        <f t="shared" si="19"/>
        <v>NÃO</v>
      </c>
      <c r="BK243" s="230"/>
      <c r="BL243" s="230"/>
      <c r="BM243" s="230"/>
      <c r="BN243" s="230"/>
      <c r="BO243" s="230"/>
      <c r="BP243" s="230"/>
      <c r="BQ243" s="230"/>
      <c r="BR243" s="234"/>
    </row>
    <row r="244" spans="1:112" s="240" customFormat="1" ht="27" hidden="1" customHeight="1">
      <c r="A244" s="197">
        <v>240</v>
      </c>
      <c r="B244" s="197" t="s">
        <v>4396</v>
      </c>
      <c r="C244" s="207" t="s">
        <v>4427</v>
      </c>
      <c r="D244" s="207">
        <v>1</v>
      </c>
      <c r="E244" s="250" t="s">
        <v>4398</v>
      </c>
      <c r="F244" s="214" t="s">
        <v>5483</v>
      </c>
      <c r="G244" s="207" t="s">
        <v>4400</v>
      </c>
      <c r="H244" s="207" t="s">
        <v>4401</v>
      </c>
      <c r="I244" s="217" t="s">
        <v>4402</v>
      </c>
      <c r="J244" s="242" t="s">
        <v>5484</v>
      </c>
      <c r="K244" s="215" t="s">
        <v>5485</v>
      </c>
      <c r="L244" s="215" t="s">
        <v>5486</v>
      </c>
      <c r="M244" s="207" t="s">
        <v>4405</v>
      </c>
      <c r="N244" s="207" t="s">
        <v>4442</v>
      </c>
      <c r="O244" s="202" t="s">
        <v>4409</v>
      </c>
      <c r="P244" s="202" t="s">
        <v>4409</v>
      </c>
      <c r="Q244" s="202" t="s">
        <v>4409</v>
      </c>
      <c r="R244" s="202" t="s">
        <v>4409</v>
      </c>
      <c r="S244" s="202" t="s">
        <v>4409</v>
      </c>
      <c r="T244" s="202" t="s">
        <v>4409</v>
      </c>
      <c r="U244" s="202" t="s">
        <v>4409</v>
      </c>
      <c r="V244" s="202" t="s">
        <v>4409</v>
      </c>
      <c r="W244" s="202" t="s">
        <v>4409</v>
      </c>
      <c r="X244" s="202" t="s">
        <v>4409</v>
      </c>
      <c r="Y244" s="202" t="s">
        <v>4409</v>
      </c>
      <c r="Z244" s="202"/>
      <c r="AA244" s="242" t="s">
        <v>5484</v>
      </c>
      <c r="AB244" s="215" t="s">
        <v>5485</v>
      </c>
      <c r="AC244" s="215" t="s">
        <v>5486</v>
      </c>
      <c r="AD244" s="241" t="s">
        <v>4402</v>
      </c>
      <c r="AE244" s="241" t="s">
        <v>4405</v>
      </c>
      <c r="AF244" s="243">
        <v>81223.97</v>
      </c>
      <c r="AG244" s="243">
        <v>81223.97</v>
      </c>
      <c r="AH244" s="241" t="s">
        <v>4433</v>
      </c>
      <c r="AI244" s="214" t="s">
        <v>4411</v>
      </c>
      <c r="AJ244" s="207">
        <v>160440907</v>
      </c>
      <c r="AK244" s="316">
        <v>46219</v>
      </c>
      <c r="AL244" s="316">
        <v>46219</v>
      </c>
      <c r="AM244" s="316">
        <v>46219</v>
      </c>
      <c r="AN244" s="316">
        <v>46219</v>
      </c>
      <c r="AO244" s="316">
        <v>46219</v>
      </c>
      <c r="AP244" s="316">
        <v>46219</v>
      </c>
      <c r="AQ244" s="314"/>
      <c r="AR244" s="315" t="str">
        <f t="shared" si="16"/>
        <v>FINALIZADO</v>
      </c>
      <c r="AS244" s="207" t="s">
        <v>4423</v>
      </c>
      <c r="AT244" s="207"/>
      <c r="AU244" s="220" t="s">
        <v>4435</v>
      </c>
      <c r="AV244" s="219" t="s">
        <v>5487</v>
      </c>
      <c r="AW244" s="207"/>
      <c r="AX244" s="228"/>
      <c r="AY244" s="207"/>
      <c r="AZ244" s="203"/>
      <c r="BA244" s="219"/>
      <c r="BB244" s="207"/>
      <c r="BC244" s="203"/>
      <c r="BD244" s="208"/>
      <c r="BE244" s="209"/>
      <c r="BF244" s="197"/>
      <c r="BG244" s="229"/>
      <c r="BH244" s="321" t="str">
        <f t="shared" si="17"/>
        <v/>
      </c>
      <c r="BI244" s="98" t="str">
        <f t="shared" si="18"/>
        <v>INDENIZAÇÃO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241</v>
      </c>
      <c r="B245" s="197" t="s">
        <v>4396</v>
      </c>
      <c r="C245" s="207" t="s">
        <v>5297</v>
      </c>
      <c r="D245" s="207">
        <v>1</v>
      </c>
      <c r="E245" s="207" t="s">
        <v>4398</v>
      </c>
      <c r="F245" s="214" t="s">
        <v>5488</v>
      </c>
      <c r="G245" s="207" t="s">
        <v>4400</v>
      </c>
      <c r="H245" s="207" t="s">
        <v>4401</v>
      </c>
      <c r="I245" s="217" t="s">
        <v>4402</v>
      </c>
      <c r="J245" s="242" t="s">
        <v>5489</v>
      </c>
      <c r="K245" s="215" t="s">
        <v>5490</v>
      </c>
      <c r="L245" s="215" t="s">
        <v>5491</v>
      </c>
      <c r="M245" s="207" t="s">
        <v>4405</v>
      </c>
      <c r="N245" s="207" t="s">
        <v>4442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/>
      <c r="Z245" s="207"/>
      <c r="AA245" s="242" t="s">
        <v>5489</v>
      </c>
      <c r="AB245" s="214" t="s">
        <v>5490</v>
      </c>
      <c r="AC245" s="242" t="s">
        <v>5491</v>
      </c>
      <c r="AD245" s="204" t="s">
        <v>4402</v>
      </c>
      <c r="AE245" s="204" t="s">
        <v>4405</v>
      </c>
      <c r="AF245" s="218">
        <v>24189.58</v>
      </c>
      <c r="AG245" s="218">
        <f>AF245+30000</f>
        <v>54189.58</v>
      </c>
      <c r="AH245" s="207" t="s">
        <v>4433</v>
      </c>
      <c r="AI245" s="214" t="s">
        <v>4411</v>
      </c>
      <c r="AJ245" s="207">
        <v>146041972</v>
      </c>
      <c r="AK245" s="316">
        <v>45979</v>
      </c>
      <c r="AL245" s="316">
        <v>45979</v>
      </c>
      <c r="AM245" s="316">
        <v>45979</v>
      </c>
      <c r="AN245" s="316">
        <v>45979</v>
      </c>
      <c r="AO245" s="316">
        <v>45979</v>
      </c>
      <c r="AP245" s="316">
        <v>45979</v>
      </c>
      <c r="AQ245" s="314"/>
      <c r="AR245" s="315" t="str">
        <f t="shared" si="16"/>
        <v>FINALIZADO</v>
      </c>
      <c r="AS245" s="207" t="s">
        <v>4423</v>
      </c>
      <c r="AT245" s="207"/>
      <c r="AU245" s="220" t="s">
        <v>5492</v>
      </c>
      <c r="AV245" s="207" t="s">
        <v>4425</v>
      </c>
      <c r="AW245" s="207" t="s">
        <v>4425</v>
      </c>
      <c r="AX245" s="250" t="s">
        <v>4425</v>
      </c>
      <c r="AY245" s="207" t="s">
        <v>4425</v>
      </c>
      <c r="AZ245" s="202">
        <v>46014</v>
      </c>
      <c r="BA245" s="219" t="s">
        <v>4425</v>
      </c>
      <c r="BB245" s="207" t="s">
        <v>4425</v>
      </c>
      <c r="BC245" s="202">
        <v>46021</v>
      </c>
      <c r="BD245" s="227">
        <v>46021</v>
      </c>
      <c r="BE245" s="209">
        <v>46017</v>
      </c>
      <c r="BF245" s="197" t="s">
        <v>4412</v>
      </c>
      <c r="BG245" s="229" t="s">
        <v>4425</v>
      </c>
      <c r="BH245" s="321">
        <f t="shared" si="17"/>
        <v>42</v>
      </c>
      <c r="BI245" s="98" t="str">
        <f t="shared" si="18"/>
        <v>INDENIZAÇÃO</v>
      </c>
      <c r="BJ245" s="98" t="str">
        <f t="shared" si="19"/>
        <v>NÃO</v>
      </c>
      <c r="BK245" s="230" t="s">
        <v>4437</v>
      </c>
      <c r="BL245" s="230" t="s">
        <v>4437</v>
      </c>
      <c r="BM245" s="230" t="s">
        <v>4437</v>
      </c>
      <c r="BN245" s="207" t="s">
        <v>4425</v>
      </c>
      <c r="BO245" s="207" t="s">
        <v>4425</v>
      </c>
      <c r="BP245" s="202">
        <v>46205</v>
      </c>
      <c r="BQ245" s="207" t="s">
        <v>4425</v>
      </c>
      <c r="BR245" s="232" t="s">
        <v>4435</v>
      </c>
    </row>
    <row r="246" spans="1:112" s="275" customFormat="1" ht="27" hidden="1" customHeight="1">
      <c r="A246" s="207">
        <v>242</v>
      </c>
      <c r="B246" s="197" t="s">
        <v>4396</v>
      </c>
      <c r="C246" s="207" t="s">
        <v>5297</v>
      </c>
      <c r="D246" s="207">
        <v>1</v>
      </c>
      <c r="E246" s="207" t="s">
        <v>4398</v>
      </c>
      <c r="F246" s="214" t="s">
        <v>5493</v>
      </c>
      <c r="G246" s="207" t="s">
        <v>4400</v>
      </c>
      <c r="H246" s="207" t="s">
        <v>4401</v>
      </c>
      <c r="I246" s="217" t="s">
        <v>4402</v>
      </c>
      <c r="J246" s="242" t="s">
        <v>5494</v>
      </c>
      <c r="K246" s="215" t="s">
        <v>5495</v>
      </c>
      <c r="L246" s="215" t="s">
        <v>5496</v>
      </c>
      <c r="M246" s="207" t="s">
        <v>4405</v>
      </c>
      <c r="N246" s="207" t="s">
        <v>4406</v>
      </c>
      <c r="O246" s="202">
        <v>46002</v>
      </c>
      <c r="P246" s="202" t="s">
        <v>4407</v>
      </c>
      <c r="Q246" s="202">
        <v>45999</v>
      </c>
      <c r="R246" s="202">
        <v>46006</v>
      </c>
      <c r="S246" s="202">
        <v>46006</v>
      </c>
      <c r="T246" s="202">
        <v>46009</v>
      </c>
      <c r="U246" s="202" t="s">
        <v>4408</v>
      </c>
      <c r="V246" s="202" t="s">
        <v>4408</v>
      </c>
      <c r="W246" s="202">
        <v>46014</v>
      </c>
      <c r="X246" s="202">
        <v>46017</v>
      </c>
      <c r="Y246" s="202">
        <v>46017</v>
      </c>
      <c r="Z246" s="207"/>
      <c r="AA246" s="242" t="s">
        <v>5494</v>
      </c>
      <c r="AB246" s="215" t="s">
        <v>5495</v>
      </c>
      <c r="AC246" s="215" t="s">
        <v>5496</v>
      </c>
      <c r="AD246" s="204" t="s">
        <v>4402</v>
      </c>
      <c r="AE246" s="204" t="s">
        <v>4405</v>
      </c>
      <c r="AF246" s="205" t="s">
        <v>4409</v>
      </c>
      <c r="AG246" s="205" t="s">
        <v>4409</v>
      </c>
      <c r="AH246" s="204" t="s">
        <v>4410</v>
      </c>
      <c r="AI246" s="214" t="s">
        <v>4411</v>
      </c>
      <c r="AJ246" s="207"/>
      <c r="AK246" s="316">
        <v>45996</v>
      </c>
      <c r="AL246" s="316">
        <v>45996</v>
      </c>
      <c r="AM246" s="316">
        <v>45996</v>
      </c>
      <c r="AN246" s="316">
        <v>45996</v>
      </c>
      <c r="AO246" s="316">
        <v>45996</v>
      </c>
      <c r="AP246" s="316">
        <v>45996</v>
      </c>
      <c r="AQ246" s="314"/>
      <c r="AR246" s="315" t="str">
        <f t="shared" si="16"/>
        <v>FINALIZADO</v>
      </c>
      <c r="AS246" s="207"/>
      <c r="AT246" s="207"/>
      <c r="AU246" s="220"/>
      <c r="AV246" s="207"/>
      <c r="AW246" s="207"/>
      <c r="AX246" s="228"/>
      <c r="AY246" s="228"/>
      <c r="AZ246" s="227"/>
      <c r="BA246" s="219"/>
      <c r="BB246" s="228"/>
      <c r="BC246" s="227"/>
      <c r="BD246" s="208"/>
      <c r="BE246" s="209">
        <v>46017</v>
      </c>
      <c r="BF246" s="197" t="s">
        <v>4412</v>
      </c>
      <c r="BG246" s="229"/>
      <c r="BH246" s="321" t="str">
        <f t="shared" si="17"/>
        <v/>
      </c>
      <c r="BI246" s="98" t="str">
        <f t="shared" si="18"/>
        <v>AA</v>
      </c>
      <c r="BJ246" s="98" t="str">
        <f t="shared" si="19"/>
        <v>NÃO</v>
      </c>
      <c r="BK246" s="230"/>
      <c r="BL246" s="230"/>
      <c r="BM246" s="230"/>
      <c r="BN246" s="230"/>
      <c r="BO246" s="230"/>
      <c r="BP246" s="230"/>
      <c r="BQ246" s="230"/>
      <c r="BR246" s="234"/>
      <c r="BS246" s="240"/>
      <c r="BT246" s="240"/>
      <c r="BU246" s="240"/>
      <c r="BV246" s="240"/>
      <c r="BW246" s="240"/>
      <c r="BX246" s="240"/>
      <c r="BY246" s="240"/>
      <c r="BZ246" s="240"/>
      <c r="CA246" s="240"/>
      <c r="CB246" s="240"/>
      <c r="CC246" s="240"/>
      <c r="CD246" s="240"/>
      <c r="CE246" s="240"/>
      <c r="CF246" s="240"/>
      <c r="CG246" s="240"/>
      <c r="CH246" s="240"/>
      <c r="CI246" s="240"/>
      <c r="CJ246" s="240"/>
      <c r="CK246" s="240"/>
      <c r="CL246" s="240"/>
      <c r="CM246" s="240"/>
      <c r="CN246" s="240"/>
      <c r="CO246" s="240"/>
      <c r="CP246" s="240"/>
      <c r="CQ246" s="240"/>
      <c r="CR246" s="240"/>
      <c r="CS246" s="240"/>
      <c r="CT246" s="240"/>
      <c r="CU246" s="240"/>
      <c r="CV246" s="240"/>
      <c r="CW246" s="240"/>
      <c r="CX246" s="240"/>
      <c r="CY246" s="240"/>
      <c r="CZ246" s="240"/>
      <c r="DA246" s="240"/>
      <c r="DB246" s="240"/>
      <c r="DC246" s="240"/>
      <c r="DD246" s="240"/>
      <c r="DE246" s="240"/>
      <c r="DF246" s="240"/>
      <c r="DG246" s="240"/>
      <c r="DH246" s="240"/>
    </row>
    <row r="247" spans="1:112" s="240" customFormat="1" ht="27" hidden="1" customHeight="1">
      <c r="A247" s="207">
        <v>243</v>
      </c>
      <c r="B247" s="197" t="s">
        <v>4396</v>
      </c>
      <c r="C247" s="207" t="s">
        <v>5297</v>
      </c>
      <c r="D247" s="207">
        <v>1</v>
      </c>
      <c r="E247" s="207" t="s">
        <v>4398</v>
      </c>
      <c r="F247" s="214" t="s">
        <v>5497</v>
      </c>
      <c r="G247" s="207" t="s">
        <v>4400</v>
      </c>
      <c r="H247" s="207" t="s">
        <v>4401</v>
      </c>
      <c r="I247" s="217" t="s">
        <v>4402</v>
      </c>
      <c r="J247" s="242" t="s">
        <v>5498</v>
      </c>
      <c r="K247" s="215" t="s">
        <v>5499</v>
      </c>
      <c r="L247" s="215" t="s">
        <v>5500</v>
      </c>
      <c r="M247" s="207" t="s">
        <v>4405</v>
      </c>
      <c r="N247" s="207" t="s">
        <v>4406</v>
      </c>
      <c r="O247" s="202">
        <v>46002</v>
      </c>
      <c r="P247" s="202" t="s">
        <v>4407</v>
      </c>
      <c r="Q247" s="202">
        <v>45999</v>
      </c>
      <c r="R247" s="202">
        <v>46006</v>
      </c>
      <c r="S247" s="202">
        <v>46006</v>
      </c>
      <c r="T247" s="202">
        <v>46009</v>
      </c>
      <c r="U247" s="202" t="s">
        <v>4408</v>
      </c>
      <c r="V247" s="202" t="s">
        <v>4408</v>
      </c>
      <c r="W247" s="202">
        <v>46014</v>
      </c>
      <c r="X247" s="202">
        <v>46017</v>
      </c>
      <c r="Y247" s="202">
        <v>46017</v>
      </c>
      <c r="Z247" s="207"/>
      <c r="AA247" s="242" t="s">
        <v>5498</v>
      </c>
      <c r="AB247" s="215" t="s">
        <v>5499</v>
      </c>
      <c r="AC247" s="215" t="s">
        <v>5500</v>
      </c>
      <c r="AD247" s="204" t="s">
        <v>4402</v>
      </c>
      <c r="AE247" s="204" t="s">
        <v>4405</v>
      </c>
      <c r="AF247" s="205" t="s">
        <v>4409</v>
      </c>
      <c r="AG247" s="205" t="s">
        <v>4409</v>
      </c>
      <c r="AH247" s="204" t="s">
        <v>4410</v>
      </c>
      <c r="AI247" s="214" t="s">
        <v>4411</v>
      </c>
      <c r="AJ247" s="207"/>
      <c r="AK247" s="316">
        <v>45996</v>
      </c>
      <c r="AL247" s="316">
        <v>45996</v>
      </c>
      <c r="AM247" s="316">
        <v>45996</v>
      </c>
      <c r="AN247" s="316">
        <v>45996</v>
      </c>
      <c r="AO247" s="316">
        <v>45996</v>
      </c>
      <c r="AP247" s="316">
        <v>45996</v>
      </c>
      <c r="AQ247" s="314"/>
      <c r="AR247" s="315" t="str">
        <f t="shared" si="16"/>
        <v>FINALIZADO</v>
      </c>
      <c r="AS247" s="207"/>
      <c r="AT247" s="207"/>
      <c r="AU247" s="220"/>
      <c r="AV247" s="207"/>
      <c r="AW247" s="207"/>
      <c r="AX247" s="228"/>
      <c r="AY247" s="228"/>
      <c r="AZ247" s="227"/>
      <c r="BA247" s="219"/>
      <c r="BB247" s="228"/>
      <c r="BC247" s="227"/>
      <c r="BD247" s="208"/>
      <c r="BE247" s="209">
        <v>46017</v>
      </c>
      <c r="BF247" s="197" t="s">
        <v>4412</v>
      </c>
      <c r="BG247" s="229"/>
      <c r="BH247" s="321" t="str">
        <f t="shared" si="17"/>
        <v/>
      </c>
      <c r="BI247" s="98" t="str">
        <f t="shared" si="18"/>
        <v>AA</v>
      </c>
      <c r="BJ247" s="98" t="str">
        <f t="shared" si="19"/>
        <v>NÃO</v>
      </c>
      <c r="BK247" s="230"/>
      <c r="BL247" s="230"/>
      <c r="BM247" s="230"/>
      <c r="BN247" s="230"/>
      <c r="BO247" s="230"/>
      <c r="BP247" s="230"/>
      <c r="BQ247" s="230"/>
      <c r="BR247" s="234"/>
    </row>
    <row r="248" spans="1:112" s="240" customFormat="1" ht="27" hidden="1" customHeight="1">
      <c r="A248" s="207">
        <v>244</v>
      </c>
      <c r="B248" s="197" t="s">
        <v>4396</v>
      </c>
      <c r="C248" s="207" t="s">
        <v>5297</v>
      </c>
      <c r="D248" s="207">
        <v>1</v>
      </c>
      <c r="E248" s="207" t="s">
        <v>4398</v>
      </c>
      <c r="F248" s="214" t="s">
        <v>5501</v>
      </c>
      <c r="G248" s="207" t="s">
        <v>4400</v>
      </c>
      <c r="H248" s="207" t="s">
        <v>4401</v>
      </c>
      <c r="I248" s="217" t="s">
        <v>4402</v>
      </c>
      <c r="J248" s="242" t="s">
        <v>5502</v>
      </c>
      <c r="K248" s="215" t="s">
        <v>5503</v>
      </c>
      <c r="L248" s="215" t="s">
        <v>5504</v>
      </c>
      <c r="M248" s="207" t="s">
        <v>4405</v>
      </c>
      <c r="N248" s="207" t="s">
        <v>4442</v>
      </c>
      <c r="O248" s="202" t="s">
        <v>4409</v>
      </c>
      <c r="P248" s="202" t="s">
        <v>4409</v>
      </c>
      <c r="Q248" s="202" t="s">
        <v>4409</v>
      </c>
      <c r="R248" s="202" t="s">
        <v>4409</v>
      </c>
      <c r="S248" s="202" t="s">
        <v>4409</v>
      </c>
      <c r="T248" s="202" t="s">
        <v>4409</v>
      </c>
      <c r="U248" s="202" t="s">
        <v>4409</v>
      </c>
      <c r="V248" s="202" t="s">
        <v>4409</v>
      </c>
      <c r="W248" s="202" t="s">
        <v>4409</v>
      </c>
      <c r="X248" s="202" t="s">
        <v>4409</v>
      </c>
      <c r="Y248" s="202"/>
      <c r="Z248" s="202"/>
      <c r="AA248" s="242" t="s">
        <v>5502</v>
      </c>
      <c r="AB248" s="214" t="s">
        <v>5503</v>
      </c>
      <c r="AC248" s="214" t="s">
        <v>5504</v>
      </c>
      <c r="AD248" s="204" t="s">
        <v>4402</v>
      </c>
      <c r="AE248" s="204" t="s">
        <v>4405</v>
      </c>
      <c r="AF248" s="243">
        <v>29031.33</v>
      </c>
      <c r="AG248" s="243">
        <f>AF248+30000</f>
        <v>59031.33</v>
      </c>
      <c r="AH248" s="197" t="s">
        <v>4433</v>
      </c>
      <c r="AI248" s="214" t="s">
        <v>4411</v>
      </c>
      <c r="AJ248" s="207">
        <v>146042065</v>
      </c>
      <c r="AK248" s="316">
        <v>45979</v>
      </c>
      <c r="AL248" s="316">
        <v>45979</v>
      </c>
      <c r="AM248" s="316">
        <v>45979</v>
      </c>
      <c r="AN248" s="316">
        <v>45979</v>
      </c>
      <c r="AO248" s="316">
        <v>45979</v>
      </c>
      <c r="AP248" s="316">
        <v>45979</v>
      </c>
      <c r="AQ248" s="314"/>
      <c r="AR248" s="315" t="str">
        <f t="shared" si="16"/>
        <v>FINALIZADO</v>
      </c>
      <c r="AS248" s="207" t="s">
        <v>4423</v>
      </c>
      <c r="AT248" s="207"/>
      <c r="AU248" s="220" t="s">
        <v>5505</v>
      </c>
      <c r="AV248" s="207" t="s">
        <v>4425</v>
      </c>
      <c r="AW248" s="207" t="s">
        <v>4425</v>
      </c>
      <c r="AX248" s="250" t="s">
        <v>4425</v>
      </c>
      <c r="AY248" s="207" t="s">
        <v>4425</v>
      </c>
      <c r="AZ248" s="202">
        <v>46008</v>
      </c>
      <c r="BA248" s="219" t="s">
        <v>4425</v>
      </c>
      <c r="BB248" s="207" t="s">
        <v>4425</v>
      </c>
      <c r="BC248" s="202">
        <v>46014</v>
      </c>
      <c r="BD248" s="227">
        <v>46014</v>
      </c>
      <c r="BE248" s="209">
        <v>46017</v>
      </c>
      <c r="BF248" s="197" t="s">
        <v>4412</v>
      </c>
      <c r="BG248" s="229" t="s">
        <v>4425</v>
      </c>
      <c r="BH248" s="321">
        <f t="shared" si="17"/>
        <v>35</v>
      </c>
      <c r="BI248" s="98" t="str">
        <f t="shared" si="18"/>
        <v>INDENIZAÇÃO</v>
      </c>
      <c r="BJ248" s="98" t="str">
        <f t="shared" si="19"/>
        <v>NÃO</v>
      </c>
      <c r="BK248" s="230" t="s">
        <v>4437</v>
      </c>
      <c r="BL248" s="230" t="s">
        <v>4437</v>
      </c>
      <c r="BM248" s="230" t="s">
        <v>4437</v>
      </c>
      <c r="BN248" s="207" t="s">
        <v>4425</v>
      </c>
      <c r="BO248" s="207" t="s">
        <v>4425</v>
      </c>
      <c r="BP248" s="202">
        <v>46205</v>
      </c>
      <c r="BQ248" s="207" t="s">
        <v>4425</v>
      </c>
      <c r="BR248" s="232" t="s">
        <v>4435</v>
      </c>
    </row>
    <row r="249" spans="1:112" s="240" customFormat="1" ht="27" hidden="1" customHeight="1">
      <c r="A249" s="197">
        <v>245</v>
      </c>
      <c r="B249" s="197" t="s">
        <v>4396</v>
      </c>
      <c r="C249" s="207" t="s">
        <v>4427</v>
      </c>
      <c r="D249" s="207">
        <v>1</v>
      </c>
      <c r="E249" s="207" t="s">
        <v>4398</v>
      </c>
      <c r="F249" s="214" t="s">
        <v>5501</v>
      </c>
      <c r="G249" s="207" t="s">
        <v>4400</v>
      </c>
      <c r="H249" s="207" t="s">
        <v>4401</v>
      </c>
      <c r="I249" s="217" t="s">
        <v>4402</v>
      </c>
      <c r="J249" s="215" t="s">
        <v>5506</v>
      </c>
      <c r="K249" s="215" t="s">
        <v>5507</v>
      </c>
      <c r="L249" s="215" t="s">
        <v>5508</v>
      </c>
      <c r="M249" s="207" t="s">
        <v>4405</v>
      </c>
      <c r="N249" s="207" t="s">
        <v>4406</v>
      </c>
      <c r="O249" s="202">
        <v>46084</v>
      </c>
      <c r="P249" s="202" t="s">
        <v>4407</v>
      </c>
      <c r="Q249" s="202">
        <v>46083</v>
      </c>
      <c r="R249" s="203">
        <v>46084</v>
      </c>
      <c r="S249" s="203">
        <v>46087</v>
      </c>
      <c r="T249" s="203">
        <v>46090</v>
      </c>
      <c r="U249" s="202" t="s">
        <v>4408</v>
      </c>
      <c r="V249" s="202" t="s">
        <v>4408</v>
      </c>
      <c r="W249" s="202">
        <v>46101</v>
      </c>
      <c r="X249" s="202">
        <v>46101</v>
      </c>
      <c r="Y249" s="202"/>
      <c r="Z249" s="202"/>
      <c r="AA249" s="215" t="s">
        <v>5506</v>
      </c>
      <c r="AB249" s="215" t="s">
        <v>5507</v>
      </c>
      <c r="AC249" s="215" t="s">
        <v>5508</v>
      </c>
      <c r="AD249" s="207" t="s">
        <v>4402</v>
      </c>
      <c r="AE249" s="207" t="s">
        <v>4405</v>
      </c>
      <c r="AF249" s="218" t="s">
        <v>4409</v>
      </c>
      <c r="AG249" s="218" t="s">
        <v>4409</v>
      </c>
      <c r="AH249" s="207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8"/>
      <c r="BD249" s="208"/>
      <c r="BE249" s="227"/>
      <c r="BF249" s="228"/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>
      <c r="A250" s="197">
        <v>246</v>
      </c>
      <c r="B250" s="197" t="s">
        <v>4396</v>
      </c>
      <c r="C250" s="207" t="s">
        <v>4427</v>
      </c>
      <c r="D250" s="207">
        <v>1</v>
      </c>
      <c r="E250" s="207" t="s">
        <v>4398</v>
      </c>
      <c r="F250" s="214" t="s">
        <v>5509</v>
      </c>
      <c r="G250" s="207" t="s">
        <v>4400</v>
      </c>
      <c r="H250" s="207" t="s">
        <v>4401</v>
      </c>
      <c r="I250" s="217" t="s">
        <v>4402</v>
      </c>
      <c r="J250" s="215" t="s">
        <v>5510</v>
      </c>
      <c r="K250" s="215" t="s">
        <v>5511</v>
      </c>
      <c r="L250" s="215" t="s">
        <v>5512</v>
      </c>
      <c r="M250" s="207" t="s">
        <v>4405</v>
      </c>
      <c r="N250" s="207" t="s">
        <v>4406</v>
      </c>
      <c r="O250" s="202">
        <v>46002</v>
      </c>
      <c r="P250" s="202" t="s">
        <v>4407</v>
      </c>
      <c r="Q250" s="202">
        <v>45999</v>
      </c>
      <c r="R250" s="202">
        <v>46006</v>
      </c>
      <c r="S250" s="202">
        <v>46006</v>
      </c>
      <c r="T250" s="202">
        <v>46009</v>
      </c>
      <c r="U250" s="202" t="s">
        <v>4408</v>
      </c>
      <c r="V250" s="202" t="s">
        <v>4408</v>
      </c>
      <c r="W250" s="202">
        <v>46014</v>
      </c>
      <c r="X250" s="202">
        <v>46017</v>
      </c>
      <c r="Y250" s="202"/>
      <c r="Z250" s="202"/>
      <c r="AA250" s="215" t="s">
        <v>5510</v>
      </c>
      <c r="AB250" s="215" t="s">
        <v>5511</v>
      </c>
      <c r="AC250" s="215" t="s">
        <v>5512</v>
      </c>
      <c r="AD250" s="199" t="s">
        <v>4402</v>
      </c>
      <c r="AE250" s="197" t="s">
        <v>4405</v>
      </c>
      <c r="AF250" s="243" t="s">
        <v>4409</v>
      </c>
      <c r="AG250" s="243" t="s">
        <v>4409</v>
      </c>
      <c r="AH250" s="197" t="s">
        <v>4410</v>
      </c>
      <c r="AI250" s="214" t="s">
        <v>4411</v>
      </c>
      <c r="AJ250" s="207"/>
      <c r="AK250" s="316">
        <v>45986</v>
      </c>
      <c r="AL250" s="316">
        <v>45986</v>
      </c>
      <c r="AM250" s="316">
        <v>45986</v>
      </c>
      <c r="AN250" s="316">
        <v>45986</v>
      </c>
      <c r="AO250" s="316">
        <v>45986</v>
      </c>
      <c r="AP250" s="316">
        <v>45986</v>
      </c>
      <c r="AQ250" s="314"/>
      <c r="AR250" s="315" t="str">
        <f t="shared" si="16"/>
        <v>FINALIZADO</v>
      </c>
      <c r="AS250" s="207"/>
      <c r="AT250" s="207"/>
      <c r="AU250" s="220"/>
      <c r="AV250" s="207"/>
      <c r="AW250" s="207"/>
      <c r="AX250" s="228"/>
      <c r="AY250" s="207"/>
      <c r="AZ250" s="202"/>
      <c r="BA250" s="219"/>
      <c r="BB250" s="207"/>
      <c r="BC250" s="202"/>
      <c r="BD250" s="208"/>
      <c r="BE250" s="201"/>
      <c r="BF250" s="197"/>
      <c r="BG250" s="229"/>
      <c r="BH250" s="321" t="str">
        <f t="shared" si="17"/>
        <v/>
      </c>
      <c r="BI250" s="98" t="str">
        <f t="shared" si="18"/>
        <v>AA</v>
      </c>
      <c r="BJ250" s="98" t="str">
        <f t="shared" si="19"/>
        <v>NÃO</v>
      </c>
      <c r="BK250" s="230"/>
      <c r="BL250" s="230"/>
      <c r="BM250" s="230"/>
      <c r="BN250" s="230"/>
      <c r="BO250" s="230"/>
      <c r="BP250" s="230"/>
      <c r="BQ250" s="230"/>
      <c r="BR250" s="234"/>
    </row>
    <row r="251" spans="1:112" s="240" customFormat="1" ht="27" hidden="1" customHeight="1">
      <c r="A251" s="207">
        <v>247</v>
      </c>
      <c r="B251" s="197" t="s">
        <v>4396</v>
      </c>
      <c r="C251" s="207" t="s">
        <v>4427</v>
      </c>
      <c r="D251" s="207">
        <v>1</v>
      </c>
      <c r="E251" s="207" t="s">
        <v>4398</v>
      </c>
      <c r="F251" s="214" t="s">
        <v>5513</v>
      </c>
      <c r="G251" s="207" t="s">
        <v>4400</v>
      </c>
      <c r="H251" s="207" t="s">
        <v>4401</v>
      </c>
      <c r="I251" s="217" t="s">
        <v>4402</v>
      </c>
      <c r="J251" s="215" t="s">
        <v>5514</v>
      </c>
      <c r="K251" s="215" t="s">
        <v>5515</v>
      </c>
      <c r="L251" s="215" t="s">
        <v>5516</v>
      </c>
      <c r="M251" s="207" t="s">
        <v>4405</v>
      </c>
      <c r="N251" s="207" t="s">
        <v>4406</v>
      </c>
      <c r="O251" s="202">
        <v>46002</v>
      </c>
      <c r="P251" s="202" t="s">
        <v>4407</v>
      </c>
      <c r="Q251" s="202">
        <v>45999</v>
      </c>
      <c r="R251" s="202">
        <v>46006</v>
      </c>
      <c r="S251" s="202">
        <v>46006</v>
      </c>
      <c r="T251" s="202">
        <v>46009</v>
      </c>
      <c r="U251" s="202" t="s">
        <v>4408</v>
      </c>
      <c r="V251" s="202" t="s">
        <v>4408</v>
      </c>
      <c r="W251" s="202">
        <v>46014</v>
      </c>
      <c r="X251" s="202">
        <v>46017</v>
      </c>
      <c r="Y251" s="202"/>
      <c r="Z251" s="202"/>
      <c r="AA251" s="215" t="s">
        <v>5514</v>
      </c>
      <c r="AB251" s="215" t="s">
        <v>5515</v>
      </c>
      <c r="AC251" s="215" t="s">
        <v>5516</v>
      </c>
      <c r="AD251" s="21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45986</v>
      </c>
      <c r="AL251" s="316">
        <v>45986</v>
      </c>
      <c r="AM251" s="316">
        <v>45986</v>
      </c>
      <c r="AN251" s="316">
        <v>45986</v>
      </c>
      <c r="AO251" s="316">
        <v>45986</v>
      </c>
      <c r="AP251" s="316">
        <v>45986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07"/>
      <c r="AZ251" s="202"/>
      <c r="BA251" s="219"/>
      <c r="BB251" s="207"/>
      <c r="BC251" s="202"/>
      <c r="BD251" s="208"/>
      <c r="BE251" s="202"/>
      <c r="BF251" s="207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207">
        <v>248</v>
      </c>
      <c r="B252" s="197" t="s">
        <v>4396</v>
      </c>
      <c r="C252" s="207" t="s">
        <v>5297</v>
      </c>
      <c r="D252" s="207">
        <v>1</v>
      </c>
      <c r="E252" s="207" t="s">
        <v>4398</v>
      </c>
      <c r="F252" s="214" t="s">
        <v>5513</v>
      </c>
      <c r="G252" s="207" t="s">
        <v>4400</v>
      </c>
      <c r="H252" s="207" t="s">
        <v>4401</v>
      </c>
      <c r="I252" s="217" t="s">
        <v>4402</v>
      </c>
      <c r="J252" s="215" t="s">
        <v>5517</v>
      </c>
      <c r="K252" s="215" t="s">
        <v>5518</v>
      </c>
      <c r="L252" s="215" t="s">
        <v>5519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>
        <v>46017</v>
      </c>
      <c r="Z252" s="202"/>
      <c r="AA252" s="215" t="s">
        <v>5517</v>
      </c>
      <c r="AB252" s="215" t="s">
        <v>5518</v>
      </c>
      <c r="AC252" s="215" t="s">
        <v>5519</v>
      </c>
      <c r="AD252" s="241" t="s">
        <v>4402</v>
      </c>
      <c r="AE252" s="241" t="s">
        <v>4405</v>
      </c>
      <c r="AF252" s="242" t="s">
        <v>4409</v>
      </c>
      <c r="AG252" s="242" t="s">
        <v>4409</v>
      </c>
      <c r="AH252" s="241" t="s">
        <v>4410</v>
      </c>
      <c r="AI252" s="214" t="s">
        <v>4411</v>
      </c>
      <c r="AJ252" s="207"/>
      <c r="AK252" s="316">
        <v>45996</v>
      </c>
      <c r="AL252" s="316">
        <v>45996</v>
      </c>
      <c r="AM252" s="316">
        <v>45996</v>
      </c>
      <c r="AN252" s="316">
        <v>45996</v>
      </c>
      <c r="AO252" s="316">
        <v>45996</v>
      </c>
      <c r="AP252" s="316">
        <v>45996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39">
        <v>46017</v>
      </c>
      <c r="BF252" s="207" t="s">
        <v>4412</v>
      </c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249</v>
      </c>
      <c r="B253" s="197" t="s">
        <v>4396</v>
      </c>
      <c r="C253" s="207" t="s">
        <v>4427</v>
      </c>
      <c r="D253" s="207">
        <v>1</v>
      </c>
      <c r="E253" s="207" t="s">
        <v>4398</v>
      </c>
      <c r="F253" s="214" t="s">
        <v>5520</v>
      </c>
      <c r="G253" s="207" t="s">
        <v>4400</v>
      </c>
      <c r="H253" s="207" t="s">
        <v>4401</v>
      </c>
      <c r="I253" s="217" t="s">
        <v>4536</v>
      </c>
      <c r="J253" s="255" t="s">
        <v>5521</v>
      </c>
      <c r="K253" s="215" t="s">
        <v>4398</v>
      </c>
      <c r="L253" s="215" t="s">
        <v>5522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3"/>
      <c r="Z253" s="219"/>
      <c r="AA253" s="255" t="s">
        <v>5521</v>
      </c>
      <c r="AB253" s="215" t="s">
        <v>4398</v>
      </c>
      <c r="AC253" s="215" t="s">
        <v>5522</v>
      </c>
      <c r="AD253" s="252" t="s">
        <v>4402</v>
      </c>
      <c r="AE253" s="254" t="s">
        <v>4405</v>
      </c>
      <c r="AF253" s="243" t="s">
        <v>4409</v>
      </c>
      <c r="AG253" s="243" t="s">
        <v>4409</v>
      </c>
      <c r="AH253" s="207" t="s">
        <v>4433</v>
      </c>
      <c r="AI253" s="214" t="s">
        <v>4411</v>
      </c>
      <c r="AJ253" s="207"/>
      <c r="AK253" s="316">
        <v>45988</v>
      </c>
      <c r="AL253" s="316">
        <v>45988</v>
      </c>
      <c r="AM253" s="316">
        <v>45988</v>
      </c>
      <c r="AN253" s="316">
        <v>45988</v>
      </c>
      <c r="AO253" s="316">
        <v>45988</v>
      </c>
      <c r="AP253" s="316">
        <v>45988</v>
      </c>
      <c r="AQ253" s="314"/>
      <c r="AR253" s="315" t="str">
        <f t="shared" si="16"/>
        <v>FINALIZADO</v>
      </c>
      <c r="AS253" s="207"/>
      <c r="AT253" s="219"/>
      <c r="AU253" s="220"/>
      <c r="AV253" s="207"/>
      <c r="AW253" s="207"/>
      <c r="AX253" s="228"/>
      <c r="AY253" s="219"/>
      <c r="AZ253" s="219"/>
      <c r="BA253" s="219"/>
      <c r="BB253" s="219"/>
      <c r="BC253" s="219"/>
      <c r="BD253" s="208"/>
      <c r="BE253" s="253"/>
      <c r="BF253" s="254"/>
      <c r="BG253" s="219"/>
      <c r="BH253" s="321" t="str">
        <f t="shared" si="17"/>
        <v/>
      </c>
      <c r="BI253" s="98" t="str">
        <f t="shared" si="18"/>
        <v>INDENIZAÇÃO</v>
      </c>
      <c r="BJ253" s="98" t="str">
        <f t="shared" si="19"/>
        <v>NÃO</v>
      </c>
      <c r="BK253" s="219"/>
      <c r="BL253" s="221"/>
      <c r="BM253" s="221"/>
      <c r="BN253" s="219"/>
      <c r="BO253" s="219"/>
      <c r="BP253" s="219"/>
      <c r="BQ253" s="219"/>
      <c r="BR253" s="222"/>
    </row>
    <row r="254" spans="1:112" s="240" customFormat="1" ht="27" hidden="1" customHeight="1">
      <c r="A254" s="197">
        <v>250</v>
      </c>
      <c r="B254" s="197" t="s">
        <v>4396</v>
      </c>
      <c r="C254" s="207" t="s">
        <v>4427</v>
      </c>
      <c r="D254" s="207">
        <v>1</v>
      </c>
      <c r="E254" s="250" t="s">
        <v>4398</v>
      </c>
      <c r="F254" s="214" t="s">
        <v>5523</v>
      </c>
      <c r="G254" s="207" t="s">
        <v>4400</v>
      </c>
      <c r="H254" s="207" t="s">
        <v>4401</v>
      </c>
      <c r="I254" s="217" t="s">
        <v>4402</v>
      </c>
      <c r="J254" s="215" t="s">
        <v>5524</v>
      </c>
      <c r="K254" s="215" t="s">
        <v>5525</v>
      </c>
      <c r="L254" s="215" t="s">
        <v>5526</v>
      </c>
      <c r="M254" s="207" t="s">
        <v>4405</v>
      </c>
      <c r="N254" s="207" t="s">
        <v>4442</v>
      </c>
      <c r="O254" s="202" t="s">
        <v>4409</v>
      </c>
      <c r="P254" s="202" t="s">
        <v>4409</v>
      </c>
      <c r="Q254" s="202" t="s">
        <v>4409</v>
      </c>
      <c r="R254" s="202" t="s">
        <v>4409</v>
      </c>
      <c r="S254" s="202" t="s">
        <v>4409</v>
      </c>
      <c r="T254" s="202" t="s">
        <v>4409</v>
      </c>
      <c r="U254" s="202" t="s">
        <v>4409</v>
      </c>
      <c r="V254" s="202" t="s">
        <v>4409</v>
      </c>
      <c r="W254" s="202" t="s">
        <v>4409</v>
      </c>
      <c r="X254" s="202" t="s">
        <v>4409</v>
      </c>
      <c r="Y254" s="202"/>
      <c r="Z254" s="202"/>
      <c r="AA254" s="215" t="s">
        <v>5524</v>
      </c>
      <c r="AB254" s="215" t="s">
        <v>5525</v>
      </c>
      <c r="AC254" s="215" t="s">
        <v>5526</v>
      </c>
      <c r="AD254" s="207" t="s">
        <v>4402</v>
      </c>
      <c r="AE254" s="207" t="s">
        <v>4405</v>
      </c>
      <c r="AF254" s="218">
        <v>27624.44</v>
      </c>
      <c r="AG254" s="218">
        <f>AF254+30000</f>
        <v>57624.44</v>
      </c>
      <c r="AH254" s="207" t="s">
        <v>4433</v>
      </c>
      <c r="AI254" s="214" t="s">
        <v>4411</v>
      </c>
      <c r="AJ254" s="207">
        <v>148264159</v>
      </c>
      <c r="AK254" s="316">
        <v>46269</v>
      </c>
      <c r="AL254" s="316">
        <v>46274</v>
      </c>
      <c r="AM254" s="316"/>
      <c r="AN254" s="316"/>
      <c r="AO254" s="316"/>
      <c r="AP254" s="316"/>
      <c r="AQ254" s="314"/>
      <c r="AR254" s="315" t="str">
        <f t="shared" si="16"/>
        <v>AGUARDANDO ENVIO ASSINATURA CTS</v>
      </c>
      <c r="AS254" s="207"/>
      <c r="AT254" s="207" t="s">
        <v>5527</v>
      </c>
      <c r="AU254" s="220"/>
      <c r="AV254" s="219"/>
      <c r="AW254" s="207"/>
      <c r="AX254" s="228"/>
      <c r="AY254" s="228"/>
      <c r="AZ254" s="227"/>
      <c r="BA254" s="257"/>
      <c r="BB254" s="228"/>
      <c r="BC254" s="227"/>
      <c r="BD254" s="208"/>
      <c r="BE254" s="227"/>
      <c r="BF254" s="228" t="s">
        <v>4400</v>
      </c>
      <c r="BG254" s="229"/>
      <c r="BH254" s="321" t="str">
        <f t="shared" si="17"/>
        <v/>
      </c>
      <c r="BI254" s="98" t="str">
        <f t="shared" si="18"/>
        <v>INDENIZAÇÃO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>
      <c r="A255" s="197">
        <v>251</v>
      </c>
      <c r="B255" s="197" t="s">
        <v>4396</v>
      </c>
      <c r="C255" s="207" t="s">
        <v>4427</v>
      </c>
      <c r="D255" s="207">
        <v>1</v>
      </c>
      <c r="E255" s="207" t="s">
        <v>4398</v>
      </c>
      <c r="F255" s="214" t="s">
        <v>5528</v>
      </c>
      <c r="G255" s="207" t="s">
        <v>4400</v>
      </c>
      <c r="H255" s="207" t="s">
        <v>4401</v>
      </c>
      <c r="I255" s="217" t="s">
        <v>4402</v>
      </c>
      <c r="J255" s="215" t="s">
        <v>5529</v>
      </c>
      <c r="K255" s="215" t="s">
        <v>5530</v>
      </c>
      <c r="L255" s="215" t="s">
        <v>5531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2"/>
      <c r="Z255" s="202"/>
      <c r="AA255" s="215" t="s">
        <v>5529</v>
      </c>
      <c r="AB255" s="215" t="s">
        <v>5530</v>
      </c>
      <c r="AC255" s="215" t="s">
        <v>5531</v>
      </c>
      <c r="AD255" s="217" t="s">
        <v>4402</v>
      </c>
      <c r="AE255" s="207" t="s">
        <v>4405</v>
      </c>
      <c r="AF255" s="218" t="s">
        <v>4409</v>
      </c>
      <c r="AG255" s="218" t="s">
        <v>4409</v>
      </c>
      <c r="AH255" s="207" t="s">
        <v>4410</v>
      </c>
      <c r="AI255" s="214" t="s">
        <v>4411</v>
      </c>
      <c r="AJ255" s="207"/>
      <c r="AK255" s="316">
        <v>45986</v>
      </c>
      <c r="AL255" s="316">
        <v>45986</v>
      </c>
      <c r="AM255" s="316">
        <v>45986</v>
      </c>
      <c r="AN255" s="316">
        <v>45986</v>
      </c>
      <c r="AO255" s="316">
        <v>45986</v>
      </c>
      <c r="AP255" s="316">
        <v>45986</v>
      </c>
      <c r="AQ255" s="314"/>
      <c r="AR255" s="315" t="str">
        <f t="shared" si="16"/>
        <v>FINALIZADO</v>
      </c>
      <c r="AS255" s="207"/>
      <c r="AT255" s="207"/>
      <c r="AU255" s="220"/>
      <c r="AV255" s="207"/>
      <c r="AW255" s="207"/>
      <c r="AX255" s="228"/>
      <c r="AY255" s="207"/>
      <c r="AZ255" s="202"/>
      <c r="BA255" s="219"/>
      <c r="BB255" s="207"/>
      <c r="BC255" s="202"/>
      <c r="BD255" s="208"/>
      <c r="BE255" s="202"/>
      <c r="BF255" s="207"/>
      <c r="BG255" s="229"/>
      <c r="BH255" s="321" t="str">
        <f t="shared" si="17"/>
        <v/>
      </c>
      <c r="BI255" s="98" t="str">
        <f t="shared" si="18"/>
        <v>AA</v>
      </c>
      <c r="BJ255" s="98" t="str">
        <f t="shared" si="19"/>
        <v>NÃO</v>
      </c>
      <c r="BK255" s="230"/>
      <c r="BL255" s="230"/>
      <c r="BM255" s="230"/>
      <c r="BN255" s="230"/>
      <c r="BO255" s="230"/>
      <c r="BP255" s="230"/>
      <c r="BQ255" s="230"/>
      <c r="BR255" s="234"/>
    </row>
    <row r="256" spans="1:112" s="240" customFormat="1" ht="27" hidden="1" customHeight="1">
      <c r="A256" s="207">
        <v>252</v>
      </c>
      <c r="B256" s="197" t="s">
        <v>4396</v>
      </c>
      <c r="C256" s="207" t="s">
        <v>5297</v>
      </c>
      <c r="D256" s="207">
        <v>1</v>
      </c>
      <c r="E256" s="207" t="s">
        <v>4398</v>
      </c>
      <c r="F256" s="214" t="s">
        <v>5528</v>
      </c>
      <c r="G256" s="207" t="s">
        <v>4400</v>
      </c>
      <c r="H256" s="207" t="s">
        <v>4401</v>
      </c>
      <c r="I256" s="217" t="s">
        <v>4402</v>
      </c>
      <c r="J256" s="215" t="s">
        <v>5532</v>
      </c>
      <c r="K256" s="215" t="s">
        <v>5533</v>
      </c>
      <c r="L256" s="215" t="s">
        <v>5534</v>
      </c>
      <c r="M256" s="207" t="s">
        <v>4405</v>
      </c>
      <c r="N256" s="207" t="s">
        <v>4406</v>
      </c>
      <c r="O256" s="202">
        <v>45986</v>
      </c>
      <c r="P256" s="203" t="s">
        <v>4407</v>
      </c>
      <c r="Q256" s="203">
        <v>45985</v>
      </c>
      <c r="R256" s="203">
        <v>45986</v>
      </c>
      <c r="S256" s="203">
        <v>45987</v>
      </c>
      <c r="T256" s="203">
        <v>45992</v>
      </c>
      <c r="U256" s="202" t="s">
        <v>4408</v>
      </c>
      <c r="V256" s="202" t="s">
        <v>4408</v>
      </c>
      <c r="W256" s="202">
        <v>45999</v>
      </c>
      <c r="X256" s="202">
        <v>46000</v>
      </c>
      <c r="Y256" s="202">
        <v>46017</v>
      </c>
      <c r="Z256" s="207"/>
      <c r="AA256" s="215" t="s">
        <v>5532</v>
      </c>
      <c r="AB256" s="215" t="s">
        <v>5533</v>
      </c>
      <c r="AC256" s="215" t="s">
        <v>5534</v>
      </c>
      <c r="AD256" s="241" t="s">
        <v>4402</v>
      </c>
      <c r="AE256" s="241" t="s">
        <v>4405</v>
      </c>
      <c r="AF256" s="242" t="s">
        <v>4409</v>
      </c>
      <c r="AG256" s="242" t="s">
        <v>4409</v>
      </c>
      <c r="AH256" s="241" t="s">
        <v>4410</v>
      </c>
      <c r="AI256" s="214" t="s">
        <v>4411</v>
      </c>
      <c r="AJ256" s="207"/>
      <c r="AK256" s="316">
        <v>45979</v>
      </c>
      <c r="AL256" s="316">
        <v>45979</v>
      </c>
      <c r="AM256" s="316">
        <v>45979</v>
      </c>
      <c r="AN256" s="316">
        <v>45979</v>
      </c>
      <c r="AO256" s="316">
        <v>45979</v>
      </c>
      <c r="AP256" s="316">
        <v>45979</v>
      </c>
      <c r="AQ256" s="314"/>
      <c r="AR256" s="315" t="str">
        <f t="shared" si="16"/>
        <v>FINALIZADO</v>
      </c>
      <c r="AS256" s="207"/>
      <c r="AT256" s="207"/>
      <c r="AU256" s="220"/>
      <c r="AV256" s="207"/>
      <c r="AW256" s="207"/>
      <c r="AX256" s="228"/>
      <c r="AY256" s="207"/>
      <c r="AZ256" s="202"/>
      <c r="BA256" s="219"/>
      <c r="BB256" s="207"/>
      <c r="BC256" s="202"/>
      <c r="BD256" s="208"/>
      <c r="BE256" s="239">
        <v>46017</v>
      </c>
      <c r="BF256" s="207" t="s">
        <v>4412</v>
      </c>
      <c r="BG256" s="229"/>
      <c r="BH256" s="321" t="str">
        <f t="shared" si="17"/>
        <v/>
      </c>
      <c r="BI256" s="98" t="str">
        <f t="shared" si="18"/>
        <v>AA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  <c r="BS256" s="275"/>
      <c r="BT256" s="275"/>
      <c r="BU256" s="275"/>
      <c r="BV256" s="275"/>
      <c r="BW256" s="275"/>
      <c r="BX256" s="275"/>
      <c r="BY256" s="275"/>
      <c r="BZ256" s="275"/>
      <c r="CA256" s="275"/>
      <c r="CB256" s="275"/>
      <c r="CC256" s="275"/>
      <c r="CD256" s="275"/>
      <c r="CE256" s="275"/>
      <c r="CF256" s="275"/>
      <c r="CG256" s="275"/>
      <c r="CH256" s="275"/>
      <c r="CI256" s="275"/>
      <c r="CJ256" s="275"/>
      <c r="CK256" s="275"/>
      <c r="CL256" s="275"/>
      <c r="CM256" s="275"/>
      <c r="CN256" s="275"/>
      <c r="CO256" s="275"/>
      <c r="CP256" s="275"/>
      <c r="CQ256" s="275"/>
      <c r="CR256" s="275"/>
      <c r="CS256" s="275"/>
      <c r="CT256" s="275"/>
      <c r="CU256" s="275"/>
      <c r="CV256" s="275"/>
      <c r="CW256" s="275"/>
      <c r="CX256" s="275"/>
      <c r="CY256" s="275"/>
      <c r="CZ256" s="275"/>
      <c r="DA256" s="275"/>
      <c r="DB256" s="275"/>
      <c r="DC256" s="275"/>
      <c r="DD256" s="275"/>
      <c r="DE256" s="275"/>
      <c r="DF256" s="275"/>
      <c r="DG256" s="275"/>
      <c r="DH256" s="275"/>
    </row>
    <row r="257" spans="1:72" s="240" customFormat="1" ht="27" hidden="1" customHeight="1">
      <c r="A257" s="207">
        <v>253</v>
      </c>
      <c r="B257" s="197" t="s">
        <v>4396</v>
      </c>
      <c r="C257" s="207" t="s">
        <v>4427</v>
      </c>
      <c r="D257" s="207">
        <v>1</v>
      </c>
      <c r="E257" s="207" t="s">
        <v>4398</v>
      </c>
      <c r="F257" s="214" t="s">
        <v>5535</v>
      </c>
      <c r="G257" s="207" t="s">
        <v>4400</v>
      </c>
      <c r="H257" s="207" t="s">
        <v>4401</v>
      </c>
      <c r="I257" s="217" t="s">
        <v>4402</v>
      </c>
      <c r="J257" s="255" t="s">
        <v>5536</v>
      </c>
      <c r="K257" s="215" t="s">
        <v>5537</v>
      </c>
      <c r="L257" s="215" t="s">
        <v>5538</v>
      </c>
      <c r="M257" s="207" t="s">
        <v>4405</v>
      </c>
      <c r="N257" s="207" t="s">
        <v>4406</v>
      </c>
      <c r="O257" s="203">
        <v>46031</v>
      </c>
      <c r="P257" s="203" t="s">
        <v>4407</v>
      </c>
      <c r="Q257" s="203">
        <v>46030</v>
      </c>
      <c r="R257" s="203">
        <v>46031</v>
      </c>
      <c r="S257" s="203">
        <v>46036</v>
      </c>
      <c r="T257" s="203">
        <v>46045</v>
      </c>
      <c r="U257" s="203" t="s">
        <v>4408</v>
      </c>
      <c r="V257" s="203" t="s">
        <v>4408</v>
      </c>
      <c r="W257" s="202">
        <v>46055</v>
      </c>
      <c r="X257" s="202">
        <v>46056</v>
      </c>
      <c r="Y257" s="203"/>
      <c r="Z257" s="219"/>
      <c r="AA257" s="255" t="s">
        <v>5536</v>
      </c>
      <c r="AB257" s="215" t="s">
        <v>5537</v>
      </c>
      <c r="AC257" s="215" t="s">
        <v>5538</v>
      </c>
      <c r="AD257" s="252" t="s">
        <v>4402</v>
      </c>
      <c r="AE257" s="254" t="s">
        <v>4405</v>
      </c>
      <c r="AF257" s="243" t="s">
        <v>4409</v>
      </c>
      <c r="AG257" s="243" t="s">
        <v>4409</v>
      </c>
      <c r="AH257" s="197" t="s">
        <v>4410</v>
      </c>
      <c r="AI257" s="214" t="s">
        <v>4411</v>
      </c>
      <c r="AJ257" s="207"/>
      <c r="AK257" s="317"/>
      <c r="AL257" s="317"/>
      <c r="AM257" s="317"/>
      <c r="AN257" s="317"/>
      <c r="AO257" s="317"/>
      <c r="AP257" s="317"/>
      <c r="AQ257" s="314"/>
      <c r="AR257" s="315" t="str">
        <f t="shared" si="16"/>
        <v/>
      </c>
      <c r="AS257" s="207"/>
      <c r="AT257" s="219"/>
      <c r="AU257" s="220"/>
      <c r="AV257" s="207"/>
      <c r="AW257" s="207"/>
      <c r="AX257" s="228"/>
      <c r="AY257" s="219"/>
      <c r="AZ257" s="219"/>
      <c r="BA257" s="219"/>
      <c r="BB257" s="219"/>
      <c r="BC257" s="219"/>
      <c r="BD257" s="208"/>
      <c r="BE257" s="253"/>
      <c r="BF257" s="254"/>
      <c r="BG257" s="21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19"/>
      <c r="BL257" s="221"/>
      <c r="BM257" s="221"/>
      <c r="BN257" s="219"/>
      <c r="BO257" s="219"/>
      <c r="BP257" s="219"/>
      <c r="BQ257" s="219"/>
      <c r="BR257" s="222"/>
    </row>
    <row r="258" spans="1:72" s="240" customFormat="1" ht="27" hidden="1" customHeight="1">
      <c r="A258" s="207">
        <v>254</v>
      </c>
      <c r="B258" s="197" t="s">
        <v>4396</v>
      </c>
      <c r="C258" s="207" t="s">
        <v>4427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4536</v>
      </c>
      <c r="J258" s="255" t="s">
        <v>5540</v>
      </c>
      <c r="K258" s="215" t="s">
        <v>5541</v>
      </c>
      <c r="L258" s="215" t="s">
        <v>5542</v>
      </c>
      <c r="M258" s="207" t="s">
        <v>4405</v>
      </c>
      <c r="N258" s="207" t="s">
        <v>4406</v>
      </c>
      <c r="O258" s="203">
        <v>46031</v>
      </c>
      <c r="P258" s="202" t="s">
        <v>4407</v>
      </c>
      <c r="Q258" s="203">
        <v>46030</v>
      </c>
      <c r="R258" s="203">
        <v>46031</v>
      </c>
      <c r="S258" s="203">
        <v>46036</v>
      </c>
      <c r="T258" s="203">
        <v>46045</v>
      </c>
      <c r="U258" s="203" t="s">
        <v>4408</v>
      </c>
      <c r="V258" s="203" t="s">
        <v>4408</v>
      </c>
      <c r="W258" s="202">
        <v>46055</v>
      </c>
      <c r="X258" s="202">
        <v>46063</v>
      </c>
      <c r="Y258" s="203"/>
      <c r="Z258" s="219"/>
      <c r="AA258" s="255" t="s">
        <v>5540</v>
      </c>
      <c r="AB258" s="215" t="s">
        <v>5541</v>
      </c>
      <c r="AC258" s="215" t="s">
        <v>5542</v>
      </c>
      <c r="AD258" s="233" t="s">
        <v>4402</v>
      </c>
      <c r="AE258" s="219" t="s">
        <v>4405</v>
      </c>
      <c r="AF258" s="218" t="s">
        <v>4409</v>
      </c>
      <c r="AG258" s="218" t="s">
        <v>4409</v>
      </c>
      <c r="AH258" s="207" t="s">
        <v>4433</v>
      </c>
      <c r="AI258" s="214" t="s">
        <v>4411</v>
      </c>
      <c r="AJ258" s="207"/>
      <c r="AK258" s="317"/>
      <c r="AL258" s="317"/>
      <c r="AM258" s="317"/>
      <c r="AN258" s="317"/>
      <c r="AO258" s="317"/>
      <c r="AP258" s="317"/>
      <c r="AQ258" s="314"/>
      <c r="AR258" s="315" t="str">
        <f t="shared" si="16"/>
        <v/>
      </c>
      <c r="AS258" s="207"/>
      <c r="AT258" s="219"/>
      <c r="AU258" s="220"/>
      <c r="AV258" s="207"/>
      <c r="AW258" s="207"/>
      <c r="AX258" s="228"/>
      <c r="AY258" s="219"/>
      <c r="AZ258" s="219"/>
      <c r="BA258" s="219"/>
      <c r="BB258" s="219"/>
      <c r="BC258" s="219"/>
      <c r="BD258" s="208"/>
      <c r="BE258" s="203"/>
      <c r="BF258" s="219"/>
      <c r="BG258" s="219"/>
      <c r="BH258" s="321" t="str">
        <f t="shared" si="17"/>
        <v/>
      </c>
      <c r="BI258" s="98" t="str">
        <f t="shared" si="18"/>
        <v>INDENIZAÇÃO</v>
      </c>
      <c r="BJ258" s="98" t="str">
        <f t="shared" si="19"/>
        <v>NÃO</v>
      </c>
      <c r="BK258" s="219"/>
      <c r="BL258" s="221"/>
      <c r="BM258" s="221"/>
      <c r="BN258" s="219"/>
      <c r="BO258" s="219"/>
      <c r="BP258" s="219"/>
      <c r="BQ258" s="219"/>
      <c r="BR258" s="222"/>
    </row>
    <row r="259" spans="1:72" s="240" customFormat="1" ht="27" hidden="1" customHeight="1">
      <c r="A259" s="197">
        <v>255</v>
      </c>
      <c r="B259" s="197" t="s">
        <v>4396</v>
      </c>
      <c r="C259" s="207" t="s">
        <v>4427</v>
      </c>
      <c r="D259" s="207">
        <v>1</v>
      </c>
      <c r="E259" s="207" t="s">
        <v>4398</v>
      </c>
      <c r="F259" s="214" t="s">
        <v>5543</v>
      </c>
      <c r="G259" s="207" t="s">
        <v>4400</v>
      </c>
      <c r="H259" s="207" t="s">
        <v>4401</v>
      </c>
      <c r="I259" s="217" t="s">
        <v>4402</v>
      </c>
      <c r="J259" s="215" t="s">
        <v>5544</v>
      </c>
      <c r="K259" s="215" t="s">
        <v>5545</v>
      </c>
      <c r="L259" s="215" t="s">
        <v>5546</v>
      </c>
      <c r="M259" s="207" t="s">
        <v>4405</v>
      </c>
      <c r="N259" s="207" t="s">
        <v>4406</v>
      </c>
      <c r="O259" s="202">
        <v>46002</v>
      </c>
      <c r="P259" s="202" t="s">
        <v>4407</v>
      </c>
      <c r="Q259" s="202">
        <v>45999</v>
      </c>
      <c r="R259" s="202">
        <v>46006</v>
      </c>
      <c r="S259" s="202">
        <v>46006</v>
      </c>
      <c r="T259" s="202">
        <v>46009</v>
      </c>
      <c r="U259" s="202" t="s">
        <v>4408</v>
      </c>
      <c r="V259" s="202" t="s">
        <v>4408</v>
      </c>
      <c r="W259" s="202">
        <v>46014</v>
      </c>
      <c r="X259" s="202">
        <v>46017</v>
      </c>
      <c r="Y259" s="202"/>
      <c r="Z259" s="202"/>
      <c r="AA259" s="215" t="s">
        <v>5544</v>
      </c>
      <c r="AB259" s="215" t="s">
        <v>5545</v>
      </c>
      <c r="AC259" s="215" t="s">
        <v>5546</v>
      </c>
      <c r="AD259" s="217" t="s">
        <v>4402</v>
      </c>
      <c r="AE259" s="207" t="s">
        <v>4405</v>
      </c>
      <c r="AF259" s="218" t="s">
        <v>4409</v>
      </c>
      <c r="AG259" s="218" t="s">
        <v>4409</v>
      </c>
      <c r="AH259" s="207" t="s">
        <v>4410</v>
      </c>
      <c r="AI259" s="214" t="s">
        <v>4411</v>
      </c>
      <c r="AJ259" s="207"/>
      <c r="AK259" s="316">
        <v>45986</v>
      </c>
      <c r="AL259" s="316">
        <v>45986</v>
      </c>
      <c r="AM259" s="316">
        <v>45986</v>
      </c>
      <c r="AN259" s="316">
        <v>45986</v>
      </c>
      <c r="AO259" s="316">
        <v>45986</v>
      </c>
      <c r="AP259" s="316">
        <v>45986</v>
      </c>
      <c r="AQ259" s="314"/>
      <c r="AR259" s="315" t="str">
        <f t="shared" si="16"/>
        <v>FINALIZADO</v>
      </c>
      <c r="AS259" s="207"/>
      <c r="AT259" s="207"/>
      <c r="AU259" s="220"/>
      <c r="AV259" s="207"/>
      <c r="AW259" s="207"/>
      <c r="AX259" s="228"/>
      <c r="AY259" s="207"/>
      <c r="AZ259" s="202"/>
      <c r="BA259" s="219"/>
      <c r="BB259" s="207"/>
      <c r="BC259" s="202"/>
      <c r="BD259" s="208"/>
      <c r="BE259" s="202"/>
      <c r="BF259" s="207"/>
      <c r="BG259" s="22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30"/>
      <c r="BL259" s="230"/>
      <c r="BM259" s="230"/>
      <c r="BN259" s="230"/>
      <c r="BO259" s="230"/>
      <c r="BP259" s="230"/>
      <c r="BQ259" s="230"/>
      <c r="BR259" s="234"/>
    </row>
    <row r="260" spans="1:72" s="240" customFormat="1" ht="27" hidden="1" customHeight="1">
      <c r="A260" s="197">
        <v>256</v>
      </c>
      <c r="B260" s="197" t="s">
        <v>4396</v>
      </c>
      <c r="C260" s="207" t="s">
        <v>5297</v>
      </c>
      <c r="D260" s="207">
        <v>1</v>
      </c>
      <c r="E260" s="207" t="s">
        <v>4398</v>
      </c>
      <c r="F260" s="214" t="s">
        <v>5543</v>
      </c>
      <c r="G260" s="207" t="s">
        <v>4400</v>
      </c>
      <c r="H260" s="207" t="s">
        <v>4401</v>
      </c>
      <c r="I260" s="217" t="s">
        <v>4402</v>
      </c>
      <c r="J260" s="215" t="s">
        <v>5547</v>
      </c>
      <c r="K260" s="215" t="s">
        <v>5548</v>
      </c>
      <c r="L260" s="215" t="s">
        <v>5549</v>
      </c>
      <c r="M260" s="207" t="s">
        <v>4405</v>
      </c>
      <c r="N260" s="207" t="s">
        <v>4406</v>
      </c>
      <c r="O260" s="202">
        <v>45986</v>
      </c>
      <c r="P260" s="203" t="s">
        <v>4407</v>
      </c>
      <c r="Q260" s="203">
        <v>45985</v>
      </c>
      <c r="R260" s="203">
        <v>45986</v>
      </c>
      <c r="S260" s="203">
        <v>45987</v>
      </c>
      <c r="T260" s="203">
        <v>45992</v>
      </c>
      <c r="U260" s="202" t="s">
        <v>4408</v>
      </c>
      <c r="V260" s="202" t="s">
        <v>4408</v>
      </c>
      <c r="W260" s="202">
        <v>45999</v>
      </c>
      <c r="X260" s="202">
        <v>46001</v>
      </c>
      <c r="Y260" s="202">
        <v>46017</v>
      </c>
      <c r="Z260" s="207"/>
      <c r="AA260" s="215" t="s">
        <v>5547</v>
      </c>
      <c r="AB260" s="215" t="s">
        <v>5548</v>
      </c>
      <c r="AC260" s="215" t="s">
        <v>5549</v>
      </c>
      <c r="AD260" s="241" t="s">
        <v>4402</v>
      </c>
      <c r="AE260" s="241" t="s">
        <v>4405</v>
      </c>
      <c r="AF260" s="242" t="s">
        <v>4409</v>
      </c>
      <c r="AG260" s="242" t="s">
        <v>4409</v>
      </c>
      <c r="AH260" s="241" t="s">
        <v>4410</v>
      </c>
      <c r="AI260" s="214" t="s">
        <v>4411</v>
      </c>
      <c r="AJ260" s="207"/>
      <c r="AK260" s="316">
        <v>45979</v>
      </c>
      <c r="AL260" s="316">
        <v>45979</v>
      </c>
      <c r="AM260" s="316">
        <v>45979</v>
      </c>
      <c r="AN260" s="316">
        <v>45979</v>
      </c>
      <c r="AO260" s="316">
        <v>45979</v>
      </c>
      <c r="AP260" s="316">
        <v>45979</v>
      </c>
      <c r="AQ260" s="314"/>
      <c r="AR260" s="315" t="str">
        <f t="shared" si="16"/>
        <v>FINALIZADO</v>
      </c>
      <c r="AS260" s="207"/>
      <c r="AT260" s="207"/>
      <c r="AU260" s="220"/>
      <c r="AV260" s="207"/>
      <c r="AW260" s="207"/>
      <c r="AX260" s="228"/>
      <c r="AY260" s="207"/>
      <c r="AZ260" s="202"/>
      <c r="BA260" s="219"/>
      <c r="BB260" s="207"/>
      <c r="BC260" s="202"/>
      <c r="BD260" s="208"/>
      <c r="BE260" s="239">
        <v>46017</v>
      </c>
      <c r="BF260" s="207" t="s">
        <v>4412</v>
      </c>
      <c r="BG260" s="229"/>
      <c r="BH260" s="321" t="str">
        <f t="shared" si="17"/>
        <v/>
      </c>
      <c r="BI260" s="98" t="str">
        <f t="shared" si="18"/>
        <v>AA</v>
      </c>
      <c r="BJ260" s="98" t="str">
        <f t="shared" si="19"/>
        <v>NÃO</v>
      </c>
      <c r="BK260" s="230"/>
      <c r="BL260" s="230"/>
      <c r="BM260" s="230"/>
      <c r="BN260" s="230"/>
      <c r="BO260" s="230"/>
      <c r="BP260" s="230"/>
      <c r="BQ260" s="230"/>
      <c r="BR260" s="234"/>
    </row>
    <row r="261" spans="1:72" s="240" customFormat="1" ht="27" hidden="1" customHeight="1">
      <c r="A261" s="207">
        <v>257</v>
      </c>
      <c r="B261" s="197" t="s">
        <v>4396</v>
      </c>
      <c r="C261" s="207" t="s">
        <v>4453</v>
      </c>
      <c r="D261" s="207">
        <v>1</v>
      </c>
      <c r="E261" s="207" t="s">
        <v>4398</v>
      </c>
      <c r="F261" s="214" t="s">
        <v>5550</v>
      </c>
      <c r="G261" s="207" t="s">
        <v>4546</v>
      </c>
      <c r="H261" s="207" t="s">
        <v>4546</v>
      </c>
      <c r="I261" s="233" t="s">
        <v>4421</v>
      </c>
      <c r="J261" s="215" t="s">
        <v>5551</v>
      </c>
      <c r="K261" s="215" t="s">
        <v>5552</v>
      </c>
      <c r="L261" s="215" t="s">
        <v>5553</v>
      </c>
      <c r="M261" s="207" t="s">
        <v>4405</v>
      </c>
      <c r="N261" s="207" t="s">
        <v>4442</v>
      </c>
      <c r="O261" s="202" t="s">
        <v>4409</v>
      </c>
      <c r="P261" s="202" t="s">
        <v>4409</v>
      </c>
      <c r="Q261" s="202" t="s">
        <v>4409</v>
      </c>
      <c r="R261" s="202" t="s">
        <v>4409</v>
      </c>
      <c r="S261" s="202" t="s">
        <v>4409</v>
      </c>
      <c r="T261" s="202" t="s">
        <v>4409</v>
      </c>
      <c r="U261" s="202" t="s">
        <v>4409</v>
      </c>
      <c r="V261" s="202" t="s">
        <v>4409</v>
      </c>
      <c r="W261" s="202" t="s">
        <v>4409</v>
      </c>
      <c r="X261" s="202" t="s">
        <v>4409</v>
      </c>
      <c r="Y261" s="202"/>
      <c r="Z261" s="202"/>
      <c r="AA261" s="215" t="s">
        <v>5551</v>
      </c>
      <c r="AB261" s="214" t="s">
        <v>5552</v>
      </c>
      <c r="AC261" s="214" t="s">
        <v>5553</v>
      </c>
      <c r="AD261" s="252" t="s">
        <v>4421</v>
      </c>
      <c r="AE261" s="197" t="s">
        <v>4405</v>
      </c>
      <c r="AF261" s="243">
        <v>4819.3</v>
      </c>
      <c r="AG261" s="243">
        <v>34819.300000000003</v>
      </c>
      <c r="AH261" s="197" t="s">
        <v>4433</v>
      </c>
      <c r="AI261" s="214" t="s">
        <v>4411</v>
      </c>
      <c r="AJ261" s="207">
        <v>146042181</v>
      </c>
      <c r="AK261" s="316">
        <v>46000</v>
      </c>
      <c r="AL261" s="316">
        <v>46000</v>
      </c>
      <c r="AM261" s="316">
        <v>46000</v>
      </c>
      <c r="AN261" s="316">
        <v>46000</v>
      </c>
      <c r="AO261" s="316">
        <v>46000</v>
      </c>
      <c r="AP261" s="316">
        <v>46000</v>
      </c>
      <c r="AQ261" s="314"/>
      <c r="AR261" s="315" t="str">
        <f t="shared" si="16"/>
        <v>FINALIZADO</v>
      </c>
      <c r="AS261" s="207" t="s">
        <v>4423</v>
      </c>
      <c r="AT261" s="207"/>
      <c r="AU261" s="220" t="s">
        <v>5554</v>
      </c>
      <c r="AV261" s="207" t="s">
        <v>4425</v>
      </c>
      <c r="AW261" s="207" t="s">
        <v>4425</v>
      </c>
      <c r="AX261" s="250" t="s">
        <v>4425</v>
      </c>
      <c r="AY261" s="207" t="s">
        <v>4425</v>
      </c>
      <c r="AZ261" s="202">
        <v>46014</v>
      </c>
      <c r="BA261" s="219" t="s">
        <v>4425</v>
      </c>
      <c r="BB261" s="207" t="s">
        <v>4425</v>
      </c>
      <c r="BC261" s="202">
        <v>46021</v>
      </c>
      <c r="BD261" s="227">
        <v>46021</v>
      </c>
      <c r="BE261" s="209">
        <v>46017</v>
      </c>
      <c r="BF261" s="197" t="s">
        <v>4762</v>
      </c>
      <c r="BG261" s="229" t="s">
        <v>4425</v>
      </c>
      <c r="BH261" s="321">
        <f t="shared" si="17"/>
        <v>21</v>
      </c>
      <c r="BI261" s="98" t="str">
        <f t="shared" si="18"/>
        <v>INDENIZAÇÃO</v>
      </c>
      <c r="BJ261" s="98" t="str">
        <f t="shared" si="19"/>
        <v>NÃO</v>
      </c>
      <c r="BK261" s="230" t="s">
        <v>4437</v>
      </c>
      <c r="BL261" s="230" t="s">
        <v>4437</v>
      </c>
      <c r="BM261" s="230" t="s">
        <v>4437</v>
      </c>
      <c r="BN261" s="207" t="s">
        <v>4425</v>
      </c>
      <c r="BO261" s="207" t="s">
        <v>4425</v>
      </c>
      <c r="BP261" s="202">
        <v>46205</v>
      </c>
      <c r="BQ261" s="207" t="s">
        <v>4425</v>
      </c>
      <c r="BR261" s="232" t="s">
        <v>4435</v>
      </c>
    </row>
    <row r="262" spans="1:72" s="240" customFormat="1" ht="27" hidden="1" customHeight="1">
      <c r="A262" s="207">
        <v>258</v>
      </c>
      <c r="B262" s="197" t="s">
        <v>4396</v>
      </c>
      <c r="C262" s="207" t="s">
        <v>4427</v>
      </c>
      <c r="D262" s="207">
        <v>1</v>
      </c>
      <c r="E262" s="207" t="s">
        <v>4398</v>
      </c>
      <c r="F262" s="214" t="s">
        <v>5550</v>
      </c>
      <c r="G262" s="207" t="s">
        <v>4400</v>
      </c>
      <c r="H262" s="207" t="s">
        <v>4401</v>
      </c>
      <c r="I262" s="217" t="s">
        <v>4402</v>
      </c>
      <c r="J262" s="215" t="s">
        <v>5555</v>
      </c>
      <c r="K262" s="215" t="s">
        <v>5556</v>
      </c>
      <c r="L262" s="215" t="s">
        <v>5557</v>
      </c>
      <c r="M262" s="207" t="s">
        <v>4405</v>
      </c>
      <c r="N262" s="207" t="s">
        <v>4442</v>
      </c>
      <c r="O262" s="202" t="s">
        <v>4409</v>
      </c>
      <c r="P262" s="202" t="s">
        <v>4409</v>
      </c>
      <c r="Q262" s="202" t="s">
        <v>4409</v>
      </c>
      <c r="R262" s="202" t="s">
        <v>4409</v>
      </c>
      <c r="S262" s="202" t="s">
        <v>4409</v>
      </c>
      <c r="T262" s="202" t="s">
        <v>4409</v>
      </c>
      <c r="U262" s="202" t="s">
        <v>4409</v>
      </c>
      <c r="V262" s="202" t="s">
        <v>4409</v>
      </c>
      <c r="W262" s="202" t="s">
        <v>4409</v>
      </c>
      <c r="X262" s="202" t="s">
        <v>4409</v>
      </c>
      <c r="Y262" s="202"/>
      <c r="Z262" s="202"/>
      <c r="AA262" s="215" t="s">
        <v>5555</v>
      </c>
      <c r="AB262" s="214" t="s">
        <v>5556</v>
      </c>
      <c r="AC262" s="214" t="s">
        <v>5557</v>
      </c>
      <c r="AD262" s="207" t="s">
        <v>4402</v>
      </c>
      <c r="AE262" s="207" t="s">
        <v>4405</v>
      </c>
      <c r="AF262" s="218">
        <v>87857.51</v>
      </c>
      <c r="AG262" s="218">
        <v>87857.51</v>
      </c>
      <c r="AH262" s="207" t="s">
        <v>4433</v>
      </c>
      <c r="AI262" s="214" t="s">
        <v>4411</v>
      </c>
      <c r="AJ262" s="207">
        <v>148264241</v>
      </c>
      <c r="AK262" s="316">
        <v>46045</v>
      </c>
      <c r="AL262" s="316">
        <v>46045</v>
      </c>
      <c r="AM262" s="316">
        <v>46045</v>
      </c>
      <c r="AN262" s="316">
        <v>46045</v>
      </c>
      <c r="AO262" s="316">
        <v>46045</v>
      </c>
      <c r="AP262" s="316">
        <v>46045</v>
      </c>
      <c r="AQ262" s="314"/>
      <c r="AR262" s="315" t="str">
        <f t="shared" ref="AR262:AR325" si="20">IF(AQ262="SIM","AGUARDANDO CORREÇÃO",IF(AP262&lt;&gt;"","FINALIZADO",IF(AO262&lt;&gt;"","AGUARDANDO ENVIO DTS",IF(AN262&lt;&gt;"","AGUARDANDO ASSINATURA GAB",IF(AM262&lt;&gt;"","AGUARDANDO ASSINATURA CTS",IF(AL262&lt;&gt;"","AGUARDANDO ENVIO ASSINATURA CTS",IF(AK262&lt;&gt;"","AGUARDANDO CONFERÊNCIA","")))))))</f>
        <v>FINALIZADO</v>
      </c>
      <c r="AS262" s="207" t="s">
        <v>4423</v>
      </c>
      <c r="AT262" s="207"/>
      <c r="AU262" s="220" t="s">
        <v>5558</v>
      </c>
      <c r="AV262" s="207" t="s">
        <v>4425</v>
      </c>
      <c r="AW262" s="207" t="s">
        <v>4425</v>
      </c>
      <c r="AX262" s="207" t="s">
        <v>4425</v>
      </c>
      <c r="AY262" s="207" t="s">
        <v>4425</v>
      </c>
      <c r="AZ262" s="202">
        <v>46170</v>
      </c>
      <c r="BA262" s="207" t="s">
        <v>4425</v>
      </c>
      <c r="BB262" s="207" t="s">
        <v>4425</v>
      </c>
      <c r="BC262" s="202">
        <v>46182</v>
      </c>
      <c r="BD262" s="227">
        <v>46182</v>
      </c>
      <c r="BE262" s="235" t="s">
        <v>4435</v>
      </c>
      <c r="BF262" s="236" t="s">
        <v>4436</v>
      </c>
      <c r="BG262" s="237" t="s">
        <v>4425</v>
      </c>
      <c r="BH262" s="321">
        <f t="shared" ref="BH262:BH325" si="21">IFERROR(IF(BD262-KI262=0,"",BD262-AK262),"")</f>
        <v>137</v>
      </c>
      <c r="BI262" s="98" t="str">
        <f t="shared" ref="BI262:BI325" si="22">IF(AND(AH262&lt;&gt;"SIM",AH262="UH"),"AA","INDENIZAÇÃO")</f>
        <v>INDENIZAÇÃO</v>
      </c>
      <c r="BJ262" s="98" t="str">
        <f t="shared" ref="BJ262:BJ325" si="23">IF(AND(BD262&lt;&gt;"AGUARDANDO",BD262&lt;&gt;"",N262="AUXÍLIO ALUGUEL ATÉ INDENIZAÇÃO"),"SIM","NÃO")</f>
        <v>NÃO</v>
      </c>
      <c r="BK262" s="238" t="s">
        <v>4437</v>
      </c>
      <c r="BL262" s="238" t="s">
        <v>4437</v>
      </c>
      <c r="BM262" s="238" t="s">
        <v>4437</v>
      </c>
      <c r="BN262" s="207" t="s">
        <v>4425</v>
      </c>
      <c r="BO262" s="257" t="s">
        <v>4435</v>
      </c>
      <c r="BP262" s="265"/>
      <c r="BQ262" s="265"/>
      <c r="BR262" s="231"/>
      <c r="BS262" s="223"/>
    </row>
    <row r="263" spans="1:72" s="240" customFormat="1" ht="27" hidden="1" customHeight="1">
      <c r="A263" s="207">
        <v>259</v>
      </c>
      <c r="B263" s="197" t="s">
        <v>4396</v>
      </c>
      <c r="C263" s="207" t="s">
        <v>4427</v>
      </c>
      <c r="D263" s="207">
        <v>1</v>
      </c>
      <c r="E263" s="207" t="s">
        <v>4398</v>
      </c>
      <c r="F263" s="214" t="s">
        <v>5559</v>
      </c>
      <c r="G263" s="207" t="s">
        <v>4400</v>
      </c>
      <c r="H263" s="207" t="s">
        <v>4583</v>
      </c>
      <c r="I263" s="249" t="s">
        <v>4402</v>
      </c>
      <c r="J263" s="242" t="s">
        <v>5560</v>
      </c>
      <c r="K263" s="215" t="s">
        <v>5561</v>
      </c>
      <c r="L263" s="215" t="s">
        <v>5562</v>
      </c>
      <c r="M263" s="207" t="s">
        <v>4405</v>
      </c>
      <c r="N263" s="207" t="s">
        <v>4442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42" t="s">
        <v>5560</v>
      </c>
      <c r="AB263" s="215" t="s">
        <v>5561</v>
      </c>
      <c r="AC263" s="215" t="s">
        <v>5562</v>
      </c>
      <c r="AD263" s="207" t="s">
        <v>4402</v>
      </c>
      <c r="AE263" s="207" t="s">
        <v>4405</v>
      </c>
      <c r="AF263" s="218">
        <v>65063.06</v>
      </c>
      <c r="AG263" s="218">
        <v>65063.06</v>
      </c>
      <c r="AH263" s="207" t="s">
        <v>4433</v>
      </c>
      <c r="AI263" s="214" t="s">
        <v>4411</v>
      </c>
      <c r="AJ263" s="207">
        <v>150959327</v>
      </c>
      <c r="AK263" s="316">
        <v>46076</v>
      </c>
      <c r="AL263" s="316">
        <v>46076</v>
      </c>
      <c r="AM263" s="316">
        <v>46076</v>
      </c>
      <c r="AN263" s="316">
        <v>46076</v>
      </c>
      <c r="AO263" s="316">
        <v>46076</v>
      </c>
      <c r="AP263" s="316">
        <v>46076</v>
      </c>
      <c r="AQ263" s="314"/>
      <c r="AR263" s="315" t="str">
        <f t="shared" si="20"/>
        <v>FINALIZADO</v>
      </c>
      <c r="AS263" s="207" t="s">
        <v>4423</v>
      </c>
      <c r="AT263" s="207"/>
      <c r="AU263" s="220" t="s">
        <v>5563</v>
      </c>
      <c r="AV263" s="207" t="s">
        <v>4425</v>
      </c>
      <c r="AW263" s="207" t="s">
        <v>4425</v>
      </c>
      <c r="AX263" s="250" t="s">
        <v>4425</v>
      </c>
      <c r="AY263" s="207" t="s">
        <v>4425</v>
      </c>
      <c r="AZ263" s="202">
        <v>46118</v>
      </c>
      <c r="BA263" s="207" t="s">
        <v>4425</v>
      </c>
      <c r="BB263" s="207" t="s">
        <v>4425</v>
      </c>
      <c r="BC263" s="202">
        <v>46122</v>
      </c>
      <c r="BD263" s="227">
        <v>46122</v>
      </c>
      <c r="BE263" s="244" t="s">
        <v>4435</v>
      </c>
      <c r="BF263" s="228" t="s">
        <v>4436</v>
      </c>
      <c r="BG263" s="229" t="s">
        <v>4425</v>
      </c>
      <c r="BH263" s="321">
        <f t="shared" si="21"/>
        <v>46</v>
      </c>
      <c r="BI263" s="98" t="str">
        <f t="shared" si="22"/>
        <v>INDENIZAÇÃO</v>
      </c>
      <c r="BJ263" s="98" t="str">
        <f t="shared" si="23"/>
        <v>NÃO</v>
      </c>
      <c r="BK263" s="219" t="s">
        <v>4437</v>
      </c>
      <c r="BL263" s="219" t="s">
        <v>4437</v>
      </c>
      <c r="BM263" s="219" t="s">
        <v>4437</v>
      </c>
      <c r="BN263" s="207" t="s">
        <v>4425</v>
      </c>
      <c r="BO263" s="257" t="s">
        <v>4435</v>
      </c>
      <c r="BP263" s="257"/>
      <c r="BQ263" s="257"/>
      <c r="BR263" s="258"/>
    </row>
    <row r="264" spans="1:72" s="240" customFormat="1" ht="27" hidden="1" customHeight="1">
      <c r="A264" s="197">
        <v>260</v>
      </c>
      <c r="B264" s="197" t="s">
        <v>4396</v>
      </c>
      <c r="C264" s="207" t="s">
        <v>4453</v>
      </c>
      <c r="D264" s="207">
        <v>1</v>
      </c>
      <c r="E264" s="207" t="s">
        <v>4398</v>
      </c>
      <c r="F264" s="214" t="s">
        <v>5559</v>
      </c>
      <c r="G264" s="207" t="s">
        <v>4400</v>
      </c>
      <c r="H264" s="207" t="s">
        <v>4401</v>
      </c>
      <c r="I264" s="217" t="s">
        <v>4402</v>
      </c>
      <c r="J264" s="242" t="s">
        <v>5564</v>
      </c>
      <c r="K264" s="215" t="s">
        <v>5565</v>
      </c>
      <c r="L264" s="215" t="s">
        <v>5566</v>
      </c>
      <c r="M264" s="207" t="s">
        <v>4405</v>
      </c>
      <c r="N264" s="207" t="s">
        <v>4406</v>
      </c>
      <c r="O264" s="202">
        <v>45986</v>
      </c>
      <c r="P264" s="203" t="s">
        <v>4407</v>
      </c>
      <c r="Q264" s="203">
        <v>45985</v>
      </c>
      <c r="R264" s="203">
        <v>45986</v>
      </c>
      <c r="S264" s="203">
        <v>45987</v>
      </c>
      <c r="T264" s="203">
        <v>45992</v>
      </c>
      <c r="U264" s="202" t="s">
        <v>4408</v>
      </c>
      <c r="V264" s="202" t="s">
        <v>4408</v>
      </c>
      <c r="W264" s="202">
        <v>45999</v>
      </c>
      <c r="X264" s="202">
        <v>46000</v>
      </c>
      <c r="Y264" s="202">
        <v>46017</v>
      </c>
      <c r="Z264" s="207"/>
      <c r="AA264" s="242" t="s">
        <v>5564</v>
      </c>
      <c r="AB264" s="215" t="s">
        <v>5565</v>
      </c>
      <c r="AC264" s="215" t="s">
        <v>5566</v>
      </c>
      <c r="AD264" s="241" t="s">
        <v>4402</v>
      </c>
      <c r="AE264" s="241" t="s">
        <v>4405</v>
      </c>
      <c r="AF264" s="242" t="s">
        <v>4409</v>
      </c>
      <c r="AG264" s="242" t="s">
        <v>4409</v>
      </c>
      <c r="AH264" s="241" t="s">
        <v>4410</v>
      </c>
      <c r="AI264" s="214" t="s">
        <v>4411</v>
      </c>
      <c r="AJ264" s="207"/>
      <c r="AK264" s="316">
        <v>45979</v>
      </c>
      <c r="AL264" s="316">
        <v>45979</v>
      </c>
      <c r="AM264" s="316">
        <v>45979</v>
      </c>
      <c r="AN264" s="316">
        <v>45979</v>
      </c>
      <c r="AO264" s="316">
        <v>45979</v>
      </c>
      <c r="AP264" s="316">
        <v>45979</v>
      </c>
      <c r="AQ264" s="314"/>
      <c r="AR264" s="315" t="str">
        <f t="shared" si="20"/>
        <v>FINALIZADO</v>
      </c>
      <c r="AS264" s="207"/>
      <c r="AT264" s="207"/>
      <c r="AU264" s="220"/>
      <c r="AV264" s="207"/>
      <c r="AW264" s="207"/>
      <c r="AX264" s="228"/>
      <c r="AY264" s="207"/>
      <c r="AZ264" s="202"/>
      <c r="BA264" s="219"/>
      <c r="BB264" s="207"/>
      <c r="BC264" s="202"/>
      <c r="BD264" s="208"/>
      <c r="BE264" s="239">
        <v>46017</v>
      </c>
      <c r="BF264" s="207" t="s">
        <v>4412</v>
      </c>
      <c r="BG264" s="229"/>
      <c r="BH264" s="321" t="str">
        <f t="shared" si="21"/>
        <v/>
      </c>
      <c r="BI264" s="98" t="str">
        <f t="shared" si="22"/>
        <v>AA</v>
      </c>
      <c r="BJ264" s="98" t="str">
        <f t="shared" si="23"/>
        <v>NÃO</v>
      </c>
      <c r="BK264" s="230"/>
      <c r="BL264" s="230"/>
      <c r="BM264" s="230"/>
      <c r="BN264" s="230"/>
      <c r="BO264" s="230"/>
      <c r="BP264" s="230"/>
      <c r="BQ264" s="230"/>
      <c r="BR264" s="234"/>
      <c r="BS264" s="223"/>
      <c r="BT264" s="223"/>
    </row>
    <row r="265" spans="1:72" s="240" customFormat="1" ht="27" hidden="1" customHeight="1">
      <c r="A265" s="197">
        <v>261</v>
      </c>
      <c r="B265" s="197" t="s">
        <v>4396</v>
      </c>
      <c r="C265" s="207" t="s">
        <v>4427</v>
      </c>
      <c r="D265" s="207">
        <v>1</v>
      </c>
      <c r="E265" s="207" t="s">
        <v>4398</v>
      </c>
      <c r="F265" s="214" t="s">
        <v>5567</v>
      </c>
      <c r="G265" s="207" t="s">
        <v>4400</v>
      </c>
      <c r="H265" s="207" t="s">
        <v>4401</v>
      </c>
      <c r="I265" s="217" t="s">
        <v>4402</v>
      </c>
      <c r="J265" s="242" t="s">
        <v>5568</v>
      </c>
      <c r="K265" s="215" t="s">
        <v>5569</v>
      </c>
      <c r="L265" s="215" t="s">
        <v>5570</v>
      </c>
      <c r="M265" s="207" t="s">
        <v>4405</v>
      </c>
      <c r="N265" s="207" t="s">
        <v>4442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7"/>
      <c r="AA265" s="242" t="s">
        <v>5568</v>
      </c>
      <c r="AB265" s="246" t="s">
        <v>5569</v>
      </c>
      <c r="AC265" s="246" t="s">
        <v>5570</v>
      </c>
      <c r="AD265" s="197" t="s">
        <v>4402</v>
      </c>
      <c r="AE265" s="197" t="s">
        <v>4405</v>
      </c>
      <c r="AF265" s="243">
        <v>32310.01</v>
      </c>
      <c r="AG265" s="243">
        <v>60000</v>
      </c>
      <c r="AH265" s="197" t="s">
        <v>4433</v>
      </c>
      <c r="AI265" s="214" t="s">
        <v>4411</v>
      </c>
      <c r="AJ265" s="207">
        <v>148264320</v>
      </c>
      <c r="AK265" s="316">
        <v>46059</v>
      </c>
      <c r="AL265" s="316">
        <v>46059</v>
      </c>
      <c r="AM265" s="316">
        <v>46059</v>
      </c>
      <c r="AN265" s="316">
        <v>46059</v>
      </c>
      <c r="AO265" s="316">
        <v>46059</v>
      </c>
      <c r="AP265" s="316">
        <v>46059</v>
      </c>
      <c r="AQ265" s="314"/>
      <c r="AR265" s="315" t="str">
        <f t="shared" si="20"/>
        <v>FINALIZADO</v>
      </c>
      <c r="AS265" s="207" t="s">
        <v>4423</v>
      </c>
      <c r="AT265" s="207"/>
      <c r="AU265" s="220" t="s">
        <v>5571</v>
      </c>
      <c r="AV265" s="207" t="s">
        <v>4425</v>
      </c>
      <c r="AW265" s="207" t="s">
        <v>4425</v>
      </c>
      <c r="AX265" s="250" t="s">
        <v>4425</v>
      </c>
      <c r="AY265" s="207" t="s">
        <v>4425</v>
      </c>
      <c r="AZ265" s="202">
        <v>46118</v>
      </c>
      <c r="BA265" s="207" t="s">
        <v>4425</v>
      </c>
      <c r="BB265" s="207" t="s">
        <v>4425</v>
      </c>
      <c r="BC265" s="202">
        <v>46122</v>
      </c>
      <c r="BD265" s="227">
        <v>46122</v>
      </c>
      <c r="BE265" s="244" t="s">
        <v>4435</v>
      </c>
      <c r="BF265" s="245" t="s">
        <v>4436</v>
      </c>
      <c r="BG265" s="229" t="s">
        <v>4425</v>
      </c>
      <c r="BH265" s="321">
        <f t="shared" si="21"/>
        <v>63</v>
      </c>
      <c r="BI265" s="98" t="str">
        <f t="shared" si="22"/>
        <v>INDENIZAÇÃO</v>
      </c>
      <c r="BJ265" s="98" t="str">
        <f t="shared" si="23"/>
        <v>NÃO</v>
      </c>
      <c r="BK265" s="219" t="s">
        <v>4437</v>
      </c>
      <c r="BL265" s="219" t="s">
        <v>4437</v>
      </c>
      <c r="BM265" s="219" t="s">
        <v>4437</v>
      </c>
      <c r="BN265" s="207" t="s">
        <v>4425</v>
      </c>
      <c r="BO265" s="257" t="s">
        <v>4435</v>
      </c>
      <c r="BP265" s="257"/>
      <c r="BQ265" s="257"/>
      <c r="BR265" s="258"/>
    </row>
    <row r="266" spans="1:72" s="240" customFormat="1" ht="27" hidden="1" customHeight="1">
      <c r="A266" s="207">
        <v>262</v>
      </c>
      <c r="B266" s="197" t="s">
        <v>4396</v>
      </c>
      <c r="C266" s="207" t="s">
        <v>4453</v>
      </c>
      <c r="D266" s="207">
        <v>1</v>
      </c>
      <c r="E266" s="207" t="s">
        <v>4398</v>
      </c>
      <c r="F266" s="214" t="s">
        <v>5567</v>
      </c>
      <c r="G266" s="207" t="s">
        <v>4400</v>
      </c>
      <c r="H266" s="207" t="s">
        <v>4401</v>
      </c>
      <c r="I266" s="217" t="s">
        <v>4402</v>
      </c>
      <c r="J266" s="215" t="s">
        <v>5572</v>
      </c>
      <c r="K266" s="215" t="s">
        <v>5573</v>
      </c>
      <c r="L266" s="215" t="s">
        <v>5574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15" t="s">
        <v>5572</v>
      </c>
      <c r="AB266" s="215" t="s">
        <v>5573</v>
      </c>
      <c r="AC266" s="215" t="s">
        <v>5574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72" s="240" customFormat="1" ht="27" hidden="1" customHeight="1">
      <c r="A267" s="207">
        <v>263</v>
      </c>
      <c r="B267" s="197" t="s">
        <v>4396</v>
      </c>
      <c r="C267" s="207" t="s">
        <v>4453</v>
      </c>
      <c r="D267" s="207">
        <v>1</v>
      </c>
      <c r="E267" s="207" t="s">
        <v>4398</v>
      </c>
      <c r="F267" s="214" t="s">
        <v>5575</v>
      </c>
      <c r="G267" s="207" t="s">
        <v>4400</v>
      </c>
      <c r="H267" s="207" t="s">
        <v>4401</v>
      </c>
      <c r="I267" s="217" t="s">
        <v>4402</v>
      </c>
      <c r="J267" s="242" t="s">
        <v>5576</v>
      </c>
      <c r="K267" s="215" t="s">
        <v>4398</v>
      </c>
      <c r="L267" s="215" t="s">
        <v>5577</v>
      </c>
      <c r="M267" s="207" t="s">
        <v>4405</v>
      </c>
      <c r="N267" s="207" t="s">
        <v>4406</v>
      </c>
      <c r="O267" s="202">
        <v>45986</v>
      </c>
      <c r="P267" s="203" t="s">
        <v>4407</v>
      </c>
      <c r="Q267" s="203">
        <v>45985</v>
      </c>
      <c r="R267" s="203">
        <v>45986</v>
      </c>
      <c r="S267" s="203">
        <v>45987</v>
      </c>
      <c r="T267" s="203">
        <v>45992</v>
      </c>
      <c r="U267" s="202" t="s">
        <v>4408</v>
      </c>
      <c r="V267" s="202" t="s">
        <v>4408</v>
      </c>
      <c r="W267" s="202">
        <v>45999</v>
      </c>
      <c r="X267" s="202">
        <v>46000</v>
      </c>
      <c r="Y267" s="202">
        <v>46017</v>
      </c>
      <c r="Z267" s="207"/>
      <c r="AA267" s="242" t="s">
        <v>5576</v>
      </c>
      <c r="AB267" s="215" t="s">
        <v>4398</v>
      </c>
      <c r="AC267" s="215" t="s">
        <v>5577</v>
      </c>
      <c r="AD267" s="204" t="s">
        <v>4402</v>
      </c>
      <c r="AE267" s="204" t="s">
        <v>4405</v>
      </c>
      <c r="AF267" s="205" t="s">
        <v>4409</v>
      </c>
      <c r="AG267" s="205" t="s">
        <v>4409</v>
      </c>
      <c r="AH267" s="204" t="s">
        <v>4410</v>
      </c>
      <c r="AI267" s="214" t="s">
        <v>4411</v>
      </c>
      <c r="AJ267" s="207"/>
      <c r="AK267" s="316">
        <v>45979</v>
      </c>
      <c r="AL267" s="316">
        <v>45979</v>
      </c>
      <c r="AM267" s="316">
        <v>45979</v>
      </c>
      <c r="AN267" s="316">
        <v>45979</v>
      </c>
      <c r="AO267" s="316">
        <v>45979</v>
      </c>
      <c r="AP267" s="316">
        <v>45979</v>
      </c>
      <c r="AQ267" s="314"/>
      <c r="AR267" s="315" t="str">
        <f t="shared" si="20"/>
        <v>FINALIZADO</v>
      </c>
      <c r="AS267" s="207"/>
      <c r="AT267" s="207"/>
      <c r="AU267" s="220"/>
      <c r="AV267" s="207"/>
      <c r="AW267" s="207"/>
      <c r="AX267" s="228"/>
      <c r="AY267" s="207"/>
      <c r="AZ267" s="202"/>
      <c r="BA267" s="219"/>
      <c r="BB267" s="207"/>
      <c r="BC267" s="202"/>
      <c r="BD267" s="208"/>
      <c r="BE267" s="209">
        <v>46017</v>
      </c>
      <c r="BF267" s="197" t="s">
        <v>4412</v>
      </c>
      <c r="BG267" s="229"/>
      <c r="BH267" s="321" t="str">
        <f t="shared" si="21"/>
        <v/>
      </c>
      <c r="BI267" s="98" t="str">
        <f t="shared" si="22"/>
        <v>AA</v>
      </c>
      <c r="BJ267" s="98" t="str">
        <f t="shared" si="23"/>
        <v>NÃO</v>
      </c>
      <c r="BK267" s="230"/>
      <c r="BL267" s="230"/>
      <c r="BM267" s="230"/>
      <c r="BN267" s="230"/>
      <c r="BO267" s="230"/>
      <c r="BP267" s="230"/>
      <c r="BQ267" s="230"/>
      <c r="BR267" s="234"/>
    </row>
    <row r="268" spans="1:72" s="240" customFormat="1" ht="27" hidden="1" customHeight="1">
      <c r="A268" s="207">
        <v>264</v>
      </c>
      <c r="B268" s="197" t="s">
        <v>4396</v>
      </c>
      <c r="C268" s="207" t="s">
        <v>4427</v>
      </c>
      <c r="D268" s="207">
        <v>1</v>
      </c>
      <c r="E268" s="207" t="s">
        <v>4398</v>
      </c>
      <c r="F268" s="214" t="s">
        <v>5575</v>
      </c>
      <c r="G268" s="207" t="s">
        <v>4400</v>
      </c>
      <c r="H268" s="207" t="s">
        <v>4401</v>
      </c>
      <c r="I268" s="217" t="s">
        <v>4402</v>
      </c>
      <c r="J268" s="215" t="s">
        <v>5578</v>
      </c>
      <c r="K268" s="215" t="s">
        <v>5579</v>
      </c>
      <c r="L268" s="215" t="s">
        <v>5580</v>
      </c>
      <c r="M268" s="207" t="s">
        <v>4405</v>
      </c>
      <c r="N268" s="207" t="s">
        <v>4442</v>
      </c>
      <c r="O268" s="202" t="s">
        <v>4409</v>
      </c>
      <c r="P268" s="202" t="s">
        <v>4409</v>
      </c>
      <c r="Q268" s="202" t="s">
        <v>4409</v>
      </c>
      <c r="R268" s="202" t="s">
        <v>4409</v>
      </c>
      <c r="S268" s="202" t="s">
        <v>4409</v>
      </c>
      <c r="T268" s="202" t="s">
        <v>4409</v>
      </c>
      <c r="U268" s="202" t="s">
        <v>4409</v>
      </c>
      <c r="V268" s="202" t="s">
        <v>4409</v>
      </c>
      <c r="W268" s="202" t="s">
        <v>4409</v>
      </c>
      <c r="X268" s="202" t="s">
        <v>4409</v>
      </c>
      <c r="Y268" s="202"/>
      <c r="Z268" s="207"/>
      <c r="AA268" s="215" t="s">
        <v>5578</v>
      </c>
      <c r="AB268" s="214" t="s">
        <v>5579</v>
      </c>
      <c r="AC268" s="214" t="s">
        <v>5580</v>
      </c>
      <c r="AD268" s="207" t="s">
        <v>4402</v>
      </c>
      <c r="AE268" s="207" t="s">
        <v>4405</v>
      </c>
      <c r="AF268" s="218">
        <v>25490.22</v>
      </c>
      <c r="AG268" s="218">
        <f>AF268+30000</f>
        <v>55490.22</v>
      </c>
      <c r="AH268" s="207" t="s">
        <v>4433</v>
      </c>
      <c r="AI268" s="214" t="s">
        <v>4411</v>
      </c>
      <c r="AJ268" s="207">
        <v>148264453</v>
      </c>
      <c r="AK268" s="316">
        <v>46045</v>
      </c>
      <c r="AL268" s="316">
        <v>46045</v>
      </c>
      <c r="AM268" s="316">
        <v>46045</v>
      </c>
      <c r="AN268" s="316">
        <v>46045</v>
      </c>
      <c r="AO268" s="316">
        <v>46045</v>
      </c>
      <c r="AP268" s="316">
        <v>46045</v>
      </c>
      <c r="AQ268" s="314"/>
      <c r="AR268" s="315" t="str">
        <f t="shared" si="20"/>
        <v>FINALIZADO</v>
      </c>
      <c r="AS268" s="207" t="s">
        <v>4423</v>
      </c>
      <c r="AT268" s="207"/>
      <c r="AU268" s="220" t="s">
        <v>5581</v>
      </c>
      <c r="AV268" s="207" t="s">
        <v>4425</v>
      </c>
      <c r="AW268" s="207" t="s">
        <v>4425</v>
      </c>
      <c r="AX268" s="207" t="s">
        <v>4425</v>
      </c>
      <c r="AY268" s="197" t="s">
        <v>4425</v>
      </c>
      <c r="AZ268" s="202">
        <v>46153</v>
      </c>
      <c r="BA268" s="207" t="s">
        <v>4425</v>
      </c>
      <c r="BB268" s="207" t="s">
        <v>4425</v>
      </c>
      <c r="BC268" s="202">
        <v>46182</v>
      </c>
      <c r="BD268" s="227">
        <v>46182</v>
      </c>
      <c r="BE268" s="235" t="s">
        <v>4435</v>
      </c>
      <c r="BF268" s="236" t="s">
        <v>4436</v>
      </c>
      <c r="BG268" s="237" t="s">
        <v>4425</v>
      </c>
      <c r="BH268" s="321">
        <f t="shared" si="21"/>
        <v>137</v>
      </c>
      <c r="BI268" s="98" t="str">
        <f t="shared" si="22"/>
        <v>INDENIZAÇÃO</v>
      </c>
      <c r="BJ268" s="98" t="str">
        <f t="shared" si="23"/>
        <v>NÃO</v>
      </c>
      <c r="BK268" s="238" t="s">
        <v>4437</v>
      </c>
      <c r="BL268" s="238" t="s">
        <v>4437</v>
      </c>
      <c r="BM268" s="238" t="s">
        <v>4437</v>
      </c>
      <c r="BN268" s="207" t="s">
        <v>4425</v>
      </c>
      <c r="BO268" s="257" t="s">
        <v>4435</v>
      </c>
      <c r="BP268" s="265"/>
      <c r="BQ268" s="265"/>
      <c r="BR268" s="231"/>
      <c r="BS268" s="223"/>
    </row>
    <row r="269" spans="1:72" s="240" customFormat="1" ht="27" hidden="1" customHeight="1">
      <c r="A269" s="197">
        <v>265</v>
      </c>
      <c r="B269" s="197" t="s">
        <v>4396</v>
      </c>
      <c r="C269" s="207" t="s">
        <v>4453</v>
      </c>
      <c r="D269" s="207">
        <v>1</v>
      </c>
      <c r="E269" s="207" t="s">
        <v>4398</v>
      </c>
      <c r="F269" s="214" t="s">
        <v>5582</v>
      </c>
      <c r="G269" s="207" t="s">
        <v>4400</v>
      </c>
      <c r="H269" s="207" t="s">
        <v>4401</v>
      </c>
      <c r="I269" s="217" t="s">
        <v>4402</v>
      </c>
      <c r="J269" s="242" t="s">
        <v>5583</v>
      </c>
      <c r="K269" s="215" t="s">
        <v>5584</v>
      </c>
      <c r="L269" s="215" t="s">
        <v>5585</v>
      </c>
      <c r="M269" s="207" t="s">
        <v>4405</v>
      </c>
      <c r="N269" s="207" t="s">
        <v>4442</v>
      </c>
      <c r="O269" s="202" t="s">
        <v>4409</v>
      </c>
      <c r="P269" s="202" t="s">
        <v>4409</v>
      </c>
      <c r="Q269" s="202" t="s">
        <v>4409</v>
      </c>
      <c r="R269" s="202" t="s">
        <v>4409</v>
      </c>
      <c r="S269" s="202" t="s">
        <v>4409</v>
      </c>
      <c r="T269" s="202" t="s">
        <v>4409</v>
      </c>
      <c r="U269" s="202" t="s">
        <v>4409</v>
      </c>
      <c r="V269" s="202" t="s">
        <v>4409</v>
      </c>
      <c r="W269" s="202" t="s">
        <v>4409</v>
      </c>
      <c r="X269" s="202" t="s">
        <v>4409</v>
      </c>
      <c r="Y269" s="202"/>
      <c r="Z269" s="207"/>
      <c r="AA269" s="242" t="s">
        <v>5583</v>
      </c>
      <c r="AB269" s="214" t="s">
        <v>5584</v>
      </c>
      <c r="AC269" s="246" t="s">
        <v>5585</v>
      </c>
      <c r="AD269" s="204" t="s">
        <v>4402</v>
      </c>
      <c r="AE269" s="204" t="s">
        <v>4405</v>
      </c>
      <c r="AF269" s="243">
        <v>60000</v>
      </c>
      <c r="AG269" s="243">
        <v>60000</v>
      </c>
      <c r="AH269" s="197" t="s">
        <v>4433</v>
      </c>
      <c r="AI269" s="214" t="s">
        <v>4411</v>
      </c>
      <c r="AJ269">
        <v>149914514</v>
      </c>
      <c r="AK269" s="316">
        <v>45996</v>
      </c>
      <c r="AL269" s="316">
        <v>45996</v>
      </c>
      <c r="AM269" s="316">
        <v>45996</v>
      </c>
      <c r="AN269" s="316">
        <v>45996</v>
      </c>
      <c r="AO269" s="316">
        <v>45996</v>
      </c>
      <c r="AP269" s="316">
        <v>45996</v>
      </c>
      <c r="AQ269" s="314"/>
      <c r="AR269" s="315" t="str">
        <f t="shared" si="20"/>
        <v>FINALIZADO</v>
      </c>
      <c r="AS269" s="207" t="s">
        <v>4423</v>
      </c>
      <c r="AT269" s="207"/>
      <c r="AU269" s="220" t="s">
        <v>5586</v>
      </c>
      <c r="AV269" s="207" t="s">
        <v>4425</v>
      </c>
      <c r="AW269" s="207" t="s">
        <v>4425</v>
      </c>
      <c r="AX269" s="250" t="s">
        <v>4425</v>
      </c>
      <c r="AY269" s="160" t="s">
        <v>4425</v>
      </c>
      <c r="AZ269" s="267">
        <v>46062</v>
      </c>
      <c r="BA269" s="219" t="s">
        <v>4425</v>
      </c>
      <c r="BB269" s="207" t="s">
        <v>4425</v>
      </c>
      <c r="BC269" s="239">
        <v>46066</v>
      </c>
      <c r="BD269" s="227">
        <v>46066</v>
      </c>
      <c r="BE269" s="209">
        <v>46017</v>
      </c>
      <c r="BF269" s="197" t="s">
        <v>4412</v>
      </c>
      <c r="BG269" s="229" t="s">
        <v>4425</v>
      </c>
      <c r="BH269" s="321">
        <f t="shared" si="21"/>
        <v>70</v>
      </c>
      <c r="BI269" s="98" t="str">
        <f t="shared" si="22"/>
        <v>INDENIZAÇÃO</v>
      </c>
      <c r="BJ269" s="98" t="str">
        <f t="shared" si="23"/>
        <v>NÃO</v>
      </c>
      <c r="BK269" s="230" t="s">
        <v>4437</v>
      </c>
      <c r="BL269" s="230" t="s">
        <v>4437</v>
      </c>
      <c r="BM269" s="230" t="s">
        <v>4437</v>
      </c>
      <c r="BN269" s="207" t="s">
        <v>4425</v>
      </c>
      <c r="BO269" s="257" t="s">
        <v>4435</v>
      </c>
      <c r="BP269" s="265"/>
      <c r="BQ269" s="265"/>
      <c r="BR269" s="231"/>
    </row>
    <row r="270" spans="1:72" s="240" customFormat="1" ht="27" hidden="1" customHeight="1">
      <c r="A270" s="197">
        <v>266</v>
      </c>
      <c r="B270" s="197" t="s">
        <v>4396</v>
      </c>
      <c r="C270" s="207" t="s">
        <v>4427</v>
      </c>
      <c r="D270" s="207">
        <v>1</v>
      </c>
      <c r="E270" s="207" t="s">
        <v>4398</v>
      </c>
      <c r="F270" s="214" t="s">
        <v>5582</v>
      </c>
      <c r="G270" s="207" t="s">
        <v>4400</v>
      </c>
      <c r="H270" s="207" t="s">
        <v>4401</v>
      </c>
      <c r="I270" s="217" t="s">
        <v>4402</v>
      </c>
      <c r="J270" s="215" t="s">
        <v>5587</v>
      </c>
      <c r="K270" s="215" t="s">
        <v>4440</v>
      </c>
      <c r="L270" s="215" t="s">
        <v>5588</v>
      </c>
      <c r="M270" s="207" t="s">
        <v>4405</v>
      </c>
      <c r="N270" s="207" t="s">
        <v>4406</v>
      </c>
      <c r="O270" s="202">
        <v>46065</v>
      </c>
      <c r="P270" s="203" t="s">
        <v>4407</v>
      </c>
      <c r="Q270" s="202">
        <v>46072</v>
      </c>
      <c r="R270" s="203">
        <v>46072</v>
      </c>
      <c r="S270" s="203">
        <v>46080</v>
      </c>
      <c r="T270" s="202">
        <v>46083</v>
      </c>
      <c r="U270" s="202" t="s">
        <v>4408</v>
      </c>
      <c r="V270" s="202" t="s">
        <v>4408</v>
      </c>
      <c r="W270" s="203">
        <v>46055</v>
      </c>
      <c r="X270" s="203">
        <v>46091</v>
      </c>
      <c r="Y270" s="202"/>
      <c r="Z270" s="219"/>
      <c r="AA270" s="215" t="s">
        <v>5587</v>
      </c>
      <c r="AB270" s="215" t="s">
        <v>4440</v>
      </c>
      <c r="AC270" s="215" t="s">
        <v>5588</v>
      </c>
      <c r="AD270" s="197" t="s">
        <v>4402</v>
      </c>
      <c r="AE270" s="197" t="s">
        <v>4405</v>
      </c>
      <c r="AF270" s="243" t="s">
        <v>4409</v>
      </c>
      <c r="AG270" s="243" t="s">
        <v>4409</v>
      </c>
      <c r="AH270" s="197" t="s">
        <v>4410</v>
      </c>
      <c r="AI270" s="214" t="s">
        <v>4411</v>
      </c>
      <c r="AJ270" s="207"/>
      <c r="AK270" s="316">
        <v>46041</v>
      </c>
      <c r="AL270" s="316">
        <v>46041</v>
      </c>
      <c r="AM270" s="316">
        <v>46041</v>
      </c>
      <c r="AN270" s="316">
        <v>46041</v>
      </c>
      <c r="AO270" s="316">
        <v>46041</v>
      </c>
      <c r="AP270" s="316">
        <v>46041</v>
      </c>
      <c r="AQ270" s="314"/>
      <c r="AR270" s="315" t="str">
        <f t="shared" si="20"/>
        <v>FINALIZADO</v>
      </c>
      <c r="AS270" s="207"/>
      <c r="AT270" s="219"/>
      <c r="AU270" s="220"/>
      <c r="AV270" s="207"/>
      <c r="AW270" s="207"/>
      <c r="AX270" s="228"/>
      <c r="AY270" s="219"/>
      <c r="AZ270" s="219"/>
      <c r="BA270" s="219"/>
      <c r="BB270" s="219"/>
      <c r="BC270" s="219"/>
      <c r="BD270" s="208"/>
      <c r="BE270" s="253"/>
      <c r="BF270" s="254"/>
      <c r="BG270" s="219"/>
      <c r="BH270" s="321" t="str">
        <f t="shared" si="21"/>
        <v/>
      </c>
      <c r="BI270" s="98" t="str">
        <f t="shared" si="22"/>
        <v>AA</v>
      </c>
      <c r="BJ270" s="98" t="str">
        <f t="shared" si="23"/>
        <v>NÃO</v>
      </c>
      <c r="BK270" s="219"/>
      <c r="BL270" s="221"/>
      <c r="BM270" s="221"/>
      <c r="BN270" s="219"/>
      <c r="BO270" s="219"/>
      <c r="BP270" s="219"/>
      <c r="BQ270" s="219"/>
      <c r="BR270" s="222"/>
    </row>
    <row r="271" spans="1:72" s="240" customFormat="1" ht="27" hidden="1" customHeight="1">
      <c r="A271" s="207">
        <v>267</v>
      </c>
      <c r="B271" s="197" t="s">
        <v>4396</v>
      </c>
      <c r="C271" s="207" t="s">
        <v>4427</v>
      </c>
      <c r="D271" s="207">
        <v>1</v>
      </c>
      <c r="E271" s="207" t="s">
        <v>4398</v>
      </c>
      <c r="F271" s="214" t="s">
        <v>5589</v>
      </c>
      <c r="G271" s="207" t="s">
        <v>4400</v>
      </c>
      <c r="H271" s="207" t="s">
        <v>4401</v>
      </c>
      <c r="I271" s="217" t="s">
        <v>4402</v>
      </c>
      <c r="J271" s="242" t="s">
        <v>5590</v>
      </c>
      <c r="K271" s="215" t="s">
        <v>5591</v>
      </c>
      <c r="L271" s="215" t="s">
        <v>5592</v>
      </c>
      <c r="M271" s="207" t="s">
        <v>4405</v>
      </c>
      <c r="N271" s="207" t="s">
        <v>4442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5590</v>
      </c>
      <c r="AB271" s="215" t="s">
        <v>5591</v>
      </c>
      <c r="AC271" s="215" t="s">
        <v>5592</v>
      </c>
      <c r="AD271" s="207" t="s">
        <v>4402</v>
      </c>
      <c r="AE271" s="207" t="s">
        <v>4405</v>
      </c>
      <c r="AF271" s="218">
        <v>26392.99</v>
      </c>
      <c r="AG271" s="218">
        <v>56392.99</v>
      </c>
      <c r="AH271" s="207" t="s">
        <v>4433</v>
      </c>
      <c r="AI271" s="214" t="s">
        <v>4411</v>
      </c>
      <c r="AJ271" s="207">
        <v>149655132</v>
      </c>
      <c r="AK271" s="316">
        <v>46185</v>
      </c>
      <c r="AL271" s="316">
        <v>46185</v>
      </c>
      <c r="AM271" s="316">
        <v>46185</v>
      </c>
      <c r="AN271" s="316">
        <v>46185</v>
      </c>
      <c r="AO271" s="316">
        <v>46185</v>
      </c>
      <c r="AP271" s="316">
        <v>46185</v>
      </c>
      <c r="AQ271" s="314"/>
      <c r="AR271" s="315" t="str">
        <f t="shared" si="20"/>
        <v>FINALIZADO</v>
      </c>
      <c r="AS271" s="207" t="s">
        <v>4423</v>
      </c>
      <c r="AT271" s="207"/>
      <c r="AU271" s="220" t="s">
        <v>4435</v>
      </c>
      <c r="AV271" s="228" t="s">
        <v>5487</v>
      </c>
      <c r="AW271" s="228"/>
      <c r="AX271" s="228"/>
      <c r="AY271" s="228"/>
      <c r="AZ271" s="227"/>
      <c r="BA271" s="257"/>
      <c r="BB271" s="228"/>
      <c r="BC271" s="227"/>
      <c r="BD271" s="226"/>
      <c r="BE271" s="227"/>
      <c r="BF271" s="228" t="s">
        <v>4400</v>
      </c>
      <c r="BG271" s="229"/>
      <c r="BH271" s="321" t="str">
        <f t="shared" si="21"/>
        <v/>
      </c>
      <c r="BI271" s="98" t="str">
        <f t="shared" si="22"/>
        <v>INDENIZAÇÃO</v>
      </c>
      <c r="BJ271" s="98" t="str">
        <f t="shared" si="23"/>
        <v>NÃO</v>
      </c>
      <c r="BK271" s="230"/>
      <c r="BL271" s="230"/>
      <c r="BM271" s="230"/>
      <c r="BN271" s="230"/>
      <c r="BO271" s="230"/>
      <c r="BP271" s="230"/>
      <c r="BQ271" s="230"/>
      <c r="BR271" s="234"/>
    </row>
    <row r="272" spans="1:72" s="240" customFormat="1" ht="27" hidden="1" customHeight="1">
      <c r="A272" s="207">
        <v>268</v>
      </c>
      <c r="B272" s="197" t="s">
        <v>4396</v>
      </c>
      <c r="C272" s="207" t="s">
        <v>4427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42" t="s">
        <v>5594</v>
      </c>
      <c r="K272" s="215" t="s">
        <v>4398</v>
      </c>
      <c r="L272" s="215" t="s">
        <v>5595</v>
      </c>
      <c r="M272" s="207" t="s">
        <v>4405</v>
      </c>
      <c r="N272" s="207" t="s">
        <v>4442</v>
      </c>
      <c r="O272" s="202" t="s">
        <v>4409</v>
      </c>
      <c r="P272" s="202" t="s">
        <v>4409</v>
      </c>
      <c r="Q272" s="202" t="s">
        <v>4409</v>
      </c>
      <c r="R272" s="202" t="s">
        <v>4409</v>
      </c>
      <c r="S272" s="202" t="s">
        <v>4409</v>
      </c>
      <c r="T272" s="202" t="s">
        <v>4409</v>
      </c>
      <c r="U272" s="202" t="s">
        <v>4409</v>
      </c>
      <c r="V272" s="202" t="s">
        <v>4409</v>
      </c>
      <c r="W272" s="202" t="s">
        <v>4409</v>
      </c>
      <c r="X272" s="202" t="s">
        <v>4409</v>
      </c>
      <c r="Y272" s="202"/>
      <c r="Z272" s="207"/>
      <c r="AA272" s="242" t="s">
        <v>5594</v>
      </c>
      <c r="AB272" s="214" t="s">
        <v>4398</v>
      </c>
      <c r="AC272" s="246" t="s">
        <v>5595</v>
      </c>
      <c r="AD272" s="207" t="s">
        <v>4402</v>
      </c>
      <c r="AE272" s="207" t="s">
        <v>4405</v>
      </c>
      <c r="AF272" s="218">
        <v>30346.959999999999</v>
      </c>
      <c r="AG272" s="218">
        <v>60000</v>
      </c>
      <c r="AH272" s="207" t="s">
        <v>4433</v>
      </c>
      <c r="AI272" s="214" t="s">
        <v>4411</v>
      </c>
      <c r="AJ272" s="207">
        <v>149655325</v>
      </c>
      <c r="AK272" s="316">
        <v>46059</v>
      </c>
      <c r="AL272" s="316">
        <v>46059</v>
      </c>
      <c r="AM272" s="316">
        <v>46059</v>
      </c>
      <c r="AN272" s="316">
        <v>46059</v>
      </c>
      <c r="AO272" s="316">
        <v>46059</v>
      </c>
      <c r="AP272" s="316">
        <v>46059</v>
      </c>
      <c r="AQ272" s="314"/>
      <c r="AR272" s="315" t="str">
        <f t="shared" si="20"/>
        <v>FINALIZADO</v>
      </c>
      <c r="AS272" s="207" t="s">
        <v>4423</v>
      </c>
      <c r="AT272" s="207"/>
      <c r="AU272" s="220" t="s">
        <v>5596</v>
      </c>
      <c r="AV272" s="207" t="s">
        <v>4425</v>
      </c>
      <c r="AW272" s="207" t="s">
        <v>4425</v>
      </c>
      <c r="AX272" s="250" t="s">
        <v>4425</v>
      </c>
      <c r="AY272" s="207" t="s">
        <v>4425</v>
      </c>
      <c r="AZ272" s="202">
        <v>46118</v>
      </c>
      <c r="BA272" s="207" t="s">
        <v>4425</v>
      </c>
      <c r="BB272" s="207" t="s">
        <v>4425</v>
      </c>
      <c r="BC272" s="202">
        <v>46122</v>
      </c>
      <c r="BD272" s="227">
        <v>46122</v>
      </c>
      <c r="BE272" s="227" t="s">
        <v>4435</v>
      </c>
      <c r="BF272" s="228" t="s">
        <v>4436</v>
      </c>
      <c r="BG272" s="229" t="s">
        <v>4425</v>
      </c>
      <c r="BH272" s="321">
        <f t="shared" si="21"/>
        <v>63</v>
      </c>
      <c r="BI272" s="98" t="str">
        <f t="shared" si="22"/>
        <v>INDENIZAÇÃO</v>
      </c>
      <c r="BJ272" s="98" t="str">
        <f t="shared" si="23"/>
        <v>NÃO</v>
      </c>
      <c r="BK272" s="219" t="s">
        <v>4437</v>
      </c>
      <c r="BL272" s="219" t="s">
        <v>4437</v>
      </c>
      <c r="BM272" s="219" t="s">
        <v>4437</v>
      </c>
      <c r="BN272" s="207" t="s">
        <v>4425</v>
      </c>
      <c r="BO272" s="257" t="s">
        <v>4435</v>
      </c>
      <c r="BP272" s="257"/>
      <c r="BQ272" s="257"/>
      <c r="BR272" s="258"/>
    </row>
    <row r="273" spans="1:72" s="240" customFormat="1" ht="27" hidden="1" customHeight="1">
      <c r="A273" s="207">
        <v>269</v>
      </c>
      <c r="B273" s="197" t="s">
        <v>4396</v>
      </c>
      <c r="C273" s="207" t="s">
        <v>4453</v>
      </c>
      <c r="D273" s="207">
        <v>1</v>
      </c>
      <c r="E273" s="207" t="s">
        <v>4398</v>
      </c>
      <c r="F273" s="214" t="s">
        <v>5593</v>
      </c>
      <c r="G273" s="207" t="s">
        <v>4400</v>
      </c>
      <c r="H273" s="207" t="s">
        <v>4401</v>
      </c>
      <c r="I273" s="217" t="s">
        <v>4402</v>
      </c>
      <c r="J273" s="242" t="s">
        <v>5597</v>
      </c>
      <c r="K273" s="215" t="s">
        <v>5598</v>
      </c>
      <c r="L273" s="215" t="s">
        <v>5599</v>
      </c>
      <c r="M273" s="207" t="s">
        <v>4405</v>
      </c>
      <c r="N273" s="207" t="s">
        <v>4406</v>
      </c>
      <c r="O273" s="202">
        <v>46002</v>
      </c>
      <c r="P273" s="202" t="s">
        <v>4407</v>
      </c>
      <c r="Q273" s="202">
        <v>45999</v>
      </c>
      <c r="R273" s="202">
        <v>46006</v>
      </c>
      <c r="S273" s="202">
        <v>46006</v>
      </c>
      <c r="T273" s="202">
        <v>46009</v>
      </c>
      <c r="U273" s="202" t="s">
        <v>4408</v>
      </c>
      <c r="V273" s="202" t="s">
        <v>4408</v>
      </c>
      <c r="W273" s="202">
        <v>46014</v>
      </c>
      <c r="X273" s="202">
        <v>46020</v>
      </c>
      <c r="Y273" s="202">
        <v>46017</v>
      </c>
      <c r="Z273" s="207"/>
      <c r="AA273" s="242" t="s">
        <v>5597</v>
      </c>
      <c r="AB273" s="215" t="s">
        <v>5598</v>
      </c>
      <c r="AC273" s="215" t="s">
        <v>5599</v>
      </c>
      <c r="AD273" s="241" t="s">
        <v>4402</v>
      </c>
      <c r="AE273" s="241" t="s">
        <v>4405</v>
      </c>
      <c r="AF273" s="242" t="s">
        <v>4409</v>
      </c>
      <c r="AG273" s="242" t="s">
        <v>4409</v>
      </c>
      <c r="AH273" s="241" t="s">
        <v>4410</v>
      </c>
      <c r="AI273" s="214" t="s">
        <v>4411</v>
      </c>
      <c r="AJ273" s="207"/>
      <c r="AK273" s="316">
        <v>45996</v>
      </c>
      <c r="AL273" s="316">
        <v>45996</v>
      </c>
      <c r="AM273" s="316">
        <v>45996</v>
      </c>
      <c r="AN273" s="316">
        <v>45996</v>
      </c>
      <c r="AO273" s="316">
        <v>45996</v>
      </c>
      <c r="AP273" s="316">
        <v>45996</v>
      </c>
      <c r="AQ273" s="314"/>
      <c r="AR273" s="315" t="str">
        <f t="shared" si="20"/>
        <v>FINALIZADO</v>
      </c>
      <c r="AS273" s="207"/>
      <c r="AT273" s="207"/>
      <c r="AU273" s="220"/>
      <c r="AV273" s="207"/>
      <c r="AW273" s="207"/>
      <c r="AX273" s="228"/>
      <c r="AY273" s="207"/>
      <c r="AZ273" s="202"/>
      <c r="BA273" s="219"/>
      <c r="BB273" s="207"/>
      <c r="BC273" s="202"/>
      <c r="BD273" s="208"/>
      <c r="BE273" s="239">
        <v>46017</v>
      </c>
      <c r="BF273" s="207" t="s">
        <v>4412</v>
      </c>
      <c r="BG273" s="229"/>
      <c r="BH273" s="321" t="str">
        <f t="shared" si="21"/>
        <v/>
      </c>
      <c r="BI273" s="98" t="str">
        <f t="shared" si="22"/>
        <v>AA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  <c r="BS273" s="223"/>
      <c r="BT273" s="223"/>
    </row>
    <row r="274" spans="1:72" s="240" customFormat="1" ht="27" hidden="1" customHeight="1">
      <c r="A274" s="197">
        <v>270</v>
      </c>
      <c r="B274" s="197" t="s">
        <v>4396</v>
      </c>
      <c r="C274" s="207" t="s">
        <v>4427</v>
      </c>
      <c r="D274" s="207">
        <v>1</v>
      </c>
      <c r="E274" s="207" t="s">
        <v>4398</v>
      </c>
      <c r="F274" s="214" t="s">
        <v>5600</v>
      </c>
      <c r="G274" s="207" t="s">
        <v>4400</v>
      </c>
      <c r="H274" s="207" t="s">
        <v>4401</v>
      </c>
      <c r="I274" s="217" t="s">
        <v>4402</v>
      </c>
      <c r="J274" s="242" t="s">
        <v>5601</v>
      </c>
      <c r="K274" s="215" t="s">
        <v>4398</v>
      </c>
      <c r="L274" s="215" t="s">
        <v>5602</v>
      </c>
      <c r="M274" s="207" t="s">
        <v>4405</v>
      </c>
      <c r="N274" s="207" t="s">
        <v>4442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5601</v>
      </c>
      <c r="AB274" s="214" t="s">
        <v>4398</v>
      </c>
      <c r="AC274" s="246" t="s">
        <v>5602</v>
      </c>
      <c r="AD274" s="197" t="s">
        <v>4402</v>
      </c>
      <c r="AE274" s="197" t="s">
        <v>4405</v>
      </c>
      <c r="AF274" s="243">
        <v>13143.47</v>
      </c>
      <c r="AG274" s="243">
        <f>AF274+30000</f>
        <v>43143.47</v>
      </c>
      <c r="AH274" s="197" t="s">
        <v>4433</v>
      </c>
      <c r="AI274" s="214" t="s">
        <v>4411</v>
      </c>
      <c r="AJ274" s="207">
        <v>149655427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4423</v>
      </c>
      <c r="AT274" s="207"/>
      <c r="AU274" s="220" t="s">
        <v>5603</v>
      </c>
      <c r="AV274" s="207" t="s">
        <v>4425</v>
      </c>
      <c r="AW274" s="207" t="s">
        <v>4425</v>
      </c>
      <c r="AX274" s="250" t="s">
        <v>4425</v>
      </c>
      <c r="AY274" s="207" t="s">
        <v>4425</v>
      </c>
      <c r="AZ274" s="202">
        <v>46118</v>
      </c>
      <c r="BA274" s="207" t="s">
        <v>4425</v>
      </c>
      <c r="BB274" s="207" t="s">
        <v>4425</v>
      </c>
      <c r="BC274" s="202">
        <v>46122</v>
      </c>
      <c r="BD274" s="227">
        <v>46122</v>
      </c>
      <c r="BE274" s="244" t="s">
        <v>4435</v>
      </c>
      <c r="BF274" s="245" t="s">
        <v>4436</v>
      </c>
      <c r="BG274" s="229" t="s">
        <v>4425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30" t="s">
        <v>4437</v>
      </c>
      <c r="BL274" s="230" t="s">
        <v>4437</v>
      </c>
      <c r="BM274" s="230" t="s">
        <v>4437</v>
      </c>
      <c r="BN274" s="207" t="s">
        <v>4425</v>
      </c>
      <c r="BO274" s="257" t="s">
        <v>4435</v>
      </c>
      <c r="BP274" s="265"/>
      <c r="BQ274" s="265"/>
      <c r="BR274" s="231"/>
    </row>
    <row r="275" spans="1:72" s="240" customFormat="1" ht="27" hidden="1" customHeight="1">
      <c r="A275" s="197">
        <v>271</v>
      </c>
      <c r="B275" s="197" t="s">
        <v>4396</v>
      </c>
      <c r="C275" s="207" t="s">
        <v>4427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5605</v>
      </c>
      <c r="K275" s="215" t="s">
        <v>5606</v>
      </c>
      <c r="L275" s="215" t="s">
        <v>5607</v>
      </c>
      <c r="M275" s="207" t="s">
        <v>4405</v>
      </c>
      <c r="N275" s="207" t="s">
        <v>4442</v>
      </c>
      <c r="O275" s="202" t="s">
        <v>4409</v>
      </c>
      <c r="P275" s="202" t="s">
        <v>4409</v>
      </c>
      <c r="Q275" s="202" t="s">
        <v>4409</v>
      </c>
      <c r="R275" s="202" t="s">
        <v>4409</v>
      </c>
      <c r="S275" s="202" t="s">
        <v>4409</v>
      </c>
      <c r="T275" s="202" t="s">
        <v>4409</v>
      </c>
      <c r="U275" s="202" t="s">
        <v>4409</v>
      </c>
      <c r="V275" s="202" t="s">
        <v>4409</v>
      </c>
      <c r="W275" s="202" t="s">
        <v>4409</v>
      </c>
      <c r="X275" s="202" t="s">
        <v>4409</v>
      </c>
      <c r="Y275" s="202"/>
      <c r="Z275" s="207"/>
      <c r="AA275" s="242" t="s">
        <v>5605</v>
      </c>
      <c r="AB275" s="246" t="s">
        <v>5606</v>
      </c>
      <c r="AC275" s="246" t="s">
        <v>5607</v>
      </c>
      <c r="AD275" s="207" t="s">
        <v>4402</v>
      </c>
      <c r="AE275" s="207" t="s">
        <v>4405</v>
      </c>
      <c r="AF275" s="218">
        <v>41381.94</v>
      </c>
      <c r="AG275" s="218">
        <v>60000</v>
      </c>
      <c r="AH275" s="207" t="s">
        <v>4433</v>
      </c>
      <c r="AI275" s="214" t="s">
        <v>4411</v>
      </c>
      <c r="AJ275" s="207">
        <v>148264579</v>
      </c>
      <c r="AK275" s="316">
        <v>46059</v>
      </c>
      <c r="AL275" s="316">
        <v>46059</v>
      </c>
      <c r="AM275" s="316">
        <v>46059</v>
      </c>
      <c r="AN275" s="316">
        <v>46059</v>
      </c>
      <c r="AO275" s="316">
        <v>46059</v>
      </c>
      <c r="AP275" s="316">
        <v>46059</v>
      </c>
      <c r="AQ275" s="314"/>
      <c r="AR275" s="315" t="str">
        <f t="shared" si="20"/>
        <v>FINALIZADO</v>
      </c>
      <c r="AS275" s="207" t="s">
        <v>4423</v>
      </c>
      <c r="AT275" s="207"/>
      <c r="AU275" s="220" t="s">
        <v>5608</v>
      </c>
      <c r="AV275" s="207" t="s">
        <v>4425</v>
      </c>
      <c r="AW275" s="207" t="s">
        <v>4425</v>
      </c>
      <c r="AX275" s="250" t="s">
        <v>4425</v>
      </c>
      <c r="AY275" s="160" t="s">
        <v>4425</v>
      </c>
      <c r="AZ275" s="267">
        <v>46118</v>
      </c>
      <c r="BA275" s="207" t="s">
        <v>4425</v>
      </c>
      <c r="BB275" s="207" t="s">
        <v>4425</v>
      </c>
      <c r="BC275" s="202">
        <v>46122</v>
      </c>
      <c r="BD275" s="227">
        <v>46122</v>
      </c>
      <c r="BE275" s="227" t="s">
        <v>4435</v>
      </c>
      <c r="BF275" s="228" t="s">
        <v>4436</v>
      </c>
      <c r="BG275" s="229" t="s">
        <v>4425</v>
      </c>
      <c r="BH275" s="321">
        <f t="shared" si="21"/>
        <v>63</v>
      </c>
      <c r="BI275" s="98" t="str">
        <f t="shared" si="22"/>
        <v>INDENIZAÇÃO</v>
      </c>
      <c r="BJ275" s="98" t="str">
        <f t="shared" si="23"/>
        <v>NÃO</v>
      </c>
      <c r="BK275" s="219" t="s">
        <v>4437</v>
      </c>
      <c r="BL275" s="219" t="s">
        <v>4437</v>
      </c>
      <c r="BM275" s="219" t="s">
        <v>4437</v>
      </c>
      <c r="BN275" s="207" t="s">
        <v>4425</v>
      </c>
      <c r="BO275" s="257" t="s">
        <v>4435</v>
      </c>
      <c r="BP275" s="257"/>
      <c r="BQ275" s="257"/>
      <c r="BR275" s="258"/>
      <c r="BS275" s="223"/>
      <c r="BT275" s="223"/>
    </row>
    <row r="276" spans="1:72" s="240" customFormat="1" ht="27" hidden="1" customHeight="1">
      <c r="A276" s="207">
        <v>272</v>
      </c>
      <c r="B276" s="197" t="s">
        <v>4396</v>
      </c>
      <c r="C276" s="207" t="s">
        <v>4453</v>
      </c>
      <c r="D276" s="207">
        <v>1</v>
      </c>
      <c r="E276" s="207" t="s">
        <v>4398</v>
      </c>
      <c r="F276" s="214" t="s">
        <v>5604</v>
      </c>
      <c r="G276" s="207" t="s">
        <v>4400</v>
      </c>
      <c r="H276" s="207" t="s">
        <v>4401</v>
      </c>
      <c r="I276" s="217" t="s">
        <v>4402</v>
      </c>
      <c r="J276" s="215" t="s">
        <v>5609</v>
      </c>
      <c r="K276" s="215" t="s">
        <v>4398</v>
      </c>
      <c r="L276" s="215" t="s">
        <v>5610</v>
      </c>
      <c r="M276" s="207" t="s">
        <v>4405</v>
      </c>
      <c r="N276" s="207" t="s">
        <v>4406</v>
      </c>
      <c r="O276" s="202">
        <v>45986</v>
      </c>
      <c r="P276" s="203" t="s">
        <v>4407</v>
      </c>
      <c r="Q276" s="203">
        <v>45985</v>
      </c>
      <c r="R276" s="203">
        <v>45986</v>
      </c>
      <c r="S276" s="203">
        <v>45987</v>
      </c>
      <c r="T276" s="203">
        <v>45992</v>
      </c>
      <c r="U276" s="202" t="s">
        <v>4408</v>
      </c>
      <c r="V276" s="202" t="s">
        <v>4408</v>
      </c>
      <c r="W276" s="202">
        <v>45999</v>
      </c>
      <c r="X276" s="202">
        <v>46001</v>
      </c>
      <c r="Y276" s="202">
        <v>46017</v>
      </c>
      <c r="Z276" s="207"/>
      <c r="AA276" s="215" t="s">
        <v>5609</v>
      </c>
      <c r="AB276" s="215" t="s">
        <v>4398</v>
      </c>
      <c r="AC276" s="215" t="s">
        <v>5610</v>
      </c>
      <c r="AD276" s="241" t="s">
        <v>4402</v>
      </c>
      <c r="AE276" s="241" t="s">
        <v>4405</v>
      </c>
      <c r="AF276" s="242" t="s">
        <v>4409</v>
      </c>
      <c r="AG276" s="242" t="s">
        <v>4409</v>
      </c>
      <c r="AH276" s="241" t="s">
        <v>4409</v>
      </c>
      <c r="AI276" s="214" t="s">
        <v>4411</v>
      </c>
      <c r="AJ276" s="207"/>
      <c r="AK276" s="316">
        <v>45979</v>
      </c>
      <c r="AL276" s="316">
        <v>45979</v>
      </c>
      <c r="AM276" s="316">
        <v>45979</v>
      </c>
      <c r="AN276" s="316">
        <v>45979</v>
      </c>
      <c r="AO276" s="316">
        <v>45979</v>
      </c>
      <c r="AP276" s="316">
        <v>45979</v>
      </c>
      <c r="AQ276" s="314"/>
      <c r="AR276" s="315" t="str">
        <f t="shared" si="20"/>
        <v>FINALIZADO</v>
      </c>
      <c r="AS276" s="207"/>
      <c r="AT276" s="207"/>
      <c r="AU276" s="220"/>
      <c r="AV276" s="207"/>
      <c r="AW276" s="207"/>
      <c r="AX276" s="228"/>
      <c r="AY276" s="160"/>
      <c r="AZ276" s="267"/>
      <c r="BA276" s="219"/>
      <c r="BB276" s="207"/>
      <c r="BC276" s="202"/>
      <c r="BD276" s="208"/>
      <c r="BE276" s="239">
        <v>46017</v>
      </c>
      <c r="BF276" s="207" t="s">
        <v>4412</v>
      </c>
      <c r="BG276" s="229"/>
      <c r="BH276" s="321" t="str">
        <f t="shared" si="21"/>
        <v/>
      </c>
      <c r="BI276" s="98" t="str">
        <f t="shared" si="22"/>
        <v>INDENIZAÇÃO</v>
      </c>
      <c r="BJ276" s="98" t="str">
        <f t="shared" si="23"/>
        <v>NÃO</v>
      </c>
      <c r="BK276" s="230"/>
      <c r="BL276" s="230"/>
      <c r="BM276" s="230"/>
      <c r="BN276" s="230"/>
      <c r="BO276" s="230"/>
      <c r="BP276" s="230"/>
      <c r="BQ276" s="230"/>
      <c r="BR276" s="234"/>
    </row>
    <row r="277" spans="1:72" s="240" customFormat="1" ht="27" hidden="1" customHeight="1">
      <c r="A277" s="207">
        <v>273</v>
      </c>
      <c r="B277" s="197" t="s">
        <v>4396</v>
      </c>
      <c r="C277" s="207" t="s">
        <v>4453</v>
      </c>
      <c r="D277" s="207">
        <v>1</v>
      </c>
      <c r="E277" s="207" t="s">
        <v>4398</v>
      </c>
      <c r="F277" s="214" t="s">
        <v>5611</v>
      </c>
      <c r="G277" s="207" t="s">
        <v>4400</v>
      </c>
      <c r="H277" s="207" t="s">
        <v>4401</v>
      </c>
      <c r="I277" s="217" t="s">
        <v>4536</v>
      </c>
      <c r="J277" s="242" t="s">
        <v>5612</v>
      </c>
      <c r="K277" s="215" t="s">
        <v>4440</v>
      </c>
      <c r="L277" s="215" t="s">
        <v>5613</v>
      </c>
      <c r="M277" s="207" t="s">
        <v>4405</v>
      </c>
      <c r="N277" s="207" t="s">
        <v>4406</v>
      </c>
      <c r="O277" s="203">
        <v>46045</v>
      </c>
      <c r="P277" s="202" t="s">
        <v>4407</v>
      </c>
      <c r="Q277" s="203">
        <v>46045</v>
      </c>
      <c r="R277" s="203">
        <v>46045</v>
      </c>
      <c r="S277" s="203">
        <v>46048</v>
      </c>
      <c r="T277" s="203">
        <v>46059</v>
      </c>
      <c r="U277" s="202" t="s">
        <v>4408</v>
      </c>
      <c r="V277" s="202" t="s">
        <v>4408</v>
      </c>
      <c r="W277" s="203">
        <v>46073</v>
      </c>
      <c r="X277" s="202">
        <v>46078</v>
      </c>
      <c r="Y277" s="202"/>
      <c r="Z277" s="207"/>
      <c r="AA277" s="242" t="s">
        <v>5612</v>
      </c>
      <c r="AB277" s="215" t="s">
        <v>4440</v>
      </c>
      <c r="AC277" s="215" t="s">
        <v>5613</v>
      </c>
      <c r="AD277" s="199" t="s">
        <v>4402</v>
      </c>
      <c r="AE277" s="197" t="s">
        <v>4405</v>
      </c>
      <c r="AF277" s="243" t="s">
        <v>4409</v>
      </c>
      <c r="AG277" s="243" t="s">
        <v>4409</v>
      </c>
      <c r="AH277" s="197" t="s">
        <v>4410</v>
      </c>
      <c r="AI277" s="214" t="s">
        <v>4411</v>
      </c>
      <c r="AJ277" s="207"/>
      <c r="AK277" s="316">
        <v>46041</v>
      </c>
      <c r="AL277" s="316">
        <v>46041</v>
      </c>
      <c r="AM277" s="316">
        <v>46041</v>
      </c>
      <c r="AN277" s="316">
        <v>46041</v>
      </c>
      <c r="AO277" s="316">
        <v>46041</v>
      </c>
      <c r="AP277" s="316">
        <v>46041</v>
      </c>
      <c r="AQ277" s="314"/>
      <c r="AR277" s="315" t="str">
        <f t="shared" si="20"/>
        <v>FINALIZADO</v>
      </c>
      <c r="AS277" s="207"/>
      <c r="AT277" s="207"/>
      <c r="AU277" s="220"/>
      <c r="AV277" s="207"/>
      <c r="AW277" s="207"/>
      <c r="AX277" s="228"/>
      <c r="AY277" s="207"/>
      <c r="AZ277" s="202"/>
      <c r="BA277" s="219"/>
      <c r="BB277" s="207"/>
      <c r="BC277" s="202"/>
      <c r="BD277" s="208"/>
      <c r="BE277" s="209">
        <v>46017</v>
      </c>
      <c r="BF277" s="197" t="s">
        <v>4412</v>
      </c>
      <c r="BG277" s="229"/>
      <c r="BH277" s="321" t="str">
        <f t="shared" si="21"/>
        <v/>
      </c>
      <c r="BI277" s="98" t="str">
        <f t="shared" si="22"/>
        <v>AA</v>
      </c>
      <c r="BJ277" s="98" t="str">
        <f t="shared" si="23"/>
        <v>NÃO</v>
      </c>
      <c r="BK277" s="230"/>
      <c r="BL277" s="230"/>
      <c r="BM277" s="230"/>
      <c r="BN277" s="230"/>
      <c r="BO277" s="230"/>
      <c r="BP277" s="230"/>
      <c r="BQ277" s="230"/>
      <c r="BR277" s="234"/>
    </row>
    <row r="278" spans="1:72" s="240" customFormat="1" ht="27" hidden="1" customHeight="1">
      <c r="A278" s="207">
        <v>274</v>
      </c>
      <c r="B278" s="197" t="s">
        <v>4396</v>
      </c>
      <c r="C278" s="207" t="s">
        <v>4427</v>
      </c>
      <c r="D278" s="207">
        <v>1</v>
      </c>
      <c r="E278" s="207" t="s">
        <v>4398</v>
      </c>
      <c r="F278" s="214" t="s">
        <v>5614</v>
      </c>
      <c r="G278" s="207" t="s">
        <v>4400</v>
      </c>
      <c r="H278" s="207" t="s">
        <v>4401</v>
      </c>
      <c r="I278" s="217" t="s">
        <v>4402</v>
      </c>
      <c r="J278" s="215" t="s">
        <v>5615</v>
      </c>
      <c r="K278" s="215" t="s">
        <v>5616</v>
      </c>
      <c r="L278" s="215" t="s">
        <v>5617</v>
      </c>
      <c r="M278" s="207" t="s">
        <v>4405</v>
      </c>
      <c r="N278" s="207" t="s">
        <v>4442</v>
      </c>
      <c r="O278" s="202" t="s">
        <v>4409</v>
      </c>
      <c r="P278" s="202" t="s">
        <v>4409</v>
      </c>
      <c r="Q278" s="202" t="s">
        <v>4409</v>
      </c>
      <c r="R278" s="202" t="s">
        <v>4409</v>
      </c>
      <c r="S278" s="202" t="s">
        <v>4409</v>
      </c>
      <c r="T278" s="202" t="s">
        <v>4409</v>
      </c>
      <c r="U278" s="202" t="s">
        <v>4409</v>
      </c>
      <c r="V278" s="202" t="s">
        <v>4409</v>
      </c>
      <c r="W278" s="202" t="s">
        <v>4409</v>
      </c>
      <c r="X278" s="202" t="s">
        <v>4409</v>
      </c>
      <c r="Y278" s="202"/>
      <c r="Z278" s="202"/>
      <c r="AA278" s="215" t="s">
        <v>5615</v>
      </c>
      <c r="AB278" s="214" t="s">
        <v>5616</v>
      </c>
      <c r="AC278" s="214" t="s">
        <v>5617</v>
      </c>
      <c r="AD278" s="207" t="s">
        <v>4402</v>
      </c>
      <c r="AE278" s="207" t="s">
        <v>4405</v>
      </c>
      <c r="AF278" s="218">
        <v>20751.849999999999</v>
      </c>
      <c r="AG278" s="218">
        <f>AF278+30000</f>
        <v>50751.85</v>
      </c>
      <c r="AH278" s="207" t="s">
        <v>4433</v>
      </c>
      <c r="AI278" s="214" t="s">
        <v>4411</v>
      </c>
      <c r="AJ278" s="207">
        <v>148264683</v>
      </c>
      <c r="AK278" s="316">
        <v>46045</v>
      </c>
      <c r="AL278" s="316">
        <v>46045</v>
      </c>
      <c r="AM278" s="316">
        <v>46045</v>
      </c>
      <c r="AN278" s="316">
        <v>46045</v>
      </c>
      <c r="AO278" s="316">
        <v>46045</v>
      </c>
      <c r="AP278" s="316">
        <v>46045</v>
      </c>
      <c r="AQ278" s="314"/>
      <c r="AR278" s="315" t="str">
        <f t="shared" si="20"/>
        <v>FINALIZADO</v>
      </c>
      <c r="AS278" s="207" t="s">
        <v>4423</v>
      </c>
      <c r="AT278" s="207"/>
      <c r="AU278" s="220" t="s">
        <v>5618</v>
      </c>
      <c r="AV278" s="207" t="s">
        <v>4425</v>
      </c>
      <c r="AW278" s="207" t="s">
        <v>4425</v>
      </c>
      <c r="AX278" s="250" t="s">
        <v>4425</v>
      </c>
      <c r="AY278" s="207" t="s">
        <v>4425</v>
      </c>
      <c r="AZ278" s="202">
        <v>46111</v>
      </c>
      <c r="BA278" s="207" t="s">
        <v>4425</v>
      </c>
      <c r="BB278" s="207" t="s">
        <v>4425</v>
      </c>
      <c r="BC278" s="202">
        <v>46114</v>
      </c>
      <c r="BD278" s="227">
        <v>46114</v>
      </c>
      <c r="BE278" s="244" t="s">
        <v>4435</v>
      </c>
      <c r="BF278" s="228" t="s">
        <v>4436</v>
      </c>
      <c r="BG278" s="229" t="s">
        <v>4425</v>
      </c>
      <c r="BH278" s="321">
        <f t="shared" si="21"/>
        <v>69</v>
      </c>
      <c r="BI278" s="98" t="str">
        <f t="shared" si="22"/>
        <v>INDENIZAÇÃO</v>
      </c>
      <c r="BJ278" s="98" t="str">
        <f t="shared" si="23"/>
        <v>NÃO</v>
      </c>
      <c r="BK278" s="230" t="s">
        <v>4437</v>
      </c>
      <c r="BL278" s="230" t="s">
        <v>4437</v>
      </c>
      <c r="BM278" s="230" t="s">
        <v>4437</v>
      </c>
      <c r="BN278" s="207" t="s">
        <v>4425</v>
      </c>
      <c r="BO278" s="257" t="s">
        <v>4435</v>
      </c>
      <c r="BP278" s="265"/>
      <c r="BQ278" s="265"/>
      <c r="BR278" s="231"/>
    </row>
    <row r="279" spans="1:72" s="240" customFormat="1" ht="27" hidden="1" customHeight="1">
      <c r="A279" s="197">
        <v>275</v>
      </c>
      <c r="B279" s="197" t="s">
        <v>4396</v>
      </c>
      <c r="C279" s="207" t="s">
        <v>4453</v>
      </c>
      <c r="D279" s="207">
        <v>1</v>
      </c>
      <c r="E279" s="207" t="s">
        <v>4398</v>
      </c>
      <c r="F279" s="214" t="s">
        <v>5614</v>
      </c>
      <c r="G279" s="207" t="s">
        <v>4400</v>
      </c>
      <c r="H279" s="207" t="s">
        <v>4401</v>
      </c>
      <c r="I279" s="217" t="s">
        <v>4402</v>
      </c>
      <c r="J279" s="215" t="s">
        <v>5619</v>
      </c>
      <c r="K279" s="215" t="s">
        <v>4398</v>
      </c>
      <c r="L279" s="215" t="s">
        <v>5620</v>
      </c>
      <c r="M279" s="207" t="s">
        <v>4405</v>
      </c>
      <c r="N279" s="207" t="s">
        <v>4406</v>
      </c>
      <c r="O279" s="202">
        <v>46002</v>
      </c>
      <c r="P279" s="202" t="s">
        <v>4407</v>
      </c>
      <c r="Q279" s="202">
        <v>45999</v>
      </c>
      <c r="R279" s="202">
        <v>46006</v>
      </c>
      <c r="S279" s="202">
        <v>46006</v>
      </c>
      <c r="T279" s="202">
        <v>46009</v>
      </c>
      <c r="U279" s="202" t="s">
        <v>4408</v>
      </c>
      <c r="V279" s="202" t="s">
        <v>4408</v>
      </c>
      <c r="W279" s="202">
        <v>46014</v>
      </c>
      <c r="X279" s="202">
        <v>46017</v>
      </c>
      <c r="Y279" s="202">
        <v>46017</v>
      </c>
      <c r="Z279" s="207"/>
      <c r="AA279" s="215" t="s">
        <v>5619</v>
      </c>
      <c r="AB279" s="215" t="s">
        <v>4398</v>
      </c>
      <c r="AC279" s="215" t="s">
        <v>5620</v>
      </c>
      <c r="AD279" s="241" t="s">
        <v>4402</v>
      </c>
      <c r="AE279" s="241" t="s">
        <v>4405</v>
      </c>
      <c r="AF279" s="242" t="s">
        <v>4409</v>
      </c>
      <c r="AG279" s="242" t="s">
        <v>4409</v>
      </c>
      <c r="AH279" s="241" t="s">
        <v>4410</v>
      </c>
      <c r="AI279" s="214" t="s">
        <v>4411</v>
      </c>
      <c r="AJ279" s="207"/>
      <c r="AK279" s="316">
        <v>45988</v>
      </c>
      <c r="AL279" s="316">
        <v>45988</v>
      </c>
      <c r="AM279" s="316">
        <v>45988</v>
      </c>
      <c r="AN279" s="316">
        <v>45988</v>
      </c>
      <c r="AO279" s="316">
        <v>45988</v>
      </c>
      <c r="AP279" s="316">
        <v>45988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39">
        <v>46017</v>
      </c>
      <c r="BF279" s="20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>
      <c r="A280" s="197">
        <v>276</v>
      </c>
      <c r="B280" s="197" t="s">
        <v>4396</v>
      </c>
      <c r="C280" s="207" t="s">
        <v>4427</v>
      </c>
      <c r="D280" s="207">
        <v>1</v>
      </c>
      <c r="E280" s="207" t="s">
        <v>4398</v>
      </c>
      <c r="F280" s="214" t="s">
        <v>5621</v>
      </c>
      <c r="G280" s="207" t="s">
        <v>4400</v>
      </c>
      <c r="H280" s="207" t="s">
        <v>4401</v>
      </c>
      <c r="I280" s="217" t="s">
        <v>4402</v>
      </c>
      <c r="J280" s="215" t="s">
        <v>5622</v>
      </c>
      <c r="K280" s="215" t="s">
        <v>4440</v>
      </c>
      <c r="L280" s="215" t="s">
        <v>5623</v>
      </c>
      <c r="M280" s="207" t="s">
        <v>4405</v>
      </c>
      <c r="N280" s="207"/>
      <c r="O280" s="202" t="s">
        <v>4417</v>
      </c>
      <c r="P280" s="202" t="s">
        <v>4407</v>
      </c>
      <c r="Q280" s="202"/>
      <c r="R280" s="202"/>
      <c r="S280" s="202"/>
      <c r="T280" s="202"/>
      <c r="U280" s="202"/>
      <c r="V280" s="202"/>
      <c r="W280" s="202"/>
      <c r="X280" s="202"/>
      <c r="Y280" s="202"/>
      <c r="Z280" s="202"/>
      <c r="AA280" s="215" t="s">
        <v>5622</v>
      </c>
      <c r="AB280" s="215" t="s">
        <v>4440</v>
      </c>
      <c r="AC280" s="215" t="s">
        <v>5623</v>
      </c>
      <c r="AD280" s="207" t="s">
        <v>4402</v>
      </c>
      <c r="AE280" s="207" t="s">
        <v>4405</v>
      </c>
      <c r="AF280" s="243"/>
      <c r="AG280" s="243"/>
      <c r="AH280" s="197"/>
      <c r="AI280" s="214" t="s">
        <v>4411</v>
      </c>
      <c r="AJ280" s="207"/>
      <c r="AK280" s="316"/>
      <c r="AL280" s="316"/>
      <c r="AM280" s="316"/>
      <c r="AN280" s="316"/>
      <c r="AO280" s="316"/>
      <c r="AP280" s="316"/>
      <c r="AQ280" s="314"/>
      <c r="AR280" s="315" t="str">
        <f t="shared" si="20"/>
        <v/>
      </c>
      <c r="AS280" s="207"/>
      <c r="AT280" s="207"/>
      <c r="AU280" s="220"/>
      <c r="AV280" s="207"/>
      <c r="AW280" s="207"/>
      <c r="AX280" s="228"/>
      <c r="AY280" s="207"/>
      <c r="AZ280" s="202"/>
      <c r="BA280" s="207"/>
      <c r="BB280" s="207"/>
      <c r="BC280" s="202"/>
      <c r="BD280" s="208"/>
      <c r="BE280" s="244"/>
      <c r="BF280" s="245"/>
      <c r="BG280" s="229"/>
      <c r="BH280" s="321" t="str">
        <f t="shared" si="21"/>
        <v/>
      </c>
      <c r="BI280" s="98" t="str">
        <f t="shared" si="22"/>
        <v>INDENIZAÇÃO</v>
      </c>
      <c r="BJ280" s="98" t="str">
        <f t="shared" si="23"/>
        <v>NÃO</v>
      </c>
      <c r="BK280" s="230"/>
      <c r="BL280" s="230"/>
      <c r="BM280" s="230"/>
      <c r="BN280" s="230"/>
      <c r="BO280" s="230"/>
      <c r="BP280" s="230"/>
      <c r="BQ280" s="230"/>
      <c r="BR280" s="234"/>
    </row>
    <row r="281" spans="1:72" s="240" customFormat="1" ht="27" hidden="1" customHeight="1">
      <c r="A281" s="207">
        <v>277</v>
      </c>
      <c r="B281" s="197" t="s">
        <v>4396</v>
      </c>
      <c r="C281" s="207" t="s">
        <v>4427</v>
      </c>
      <c r="D281" s="207">
        <v>1</v>
      </c>
      <c r="E281" s="207" t="s">
        <v>4398</v>
      </c>
      <c r="F281" s="214" t="s">
        <v>5624</v>
      </c>
      <c r="G281" s="207" t="s">
        <v>4400</v>
      </c>
      <c r="H281" s="207" t="s">
        <v>4401</v>
      </c>
      <c r="I281" s="217" t="s">
        <v>4402</v>
      </c>
      <c r="J281" s="215" t="s">
        <v>5625</v>
      </c>
      <c r="K281" s="215" t="s">
        <v>5626</v>
      </c>
      <c r="L281" s="215" t="s">
        <v>5627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/>
      <c r="Z281" s="207"/>
      <c r="AA281" s="215" t="s">
        <v>5625</v>
      </c>
      <c r="AB281" s="215" t="s">
        <v>5626</v>
      </c>
      <c r="AC281" s="215" t="s">
        <v>5627</v>
      </c>
      <c r="AD281" s="217" t="s">
        <v>4402</v>
      </c>
      <c r="AE281" s="207" t="s">
        <v>4405</v>
      </c>
      <c r="AF281" s="218" t="s">
        <v>4409</v>
      </c>
      <c r="AG281" s="218" t="s">
        <v>4409</v>
      </c>
      <c r="AH281" s="207" t="s">
        <v>4410</v>
      </c>
      <c r="AI281" s="214" t="s">
        <v>4411</v>
      </c>
      <c r="AJ281" s="207"/>
      <c r="AK281" s="316">
        <v>45996</v>
      </c>
      <c r="AL281" s="316">
        <v>45996</v>
      </c>
      <c r="AM281" s="316">
        <v>45996</v>
      </c>
      <c r="AN281" s="316">
        <v>45996</v>
      </c>
      <c r="AO281" s="316">
        <v>45996</v>
      </c>
      <c r="AP281" s="316">
        <v>45996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02"/>
      <c r="BF281" s="207"/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207">
        <v>278</v>
      </c>
      <c r="B282" s="197" t="s">
        <v>4396</v>
      </c>
      <c r="C282" s="207" t="s">
        <v>4453</v>
      </c>
      <c r="D282" s="207">
        <v>1</v>
      </c>
      <c r="E282" s="207" t="s">
        <v>4398</v>
      </c>
      <c r="F282" s="214" t="s">
        <v>5624</v>
      </c>
      <c r="G282" s="207" t="s">
        <v>4400</v>
      </c>
      <c r="H282" s="207" t="s">
        <v>4401</v>
      </c>
      <c r="I282" s="217" t="s">
        <v>4402</v>
      </c>
      <c r="J282" s="242" t="s">
        <v>5628</v>
      </c>
      <c r="K282" s="215" t="s">
        <v>5629</v>
      </c>
      <c r="L282" s="215" t="s">
        <v>5630</v>
      </c>
      <c r="M282" s="207" t="s">
        <v>4405</v>
      </c>
      <c r="N282" s="207" t="s">
        <v>4406</v>
      </c>
      <c r="O282" s="202">
        <v>45986</v>
      </c>
      <c r="P282" s="203" t="s">
        <v>4407</v>
      </c>
      <c r="Q282" s="203">
        <v>45985</v>
      </c>
      <c r="R282" s="203">
        <v>45986</v>
      </c>
      <c r="S282" s="203">
        <v>45987</v>
      </c>
      <c r="T282" s="203">
        <v>45992</v>
      </c>
      <c r="U282" s="202" t="s">
        <v>4408</v>
      </c>
      <c r="V282" s="202" t="s">
        <v>4408</v>
      </c>
      <c r="W282" s="202">
        <v>45999</v>
      </c>
      <c r="X282" s="202">
        <v>46001</v>
      </c>
      <c r="Y282" s="202">
        <v>46017</v>
      </c>
      <c r="Z282" s="207"/>
      <c r="AA282" s="242" t="s">
        <v>5628</v>
      </c>
      <c r="AB282" s="215" t="s">
        <v>5629</v>
      </c>
      <c r="AC282" s="215" t="s">
        <v>5630</v>
      </c>
      <c r="AD282" s="241" t="s">
        <v>4402</v>
      </c>
      <c r="AE282" s="241" t="s">
        <v>4405</v>
      </c>
      <c r="AF282" s="242" t="s">
        <v>4409</v>
      </c>
      <c r="AG282" s="242" t="s">
        <v>4409</v>
      </c>
      <c r="AH282" s="241" t="s">
        <v>4410</v>
      </c>
      <c r="AI282" s="214" t="s">
        <v>4411</v>
      </c>
      <c r="AJ282" s="207"/>
      <c r="AK282" s="316">
        <v>45979</v>
      </c>
      <c r="AL282" s="316">
        <v>45979</v>
      </c>
      <c r="AM282" s="316">
        <v>45979</v>
      </c>
      <c r="AN282" s="316">
        <v>45979</v>
      </c>
      <c r="AO282" s="316">
        <v>45979</v>
      </c>
      <c r="AP282" s="316">
        <v>45979</v>
      </c>
      <c r="AQ282" s="314"/>
      <c r="AR282" s="315" t="str">
        <f t="shared" si="20"/>
        <v>FINALIZADO</v>
      </c>
      <c r="AS282" s="207"/>
      <c r="AT282" s="207"/>
      <c r="AU282" s="220"/>
      <c r="AV282" s="207"/>
      <c r="AW282" s="207"/>
      <c r="AX282" s="228"/>
      <c r="AY282" s="207"/>
      <c r="AZ282" s="202"/>
      <c r="BA282" s="219"/>
      <c r="BB282" s="207"/>
      <c r="BC282" s="202"/>
      <c r="BD282" s="208"/>
      <c r="BE282" s="239">
        <v>46017</v>
      </c>
      <c r="BF282" s="207" t="s">
        <v>4412</v>
      </c>
      <c r="BG282" s="229"/>
      <c r="BH282" s="321" t="str">
        <f t="shared" si="21"/>
        <v/>
      </c>
      <c r="BI282" s="98" t="str">
        <f t="shared" si="22"/>
        <v>AA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279</v>
      </c>
      <c r="B283" s="197" t="s">
        <v>4396</v>
      </c>
      <c r="C283" s="207" t="s">
        <v>4427</v>
      </c>
      <c r="D283" s="207">
        <v>1</v>
      </c>
      <c r="E283" s="207" t="s">
        <v>4398</v>
      </c>
      <c r="F283" s="214" t="s">
        <v>5631</v>
      </c>
      <c r="G283" s="207" t="s">
        <v>4400</v>
      </c>
      <c r="H283" s="207" t="s">
        <v>4401</v>
      </c>
      <c r="I283" s="217" t="s">
        <v>4402</v>
      </c>
      <c r="J283" s="215" t="s">
        <v>5632</v>
      </c>
      <c r="K283" s="215" t="s">
        <v>5633</v>
      </c>
      <c r="L283" s="215" t="s">
        <v>5634</v>
      </c>
      <c r="M283" s="207" t="s">
        <v>4405</v>
      </c>
      <c r="N283" s="207" t="s">
        <v>4442</v>
      </c>
      <c r="O283" s="202" t="s">
        <v>4409</v>
      </c>
      <c r="P283" s="202" t="s">
        <v>4409</v>
      </c>
      <c r="Q283" s="202" t="s">
        <v>4409</v>
      </c>
      <c r="R283" s="202" t="s">
        <v>4409</v>
      </c>
      <c r="S283" s="202" t="s">
        <v>4409</v>
      </c>
      <c r="T283" s="202" t="s">
        <v>4409</v>
      </c>
      <c r="U283" s="202" t="s">
        <v>4409</v>
      </c>
      <c r="V283" s="202" t="s">
        <v>4409</v>
      </c>
      <c r="W283" s="202" t="s">
        <v>4409</v>
      </c>
      <c r="X283" s="202" t="s">
        <v>4409</v>
      </c>
      <c r="Y283" s="202"/>
      <c r="Z283" s="207"/>
      <c r="AA283" s="215" t="s">
        <v>5632</v>
      </c>
      <c r="AB283" s="214" t="s">
        <v>5633</v>
      </c>
      <c r="AC283" s="214" t="s">
        <v>5634</v>
      </c>
      <c r="AD283" s="197" t="s">
        <v>4402</v>
      </c>
      <c r="AE283" s="197" t="s">
        <v>4405</v>
      </c>
      <c r="AF283" s="243">
        <v>43498.5</v>
      </c>
      <c r="AG283" s="243">
        <v>60000</v>
      </c>
      <c r="AH283" s="197" t="s">
        <v>4433</v>
      </c>
      <c r="AI283" s="214" t="s">
        <v>4411</v>
      </c>
      <c r="AJ283" s="207">
        <v>148264803</v>
      </c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 t="s">
        <v>4423</v>
      </c>
      <c r="AT283" s="207"/>
      <c r="AU283" s="220" t="s">
        <v>5635</v>
      </c>
      <c r="AV283" s="207" t="s">
        <v>4425</v>
      </c>
      <c r="AW283" s="207" t="s">
        <v>4425</v>
      </c>
      <c r="AX283" s="250" t="s">
        <v>4425</v>
      </c>
      <c r="AY283" s="207" t="s">
        <v>4425</v>
      </c>
      <c r="AZ283" s="202">
        <v>46071</v>
      </c>
      <c r="BA283" s="219" t="s">
        <v>4425</v>
      </c>
      <c r="BB283" s="219" t="s">
        <v>4425</v>
      </c>
      <c r="BC283" s="239">
        <v>46093</v>
      </c>
      <c r="BD283" s="227">
        <v>46093</v>
      </c>
      <c r="BE283" s="244" t="s">
        <v>4435</v>
      </c>
      <c r="BF283" s="245" t="s">
        <v>4436</v>
      </c>
      <c r="BG283" s="229" t="s">
        <v>4425</v>
      </c>
      <c r="BH283" s="321">
        <f t="shared" si="21"/>
        <v>97</v>
      </c>
      <c r="BI283" s="98" t="str">
        <f t="shared" si="22"/>
        <v>INDENIZAÇÃO</v>
      </c>
      <c r="BJ283" s="98" t="str">
        <f t="shared" si="23"/>
        <v>NÃO</v>
      </c>
      <c r="BK283" s="230" t="s">
        <v>4437</v>
      </c>
      <c r="BL283" s="230" t="s">
        <v>4437</v>
      </c>
      <c r="BM283" s="230" t="s">
        <v>4437</v>
      </c>
      <c r="BN283" s="207" t="s">
        <v>4425</v>
      </c>
      <c r="BO283" s="257" t="s">
        <v>4435</v>
      </c>
      <c r="BP283" s="265"/>
      <c r="BQ283" s="265"/>
      <c r="BR283" s="231"/>
    </row>
    <row r="284" spans="1:72" s="240" customFormat="1" ht="27" hidden="1" customHeight="1">
      <c r="A284" s="197">
        <v>280</v>
      </c>
      <c r="B284" s="197" t="s">
        <v>4396</v>
      </c>
      <c r="C284" s="207" t="s">
        <v>4453</v>
      </c>
      <c r="D284" s="207">
        <v>1</v>
      </c>
      <c r="E284" s="207" t="s">
        <v>4398</v>
      </c>
      <c r="F284" s="214" t="s">
        <v>5631</v>
      </c>
      <c r="G284" s="207" t="s">
        <v>4400</v>
      </c>
      <c r="H284" s="207" t="s">
        <v>4401</v>
      </c>
      <c r="I284" s="217" t="s">
        <v>4402</v>
      </c>
      <c r="J284" s="215" t="s">
        <v>5636</v>
      </c>
      <c r="K284" s="215" t="s">
        <v>5637</v>
      </c>
      <c r="L284" s="215" t="s">
        <v>5638</v>
      </c>
      <c r="M284" s="207" t="s">
        <v>4405</v>
      </c>
      <c r="N284" s="207" t="s">
        <v>4406</v>
      </c>
      <c r="O284" s="202">
        <v>46106</v>
      </c>
      <c r="P284" s="202" t="s">
        <v>4407</v>
      </c>
      <c r="Q284" s="202">
        <v>46106</v>
      </c>
      <c r="R284" s="202">
        <v>46107</v>
      </c>
      <c r="S284" s="202">
        <v>46111</v>
      </c>
      <c r="T284" s="202">
        <v>46087</v>
      </c>
      <c r="U284" s="202" t="s">
        <v>4408</v>
      </c>
      <c r="V284" s="202" t="s">
        <v>4408</v>
      </c>
      <c r="W284" s="202">
        <v>46132</v>
      </c>
      <c r="X284" s="202">
        <v>46129</v>
      </c>
      <c r="Y284" s="202">
        <v>46017</v>
      </c>
      <c r="Z284" s="207"/>
      <c r="AA284" s="215" t="s">
        <v>5636</v>
      </c>
      <c r="AB284" s="215" t="s">
        <v>5637</v>
      </c>
      <c r="AC284" s="215" t="s">
        <v>5638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46050</v>
      </c>
      <c r="AL284" s="316">
        <v>46050</v>
      </c>
      <c r="AM284" s="316">
        <v>46050</v>
      </c>
      <c r="AN284" s="316">
        <v>46050</v>
      </c>
      <c r="AO284" s="316">
        <v>46050</v>
      </c>
      <c r="AP284" s="316">
        <v>46050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28"/>
      <c r="AZ284" s="227"/>
      <c r="BA284" s="219"/>
      <c r="BB284" s="228"/>
      <c r="BC284" s="228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>
      <c r="A285" s="197">
        <v>281</v>
      </c>
      <c r="B285" s="197" t="s">
        <v>4396</v>
      </c>
      <c r="C285" s="207" t="s">
        <v>4427</v>
      </c>
      <c r="D285" s="207">
        <v>1</v>
      </c>
      <c r="E285" s="207" t="s">
        <v>4398</v>
      </c>
      <c r="F285" s="214" t="s">
        <v>5639</v>
      </c>
      <c r="G285" s="207" t="s">
        <v>4400</v>
      </c>
      <c r="H285" s="207" t="s">
        <v>4401</v>
      </c>
      <c r="I285" s="217" t="s">
        <v>4402</v>
      </c>
      <c r="J285" s="215" t="s">
        <v>5640</v>
      </c>
      <c r="K285" s="215" t="s">
        <v>4398</v>
      </c>
      <c r="L285" s="215" t="s">
        <v>5641</v>
      </c>
      <c r="M285" s="207" t="s">
        <v>4405</v>
      </c>
      <c r="N285" s="207" t="s">
        <v>4442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5640</v>
      </c>
      <c r="AB285" s="214" t="s">
        <v>4398</v>
      </c>
      <c r="AC285" s="214" t="s">
        <v>5641</v>
      </c>
      <c r="AD285" s="197" t="s">
        <v>4402</v>
      </c>
      <c r="AE285" s="197" t="s">
        <v>4405</v>
      </c>
      <c r="AF285" s="218">
        <v>63448.61</v>
      </c>
      <c r="AG285" s="218">
        <v>63448.61</v>
      </c>
      <c r="AH285" s="207" t="s">
        <v>4433</v>
      </c>
      <c r="AI285" s="214" t="s">
        <v>4411</v>
      </c>
      <c r="AJ285" s="207">
        <v>151379243</v>
      </c>
      <c r="AK285" s="316">
        <v>46077</v>
      </c>
      <c r="AL285" s="316">
        <v>46077</v>
      </c>
      <c r="AM285" s="316">
        <v>46077</v>
      </c>
      <c r="AN285" s="316">
        <v>46077</v>
      </c>
      <c r="AO285" s="316">
        <v>46077</v>
      </c>
      <c r="AP285" s="316">
        <v>46077</v>
      </c>
      <c r="AQ285" s="314"/>
      <c r="AR285" s="315" t="str">
        <f t="shared" si="20"/>
        <v>FINALIZADO</v>
      </c>
      <c r="AS285" s="207" t="s">
        <v>4423</v>
      </c>
      <c r="AT285" s="207"/>
      <c r="AU285" s="220" t="s">
        <v>5642</v>
      </c>
      <c r="AV285" s="207" t="s">
        <v>4425</v>
      </c>
      <c r="AW285" s="207" t="s">
        <v>4425</v>
      </c>
      <c r="AX285" s="250" t="s">
        <v>4425</v>
      </c>
      <c r="AY285" s="207" t="s">
        <v>4425</v>
      </c>
      <c r="AZ285" s="202">
        <v>46111</v>
      </c>
      <c r="BA285" s="207" t="s">
        <v>4425</v>
      </c>
      <c r="BB285" s="207" t="s">
        <v>4425</v>
      </c>
      <c r="BC285" s="239">
        <v>46118</v>
      </c>
      <c r="BD285" s="227">
        <v>46118</v>
      </c>
      <c r="BE285" s="244" t="s">
        <v>4435</v>
      </c>
      <c r="BF285" s="245" t="s">
        <v>4436</v>
      </c>
      <c r="BG285" s="229" t="s">
        <v>4425</v>
      </c>
      <c r="BH285" s="321">
        <f t="shared" si="21"/>
        <v>41</v>
      </c>
      <c r="BI285" s="98" t="str">
        <f t="shared" si="22"/>
        <v>INDENIZAÇÃO</v>
      </c>
      <c r="BJ285" s="98" t="str">
        <f t="shared" si="23"/>
        <v>NÃO</v>
      </c>
      <c r="BK285" s="230" t="s">
        <v>4437</v>
      </c>
      <c r="BL285" s="230" t="s">
        <v>4437</v>
      </c>
      <c r="BM285" s="230" t="s">
        <v>4437</v>
      </c>
      <c r="BN285" s="207" t="s">
        <v>4425</v>
      </c>
      <c r="BO285" s="257" t="s">
        <v>4435</v>
      </c>
      <c r="BP285" s="265"/>
      <c r="BQ285" s="265"/>
      <c r="BR285" s="231"/>
    </row>
    <row r="286" spans="1:72" s="240" customFormat="1" ht="27" hidden="1" customHeight="1">
      <c r="A286" s="207">
        <v>282</v>
      </c>
      <c r="B286" s="197" t="s">
        <v>4396</v>
      </c>
      <c r="C286" s="207" t="s">
        <v>4427</v>
      </c>
      <c r="D286" s="207">
        <v>1</v>
      </c>
      <c r="E286" s="207" t="s">
        <v>4398</v>
      </c>
      <c r="F286" s="214" t="s">
        <v>5643</v>
      </c>
      <c r="G286" s="207" t="s">
        <v>4400</v>
      </c>
      <c r="H286" s="207" t="s">
        <v>4401</v>
      </c>
      <c r="I286" s="217" t="s">
        <v>4402</v>
      </c>
      <c r="J286" s="215" t="s">
        <v>5644</v>
      </c>
      <c r="K286" s="215" t="s">
        <v>5645</v>
      </c>
      <c r="L286" s="215" t="s">
        <v>5646</v>
      </c>
      <c r="M286" s="207" t="s">
        <v>4405</v>
      </c>
      <c r="N286" s="207" t="s">
        <v>4442</v>
      </c>
      <c r="O286" s="202" t="s">
        <v>4409</v>
      </c>
      <c r="P286" s="202" t="s">
        <v>4409</v>
      </c>
      <c r="Q286" s="202" t="s">
        <v>4409</v>
      </c>
      <c r="R286" s="202" t="s">
        <v>4409</v>
      </c>
      <c r="S286" s="202" t="s">
        <v>4409</v>
      </c>
      <c r="T286" s="202" t="s">
        <v>4409</v>
      </c>
      <c r="U286" s="202" t="s">
        <v>4409</v>
      </c>
      <c r="V286" s="202" t="s">
        <v>4409</v>
      </c>
      <c r="W286" s="202" t="s">
        <v>4409</v>
      </c>
      <c r="X286" s="202" t="s">
        <v>4409</v>
      </c>
      <c r="Y286" s="202"/>
      <c r="Z286" s="202"/>
      <c r="AA286" s="215" t="s">
        <v>5644</v>
      </c>
      <c r="AB286" s="214" t="s">
        <v>5645</v>
      </c>
      <c r="AC286" s="214" t="s">
        <v>5646</v>
      </c>
      <c r="AD286" s="241" t="s">
        <v>4402</v>
      </c>
      <c r="AE286" s="241" t="s">
        <v>4405</v>
      </c>
      <c r="AF286" s="218">
        <v>31960.69</v>
      </c>
      <c r="AG286" s="218">
        <v>60000</v>
      </c>
      <c r="AH286" s="207" t="s">
        <v>4433</v>
      </c>
      <c r="AI286" s="214" t="s">
        <v>4411</v>
      </c>
      <c r="AJ286" s="207">
        <v>147041833</v>
      </c>
      <c r="AK286" s="316">
        <v>45986</v>
      </c>
      <c r="AL286" s="316">
        <v>45986</v>
      </c>
      <c r="AM286" s="316">
        <v>45986</v>
      </c>
      <c r="AN286" s="316">
        <v>45986</v>
      </c>
      <c r="AO286" s="316">
        <v>45986</v>
      </c>
      <c r="AP286" s="316">
        <v>45986</v>
      </c>
      <c r="AQ286" s="314"/>
      <c r="AR286" s="315" t="str">
        <f t="shared" si="20"/>
        <v>FINALIZADO</v>
      </c>
      <c r="AS286" s="207" t="s">
        <v>4423</v>
      </c>
      <c r="AT286" s="207"/>
      <c r="AU286" s="220" t="s">
        <v>5647</v>
      </c>
      <c r="AV286" s="207" t="s">
        <v>4425</v>
      </c>
      <c r="AW286" s="207" t="s">
        <v>4425</v>
      </c>
      <c r="AX286" s="250" t="s">
        <v>4425</v>
      </c>
      <c r="AY286" s="207" t="s">
        <v>4425</v>
      </c>
      <c r="AZ286" s="202">
        <v>46008</v>
      </c>
      <c r="BA286" s="219" t="s">
        <v>4425</v>
      </c>
      <c r="BB286" s="207" t="s">
        <v>4425</v>
      </c>
      <c r="BC286" s="239">
        <v>46021</v>
      </c>
      <c r="BD286" s="227">
        <v>46021</v>
      </c>
      <c r="BE286" s="227" t="s">
        <v>4435</v>
      </c>
      <c r="BF286" s="228" t="s">
        <v>4436</v>
      </c>
      <c r="BG286" s="229" t="s">
        <v>4425</v>
      </c>
      <c r="BH286" s="321">
        <f t="shared" si="21"/>
        <v>35</v>
      </c>
      <c r="BI286" s="98" t="str">
        <f t="shared" si="22"/>
        <v>INDENIZAÇÃO</v>
      </c>
      <c r="BJ286" s="98" t="str">
        <f t="shared" si="23"/>
        <v>NÃO</v>
      </c>
      <c r="BK286" s="230" t="s">
        <v>4437</v>
      </c>
      <c r="BL286" s="230" t="s">
        <v>4437</v>
      </c>
      <c r="BM286" s="230" t="s">
        <v>4437</v>
      </c>
      <c r="BN286" s="207" t="s">
        <v>4425</v>
      </c>
      <c r="BO286" s="207" t="s">
        <v>4425</v>
      </c>
      <c r="BP286" s="202">
        <v>46205</v>
      </c>
      <c r="BQ286" s="207" t="s">
        <v>4425</v>
      </c>
      <c r="BR286" s="232" t="s">
        <v>4435</v>
      </c>
    </row>
    <row r="287" spans="1:72" s="240" customFormat="1" ht="27" hidden="1" customHeight="1">
      <c r="A287" s="207">
        <v>283</v>
      </c>
      <c r="B287" s="197" t="s">
        <v>4396</v>
      </c>
      <c r="C287" s="207" t="s">
        <v>4453</v>
      </c>
      <c r="D287" s="207">
        <v>1</v>
      </c>
      <c r="E287" s="207" t="s">
        <v>4398</v>
      </c>
      <c r="F287" s="214" t="s">
        <v>5643</v>
      </c>
      <c r="G287" s="207" t="s">
        <v>4400</v>
      </c>
      <c r="H287" s="207" t="s">
        <v>4401</v>
      </c>
      <c r="I287" s="217" t="s">
        <v>4402</v>
      </c>
      <c r="J287" s="215" t="s">
        <v>5648</v>
      </c>
      <c r="K287" s="215" t="s">
        <v>5649</v>
      </c>
      <c r="L287" s="215" t="s">
        <v>5650</v>
      </c>
      <c r="M287" s="207" t="s">
        <v>4405</v>
      </c>
      <c r="N287" s="207" t="s">
        <v>4406</v>
      </c>
      <c r="O287" s="202">
        <v>45986</v>
      </c>
      <c r="P287" s="203" t="s">
        <v>4407</v>
      </c>
      <c r="Q287" s="203">
        <v>45985</v>
      </c>
      <c r="R287" s="203">
        <v>45986</v>
      </c>
      <c r="S287" s="203">
        <v>45987</v>
      </c>
      <c r="T287" s="203">
        <v>45992</v>
      </c>
      <c r="U287" s="203" t="s">
        <v>4408</v>
      </c>
      <c r="V287" s="203" t="s">
        <v>4408</v>
      </c>
      <c r="W287" s="202">
        <v>45999</v>
      </c>
      <c r="X287" s="202">
        <v>46006</v>
      </c>
      <c r="Y287" s="202">
        <v>46017</v>
      </c>
      <c r="Z287" s="207"/>
      <c r="AA287" s="215" t="s">
        <v>5648</v>
      </c>
      <c r="AB287" s="215" t="s">
        <v>5649</v>
      </c>
      <c r="AC287" s="215" t="s">
        <v>5650</v>
      </c>
      <c r="AD287" s="204" t="s">
        <v>4402</v>
      </c>
      <c r="AE287" s="204" t="s">
        <v>4405</v>
      </c>
      <c r="AF287" s="205" t="s">
        <v>4409</v>
      </c>
      <c r="AG287" s="205" t="s">
        <v>4409</v>
      </c>
      <c r="AH287" s="204" t="s">
        <v>4410</v>
      </c>
      <c r="AI287" s="214" t="s">
        <v>4411</v>
      </c>
      <c r="AJ287" s="207"/>
      <c r="AK287" s="316">
        <v>45979</v>
      </c>
      <c r="AL287" s="316">
        <v>45979</v>
      </c>
      <c r="AM287" s="316">
        <v>45979</v>
      </c>
      <c r="AN287" s="316">
        <v>45979</v>
      </c>
      <c r="AO287" s="316">
        <v>45979</v>
      </c>
      <c r="AP287" s="316">
        <v>45979</v>
      </c>
      <c r="AQ287" s="314"/>
      <c r="AR287" s="315" t="str">
        <f t="shared" si="20"/>
        <v>FINALIZADO</v>
      </c>
      <c r="AS287" s="207"/>
      <c r="AT287" s="217"/>
      <c r="AU287" s="220"/>
      <c r="AV287" s="207"/>
      <c r="AW287" s="207"/>
      <c r="AX287" s="228"/>
      <c r="AY287" s="207"/>
      <c r="AZ287" s="202"/>
      <c r="BA287" s="219"/>
      <c r="BB287" s="207"/>
      <c r="BC287" s="202"/>
      <c r="BD287" s="208"/>
      <c r="BE287" s="209">
        <v>46017</v>
      </c>
      <c r="BF287" s="197" t="s">
        <v>4412</v>
      </c>
      <c r="BG287" s="229"/>
      <c r="BH287" s="321" t="str">
        <f t="shared" si="21"/>
        <v/>
      </c>
      <c r="BI287" s="98" t="str">
        <f t="shared" si="22"/>
        <v>AA</v>
      </c>
      <c r="BJ287" s="98" t="str">
        <f t="shared" si="23"/>
        <v>NÃO</v>
      </c>
      <c r="BK287" s="230"/>
      <c r="BL287" s="230"/>
      <c r="BM287" s="230"/>
      <c r="BN287" s="230"/>
      <c r="BO287" s="230"/>
      <c r="BP287" s="230"/>
      <c r="BQ287" s="230"/>
      <c r="BR287" s="234"/>
    </row>
    <row r="288" spans="1:72" s="240" customFormat="1" ht="27" hidden="1" customHeight="1">
      <c r="A288" s="207">
        <v>284</v>
      </c>
      <c r="B288" s="197" t="s">
        <v>4396</v>
      </c>
      <c r="C288" s="207" t="s">
        <v>4453</v>
      </c>
      <c r="D288" s="207">
        <v>1</v>
      </c>
      <c r="E288" s="207" t="s">
        <v>4398</v>
      </c>
      <c r="F288" s="214" t="s">
        <v>5651</v>
      </c>
      <c r="G288" s="207" t="s">
        <v>4400</v>
      </c>
      <c r="H288" s="207" t="s">
        <v>4401</v>
      </c>
      <c r="I288" s="217" t="s">
        <v>4402</v>
      </c>
      <c r="J288" s="215" t="s">
        <v>5652</v>
      </c>
      <c r="K288" s="215" t="s">
        <v>4398</v>
      </c>
      <c r="L288" s="215" t="s">
        <v>5653</v>
      </c>
      <c r="M288" s="207" t="s">
        <v>4405</v>
      </c>
      <c r="N288" s="207" t="s">
        <v>4406</v>
      </c>
      <c r="O288" s="203">
        <v>46044</v>
      </c>
      <c r="P288" s="203" t="s">
        <v>4407</v>
      </c>
      <c r="Q288" s="203">
        <v>46043</v>
      </c>
      <c r="R288" s="203">
        <v>46044</v>
      </c>
      <c r="S288" s="203">
        <v>46045</v>
      </c>
      <c r="T288" s="203">
        <v>46155</v>
      </c>
      <c r="U288" s="202" t="s">
        <v>4408</v>
      </c>
      <c r="V288" s="202" t="s">
        <v>4408</v>
      </c>
      <c r="W288" s="202">
        <v>46055</v>
      </c>
      <c r="X288" s="202">
        <v>46063</v>
      </c>
      <c r="Y288" s="202">
        <v>46017</v>
      </c>
      <c r="Z288" s="202"/>
      <c r="AA288" s="215" t="s">
        <v>5652</v>
      </c>
      <c r="AB288" s="215" t="s">
        <v>4398</v>
      </c>
      <c r="AC288" s="215" t="s">
        <v>5653</v>
      </c>
      <c r="AD288" s="204" t="s">
        <v>4402</v>
      </c>
      <c r="AE288" s="204" t="s">
        <v>4405</v>
      </c>
      <c r="AF288" s="205" t="s">
        <v>4409</v>
      </c>
      <c r="AG288" s="205" t="s">
        <v>4409</v>
      </c>
      <c r="AH288" s="204" t="s">
        <v>4410</v>
      </c>
      <c r="AI288" s="214" t="s">
        <v>4411</v>
      </c>
      <c r="AJ288" s="207"/>
      <c r="AK288" s="316">
        <v>46041</v>
      </c>
      <c r="AL288" s="316">
        <v>46041</v>
      </c>
      <c r="AM288" s="316">
        <v>46041</v>
      </c>
      <c r="AN288" s="316">
        <v>46041</v>
      </c>
      <c r="AO288" s="316">
        <v>46041</v>
      </c>
      <c r="AP288" s="316">
        <v>46041</v>
      </c>
      <c r="AQ288" s="314"/>
      <c r="AR288" s="315" t="str">
        <f t="shared" si="20"/>
        <v>FINALIZADO</v>
      </c>
      <c r="AS288" s="207"/>
      <c r="AT288" s="207"/>
      <c r="AU288" s="220"/>
      <c r="AV288" s="207"/>
      <c r="AW288" s="207"/>
      <c r="AX288" s="228"/>
      <c r="AY288" s="207"/>
      <c r="AZ288" s="202"/>
      <c r="BA288" s="219"/>
      <c r="BB288" s="207"/>
      <c r="BC288" s="202"/>
      <c r="BD288" s="208"/>
      <c r="BE288" s="209">
        <v>46017</v>
      </c>
      <c r="BF288" s="197" t="s">
        <v>4412</v>
      </c>
      <c r="BG288" s="229"/>
      <c r="BH288" s="321" t="str">
        <f t="shared" si="21"/>
        <v/>
      </c>
      <c r="BI288" s="98" t="str">
        <f t="shared" si="22"/>
        <v>AA</v>
      </c>
      <c r="BJ288" s="98" t="str">
        <f t="shared" si="23"/>
        <v>NÃO</v>
      </c>
      <c r="BK288" s="230"/>
      <c r="BL288" s="230"/>
      <c r="BM288" s="230"/>
      <c r="BN288" s="265"/>
      <c r="BO288" s="265"/>
      <c r="BP288" s="265"/>
      <c r="BQ288" s="265"/>
      <c r="BR288" s="231"/>
    </row>
    <row r="289" spans="1:80" s="240" customFormat="1" ht="27" hidden="1" customHeight="1">
      <c r="A289" s="197">
        <v>285</v>
      </c>
      <c r="B289" s="197" t="s">
        <v>4396</v>
      </c>
      <c r="C289" s="207" t="s">
        <v>4453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5655</v>
      </c>
      <c r="K289" s="215" t="s">
        <v>5656</v>
      </c>
      <c r="L289" s="215" t="s">
        <v>5657</v>
      </c>
      <c r="M289" s="207" t="s">
        <v>4405</v>
      </c>
      <c r="N289" s="207" t="s">
        <v>4442</v>
      </c>
      <c r="O289" s="202" t="s">
        <v>4409</v>
      </c>
      <c r="P289" s="202" t="s">
        <v>4409</v>
      </c>
      <c r="Q289" s="202" t="s">
        <v>4409</v>
      </c>
      <c r="R289" s="202" t="s">
        <v>4409</v>
      </c>
      <c r="S289" s="202" t="s">
        <v>4409</v>
      </c>
      <c r="T289" s="202" t="s">
        <v>4409</v>
      </c>
      <c r="U289" s="202" t="s">
        <v>4409</v>
      </c>
      <c r="V289" s="202" t="s">
        <v>4409</v>
      </c>
      <c r="W289" s="202" t="s">
        <v>4409</v>
      </c>
      <c r="X289" s="202" t="s">
        <v>4409</v>
      </c>
      <c r="Y289" s="202"/>
      <c r="Z289" s="202"/>
      <c r="AA289" s="215" t="s">
        <v>5655</v>
      </c>
      <c r="AB289" s="215" t="s">
        <v>5656</v>
      </c>
      <c r="AC289" s="215" t="s">
        <v>5657</v>
      </c>
      <c r="AD289" s="204" t="s">
        <v>4402</v>
      </c>
      <c r="AE289" s="204" t="s">
        <v>4405</v>
      </c>
      <c r="AF289" s="243">
        <v>28298.76</v>
      </c>
      <c r="AG289" s="243">
        <f>AF289+30000</f>
        <v>58298.759999999995</v>
      </c>
      <c r="AH289" s="197" t="s">
        <v>4433</v>
      </c>
      <c r="AI289" s="214" t="s">
        <v>4411</v>
      </c>
      <c r="AJ289" s="207">
        <v>149817884</v>
      </c>
      <c r="AK289" s="316">
        <v>46050</v>
      </c>
      <c r="AL289" s="316">
        <v>46050</v>
      </c>
      <c r="AM289" s="316">
        <v>46050</v>
      </c>
      <c r="AN289" s="316">
        <v>46050</v>
      </c>
      <c r="AO289" s="316">
        <v>46050</v>
      </c>
      <c r="AP289" s="316">
        <v>46050</v>
      </c>
      <c r="AQ289" s="314"/>
      <c r="AR289" s="315" t="str">
        <f t="shared" si="20"/>
        <v>FINALIZADO</v>
      </c>
      <c r="AS289" s="207" t="s">
        <v>4423</v>
      </c>
      <c r="AT289" s="207"/>
      <c r="AU289" s="220" t="s">
        <v>5658</v>
      </c>
      <c r="AV289" s="207" t="s">
        <v>4425</v>
      </c>
      <c r="AW289" s="207" t="s">
        <v>4425</v>
      </c>
      <c r="AX289" s="250" t="s">
        <v>4425</v>
      </c>
      <c r="AY289" s="207" t="s">
        <v>4425</v>
      </c>
      <c r="AZ289" s="202">
        <v>46078</v>
      </c>
      <c r="BA289" s="219" t="s">
        <v>4425</v>
      </c>
      <c r="BB289" s="219" t="s">
        <v>4425</v>
      </c>
      <c r="BC289" s="239">
        <v>46092</v>
      </c>
      <c r="BD289" s="227">
        <v>46092</v>
      </c>
      <c r="BE289" s="209">
        <v>46017</v>
      </c>
      <c r="BF289" s="197" t="s">
        <v>4412</v>
      </c>
      <c r="BG289" s="229" t="s">
        <v>4425</v>
      </c>
      <c r="BH289" s="321">
        <f t="shared" si="21"/>
        <v>42</v>
      </c>
      <c r="BI289" s="98" t="str">
        <f t="shared" si="22"/>
        <v>INDENIZAÇÃO</v>
      </c>
      <c r="BJ289" s="98" t="str">
        <f t="shared" si="23"/>
        <v>NÃO</v>
      </c>
      <c r="BK289" s="230" t="s">
        <v>4437</v>
      </c>
      <c r="BL289" s="230" t="s">
        <v>4437</v>
      </c>
      <c r="BM289" s="230" t="s">
        <v>4437</v>
      </c>
      <c r="BN289" s="207" t="s">
        <v>4425</v>
      </c>
      <c r="BO289" s="257" t="s">
        <v>4435</v>
      </c>
      <c r="BP289" s="265"/>
      <c r="BQ289" s="265"/>
      <c r="BR289" s="231"/>
    </row>
    <row r="290" spans="1:80" s="240" customFormat="1" ht="27" hidden="1" customHeight="1">
      <c r="A290" s="197">
        <v>286</v>
      </c>
      <c r="B290" s="197" t="s">
        <v>4396</v>
      </c>
      <c r="C290" s="207" t="s">
        <v>4453</v>
      </c>
      <c r="D290" s="207">
        <v>1</v>
      </c>
      <c r="E290" s="207" t="s">
        <v>4398</v>
      </c>
      <c r="F290" s="214" t="s">
        <v>5659</v>
      </c>
      <c r="G290" s="207" t="s">
        <v>4400</v>
      </c>
      <c r="H290" s="207" t="s">
        <v>4401</v>
      </c>
      <c r="I290" s="217" t="s">
        <v>4402</v>
      </c>
      <c r="J290" s="215" t="s">
        <v>5660</v>
      </c>
      <c r="K290" s="215" t="s">
        <v>5661</v>
      </c>
      <c r="L290" s="215" t="s">
        <v>5662</v>
      </c>
      <c r="M290" s="207" t="s">
        <v>4405</v>
      </c>
      <c r="N290" s="207" t="s">
        <v>4406</v>
      </c>
      <c r="O290" s="202">
        <v>46058</v>
      </c>
      <c r="P290" s="203" t="s">
        <v>4407</v>
      </c>
      <c r="Q290" s="202">
        <v>46058</v>
      </c>
      <c r="R290" s="202">
        <v>46058</v>
      </c>
      <c r="S290" s="202">
        <v>46059</v>
      </c>
      <c r="T290" s="202">
        <v>46063</v>
      </c>
      <c r="U290" s="202" t="s">
        <v>4408</v>
      </c>
      <c r="V290" s="202" t="s">
        <v>4408</v>
      </c>
      <c r="W290" s="203">
        <v>46073</v>
      </c>
      <c r="X290" s="202">
        <v>46073</v>
      </c>
      <c r="Y290" s="202">
        <v>46017</v>
      </c>
      <c r="Z290" s="202"/>
      <c r="AA290" s="215" t="s">
        <v>5660</v>
      </c>
      <c r="AB290" s="215" t="s">
        <v>5661</v>
      </c>
      <c r="AC290" s="215" t="s">
        <v>5662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46050</v>
      </c>
      <c r="AL290" s="316">
        <v>46050</v>
      </c>
      <c r="AM290" s="316">
        <v>46050</v>
      </c>
      <c r="AN290" s="316">
        <v>46050</v>
      </c>
      <c r="AO290" s="316">
        <v>46050</v>
      </c>
      <c r="AP290" s="316">
        <v>46050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>
      <c r="A291" s="207">
        <v>287</v>
      </c>
      <c r="B291" s="197" t="s">
        <v>4396</v>
      </c>
      <c r="C291" s="207" t="s">
        <v>4453</v>
      </c>
      <c r="D291" s="207">
        <v>1</v>
      </c>
      <c r="E291" s="207" t="s">
        <v>4398</v>
      </c>
      <c r="F291" s="214" t="s">
        <v>5663</v>
      </c>
      <c r="G291" s="207" t="s">
        <v>4400</v>
      </c>
      <c r="H291" s="207" t="s">
        <v>4401</v>
      </c>
      <c r="I291" s="217" t="s">
        <v>4402</v>
      </c>
      <c r="J291" s="215" t="s">
        <v>5664</v>
      </c>
      <c r="K291" s="215" t="s">
        <v>5665</v>
      </c>
      <c r="L291" s="215" t="s">
        <v>5666</v>
      </c>
      <c r="M291" s="207" t="s">
        <v>4405</v>
      </c>
      <c r="N291" s="207" t="s">
        <v>4442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7"/>
      <c r="AA291" s="215" t="s">
        <v>5664</v>
      </c>
      <c r="AB291" s="214" t="s">
        <v>5665</v>
      </c>
      <c r="AC291" s="246" t="s">
        <v>5666</v>
      </c>
      <c r="AD291" s="204" t="s">
        <v>4402</v>
      </c>
      <c r="AE291" s="204" t="s">
        <v>4405</v>
      </c>
      <c r="AF291" s="243">
        <v>12046</v>
      </c>
      <c r="AG291" s="243">
        <f>AF291+30000</f>
        <v>42046</v>
      </c>
      <c r="AH291" s="197" t="s">
        <v>4433</v>
      </c>
      <c r="AI291" s="214" t="s">
        <v>4411</v>
      </c>
      <c r="AJ291" s="207">
        <v>146668154</v>
      </c>
      <c r="AK291" s="316">
        <v>45979</v>
      </c>
      <c r="AL291" s="316">
        <v>45979</v>
      </c>
      <c r="AM291" s="316">
        <v>45979</v>
      </c>
      <c r="AN291" s="316">
        <v>45979</v>
      </c>
      <c r="AO291" s="316">
        <v>45979</v>
      </c>
      <c r="AP291" s="316">
        <v>45979</v>
      </c>
      <c r="AQ291" s="314"/>
      <c r="AR291" s="315" t="str">
        <f t="shared" si="20"/>
        <v>FINALIZADO</v>
      </c>
      <c r="AS291" s="207" t="s">
        <v>4423</v>
      </c>
      <c r="AT291" s="207"/>
      <c r="AU291" s="220" t="s">
        <v>5667</v>
      </c>
      <c r="AV291" s="207" t="s">
        <v>4425</v>
      </c>
      <c r="AW291" s="207" t="s">
        <v>4425</v>
      </c>
      <c r="AX291" s="250" t="s">
        <v>4425</v>
      </c>
      <c r="AY291" s="207" t="s">
        <v>4425</v>
      </c>
      <c r="AZ291" s="202">
        <v>46014</v>
      </c>
      <c r="BA291" s="219" t="s">
        <v>4425</v>
      </c>
      <c r="BB291" s="207" t="s">
        <v>4425</v>
      </c>
      <c r="BC291" s="239">
        <v>46042</v>
      </c>
      <c r="BD291" s="226">
        <v>46042</v>
      </c>
      <c r="BE291" s="209">
        <v>46017</v>
      </c>
      <c r="BF291" s="197" t="s">
        <v>4412</v>
      </c>
      <c r="BG291" s="229" t="s">
        <v>4425</v>
      </c>
      <c r="BH291" s="321">
        <f t="shared" si="21"/>
        <v>63</v>
      </c>
      <c r="BI291" s="98" t="str">
        <f t="shared" si="22"/>
        <v>INDENIZAÇÃO</v>
      </c>
      <c r="BJ291" s="98" t="str">
        <f t="shared" si="23"/>
        <v>NÃO</v>
      </c>
      <c r="BK291" s="230" t="s">
        <v>4437</v>
      </c>
      <c r="BL291" s="230" t="s">
        <v>4437</v>
      </c>
      <c r="BM291" s="230" t="s">
        <v>4437</v>
      </c>
      <c r="BN291" s="207" t="s">
        <v>4425</v>
      </c>
      <c r="BO291" s="257" t="s">
        <v>4435</v>
      </c>
      <c r="BP291" s="265"/>
      <c r="BQ291" s="265"/>
      <c r="BR291" s="231"/>
    </row>
    <row r="292" spans="1:80" s="240" customFormat="1" ht="27" hidden="1" customHeight="1">
      <c r="A292" s="207">
        <v>288</v>
      </c>
      <c r="B292" s="197" t="s">
        <v>4396</v>
      </c>
      <c r="C292" s="207" t="s">
        <v>4453</v>
      </c>
      <c r="D292" s="207">
        <v>1</v>
      </c>
      <c r="E292" s="207" t="s">
        <v>4398</v>
      </c>
      <c r="F292" s="214" t="s">
        <v>5668</v>
      </c>
      <c r="G292" s="207" t="s">
        <v>4400</v>
      </c>
      <c r="H292" s="207" t="s">
        <v>4401</v>
      </c>
      <c r="I292" s="217" t="s">
        <v>4402</v>
      </c>
      <c r="J292" s="242" t="s">
        <v>5669</v>
      </c>
      <c r="K292" s="215" t="s">
        <v>5670</v>
      </c>
      <c r="L292" s="215" t="s">
        <v>5671</v>
      </c>
      <c r="M292" s="207" t="s">
        <v>4405</v>
      </c>
      <c r="N292" s="207" t="s">
        <v>4442</v>
      </c>
      <c r="O292" s="202" t="s">
        <v>4409</v>
      </c>
      <c r="P292" s="202" t="s">
        <v>4409</v>
      </c>
      <c r="Q292" s="202" t="s">
        <v>4409</v>
      </c>
      <c r="R292" s="202" t="s">
        <v>4409</v>
      </c>
      <c r="S292" s="202" t="s">
        <v>4409</v>
      </c>
      <c r="T292" s="202" t="s">
        <v>4409</v>
      </c>
      <c r="U292" s="202" t="s">
        <v>4409</v>
      </c>
      <c r="V292" s="202" t="s">
        <v>4409</v>
      </c>
      <c r="W292" s="202" t="s">
        <v>4409</v>
      </c>
      <c r="X292" s="202" t="s">
        <v>4409</v>
      </c>
      <c r="Y292" s="202"/>
      <c r="Z292" s="207"/>
      <c r="AA292" s="242" t="s">
        <v>5669</v>
      </c>
      <c r="AB292" s="242" t="s">
        <v>5670</v>
      </c>
      <c r="AC292" s="242" t="s">
        <v>5671</v>
      </c>
      <c r="AD292" s="204" t="s">
        <v>4402</v>
      </c>
      <c r="AE292" s="204" t="s">
        <v>4405</v>
      </c>
      <c r="AF292" s="243">
        <v>20212.93</v>
      </c>
      <c r="AG292" s="243">
        <f>AF292+30000</f>
        <v>50212.93</v>
      </c>
      <c r="AH292" s="197" t="s">
        <v>4433</v>
      </c>
      <c r="AI292" s="214" t="s">
        <v>4411</v>
      </c>
      <c r="AJ292" s="207">
        <v>150349588</v>
      </c>
      <c r="AK292" s="316">
        <v>46052</v>
      </c>
      <c r="AL292" s="316">
        <v>46052</v>
      </c>
      <c r="AM292" s="316">
        <v>46052</v>
      </c>
      <c r="AN292" s="316">
        <v>46052</v>
      </c>
      <c r="AO292" s="316">
        <v>46052</v>
      </c>
      <c r="AP292" s="316">
        <v>46052</v>
      </c>
      <c r="AQ292" s="314"/>
      <c r="AR292" s="315" t="str">
        <f t="shared" si="20"/>
        <v>FINALIZADO</v>
      </c>
      <c r="AS292" s="207" t="s">
        <v>4423</v>
      </c>
      <c r="AT292" s="207"/>
      <c r="AU292" s="220" t="s">
        <v>5672</v>
      </c>
      <c r="AV292" s="207" t="s">
        <v>4425</v>
      </c>
      <c r="AW292" s="207" t="s">
        <v>4425</v>
      </c>
      <c r="AX292" s="250" t="s">
        <v>4425</v>
      </c>
      <c r="AY292" s="207" t="s">
        <v>4425</v>
      </c>
      <c r="AZ292" s="202">
        <v>46062</v>
      </c>
      <c r="BA292" s="219" t="s">
        <v>4425</v>
      </c>
      <c r="BB292" s="207" t="s">
        <v>4425</v>
      </c>
      <c r="BC292" s="239">
        <v>46066</v>
      </c>
      <c r="BD292" s="226">
        <v>46066</v>
      </c>
      <c r="BE292" s="209">
        <v>46017</v>
      </c>
      <c r="BF292" s="197" t="s">
        <v>4412</v>
      </c>
      <c r="BG292" s="229" t="s">
        <v>4425</v>
      </c>
      <c r="BH292" s="321">
        <f t="shared" si="21"/>
        <v>14</v>
      </c>
      <c r="BI292" s="98" t="str">
        <f t="shared" si="22"/>
        <v>INDENIZAÇÃO</v>
      </c>
      <c r="BJ292" s="98" t="str">
        <f t="shared" si="23"/>
        <v>NÃO</v>
      </c>
      <c r="BK292" s="230" t="s">
        <v>4437</v>
      </c>
      <c r="BL292" s="230" t="s">
        <v>4437</v>
      </c>
      <c r="BM292" s="230" t="s">
        <v>4437</v>
      </c>
      <c r="BN292" s="207" t="s">
        <v>4425</v>
      </c>
      <c r="BO292" s="257" t="s">
        <v>4435</v>
      </c>
      <c r="BP292" s="265"/>
      <c r="BQ292" s="265"/>
      <c r="BR292" s="231"/>
    </row>
    <row r="293" spans="1:80" s="240" customFormat="1" ht="27" hidden="1" customHeight="1">
      <c r="A293" s="207">
        <v>289</v>
      </c>
      <c r="B293" s="197" t="s">
        <v>4396</v>
      </c>
      <c r="C293" s="207" t="s">
        <v>4453</v>
      </c>
      <c r="D293" s="207">
        <v>1</v>
      </c>
      <c r="E293" s="207" t="s">
        <v>4398</v>
      </c>
      <c r="F293" s="214" t="s">
        <v>5673</v>
      </c>
      <c r="G293" s="207" t="s">
        <v>4400</v>
      </c>
      <c r="H293" s="207" t="s">
        <v>4401</v>
      </c>
      <c r="I293" s="217" t="s">
        <v>4402</v>
      </c>
      <c r="J293" s="242" t="s">
        <v>5674</v>
      </c>
      <c r="K293" s="215" t="s">
        <v>5675</v>
      </c>
      <c r="L293" s="215" t="s">
        <v>5676</v>
      </c>
      <c r="M293" s="207" t="s">
        <v>4405</v>
      </c>
      <c r="N293" s="207" t="s">
        <v>4406</v>
      </c>
      <c r="O293" s="202">
        <v>45986</v>
      </c>
      <c r="P293" s="203" t="s">
        <v>4407</v>
      </c>
      <c r="Q293" s="203">
        <v>45985</v>
      </c>
      <c r="R293" s="203">
        <v>45986</v>
      </c>
      <c r="S293" s="203">
        <v>45987</v>
      </c>
      <c r="T293" s="203">
        <v>45992</v>
      </c>
      <c r="U293" s="202" t="s">
        <v>4408</v>
      </c>
      <c r="V293" s="202" t="s">
        <v>4408</v>
      </c>
      <c r="W293" s="202">
        <v>45999</v>
      </c>
      <c r="X293" s="202">
        <v>46003</v>
      </c>
      <c r="Y293" s="202">
        <v>46017</v>
      </c>
      <c r="Z293" s="207"/>
      <c r="AA293" s="242" t="s">
        <v>5674</v>
      </c>
      <c r="AB293" s="215" t="s">
        <v>5675</v>
      </c>
      <c r="AC293" s="215" t="s">
        <v>5676</v>
      </c>
      <c r="AD293" s="204" t="s">
        <v>4402</v>
      </c>
      <c r="AE293" s="204" t="s">
        <v>4405</v>
      </c>
      <c r="AF293" s="205" t="s">
        <v>4409</v>
      </c>
      <c r="AG293" s="205" t="s">
        <v>4409</v>
      </c>
      <c r="AH293" s="204" t="s">
        <v>4410</v>
      </c>
      <c r="AI293" s="214" t="s">
        <v>4411</v>
      </c>
      <c r="AJ293" s="207"/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/>
      <c r="AT293" s="207"/>
      <c r="AU293" s="220"/>
      <c r="AV293" s="207"/>
      <c r="AW293" s="207"/>
      <c r="AX293" s="228"/>
      <c r="AY293" s="207"/>
      <c r="AZ293" s="202"/>
      <c r="BA293" s="219"/>
      <c r="BB293" s="207"/>
      <c r="BC293" s="202"/>
      <c r="BD293" s="208"/>
      <c r="BE293" s="209">
        <v>46017</v>
      </c>
      <c r="BF293" s="197" t="s">
        <v>4412</v>
      </c>
      <c r="BG293" s="229"/>
      <c r="BH293" s="321" t="str">
        <f t="shared" si="21"/>
        <v/>
      </c>
      <c r="BI293" s="98" t="str">
        <f t="shared" si="22"/>
        <v>AA</v>
      </c>
      <c r="BJ293" s="98" t="str">
        <f t="shared" si="23"/>
        <v>NÃO</v>
      </c>
      <c r="BK293" s="230"/>
      <c r="BL293" s="230"/>
      <c r="BM293" s="230"/>
      <c r="BN293" s="230"/>
      <c r="BO293" s="230"/>
      <c r="BP293" s="230"/>
      <c r="BQ293" s="230"/>
      <c r="BR293" s="234"/>
    </row>
    <row r="294" spans="1:80" s="240" customFormat="1" ht="27" hidden="1" customHeight="1">
      <c r="A294" s="197">
        <v>290</v>
      </c>
      <c r="B294" s="197" t="s">
        <v>4396</v>
      </c>
      <c r="C294" s="207" t="s">
        <v>4453</v>
      </c>
      <c r="D294" s="207">
        <v>1</v>
      </c>
      <c r="E294" s="207" t="s">
        <v>4398</v>
      </c>
      <c r="F294" s="214" t="s">
        <v>5677</v>
      </c>
      <c r="G294" s="207" t="s">
        <v>4400</v>
      </c>
      <c r="H294" s="207" t="s">
        <v>4401</v>
      </c>
      <c r="I294" s="217" t="s">
        <v>4402</v>
      </c>
      <c r="J294" s="242" t="s">
        <v>5678</v>
      </c>
      <c r="K294" s="215" t="s">
        <v>5679</v>
      </c>
      <c r="L294" s="215" t="s">
        <v>5680</v>
      </c>
      <c r="M294" s="207" t="s">
        <v>4405</v>
      </c>
      <c r="N294" s="207" t="s">
        <v>4406</v>
      </c>
      <c r="O294" s="202">
        <v>45986</v>
      </c>
      <c r="P294" s="203" t="s">
        <v>4407</v>
      </c>
      <c r="Q294" s="203">
        <v>45985</v>
      </c>
      <c r="R294" s="203">
        <v>45986</v>
      </c>
      <c r="S294" s="203">
        <v>45987</v>
      </c>
      <c r="T294" s="203">
        <v>45992</v>
      </c>
      <c r="U294" s="202" t="s">
        <v>4408</v>
      </c>
      <c r="V294" s="202" t="s">
        <v>4408</v>
      </c>
      <c r="W294" s="202">
        <v>45999</v>
      </c>
      <c r="X294" s="202">
        <v>46000</v>
      </c>
      <c r="Y294" s="202">
        <v>46017</v>
      </c>
      <c r="Z294" s="207"/>
      <c r="AA294" s="242" t="s">
        <v>5678</v>
      </c>
      <c r="AB294" s="215" t="s">
        <v>5679</v>
      </c>
      <c r="AC294" s="215" t="s">
        <v>5680</v>
      </c>
      <c r="AD294" s="204" t="s">
        <v>4402</v>
      </c>
      <c r="AE294" s="204" t="s">
        <v>4405</v>
      </c>
      <c r="AF294" s="205" t="s">
        <v>4409</v>
      </c>
      <c r="AG294" s="205" t="s">
        <v>4409</v>
      </c>
      <c r="AH294" s="204" t="s">
        <v>4410</v>
      </c>
      <c r="AI294" s="214" t="s">
        <v>4411</v>
      </c>
      <c r="AJ294" s="207"/>
      <c r="AK294" s="316">
        <v>45979</v>
      </c>
      <c r="AL294" s="316">
        <v>45979</v>
      </c>
      <c r="AM294" s="316">
        <v>45979</v>
      </c>
      <c r="AN294" s="316">
        <v>45979</v>
      </c>
      <c r="AO294" s="316">
        <v>45979</v>
      </c>
      <c r="AP294" s="316">
        <v>45979</v>
      </c>
      <c r="AQ294" s="314"/>
      <c r="AR294" s="315" t="str">
        <f t="shared" si="20"/>
        <v>FINALIZADO</v>
      </c>
      <c r="AS294" s="207"/>
      <c r="AT294" s="207"/>
      <c r="AU294" s="220"/>
      <c r="AV294" s="207"/>
      <c r="AW294" s="207"/>
      <c r="AX294" s="228"/>
      <c r="AY294" s="207"/>
      <c r="AZ294" s="202"/>
      <c r="BA294" s="219"/>
      <c r="BB294" s="207"/>
      <c r="BC294" s="202"/>
      <c r="BD294" s="208"/>
      <c r="BE294" s="209">
        <v>46017</v>
      </c>
      <c r="BF294" s="197" t="s">
        <v>4412</v>
      </c>
      <c r="BG294" s="229"/>
      <c r="BH294" s="321" t="str">
        <f t="shared" si="21"/>
        <v/>
      </c>
      <c r="BI294" s="98" t="str">
        <f t="shared" si="22"/>
        <v>AA</v>
      </c>
      <c r="BJ294" s="98" t="str">
        <f t="shared" si="23"/>
        <v>NÃO</v>
      </c>
      <c r="BK294" s="230"/>
      <c r="BL294" s="230"/>
      <c r="BM294" s="230"/>
      <c r="BN294" s="230"/>
      <c r="BO294" s="230"/>
      <c r="BP294" s="230"/>
      <c r="BQ294" s="230"/>
      <c r="BR294" s="234"/>
    </row>
    <row r="295" spans="1:80" s="240" customFormat="1" ht="27" hidden="1" customHeight="1">
      <c r="A295" s="197">
        <v>291</v>
      </c>
      <c r="B295" s="197" t="s">
        <v>4396</v>
      </c>
      <c r="C295" s="207" t="s">
        <v>4453</v>
      </c>
      <c r="D295" s="207">
        <v>1</v>
      </c>
      <c r="E295" s="207" t="s">
        <v>4398</v>
      </c>
      <c r="F295" s="214" t="s">
        <v>5681</v>
      </c>
      <c r="G295" s="207" t="s">
        <v>4400</v>
      </c>
      <c r="H295" s="207" t="s">
        <v>4401</v>
      </c>
      <c r="I295" s="217" t="s">
        <v>4402</v>
      </c>
      <c r="J295" s="215" t="s">
        <v>5682</v>
      </c>
      <c r="K295" s="215" t="s">
        <v>5683</v>
      </c>
      <c r="L295" s="215" t="s">
        <v>5684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46044</v>
      </c>
      <c r="Y295" s="202">
        <v>46017</v>
      </c>
      <c r="Z295" s="207"/>
      <c r="AA295" s="215" t="s">
        <v>5682</v>
      </c>
      <c r="AB295" s="215" t="s">
        <v>5683</v>
      </c>
      <c r="AC295" s="215" t="s">
        <v>5684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207">
        <v>292</v>
      </c>
      <c r="B296" s="197" t="s">
        <v>4396</v>
      </c>
      <c r="C296" s="250" t="s">
        <v>4453</v>
      </c>
      <c r="D296" s="250">
        <v>1</v>
      </c>
      <c r="E296" s="250" t="s">
        <v>4398</v>
      </c>
      <c r="F296" s="261" t="s">
        <v>5685</v>
      </c>
      <c r="G296" s="250" t="s">
        <v>4400</v>
      </c>
      <c r="H296" s="250" t="s">
        <v>4401</v>
      </c>
      <c r="I296" s="276" t="s">
        <v>4922</v>
      </c>
      <c r="J296" s="215" t="s">
        <v>5686</v>
      </c>
      <c r="K296" s="224" t="s">
        <v>5687</v>
      </c>
      <c r="L296" s="224" t="s">
        <v>5688</v>
      </c>
      <c r="M296" s="250" t="s">
        <v>4405</v>
      </c>
      <c r="N296" s="207" t="s">
        <v>4406</v>
      </c>
      <c r="O296" s="239">
        <v>45986</v>
      </c>
      <c r="P296" s="208" t="s">
        <v>4407</v>
      </c>
      <c r="Q296" s="208">
        <v>45985</v>
      </c>
      <c r="R296" s="208">
        <v>45986</v>
      </c>
      <c r="S296" s="208">
        <v>45987</v>
      </c>
      <c r="T296" s="208">
        <v>45992</v>
      </c>
      <c r="U296" s="239" t="s">
        <v>4408</v>
      </c>
      <c r="V296" s="239" t="s">
        <v>4408</v>
      </c>
      <c r="W296" s="202">
        <v>45999</v>
      </c>
      <c r="X296" s="239">
        <v>46000</v>
      </c>
      <c r="Y296" s="202">
        <v>46017</v>
      </c>
      <c r="Z296" s="239"/>
      <c r="AA296" s="224" t="s">
        <v>5689</v>
      </c>
      <c r="AB296" s="261" t="s">
        <v>5690</v>
      </c>
      <c r="AC296" s="261" t="s">
        <v>5691</v>
      </c>
      <c r="AD296" s="199" t="s">
        <v>4421</v>
      </c>
      <c r="AE296" s="270" t="s">
        <v>4405</v>
      </c>
      <c r="AF296" s="243">
        <v>32557.040000000001</v>
      </c>
      <c r="AG296" s="243">
        <v>32557.040000000001</v>
      </c>
      <c r="AH296" s="270" t="s">
        <v>4433</v>
      </c>
      <c r="AI296" s="261" t="s">
        <v>4411</v>
      </c>
      <c r="AJ296" s="250">
        <v>146668575</v>
      </c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 t="s">
        <v>4423</v>
      </c>
      <c r="AT296" s="250"/>
      <c r="AU296" s="220" t="s">
        <v>5692</v>
      </c>
      <c r="AV296" s="207" t="s">
        <v>4425</v>
      </c>
      <c r="AW296" s="207" t="s">
        <v>4425</v>
      </c>
      <c r="AX296" s="250" t="s">
        <v>4425</v>
      </c>
      <c r="AY296" s="207" t="s">
        <v>4425</v>
      </c>
      <c r="AZ296" s="202">
        <v>46118</v>
      </c>
      <c r="BA296" s="207" t="s">
        <v>4425</v>
      </c>
      <c r="BB296" s="207" t="s">
        <v>4425</v>
      </c>
      <c r="BC296" s="202">
        <v>46126</v>
      </c>
      <c r="BD296" s="227">
        <v>46126</v>
      </c>
      <c r="BE296" s="209">
        <v>46017</v>
      </c>
      <c r="BF296" s="197" t="s">
        <v>4762</v>
      </c>
      <c r="BG296" s="229" t="s">
        <v>4425</v>
      </c>
      <c r="BH296" s="321">
        <f t="shared" si="21"/>
        <v>147</v>
      </c>
      <c r="BI296" s="98" t="str">
        <f t="shared" si="22"/>
        <v>INDENIZAÇÃO</v>
      </c>
      <c r="BJ296" s="98" t="str">
        <f t="shared" si="23"/>
        <v>NÃO</v>
      </c>
      <c r="BK296" s="230" t="s">
        <v>4437</v>
      </c>
      <c r="BL296" s="230" t="s">
        <v>4437</v>
      </c>
      <c r="BM296" s="230" t="s">
        <v>4437</v>
      </c>
      <c r="BN296" s="207" t="s">
        <v>4425</v>
      </c>
      <c r="BO296" s="257" t="s">
        <v>4435</v>
      </c>
      <c r="BP296" s="265"/>
      <c r="BQ296" s="265"/>
      <c r="BR296" s="231"/>
    </row>
    <row r="297" spans="1:80" s="240" customFormat="1" ht="27" hidden="1" customHeight="1">
      <c r="A297" s="207">
        <v>293</v>
      </c>
      <c r="B297" s="197" t="s">
        <v>4396</v>
      </c>
      <c r="C297" s="207" t="s">
        <v>4453</v>
      </c>
      <c r="D297" s="207">
        <v>1</v>
      </c>
      <c r="E297" s="207" t="s">
        <v>4398</v>
      </c>
      <c r="F297" s="214" t="s">
        <v>5693</v>
      </c>
      <c r="G297" s="207" t="s">
        <v>4400</v>
      </c>
      <c r="H297" s="207" t="s">
        <v>4401</v>
      </c>
      <c r="I297" s="217" t="s">
        <v>4402</v>
      </c>
      <c r="J297" s="215" t="s">
        <v>5694</v>
      </c>
      <c r="K297" s="215" t="s">
        <v>5695</v>
      </c>
      <c r="L297" s="215" t="s">
        <v>5696</v>
      </c>
      <c r="M297" s="207" t="s">
        <v>4405</v>
      </c>
      <c r="N297" s="207" t="s">
        <v>4442</v>
      </c>
      <c r="O297" s="202" t="s">
        <v>4409</v>
      </c>
      <c r="P297" s="202" t="s">
        <v>4409</v>
      </c>
      <c r="Q297" s="202" t="s">
        <v>4409</v>
      </c>
      <c r="R297" s="202" t="s">
        <v>4409</v>
      </c>
      <c r="S297" s="202" t="s">
        <v>4409</v>
      </c>
      <c r="T297" s="202" t="s">
        <v>4409</v>
      </c>
      <c r="U297" s="202" t="s">
        <v>4409</v>
      </c>
      <c r="V297" s="202" t="s">
        <v>4409</v>
      </c>
      <c r="W297" s="202" t="s">
        <v>4409</v>
      </c>
      <c r="X297" s="202" t="s">
        <v>4409</v>
      </c>
      <c r="Y297" s="202"/>
      <c r="Z297" s="202"/>
      <c r="AA297" s="215" t="s">
        <v>5694</v>
      </c>
      <c r="AB297" s="215" t="s">
        <v>5695</v>
      </c>
      <c r="AC297" s="215" t="s">
        <v>5696</v>
      </c>
      <c r="AD297" s="241" t="s">
        <v>4402</v>
      </c>
      <c r="AE297" s="241" t="s">
        <v>4405</v>
      </c>
      <c r="AF297" s="218">
        <v>25936.93</v>
      </c>
      <c r="AG297" s="218">
        <f>AF297+30000</f>
        <v>55936.93</v>
      </c>
      <c r="AH297" s="207" t="s">
        <v>4433</v>
      </c>
      <c r="AI297" s="214" t="s">
        <v>4411</v>
      </c>
      <c r="AJ297" s="207">
        <v>149883983</v>
      </c>
      <c r="AK297" s="316">
        <v>46041</v>
      </c>
      <c r="AL297" s="316">
        <v>46041</v>
      </c>
      <c r="AM297" s="316">
        <v>46041</v>
      </c>
      <c r="AN297" s="316">
        <v>46041</v>
      </c>
      <c r="AO297" s="316">
        <v>46041</v>
      </c>
      <c r="AP297" s="316">
        <v>46041</v>
      </c>
      <c r="AQ297" s="314"/>
      <c r="AR297" s="315" t="str">
        <f t="shared" si="20"/>
        <v>FINALIZADO</v>
      </c>
      <c r="AS297" s="207" t="s">
        <v>4423</v>
      </c>
      <c r="AT297" s="207"/>
      <c r="AU297" s="220" t="s">
        <v>5697</v>
      </c>
      <c r="AV297" s="207" t="s">
        <v>4425</v>
      </c>
      <c r="AW297" s="207" t="s">
        <v>4425</v>
      </c>
      <c r="AX297" s="250" t="s">
        <v>4425</v>
      </c>
      <c r="AY297" s="207" t="s">
        <v>4425</v>
      </c>
      <c r="AZ297" s="202">
        <v>46062</v>
      </c>
      <c r="BA297" s="219" t="s">
        <v>4425</v>
      </c>
      <c r="BB297" s="207" t="s">
        <v>4425</v>
      </c>
      <c r="BC297" s="239">
        <v>46066</v>
      </c>
      <c r="BD297" s="227">
        <v>46066</v>
      </c>
      <c r="BE297" s="209">
        <v>46017</v>
      </c>
      <c r="BF297" s="207" t="s">
        <v>4412</v>
      </c>
      <c r="BG297" s="229" t="s">
        <v>4425</v>
      </c>
      <c r="BH297" s="321">
        <f t="shared" si="21"/>
        <v>25</v>
      </c>
      <c r="BI297" s="98" t="str">
        <f t="shared" si="22"/>
        <v>INDENIZAÇÃO</v>
      </c>
      <c r="BJ297" s="98" t="str">
        <f t="shared" si="23"/>
        <v>NÃO</v>
      </c>
      <c r="BK297" s="230" t="s">
        <v>4437</v>
      </c>
      <c r="BL297" s="230" t="s">
        <v>4437</v>
      </c>
      <c r="BM297" s="230" t="s">
        <v>4437</v>
      </c>
      <c r="BN297" s="207" t="s">
        <v>4425</v>
      </c>
      <c r="BO297" s="257" t="s">
        <v>4435</v>
      </c>
      <c r="BP297" s="265"/>
      <c r="BQ297" s="265"/>
      <c r="BR297" s="231"/>
      <c r="BS297" s="277"/>
      <c r="BT297" s="277"/>
      <c r="BU297" s="277"/>
      <c r="BV297" s="277"/>
      <c r="BW297" s="277"/>
      <c r="BX297" s="277"/>
      <c r="BY297" s="277"/>
      <c r="BZ297" s="277"/>
      <c r="CA297" s="277"/>
      <c r="CB297" s="277"/>
    </row>
    <row r="298" spans="1:80" s="240" customFormat="1" ht="27" hidden="1" customHeight="1">
      <c r="A298" s="207">
        <v>294</v>
      </c>
      <c r="B298" s="197" t="s">
        <v>4396</v>
      </c>
      <c r="C298" s="207" t="s">
        <v>4453</v>
      </c>
      <c r="D298" s="207">
        <v>1</v>
      </c>
      <c r="E298" s="207" t="s">
        <v>4398</v>
      </c>
      <c r="F298" s="214" t="s">
        <v>5698</v>
      </c>
      <c r="G298" s="207" t="s">
        <v>4546</v>
      </c>
      <c r="H298" s="207" t="s">
        <v>4546</v>
      </c>
      <c r="I298" s="233" t="s">
        <v>4421</v>
      </c>
      <c r="J298" s="215" t="s">
        <v>5699</v>
      </c>
      <c r="K298" s="215" t="s">
        <v>5700</v>
      </c>
      <c r="L298" s="215" t="s">
        <v>5701</v>
      </c>
      <c r="M298" s="207" t="s">
        <v>4405</v>
      </c>
      <c r="N298" s="207" t="s">
        <v>4442</v>
      </c>
      <c r="O298" s="202" t="s">
        <v>4409</v>
      </c>
      <c r="P298" s="202" t="s">
        <v>4409</v>
      </c>
      <c r="Q298" s="202" t="s">
        <v>4409</v>
      </c>
      <c r="R298" s="202" t="s">
        <v>4409</v>
      </c>
      <c r="S298" s="202" t="s">
        <v>4409</v>
      </c>
      <c r="T298" s="202" t="s">
        <v>4409</v>
      </c>
      <c r="U298" s="202" t="s">
        <v>4409</v>
      </c>
      <c r="V298" s="202" t="s">
        <v>4409</v>
      </c>
      <c r="W298" s="202" t="s">
        <v>4409</v>
      </c>
      <c r="X298" s="202" t="s">
        <v>4409</v>
      </c>
      <c r="Y298" s="202"/>
      <c r="Z298" s="202"/>
      <c r="AA298" s="215" t="s">
        <v>5699</v>
      </c>
      <c r="AB298" s="215" t="s">
        <v>5700</v>
      </c>
      <c r="AC298" s="215" t="s">
        <v>5701</v>
      </c>
      <c r="AD298" s="252" t="s">
        <v>4421</v>
      </c>
      <c r="AE298" s="197" t="s">
        <v>4405</v>
      </c>
      <c r="AF298" s="243">
        <v>2131.8000000000002</v>
      </c>
      <c r="AG298" s="243">
        <v>2131.8000000000002</v>
      </c>
      <c r="AH298" s="197" t="s">
        <v>4433</v>
      </c>
      <c r="AI298" s="214" t="s">
        <v>4411</v>
      </c>
      <c r="AJ298" s="207">
        <v>151574569</v>
      </c>
      <c r="AK298" s="316">
        <v>46076</v>
      </c>
      <c r="AL298" s="316">
        <v>46076</v>
      </c>
      <c r="AM298" s="316">
        <v>46076</v>
      </c>
      <c r="AN298" s="316">
        <v>46076</v>
      </c>
      <c r="AO298" s="316">
        <v>46076</v>
      </c>
      <c r="AP298" s="316">
        <v>46076</v>
      </c>
      <c r="AQ298" s="314"/>
      <c r="AR298" s="315" t="str">
        <f t="shared" si="20"/>
        <v>FINALIZADO</v>
      </c>
      <c r="AS298" s="207" t="s">
        <v>4423</v>
      </c>
      <c r="AT298" s="207"/>
      <c r="AU298" s="220" t="s">
        <v>5702</v>
      </c>
      <c r="AV298" s="207" t="s">
        <v>4425</v>
      </c>
      <c r="AW298" s="207" t="s">
        <v>4425</v>
      </c>
      <c r="AX298" s="219" t="s">
        <v>4425</v>
      </c>
      <c r="AY298" s="219" t="s">
        <v>4425</v>
      </c>
      <c r="AZ298" s="202">
        <v>46216</v>
      </c>
      <c r="BA298" s="262" t="s">
        <v>4425</v>
      </c>
      <c r="BB298" s="262" t="s">
        <v>4425</v>
      </c>
      <c r="BC298" s="202">
        <v>46223</v>
      </c>
      <c r="BD298" s="264">
        <v>46223</v>
      </c>
      <c r="BE298" s="278" t="s">
        <v>4435</v>
      </c>
      <c r="BF298" s="245" t="s">
        <v>4436</v>
      </c>
      <c r="BG298" s="229" t="s">
        <v>4425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4437</v>
      </c>
      <c r="BL298" s="230" t="s">
        <v>4437</v>
      </c>
      <c r="BM298" s="230" t="s">
        <v>4437</v>
      </c>
      <c r="BN298" s="207" t="s">
        <v>4425</v>
      </c>
      <c r="BO298" s="257" t="s">
        <v>4435</v>
      </c>
      <c r="BP298" s="265"/>
      <c r="BQ298" s="265"/>
      <c r="BR298" s="231"/>
    </row>
    <row r="299" spans="1:80" s="240" customFormat="1" ht="27" hidden="1" customHeight="1">
      <c r="A299" s="197">
        <v>295</v>
      </c>
      <c r="B299" s="197" t="s">
        <v>4396</v>
      </c>
      <c r="C299" s="207" t="s">
        <v>4453</v>
      </c>
      <c r="D299" s="207">
        <v>1</v>
      </c>
      <c r="E299" s="207" t="s">
        <v>4398</v>
      </c>
      <c r="F299" s="214" t="s">
        <v>5703</v>
      </c>
      <c r="G299" s="207" t="s">
        <v>4400</v>
      </c>
      <c r="H299" s="207" t="s">
        <v>4401</v>
      </c>
      <c r="I299" s="249" t="s">
        <v>4402</v>
      </c>
      <c r="J299" s="215" t="s">
        <v>5704</v>
      </c>
      <c r="K299" s="215" t="s">
        <v>5705</v>
      </c>
      <c r="L299" s="215" t="s">
        <v>5706</v>
      </c>
      <c r="M299" s="207" t="s">
        <v>4405</v>
      </c>
      <c r="N299" s="207" t="s">
        <v>4442</v>
      </c>
      <c r="O299" s="202">
        <v>46044</v>
      </c>
      <c r="P299" s="203" t="s">
        <v>4407</v>
      </c>
      <c r="Q299" s="203">
        <v>46043</v>
      </c>
      <c r="R299" s="203">
        <v>46044</v>
      </c>
      <c r="S299" s="203">
        <v>46045</v>
      </c>
      <c r="T299" s="202"/>
      <c r="U299" s="202" t="s">
        <v>4408</v>
      </c>
      <c r="V299" s="202" t="s">
        <v>4408</v>
      </c>
      <c r="W299" s="202">
        <v>46055</v>
      </c>
      <c r="X299" s="202" t="s">
        <v>4440</v>
      </c>
      <c r="Y299" s="202"/>
      <c r="Z299" s="216" t="s">
        <v>5707</v>
      </c>
      <c r="AA299" s="215" t="s">
        <v>5704</v>
      </c>
      <c r="AB299" s="215" t="s">
        <v>5705</v>
      </c>
      <c r="AC299" s="215" t="s">
        <v>5706</v>
      </c>
      <c r="AD299" s="241" t="s">
        <v>4402</v>
      </c>
      <c r="AE299" s="241" t="s">
        <v>4405</v>
      </c>
      <c r="AF299" s="218">
        <v>18378.73</v>
      </c>
      <c r="AG299" s="218">
        <f>AF299+30000</f>
        <v>48378.729999999996</v>
      </c>
      <c r="AH299" s="207" t="s">
        <v>4433</v>
      </c>
      <c r="AI299" s="214" t="s">
        <v>4411</v>
      </c>
      <c r="AJ299" s="207">
        <v>149884111</v>
      </c>
      <c r="AK299" s="316">
        <v>46008</v>
      </c>
      <c r="AL299" s="316">
        <v>46008</v>
      </c>
      <c r="AM299" s="316">
        <v>46008</v>
      </c>
      <c r="AN299" s="316">
        <v>46008</v>
      </c>
      <c r="AO299" s="316">
        <v>46008</v>
      </c>
      <c r="AP299" s="316">
        <v>46008</v>
      </c>
      <c r="AQ299" s="314"/>
      <c r="AR299" s="315" t="str">
        <f t="shared" si="20"/>
        <v>FINALIZADO</v>
      </c>
      <c r="AS299" s="207" t="s">
        <v>4423</v>
      </c>
      <c r="AT299" s="207"/>
      <c r="AU299" s="220" t="s">
        <v>5708</v>
      </c>
      <c r="AV299" s="207" t="s">
        <v>4425</v>
      </c>
      <c r="AW299" s="207" t="s">
        <v>4425</v>
      </c>
      <c r="AX299" s="250" t="s">
        <v>4425</v>
      </c>
      <c r="AY299" s="207" t="s">
        <v>4425</v>
      </c>
      <c r="AZ299" s="202">
        <v>46062</v>
      </c>
      <c r="BA299" s="219" t="s">
        <v>4425</v>
      </c>
      <c r="BB299" s="207" t="s">
        <v>4425</v>
      </c>
      <c r="BC299" s="239">
        <v>46066</v>
      </c>
      <c r="BD299" s="226">
        <v>46066</v>
      </c>
      <c r="BE299" s="209">
        <v>46017</v>
      </c>
      <c r="BF299" s="207" t="s">
        <v>4412</v>
      </c>
      <c r="BG299" s="229" t="s">
        <v>4425</v>
      </c>
      <c r="BH299" s="321">
        <f t="shared" si="21"/>
        <v>58</v>
      </c>
      <c r="BI299" s="98" t="str">
        <f t="shared" si="22"/>
        <v>INDENIZAÇÃO</v>
      </c>
      <c r="BJ299" s="98" t="str">
        <f t="shared" si="23"/>
        <v>NÃO</v>
      </c>
      <c r="BK299" s="230" t="s">
        <v>4437</v>
      </c>
      <c r="BL299" s="230" t="s">
        <v>4437</v>
      </c>
      <c r="BM299" s="230" t="s">
        <v>4437</v>
      </c>
      <c r="BN299" s="207" t="s">
        <v>4425</v>
      </c>
      <c r="BO299" s="257" t="s">
        <v>4435</v>
      </c>
      <c r="BP299" s="265"/>
      <c r="BQ299" s="265"/>
      <c r="BR299" s="231"/>
    </row>
    <row r="300" spans="1:80" s="240" customFormat="1" ht="27" hidden="1" customHeight="1">
      <c r="A300" s="197">
        <v>296</v>
      </c>
      <c r="B300" s="197" t="s">
        <v>4396</v>
      </c>
      <c r="C300" s="207" t="s">
        <v>4453</v>
      </c>
      <c r="D300" s="207">
        <v>1</v>
      </c>
      <c r="E300" s="207" t="s">
        <v>4398</v>
      </c>
      <c r="F300" s="214" t="s">
        <v>5709</v>
      </c>
      <c r="G300" s="207" t="s">
        <v>4400</v>
      </c>
      <c r="H300" s="207" t="s">
        <v>4401</v>
      </c>
      <c r="I300" s="217" t="s">
        <v>4922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4406</v>
      </c>
      <c r="O300" s="203">
        <v>46044</v>
      </c>
      <c r="P300" s="203" t="s">
        <v>4407</v>
      </c>
      <c r="Q300" s="203">
        <v>46043</v>
      </c>
      <c r="R300" s="203">
        <v>46044</v>
      </c>
      <c r="S300" s="203">
        <v>46045</v>
      </c>
      <c r="T300" s="203">
        <v>46155</v>
      </c>
      <c r="U300" s="202" t="s">
        <v>4408</v>
      </c>
      <c r="V300" s="202" t="s">
        <v>4408</v>
      </c>
      <c r="W300" s="202">
        <v>46055</v>
      </c>
      <c r="X300" s="202">
        <v>46058</v>
      </c>
      <c r="Y300" s="202">
        <v>46020</v>
      </c>
      <c r="Z300" s="202"/>
      <c r="AA300" s="215" t="s">
        <v>5713</v>
      </c>
      <c r="AB300" s="215" t="s">
        <v>5714</v>
      </c>
      <c r="AC300" s="215" t="s">
        <v>5715</v>
      </c>
      <c r="AD300" s="199" t="s">
        <v>4421</v>
      </c>
      <c r="AE300" s="197" t="s">
        <v>4405</v>
      </c>
      <c r="AF300" s="243">
        <v>17203.490000000002</v>
      </c>
      <c r="AG300" s="243">
        <v>17203.490000000002</v>
      </c>
      <c r="AH300" s="197" t="s">
        <v>4433</v>
      </c>
      <c r="AI300" s="214" t="s">
        <v>4411</v>
      </c>
      <c r="AJ300" s="207">
        <v>149818082</v>
      </c>
      <c r="AK300" s="316">
        <v>46048</v>
      </c>
      <c r="AL300" s="316">
        <v>46048</v>
      </c>
      <c r="AM300" s="316">
        <v>46048</v>
      </c>
      <c r="AN300" s="316">
        <v>46048</v>
      </c>
      <c r="AO300" s="316">
        <v>46048</v>
      </c>
      <c r="AP300" s="316">
        <v>46048</v>
      </c>
      <c r="AQ300" s="314"/>
      <c r="AR300" s="315" t="str">
        <f t="shared" si="20"/>
        <v>FINALIZADO</v>
      </c>
      <c r="AS300" s="207" t="s">
        <v>4423</v>
      </c>
      <c r="AT300" s="207"/>
      <c r="AU300" s="220" t="s">
        <v>5716</v>
      </c>
      <c r="AV300" s="207" t="s">
        <v>4425</v>
      </c>
      <c r="AW300" s="207" t="s">
        <v>4425</v>
      </c>
      <c r="AX300" s="207" t="s">
        <v>4425</v>
      </c>
      <c r="AY300" s="207" t="s">
        <v>4425</v>
      </c>
      <c r="AZ300" s="202">
        <v>46062</v>
      </c>
      <c r="BA300" s="219" t="s">
        <v>4425</v>
      </c>
      <c r="BB300" s="207" t="s">
        <v>4425</v>
      </c>
      <c r="BC300" s="239">
        <v>46066</v>
      </c>
      <c r="BD300" s="226">
        <v>46066</v>
      </c>
      <c r="BE300" s="209">
        <v>46017</v>
      </c>
      <c r="BF300" s="197" t="s">
        <v>4762</v>
      </c>
      <c r="BG300" s="229" t="s">
        <v>4425</v>
      </c>
      <c r="BH300" s="321">
        <f t="shared" si="21"/>
        <v>18</v>
      </c>
      <c r="BI300" s="98" t="str">
        <f t="shared" si="22"/>
        <v>INDENIZAÇÃO</v>
      </c>
      <c r="BJ300" s="98" t="str">
        <f t="shared" si="23"/>
        <v>NÃO</v>
      </c>
      <c r="BK300" s="230" t="s">
        <v>4437</v>
      </c>
      <c r="BL300" s="230" t="s">
        <v>4437</v>
      </c>
      <c r="BM300" s="230" t="s">
        <v>4437</v>
      </c>
      <c r="BN300" s="207" t="s">
        <v>4425</v>
      </c>
      <c r="BO300" s="207" t="s">
        <v>4425</v>
      </c>
      <c r="BP300" s="202">
        <v>46182</v>
      </c>
      <c r="BQ300" s="207" t="s">
        <v>4425</v>
      </c>
      <c r="BR300" s="256" t="s">
        <v>4435</v>
      </c>
    </row>
    <row r="301" spans="1:80" s="240" customFormat="1" ht="27" hidden="1" customHeight="1">
      <c r="A301" s="207">
        <v>297</v>
      </c>
      <c r="B301" s="197" t="s">
        <v>4396</v>
      </c>
      <c r="C301" s="207" t="s">
        <v>4453</v>
      </c>
      <c r="D301" s="207">
        <v>1</v>
      </c>
      <c r="E301" s="207" t="s">
        <v>4398</v>
      </c>
      <c r="F301" s="214" t="s">
        <v>5717</v>
      </c>
      <c r="G301" s="207" t="s">
        <v>4546</v>
      </c>
      <c r="H301" s="207" t="s">
        <v>4546</v>
      </c>
      <c r="I301" s="233" t="s">
        <v>4421</v>
      </c>
      <c r="J301" s="215" t="s">
        <v>5718</v>
      </c>
      <c r="K301" s="215" t="s">
        <v>5719</v>
      </c>
      <c r="L301" s="215" t="s">
        <v>5720</v>
      </c>
      <c r="M301" s="207" t="s">
        <v>4405</v>
      </c>
      <c r="N301" s="207" t="s">
        <v>4442</v>
      </c>
      <c r="O301" s="202" t="s">
        <v>4409</v>
      </c>
      <c r="P301" s="202" t="s">
        <v>4409</v>
      </c>
      <c r="Q301" s="202" t="s">
        <v>4409</v>
      </c>
      <c r="R301" s="202" t="s">
        <v>4409</v>
      </c>
      <c r="S301" s="202" t="s">
        <v>4409</v>
      </c>
      <c r="T301" s="202" t="s">
        <v>4409</v>
      </c>
      <c r="U301" s="202" t="s">
        <v>4409</v>
      </c>
      <c r="V301" s="202" t="s">
        <v>4409</v>
      </c>
      <c r="W301" s="202" t="s">
        <v>4409</v>
      </c>
      <c r="X301" s="202" t="s">
        <v>4409</v>
      </c>
      <c r="Y301" s="202"/>
      <c r="Z301" s="202"/>
      <c r="AA301" s="215" t="s">
        <v>5718</v>
      </c>
      <c r="AB301" s="215" t="s">
        <v>5719</v>
      </c>
      <c r="AC301" s="215" t="s">
        <v>5720</v>
      </c>
      <c r="AD301" s="233" t="s">
        <v>4421</v>
      </c>
      <c r="AE301" s="207" t="s">
        <v>4405</v>
      </c>
      <c r="AF301" s="218">
        <v>5840.58</v>
      </c>
      <c r="AG301" s="218">
        <v>5840.58</v>
      </c>
      <c r="AH301" s="207" t="s">
        <v>4433</v>
      </c>
      <c r="AI301" s="214" t="s">
        <v>4411</v>
      </c>
      <c r="AJ301">
        <v>149821681</v>
      </c>
      <c r="AK301" s="316">
        <v>46051</v>
      </c>
      <c r="AL301" s="316">
        <v>46051</v>
      </c>
      <c r="AM301" s="316">
        <v>46051</v>
      </c>
      <c r="AN301" s="316">
        <v>46051</v>
      </c>
      <c r="AO301" s="316">
        <v>46051</v>
      </c>
      <c r="AP301" s="316">
        <v>46051</v>
      </c>
      <c r="AQ301" s="314"/>
      <c r="AR301" s="315" t="str">
        <f t="shared" si="20"/>
        <v>FINALIZADO</v>
      </c>
      <c r="AS301" s="207" t="s">
        <v>4423</v>
      </c>
      <c r="AT301" s="207"/>
      <c r="AU301" s="220" t="s">
        <v>5721</v>
      </c>
      <c r="AV301" s="207" t="s">
        <v>4425</v>
      </c>
      <c r="AW301" s="207" t="s">
        <v>4425</v>
      </c>
      <c r="AX301" s="250" t="s">
        <v>4425</v>
      </c>
      <c r="AY301" s="207" t="s">
        <v>4425</v>
      </c>
      <c r="AZ301" s="202">
        <v>46066</v>
      </c>
      <c r="BA301" s="219" t="s">
        <v>4425</v>
      </c>
      <c r="BB301" s="219" t="s">
        <v>4425</v>
      </c>
      <c r="BC301" s="239">
        <v>46093</v>
      </c>
      <c r="BD301" s="226">
        <v>46093</v>
      </c>
      <c r="BE301" s="209">
        <v>46017</v>
      </c>
      <c r="BF301" s="207" t="s">
        <v>4762</v>
      </c>
      <c r="BG301" s="229" t="s">
        <v>4425</v>
      </c>
      <c r="BH301" s="321">
        <f t="shared" si="21"/>
        <v>42</v>
      </c>
      <c r="BI301" s="98" t="str">
        <f t="shared" si="22"/>
        <v>INDENIZAÇÃO</v>
      </c>
      <c r="BJ301" s="98" t="str">
        <f t="shared" si="23"/>
        <v>NÃO</v>
      </c>
      <c r="BK301" s="230" t="s">
        <v>4437</v>
      </c>
      <c r="BL301" s="230" t="s">
        <v>4437</v>
      </c>
      <c r="BM301" s="230" t="s">
        <v>4437</v>
      </c>
      <c r="BN301" s="207" t="s">
        <v>4425</v>
      </c>
      <c r="BO301" s="257" t="s">
        <v>4435</v>
      </c>
      <c r="BP301" s="265"/>
      <c r="BQ301" s="265"/>
      <c r="BR301" s="231"/>
    </row>
    <row r="302" spans="1:80" s="240" customFormat="1" ht="27" hidden="1" customHeight="1">
      <c r="A302" s="207">
        <v>298</v>
      </c>
      <c r="B302" s="197" t="s">
        <v>4396</v>
      </c>
      <c r="C302" s="207" t="s">
        <v>4453</v>
      </c>
      <c r="D302" s="207">
        <v>1</v>
      </c>
      <c r="E302" s="207" t="s">
        <v>4398</v>
      </c>
      <c r="F302" s="214" t="s">
        <v>5722</v>
      </c>
      <c r="G302" s="207" t="s">
        <v>4400</v>
      </c>
      <c r="H302" s="207" t="s">
        <v>4401</v>
      </c>
      <c r="I302" s="249" t="s">
        <v>4402</v>
      </c>
      <c r="J302" s="215" t="s">
        <v>5723</v>
      </c>
      <c r="K302" s="215" t="s">
        <v>5724</v>
      </c>
      <c r="L302" s="215" t="s">
        <v>5725</v>
      </c>
      <c r="M302" s="207" t="s">
        <v>4405</v>
      </c>
      <c r="N302" s="207" t="s">
        <v>4442</v>
      </c>
      <c r="O302" s="202" t="s">
        <v>4409</v>
      </c>
      <c r="P302" s="202" t="s">
        <v>4409</v>
      </c>
      <c r="Q302" s="202" t="s">
        <v>4409</v>
      </c>
      <c r="R302" s="202" t="s">
        <v>4409</v>
      </c>
      <c r="S302" s="202" t="s">
        <v>4409</v>
      </c>
      <c r="T302" s="202" t="s">
        <v>4409</v>
      </c>
      <c r="U302" s="202" t="s">
        <v>4409</v>
      </c>
      <c r="V302" s="202" t="s">
        <v>4409</v>
      </c>
      <c r="W302" s="202" t="s">
        <v>4409</v>
      </c>
      <c r="X302" s="202" t="s">
        <v>4409</v>
      </c>
      <c r="Y302" s="202"/>
      <c r="Z302" s="202"/>
      <c r="AA302" s="215" t="s">
        <v>5723</v>
      </c>
      <c r="AB302" s="215" t="s">
        <v>5724</v>
      </c>
      <c r="AC302" s="215" t="s">
        <v>5725</v>
      </c>
      <c r="AD302" s="241" t="s">
        <v>4402</v>
      </c>
      <c r="AE302" s="241" t="s">
        <v>4405</v>
      </c>
      <c r="AF302" s="218">
        <v>15801.58</v>
      </c>
      <c r="AG302" s="218">
        <f>AF302+30000</f>
        <v>45801.58</v>
      </c>
      <c r="AH302" s="207" t="s">
        <v>4433</v>
      </c>
      <c r="AI302" s="214" t="s">
        <v>4411</v>
      </c>
      <c r="AJ302" s="207">
        <v>149884243</v>
      </c>
      <c r="AK302" s="316">
        <v>46041</v>
      </c>
      <c r="AL302" s="316">
        <v>46041</v>
      </c>
      <c r="AM302" s="316">
        <v>46041</v>
      </c>
      <c r="AN302" s="316">
        <v>46041</v>
      </c>
      <c r="AO302" s="316">
        <v>46041</v>
      </c>
      <c r="AP302" s="316">
        <v>46041</v>
      </c>
      <c r="AQ302" s="314"/>
      <c r="AR302" s="315" t="str">
        <f t="shared" si="20"/>
        <v>FINALIZADO</v>
      </c>
      <c r="AS302" s="207" t="s">
        <v>4423</v>
      </c>
      <c r="AT302" s="207"/>
      <c r="AU302" s="220" t="s">
        <v>5726</v>
      </c>
      <c r="AV302" s="207" t="s">
        <v>4425</v>
      </c>
      <c r="AW302" s="207" t="s">
        <v>4425</v>
      </c>
      <c r="AX302" s="250" t="s">
        <v>4425</v>
      </c>
      <c r="AY302" s="207" t="s">
        <v>4425</v>
      </c>
      <c r="AZ302" s="202">
        <v>46062</v>
      </c>
      <c r="BA302" s="219" t="s">
        <v>4425</v>
      </c>
      <c r="BB302" s="207" t="s">
        <v>4425</v>
      </c>
      <c r="BC302" s="239">
        <v>46066</v>
      </c>
      <c r="BD302" s="226">
        <v>46066</v>
      </c>
      <c r="BE302" s="209">
        <v>46017</v>
      </c>
      <c r="BF302" s="207" t="s">
        <v>4412</v>
      </c>
      <c r="BG302" s="229" t="s">
        <v>4425</v>
      </c>
      <c r="BH302" s="321">
        <f t="shared" si="21"/>
        <v>25</v>
      </c>
      <c r="BI302" s="98" t="str">
        <f t="shared" si="22"/>
        <v>INDENIZAÇÃO</v>
      </c>
      <c r="BJ302" s="98" t="str">
        <f t="shared" si="23"/>
        <v>NÃO</v>
      </c>
      <c r="BK302" s="230" t="s">
        <v>4437</v>
      </c>
      <c r="BL302" s="230" t="s">
        <v>4437</v>
      </c>
      <c r="BM302" s="230" t="s">
        <v>4437</v>
      </c>
      <c r="BN302" s="207" t="s">
        <v>4425</v>
      </c>
      <c r="BO302" s="257" t="s">
        <v>4435</v>
      </c>
      <c r="BP302" s="265"/>
      <c r="BQ302" s="265"/>
      <c r="BR302" s="231"/>
    </row>
    <row r="303" spans="1:80" s="240" customFormat="1" ht="27" hidden="1" customHeight="1">
      <c r="A303" s="207">
        <v>299</v>
      </c>
      <c r="B303" s="197" t="s">
        <v>4396</v>
      </c>
      <c r="C303" s="207" t="s">
        <v>4453</v>
      </c>
      <c r="D303" s="207">
        <v>1</v>
      </c>
      <c r="E303" s="207" t="s">
        <v>4398</v>
      </c>
      <c r="F303" s="214" t="s">
        <v>5727</v>
      </c>
      <c r="G303" s="207" t="s">
        <v>4400</v>
      </c>
      <c r="H303" s="207" t="s">
        <v>4401</v>
      </c>
      <c r="I303" s="217" t="s">
        <v>4402</v>
      </c>
      <c r="J303" s="215" t="s">
        <v>5728</v>
      </c>
      <c r="K303" s="215" t="s">
        <v>5729</v>
      </c>
      <c r="L303" s="215" t="s">
        <v>5730</v>
      </c>
      <c r="M303" s="207" t="s">
        <v>4405</v>
      </c>
      <c r="N303" s="207" t="s">
        <v>4442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5728</v>
      </c>
      <c r="AB303" s="215" t="s">
        <v>5729</v>
      </c>
      <c r="AC303" s="215" t="s">
        <v>5730</v>
      </c>
      <c r="AD303" s="204" t="s">
        <v>4402</v>
      </c>
      <c r="AE303" s="204" t="s">
        <v>4405</v>
      </c>
      <c r="AF303" s="243">
        <v>29296.91</v>
      </c>
      <c r="AG303" s="243">
        <f>AF303+30000</f>
        <v>59296.91</v>
      </c>
      <c r="AH303" s="197" t="s">
        <v>4433</v>
      </c>
      <c r="AI303" s="214" t="s">
        <v>4411</v>
      </c>
      <c r="AJ303" s="207">
        <v>150002718</v>
      </c>
      <c r="AK303" s="316">
        <v>46077</v>
      </c>
      <c r="AL303" s="316">
        <v>46077</v>
      </c>
      <c r="AM303" s="316">
        <v>46077</v>
      </c>
      <c r="AN303" s="316">
        <v>46077</v>
      </c>
      <c r="AO303" s="316">
        <v>46077</v>
      </c>
      <c r="AP303" s="316">
        <v>46077</v>
      </c>
      <c r="AQ303" s="314"/>
      <c r="AR303" s="315" t="str">
        <f t="shared" si="20"/>
        <v>FINALIZADO</v>
      </c>
      <c r="AS303" s="207" t="s">
        <v>4423</v>
      </c>
      <c r="AT303" s="207"/>
      <c r="AU303" s="220" t="s">
        <v>5731</v>
      </c>
      <c r="AV303" s="207" t="s">
        <v>4425</v>
      </c>
      <c r="AW303" s="207" t="s">
        <v>4425</v>
      </c>
      <c r="AX303" s="250" t="s">
        <v>4425</v>
      </c>
      <c r="AY303" s="207" t="s">
        <v>4425</v>
      </c>
      <c r="AZ303" s="202">
        <v>46083</v>
      </c>
      <c r="BA303" s="219" t="s">
        <v>4425</v>
      </c>
      <c r="BB303" s="219" t="s">
        <v>4425</v>
      </c>
      <c r="BC303" s="239">
        <v>46091</v>
      </c>
      <c r="BD303" s="226">
        <v>46091</v>
      </c>
      <c r="BE303" s="209">
        <v>46017</v>
      </c>
      <c r="BF303" s="197" t="s">
        <v>4412</v>
      </c>
      <c r="BG303" s="229" t="s">
        <v>4425</v>
      </c>
      <c r="BH303" s="321">
        <f t="shared" si="21"/>
        <v>14</v>
      </c>
      <c r="BI303" s="98" t="str">
        <f t="shared" si="22"/>
        <v>INDENIZAÇÃO</v>
      </c>
      <c r="BJ303" s="98" t="str">
        <f t="shared" si="23"/>
        <v>NÃO</v>
      </c>
      <c r="BK303" s="230" t="s">
        <v>4437</v>
      </c>
      <c r="BL303" s="230" t="s">
        <v>4437</v>
      </c>
      <c r="BM303" s="230" t="s">
        <v>4437</v>
      </c>
      <c r="BN303" s="265" t="s">
        <v>5732</v>
      </c>
      <c r="BO303" s="265"/>
      <c r="BP303" s="265"/>
      <c r="BQ303" s="265"/>
      <c r="BR303" s="231"/>
    </row>
    <row r="304" spans="1:80" s="240" customFormat="1" ht="27" hidden="1" customHeight="1">
      <c r="A304" s="197">
        <v>300</v>
      </c>
      <c r="B304" s="197" t="s">
        <v>4396</v>
      </c>
      <c r="C304" s="207" t="s">
        <v>4453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17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4406</v>
      </c>
      <c r="O304" s="202">
        <v>46058</v>
      </c>
      <c r="P304" s="203" t="s">
        <v>4407</v>
      </c>
      <c r="Q304" s="202">
        <v>46058</v>
      </c>
      <c r="R304" s="202">
        <v>46058</v>
      </c>
      <c r="S304" s="202">
        <v>46059</v>
      </c>
      <c r="T304" s="202">
        <v>46063</v>
      </c>
      <c r="U304" s="202" t="s">
        <v>4408</v>
      </c>
      <c r="V304" s="202" t="s">
        <v>4408</v>
      </c>
      <c r="W304" s="203">
        <v>46073</v>
      </c>
      <c r="X304" s="202">
        <v>46078</v>
      </c>
      <c r="Y304" s="202">
        <v>46017</v>
      </c>
      <c r="Z304" s="202"/>
      <c r="AA304" s="215" t="s">
        <v>5734</v>
      </c>
      <c r="AB304" s="215" t="s">
        <v>5735</v>
      </c>
      <c r="AC304" s="215" t="s">
        <v>5736</v>
      </c>
      <c r="AD304" s="204" t="s">
        <v>4402</v>
      </c>
      <c r="AE304" s="204" t="s">
        <v>4405</v>
      </c>
      <c r="AF304" s="205" t="s">
        <v>4409</v>
      </c>
      <c r="AG304" s="205" t="s">
        <v>4409</v>
      </c>
      <c r="AH304" s="204" t="s">
        <v>4410</v>
      </c>
      <c r="AI304" s="214" t="s">
        <v>4411</v>
      </c>
      <c r="AJ304" s="207"/>
      <c r="AK304" s="316">
        <v>46050</v>
      </c>
      <c r="AL304" s="316">
        <v>46050</v>
      </c>
      <c r="AM304" s="316">
        <v>46050</v>
      </c>
      <c r="AN304" s="316">
        <v>46050</v>
      </c>
      <c r="AO304" s="316">
        <v>46050</v>
      </c>
      <c r="AP304" s="316">
        <v>46050</v>
      </c>
      <c r="AQ304" s="314"/>
      <c r="AR304" s="315" t="str">
        <f t="shared" si="20"/>
        <v>FINALIZADO</v>
      </c>
      <c r="AS304" s="207"/>
      <c r="AT304" s="207"/>
      <c r="AU304" s="220"/>
      <c r="AV304" s="207"/>
      <c r="AW304" s="207"/>
      <c r="AX304" s="228"/>
      <c r="AY304" s="228"/>
      <c r="AZ304" s="227"/>
      <c r="BA304" s="219"/>
      <c r="BB304" s="228"/>
      <c r="BC304" s="228"/>
      <c r="BD304" s="208"/>
      <c r="BE304" s="209">
        <v>46017</v>
      </c>
      <c r="BF304" s="197" t="s">
        <v>4412</v>
      </c>
      <c r="BG304" s="229"/>
      <c r="BH304" s="321" t="str">
        <f t="shared" si="21"/>
        <v/>
      </c>
      <c r="BI304" s="98" t="str">
        <f t="shared" si="22"/>
        <v>AA</v>
      </c>
      <c r="BJ304" s="98" t="str">
        <f t="shared" si="23"/>
        <v>NÃO</v>
      </c>
      <c r="BK304" s="230"/>
      <c r="BL304" s="230"/>
      <c r="BM304" s="230"/>
      <c r="BN304" s="230"/>
      <c r="BO304" s="230"/>
      <c r="BP304" s="230"/>
      <c r="BQ304" s="230"/>
      <c r="BR304" s="234"/>
    </row>
    <row r="305" spans="1:70" s="240" customFormat="1" ht="27" hidden="1" customHeight="1">
      <c r="A305" s="197">
        <v>301</v>
      </c>
      <c r="B305" s="197" t="s">
        <v>4396</v>
      </c>
      <c r="C305" s="207" t="s">
        <v>4427</v>
      </c>
      <c r="D305" s="207">
        <v>1</v>
      </c>
      <c r="E305" s="207" t="s">
        <v>4398</v>
      </c>
      <c r="F305" s="214" t="s">
        <v>5737</v>
      </c>
      <c r="G305" s="207" t="s">
        <v>4400</v>
      </c>
      <c r="H305" s="207" t="s">
        <v>4401</v>
      </c>
      <c r="I305" s="217" t="s">
        <v>4402</v>
      </c>
      <c r="J305" s="215" t="s">
        <v>5738</v>
      </c>
      <c r="K305" s="215" t="s">
        <v>5739</v>
      </c>
      <c r="L305" s="215" t="s">
        <v>5740</v>
      </c>
      <c r="M305" s="207" t="s">
        <v>4405</v>
      </c>
      <c r="N305" s="207" t="s">
        <v>4442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5738</v>
      </c>
      <c r="AB305" s="214" t="s">
        <v>5739</v>
      </c>
      <c r="AC305" s="214" t="s">
        <v>5740</v>
      </c>
      <c r="AD305" s="197" t="s">
        <v>4402</v>
      </c>
      <c r="AE305" s="197" t="s">
        <v>4405</v>
      </c>
      <c r="AF305" s="243">
        <v>89294.19</v>
      </c>
      <c r="AG305" s="243">
        <v>89294.19</v>
      </c>
      <c r="AH305" s="197" t="s">
        <v>4433</v>
      </c>
      <c r="AI305" s="214" t="s">
        <v>4411</v>
      </c>
      <c r="AJ305" s="207">
        <v>147041970</v>
      </c>
      <c r="AK305" s="316">
        <v>46045</v>
      </c>
      <c r="AL305" s="316">
        <v>46045</v>
      </c>
      <c r="AM305" s="316">
        <v>46045</v>
      </c>
      <c r="AN305" s="316">
        <v>46045</v>
      </c>
      <c r="AO305" s="316">
        <v>46045</v>
      </c>
      <c r="AP305" s="316">
        <v>46045</v>
      </c>
      <c r="AQ305" s="314"/>
      <c r="AR305" s="315" t="str">
        <f t="shared" si="20"/>
        <v>FINALIZADO</v>
      </c>
      <c r="AS305" s="207" t="s">
        <v>4423</v>
      </c>
      <c r="AT305" s="207"/>
      <c r="AU305" s="220" t="s">
        <v>5741</v>
      </c>
      <c r="AV305" s="207" t="s">
        <v>4425</v>
      </c>
      <c r="AW305" s="207" t="s">
        <v>4425</v>
      </c>
      <c r="AX305" s="250" t="s">
        <v>4425</v>
      </c>
      <c r="AY305" s="207" t="s">
        <v>4425</v>
      </c>
      <c r="AZ305" s="202">
        <v>46098</v>
      </c>
      <c r="BA305" s="207" t="s">
        <v>4425</v>
      </c>
      <c r="BB305" s="207" t="s">
        <v>4425</v>
      </c>
      <c r="BC305" s="202">
        <v>46114</v>
      </c>
      <c r="BD305" s="227">
        <v>46114</v>
      </c>
      <c r="BE305" s="244" t="s">
        <v>4435</v>
      </c>
      <c r="BF305" s="245" t="s">
        <v>4436</v>
      </c>
      <c r="BG305" s="229" t="s">
        <v>4425</v>
      </c>
      <c r="BH305" s="321">
        <f t="shared" si="21"/>
        <v>69</v>
      </c>
      <c r="BI305" s="98" t="str">
        <f t="shared" si="22"/>
        <v>INDENIZAÇÃO</v>
      </c>
      <c r="BJ305" s="98" t="str">
        <f t="shared" si="23"/>
        <v>NÃO</v>
      </c>
      <c r="BK305" s="230" t="s">
        <v>4437</v>
      </c>
      <c r="BL305" s="230" t="s">
        <v>4437</v>
      </c>
      <c r="BM305" s="230" t="s">
        <v>4437</v>
      </c>
      <c r="BN305" s="265" t="s">
        <v>5732</v>
      </c>
      <c r="BO305" s="265"/>
      <c r="BP305" s="265"/>
      <c r="BQ305" s="265"/>
      <c r="BR305" s="231"/>
    </row>
    <row r="306" spans="1:70" s="240" customFormat="1" ht="27" hidden="1" customHeight="1">
      <c r="A306" s="207">
        <v>302</v>
      </c>
      <c r="B306" s="197" t="s">
        <v>4396</v>
      </c>
      <c r="C306" s="207" t="s">
        <v>4427</v>
      </c>
      <c r="D306" s="207">
        <v>1</v>
      </c>
      <c r="E306" s="207" t="s">
        <v>4398</v>
      </c>
      <c r="F306" s="214" t="s">
        <v>5742</v>
      </c>
      <c r="G306" s="207" t="s">
        <v>4400</v>
      </c>
      <c r="H306" s="207" t="s">
        <v>4401</v>
      </c>
      <c r="I306" s="217" t="s">
        <v>4402</v>
      </c>
      <c r="J306" s="215" t="s">
        <v>5743</v>
      </c>
      <c r="K306" s="215" t="s">
        <v>5744</v>
      </c>
      <c r="L306" s="215" t="s">
        <v>5745</v>
      </c>
      <c r="M306" s="207" t="s">
        <v>4405</v>
      </c>
      <c r="N306" s="207" t="s">
        <v>4442</v>
      </c>
      <c r="O306" s="202" t="s">
        <v>4409</v>
      </c>
      <c r="P306" s="202" t="s">
        <v>4409</v>
      </c>
      <c r="Q306" s="202" t="s">
        <v>4409</v>
      </c>
      <c r="R306" s="202" t="s">
        <v>4409</v>
      </c>
      <c r="S306" s="202" t="s">
        <v>4409</v>
      </c>
      <c r="T306" s="202" t="s">
        <v>4409</v>
      </c>
      <c r="U306" s="202" t="s">
        <v>4409</v>
      </c>
      <c r="V306" s="202" t="s">
        <v>4409</v>
      </c>
      <c r="W306" s="202" t="s">
        <v>4409</v>
      </c>
      <c r="X306" s="202" t="s">
        <v>4409</v>
      </c>
      <c r="Y306" s="202"/>
      <c r="Z306" s="202"/>
      <c r="AA306" s="215" t="s">
        <v>5743</v>
      </c>
      <c r="AB306" s="214" t="s">
        <v>5744</v>
      </c>
      <c r="AC306" s="214" t="s">
        <v>5745</v>
      </c>
      <c r="AD306" s="207" t="s">
        <v>4402</v>
      </c>
      <c r="AE306" s="207" t="s">
        <v>4405</v>
      </c>
      <c r="AF306" s="218">
        <v>18221.38</v>
      </c>
      <c r="AG306" s="218">
        <f>AF306+30000</f>
        <v>48221.380000000005</v>
      </c>
      <c r="AH306" s="207" t="s">
        <v>4433</v>
      </c>
      <c r="AI306" s="214" t="s">
        <v>4411</v>
      </c>
      <c r="AJ306" s="207">
        <v>147042681</v>
      </c>
      <c r="AK306" s="316">
        <v>46001</v>
      </c>
      <c r="AL306" s="316">
        <v>46001</v>
      </c>
      <c r="AM306" s="316">
        <v>46001</v>
      </c>
      <c r="AN306" s="316">
        <v>46001</v>
      </c>
      <c r="AO306" s="316">
        <v>46001</v>
      </c>
      <c r="AP306" s="316">
        <v>46001</v>
      </c>
      <c r="AQ306" s="314"/>
      <c r="AR306" s="315" t="str">
        <f t="shared" si="20"/>
        <v>FINALIZADO</v>
      </c>
      <c r="AS306" s="207" t="s">
        <v>4423</v>
      </c>
      <c r="AT306" s="207"/>
      <c r="AU306" s="220" t="s">
        <v>5746</v>
      </c>
      <c r="AV306" s="207" t="s">
        <v>4425</v>
      </c>
      <c r="AW306" s="207" t="s">
        <v>4425</v>
      </c>
      <c r="AX306" s="250" t="s">
        <v>4425</v>
      </c>
      <c r="AY306" s="207" t="s">
        <v>4425</v>
      </c>
      <c r="AZ306" s="203">
        <v>46017</v>
      </c>
      <c r="BA306" s="219" t="s">
        <v>4425</v>
      </c>
      <c r="BB306" s="207" t="s">
        <v>4425</v>
      </c>
      <c r="BC306" s="208">
        <v>46024</v>
      </c>
      <c r="BD306" s="227">
        <v>46024</v>
      </c>
      <c r="BE306" s="226" t="s">
        <v>4435</v>
      </c>
      <c r="BF306" s="228" t="s">
        <v>4436</v>
      </c>
      <c r="BG306" s="229" t="s">
        <v>4425</v>
      </c>
      <c r="BH306" s="321">
        <f t="shared" si="21"/>
        <v>23</v>
      </c>
      <c r="BI306" s="98" t="str">
        <f t="shared" si="22"/>
        <v>INDENIZAÇÃO</v>
      </c>
      <c r="BJ306" s="98" t="str">
        <f t="shared" si="23"/>
        <v>NÃO</v>
      </c>
      <c r="BK306" s="230" t="s">
        <v>4437</v>
      </c>
      <c r="BL306" s="230" t="s">
        <v>4437</v>
      </c>
      <c r="BM306" s="230" t="s">
        <v>4437</v>
      </c>
      <c r="BN306" s="207" t="s">
        <v>4425</v>
      </c>
      <c r="BO306" s="207" t="s">
        <v>4425</v>
      </c>
      <c r="BP306" s="202">
        <v>46205</v>
      </c>
      <c r="BQ306" s="207" t="s">
        <v>4425</v>
      </c>
      <c r="BR306" s="232" t="s">
        <v>4435</v>
      </c>
    </row>
    <row r="307" spans="1:70" s="240" customFormat="1" ht="27" hidden="1" customHeight="1">
      <c r="A307" s="207">
        <v>303</v>
      </c>
      <c r="B307" s="197" t="s">
        <v>4396</v>
      </c>
      <c r="C307" s="207" t="s">
        <v>4427</v>
      </c>
      <c r="D307" s="207">
        <v>1</v>
      </c>
      <c r="E307" s="207" t="s">
        <v>4398</v>
      </c>
      <c r="F307" s="214" t="s">
        <v>5747</v>
      </c>
      <c r="G307" s="207" t="s">
        <v>4400</v>
      </c>
      <c r="H307" s="207" t="s">
        <v>4401</v>
      </c>
      <c r="I307" s="217" t="s">
        <v>4402</v>
      </c>
      <c r="J307" s="215" t="s">
        <v>5748</v>
      </c>
      <c r="K307" s="215" t="s">
        <v>5749</v>
      </c>
      <c r="L307" s="215" t="s">
        <v>5750</v>
      </c>
      <c r="M307" s="207" t="s">
        <v>4405</v>
      </c>
      <c r="N307" s="207" t="s">
        <v>4442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5748</v>
      </c>
      <c r="AB307" s="214" t="s">
        <v>4398</v>
      </c>
      <c r="AC307" s="214" t="s">
        <v>5750</v>
      </c>
      <c r="AD307" s="207" t="s">
        <v>4402</v>
      </c>
      <c r="AE307" s="207" t="s">
        <v>4405</v>
      </c>
      <c r="AF307" s="218">
        <v>53466.1</v>
      </c>
      <c r="AG307" s="218">
        <v>60000</v>
      </c>
      <c r="AH307" s="207" t="s">
        <v>4433</v>
      </c>
      <c r="AI307" s="214" t="s">
        <v>4411</v>
      </c>
      <c r="AJ307" s="207">
        <v>147042839</v>
      </c>
      <c r="AK307" s="316">
        <v>45986</v>
      </c>
      <c r="AL307" s="316">
        <v>45986</v>
      </c>
      <c r="AM307" s="316">
        <v>45986</v>
      </c>
      <c r="AN307" s="316">
        <v>45986</v>
      </c>
      <c r="AO307" s="316">
        <v>45986</v>
      </c>
      <c r="AP307" s="316">
        <v>45986</v>
      </c>
      <c r="AQ307" s="314"/>
      <c r="AR307" s="315" t="str">
        <f t="shared" si="20"/>
        <v>FINALIZADO</v>
      </c>
      <c r="AS307" s="207" t="s">
        <v>4423</v>
      </c>
      <c r="AT307" s="207"/>
      <c r="AU307" s="220" t="s">
        <v>5751</v>
      </c>
      <c r="AV307" s="207" t="s">
        <v>4425</v>
      </c>
      <c r="AW307" s="207" t="s">
        <v>4425</v>
      </c>
      <c r="AX307" s="250" t="s">
        <v>4425</v>
      </c>
      <c r="AY307" s="207" t="s">
        <v>4425</v>
      </c>
      <c r="AZ307" s="203">
        <v>46017</v>
      </c>
      <c r="BA307" s="219" t="s">
        <v>4425</v>
      </c>
      <c r="BB307" s="207" t="s">
        <v>4425</v>
      </c>
      <c r="BC307" s="208">
        <v>46024</v>
      </c>
      <c r="BD307" s="226">
        <v>46024</v>
      </c>
      <c r="BE307" s="226" t="s">
        <v>4435</v>
      </c>
      <c r="BF307" s="228" t="s">
        <v>4436</v>
      </c>
      <c r="BG307" s="229" t="s">
        <v>4425</v>
      </c>
      <c r="BH307" s="321">
        <f t="shared" si="21"/>
        <v>38</v>
      </c>
      <c r="BI307" s="98" t="str">
        <f t="shared" si="22"/>
        <v>INDENIZAÇÃO</v>
      </c>
      <c r="BJ307" s="98" t="str">
        <f t="shared" si="23"/>
        <v>NÃO</v>
      </c>
      <c r="BK307" s="230" t="s">
        <v>4437</v>
      </c>
      <c r="BL307" s="230" t="s">
        <v>4437</v>
      </c>
      <c r="BM307" s="230" t="s">
        <v>4437</v>
      </c>
      <c r="BN307" s="207" t="s">
        <v>4425</v>
      </c>
      <c r="BO307" s="207" t="s">
        <v>4425</v>
      </c>
      <c r="BP307" s="202">
        <v>46205</v>
      </c>
      <c r="BQ307" s="207" t="s">
        <v>4425</v>
      </c>
      <c r="BR307" s="232" t="s">
        <v>4435</v>
      </c>
    </row>
    <row r="308" spans="1:70" s="240" customFormat="1" ht="27" hidden="1" customHeight="1">
      <c r="A308" s="207">
        <v>304</v>
      </c>
      <c r="B308" s="197" t="s">
        <v>4396</v>
      </c>
      <c r="C308" s="207" t="s">
        <v>4427</v>
      </c>
      <c r="D308" s="207">
        <v>1</v>
      </c>
      <c r="E308" s="207" t="s">
        <v>4398</v>
      </c>
      <c r="F308" s="214" t="s">
        <v>5752</v>
      </c>
      <c r="G308" s="207" t="s">
        <v>4400</v>
      </c>
      <c r="H308" s="207" t="s">
        <v>4401</v>
      </c>
      <c r="I308" s="217" t="s">
        <v>4402</v>
      </c>
      <c r="J308" s="215" t="s">
        <v>5753</v>
      </c>
      <c r="K308" s="215" t="s">
        <v>5754</v>
      </c>
      <c r="L308" s="215" t="s">
        <v>5755</v>
      </c>
      <c r="M308" s="207" t="s">
        <v>4405</v>
      </c>
      <c r="N308" s="207" t="s">
        <v>4442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5753</v>
      </c>
      <c r="AB308" s="214" t="s">
        <v>5754</v>
      </c>
      <c r="AC308" s="214" t="s">
        <v>5755</v>
      </c>
      <c r="AD308" s="207" t="s">
        <v>4402</v>
      </c>
      <c r="AE308" s="207" t="s">
        <v>4405</v>
      </c>
      <c r="AF308" s="218">
        <v>36525.11</v>
      </c>
      <c r="AG308" s="218">
        <v>60000</v>
      </c>
      <c r="AH308" s="207" t="s">
        <v>4433</v>
      </c>
      <c r="AI308" s="214" t="s">
        <v>4411</v>
      </c>
      <c r="AJ308" s="207">
        <v>147042956</v>
      </c>
      <c r="AK308" s="316">
        <v>45986</v>
      </c>
      <c r="AL308" s="316">
        <v>45986</v>
      </c>
      <c r="AM308" s="316">
        <v>45986</v>
      </c>
      <c r="AN308" s="316">
        <v>45986</v>
      </c>
      <c r="AO308" s="316">
        <v>45986</v>
      </c>
      <c r="AP308" s="316">
        <v>45986</v>
      </c>
      <c r="AQ308" s="314"/>
      <c r="AR308" s="315" t="str">
        <f t="shared" si="20"/>
        <v>FINALIZADO</v>
      </c>
      <c r="AS308" s="207" t="s">
        <v>4423</v>
      </c>
      <c r="AT308" s="207"/>
      <c r="AU308" s="220" t="s">
        <v>5756</v>
      </c>
      <c r="AV308" s="207" t="s">
        <v>4425</v>
      </c>
      <c r="AW308" s="207" t="s">
        <v>4425</v>
      </c>
      <c r="AX308" s="250" t="s">
        <v>4425</v>
      </c>
      <c r="AY308" s="207" t="s">
        <v>4425</v>
      </c>
      <c r="AZ308" s="202">
        <v>46014</v>
      </c>
      <c r="BA308" s="219" t="s">
        <v>4425</v>
      </c>
      <c r="BB308" s="207" t="s">
        <v>4425</v>
      </c>
      <c r="BC308" s="239">
        <v>46021</v>
      </c>
      <c r="BD308" s="226">
        <v>46021</v>
      </c>
      <c r="BE308" s="227" t="s">
        <v>4435</v>
      </c>
      <c r="BF308" s="228" t="s">
        <v>4436</v>
      </c>
      <c r="BG308" s="229" t="s">
        <v>4425</v>
      </c>
      <c r="BH308" s="321">
        <f t="shared" si="21"/>
        <v>35</v>
      </c>
      <c r="BI308" s="98" t="str">
        <f t="shared" si="22"/>
        <v>INDENIZAÇÃO</v>
      </c>
      <c r="BJ308" s="98" t="str">
        <f t="shared" si="23"/>
        <v>NÃO</v>
      </c>
      <c r="BK308" s="230" t="s">
        <v>4437</v>
      </c>
      <c r="BL308" s="230" t="s">
        <v>4437</v>
      </c>
      <c r="BM308" s="230" t="s">
        <v>4437</v>
      </c>
      <c r="BN308" s="207" t="s">
        <v>4425</v>
      </c>
      <c r="BO308" s="207" t="s">
        <v>4425</v>
      </c>
      <c r="BP308" s="202">
        <v>46205</v>
      </c>
      <c r="BQ308" s="207" t="s">
        <v>4425</v>
      </c>
      <c r="BR308" s="232" t="s">
        <v>4435</v>
      </c>
    </row>
    <row r="309" spans="1:70" s="240" customFormat="1" ht="27" hidden="1" customHeight="1">
      <c r="A309" s="197">
        <v>305</v>
      </c>
      <c r="B309" s="197" t="s">
        <v>4396</v>
      </c>
      <c r="C309" s="207" t="s">
        <v>4427</v>
      </c>
      <c r="D309" s="207">
        <v>1</v>
      </c>
      <c r="E309" s="207" t="s">
        <v>4398</v>
      </c>
      <c r="F309" s="214" t="s">
        <v>5757</v>
      </c>
      <c r="G309" s="207" t="s">
        <v>4400</v>
      </c>
      <c r="H309" s="207" t="s">
        <v>4401</v>
      </c>
      <c r="I309" s="217" t="s">
        <v>4402</v>
      </c>
      <c r="J309" s="215" t="s">
        <v>5758</v>
      </c>
      <c r="K309" s="215" t="s">
        <v>5759</v>
      </c>
      <c r="L309" s="215" t="s">
        <v>5760</v>
      </c>
      <c r="M309" s="207" t="s">
        <v>4405</v>
      </c>
      <c r="N309" s="207" t="s">
        <v>4406</v>
      </c>
      <c r="O309" s="203">
        <v>46031</v>
      </c>
      <c r="P309" s="202" t="s">
        <v>4407</v>
      </c>
      <c r="Q309" s="203">
        <v>46030</v>
      </c>
      <c r="R309" s="203">
        <v>46031</v>
      </c>
      <c r="S309" s="203">
        <v>46036</v>
      </c>
      <c r="T309" s="203">
        <v>46045</v>
      </c>
      <c r="U309" s="203" t="s">
        <v>4408</v>
      </c>
      <c r="V309" s="203" t="s">
        <v>4408</v>
      </c>
      <c r="W309" s="202">
        <v>46055</v>
      </c>
      <c r="X309" s="202">
        <v>46057</v>
      </c>
      <c r="Y309" s="202"/>
      <c r="Z309" s="202"/>
      <c r="AA309" s="215" t="s">
        <v>5758</v>
      </c>
      <c r="AB309" s="214" t="s">
        <v>5759</v>
      </c>
      <c r="AC309" s="214" t="s">
        <v>5760</v>
      </c>
      <c r="AD309" s="207" t="s">
        <v>4402</v>
      </c>
      <c r="AE309" s="207" t="s">
        <v>4405</v>
      </c>
      <c r="AF309" s="242" t="s">
        <v>4409</v>
      </c>
      <c r="AG309" s="242" t="s">
        <v>4409</v>
      </c>
      <c r="AH309" s="207" t="s">
        <v>4410</v>
      </c>
      <c r="AI309" s="214" t="s">
        <v>4411</v>
      </c>
      <c r="AJ309" s="207"/>
      <c r="AK309" s="316"/>
      <c r="AL309" s="316"/>
      <c r="AM309" s="316"/>
      <c r="AN309" s="316"/>
      <c r="AO309" s="316"/>
      <c r="AP309" s="316"/>
      <c r="AQ309" s="314"/>
      <c r="AR309" s="315" t="str">
        <f t="shared" si="20"/>
        <v/>
      </c>
      <c r="AS309" s="207"/>
      <c r="AT309" s="207"/>
      <c r="AU309" s="220"/>
      <c r="AV309" s="207"/>
      <c r="AW309" s="207"/>
      <c r="AX309" s="228"/>
      <c r="AY309" s="207"/>
      <c r="AZ309" s="202"/>
      <c r="BA309" s="219"/>
      <c r="BB309" s="207"/>
      <c r="BC309" s="202"/>
      <c r="BD309" s="208"/>
      <c r="BE309" s="202"/>
      <c r="BF309" s="207"/>
      <c r="BG309" s="229"/>
      <c r="BH309" s="321" t="str">
        <f t="shared" si="21"/>
        <v/>
      </c>
      <c r="BI309" s="98" t="str">
        <f t="shared" si="22"/>
        <v>AA</v>
      </c>
      <c r="BJ309" s="98" t="str">
        <f t="shared" si="23"/>
        <v>NÃO</v>
      </c>
      <c r="BK309" s="230"/>
      <c r="BL309" s="230"/>
      <c r="BM309" s="230"/>
      <c r="BN309" s="230"/>
      <c r="BO309" s="230"/>
      <c r="BP309" s="230"/>
      <c r="BQ309" s="230"/>
      <c r="BR309" s="234"/>
    </row>
    <row r="310" spans="1:70" s="240" customFormat="1" ht="27" hidden="1" customHeight="1">
      <c r="A310" s="197">
        <v>306</v>
      </c>
      <c r="B310" s="197" t="s">
        <v>4396</v>
      </c>
      <c r="C310" s="207" t="s">
        <v>4427</v>
      </c>
      <c r="D310" s="207">
        <v>1</v>
      </c>
      <c r="E310" s="207" t="s">
        <v>4398</v>
      </c>
      <c r="F310" s="214" t="s">
        <v>5761</v>
      </c>
      <c r="G310" s="207" t="s">
        <v>4400</v>
      </c>
      <c r="H310" s="207" t="s">
        <v>4401</v>
      </c>
      <c r="I310" s="217" t="s">
        <v>4421</v>
      </c>
      <c r="J310" s="215" t="s">
        <v>5762</v>
      </c>
      <c r="K310" s="215" t="s">
        <v>5763</v>
      </c>
      <c r="L310" s="215" t="s">
        <v>5764</v>
      </c>
      <c r="M310" s="207" t="s">
        <v>4405</v>
      </c>
      <c r="N310" s="207" t="s">
        <v>4442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5762</v>
      </c>
      <c r="AB310" s="215" t="s">
        <v>5763</v>
      </c>
      <c r="AC310" s="215" t="s">
        <v>5764</v>
      </c>
      <c r="AD310" s="207" t="s">
        <v>4421</v>
      </c>
      <c r="AE310" s="207" t="s">
        <v>4405</v>
      </c>
      <c r="AF310" s="243">
        <v>131957.94</v>
      </c>
      <c r="AG310" s="243">
        <v>131957.94</v>
      </c>
      <c r="AH310" s="207" t="s">
        <v>4433</v>
      </c>
      <c r="AI310" s="214" t="s">
        <v>4411</v>
      </c>
      <c r="AJ310" s="207">
        <v>158069361</v>
      </c>
      <c r="AK310" s="316"/>
      <c r="AL310" s="316"/>
      <c r="AM310" s="316"/>
      <c r="AN310" s="316"/>
      <c r="AO310" s="316"/>
      <c r="AP310" s="316"/>
      <c r="AQ310" s="314"/>
      <c r="AR310" s="315" t="str">
        <f t="shared" si="20"/>
        <v/>
      </c>
      <c r="AS310" s="207"/>
      <c r="AT310" s="207"/>
      <c r="AU310" s="220"/>
      <c r="AV310" s="207"/>
      <c r="AW310" s="207"/>
      <c r="AX310" s="228"/>
      <c r="AY310" s="207"/>
      <c r="AZ310" s="202"/>
      <c r="BA310" s="219"/>
      <c r="BB310" s="207"/>
      <c r="BC310" s="202"/>
      <c r="BD310" s="208"/>
      <c r="BE310" s="202"/>
      <c r="BF310" s="207"/>
      <c r="BG310" s="229"/>
      <c r="BH310" s="321" t="str">
        <f t="shared" si="21"/>
        <v/>
      </c>
      <c r="BI310" s="98" t="str">
        <f t="shared" si="22"/>
        <v>INDENIZAÇÃO</v>
      </c>
      <c r="BJ310" s="98" t="str">
        <f t="shared" si="23"/>
        <v>NÃO</v>
      </c>
      <c r="BK310" s="230"/>
      <c r="BL310" s="230"/>
      <c r="BM310" s="230"/>
      <c r="BN310" s="230"/>
      <c r="BO310" s="230"/>
      <c r="BP310" s="230"/>
      <c r="BQ310" s="230"/>
      <c r="BR310" s="234"/>
    </row>
    <row r="311" spans="1:70" s="240" customFormat="1" ht="27" hidden="1" customHeight="1">
      <c r="A311" s="207">
        <v>307</v>
      </c>
      <c r="B311" s="197" t="s">
        <v>4396</v>
      </c>
      <c r="C311" s="207" t="s">
        <v>4427</v>
      </c>
      <c r="D311" s="207">
        <v>1</v>
      </c>
      <c r="E311" s="207" t="s">
        <v>4398</v>
      </c>
      <c r="F311" s="214" t="s">
        <v>5765</v>
      </c>
      <c r="G311" s="207" t="s">
        <v>4400</v>
      </c>
      <c r="H311" s="207" t="s">
        <v>4583</v>
      </c>
      <c r="I311" s="217" t="s">
        <v>4402</v>
      </c>
      <c r="J311" s="215" t="s">
        <v>5766</v>
      </c>
      <c r="K311" s="215" t="s">
        <v>4398</v>
      </c>
      <c r="L311" s="215" t="s">
        <v>5767</v>
      </c>
      <c r="M311" s="207" t="s">
        <v>4405</v>
      </c>
      <c r="N311" s="207" t="s">
        <v>4406</v>
      </c>
      <c r="O311" s="202">
        <v>46065</v>
      </c>
      <c r="P311" s="203" t="s">
        <v>4407</v>
      </c>
      <c r="Q311" s="202">
        <v>46072</v>
      </c>
      <c r="R311" s="202">
        <v>46065</v>
      </c>
      <c r="S311" s="202">
        <v>46080</v>
      </c>
      <c r="T311" s="202">
        <v>46083</v>
      </c>
      <c r="U311" s="202" t="s">
        <v>4408</v>
      </c>
      <c r="V311" s="202" t="s">
        <v>4408</v>
      </c>
      <c r="W311" s="203">
        <v>46055</v>
      </c>
      <c r="X311" s="203">
        <v>46091</v>
      </c>
      <c r="Y311" s="202"/>
      <c r="Z311" s="202"/>
      <c r="AA311" s="215" t="s">
        <v>5766</v>
      </c>
      <c r="AB311" s="215" t="s">
        <v>4398</v>
      </c>
      <c r="AC311" s="215" t="s">
        <v>5767</v>
      </c>
      <c r="AD311" s="21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>
        <v>46064</v>
      </c>
      <c r="AL311" s="316">
        <v>46064</v>
      </c>
      <c r="AM311" s="316">
        <v>46064</v>
      </c>
      <c r="AN311" s="316">
        <v>46064</v>
      </c>
      <c r="AO311" s="316">
        <v>46064</v>
      </c>
      <c r="AP311" s="316">
        <v>46064</v>
      </c>
      <c r="AQ311" s="314"/>
      <c r="AR311" s="315" t="str">
        <f t="shared" si="20"/>
        <v>FINALIZADO</v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207">
        <v>308</v>
      </c>
      <c r="B312" s="197" t="s">
        <v>4396</v>
      </c>
      <c r="C312" s="207" t="s">
        <v>4427</v>
      </c>
      <c r="D312" s="207">
        <v>1</v>
      </c>
      <c r="E312" s="207" t="s">
        <v>4398</v>
      </c>
      <c r="F312" s="214" t="s">
        <v>5768</v>
      </c>
      <c r="G312" s="207" t="s">
        <v>4400</v>
      </c>
      <c r="H312" s="207" t="s">
        <v>4401</v>
      </c>
      <c r="I312" s="217" t="s">
        <v>4402</v>
      </c>
      <c r="J312" s="215" t="s">
        <v>5769</v>
      </c>
      <c r="K312" s="215" t="s">
        <v>5770</v>
      </c>
      <c r="L312" s="215" t="s">
        <v>5771</v>
      </c>
      <c r="M312" s="207" t="s">
        <v>4405</v>
      </c>
      <c r="N312" s="207" t="s">
        <v>4406</v>
      </c>
      <c r="O312" s="202">
        <v>46002</v>
      </c>
      <c r="P312" s="202" t="s">
        <v>4407</v>
      </c>
      <c r="Q312" s="202">
        <v>45999</v>
      </c>
      <c r="R312" s="202">
        <v>46006</v>
      </c>
      <c r="S312" s="202">
        <v>46006</v>
      </c>
      <c r="T312" s="202">
        <v>46009</v>
      </c>
      <c r="U312" s="202" t="s">
        <v>4408</v>
      </c>
      <c r="V312" s="202" t="s">
        <v>4408</v>
      </c>
      <c r="W312" s="202">
        <v>46014</v>
      </c>
      <c r="X312" s="202">
        <v>46027</v>
      </c>
      <c r="Y312" s="202"/>
      <c r="Z312" s="202"/>
      <c r="AA312" s="215" t="s">
        <v>5769</v>
      </c>
      <c r="AB312" s="215" t="s">
        <v>5770</v>
      </c>
      <c r="AC312" s="215" t="s">
        <v>5771</v>
      </c>
      <c r="AD312" s="217" t="s">
        <v>4402</v>
      </c>
      <c r="AE312" s="217" t="s">
        <v>4405</v>
      </c>
      <c r="AF312" s="243" t="s">
        <v>4409</v>
      </c>
      <c r="AG312" s="243" t="s">
        <v>4409</v>
      </c>
      <c r="AH312" s="207" t="s">
        <v>4410</v>
      </c>
      <c r="AI312" s="214" t="s">
        <v>4411</v>
      </c>
      <c r="AJ312" s="207"/>
      <c r="AK312" s="316">
        <v>45986</v>
      </c>
      <c r="AL312" s="316">
        <v>45986</v>
      </c>
      <c r="AM312" s="316">
        <v>45986</v>
      </c>
      <c r="AN312" s="316">
        <v>45986</v>
      </c>
      <c r="AO312" s="316">
        <v>45986</v>
      </c>
      <c r="AP312" s="316">
        <v>45986</v>
      </c>
      <c r="AQ312" s="314"/>
      <c r="AR312" s="315" t="str">
        <f t="shared" si="20"/>
        <v>FINALIZADO</v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AA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309</v>
      </c>
      <c r="B313" s="197" t="s">
        <v>4396</v>
      </c>
      <c r="C313" s="207" t="s">
        <v>4427</v>
      </c>
      <c r="D313" s="207">
        <v>1</v>
      </c>
      <c r="E313" s="207" t="s">
        <v>4398</v>
      </c>
      <c r="F313" s="214" t="s">
        <v>5772</v>
      </c>
      <c r="G313" s="207" t="s">
        <v>4400</v>
      </c>
      <c r="H313" s="207" t="s">
        <v>4401</v>
      </c>
      <c r="I313" s="217" t="s">
        <v>4402</v>
      </c>
      <c r="J313" s="215" t="s">
        <v>5773</v>
      </c>
      <c r="K313" s="215" t="s">
        <v>5774</v>
      </c>
      <c r="L313" s="215" t="s">
        <v>5775</v>
      </c>
      <c r="M313" s="207" t="s">
        <v>4405</v>
      </c>
      <c r="N313" s="207" t="s">
        <v>4442</v>
      </c>
      <c r="O313" s="202" t="s">
        <v>4409</v>
      </c>
      <c r="P313" s="202" t="s">
        <v>4409</v>
      </c>
      <c r="Q313" s="202" t="s">
        <v>4409</v>
      </c>
      <c r="R313" s="202" t="s">
        <v>4409</v>
      </c>
      <c r="S313" s="202" t="s">
        <v>4409</v>
      </c>
      <c r="T313" s="202" t="s">
        <v>4409</v>
      </c>
      <c r="U313" s="202" t="s">
        <v>4409</v>
      </c>
      <c r="V313" s="202" t="s">
        <v>4409</v>
      </c>
      <c r="W313" s="202" t="s">
        <v>4409</v>
      </c>
      <c r="X313" s="202" t="s">
        <v>4409</v>
      </c>
      <c r="Y313" s="202"/>
      <c r="Z313" s="202"/>
      <c r="AA313" s="215" t="s">
        <v>5773</v>
      </c>
      <c r="AB313" s="214" t="s">
        <v>5774</v>
      </c>
      <c r="AC313" s="214" t="s">
        <v>5775</v>
      </c>
      <c r="AD313" s="207" t="s">
        <v>4402</v>
      </c>
      <c r="AE313" s="207" t="s">
        <v>4405</v>
      </c>
      <c r="AF313" s="218">
        <v>34925.14</v>
      </c>
      <c r="AG313" s="218">
        <v>60000</v>
      </c>
      <c r="AH313" s="207" t="s">
        <v>4433</v>
      </c>
      <c r="AI313" s="214" t="s">
        <v>4411</v>
      </c>
      <c r="AJ313" s="207">
        <v>147043485</v>
      </c>
      <c r="AK313" s="316">
        <v>46001</v>
      </c>
      <c r="AL313" s="316">
        <v>46001</v>
      </c>
      <c r="AM313" s="316">
        <v>46001</v>
      </c>
      <c r="AN313" s="316">
        <v>46001</v>
      </c>
      <c r="AO313" s="316">
        <v>46001</v>
      </c>
      <c r="AP313" s="316">
        <v>46001</v>
      </c>
      <c r="AQ313" s="314"/>
      <c r="AR313" s="315" t="str">
        <f t="shared" si="20"/>
        <v>FINALIZADO</v>
      </c>
      <c r="AS313" s="207" t="s">
        <v>4423</v>
      </c>
      <c r="AT313" s="207"/>
      <c r="AU313" s="220" t="s">
        <v>5776</v>
      </c>
      <c r="AV313" s="207" t="s">
        <v>4425</v>
      </c>
      <c r="AW313" s="207" t="s">
        <v>4425</v>
      </c>
      <c r="AX313" s="250" t="s">
        <v>4425</v>
      </c>
      <c r="AY313" s="207" t="s">
        <v>4425</v>
      </c>
      <c r="AZ313" s="202">
        <v>46056</v>
      </c>
      <c r="BA313" s="219" t="s">
        <v>4425</v>
      </c>
      <c r="BB313" s="207" t="s">
        <v>4425</v>
      </c>
      <c r="BC313" s="239">
        <v>46064</v>
      </c>
      <c r="BD313" s="226">
        <v>46064</v>
      </c>
      <c r="BE313" s="227" t="s">
        <v>4435</v>
      </c>
      <c r="BF313" s="228" t="s">
        <v>4436</v>
      </c>
      <c r="BG313" s="229" t="s">
        <v>4425</v>
      </c>
      <c r="BH313" s="321">
        <f t="shared" si="21"/>
        <v>63</v>
      </c>
      <c r="BI313" s="98" t="str">
        <f t="shared" si="22"/>
        <v>INDENIZAÇÃO</v>
      </c>
      <c r="BJ313" s="98" t="str">
        <f t="shared" si="23"/>
        <v>NÃO</v>
      </c>
      <c r="BK313" s="230" t="s">
        <v>4437</v>
      </c>
      <c r="BL313" s="230" t="s">
        <v>4437</v>
      </c>
      <c r="BM313" s="230" t="s">
        <v>4437</v>
      </c>
      <c r="BN313" s="265" t="s">
        <v>5732</v>
      </c>
      <c r="BO313" s="265"/>
      <c r="BP313" s="265"/>
      <c r="BQ313" s="265"/>
      <c r="BR313" s="231"/>
    </row>
    <row r="314" spans="1:70" s="240" customFormat="1" ht="27" hidden="1" customHeight="1">
      <c r="A314" s="197">
        <v>310</v>
      </c>
      <c r="B314" s="197" t="s">
        <v>4396</v>
      </c>
      <c r="C314" s="207" t="s">
        <v>4427</v>
      </c>
      <c r="D314" s="207">
        <v>1</v>
      </c>
      <c r="E314" s="207" t="s">
        <v>4398</v>
      </c>
      <c r="F314" s="214" t="s">
        <v>5777</v>
      </c>
      <c r="G314" s="207" t="s">
        <v>4400</v>
      </c>
      <c r="H314" s="207" t="s">
        <v>4401</v>
      </c>
      <c r="I314" s="217" t="s">
        <v>4402</v>
      </c>
      <c r="J314" s="215" t="s">
        <v>5778</v>
      </c>
      <c r="K314" s="215" t="s">
        <v>4398</v>
      </c>
      <c r="L314" s="215" t="s">
        <v>5779</v>
      </c>
      <c r="M314" s="207" t="s">
        <v>4405</v>
      </c>
      <c r="N314" s="207" t="s">
        <v>4406</v>
      </c>
      <c r="O314" s="202">
        <v>45986</v>
      </c>
      <c r="P314" s="203" t="s">
        <v>4407</v>
      </c>
      <c r="Q314" s="203">
        <v>45985</v>
      </c>
      <c r="R314" s="203">
        <v>45986</v>
      </c>
      <c r="S314" s="203">
        <v>45987</v>
      </c>
      <c r="T314" s="203">
        <v>45992</v>
      </c>
      <c r="U314" s="202" t="s">
        <v>4408</v>
      </c>
      <c r="V314" s="202" t="s">
        <v>4408</v>
      </c>
      <c r="W314" s="202">
        <v>45999</v>
      </c>
      <c r="X314" s="202">
        <v>46001</v>
      </c>
      <c r="Y314" s="202"/>
      <c r="Z314" s="207"/>
      <c r="AA314" s="215" t="s">
        <v>5778</v>
      </c>
      <c r="AB314" s="215" t="s">
        <v>4398</v>
      </c>
      <c r="AC314" s="215" t="s">
        <v>5779</v>
      </c>
      <c r="AD314" s="217" t="s">
        <v>4402</v>
      </c>
      <c r="AE314" s="217" t="s">
        <v>4405</v>
      </c>
      <c r="AF314" s="218" t="s">
        <v>4409</v>
      </c>
      <c r="AG314" s="218" t="s">
        <v>4409</v>
      </c>
      <c r="AH314" s="207" t="s">
        <v>4410</v>
      </c>
      <c r="AI314" s="214" t="s">
        <v>4411</v>
      </c>
      <c r="AJ314" s="207"/>
      <c r="AK314" s="316">
        <v>45980</v>
      </c>
      <c r="AL314" s="316">
        <v>45980</v>
      </c>
      <c r="AM314" s="316">
        <v>45980</v>
      </c>
      <c r="AN314" s="316">
        <v>45980</v>
      </c>
      <c r="AO314" s="316">
        <v>45980</v>
      </c>
      <c r="AP314" s="316">
        <v>45980</v>
      </c>
      <c r="AQ314" s="314"/>
      <c r="AR314" s="315" t="str">
        <f t="shared" si="20"/>
        <v>FINALIZADO</v>
      </c>
      <c r="AS314" s="207"/>
      <c r="AT314" s="207"/>
      <c r="AU314" s="220"/>
      <c r="AV314" s="207" t="s">
        <v>4409</v>
      </c>
      <c r="AW314" s="207" t="s">
        <v>4409</v>
      </c>
      <c r="AX314" s="228" t="s">
        <v>4409</v>
      </c>
      <c r="AY314" s="207" t="s">
        <v>4409</v>
      </c>
      <c r="AZ314" s="207" t="s">
        <v>4409</v>
      </c>
      <c r="BA314" s="207" t="s">
        <v>4409</v>
      </c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>
      <c r="A315" s="197">
        <v>311</v>
      </c>
      <c r="B315" s="197" t="s">
        <v>4396</v>
      </c>
      <c r="C315" s="207" t="s">
        <v>4427</v>
      </c>
      <c r="D315" s="207">
        <v>1</v>
      </c>
      <c r="E315" s="207" t="s">
        <v>4398</v>
      </c>
      <c r="F315" s="214" t="s">
        <v>5780</v>
      </c>
      <c r="G315" s="207" t="s">
        <v>4400</v>
      </c>
      <c r="H315" s="207" t="s">
        <v>4401</v>
      </c>
      <c r="I315" s="217" t="s">
        <v>4402</v>
      </c>
      <c r="J315" s="215" t="s">
        <v>5781</v>
      </c>
      <c r="K315" s="215" t="s">
        <v>5782</v>
      </c>
      <c r="L315" s="215" t="s">
        <v>5783</v>
      </c>
      <c r="M315" s="207" t="s">
        <v>4405</v>
      </c>
      <c r="N315" s="207" t="s">
        <v>4406</v>
      </c>
      <c r="O315" s="202">
        <v>46002</v>
      </c>
      <c r="P315" s="202" t="s">
        <v>4407</v>
      </c>
      <c r="Q315" s="202">
        <v>45999</v>
      </c>
      <c r="R315" s="202">
        <v>46006</v>
      </c>
      <c r="S315" s="202">
        <v>46006</v>
      </c>
      <c r="T315" s="202">
        <v>46009</v>
      </c>
      <c r="U315" s="202" t="s">
        <v>4408</v>
      </c>
      <c r="V315" s="202" t="s">
        <v>4408</v>
      </c>
      <c r="W315" s="202">
        <v>46014</v>
      </c>
      <c r="X315" s="202">
        <v>46027</v>
      </c>
      <c r="Y315" s="202"/>
      <c r="Z315" s="207"/>
      <c r="AA315" s="215" t="s">
        <v>5781</v>
      </c>
      <c r="AB315" s="215" t="s">
        <v>5782</v>
      </c>
      <c r="AC315" s="215" t="s">
        <v>5783</v>
      </c>
      <c r="AD315" s="217" t="s">
        <v>4402</v>
      </c>
      <c r="AE315" s="207" t="s">
        <v>4405</v>
      </c>
      <c r="AF315" s="218" t="s">
        <v>4409</v>
      </c>
      <c r="AG315" s="218" t="s">
        <v>4409</v>
      </c>
      <c r="AH315" s="207" t="s">
        <v>4410</v>
      </c>
      <c r="AI315" s="214" t="s">
        <v>4411</v>
      </c>
      <c r="AJ315" s="207"/>
      <c r="AK315" s="316">
        <v>45986</v>
      </c>
      <c r="AL315" s="316">
        <v>45986</v>
      </c>
      <c r="AM315" s="316">
        <v>45986</v>
      </c>
      <c r="AN315" s="316">
        <v>45986</v>
      </c>
      <c r="AO315" s="316">
        <v>45986</v>
      </c>
      <c r="AP315" s="316">
        <v>45986</v>
      </c>
      <c r="AQ315" s="314"/>
      <c r="AR315" s="315" t="str">
        <f t="shared" si="20"/>
        <v>FINALIZADO</v>
      </c>
      <c r="AS315" s="207"/>
      <c r="AT315" s="207"/>
      <c r="AU315" s="220"/>
      <c r="AV315" s="207"/>
      <c r="AW315" s="207"/>
      <c r="AX315" s="228"/>
      <c r="AY315" s="207"/>
      <c r="AZ315" s="202"/>
      <c r="BA315" s="219"/>
      <c r="BB315" s="207"/>
      <c r="BC315" s="202"/>
      <c r="BD315" s="208"/>
      <c r="BE315" s="202"/>
      <c r="BF315" s="207"/>
      <c r="BG315" s="229"/>
      <c r="BH315" s="321" t="str">
        <f t="shared" si="21"/>
        <v/>
      </c>
      <c r="BI315" s="98" t="str">
        <f t="shared" si="22"/>
        <v>AA</v>
      </c>
      <c r="BJ315" s="98" t="str">
        <f t="shared" si="23"/>
        <v>NÃO</v>
      </c>
      <c r="BK315" s="230"/>
      <c r="BL315" s="230"/>
      <c r="BM315" s="230"/>
      <c r="BN315" s="230"/>
      <c r="BO315" s="230"/>
      <c r="BP315" s="230"/>
      <c r="BQ315" s="230"/>
      <c r="BR315" s="234"/>
    </row>
    <row r="316" spans="1:70" s="240" customFormat="1" ht="27" hidden="1" customHeight="1">
      <c r="A316" s="207">
        <v>312</v>
      </c>
      <c r="B316" s="197" t="s">
        <v>4396</v>
      </c>
      <c r="C316" s="207" t="s">
        <v>4397</v>
      </c>
      <c r="D316" s="207">
        <v>1</v>
      </c>
      <c r="E316" s="207" t="s">
        <v>4398</v>
      </c>
      <c r="F316" s="214" t="s">
        <v>5780</v>
      </c>
      <c r="G316" s="207" t="s">
        <v>4400</v>
      </c>
      <c r="H316" s="207" t="s">
        <v>4401</v>
      </c>
      <c r="I316" s="217" t="s">
        <v>4402</v>
      </c>
      <c r="J316" s="215" t="s">
        <v>5784</v>
      </c>
      <c r="K316" s="215" t="s">
        <v>5785</v>
      </c>
      <c r="L316" s="215" t="s">
        <v>5786</v>
      </c>
      <c r="M316" s="207" t="s">
        <v>4405</v>
      </c>
      <c r="N316" s="207" t="s">
        <v>4406</v>
      </c>
      <c r="O316" s="202">
        <v>46217</v>
      </c>
      <c r="P316" s="202" t="s">
        <v>4407</v>
      </c>
      <c r="Q316" s="202">
        <v>46211</v>
      </c>
      <c r="R316" s="202">
        <v>46217</v>
      </c>
      <c r="S316" s="202"/>
      <c r="T316" s="202"/>
      <c r="U316" s="202"/>
      <c r="V316" s="202"/>
      <c r="W316" s="202"/>
      <c r="X316" s="202"/>
      <c r="Y316" s="202"/>
      <c r="Z316" s="207"/>
      <c r="AA316" s="215" t="s">
        <v>5784</v>
      </c>
      <c r="AB316" s="215" t="s">
        <v>5785</v>
      </c>
      <c r="AC316" s="215" t="s">
        <v>5786</v>
      </c>
      <c r="AD316" s="217" t="s">
        <v>4402</v>
      </c>
      <c r="AE316" s="20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46217</v>
      </c>
      <c r="AL316" s="316">
        <v>46217</v>
      </c>
      <c r="AM316" s="316">
        <v>46217</v>
      </c>
      <c r="AN316" s="316">
        <v>46217</v>
      </c>
      <c r="AO316" s="316">
        <v>46217</v>
      </c>
      <c r="AP316" s="316">
        <v>46217</v>
      </c>
      <c r="AQ316" s="314"/>
      <c r="AR316" s="315" t="str">
        <f t="shared" si="20"/>
        <v>FINALIZADO</v>
      </c>
      <c r="AS316" s="207"/>
      <c r="AT316" s="207"/>
      <c r="AU316" s="220"/>
      <c r="AV316" s="207"/>
      <c r="AW316" s="207"/>
      <c r="AX316" s="228"/>
      <c r="AY316" s="207"/>
      <c r="AZ316" s="202"/>
      <c r="BA316" s="219"/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207">
        <v>313</v>
      </c>
      <c r="B317" s="197" t="s">
        <v>4396</v>
      </c>
      <c r="C317" s="207" t="s">
        <v>4397</v>
      </c>
      <c r="D317" s="207">
        <v>1</v>
      </c>
      <c r="E317" s="207" t="s">
        <v>4398</v>
      </c>
      <c r="F317" s="214" t="s">
        <v>5787</v>
      </c>
      <c r="G317" s="207" t="s">
        <v>4400</v>
      </c>
      <c r="H317" s="207" t="s">
        <v>4401</v>
      </c>
      <c r="I317" s="217" t="s">
        <v>4402</v>
      </c>
      <c r="J317" s="215" t="s">
        <v>5788</v>
      </c>
      <c r="K317" s="215" t="s">
        <v>5789</v>
      </c>
      <c r="L317" s="215" t="s">
        <v>5790</v>
      </c>
      <c r="M317" s="207" t="s">
        <v>4405</v>
      </c>
      <c r="N317" s="207" t="s">
        <v>4406</v>
      </c>
      <c r="O317" s="202">
        <v>46217</v>
      </c>
      <c r="P317" s="202" t="s">
        <v>4407</v>
      </c>
      <c r="Q317" s="202">
        <v>46211</v>
      </c>
      <c r="R317" s="202">
        <v>46217</v>
      </c>
      <c r="S317" s="202"/>
      <c r="T317" s="202"/>
      <c r="U317" s="202"/>
      <c r="V317" s="202"/>
      <c r="W317" s="202"/>
      <c r="X317" s="202"/>
      <c r="Y317" s="202"/>
      <c r="Z317" s="207"/>
      <c r="AA317" s="215" t="s">
        <v>5788</v>
      </c>
      <c r="AB317" s="215" t="s">
        <v>5789</v>
      </c>
      <c r="AC317" s="215" t="s">
        <v>5790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46217</v>
      </c>
      <c r="AL317" s="316">
        <v>46217</v>
      </c>
      <c r="AM317" s="316">
        <v>46217</v>
      </c>
      <c r="AN317" s="316">
        <v>46217</v>
      </c>
      <c r="AO317" s="316">
        <v>46217</v>
      </c>
      <c r="AP317" s="316">
        <v>46217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314</v>
      </c>
      <c r="B318" s="197" t="s">
        <v>4396</v>
      </c>
      <c r="C318" s="207" t="s">
        <v>4427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5792</v>
      </c>
      <c r="K318" s="215" t="s">
        <v>5793</v>
      </c>
      <c r="L318" s="215" t="s">
        <v>5794</v>
      </c>
      <c r="M318" s="207" t="s">
        <v>4405</v>
      </c>
      <c r="N318" s="207" t="s">
        <v>4406</v>
      </c>
      <c r="O318" s="202">
        <v>46106</v>
      </c>
      <c r="P318" s="202" t="s">
        <v>4407</v>
      </c>
      <c r="Q318" s="202">
        <v>46106</v>
      </c>
      <c r="R318" s="202">
        <v>46107</v>
      </c>
      <c r="S318" s="202">
        <v>46111</v>
      </c>
      <c r="T318" s="202">
        <v>46087</v>
      </c>
      <c r="U318" s="202" t="s">
        <v>4408</v>
      </c>
      <c r="V318" s="202" t="s">
        <v>4408</v>
      </c>
      <c r="W318" s="202">
        <v>46132</v>
      </c>
      <c r="X318" s="202">
        <v>46129</v>
      </c>
      <c r="Y318" s="202"/>
      <c r="Z318" s="207"/>
      <c r="AA318" s="215" t="s">
        <v>5792</v>
      </c>
      <c r="AB318" s="215" t="s">
        <v>5793</v>
      </c>
      <c r="AC318" s="215" t="s">
        <v>5794</v>
      </c>
      <c r="AD318" s="20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45996</v>
      </c>
      <c r="AL318" s="316">
        <v>45996</v>
      </c>
      <c r="AM318" s="316">
        <v>45996</v>
      </c>
      <c r="AN318" s="316">
        <v>45996</v>
      </c>
      <c r="AO318" s="316">
        <v>45996</v>
      </c>
      <c r="AP318" s="316">
        <v>45996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customHeight="1">
      <c r="A319" s="197">
        <v>315</v>
      </c>
      <c r="B319" s="197" t="s">
        <v>4396</v>
      </c>
      <c r="C319" s="207" t="s">
        <v>4413</v>
      </c>
      <c r="D319" s="207">
        <v>1</v>
      </c>
      <c r="E319" s="207" t="s">
        <v>4398</v>
      </c>
      <c r="F319" s="214" t="s">
        <v>5791</v>
      </c>
      <c r="G319" s="207" t="s">
        <v>4400</v>
      </c>
      <c r="H319" s="207" t="s">
        <v>4401</v>
      </c>
      <c r="I319" s="207" t="s">
        <v>4402</v>
      </c>
      <c r="J319" s="215" t="s">
        <v>5795</v>
      </c>
      <c r="K319" s="215" t="s">
        <v>5796</v>
      </c>
      <c r="L319" s="215" t="s">
        <v>5797</v>
      </c>
      <c r="M319" s="207" t="s">
        <v>4405</v>
      </c>
      <c r="N319" s="207" t="s">
        <v>4442</v>
      </c>
      <c r="O319" s="202" t="s">
        <v>4409</v>
      </c>
      <c r="P319" s="202" t="s">
        <v>4409</v>
      </c>
      <c r="Q319" s="202" t="s">
        <v>4409</v>
      </c>
      <c r="R319" s="202" t="s">
        <v>4409</v>
      </c>
      <c r="S319" s="202" t="s">
        <v>4409</v>
      </c>
      <c r="T319" s="202" t="s">
        <v>4409</v>
      </c>
      <c r="U319" s="202" t="s">
        <v>4409</v>
      </c>
      <c r="V319" s="202" t="s">
        <v>4409</v>
      </c>
      <c r="W319" s="202" t="s">
        <v>4409</v>
      </c>
      <c r="X319" s="202" t="s">
        <v>4409</v>
      </c>
      <c r="Y319" s="202"/>
      <c r="Z319" s="219"/>
      <c r="AA319" s="215" t="s">
        <v>5795</v>
      </c>
      <c r="AB319" s="215" t="s">
        <v>5796</v>
      </c>
      <c r="AC319" s="215" t="s">
        <v>5797</v>
      </c>
      <c r="AD319" s="207" t="s">
        <v>4402</v>
      </c>
      <c r="AE319" s="207" t="s">
        <v>4405</v>
      </c>
      <c r="AF319" s="218">
        <v>107456.92</v>
      </c>
      <c r="AG319" s="218">
        <v>107456.92</v>
      </c>
      <c r="AH319" s="207" t="s">
        <v>4422</v>
      </c>
      <c r="AI319" s="214" t="s">
        <v>4411</v>
      </c>
      <c r="AJ319" s="207">
        <v>153002140</v>
      </c>
      <c r="AK319" s="316">
        <v>46112</v>
      </c>
      <c r="AL319" s="316">
        <v>46112</v>
      </c>
      <c r="AM319" s="316">
        <v>46112</v>
      </c>
      <c r="AN319" s="316">
        <v>46112</v>
      </c>
      <c r="AO319" s="316">
        <v>46112</v>
      </c>
      <c r="AP319" s="316">
        <v>46112</v>
      </c>
      <c r="AQ319" s="314"/>
      <c r="AR319" s="315" t="str">
        <f t="shared" si="20"/>
        <v>FINALIZADO</v>
      </c>
      <c r="AS319" s="207" t="s">
        <v>4423</v>
      </c>
      <c r="AT319" s="207"/>
      <c r="AU319" s="220" t="s">
        <v>5798</v>
      </c>
      <c r="AV319" s="207" t="s">
        <v>4425</v>
      </c>
      <c r="AW319" s="207" t="s">
        <v>4425</v>
      </c>
      <c r="AX319" s="207" t="s">
        <v>4425</v>
      </c>
      <c r="AY319" s="207" t="s">
        <v>4425</v>
      </c>
      <c r="AZ319" s="202">
        <v>46189</v>
      </c>
      <c r="BA319" s="207" t="s">
        <v>4425</v>
      </c>
      <c r="BB319" s="207" t="s">
        <v>4425</v>
      </c>
      <c r="BC319" s="202">
        <v>46196</v>
      </c>
      <c r="BD319" s="226">
        <v>46196</v>
      </c>
      <c r="BE319" s="227" t="s">
        <v>4435</v>
      </c>
      <c r="BF319" s="228" t="s">
        <v>4436</v>
      </c>
      <c r="BG319" s="219" t="s">
        <v>4425</v>
      </c>
      <c r="BH319" s="321">
        <f t="shared" si="21"/>
        <v>84</v>
      </c>
      <c r="BI319" s="98" t="str">
        <f t="shared" si="22"/>
        <v>INDENIZAÇÃO</v>
      </c>
      <c r="BJ319" s="98" t="str">
        <f t="shared" si="23"/>
        <v>NÃO</v>
      </c>
      <c r="BK319" s="219" t="s">
        <v>4437</v>
      </c>
      <c r="BL319" s="219" t="s">
        <v>4437</v>
      </c>
      <c r="BM319" s="219" t="s">
        <v>4437</v>
      </c>
      <c r="BN319" s="257" t="s">
        <v>5732</v>
      </c>
      <c r="BO319" s="257"/>
      <c r="BP319" s="257"/>
      <c r="BQ319" s="257"/>
      <c r="BR319" s="258"/>
    </row>
    <row r="320" spans="1:70" s="240" customFormat="1" ht="27" hidden="1" customHeight="1">
      <c r="A320" s="197">
        <v>316</v>
      </c>
      <c r="B320" s="197" t="s">
        <v>4396</v>
      </c>
      <c r="C320" s="207" t="s">
        <v>4397</v>
      </c>
      <c r="D320" s="207">
        <v>1</v>
      </c>
      <c r="E320" s="207" t="s">
        <v>4398</v>
      </c>
      <c r="F320" s="214" t="s">
        <v>5791</v>
      </c>
      <c r="G320" s="207" t="s">
        <v>4400</v>
      </c>
      <c r="H320" s="207" t="s">
        <v>4401</v>
      </c>
      <c r="I320" s="217" t="s">
        <v>4402</v>
      </c>
      <c r="J320" s="215" t="s">
        <v>5799</v>
      </c>
      <c r="K320" s="215" t="s">
        <v>5800</v>
      </c>
      <c r="L320" s="215" t="s">
        <v>5801</v>
      </c>
      <c r="M320" s="207" t="s">
        <v>4405</v>
      </c>
      <c r="N320" s="207" t="s">
        <v>4442</v>
      </c>
      <c r="O320" s="202" t="s">
        <v>4409</v>
      </c>
      <c r="P320" s="202" t="s">
        <v>4409</v>
      </c>
      <c r="Q320" s="202" t="s">
        <v>4409</v>
      </c>
      <c r="R320" s="202" t="s">
        <v>4409</v>
      </c>
      <c r="S320" s="202" t="s">
        <v>4409</v>
      </c>
      <c r="T320" s="202" t="s">
        <v>4409</v>
      </c>
      <c r="U320" s="202" t="s">
        <v>4409</v>
      </c>
      <c r="V320" s="202" t="s">
        <v>4409</v>
      </c>
      <c r="W320" s="202" t="s">
        <v>4409</v>
      </c>
      <c r="X320" s="202" t="s">
        <v>4409</v>
      </c>
      <c r="Y320" s="202"/>
      <c r="Z320" s="202"/>
      <c r="AA320" s="215" t="s">
        <v>5799</v>
      </c>
      <c r="AB320" s="215" t="s">
        <v>5800</v>
      </c>
      <c r="AC320" s="215" t="s">
        <v>5801</v>
      </c>
      <c r="AD320" s="207" t="s">
        <v>4402</v>
      </c>
      <c r="AE320" s="207" t="s">
        <v>4405</v>
      </c>
      <c r="AF320" s="218">
        <v>65393.440000000002</v>
      </c>
      <c r="AG320" s="218">
        <v>65393.440000000002</v>
      </c>
      <c r="AH320" s="207" t="s">
        <v>4433</v>
      </c>
      <c r="AI320" s="214" t="s">
        <v>4411</v>
      </c>
      <c r="AJ320" s="207">
        <v>151550519</v>
      </c>
      <c r="AK320" s="316">
        <v>46142</v>
      </c>
      <c r="AL320" s="316">
        <v>46142</v>
      </c>
      <c r="AM320" s="316">
        <v>46142</v>
      </c>
      <c r="AN320" s="316">
        <v>46142</v>
      </c>
      <c r="AO320" s="316">
        <v>46142</v>
      </c>
      <c r="AP320" s="316">
        <v>46142</v>
      </c>
      <c r="AQ320" s="314"/>
      <c r="AR320" s="315" t="str">
        <f t="shared" si="20"/>
        <v>FINALIZADO</v>
      </c>
      <c r="AS320" s="207" t="s">
        <v>4423</v>
      </c>
      <c r="AT320" s="262"/>
      <c r="AU320" s="220" t="s">
        <v>5802</v>
      </c>
      <c r="AV320" s="262" t="s">
        <v>4425</v>
      </c>
      <c r="AW320" s="219" t="s">
        <v>4425</v>
      </c>
      <c r="AX320" s="219" t="s">
        <v>4425</v>
      </c>
      <c r="AY320" s="219" t="s">
        <v>4425</v>
      </c>
      <c r="AZ320" s="202">
        <v>46216</v>
      </c>
      <c r="BA320" s="262" t="s">
        <v>4425</v>
      </c>
      <c r="BB320" s="262" t="s">
        <v>4425</v>
      </c>
      <c r="BC320" s="202">
        <v>46223</v>
      </c>
      <c r="BD320" s="264">
        <v>46223</v>
      </c>
      <c r="BE320" s="257" t="s">
        <v>4435</v>
      </c>
      <c r="BF320" s="228" t="s">
        <v>4436</v>
      </c>
      <c r="BG320" s="229" t="s">
        <v>4425</v>
      </c>
      <c r="BH320" s="321">
        <f t="shared" si="21"/>
        <v>81</v>
      </c>
      <c r="BI320" s="98" t="str">
        <f t="shared" si="22"/>
        <v>INDENIZAÇÃO</v>
      </c>
      <c r="BJ320" s="98" t="str">
        <f t="shared" si="23"/>
        <v>NÃO</v>
      </c>
      <c r="BK320" s="230" t="s">
        <v>4437</v>
      </c>
      <c r="BL320" s="230" t="s">
        <v>4437</v>
      </c>
      <c r="BM320" s="230" t="s">
        <v>4437</v>
      </c>
      <c r="BN320" s="265" t="s">
        <v>5732</v>
      </c>
      <c r="BO320" s="265"/>
      <c r="BP320" s="265"/>
      <c r="BQ320" s="265"/>
      <c r="BR320" s="231"/>
    </row>
    <row r="321" spans="1:72" s="240" customFormat="1" ht="27" hidden="1" customHeight="1">
      <c r="A321" s="207">
        <v>317</v>
      </c>
      <c r="B321" s="197" t="s">
        <v>4396</v>
      </c>
      <c r="C321" s="207" t="s">
        <v>4397</v>
      </c>
      <c r="D321" s="207">
        <v>1</v>
      </c>
      <c r="E321" s="207" t="s">
        <v>4398</v>
      </c>
      <c r="F321" s="214" t="s">
        <v>5803</v>
      </c>
      <c r="G321" s="207" t="s">
        <v>4400</v>
      </c>
      <c r="H321" s="207" t="s">
        <v>4401</v>
      </c>
      <c r="I321" s="217" t="s">
        <v>4402</v>
      </c>
      <c r="J321" s="215" t="s">
        <v>5804</v>
      </c>
      <c r="K321" s="215" t="s">
        <v>4440</v>
      </c>
      <c r="L321" s="215" t="s">
        <v>5805</v>
      </c>
      <c r="M321" s="207" t="s">
        <v>4405</v>
      </c>
      <c r="N321" s="207" t="s">
        <v>4406</v>
      </c>
      <c r="O321" s="202">
        <v>46084</v>
      </c>
      <c r="P321" s="202" t="s">
        <v>4407</v>
      </c>
      <c r="Q321" s="202">
        <v>46083</v>
      </c>
      <c r="R321" s="203">
        <v>46084</v>
      </c>
      <c r="S321" s="203">
        <v>46087</v>
      </c>
      <c r="T321" s="203">
        <v>46090</v>
      </c>
      <c r="U321" s="202" t="s">
        <v>4408</v>
      </c>
      <c r="V321" s="202" t="s">
        <v>4408</v>
      </c>
      <c r="W321" s="202">
        <v>46101</v>
      </c>
      <c r="X321" s="202">
        <v>46101</v>
      </c>
      <c r="Y321" s="203"/>
      <c r="Z321" s="219"/>
      <c r="AA321" s="215" t="s">
        <v>5804</v>
      </c>
      <c r="AB321" s="215" t="s">
        <v>4440</v>
      </c>
      <c r="AC321" s="215" t="s">
        <v>5805</v>
      </c>
      <c r="AD321" s="217" t="s">
        <v>4402</v>
      </c>
      <c r="AE321" s="207" t="s">
        <v>4405</v>
      </c>
      <c r="AF321" s="218" t="s">
        <v>4409</v>
      </c>
      <c r="AG321" s="218" t="s">
        <v>4409</v>
      </c>
      <c r="AH321" s="207" t="s">
        <v>4410</v>
      </c>
      <c r="AI321" s="214" t="s">
        <v>4411</v>
      </c>
      <c r="AJ321" s="207"/>
      <c r="AK321" s="316">
        <v>46080</v>
      </c>
      <c r="AL321" s="316">
        <v>46080</v>
      </c>
      <c r="AM321" s="316">
        <v>46080</v>
      </c>
      <c r="AN321" s="316">
        <v>46080</v>
      </c>
      <c r="AO321" s="316">
        <v>46080</v>
      </c>
      <c r="AP321" s="316">
        <v>46080</v>
      </c>
      <c r="AQ321" s="314"/>
      <c r="AR321" s="315" t="str">
        <f t="shared" si="20"/>
        <v>FINALIZADO</v>
      </c>
      <c r="AS321" s="207"/>
      <c r="AT321" s="219"/>
      <c r="AU321" s="220"/>
      <c r="AV321" s="219"/>
      <c r="AW321" s="219"/>
      <c r="AX321" s="219"/>
      <c r="AY321" s="219"/>
      <c r="AZ321" s="219"/>
      <c r="BA321" s="219"/>
      <c r="BB321" s="219"/>
      <c r="BC321" s="219"/>
      <c r="BD321" s="208"/>
      <c r="BE321" s="203"/>
      <c r="BF321" s="219"/>
      <c r="BG321" s="219"/>
      <c r="BH321" s="321" t="str">
        <f t="shared" si="21"/>
        <v/>
      </c>
      <c r="BI321" s="98" t="str">
        <f t="shared" si="22"/>
        <v>AA</v>
      </c>
      <c r="BJ321" s="98" t="str">
        <f t="shared" si="23"/>
        <v>NÃO</v>
      </c>
      <c r="BK321" s="219"/>
      <c r="BL321" s="221"/>
      <c r="BM321" s="221"/>
      <c r="BN321" s="219"/>
      <c r="BO321" s="219"/>
      <c r="BP321" s="219"/>
      <c r="BQ321" s="219"/>
      <c r="BR321" s="222"/>
    </row>
    <row r="322" spans="1:72" s="240" customFormat="1" ht="27" hidden="1" customHeight="1">
      <c r="A322" s="207">
        <v>318</v>
      </c>
      <c r="B322" s="197" t="s">
        <v>4396</v>
      </c>
      <c r="C322" s="207" t="s">
        <v>4427</v>
      </c>
      <c r="D322" s="207">
        <v>1</v>
      </c>
      <c r="E322" s="207" t="s">
        <v>4398</v>
      </c>
      <c r="F322" s="214" t="s">
        <v>5806</v>
      </c>
      <c r="G322" s="207" t="s">
        <v>4400</v>
      </c>
      <c r="H322" s="207" t="s">
        <v>4401</v>
      </c>
      <c r="I322" s="217" t="s">
        <v>4402</v>
      </c>
      <c r="J322" s="215" t="s">
        <v>5807</v>
      </c>
      <c r="K322" s="215" t="s">
        <v>5808</v>
      </c>
      <c r="L322" s="215" t="s">
        <v>5809</v>
      </c>
      <c r="M322" s="207" t="s">
        <v>4405</v>
      </c>
      <c r="N322" s="207" t="s">
        <v>4406</v>
      </c>
      <c r="O322" s="202">
        <v>46002</v>
      </c>
      <c r="P322" s="202" t="s">
        <v>4407</v>
      </c>
      <c r="Q322" s="202">
        <v>45999</v>
      </c>
      <c r="R322" s="202">
        <v>46006</v>
      </c>
      <c r="S322" s="202">
        <v>46006</v>
      </c>
      <c r="T322" s="202">
        <v>46009</v>
      </c>
      <c r="U322" s="202" t="s">
        <v>4408</v>
      </c>
      <c r="V322" s="202" t="s">
        <v>4408</v>
      </c>
      <c r="W322" s="202">
        <v>46014</v>
      </c>
      <c r="X322" s="202">
        <v>46017</v>
      </c>
      <c r="Y322" s="202"/>
      <c r="Z322" s="207"/>
      <c r="AA322" s="215" t="s">
        <v>5807</v>
      </c>
      <c r="AB322" s="215" t="s">
        <v>5808</v>
      </c>
      <c r="AC322" s="215" t="s">
        <v>5809</v>
      </c>
      <c r="AD322" s="217" t="s">
        <v>4402</v>
      </c>
      <c r="AE322" s="207" t="s">
        <v>4405</v>
      </c>
      <c r="AF322" s="218" t="s">
        <v>4409</v>
      </c>
      <c r="AG322" s="218" t="s">
        <v>4409</v>
      </c>
      <c r="AH322" s="207" t="s">
        <v>4410</v>
      </c>
      <c r="AI322" s="214" t="s">
        <v>4411</v>
      </c>
      <c r="AJ322" s="207"/>
      <c r="AK322" s="316">
        <v>45986</v>
      </c>
      <c r="AL322" s="316">
        <v>45986</v>
      </c>
      <c r="AM322" s="316">
        <v>45986</v>
      </c>
      <c r="AN322" s="316">
        <v>45986</v>
      </c>
      <c r="AO322" s="316">
        <v>45986</v>
      </c>
      <c r="AP322" s="316">
        <v>45986</v>
      </c>
      <c r="AQ322" s="314"/>
      <c r="AR322" s="315" t="str">
        <f t="shared" si="20"/>
        <v>FINALIZADO</v>
      </c>
      <c r="AS322" s="207"/>
      <c r="AT322" s="207"/>
      <c r="AU322" s="220"/>
      <c r="AV322" s="207"/>
      <c r="AW322" s="207"/>
      <c r="AX322" s="207"/>
      <c r="AY322" s="207"/>
      <c r="AZ322" s="202"/>
      <c r="BA322" s="219"/>
      <c r="BB322" s="207"/>
      <c r="BC322" s="202"/>
      <c r="BD322" s="208"/>
      <c r="BE322" s="202"/>
      <c r="BF322" s="207"/>
      <c r="BG322" s="229"/>
      <c r="BH322" s="321" t="str">
        <f t="shared" si="21"/>
        <v/>
      </c>
      <c r="BI322" s="98" t="str">
        <f t="shared" si="22"/>
        <v>AA</v>
      </c>
      <c r="BJ322" s="98" t="str">
        <f t="shared" si="23"/>
        <v>NÃO</v>
      </c>
      <c r="BK322" s="230"/>
      <c r="BL322" s="230"/>
      <c r="BM322" s="230"/>
      <c r="BN322" s="230"/>
      <c r="BO322" s="230"/>
      <c r="BP322" s="230"/>
      <c r="BQ322" s="230"/>
      <c r="BR322" s="234"/>
    </row>
    <row r="323" spans="1:72" s="240" customFormat="1" ht="27" customHeight="1">
      <c r="A323" s="207">
        <v>319</v>
      </c>
      <c r="B323" s="197" t="s">
        <v>4396</v>
      </c>
      <c r="C323" s="207" t="s">
        <v>4413</v>
      </c>
      <c r="D323" s="207">
        <v>1</v>
      </c>
      <c r="E323" s="207" t="s">
        <v>4398</v>
      </c>
      <c r="F323" s="214" t="s">
        <v>5806</v>
      </c>
      <c r="G323" s="207" t="s">
        <v>4400</v>
      </c>
      <c r="H323" s="207" t="s">
        <v>4401</v>
      </c>
      <c r="I323" s="207" t="s">
        <v>4402</v>
      </c>
      <c r="J323" s="215" t="s">
        <v>5810</v>
      </c>
      <c r="K323" s="215" t="s">
        <v>5811</v>
      </c>
      <c r="L323" s="215" t="s">
        <v>5812</v>
      </c>
      <c r="M323" s="207" t="s">
        <v>4405</v>
      </c>
      <c r="N323" s="207" t="s">
        <v>4442</v>
      </c>
      <c r="O323" s="202" t="s">
        <v>4409</v>
      </c>
      <c r="P323" s="202" t="s">
        <v>4409</v>
      </c>
      <c r="Q323" s="202" t="s">
        <v>4409</v>
      </c>
      <c r="R323" s="202" t="s">
        <v>4409</v>
      </c>
      <c r="S323" s="202" t="s">
        <v>4409</v>
      </c>
      <c r="T323" s="202" t="s">
        <v>4409</v>
      </c>
      <c r="U323" s="202" t="s">
        <v>4409</v>
      </c>
      <c r="V323" s="202" t="s">
        <v>4409</v>
      </c>
      <c r="W323" s="202" t="s">
        <v>4409</v>
      </c>
      <c r="X323" s="202" t="s">
        <v>4409</v>
      </c>
      <c r="Y323" s="202"/>
      <c r="Z323" s="219"/>
      <c r="AA323" s="215" t="s">
        <v>5810</v>
      </c>
      <c r="AB323" s="215" t="s">
        <v>5811</v>
      </c>
      <c r="AC323" s="215" t="s">
        <v>5812</v>
      </c>
      <c r="AD323" s="207" t="s">
        <v>4402</v>
      </c>
      <c r="AE323" s="207" t="s">
        <v>4405</v>
      </c>
      <c r="AF323" s="218">
        <v>47777.760000000002</v>
      </c>
      <c r="AG323" s="218">
        <v>60000</v>
      </c>
      <c r="AH323" s="207" t="s">
        <v>4422</v>
      </c>
      <c r="AI323" s="214" t="s">
        <v>4411</v>
      </c>
      <c r="AJ323" s="207">
        <v>153002206</v>
      </c>
      <c r="AK323" s="316">
        <v>46112</v>
      </c>
      <c r="AL323" s="316">
        <v>46112</v>
      </c>
      <c r="AM323" s="316">
        <v>46112</v>
      </c>
      <c r="AN323" s="316">
        <v>46112</v>
      </c>
      <c r="AO323" s="316">
        <v>46112</v>
      </c>
      <c r="AP323" s="316">
        <v>46112</v>
      </c>
      <c r="AQ323" s="314"/>
      <c r="AR323" s="315" t="str">
        <f t="shared" si="20"/>
        <v>FINALIZADO</v>
      </c>
      <c r="AS323" s="207" t="s">
        <v>4423</v>
      </c>
      <c r="AT323" s="207"/>
      <c r="AU323" s="220" t="s">
        <v>5813</v>
      </c>
      <c r="AV323" s="160" t="s">
        <v>4425</v>
      </c>
      <c r="AW323" s="207" t="s">
        <v>4425</v>
      </c>
      <c r="AX323" s="250" t="s">
        <v>4425</v>
      </c>
      <c r="AY323" s="207" t="s">
        <v>4425</v>
      </c>
      <c r="AZ323" s="202">
        <v>46153</v>
      </c>
      <c r="BA323" s="207" t="s">
        <v>4425</v>
      </c>
      <c r="BB323" s="207" t="s">
        <v>4425</v>
      </c>
      <c r="BC323" s="202">
        <v>46160</v>
      </c>
      <c r="BD323" s="227">
        <v>46160</v>
      </c>
      <c r="BE323" s="228" t="s">
        <v>4435</v>
      </c>
      <c r="BF323" s="228" t="s">
        <v>4436</v>
      </c>
      <c r="BG323" s="219" t="s">
        <v>4425</v>
      </c>
      <c r="BH323" s="321">
        <f t="shared" si="21"/>
        <v>48</v>
      </c>
      <c r="BI323" s="98" t="str">
        <f t="shared" si="22"/>
        <v>INDENIZAÇÃO</v>
      </c>
      <c r="BJ323" s="98" t="str">
        <f t="shared" si="23"/>
        <v>NÃO</v>
      </c>
      <c r="BK323" s="219" t="s">
        <v>4437</v>
      </c>
      <c r="BL323" s="219" t="s">
        <v>4437</v>
      </c>
      <c r="BM323" s="219" t="s">
        <v>4437</v>
      </c>
      <c r="BN323" s="257" t="s">
        <v>5732</v>
      </c>
      <c r="BO323" s="257"/>
      <c r="BP323" s="257"/>
      <c r="BQ323" s="257"/>
      <c r="BR323" s="258"/>
    </row>
    <row r="324" spans="1:72" s="240" customFormat="1" ht="27" hidden="1" customHeight="1">
      <c r="A324" s="197">
        <v>320</v>
      </c>
      <c r="B324" s="197" t="s">
        <v>4396</v>
      </c>
      <c r="C324" s="207" t="s">
        <v>4427</v>
      </c>
      <c r="D324" s="207">
        <v>1</v>
      </c>
      <c r="E324" s="207" t="s">
        <v>4398</v>
      </c>
      <c r="F324" s="214" t="s">
        <v>5814</v>
      </c>
      <c r="G324" s="207" t="s">
        <v>4400</v>
      </c>
      <c r="H324" s="207" t="s">
        <v>4401</v>
      </c>
      <c r="I324" s="217" t="s">
        <v>4402</v>
      </c>
      <c r="J324" s="215" t="s">
        <v>5815</v>
      </c>
      <c r="K324" s="215" t="s">
        <v>4398</v>
      </c>
      <c r="L324" s="215" t="s">
        <v>5816</v>
      </c>
      <c r="M324" s="207" t="s">
        <v>4405</v>
      </c>
      <c r="N324" s="207" t="s">
        <v>4442</v>
      </c>
      <c r="O324" s="202" t="s">
        <v>4409</v>
      </c>
      <c r="P324" s="202" t="s">
        <v>4409</v>
      </c>
      <c r="Q324" s="202" t="s">
        <v>4409</v>
      </c>
      <c r="R324" s="202" t="s">
        <v>4409</v>
      </c>
      <c r="S324" s="202" t="s">
        <v>4409</v>
      </c>
      <c r="T324" s="202" t="s">
        <v>4409</v>
      </c>
      <c r="U324" s="202" t="s">
        <v>4409</v>
      </c>
      <c r="V324" s="202" t="s">
        <v>4409</v>
      </c>
      <c r="W324" s="202" t="s">
        <v>4409</v>
      </c>
      <c r="X324" s="202" t="s">
        <v>4409</v>
      </c>
      <c r="Y324" s="202"/>
      <c r="Z324" s="207"/>
      <c r="AA324" s="215" t="s">
        <v>5815</v>
      </c>
      <c r="AB324" s="215" t="s">
        <v>4398</v>
      </c>
      <c r="AC324" s="215" t="s">
        <v>5816</v>
      </c>
      <c r="AD324" s="207" t="s">
        <v>4402</v>
      </c>
      <c r="AE324" s="207" t="s">
        <v>4405</v>
      </c>
      <c r="AF324" s="218">
        <v>21556.67</v>
      </c>
      <c r="AG324" s="218">
        <f>AF324+30000</f>
        <v>51556.67</v>
      </c>
      <c r="AH324" s="207" t="s">
        <v>4433</v>
      </c>
      <c r="AI324" s="214" t="s">
        <v>4411</v>
      </c>
      <c r="AJ324" s="207">
        <v>147043603</v>
      </c>
      <c r="AK324" s="316">
        <v>46064</v>
      </c>
      <c r="AL324" s="316">
        <v>46064</v>
      </c>
      <c r="AM324" s="316">
        <v>46064</v>
      </c>
      <c r="AN324" s="316">
        <v>46064</v>
      </c>
      <c r="AO324" s="316">
        <v>46064</v>
      </c>
      <c r="AP324" s="316">
        <v>46064</v>
      </c>
      <c r="AQ324" s="314"/>
      <c r="AR324" s="315" t="str">
        <f t="shared" si="20"/>
        <v>FINALIZADO</v>
      </c>
      <c r="AS324" s="207" t="s">
        <v>4423</v>
      </c>
      <c r="AT324" s="207"/>
      <c r="AU324" s="220" t="s">
        <v>5817</v>
      </c>
      <c r="AV324" s="207" t="s">
        <v>4425</v>
      </c>
      <c r="AW324" s="197" t="s">
        <v>4425</v>
      </c>
      <c r="AX324" s="250" t="s">
        <v>4425</v>
      </c>
      <c r="AY324" s="197" t="s">
        <v>4425</v>
      </c>
      <c r="AZ324" s="202">
        <v>46118</v>
      </c>
      <c r="BA324" s="207" t="s">
        <v>4425</v>
      </c>
      <c r="BB324" s="207" t="s">
        <v>4425</v>
      </c>
      <c r="BC324" s="202">
        <v>46126</v>
      </c>
      <c r="BD324" s="227">
        <v>46126</v>
      </c>
      <c r="BE324" s="227" t="s">
        <v>4435</v>
      </c>
      <c r="BF324" s="228" t="s">
        <v>4436</v>
      </c>
      <c r="BG324" s="229" t="s">
        <v>4425</v>
      </c>
      <c r="BH324" s="321">
        <f t="shared" si="21"/>
        <v>62</v>
      </c>
      <c r="BI324" s="98" t="str">
        <f t="shared" si="22"/>
        <v>INDENIZAÇÃO</v>
      </c>
      <c r="BJ324" s="98" t="str">
        <f t="shared" si="23"/>
        <v>NÃO</v>
      </c>
      <c r="BK324" s="219" t="s">
        <v>4437</v>
      </c>
      <c r="BL324" s="219" t="s">
        <v>4437</v>
      </c>
      <c r="BM324" s="219" t="s">
        <v>4437</v>
      </c>
      <c r="BN324" s="257" t="s">
        <v>5732</v>
      </c>
      <c r="BO324" s="257"/>
      <c r="BP324" s="257"/>
      <c r="BQ324" s="257"/>
      <c r="BR324" s="258"/>
    </row>
    <row r="325" spans="1:72" s="240" customFormat="1" ht="27" hidden="1" customHeight="1">
      <c r="A325" s="197">
        <v>321</v>
      </c>
      <c r="B325" s="197" t="s">
        <v>4396</v>
      </c>
      <c r="C325" s="207" t="s">
        <v>4397</v>
      </c>
      <c r="D325" s="207">
        <v>1</v>
      </c>
      <c r="E325" s="207" t="s">
        <v>4398</v>
      </c>
      <c r="F325" s="214" t="s">
        <v>5814</v>
      </c>
      <c r="G325" s="207" t="s">
        <v>4400</v>
      </c>
      <c r="H325" s="207" t="s">
        <v>4401</v>
      </c>
      <c r="I325" s="217" t="s">
        <v>4402</v>
      </c>
      <c r="J325" s="215" t="s">
        <v>5818</v>
      </c>
      <c r="K325" s="215" t="s">
        <v>5819</v>
      </c>
      <c r="L325" s="215" t="s">
        <v>5820</v>
      </c>
      <c r="M325" s="207" t="s">
        <v>4405</v>
      </c>
      <c r="N325" s="207" t="s">
        <v>4406</v>
      </c>
      <c r="O325" s="202">
        <v>46084</v>
      </c>
      <c r="P325" s="202" t="s">
        <v>4407</v>
      </c>
      <c r="Q325" s="202">
        <v>46083</v>
      </c>
      <c r="R325" s="203">
        <v>46084</v>
      </c>
      <c r="S325" s="203">
        <v>46087</v>
      </c>
      <c r="T325" s="203">
        <v>46090</v>
      </c>
      <c r="U325" s="202" t="s">
        <v>4408</v>
      </c>
      <c r="V325" s="202" t="s">
        <v>4408</v>
      </c>
      <c r="W325" s="202">
        <v>46101</v>
      </c>
      <c r="X325" s="202">
        <v>46101</v>
      </c>
      <c r="Y325" s="203"/>
      <c r="Z325" s="219"/>
      <c r="AA325" s="215" t="s">
        <v>5818</v>
      </c>
      <c r="AB325" s="215" t="s">
        <v>5819</v>
      </c>
      <c r="AC325" s="215" t="s">
        <v>5820</v>
      </c>
      <c r="AD325" s="217" t="s">
        <v>4402</v>
      </c>
      <c r="AE325" s="207" t="s">
        <v>4405</v>
      </c>
      <c r="AF325" s="218" t="s">
        <v>4409</v>
      </c>
      <c r="AG325" s="218" t="s">
        <v>4409</v>
      </c>
      <c r="AH325" s="207" t="s">
        <v>4410</v>
      </c>
      <c r="AI325" s="214" t="s">
        <v>4411</v>
      </c>
      <c r="AJ325" s="207"/>
      <c r="AK325" s="316"/>
      <c r="AL325" s="316"/>
      <c r="AM325" s="316"/>
      <c r="AN325" s="316"/>
      <c r="AO325" s="316"/>
      <c r="AP325" s="316"/>
      <c r="AQ325" s="314"/>
      <c r="AR325" s="315" t="str">
        <f t="shared" si="20"/>
        <v/>
      </c>
      <c r="AS325" s="207"/>
      <c r="AT325" s="219"/>
      <c r="AU325" s="220"/>
      <c r="AV325" s="161"/>
      <c r="AW325" s="254"/>
      <c r="AX325" s="219"/>
      <c r="AY325" s="254"/>
      <c r="AZ325" s="219"/>
      <c r="BA325" s="219"/>
      <c r="BB325" s="219"/>
      <c r="BC325" s="219"/>
      <c r="BD325" s="208"/>
      <c r="BE325" s="203"/>
      <c r="BF325" s="219"/>
      <c r="BG325" s="219"/>
      <c r="BH325" s="321" t="str">
        <f t="shared" si="21"/>
        <v/>
      </c>
      <c r="BI325" s="98" t="str">
        <f t="shared" si="22"/>
        <v>AA</v>
      </c>
      <c r="BJ325" s="98" t="str">
        <f t="shared" si="23"/>
        <v>NÃO</v>
      </c>
      <c r="BK325" s="219"/>
      <c r="BL325" s="221"/>
      <c r="BM325" s="221"/>
      <c r="BN325" s="219"/>
      <c r="BO325" s="219"/>
      <c r="BP325" s="219"/>
      <c r="BQ325" s="219"/>
      <c r="BR325" s="222"/>
    </row>
    <row r="326" spans="1:72" s="240" customFormat="1" ht="27" customHeight="1">
      <c r="A326" s="207">
        <v>322</v>
      </c>
      <c r="B326" s="197" t="s">
        <v>4396</v>
      </c>
      <c r="C326" s="207" t="s">
        <v>4413</v>
      </c>
      <c r="D326" s="207">
        <v>1</v>
      </c>
      <c r="E326" s="207" t="s">
        <v>4398</v>
      </c>
      <c r="F326" s="214" t="s">
        <v>5814</v>
      </c>
      <c r="G326" s="207" t="s">
        <v>4400</v>
      </c>
      <c r="H326" s="207" t="s">
        <v>4401</v>
      </c>
      <c r="I326" s="217" t="s">
        <v>4402</v>
      </c>
      <c r="J326" s="215" t="s">
        <v>5821</v>
      </c>
      <c r="K326" s="215"/>
      <c r="L326" s="215" t="s">
        <v>5822</v>
      </c>
      <c r="M326" s="207" t="s">
        <v>4405</v>
      </c>
      <c r="N326" s="207" t="s">
        <v>4432</v>
      </c>
      <c r="O326" s="202"/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3"/>
      <c r="Z326" s="219"/>
      <c r="AA326" s="215" t="s">
        <v>5821</v>
      </c>
      <c r="AB326" s="215"/>
      <c r="AC326" s="215" t="s">
        <v>5822</v>
      </c>
      <c r="AD326" s="217" t="s">
        <v>4402</v>
      </c>
      <c r="AE326" s="207" t="s">
        <v>4405</v>
      </c>
      <c r="AF326" s="218">
        <v>58404.87</v>
      </c>
      <c r="AG326" s="218">
        <v>60000</v>
      </c>
      <c r="AH326" s="207" t="s">
        <v>4433</v>
      </c>
      <c r="AI326" s="214" t="s">
        <v>4411</v>
      </c>
      <c r="AJ326" s="207">
        <v>158037280</v>
      </c>
      <c r="AK326" s="316">
        <v>46188</v>
      </c>
      <c r="AL326" s="316">
        <v>46188</v>
      </c>
      <c r="AM326" s="316">
        <v>46188</v>
      </c>
      <c r="AN326" s="316">
        <v>46188</v>
      </c>
      <c r="AO326" s="316">
        <v>46188</v>
      </c>
      <c r="AP326" s="316">
        <v>46188</v>
      </c>
      <c r="AQ326" s="314"/>
      <c r="AR326" s="315" t="str">
        <f t="shared" ref="AR326:AR389" si="24">IF(AQ326="SIM","AGUARDANDO CORREÇÃO",IF(AP326&lt;&gt;"","FINALIZADO",IF(AO326&lt;&gt;"","AGUARDANDO ENVIO DTS",IF(AN326&lt;&gt;"","AGUARDANDO ASSINATURA GAB",IF(AM326&lt;&gt;"","AGUARDANDO ASSINATURA CTS",IF(AL326&lt;&gt;"","AGUARDANDO ENVIO ASSINATURA CTS",IF(AK326&lt;&gt;"","AGUARDANDO CONFERÊNCIA","")))))))</f>
        <v>FINALIZADO</v>
      </c>
      <c r="AS326" s="207" t="s">
        <v>4423</v>
      </c>
      <c r="AT326" s="219"/>
      <c r="AU326" s="220" t="s">
        <v>5823</v>
      </c>
      <c r="AV326" s="207" t="s">
        <v>4425</v>
      </c>
      <c r="AW326" s="197" t="s">
        <v>4425</v>
      </c>
      <c r="AX326" s="207" t="s">
        <v>4818</v>
      </c>
      <c r="AY326" s="207" t="s">
        <v>4818</v>
      </c>
      <c r="AZ326" s="202">
        <v>46233</v>
      </c>
      <c r="BA326" s="207" t="s">
        <v>4818</v>
      </c>
      <c r="BB326" s="207" t="s">
        <v>4818</v>
      </c>
      <c r="BC326" s="202">
        <v>46237</v>
      </c>
      <c r="BD326" s="226">
        <v>46237</v>
      </c>
      <c r="BE326" s="257" t="s">
        <v>4435</v>
      </c>
      <c r="BF326" s="257" t="s">
        <v>4436</v>
      </c>
      <c r="BG326" s="219" t="s">
        <v>4425</v>
      </c>
      <c r="BH326" s="321">
        <f t="shared" ref="BH326:BH389" si="25">IFERROR(IF(BD326-KI326=0,"",BD326-AK326),"")</f>
        <v>49</v>
      </c>
      <c r="BI326" s="98" t="str">
        <f t="shared" ref="BI326:BI389" si="26">IF(AND(AH326&lt;&gt;"SIM",AH326="UH"),"AA","INDENIZAÇÃO")</f>
        <v>INDENIZAÇÃO</v>
      </c>
      <c r="BJ326" s="98" t="str">
        <f t="shared" ref="BJ326:BJ389" si="27">IF(AND(BD326&lt;&gt;"AGUARDANDO",BD326&lt;&gt;"",N326="AUXÍLIO ALUGUEL ATÉ INDENIZAÇÃO"),"SIM","NÃO")</f>
        <v>NÃO</v>
      </c>
      <c r="BK326" s="219" t="s">
        <v>4437</v>
      </c>
      <c r="BL326" s="219" t="s">
        <v>4437</v>
      </c>
      <c r="BM326" s="219" t="s">
        <v>4437</v>
      </c>
      <c r="BN326" s="257" t="s">
        <v>5732</v>
      </c>
      <c r="BO326" s="257"/>
      <c r="BP326" s="257"/>
      <c r="BQ326" s="257"/>
      <c r="BR326" s="258"/>
      <c r="BS326" s="223"/>
      <c r="BT326" s="223"/>
    </row>
    <row r="327" spans="1:72" s="240" customFormat="1" ht="27" customHeight="1">
      <c r="A327" s="207">
        <v>323</v>
      </c>
      <c r="B327" s="197" t="s">
        <v>4396</v>
      </c>
      <c r="C327" s="207" t="s">
        <v>4413</v>
      </c>
      <c r="D327" s="207">
        <v>1</v>
      </c>
      <c r="E327" s="207" t="s">
        <v>4398</v>
      </c>
      <c r="F327" s="214" t="s">
        <v>5824</v>
      </c>
      <c r="G327" s="207" t="s">
        <v>4400</v>
      </c>
      <c r="H327" s="207" t="s">
        <v>4401</v>
      </c>
      <c r="I327" s="207" t="s">
        <v>4402</v>
      </c>
      <c r="J327" s="215" t="s">
        <v>5825</v>
      </c>
      <c r="K327" s="215" t="s">
        <v>5826</v>
      </c>
      <c r="L327" s="215" t="s">
        <v>5827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2"/>
      <c r="Z327" s="202"/>
      <c r="AA327" s="215" t="s">
        <v>5825</v>
      </c>
      <c r="AB327" s="215" t="s">
        <v>5826</v>
      </c>
      <c r="AC327" s="215" t="s">
        <v>5827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>
        <v>46080</v>
      </c>
      <c r="AL327" s="316">
        <v>46080</v>
      </c>
      <c r="AM327" s="316">
        <v>46080</v>
      </c>
      <c r="AN327" s="316">
        <v>46080</v>
      </c>
      <c r="AO327" s="316">
        <v>46080</v>
      </c>
      <c r="AP327" s="316">
        <v>46080</v>
      </c>
      <c r="AQ327" s="314"/>
      <c r="AR327" s="315" t="str">
        <f t="shared" si="24"/>
        <v>FINALIZADO</v>
      </c>
      <c r="AS327" s="207"/>
      <c r="AT327" s="219"/>
      <c r="AU327" s="220"/>
      <c r="AV327" s="219"/>
      <c r="AW327" s="219"/>
      <c r="AX327" s="219"/>
      <c r="AY327" s="219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5"/>
        <v/>
      </c>
      <c r="BI327" s="98" t="str">
        <f t="shared" si="26"/>
        <v>AA</v>
      </c>
      <c r="BJ327" s="98" t="str">
        <f t="shared" si="27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hidden="1" customHeight="1">
      <c r="A328" s="207">
        <v>324</v>
      </c>
      <c r="B328" s="197" t="s">
        <v>4396</v>
      </c>
      <c r="C328" s="207" t="s">
        <v>4427</v>
      </c>
      <c r="D328" s="207">
        <v>1</v>
      </c>
      <c r="E328" s="207" t="s">
        <v>4398</v>
      </c>
      <c r="F328" s="214" t="s">
        <v>5824</v>
      </c>
      <c r="G328" s="207" t="s">
        <v>4400</v>
      </c>
      <c r="H328" s="207" t="s">
        <v>4401</v>
      </c>
      <c r="I328" s="207" t="s">
        <v>4402</v>
      </c>
      <c r="J328" s="215" t="s">
        <v>5828</v>
      </c>
      <c r="K328" s="215" t="s">
        <v>5829</v>
      </c>
      <c r="L328" s="215" t="s">
        <v>5830</v>
      </c>
      <c r="M328" s="207" t="s">
        <v>4405</v>
      </c>
      <c r="N328" s="207" t="s">
        <v>4442</v>
      </c>
      <c r="O328" s="202" t="s">
        <v>4409</v>
      </c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2"/>
      <c r="Z328" s="260"/>
      <c r="AA328" s="215" t="s">
        <v>5828</v>
      </c>
      <c r="AB328" s="215" t="s">
        <v>5829</v>
      </c>
      <c r="AC328" s="215" t="s">
        <v>5830</v>
      </c>
      <c r="AD328" s="207" t="s">
        <v>4402</v>
      </c>
      <c r="AE328" s="207" t="s">
        <v>4405</v>
      </c>
      <c r="AF328" s="218">
        <v>9221.56</v>
      </c>
      <c r="AG328" s="218">
        <v>39221.56</v>
      </c>
      <c r="AH328" s="207" t="s">
        <v>4433</v>
      </c>
      <c r="AI328" s="214" t="s">
        <v>4411</v>
      </c>
      <c r="AJ328" s="207">
        <v>151380072</v>
      </c>
      <c r="AK328" s="316">
        <v>46111</v>
      </c>
      <c r="AL328" s="316">
        <v>46111</v>
      </c>
      <c r="AM328" s="316">
        <v>46111</v>
      </c>
      <c r="AN328" s="316">
        <v>46111</v>
      </c>
      <c r="AO328" s="316">
        <v>46111</v>
      </c>
      <c r="AP328" s="316">
        <v>46111</v>
      </c>
      <c r="AQ328" s="314"/>
      <c r="AR328" s="315" t="str">
        <f t="shared" si="24"/>
        <v>FINALIZADO</v>
      </c>
      <c r="AS328" s="207" t="s">
        <v>4423</v>
      </c>
      <c r="AT328" s="207"/>
      <c r="AU328" s="220" t="s">
        <v>5831</v>
      </c>
      <c r="AV328" s="207" t="s">
        <v>4425</v>
      </c>
      <c r="AW328" s="207" t="s">
        <v>4425</v>
      </c>
      <c r="AX328" s="207" t="s">
        <v>4425</v>
      </c>
      <c r="AY328" s="207" t="s">
        <v>4425</v>
      </c>
      <c r="AZ328" s="202">
        <v>46170</v>
      </c>
      <c r="BA328" s="207" t="s">
        <v>4425</v>
      </c>
      <c r="BB328" s="207" t="s">
        <v>4425</v>
      </c>
      <c r="BC328" s="202">
        <v>46182</v>
      </c>
      <c r="BD328" s="227">
        <v>46182</v>
      </c>
      <c r="BE328" s="235" t="s">
        <v>4435</v>
      </c>
      <c r="BF328" s="236" t="s">
        <v>4436</v>
      </c>
      <c r="BG328" s="237" t="s">
        <v>4425</v>
      </c>
      <c r="BH328" s="321">
        <f t="shared" si="25"/>
        <v>71</v>
      </c>
      <c r="BI328" s="98" t="str">
        <f t="shared" si="26"/>
        <v>INDENIZAÇÃO</v>
      </c>
      <c r="BJ328" s="98" t="str">
        <f t="shared" si="27"/>
        <v>NÃO</v>
      </c>
      <c r="BK328" s="238" t="s">
        <v>4437</v>
      </c>
      <c r="BL328" s="238" t="s">
        <v>4437</v>
      </c>
      <c r="BM328" s="238" t="s">
        <v>4437</v>
      </c>
      <c r="BN328" s="273" t="s">
        <v>5732</v>
      </c>
      <c r="BO328" s="265"/>
      <c r="BP328" s="265"/>
      <c r="BQ328" s="265"/>
      <c r="BR328" s="231"/>
    </row>
    <row r="329" spans="1:72" s="240" customFormat="1" ht="27" customHeight="1">
      <c r="A329" s="197">
        <v>325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5832</v>
      </c>
      <c r="G329" s="207" t="s">
        <v>4400</v>
      </c>
      <c r="H329" s="207" t="s">
        <v>4401</v>
      </c>
      <c r="I329" s="207" t="s">
        <v>4402</v>
      </c>
      <c r="J329" s="215" t="s">
        <v>5833</v>
      </c>
      <c r="K329" s="215" t="s">
        <v>5834</v>
      </c>
      <c r="L329" s="215" t="s">
        <v>5835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5833</v>
      </c>
      <c r="AB329" s="215" t="s">
        <v>5834</v>
      </c>
      <c r="AC329" s="215" t="s">
        <v>5835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>
      <c r="A330" s="197">
        <v>326</v>
      </c>
      <c r="B330" s="197" t="s">
        <v>4396</v>
      </c>
      <c r="C330" s="207" t="s">
        <v>4427</v>
      </c>
      <c r="D330" s="207">
        <v>1</v>
      </c>
      <c r="E330" s="207" t="s">
        <v>4398</v>
      </c>
      <c r="F330" s="214" t="s">
        <v>5832</v>
      </c>
      <c r="G330" s="207" t="s">
        <v>4546</v>
      </c>
      <c r="H330" s="207" t="s">
        <v>4546</v>
      </c>
      <c r="I330" s="233" t="s">
        <v>4421</v>
      </c>
      <c r="J330" s="215" t="s">
        <v>5836</v>
      </c>
      <c r="K330" s="215" t="s">
        <v>5837</v>
      </c>
      <c r="L330" s="215" t="s">
        <v>5838</v>
      </c>
      <c r="M330" s="207" t="s">
        <v>4405</v>
      </c>
      <c r="N330" s="207" t="s">
        <v>4442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02"/>
      <c r="AA330" s="215" t="s">
        <v>5836</v>
      </c>
      <c r="AB330" s="215" t="s">
        <v>5837</v>
      </c>
      <c r="AC330" s="215" t="s">
        <v>5838</v>
      </c>
      <c r="AD330" s="233" t="s">
        <v>4421</v>
      </c>
      <c r="AE330" s="207" t="s">
        <v>4405</v>
      </c>
      <c r="AF330" s="218">
        <v>13505.97</v>
      </c>
      <c r="AG330" s="218">
        <v>43505.97</v>
      </c>
      <c r="AH330" s="207" t="s">
        <v>4433</v>
      </c>
      <c r="AI330" s="214" t="s">
        <v>4411</v>
      </c>
      <c r="AJ330" s="207">
        <v>151551053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4423</v>
      </c>
      <c r="AT330" s="207"/>
      <c r="AU330" s="220" t="s">
        <v>5839</v>
      </c>
      <c r="AV330" s="207" t="s">
        <v>4425</v>
      </c>
      <c r="AW330" s="207" t="s">
        <v>4425</v>
      </c>
      <c r="AX330" s="250" t="s">
        <v>4425</v>
      </c>
      <c r="AY330" s="197" t="s">
        <v>4425</v>
      </c>
      <c r="AZ330" s="202">
        <v>46153</v>
      </c>
      <c r="BA330" s="207" t="s">
        <v>4425</v>
      </c>
      <c r="BB330" s="207" t="s">
        <v>4425</v>
      </c>
      <c r="BC330" s="202">
        <v>46160</v>
      </c>
      <c r="BD330" s="227">
        <v>46160</v>
      </c>
      <c r="BE330" s="227" t="s">
        <v>4435</v>
      </c>
      <c r="BF330" s="228" t="s">
        <v>4436</v>
      </c>
      <c r="BG330" s="219" t="s">
        <v>4425</v>
      </c>
      <c r="BH330" s="321">
        <f t="shared" si="25"/>
        <v>49</v>
      </c>
      <c r="BI330" s="98" t="str">
        <f t="shared" si="26"/>
        <v>INDENIZAÇÃO</v>
      </c>
      <c r="BJ330" s="98" t="str">
        <f t="shared" si="27"/>
        <v>NÃO</v>
      </c>
      <c r="BK330" s="219" t="s">
        <v>4437</v>
      </c>
      <c r="BL330" s="219" t="s">
        <v>4437</v>
      </c>
      <c r="BM330" s="219" t="s">
        <v>4437</v>
      </c>
      <c r="BN330" s="257" t="s">
        <v>5732</v>
      </c>
      <c r="BO330" s="257"/>
      <c r="BP330" s="257"/>
      <c r="BQ330" s="257"/>
      <c r="BR330" s="258"/>
      <c r="BS330" s="223"/>
      <c r="BT330" s="223"/>
    </row>
    <row r="331" spans="1:72" s="240" customFormat="1" ht="27" customHeight="1">
      <c r="A331" s="207">
        <v>327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5840</v>
      </c>
      <c r="G331" s="207" t="s">
        <v>4400</v>
      </c>
      <c r="H331" s="207" t="s">
        <v>4401</v>
      </c>
      <c r="I331" s="160" t="s">
        <v>4402</v>
      </c>
      <c r="J331" s="215" t="s">
        <v>5841</v>
      </c>
      <c r="K331" s="215" t="s">
        <v>5842</v>
      </c>
      <c r="L331" s="215" t="s">
        <v>5843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5841</v>
      </c>
      <c r="AB331" s="215" t="s">
        <v>5842</v>
      </c>
      <c r="AC331" s="215" t="s">
        <v>5843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161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customHeight="1">
      <c r="A332" s="207">
        <v>328</v>
      </c>
      <c r="B332" s="197" t="s">
        <v>4396</v>
      </c>
      <c r="C332" s="207" t="s">
        <v>4413</v>
      </c>
      <c r="D332" s="207">
        <v>1</v>
      </c>
      <c r="E332" s="207" t="s">
        <v>4398</v>
      </c>
      <c r="F332" s="214" t="s">
        <v>5844</v>
      </c>
      <c r="G332" s="207" t="s">
        <v>4400</v>
      </c>
      <c r="H332" s="207" t="s">
        <v>4401</v>
      </c>
      <c r="I332" s="207" t="s">
        <v>4402</v>
      </c>
      <c r="J332" s="215" t="s">
        <v>5845</v>
      </c>
      <c r="K332" s="215" t="s">
        <v>5846</v>
      </c>
      <c r="L332" s="215" t="s">
        <v>5847</v>
      </c>
      <c r="M332" s="207" t="s">
        <v>4405</v>
      </c>
      <c r="N332" s="207" t="s">
        <v>4406</v>
      </c>
      <c r="O332" s="202">
        <v>46084</v>
      </c>
      <c r="P332" s="202" t="s">
        <v>4407</v>
      </c>
      <c r="Q332" s="202">
        <v>46083</v>
      </c>
      <c r="R332" s="203">
        <v>46084</v>
      </c>
      <c r="S332" s="203">
        <v>46087</v>
      </c>
      <c r="T332" s="203">
        <v>46090</v>
      </c>
      <c r="U332" s="202" t="s">
        <v>4408</v>
      </c>
      <c r="V332" s="202" t="s">
        <v>4408</v>
      </c>
      <c r="W332" s="202">
        <v>46101</v>
      </c>
      <c r="X332" s="202">
        <v>46101</v>
      </c>
      <c r="Y332" s="202"/>
      <c r="Z332" s="202"/>
      <c r="AA332" s="215" t="s">
        <v>5845</v>
      </c>
      <c r="AB332" s="215" t="s">
        <v>5846</v>
      </c>
      <c r="AC332" s="215" t="s">
        <v>5847</v>
      </c>
      <c r="AD332" s="217" t="s">
        <v>4402</v>
      </c>
      <c r="AE332" s="207" t="s">
        <v>4405</v>
      </c>
      <c r="AF332" s="218" t="s">
        <v>4409</v>
      </c>
      <c r="AG332" s="218" t="s">
        <v>4409</v>
      </c>
      <c r="AH332" s="207" t="s">
        <v>4410</v>
      </c>
      <c r="AI332" s="214" t="s">
        <v>4411</v>
      </c>
      <c r="AJ332" s="207"/>
      <c r="AK332" s="316">
        <v>46080</v>
      </c>
      <c r="AL332" s="316">
        <v>46080</v>
      </c>
      <c r="AM332" s="316">
        <v>46080</v>
      </c>
      <c r="AN332" s="316">
        <v>46080</v>
      </c>
      <c r="AO332" s="316">
        <v>46080</v>
      </c>
      <c r="AP332" s="316">
        <v>46080</v>
      </c>
      <c r="AQ332" s="314"/>
      <c r="AR332" s="315" t="str">
        <f t="shared" si="24"/>
        <v>FINALIZADO</v>
      </c>
      <c r="AS332" s="207"/>
      <c r="AT332" s="219"/>
      <c r="AU332" s="220"/>
      <c r="AV332" s="219"/>
      <c r="AW332" s="219"/>
      <c r="AX332" s="219"/>
      <c r="AY332" s="219"/>
      <c r="AZ332" s="219"/>
      <c r="BA332" s="219"/>
      <c r="BB332" s="219"/>
      <c r="BC332" s="219"/>
      <c r="BD332" s="208"/>
      <c r="BE332" s="203"/>
      <c r="BF332" s="219"/>
      <c r="BG332" s="219"/>
      <c r="BH332" s="321" t="str">
        <f t="shared" si="25"/>
        <v/>
      </c>
      <c r="BI332" s="98" t="str">
        <f t="shared" si="26"/>
        <v>AA</v>
      </c>
      <c r="BJ332" s="98" t="str">
        <f t="shared" si="27"/>
        <v>NÃO</v>
      </c>
      <c r="BK332" s="219"/>
      <c r="BL332" s="221"/>
      <c r="BM332" s="221"/>
      <c r="BN332" s="219"/>
      <c r="BO332" s="219"/>
      <c r="BP332" s="219"/>
      <c r="BQ332" s="219"/>
      <c r="BR332" s="222"/>
    </row>
    <row r="333" spans="1:72" s="240" customFormat="1" ht="27" hidden="1" customHeight="1">
      <c r="A333" s="207">
        <v>329</v>
      </c>
      <c r="B333" s="197" t="s">
        <v>4396</v>
      </c>
      <c r="C333" s="207" t="s">
        <v>4427</v>
      </c>
      <c r="D333" s="207">
        <v>1</v>
      </c>
      <c r="E333" s="207" t="s">
        <v>4398</v>
      </c>
      <c r="F333" s="214" t="s">
        <v>5848</v>
      </c>
      <c r="G333" s="207" t="s">
        <v>4400</v>
      </c>
      <c r="H333" s="207" t="s">
        <v>4401</v>
      </c>
      <c r="I333" s="217" t="s">
        <v>4402</v>
      </c>
      <c r="J333" s="215" t="s">
        <v>5849</v>
      </c>
      <c r="K333" s="215" t="s">
        <v>5850</v>
      </c>
      <c r="L333" s="215" t="s">
        <v>5851</v>
      </c>
      <c r="M333" s="207" t="s">
        <v>4405</v>
      </c>
      <c r="N333" s="207" t="s">
        <v>4442</v>
      </c>
      <c r="O333" s="202" t="s">
        <v>4409</v>
      </c>
      <c r="P333" s="202" t="s">
        <v>4409</v>
      </c>
      <c r="Q333" s="202" t="s">
        <v>4409</v>
      </c>
      <c r="R333" s="202" t="s">
        <v>4409</v>
      </c>
      <c r="S333" s="202" t="s">
        <v>4409</v>
      </c>
      <c r="T333" s="202" t="s">
        <v>4409</v>
      </c>
      <c r="U333" s="202" t="s">
        <v>4409</v>
      </c>
      <c r="V333" s="202" t="s">
        <v>4409</v>
      </c>
      <c r="W333" s="202" t="s">
        <v>4409</v>
      </c>
      <c r="X333" s="202" t="s">
        <v>4409</v>
      </c>
      <c r="Y333" s="202"/>
      <c r="Z333" s="207"/>
      <c r="AA333" s="215" t="s">
        <v>5849</v>
      </c>
      <c r="AB333" s="215" t="s">
        <v>5850</v>
      </c>
      <c r="AC333" s="215" t="s">
        <v>5851</v>
      </c>
      <c r="AD333" s="207" t="s">
        <v>4402</v>
      </c>
      <c r="AE333" s="207" t="s">
        <v>4405</v>
      </c>
      <c r="AF333" s="218">
        <v>11796.06</v>
      </c>
      <c r="AG333" s="218">
        <f>AF333+30000</f>
        <v>41796.06</v>
      </c>
      <c r="AH333" s="207" t="s">
        <v>4433</v>
      </c>
      <c r="AI333" s="214" t="s">
        <v>4411</v>
      </c>
      <c r="AJ333" s="207">
        <v>147043798</v>
      </c>
      <c r="AK333" s="316">
        <v>45986</v>
      </c>
      <c r="AL333" s="316">
        <v>45986</v>
      </c>
      <c r="AM333" s="316">
        <v>45986</v>
      </c>
      <c r="AN333" s="316">
        <v>45986</v>
      </c>
      <c r="AO333" s="316">
        <v>45986</v>
      </c>
      <c r="AP333" s="316">
        <v>45986</v>
      </c>
      <c r="AQ333" s="314"/>
      <c r="AR333" s="315" t="str">
        <f t="shared" si="24"/>
        <v>FINALIZADO</v>
      </c>
      <c r="AS333" s="207" t="s">
        <v>4423</v>
      </c>
      <c r="AT333" s="207"/>
      <c r="AU333" s="220" t="s">
        <v>5852</v>
      </c>
      <c r="AV333" s="160" t="s">
        <v>4425</v>
      </c>
      <c r="AW333" s="207" t="s">
        <v>4425</v>
      </c>
      <c r="AX333" s="250" t="s">
        <v>4425</v>
      </c>
      <c r="AY333" s="207" t="s">
        <v>4425</v>
      </c>
      <c r="AZ333" s="202">
        <v>46020</v>
      </c>
      <c r="BA333" s="219" t="s">
        <v>4425</v>
      </c>
      <c r="BB333" s="207" t="s">
        <v>4425</v>
      </c>
      <c r="BC333" s="208">
        <v>46024</v>
      </c>
      <c r="BD333" s="227">
        <v>46024</v>
      </c>
      <c r="BE333" s="226" t="s">
        <v>4435</v>
      </c>
      <c r="BF333" s="228" t="s">
        <v>4436</v>
      </c>
      <c r="BG333" s="229" t="s">
        <v>4425</v>
      </c>
      <c r="BH333" s="321">
        <f t="shared" si="25"/>
        <v>38</v>
      </c>
      <c r="BI333" s="98" t="str">
        <f t="shared" si="26"/>
        <v>INDENIZAÇÃO</v>
      </c>
      <c r="BJ333" s="98" t="str">
        <f t="shared" si="27"/>
        <v>NÃO</v>
      </c>
      <c r="BK333" s="230" t="s">
        <v>4437</v>
      </c>
      <c r="BL333" s="230" t="s">
        <v>4437</v>
      </c>
      <c r="BM333" s="230" t="s">
        <v>4437</v>
      </c>
      <c r="BN333" s="207" t="s">
        <v>4425</v>
      </c>
      <c r="BO333" s="207" t="s">
        <v>4425</v>
      </c>
      <c r="BP333" s="202">
        <v>46205</v>
      </c>
      <c r="BQ333" s="207" t="s">
        <v>4425</v>
      </c>
      <c r="BR333" s="232" t="s">
        <v>4435</v>
      </c>
    </row>
    <row r="334" spans="1:72" s="240" customFormat="1" ht="27" customHeight="1">
      <c r="A334" s="197">
        <v>330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5848</v>
      </c>
      <c r="G334" s="207" t="s">
        <v>4400</v>
      </c>
      <c r="H334" s="207" t="s">
        <v>4401</v>
      </c>
      <c r="I334" s="207" t="s">
        <v>4402</v>
      </c>
      <c r="J334" s="215" t="s">
        <v>5853</v>
      </c>
      <c r="K334" s="215" t="s">
        <v>5854</v>
      </c>
      <c r="L334" s="215" t="s">
        <v>5855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5853</v>
      </c>
      <c r="AB334" s="215" t="s">
        <v>5854</v>
      </c>
      <c r="AC334" s="215" t="s">
        <v>5855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>
      <c r="A335" s="197">
        <v>331</v>
      </c>
      <c r="B335" s="197" t="s">
        <v>4396</v>
      </c>
      <c r="C335" s="207" t="s">
        <v>4427</v>
      </c>
      <c r="D335" s="207">
        <v>1</v>
      </c>
      <c r="E335" s="207" t="s">
        <v>4398</v>
      </c>
      <c r="F335" s="214" t="s">
        <v>5856</v>
      </c>
      <c r="G335" s="207" t="s">
        <v>4400</v>
      </c>
      <c r="H335" s="207" t="s">
        <v>4401</v>
      </c>
      <c r="I335" s="217" t="s">
        <v>4402</v>
      </c>
      <c r="J335" s="215" t="s">
        <v>5857</v>
      </c>
      <c r="K335" s="215" t="s">
        <v>5858</v>
      </c>
      <c r="L335" s="215" t="s">
        <v>5859</v>
      </c>
      <c r="M335" s="207" t="s">
        <v>4405</v>
      </c>
      <c r="N335" s="207" t="s">
        <v>4442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5857</v>
      </c>
      <c r="AB335" s="215" t="s">
        <v>5858</v>
      </c>
      <c r="AC335" s="215" t="s">
        <v>5859</v>
      </c>
      <c r="AD335" s="207" t="s">
        <v>4402</v>
      </c>
      <c r="AE335" s="207" t="s">
        <v>4405</v>
      </c>
      <c r="AF335" s="218">
        <v>12914.81</v>
      </c>
      <c r="AG335" s="218">
        <f>AF335+30000</f>
        <v>42914.81</v>
      </c>
      <c r="AH335" s="207" t="s">
        <v>4433</v>
      </c>
      <c r="AI335" s="214" t="s">
        <v>4411</v>
      </c>
      <c r="AJ335" s="207">
        <v>147043968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4423</v>
      </c>
      <c r="AT335" s="207"/>
      <c r="AU335" s="220" t="s">
        <v>5860</v>
      </c>
      <c r="AV335" s="207" t="s">
        <v>4425</v>
      </c>
      <c r="AW335" s="207" t="s">
        <v>4425</v>
      </c>
      <c r="AX335" s="250" t="s">
        <v>4425</v>
      </c>
      <c r="AY335" s="207" t="s">
        <v>4425</v>
      </c>
      <c r="AZ335" s="202">
        <v>46021</v>
      </c>
      <c r="BA335" s="219" t="s">
        <v>4425</v>
      </c>
      <c r="BB335" s="207" t="s">
        <v>4425</v>
      </c>
      <c r="BC335" s="208">
        <v>46063</v>
      </c>
      <c r="BD335" s="227">
        <v>46063</v>
      </c>
      <c r="BE335" s="227" t="s">
        <v>4435</v>
      </c>
      <c r="BF335" s="228" t="s">
        <v>4436</v>
      </c>
      <c r="BG335" s="229" t="s">
        <v>4425</v>
      </c>
      <c r="BH335" s="321">
        <f t="shared" si="25"/>
        <v>77</v>
      </c>
      <c r="BI335" s="98" t="str">
        <f t="shared" si="26"/>
        <v>INDENIZAÇÃO</v>
      </c>
      <c r="BJ335" s="98" t="str">
        <f t="shared" si="27"/>
        <v>NÃO</v>
      </c>
      <c r="BK335" s="230" t="s">
        <v>4437</v>
      </c>
      <c r="BL335" s="230" t="s">
        <v>4437</v>
      </c>
      <c r="BM335" s="230" t="s">
        <v>4437</v>
      </c>
      <c r="BN335" s="265" t="s">
        <v>5732</v>
      </c>
      <c r="BO335" s="265"/>
      <c r="BP335" s="265"/>
      <c r="BQ335" s="265"/>
      <c r="BR335" s="231"/>
    </row>
    <row r="336" spans="1:72" s="240" customFormat="1" ht="27" customHeight="1">
      <c r="A336" s="207">
        <v>332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5856</v>
      </c>
      <c r="G336" s="207" t="s">
        <v>4400</v>
      </c>
      <c r="H336" s="207" t="s">
        <v>4401</v>
      </c>
      <c r="I336" s="207" t="s">
        <v>4402</v>
      </c>
      <c r="J336" s="215" t="s">
        <v>5861</v>
      </c>
      <c r="K336" s="215" t="s">
        <v>5862</v>
      </c>
      <c r="L336" s="215" t="s">
        <v>5863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5861</v>
      </c>
      <c r="AB336" s="215" t="s">
        <v>5862</v>
      </c>
      <c r="AC336" s="215" t="s">
        <v>5863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>
      <c r="A337" s="207">
        <v>333</v>
      </c>
      <c r="B337" s="197" t="s">
        <v>4396</v>
      </c>
      <c r="C337" s="207" t="s">
        <v>4427</v>
      </c>
      <c r="D337" s="207">
        <v>1</v>
      </c>
      <c r="E337" s="207" t="s">
        <v>4398</v>
      </c>
      <c r="F337" s="214" t="s">
        <v>5864</v>
      </c>
      <c r="G337" s="207" t="s">
        <v>4400</v>
      </c>
      <c r="H337" s="207" t="s">
        <v>4401</v>
      </c>
      <c r="I337" s="217" t="s">
        <v>4402</v>
      </c>
      <c r="J337" s="215" t="s">
        <v>5865</v>
      </c>
      <c r="K337" s="215" t="s">
        <v>5866</v>
      </c>
      <c r="L337" s="215" t="s">
        <v>5867</v>
      </c>
      <c r="M337" s="207" t="s">
        <v>4405</v>
      </c>
      <c r="N337" s="207" t="s">
        <v>4406</v>
      </c>
      <c r="O337" s="202">
        <v>46002</v>
      </c>
      <c r="P337" s="202" t="s">
        <v>4407</v>
      </c>
      <c r="Q337" s="202">
        <v>45999</v>
      </c>
      <c r="R337" s="202">
        <v>46006</v>
      </c>
      <c r="S337" s="202">
        <v>46006</v>
      </c>
      <c r="T337" s="202">
        <v>46009</v>
      </c>
      <c r="U337" s="202" t="s">
        <v>4408</v>
      </c>
      <c r="V337" s="202" t="s">
        <v>4408</v>
      </c>
      <c r="W337" s="202">
        <v>46014</v>
      </c>
      <c r="X337" s="202">
        <v>46017</v>
      </c>
      <c r="Y337" s="202"/>
      <c r="Z337" s="207"/>
      <c r="AA337" s="215" t="s">
        <v>5865</v>
      </c>
      <c r="AB337" s="215" t="s">
        <v>5866</v>
      </c>
      <c r="AC337" s="215" t="s">
        <v>5867</v>
      </c>
      <c r="AD337" s="217" t="s">
        <v>4402</v>
      </c>
      <c r="AE337" s="207" t="s">
        <v>4405</v>
      </c>
      <c r="AF337" s="218" t="s">
        <v>4409</v>
      </c>
      <c r="AG337" s="218" t="s">
        <v>4409</v>
      </c>
      <c r="AH337" s="207" t="s">
        <v>4410</v>
      </c>
      <c r="AI337" s="214" t="s">
        <v>4411</v>
      </c>
      <c r="AJ337" s="207"/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/>
      <c r="AT337" s="207"/>
      <c r="AU337" s="220"/>
      <c r="AV337" s="207"/>
      <c r="AW337" s="207"/>
      <c r="AX337" s="207"/>
      <c r="AY337" s="207"/>
      <c r="AZ337" s="202"/>
      <c r="BA337" s="219"/>
      <c r="BB337" s="207"/>
      <c r="BC337" s="202"/>
      <c r="BD337" s="208"/>
      <c r="BE337" s="202"/>
      <c r="BF337" s="207"/>
      <c r="BG337" s="229"/>
      <c r="BH337" s="321" t="str">
        <f t="shared" si="25"/>
        <v/>
      </c>
      <c r="BI337" s="98" t="str">
        <f t="shared" si="26"/>
        <v>AA</v>
      </c>
      <c r="BJ337" s="98" t="str">
        <f t="shared" si="27"/>
        <v>NÃO</v>
      </c>
      <c r="BK337" s="230"/>
      <c r="BL337" s="230"/>
      <c r="BM337" s="230"/>
      <c r="BN337" s="230"/>
      <c r="BO337" s="230"/>
      <c r="BP337" s="230"/>
      <c r="BQ337" s="230"/>
      <c r="BR337" s="234"/>
    </row>
    <row r="338" spans="1:112" s="240" customFormat="1" ht="27" customHeight="1">
      <c r="A338" s="207">
        <v>334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5864</v>
      </c>
      <c r="G338" s="207" t="s">
        <v>4400</v>
      </c>
      <c r="H338" s="207" t="s">
        <v>4401</v>
      </c>
      <c r="I338" s="207" t="s">
        <v>4402</v>
      </c>
      <c r="J338" s="215" t="s">
        <v>5868</v>
      </c>
      <c r="K338" s="215" t="s">
        <v>5869</v>
      </c>
      <c r="L338" s="215" t="s">
        <v>5870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 t="s">
        <v>4440</v>
      </c>
      <c r="Y338" s="202"/>
      <c r="Z338" s="217" t="s">
        <v>5871</v>
      </c>
      <c r="AA338" s="215" t="s">
        <v>5868</v>
      </c>
      <c r="AB338" s="215" t="s">
        <v>5869</v>
      </c>
      <c r="AC338" s="215" t="s">
        <v>5870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>
      <c r="A339" s="197">
        <v>335</v>
      </c>
      <c r="B339" s="197" t="s">
        <v>4396</v>
      </c>
      <c r="C339" s="207" t="s">
        <v>4427</v>
      </c>
      <c r="D339" s="207">
        <v>1</v>
      </c>
      <c r="E339" s="250" t="s">
        <v>4398</v>
      </c>
      <c r="F339" s="214" t="s">
        <v>5872</v>
      </c>
      <c r="G339" s="207" t="s">
        <v>4400</v>
      </c>
      <c r="H339" s="207" t="s">
        <v>4401</v>
      </c>
      <c r="I339" s="217" t="s">
        <v>4402</v>
      </c>
      <c r="J339" s="215" t="s">
        <v>5873</v>
      </c>
      <c r="K339" s="215" t="s">
        <v>5874</v>
      </c>
      <c r="L339" s="215" t="s">
        <v>5875</v>
      </c>
      <c r="M339" s="207" t="s">
        <v>4405</v>
      </c>
      <c r="N339" s="207" t="s">
        <v>4442</v>
      </c>
      <c r="O339" s="202" t="s">
        <v>4409</v>
      </c>
      <c r="P339" s="202" t="s">
        <v>4409</v>
      </c>
      <c r="Q339" s="202" t="s">
        <v>4409</v>
      </c>
      <c r="R339" s="202" t="s">
        <v>4409</v>
      </c>
      <c r="S339" s="202" t="s">
        <v>4409</v>
      </c>
      <c r="T339" s="202" t="s">
        <v>4409</v>
      </c>
      <c r="U339" s="202" t="s">
        <v>4409</v>
      </c>
      <c r="V339" s="202" t="s">
        <v>4409</v>
      </c>
      <c r="W339" s="202" t="s">
        <v>4409</v>
      </c>
      <c r="X339" s="202" t="s">
        <v>4409</v>
      </c>
      <c r="Y339" s="202"/>
      <c r="Z339" s="207"/>
      <c r="AA339" s="215" t="s">
        <v>5873</v>
      </c>
      <c r="AB339" s="215" t="s">
        <v>5874</v>
      </c>
      <c r="AC339" s="215" t="s">
        <v>5875</v>
      </c>
      <c r="AD339" s="207" t="s">
        <v>4402</v>
      </c>
      <c r="AE339" s="207" t="s">
        <v>4405</v>
      </c>
      <c r="AF339" s="218">
        <v>1739.16</v>
      </c>
      <c r="AG339" s="218">
        <f>AF339+30000</f>
        <v>31739.16</v>
      </c>
      <c r="AH339" s="207" t="s">
        <v>4433</v>
      </c>
      <c r="AI339" s="214" t="s">
        <v>4411</v>
      </c>
      <c r="AJ339" s="207">
        <v>149655578</v>
      </c>
      <c r="AK339" s="316">
        <v>46059</v>
      </c>
      <c r="AL339" s="316">
        <v>46059</v>
      </c>
      <c r="AM339" s="316">
        <v>46059</v>
      </c>
      <c r="AN339" s="316">
        <v>46059</v>
      </c>
      <c r="AO339" s="316"/>
      <c r="AP339" s="316"/>
      <c r="AQ339" s="314"/>
      <c r="AR339" s="315" t="str">
        <f t="shared" si="24"/>
        <v>AGUARDANDO ASSINATURA GAB</v>
      </c>
      <c r="AS339" s="207" t="s">
        <v>4447</v>
      </c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INDENIZAÇÃO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197">
        <v>336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5872</v>
      </c>
      <c r="G340" s="207" t="s">
        <v>4400</v>
      </c>
      <c r="H340" s="207" t="s">
        <v>4401</v>
      </c>
      <c r="I340" s="207" t="s">
        <v>4402</v>
      </c>
      <c r="J340" s="215" t="s">
        <v>5876</v>
      </c>
      <c r="K340" s="215" t="s">
        <v>5877</v>
      </c>
      <c r="L340" s="215" t="s">
        <v>5878</v>
      </c>
      <c r="M340" s="207" t="s">
        <v>4405</v>
      </c>
      <c r="N340" s="207" t="s">
        <v>4406</v>
      </c>
      <c r="O340" s="202">
        <v>46147</v>
      </c>
      <c r="P340" s="202" t="s">
        <v>4407</v>
      </c>
      <c r="Q340" s="203">
        <v>46136</v>
      </c>
      <c r="R340" s="202">
        <v>46147</v>
      </c>
      <c r="S340" s="203">
        <v>46156</v>
      </c>
      <c r="T340" s="203">
        <v>46168</v>
      </c>
      <c r="U340" s="203" t="s">
        <v>4408</v>
      </c>
      <c r="V340" s="203" t="s">
        <v>4408</v>
      </c>
      <c r="W340" s="279">
        <v>46196</v>
      </c>
      <c r="X340" s="203">
        <v>46197</v>
      </c>
      <c r="Y340" s="203"/>
      <c r="Z340" s="219"/>
      <c r="AA340" s="215" t="s">
        <v>5876</v>
      </c>
      <c r="AB340" s="215" t="s">
        <v>5877</v>
      </c>
      <c r="AC340" s="215" t="s">
        <v>5878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7">
        <v>46134</v>
      </c>
      <c r="AL340" s="317">
        <v>46134</v>
      </c>
      <c r="AM340" s="317">
        <v>46134</v>
      </c>
      <c r="AN340" s="317">
        <v>46134</v>
      </c>
      <c r="AO340" s="317">
        <v>46134</v>
      </c>
      <c r="AP340" s="317">
        <v>46134</v>
      </c>
      <c r="AQ340" s="314"/>
      <c r="AR340" s="315" t="str">
        <f t="shared" si="24"/>
        <v>FINALIZADO</v>
      </c>
      <c r="AS340" s="207"/>
      <c r="AT340" s="219"/>
      <c r="AU340" s="220"/>
      <c r="AV340" s="161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>
      <c r="A341" s="207">
        <v>337</v>
      </c>
      <c r="B341" s="197" t="s">
        <v>4396</v>
      </c>
      <c r="C341" s="207" t="s">
        <v>4427</v>
      </c>
      <c r="D341" s="207">
        <v>1</v>
      </c>
      <c r="E341" s="207" t="s">
        <v>4398</v>
      </c>
      <c r="F341" s="214" t="s">
        <v>5879</v>
      </c>
      <c r="G341" s="207" t="s">
        <v>4400</v>
      </c>
      <c r="H341" s="207" t="s">
        <v>4401</v>
      </c>
      <c r="I341" s="217" t="s">
        <v>4402</v>
      </c>
      <c r="J341" s="215" t="s">
        <v>5880</v>
      </c>
      <c r="K341" s="215" t="s">
        <v>5881</v>
      </c>
      <c r="L341" s="215" t="s">
        <v>5882</v>
      </c>
      <c r="M341" s="207" t="s">
        <v>4405</v>
      </c>
      <c r="N341" s="207" t="s">
        <v>4442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5880</v>
      </c>
      <c r="AB341" s="215" t="s">
        <v>5881</v>
      </c>
      <c r="AC341" s="215" t="s">
        <v>5882</v>
      </c>
      <c r="AD341" s="207" t="s">
        <v>4402</v>
      </c>
      <c r="AE341" s="207" t="s">
        <v>4405</v>
      </c>
      <c r="AF341" s="218">
        <v>10390.450000000001</v>
      </c>
      <c r="AG341" s="218">
        <f>AF341+30000</f>
        <v>40390.449999999997</v>
      </c>
      <c r="AH341" s="207" t="s">
        <v>4433</v>
      </c>
      <c r="AI341" s="214" t="s">
        <v>4411</v>
      </c>
      <c r="AJ341" s="207">
        <v>147044138</v>
      </c>
      <c r="AK341" s="316">
        <v>46001</v>
      </c>
      <c r="AL341" s="316">
        <v>46001</v>
      </c>
      <c r="AM341" s="316">
        <v>46001</v>
      </c>
      <c r="AN341" s="316">
        <v>46001</v>
      </c>
      <c r="AO341" s="316">
        <v>46001</v>
      </c>
      <c r="AP341" s="316">
        <v>46001</v>
      </c>
      <c r="AQ341" s="314"/>
      <c r="AR341" s="315" t="str">
        <f t="shared" si="24"/>
        <v>FINALIZADO</v>
      </c>
      <c r="AS341" s="207" t="s">
        <v>4423</v>
      </c>
      <c r="AT341" s="207"/>
      <c r="AU341" s="220" t="s">
        <v>5883</v>
      </c>
      <c r="AV341" s="197" t="s">
        <v>4425</v>
      </c>
      <c r="AW341" s="207" t="s">
        <v>4425</v>
      </c>
      <c r="AX341" s="250" t="s">
        <v>4425</v>
      </c>
      <c r="AY341" s="197" t="s">
        <v>4425</v>
      </c>
      <c r="AZ341" s="203">
        <v>46017</v>
      </c>
      <c r="BA341" s="219" t="s">
        <v>4425</v>
      </c>
      <c r="BB341" s="207" t="s">
        <v>4425</v>
      </c>
      <c r="BC341" s="208">
        <v>46024</v>
      </c>
      <c r="BD341" s="227">
        <v>46024</v>
      </c>
      <c r="BE341" s="226" t="s">
        <v>4435</v>
      </c>
      <c r="BF341" s="228" t="s">
        <v>4436</v>
      </c>
      <c r="BG341" s="229" t="s">
        <v>4425</v>
      </c>
      <c r="BH341" s="321">
        <f t="shared" si="25"/>
        <v>23</v>
      </c>
      <c r="BI341" s="98" t="str">
        <f t="shared" si="26"/>
        <v>INDENIZAÇÃO</v>
      </c>
      <c r="BJ341" s="98" t="str">
        <f t="shared" si="27"/>
        <v>NÃO</v>
      </c>
      <c r="BK341" s="230" t="s">
        <v>4437</v>
      </c>
      <c r="BL341" s="230" t="s">
        <v>4437</v>
      </c>
      <c r="BM341" s="230" t="s">
        <v>4437</v>
      </c>
      <c r="BN341" s="207" t="s">
        <v>4425</v>
      </c>
      <c r="BO341" s="207" t="s">
        <v>4425</v>
      </c>
      <c r="BP341" s="202">
        <v>46205</v>
      </c>
      <c r="BQ341" s="207" t="s">
        <v>4425</v>
      </c>
      <c r="BR341" s="232" t="s">
        <v>4435</v>
      </c>
      <c r="BS341" s="161"/>
      <c r="BT341" s="161"/>
      <c r="BU341" s="161"/>
      <c r="BV341" s="161"/>
      <c r="BW341" s="161"/>
      <c r="BX341" s="161"/>
      <c r="BY341" s="161"/>
      <c r="BZ341" s="161"/>
      <c r="CA341" s="161"/>
      <c r="CB341" s="161"/>
      <c r="CC341" s="161"/>
      <c r="CD341" s="161"/>
      <c r="CE341" s="161"/>
      <c r="CF341" s="161"/>
      <c r="CG341" s="161"/>
      <c r="CH341" s="161"/>
      <c r="CI341" s="161"/>
      <c r="CJ341" s="161"/>
      <c r="CK341" s="161"/>
      <c r="CL341" s="161"/>
      <c r="CM341" s="161"/>
      <c r="CN341" s="161"/>
      <c r="CO341" s="161"/>
      <c r="CP341" s="161"/>
      <c r="CQ341" s="161"/>
      <c r="CR341" s="161"/>
      <c r="CS341" s="161"/>
      <c r="CT341" s="161"/>
      <c r="CU341" s="161"/>
      <c r="CV341" s="161"/>
      <c r="CW341" s="161"/>
      <c r="CX341" s="161"/>
      <c r="CY341" s="161"/>
      <c r="CZ341" s="161"/>
      <c r="DA341" s="161"/>
      <c r="DB341" s="161"/>
      <c r="DC341" s="161"/>
      <c r="DD341" s="161"/>
      <c r="DE341" s="161"/>
      <c r="DF341" s="161"/>
      <c r="DG341" s="161"/>
      <c r="DH341" s="161"/>
    </row>
    <row r="342" spans="1:112" s="240" customFormat="1" ht="27" customHeight="1">
      <c r="A342" s="207">
        <v>338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5879</v>
      </c>
      <c r="G342" s="207" t="s">
        <v>4400</v>
      </c>
      <c r="H342" s="207" t="s">
        <v>4428</v>
      </c>
      <c r="I342" s="163" t="s">
        <v>4421</v>
      </c>
      <c r="J342" s="215" t="s">
        <v>5884</v>
      </c>
      <c r="K342" s="215" t="s">
        <v>5885</v>
      </c>
      <c r="L342" s="215" t="s">
        <v>5886</v>
      </c>
      <c r="M342" s="207" t="s">
        <v>4405</v>
      </c>
      <c r="N342" s="207" t="s">
        <v>4442</v>
      </c>
      <c r="O342" s="202" t="s">
        <v>4409</v>
      </c>
      <c r="P342" s="202" t="s">
        <v>4409</v>
      </c>
      <c r="Q342" s="202" t="s">
        <v>4409</v>
      </c>
      <c r="R342" s="202" t="s">
        <v>4409</v>
      </c>
      <c r="S342" s="202" t="s">
        <v>4409</v>
      </c>
      <c r="T342" s="202" t="s">
        <v>4409</v>
      </c>
      <c r="U342" s="202" t="s">
        <v>4409</v>
      </c>
      <c r="V342" s="202" t="s">
        <v>4409</v>
      </c>
      <c r="W342" s="202" t="s">
        <v>4409</v>
      </c>
      <c r="X342" s="202" t="s">
        <v>4409</v>
      </c>
      <c r="Y342" s="202"/>
      <c r="Z342" s="202"/>
      <c r="AA342" s="215" t="s">
        <v>5884</v>
      </c>
      <c r="AB342" s="215" t="s">
        <v>5885</v>
      </c>
      <c r="AC342" s="215" t="s">
        <v>5886</v>
      </c>
      <c r="AD342" s="233" t="s">
        <v>4421</v>
      </c>
      <c r="AE342" s="207" t="s">
        <v>4405</v>
      </c>
      <c r="AF342" s="218">
        <v>42429.85</v>
      </c>
      <c r="AG342" s="218">
        <v>60000</v>
      </c>
      <c r="AH342" s="207" t="s">
        <v>4433</v>
      </c>
      <c r="AI342" s="214" t="s">
        <v>4411</v>
      </c>
      <c r="AJ342" s="207">
        <v>153002282</v>
      </c>
      <c r="AK342" s="316">
        <v>46142</v>
      </c>
      <c r="AL342" s="316">
        <v>46142</v>
      </c>
      <c r="AM342" s="316">
        <v>46142</v>
      </c>
      <c r="AN342" s="316">
        <v>46142</v>
      </c>
      <c r="AO342" s="316">
        <v>46142</v>
      </c>
      <c r="AP342" s="316">
        <v>46142</v>
      </c>
      <c r="AQ342" s="314"/>
      <c r="AR342" s="315" t="str">
        <f t="shared" si="24"/>
        <v>FINALIZADO</v>
      </c>
      <c r="AS342" s="207" t="s">
        <v>4423</v>
      </c>
      <c r="AT342" s="219"/>
      <c r="AU342" s="220" t="s">
        <v>5887</v>
      </c>
      <c r="AV342" s="254" t="s">
        <v>4425</v>
      </c>
      <c r="AW342" s="219" t="s">
        <v>4425</v>
      </c>
      <c r="AX342" s="257" t="s">
        <v>4828</v>
      </c>
      <c r="AY342" s="257"/>
      <c r="AZ342" s="257"/>
      <c r="BA342" s="257"/>
      <c r="BB342" s="257"/>
      <c r="BC342" s="257"/>
      <c r="BD342" s="226"/>
      <c r="BE342" s="226"/>
      <c r="BF342" s="228" t="s">
        <v>4400</v>
      </c>
      <c r="BG342" s="219"/>
      <c r="BH342" s="321" t="str">
        <f t="shared" si="25"/>
        <v/>
      </c>
      <c r="BI342" s="98" t="str">
        <f t="shared" si="26"/>
        <v>INDENIZAÇÃO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>
      <c r="A343" s="207">
        <v>339</v>
      </c>
      <c r="B343" s="197" t="s">
        <v>4396</v>
      </c>
      <c r="C343" s="207" t="s">
        <v>4427</v>
      </c>
      <c r="D343" s="207">
        <v>1</v>
      </c>
      <c r="E343" s="207" t="s">
        <v>4398</v>
      </c>
      <c r="F343" s="214" t="s">
        <v>5888</v>
      </c>
      <c r="G343" s="207" t="s">
        <v>4400</v>
      </c>
      <c r="H343" s="207" t="s">
        <v>4401</v>
      </c>
      <c r="I343" s="217" t="s">
        <v>4402</v>
      </c>
      <c r="J343" s="215" t="s">
        <v>5889</v>
      </c>
      <c r="K343" s="215" t="s">
        <v>5890</v>
      </c>
      <c r="L343" s="215" t="s">
        <v>5891</v>
      </c>
      <c r="M343" s="207" t="s">
        <v>4405</v>
      </c>
      <c r="N343" s="207" t="s">
        <v>4442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5889</v>
      </c>
      <c r="AB343" s="215" t="s">
        <v>5890</v>
      </c>
      <c r="AC343" s="215" t="s">
        <v>5891</v>
      </c>
      <c r="AD343" s="207" t="s">
        <v>4402</v>
      </c>
      <c r="AE343" s="207" t="s">
        <v>4405</v>
      </c>
      <c r="AF343" s="218">
        <v>15670.69</v>
      </c>
      <c r="AG343" s="218">
        <f>AF343+30000</f>
        <v>45670.69</v>
      </c>
      <c r="AH343" s="207" t="s">
        <v>4433</v>
      </c>
      <c r="AI343" s="214" t="s">
        <v>4411</v>
      </c>
      <c r="AJ343" s="207">
        <v>147044299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4423</v>
      </c>
      <c r="AT343" s="207"/>
      <c r="AU343" s="220" t="s">
        <v>5892</v>
      </c>
      <c r="AV343" s="207" t="s">
        <v>4425</v>
      </c>
      <c r="AW343" s="207" t="s">
        <v>4425</v>
      </c>
      <c r="AX343" s="250" t="s">
        <v>4425</v>
      </c>
      <c r="AY343" s="207" t="s">
        <v>4425</v>
      </c>
      <c r="AZ343" s="202">
        <v>46056</v>
      </c>
      <c r="BA343" s="219" t="s">
        <v>4425</v>
      </c>
      <c r="BB343" s="207" t="s">
        <v>4425</v>
      </c>
      <c r="BC343" s="239">
        <v>46066</v>
      </c>
      <c r="BD343" s="226">
        <v>46066</v>
      </c>
      <c r="BE343" s="227" t="s">
        <v>4435</v>
      </c>
      <c r="BF343" s="228" t="s">
        <v>4436</v>
      </c>
      <c r="BG343" s="229" t="s">
        <v>4425</v>
      </c>
      <c r="BH343" s="321">
        <f t="shared" si="25"/>
        <v>65</v>
      </c>
      <c r="BI343" s="98" t="str">
        <f t="shared" si="26"/>
        <v>INDENIZAÇÃO</v>
      </c>
      <c r="BJ343" s="98" t="str">
        <f t="shared" si="27"/>
        <v>NÃO</v>
      </c>
      <c r="BK343" s="230" t="s">
        <v>4437</v>
      </c>
      <c r="BL343" s="230" t="s">
        <v>4437</v>
      </c>
      <c r="BM343" s="230" t="s">
        <v>4437</v>
      </c>
      <c r="BN343" s="265" t="s">
        <v>5732</v>
      </c>
      <c r="BO343" s="265"/>
      <c r="BP343" s="265"/>
      <c r="BQ343" s="265"/>
      <c r="BR343" s="231"/>
    </row>
    <row r="344" spans="1:112" s="240" customFormat="1" ht="27" customHeight="1">
      <c r="A344" s="197">
        <v>340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5888</v>
      </c>
      <c r="G344" s="207" t="s">
        <v>4400</v>
      </c>
      <c r="H344" s="207" t="s">
        <v>4401</v>
      </c>
      <c r="I344" s="207" t="s">
        <v>4402</v>
      </c>
      <c r="J344" s="215" t="s">
        <v>5893</v>
      </c>
      <c r="K344" s="215" t="s">
        <v>4398</v>
      </c>
      <c r="L344" s="215" t="s">
        <v>5894</v>
      </c>
      <c r="M344" s="207" t="s">
        <v>4405</v>
      </c>
      <c r="N344" s="207" t="s">
        <v>4406</v>
      </c>
      <c r="O344" s="202">
        <v>46084</v>
      </c>
      <c r="P344" s="202" t="s">
        <v>4407</v>
      </c>
      <c r="Q344" s="202">
        <v>46083</v>
      </c>
      <c r="R344" s="203">
        <v>46084</v>
      </c>
      <c r="S344" s="203">
        <v>46087</v>
      </c>
      <c r="T344" s="203">
        <v>46090</v>
      </c>
      <c r="U344" s="202" t="s">
        <v>4408</v>
      </c>
      <c r="V344" s="202" t="s">
        <v>4408</v>
      </c>
      <c r="W344" s="202">
        <v>46101</v>
      </c>
      <c r="X344" s="202">
        <v>46101</v>
      </c>
      <c r="Y344" s="202"/>
      <c r="Z344" s="202"/>
      <c r="AA344" s="215" t="s">
        <v>5893</v>
      </c>
      <c r="AB344" s="215" t="s">
        <v>4398</v>
      </c>
      <c r="AC344" s="215" t="s">
        <v>5894</v>
      </c>
      <c r="AD344" s="217" t="s">
        <v>4402</v>
      </c>
      <c r="AE344" s="207" t="s">
        <v>4405</v>
      </c>
      <c r="AF344" s="218" t="s">
        <v>4409</v>
      </c>
      <c r="AG344" s="218" t="s">
        <v>4409</v>
      </c>
      <c r="AH344" s="207" t="s">
        <v>4410</v>
      </c>
      <c r="AI344" s="214" t="s">
        <v>4411</v>
      </c>
      <c r="AJ344" s="207"/>
      <c r="AK344" s="316">
        <v>46080</v>
      </c>
      <c r="AL344" s="316">
        <v>46080</v>
      </c>
      <c r="AM344" s="316">
        <v>46080</v>
      </c>
      <c r="AN344" s="316">
        <v>46080</v>
      </c>
      <c r="AO344" s="316">
        <v>46080</v>
      </c>
      <c r="AP344" s="316">
        <v>46080</v>
      </c>
      <c r="AQ344" s="314"/>
      <c r="AR344" s="315" t="str">
        <f t="shared" si="24"/>
        <v>FINALIZADO</v>
      </c>
      <c r="AS344" s="207"/>
      <c r="AT344" s="219"/>
      <c r="AU344" s="220"/>
      <c r="AV344" s="219"/>
      <c r="AW344" s="219"/>
      <c r="AX344" s="219"/>
      <c r="AY344" s="219"/>
      <c r="AZ344" s="219"/>
      <c r="BA344" s="219"/>
      <c r="BB344" s="219"/>
      <c r="BC344" s="219"/>
      <c r="BD344" s="208"/>
      <c r="BE344" s="203"/>
      <c r="BF344" s="219"/>
      <c r="BG344" s="219"/>
      <c r="BH344" s="321" t="str">
        <f t="shared" si="25"/>
        <v/>
      </c>
      <c r="BI344" s="98" t="str">
        <f t="shared" si="26"/>
        <v>AA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>
      <c r="A345" s="197">
        <v>341</v>
      </c>
      <c r="B345" s="197" t="s">
        <v>4396</v>
      </c>
      <c r="C345" s="207" t="s">
        <v>4427</v>
      </c>
      <c r="D345" s="207">
        <v>1</v>
      </c>
      <c r="E345" s="207" t="s">
        <v>4398</v>
      </c>
      <c r="F345" s="214" t="s">
        <v>5895</v>
      </c>
      <c r="G345" s="207" t="s">
        <v>4400</v>
      </c>
      <c r="H345" s="207" t="s">
        <v>4401</v>
      </c>
      <c r="I345" s="217" t="s">
        <v>4402</v>
      </c>
      <c r="J345" s="215" t="s">
        <v>5896</v>
      </c>
      <c r="K345" s="215" t="s">
        <v>4398</v>
      </c>
      <c r="L345" s="215" t="s">
        <v>5897</v>
      </c>
      <c r="M345" s="207" t="s">
        <v>4405</v>
      </c>
      <c r="N345" s="207" t="s">
        <v>4406</v>
      </c>
      <c r="O345" s="203">
        <v>46031</v>
      </c>
      <c r="P345" s="202" t="s">
        <v>4407</v>
      </c>
      <c r="Q345" s="203">
        <v>46030</v>
      </c>
      <c r="R345" s="203">
        <v>46031</v>
      </c>
      <c r="S345" s="203">
        <v>46036</v>
      </c>
      <c r="T345" s="203">
        <v>46045</v>
      </c>
      <c r="U345" s="203" t="s">
        <v>4408</v>
      </c>
      <c r="V345" s="203" t="s">
        <v>4408</v>
      </c>
      <c r="W345" s="202">
        <v>46055</v>
      </c>
      <c r="X345" s="202">
        <v>46062</v>
      </c>
      <c r="Y345" s="202"/>
      <c r="Z345" s="207"/>
      <c r="AA345" s="215" t="s">
        <v>5896</v>
      </c>
      <c r="AB345" s="215" t="s">
        <v>4398</v>
      </c>
      <c r="AC345" s="215" t="s">
        <v>5897</v>
      </c>
      <c r="AD345" s="217" t="s">
        <v>4402</v>
      </c>
      <c r="AE345" s="207" t="s">
        <v>4405</v>
      </c>
      <c r="AF345" s="218" t="s">
        <v>4409</v>
      </c>
      <c r="AG345" s="218" t="s">
        <v>4409</v>
      </c>
      <c r="AH345" s="207" t="s">
        <v>4410</v>
      </c>
      <c r="AI345" s="214" t="s">
        <v>4411</v>
      </c>
      <c r="AJ345" s="207"/>
      <c r="AK345" s="316">
        <v>45980</v>
      </c>
      <c r="AL345" s="316">
        <v>45980</v>
      </c>
      <c r="AM345" s="316">
        <v>45980</v>
      </c>
      <c r="AN345" s="316">
        <v>45980</v>
      </c>
      <c r="AO345" s="316">
        <v>45980</v>
      </c>
      <c r="AP345" s="316">
        <v>45980</v>
      </c>
      <c r="AQ345" s="314"/>
      <c r="AR345" s="315" t="str">
        <f t="shared" si="24"/>
        <v>FINALIZADO</v>
      </c>
      <c r="AS345" s="207"/>
      <c r="AT345" s="207"/>
      <c r="AU345" s="220"/>
      <c r="AV345" s="160"/>
      <c r="AW345" s="207"/>
      <c r="AX345" s="207"/>
      <c r="AY345" s="207"/>
      <c r="AZ345" s="202"/>
      <c r="BA345" s="219"/>
      <c r="BB345" s="207"/>
      <c r="BC345" s="202"/>
      <c r="BD345" s="208"/>
      <c r="BE345" s="202"/>
      <c r="BF345" s="207"/>
      <c r="BG345" s="229"/>
      <c r="BH345" s="321" t="str">
        <f t="shared" si="25"/>
        <v/>
      </c>
      <c r="BI345" s="98" t="str">
        <f t="shared" si="26"/>
        <v>AA</v>
      </c>
      <c r="BJ345" s="98" t="str">
        <f t="shared" si="27"/>
        <v>NÃO</v>
      </c>
      <c r="BK345" s="230"/>
      <c r="BL345" s="230"/>
      <c r="BM345" s="230"/>
      <c r="BN345" s="230"/>
      <c r="BO345" s="230"/>
      <c r="BP345" s="230"/>
      <c r="BQ345" s="230"/>
      <c r="BR345" s="234"/>
    </row>
    <row r="346" spans="1:112" s="240" customFormat="1" ht="27" customHeight="1">
      <c r="A346" s="207">
        <v>342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5895</v>
      </c>
      <c r="G346" s="207" t="s">
        <v>4400</v>
      </c>
      <c r="H346" s="207" t="s">
        <v>4401</v>
      </c>
      <c r="I346" s="207" t="s">
        <v>4402</v>
      </c>
      <c r="J346" s="215" t="s">
        <v>5898</v>
      </c>
      <c r="K346" s="215" t="s">
        <v>5899</v>
      </c>
      <c r="L346" s="215" t="s">
        <v>5900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46108</v>
      </c>
      <c r="Y346" s="202"/>
      <c r="Z346" s="202"/>
      <c r="AA346" s="215" t="s">
        <v>5898</v>
      </c>
      <c r="AB346" s="215" t="s">
        <v>5899</v>
      </c>
      <c r="AC346" s="215" t="s">
        <v>5900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>
      <c r="A347" s="207">
        <v>343</v>
      </c>
      <c r="B347" s="197" t="s">
        <v>4396</v>
      </c>
      <c r="C347" s="207" t="s">
        <v>4427</v>
      </c>
      <c r="D347" s="207">
        <v>1</v>
      </c>
      <c r="E347" s="207" t="s">
        <v>4398</v>
      </c>
      <c r="F347" s="214" t="s">
        <v>5901</v>
      </c>
      <c r="G347" s="207" t="s">
        <v>4400</v>
      </c>
      <c r="H347" s="207" t="s">
        <v>4401</v>
      </c>
      <c r="I347" s="217" t="s">
        <v>4402</v>
      </c>
      <c r="J347" s="215" t="s">
        <v>5902</v>
      </c>
      <c r="K347" s="215" t="s">
        <v>5903</v>
      </c>
      <c r="L347" s="215" t="s">
        <v>5904</v>
      </c>
      <c r="M347" s="207" t="s">
        <v>4405</v>
      </c>
      <c r="N347" s="207" t="s">
        <v>4406</v>
      </c>
      <c r="O347" s="202">
        <v>46002</v>
      </c>
      <c r="P347" s="202" t="s">
        <v>4407</v>
      </c>
      <c r="Q347" s="202">
        <v>45999</v>
      </c>
      <c r="R347" s="202">
        <v>46006</v>
      </c>
      <c r="S347" s="202">
        <v>46006</v>
      </c>
      <c r="T347" s="202">
        <v>46009</v>
      </c>
      <c r="U347" s="202" t="s">
        <v>4408</v>
      </c>
      <c r="V347" s="202" t="s">
        <v>4408</v>
      </c>
      <c r="W347" s="202">
        <v>46014</v>
      </c>
      <c r="X347" s="202">
        <v>46027</v>
      </c>
      <c r="Y347" s="202"/>
      <c r="Z347" s="207"/>
      <c r="AA347" s="215" t="s">
        <v>5902</v>
      </c>
      <c r="AB347" s="215" t="s">
        <v>5903</v>
      </c>
      <c r="AC347" s="215" t="s">
        <v>5904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45986</v>
      </c>
      <c r="AL347" s="316">
        <v>45986</v>
      </c>
      <c r="AM347" s="316">
        <v>45986</v>
      </c>
      <c r="AN347" s="316">
        <v>45986</v>
      </c>
      <c r="AO347" s="316">
        <v>45986</v>
      </c>
      <c r="AP347" s="316">
        <v>45986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hidden="1" customHeight="1">
      <c r="A348" s="207">
        <v>344</v>
      </c>
      <c r="B348" s="197" t="s">
        <v>4396</v>
      </c>
      <c r="C348" s="207" t="s">
        <v>4427</v>
      </c>
      <c r="D348" s="207">
        <v>1</v>
      </c>
      <c r="E348" s="207" t="s">
        <v>4398</v>
      </c>
      <c r="F348" s="214" t="s">
        <v>5905</v>
      </c>
      <c r="G348" s="207" t="s">
        <v>4400</v>
      </c>
      <c r="H348" s="207" t="s">
        <v>4401</v>
      </c>
      <c r="I348" s="217" t="s">
        <v>4402</v>
      </c>
      <c r="J348" s="215" t="s">
        <v>5906</v>
      </c>
      <c r="K348" s="215" t="s">
        <v>4398</v>
      </c>
      <c r="L348" s="215" t="s">
        <v>5907</v>
      </c>
      <c r="M348" s="207" t="s">
        <v>4405</v>
      </c>
      <c r="N348" s="207" t="s">
        <v>4442</v>
      </c>
      <c r="O348" s="202" t="s">
        <v>4409</v>
      </c>
      <c r="P348" s="202" t="s">
        <v>4409</v>
      </c>
      <c r="Q348" s="202" t="s">
        <v>4409</v>
      </c>
      <c r="R348" s="202" t="s">
        <v>4409</v>
      </c>
      <c r="S348" s="202" t="s">
        <v>4409</v>
      </c>
      <c r="T348" s="202" t="s">
        <v>4409</v>
      </c>
      <c r="U348" s="202" t="s">
        <v>4409</v>
      </c>
      <c r="V348" s="202" t="s">
        <v>4409</v>
      </c>
      <c r="W348" s="202" t="s">
        <v>4409</v>
      </c>
      <c r="X348" s="202" t="s">
        <v>4409</v>
      </c>
      <c r="Y348" s="202"/>
      <c r="Z348" s="207"/>
      <c r="AA348" s="215" t="s">
        <v>5906</v>
      </c>
      <c r="AB348" s="215" t="s">
        <v>4398</v>
      </c>
      <c r="AC348" s="215" t="s">
        <v>5907</v>
      </c>
      <c r="AD348" s="207" t="s">
        <v>4402</v>
      </c>
      <c r="AE348" s="207" t="s">
        <v>4405</v>
      </c>
      <c r="AF348" s="218"/>
      <c r="AG348" s="218"/>
      <c r="AH348" s="207"/>
      <c r="AI348" s="214" t="s">
        <v>4411</v>
      </c>
      <c r="AJ348" s="207"/>
      <c r="AK348" s="316">
        <v>46041</v>
      </c>
      <c r="AL348" s="316">
        <v>46041</v>
      </c>
      <c r="AM348" s="316">
        <v>46041</v>
      </c>
      <c r="AN348" s="316">
        <v>46041</v>
      </c>
      <c r="AO348" s="316">
        <v>46041</v>
      </c>
      <c r="AP348" s="316">
        <v>46041</v>
      </c>
      <c r="AQ348" s="314"/>
      <c r="AR348" s="315" t="str">
        <f t="shared" si="24"/>
        <v>FINALIZADO</v>
      </c>
      <c r="AS348" s="207"/>
      <c r="AT348" s="207"/>
      <c r="AU348" s="220"/>
      <c r="AV348" s="197"/>
      <c r="AW348" s="207"/>
      <c r="AX348" s="207"/>
      <c r="AY348" s="207"/>
      <c r="AZ348" s="202"/>
      <c r="BA348" s="219"/>
      <c r="BB348" s="207"/>
      <c r="BC348" s="202"/>
      <c r="BD348" s="208"/>
      <c r="BE348" s="202"/>
      <c r="BF348" s="207"/>
      <c r="BG348" s="229"/>
      <c r="BH348" s="321" t="str">
        <f t="shared" si="25"/>
        <v/>
      </c>
      <c r="BI348" s="98" t="str">
        <f t="shared" si="26"/>
        <v>INDENIZAÇÃO</v>
      </c>
      <c r="BJ348" s="98" t="str">
        <f t="shared" si="27"/>
        <v>NÃO</v>
      </c>
      <c r="BK348" s="230"/>
      <c r="BL348" s="230"/>
      <c r="BM348" s="230"/>
      <c r="BN348" s="230"/>
      <c r="BO348" s="230"/>
      <c r="BP348" s="230"/>
      <c r="BQ348" s="230"/>
      <c r="BR348" s="234"/>
    </row>
    <row r="349" spans="1:112" s="240" customFormat="1" ht="27" hidden="1" customHeight="1">
      <c r="A349" s="197">
        <v>345</v>
      </c>
      <c r="B349" s="197" t="s">
        <v>4396</v>
      </c>
      <c r="C349" s="207" t="s">
        <v>4427</v>
      </c>
      <c r="D349" s="207">
        <v>1</v>
      </c>
      <c r="E349" s="207" t="s">
        <v>4398</v>
      </c>
      <c r="F349" s="214" t="s">
        <v>5908</v>
      </c>
      <c r="G349" s="207" t="s">
        <v>4400</v>
      </c>
      <c r="H349" s="207" t="s">
        <v>4401</v>
      </c>
      <c r="I349" s="217" t="s">
        <v>4402</v>
      </c>
      <c r="J349" s="215" t="s">
        <v>5909</v>
      </c>
      <c r="K349" s="215" t="s">
        <v>5910</v>
      </c>
      <c r="L349" s="215" t="s">
        <v>5911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46020</v>
      </c>
      <c r="Y349" s="202"/>
      <c r="Z349" s="207"/>
      <c r="AA349" s="215" t="s">
        <v>5909</v>
      </c>
      <c r="AB349" s="215" t="s">
        <v>5910</v>
      </c>
      <c r="AC349" s="215" t="s">
        <v>5911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45996</v>
      </c>
      <c r="AL349" s="316">
        <v>45996</v>
      </c>
      <c r="AM349" s="316">
        <v>45996</v>
      </c>
      <c r="AN349" s="316">
        <v>45996</v>
      </c>
      <c r="AO349" s="316">
        <v>45996</v>
      </c>
      <c r="AP349" s="316">
        <v>45996</v>
      </c>
      <c r="AQ349" s="314"/>
      <c r="AR349" s="315" t="str">
        <f t="shared" si="24"/>
        <v>FINALIZADO</v>
      </c>
      <c r="AS349" s="207"/>
      <c r="AT349" s="207"/>
      <c r="AU349" s="220"/>
      <c r="AV349" s="207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197">
        <v>346</v>
      </c>
      <c r="B350" s="197" t="s">
        <v>4396</v>
      </c>
      <c r="C350" s="207" t="s">
        <v>4427</v>
      </c>
      <c r="D350" s="207">
        <v>1</v>
      </c>
      <c r="E350" s="207" t="s">
        <v>4398</v>
      </c>
      <c r="F350" s="214" t="s">
        <v>5912</v>
      </c>
      <c r="G350" s="207" t="s">
        <v>4400</v>
      </c>
      <c r="H350" s="207" t="s">
        <v>4401</v>
      </c>
      <c r="I350" s="217" t="s">
        <v>4402</v>
      </c>
      <c r="J350" s="215" t="s">
        <v>5913</v>
      </c>
      <c r="K350" s="215" t="s">
        <v>5914</v>
      </c>
      <c r="L350" s="215" t="s">
        <v>5915</v>
      </c>
      <c r="M350" s="207" t="s">
        <v>4405</v>
      </c>
      <c r="N350" s="207" t="s">
        <v>4442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5913</v>
      </c>
      <c r="AB350" s="215" t="s">
        <v>5914</v>
      </c>
      <c r="AC350" s="215" t="s">
        <v>5915</v>
      </c>
      <c r="AD350" s="207" t="s">
        <v>4402</v>
      </c>
      <c r="AE350" s="207" t="s">
        <v>4405</v>
      </c>
      <c r="AF350" s="218">
        <v>10593.05</v>
      </c>
      <c r="AG350" s="218">
        <f>AF350+30000</f>
        <v>40593.050000000003</v>
      </c>
      <c r="AH350" s="207" t="s">
        <v>4433</v>
      </c>
      <c r="AI350" s="214" t="s">
        <v>4411</v>
      </c>
      <c r="AJ350" s="207">
        <v>147044697</v>
      </c>
      <c r="AK350" s="316">
        <v>46001</v>
      </c>
      <c r="AL350" s="316">
        <v>46001</v>
      </c>
      <c r="AM350" s="316">
        <v>46001</v>
      </c>
      <c r="AN350" s="316">
        <v>46001</v>
      </c>
      <c r="AO350" s="316">
        <v>46001</v>
      </c>
      <c r="AP350" s="316">
        <v>46001</v>
      </c>
      <c r="AQ350" s="314"/>
      <c r="AR350" s="315" t="str">
        <f t="shared" si="24"/>
        <v>FINALIZADO</v>
      </c>
      <c r="AS350" s="207" t="s">
        <v>4423</v>
      </c>
      <c r="AT350" s="207"/>
      <c r="AU350" s="220" t="s">
        <v>5916</v>
      </c>
      <c r="AV350" s="160" t="s">
        <v>4425</v>
      </c>
      <c r="AW350" s="207" t="s">
        <v>4425</v>
      </c>
      <c r="AX350" s="207" t="s">
        <v>4425</v>
      </c>
      <c r="AY350" s="207" t="s">
        <v>4425</v>
      </c>
      <c r="AZ350" s="203">
        <v>46024</v>
      </c>
      <c r="BA350" s="219" t="s">
        <v>4425</v>
      </c>
      <c r="BB350" s="207" t="s">
        <v>4425</v>
      </c>
      <c r="BC350" s="208">
        <v>46038</v>
      </c>
      <c r="BD350" s="226">
        <v>46038</v>
      </c>
      <c r="BE350" s="227" t="s">
        <v>4435</v>
      </c>
      <c r="BF350" s="228" t="s">
        <v>4436</v>
      </c>
      <c r="BG350" s="229" t="s">
        <v>4425</v>
      </c>
      <c r="BH350" s="321">
        <f t="shared" si="25"/>
        <v>37</v>
      </c>
      <c r="BI350" s="98" t="str">
        <f t="shared" si="26"/>
        <v>INDENIZAÇÃO</v>
      </c>
      <c r="BJ350" s="98" t="str">
        <f t="shared" si="27"/>
        <v>NÃO</v>
      </c>
      <c r="BK350" s="230" t="s">
        <v>4437</v>
      </c>
      <c r="BL350" s="230" t="s">
        <v>4437</v>
      </c>
      <c r="BM350" s="230" t="s">
        <v>4437</v>
      </c>
      <c r="BN350" s="265" t="s">
        <v>5732</v>
      </c>
      <c r="BO350" s="265"/>
      <c r="BP350" s="265"/>
      <c r="BQ350" s="265"/>
      <c r="BR350" s="231"/>
    </row>
    <row r="351" spans="1:112" s="240" customFormat="1" ht="27" hidden="1" customHeight="1">
      <c r="A351" s="207">
        <v>347</v>
      </c>
      <c r="B351" s="197" t="s">
        <v>4396</v>
      </c>
      <c r="C351" s="207" t="s">
        <v>4427</v>
      </c>
      <c r="D351" s="207">
        <v>1</v>
      </c>
      <c r="E351" s="207" t="s">
        <v>4398</v>
      </c>
      <c r="F351" s="214" t="s">
        <v>5917</v>
      </c>
      <c r="G351" s="207" t="s">
        <v>4400</v>
      </c>
      <c r="H351" s="207" t="s">
        <v>4401</v>
      </c>
      <c r="I351" s="217" t="s">
        <v>4402</v>
      </c>
      <c r="J351" s="215" t="s">
        <v>5918</v>
      </c>
      <c r="K351" s="215" t="s">
        <v>5919</v>
      </c>
      <c r="L351" s="215" t="s">
        <v>5920</v>
      </c>
      <c r="M351" s="207" t="s">
        <v>4405</v>
      </c>
      <c r="N351" s="207" t="s">
        <v>4442</v>
      </c>
      <c r="O351" s="202" t="s">
        <v>4409</v>
      </c>
      <c r="P351" s="202" t="s">
        <v>4409</v>
      </c>
      <c r="Q351" s="202" t="s">
        <v>4409</v>
      </c>
      <c r="R351" s="202" t="s">
        <v>4409</v>
      </c>
      <c r="S351" s="202" t="s">
        <v>4409</v>
      </c>
      <c r="T351" s="202" t="s">
        <v>4409</v>
      </c>
      <c r="U351" s="202" t="s">
        <v>4409</v>
      </c>
      <c r="V351" s="202" t="s">
        <v>4409</v>
      </c>
      <c r="W351" s="202" t="s">
        <v>4409</v>
      </c>
      <c r="X351" s="202" t="s">
        <v>4409</v>
      </c>
      <c r="Y351" s="202"/>
      <c r="Z351" s="207"/>
      <c r="AA351" s="215" t="s">
        <v>5918</v>
      </c>
      <c r="AB351" s="215" t="s">
        <v>4398</v>
      </c>
      <c r="AC351" s="215" t="s">
        <v>5920</v>
      </c>
      <c r="AD351" s="207" t="s">
        <v>4402</v>
      </c>
      <c r="AE351" s="207" t="s">
        <v>4405</v>
      </c>
      <c r="AF351" s="218">
        <v>14963.19</v>
      </c>
      <c r="AG351" s="218">
        <f>AF351+30000</f>
        <v>44963.19</v>
      </c>
      <c r="AH351" s="207" t="s">
        <v>4433</v>
      </c>
      <c r="AI351" s="214" t="s">
        <v>4411</v>
      </c>
      <c r="AJ351" s="207">
        <v>147045651</v>
      </c>
      <c r="AK351" s="316">
        <v>46001</v>
      </c>
      <c r="AL351" s="316">
        <v>46001</v>
      </c>
      <c r="AM351" s="316">
        <v>46001</v>
      </c>
      <c r="AN351" s="316">
        <v>46001</v>
      </c>
      <c r="AO351" s="316">
        <v>46001</v>
      </c>
      <c r="AP351" s="316">
        <v>46001</v>
      </c>
      <c r="AQ351" s="314"/>
      <c r="AR351" s="315" t="str">
        <f t="shared" si="24"/>
        <v>FINALIZADO</v>
      </c>
      <c r="AS351" s="207" t="s">
        <v>4423</v>
      </c>
      <c r="AT351" s="207"/>
      <c r="AU351" s="220" t="s">
        <v>5921</v>
      </c>
      <c r="AV351" s="197" t="s">
        <v>4425</v>
      </c>
      <c r="AW351" s="207" t="s">
        <v>4425</v>
      </c>
      <c r="AX351" s="207" t="s">
        <v>4425</v>
      </c>
      <c r="AY351" s="207" t="s">
        <v>4425</v>
      </c>
      <c r="AZ351" s="202">
        <v>46056</v>
      </c>
      <c r="BA351" s="219" t="s">
        <v>4425</v>
      </c>
      <c r="BB351" s="207" t="s">
        <v>4425</v>
      </c>
      <c r="BC351" s="239">
        <v>46065</v>
      </c>
      <c r="BD351" s="226">
        <v>46065</v>
      </c>
      <c r="BE351" s="227" t="s">
        <v>4435</v>
      </c>
      <c r="BF351" s="228" t="s">
        <v>4436</v>
      </c>
      <c r="BG351" s="229" t="s">
        <v>4425</v>
      </c>
      <c r="BH351" s="321">
        <f t="shared" si="25"/>
        <v>64</v>
      </c>
      <c r="BI351" s="98" t="str">
        <f t="shared" si="26"/>
        <v>INDENIZAÇÃO</v>
      </c>
      <c r="BJ351" s="98" t="str">
        <f t="shared" si="27"/>
        <v>NÃO</v>
      </c>
      <c r="BK351" s="230" t="s">
        <v>4437</v>
      </c>
      <c r="BL351" s="230" t="s">
        <v>4437</v>
      </c>
      <c r="BM351" s="230" t="s">
        <v>4437</v>
      </c>
      <c r="BN351" s="265" t="s">
        <v>5732</v>
      </c>
      <c r="BO351" s="265"/>
      <c r="BP351" s="265"/>
      <c r="BQ351" s="265"/>
      <c r="BR351" s="231"/>
    </row>
    <row r="352" spans="1:112" s="240" customFormat="1" ht="27" hidden="1" customHeight="1">
      <c r="A352" s="207">
        <v>348</v>
      </c>
      <c r="B352" s="197" t="s">
        <v>4396</v>
      </c>
      <c r="C352" s="207" t="s">
        <v>4427</v>
      </c>
      <c r="D352" s="207">
        <v>1</v>
      </c>
      <c r="E352" s="207" t="s">
        <v>4398</v>
      </c>
      <c r="F352" s="214" t="s">
        <v>5922</v>
      </c>
      <c r="G352" s="207" t="s">
        <v>4400</v>
      </c>
      <c r="H352" s="207" t="s">
        <v>4401</v>
      </c>
      <c r="I352" s="217" t="s">
        <v>4402</v>
      </c>
      <c r="J352" s="215" t="s">
        <v>5923</v>
      </c>
      <c r="K352" s="215" t="s">
        <v>5924</v>
      </c>
      <c r="L352" s="215" t="s">
        <v>5925</v>
      </c>
      <c r="M352" s="207" t="s">
        <v>4405</v>
      </c>
      <c r="N352" s="207" t="s">
        <v>4442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5923</v>
      </c>
      <c r="AB352" s="215" t="s">
        <v>5924</v>
      </c>
      <c r="AC352" s="215" t="s">
        <v>5925</v>
      </c>
      <c r="AD352" s="207" t="s">
        <v>4402</v>
      </c>
      <c r="AE352" s="207" t="s">
        <v>4405</v>
      </c>
      <c r="AF352" s="218">
        <v>18920.009999999998</v>
      </c>
      <c r="AG352" s="218">
        <f>AF352+30000</f>
        <v>48920.009999999995</v>
      </c>
      <c r="AH352" s="207" t="s">
        <v>4433</v>
      </c>
      <c r="AI352" s="214" t="s">
        <v>4411</v>
      </c>
      <c r="AJ352" s="207">
        <v>147045829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4423</v>
      </c>
      <c r="AT352" s="207"/>
      <c r="AU352" s="220" t="s">
        <v>5926</v>
      </c>
      <c r="AV352" s="207" t="s">
        <v>4425</v>
      </c>
      <c r="AW352" s="207" t="s">
        <v>4425</v>
      </c>
      <c r="AX352" s="207" t="s">
        <v>4425</v>
      </c>
      <c r="AY352" s="207" t="s">
        <v>4425</v>
      </c>
      <c r="AZ352" s="202">
        <v>46020</v>
      </c>
      <c r="BA352" s="219" t="s">
        <v>4425</v>
      </c>
      <c r="BB352" s="207" t="s">
        <v>4425</v>
      </c>
      <c r="BC352" s="208">
        <v>46024</v>
      </c>
      <c r="BD352" s="227">
        <v>46024</v>
      </c>
      <c r="BE352" s="226" t="s">
        <v>4435</v>
      </c>
      <c r="BF352" s="228" t="s">
        <v>4436</v>
      </c>
      <c r="BG352" s="229" t="s">
        <v>4425</v>
      </c>
      <c r="BH352" s="321">
        <f t="shared" si="25"/>
        <v>23</v>
      </c>
      <c r="BI352" s="98" t="str">
        <f t="shared" si="26"/>
        <v>INDENIZAÇÃO</v>
      </c>
      <c r="BJ352" s="98" t="str">
        <f t="shared" si="27"/>
        <v>NÃO</v>
      </c>
      <c r="BK352" s="230" t="s">
        <v>4437</v>
      </c>
      <c r="BL352" s="230" t="s">
        <v>4437</v>
      </c>
      <c r="BM352" s="230" t="s">
        <v>4437</v>
      </c>
      <c r="BN352" s="207" t="s">
        <v>4425</v>
      </c>
      <c r="BO352" s="207" t="s">
        <v>4425</v>
      </c>
      <c r="BP352" s="202">
        <v>46205</v>
      </c>
      <c r="BQ352" s="207" t="s">
        <v>4425</v>
      </c>
      <c r="BR352" s="232" t="s">
        <v>4435</v>
      </c>
    </row>
    <row r="353" spans="1:72" s="240" customFormat="1" ht="27" hidden="1" customHeight="1">
      <c r="A353" s="207">
        <v>349</v>
      </c>
      <c r="B353" s="197" t="s">
        <v>4396</v>
      </c>
      <c r="C353" s="207" t="s">
        <v>4427</v>
      </c>
      <c r="D353" s="207">
        <v>1</v>
      </c>
      <c r="E353" s="207" t="s">
        <v>4398</v>
      </c>
      <c r="F353" s="214" t="s">
        <v>5927</v>
      </c>
      <c r="G353" s="207" t="s">
        <v>4400</v>
      </c>
      <c r="H353" s="207" t="s">
        <v>4401</v>
      </c>
      <c r="I353" s="217" t="s">
        <v>4402</v>
      </c>
      <c r="J353" s="215" t="s">
        <v>5928</v>
      </c>
      <c r="K353" s="215" t="s">
        <v>5929</v>
      </c>
      <c r="L353" s="215" t="s">
        <v>5930</v>
      </c>
      <c r="M353" s="207" t="s">
        <v>4405</v>
      </c>
      <c r="N353" s="207" t="s">
        <v>4406</v>
      </c>
      <c r="O353" s="202">
        <v>46002</v>
      </c>
      <c r="P353" s="202" t="s">
        <v>4407</v>
      </c>
      <c r="Q353" s="202">
        <v>45999</v>
      </c>
      <c r="R353" s="202">
        <v>46006</v>
      </c>
      <c r="S353" s="202">
        <v>46006</v>
      </c>
      <c r="T353" s="202">
        <v>46009</v>
      </c>
      <c r="U353" s="202" t="s">
        <v>4408</v>
      </c>
      <c r="V353" s="202" t="s">
        <v>4408</v>
      </c>
      <c r="W353" s="202">
        <v>46014</v>
      </c>
      <c r="X353" s="202">
        <v>46020</v>
      </c>
      <c r="Y353" s="202"/>
      <c r="Z353" s="207"/>
      <c r="AA353" s="215" t="s">
        <v>5928</v>
      </c>
      <c r="AB353" s="215" t="s">
        <v>5929</v>
      </c>
      <c r="AC353" s="215" t="s">
        <v>5930</v>
      </c>
      <c r="AD353" s="217" t="s">
        <v>4402</v>
      </c>
      <c r="AE353" s="207" t="s">
        <v>4405</v>
      </c>
      <c r="AF353" s="218" t="s">
        <v>4409</v>
      </c>
      <c r="AG353" s="218" t="s">
        <v>4409</v>
      </c>
      <c r="AH353" s="207" t="s">
        <v>4410</v>
      </c>
      <c r="AI353" s="214" t="s">
        <v>4411</v>
      </c>
      <c r="AJ353" s="207"/>
      <c r="AK353" s="316">
        <v>45986</v>
      </c>
      <c r="AL353" s="316">
        <v>45986</v>
      </c>
      <c r="AM353" s="316">
        <v>45986</v>
      </c>
      <c r="AN353" s="316">
        <v>45986</v>
      </c>
      <c r="AO353" s="316">
        <v>45986</v>
      </c>
      <c r="AP353" s="316">
        <v>45986</v>
      </c>
      <c r="AQ353" s="314"/>
      <c r="AR353" s="315" t="str">
        <f t="shared" si="24"/>
        <v>FINALIZADO</v>
      </c>
      <c r="AS353" s="207"/>
      <c r="AT353" s="207"/>
      <c r="AU353" s="220"/>
      <c r="AV353" s="160"/>
      <c r="AW353" s="207"/>
      <c r="AX353" s="207"/>
      <c r="AY353" s="207"/>
      <c r="AZ353" s="202"/>
      <c r="BA353" s="161"/>
      <c r="BB353" s="207"/>
      <c r="BC353" s="202"/>
      <c r="BD353" s="208"/>
      <c r="BE353" s="202"/>
      <c r="BF353" s="207"/>
      <c r="BG353" s="229"/>
      <c r="BH353" s="321" t="str">
        <f t="shared" si="25"/>
        <v/>
      </c>
      <c r="BI353" s="98" t="str">
        <f t="shared" si="26"/>
        <v>AA</v>
      </c>
      <c r="BJ353" s="98" t="str">
        <f t="shared" si="27"/>
        <v>NÃO</v>
      </c>
      <c r="BK353" s="230"/>
      <c r="BL353" s="230"/>
      <c r="BM353" s="230"/>
      <c r="BN353" s="230"/>
      <c r="BO353" s="230"/>
      <c r="BP353" s="230"/>
      <c r="BQ353" s="230"/>
      <c r="BR353" s="234"/>
    </row>
    <row r="354" spans="1:72" s="240" customFormat="1" ht="27" hidden="1" customHeight="1">
      <c r="A354" s="197">
        <v>350</v>
      </c>
      <c r="B354" s="197" t="s">
        <v>4396</v>
      </c>
      <c r="C354" s="207" t="s">
        <v>4427</v>
      </c>
      <c r="D354" s="207">
        <v>1</v>
      </c>
      <c r="E354" s="207" t="s">
        <v>4398</v>
      </c>
      <c r="F354" s="214" t="s">
        <v>5931</v>
      </c>
      <c r="G354" s="207" t="s">
        <v>4400</v>
      </c>
      <c r="H354" s="207" t="s">
        <v>4401</v>
      </c>
      <c r="I354" s="217" t="s">
        <v>4402</v>
      </c>
      <c r="J354" s="215" t="s">
        <v>5932</v>
      </c>
      <c r="K354" s="215" t="s">
        <v>5933</v>
      </c>
      <c r="L354" s="215" t="s">
        <v>5934</v>
      </c>
      <c r="M354" s="207" t="s">
        <v>4405</v>
      </c>
      <c r="N354" s="207" t="s">
        <v>4406</v>
      </c>
      <c r="O354" s="202">
        <v>46084</v>
      </c>
      <c r="P354" s="202" t="s">
        <v>4407</v>
      </c>
      <c r="Q354" s="202">
        <v>46083</v>
      </c>
      <c r="R354" s="203">
        <v>46084</v>
      </c>
      <c r="S354" s="203">
        <v>46087</v>
      </c>
      <c r="T354" s="203">
        <v>46090</v>
      </c>
      <c r="U354" s="202" t="s">
        <v>4408</v>
      </c>
      <c r="V354" s="202" t="s">
        <v>4408</v>
      </c>
      <c r="W354" s="202">
        <v>46101</v>
      </c>
      <c r="X354" s="202">
        <v>46101</v>
      </c>
      <c r="Y354" s="202"/>
      <c r="Z354" s="207"/>
      <c r="AA354" s="215" t="s">
        <v>5932</v>
      </c>
      <c r="AB354" s="215" t="s">
        <v>5933</v>
      </c>
      <c r="AC354" s="215" t="s">
        <v>5934</v>
      </c>
      <c r="AD354" s="207" t="s">
        <v>4402</v>
      </c>
      <c r="AE354" s="207" t="s">
        <v>4405</v>
      </c>
      <c r="AF354" s="218" t="s">
        <v>4409</v>
      </c>
      <c r="AG354" s="218" t="s">
        <v>4409</v>
      </c>
      <c r="AH354" s="207" t="s">
        <v>4410</v>
      </c>
      <c r="AI354" s="214" t="s">
        <v>4411</v>
      </c>
      <c r="AJ354" s="207"/>
      <c r="AK354" s="316">
        <v>45986</v>
      </c>
      <c r="AL354" s="316">
        <v>45986</v>
      </c>
      <c r="AM354" s="316">
        <v>45986</v>
      </c>
      <c r="AN354" s="316">
        <v>45986</v>
      </c>
      <c r="AO354" s="316">
        <v>45986</v>
      </c>
      <c r="AP354" s="316">
        <v>45986</v>
      </c>
      <c r="AQ354" s="314"/>
      <c r="AR354" s="315" t="str">
        <f t="shared" si="24"/>
        <v>FINALIZADO</v>
      </c>
      <c r="AS354" s="207"/>
      <c r="AT354" s="207"/>
      <c r="AU354" s="220"/>
      <c r="AV354" s="207"/>
      <c r="AW354" s="207"/>
      <c r="AX354" s="207"/>
      <c r="AY354" s="207"/>
      <c r="AZ354" s="202"/>
      <c r="BA354" s="219"/>
      <c r="BB354" s="207"/>
      <c r="BC354" s="202"/>
      <c r="BD354" s="208"/>
      <c r="BE354" s="202"/>
      <c r="BF354" s="207"/>
      <c r="BG354" s="229"/>
      <c r="BH354" s="321" t="str">
        <f t="shared" si="25"/>
        <v/>
      </c>
      <c r="BI354" s="98" t="str">
        <f t="shared" si="26"/>
        <v>AA</v>
      </c>
      <c r="BJ354" s="98" t="str">
        <f t="shared" si="27"/>
        <v>NÃO</v>
      </c>
      <c r="BK354" s="230"/>
      <c r="BL354" s="230"/>
      <c r="BM354" s="230"/>
      <c r="BN354" s="230"/>
      <c r="BO354" s="230"/>
      <c r="BP354" s="230"/>
      <c r="BQ354" s="230"/>
      <c r="BR354" s="234"/>
    </row>
    <row r="355" spans="1:72" s="240" customFormat="1" ht="27" hidden="1" customHeight="1">
      <c r="A355" s="197">
        <v>351</v>
      </c>
      <c r="B355" s="197" t="s">
        <v>4396</v>
      </c>
      <c r="C355" s="207" t="s">
        <v>4427</v>
      </c>
      <c r="D355" s="207">
        <v>1</v>
      </c>
      <c r="E355" s="207" t="s">
        <v>4398</v>
      </c>
      <c r="F355" s="214" t="s">
        <v>5935</v>
      </c>
      <c r="G355" s="207" t="s">
        <v>4400</v>
      </c>
      <c r="H355" s="207" t="s">
        <v>4401</v>
      </c>
      <c r="I355" s="217" t="s">
        <v>4414</v>
      </c>
      <c r="J355" s="215" t="s">
        <v>5936</v>
      </c>
      <c r="K355" s="215" t="s">
        <v>5937</v>
      </c>
      <c r="L355" s="215" t="s">
        <v>5938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46049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4421</v>
      </c>
      <c r="AE355" s="207" t="s">
        <v>4405</v>
      </c>
      <c r="AF355" s="218">
        <v>16383.53</v>
      </c>
      <c r="AG355" s="218">
        <v>16383.53</v>
      </c>
      <c r="AH355" s="207" t="s">
        <v>4433</v>
      </c>
      <c r="AI355" s="214" t="s">
        <v>4411</v>
      </c>
      <c r="AJ355" s="207">
        <v>147049215</v>
      </c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 t="s">
        <v>4423</v>
      </c>
      <c r="AT355" s="207"/>
      <c r="AU355" s="220" t="s">
        <v>5942</v>
      </c>
      <c r="AV355" s="207" t="s">
        <v>4425</v>
      </c>
      <c r="AW355" s="207" t="s">
        <v>4425</v>
      </c>
      <c r="AX355" s="207" t="s">
        <v>4425</v>
      </c>
      <c r="AY355" s="207" t="s">
        <v>4425</v>
      </c>
      <c r="AZ355" s="203">
        <v>46017</v>
      </c>
      <c r="BA355" s="219" t="s">
        <v>4425</v>
      </c>
      <c r="BB355" s="207" t="s">
        <v>4425</v>
      </c>
      <c r="BC355" s="208">
        <v>46024</v>
      </c>
      <c r="BD355" s="227">
        <v>46024</v>
      </c>
      <c r="BE355" s="226" t="s">
        <v>4435</v>
      </c>
      <c r="BF355" s="228" t="s">
        <v>4436</v>
      </c>
      <c r="BG355" s="229" t="s">
        <v>4425</v>
      </c>
      <c r="BH355" s="321">
        <f t="shared" si="25"/>
        <v>38</v>
      </c>
      <c r="BI355" s="98" t="str">
        <f t="shared" si="26"/>
        <v>INDENIZAÇÃO</v>
      </c>
      <c r="BJ355" s="98" t="str">
        <f t="shared" si="27"/>
        <v>NÃO</v>
      </c>
      <c r="BK355" s="230" t="s">
        <v>4437</v>
      </c>
      <c r="BL355" s="230" t="s">
        <v>4437</v>
      </c>
      <c r="BM355" s="230" t="s">
        <v>4437</v>
      </c>
      <c r="BN355" s="207" t="s">
        <v>4425</v>
      </c>
      <c r="BO355" s="207" t="s">
        <v>4425</v>
      </c>
      <c r="BP355" s="202">
        <v>46182</v>
      </c>
      <c r="BQ355" s="207" t="s">
        <v>4425</v>
      </c>
      <c r="BR355" s="256" t="s">
        <v>4435</v>
      </c>
    </row>
    <row r="356" spans="1:72" s="240" customFormat="1" ht="27" hidden="1" customHeight="1">
      <c r="A356" s="207">
        <v>352</v>
      </c>
      <c r="B356" s="197" t="s">
        <v>4396</v>
      </c>
      <c r="C356" s="207" t="s">
        <v>4427</v>
      </c>
      <c r="D356" s="207">
        <v>1</v>
      </c>
      <c r="E356" s="207" t="s">
        <v>4398</v>
      </c>
      <c r="F356" s="214" t="s">
        <v>5943</v>
      </c>
      <c r="G356" s="207" t="s">
        <v>4400</v>
      </c>
      <c r="H356" s="207" t="s">
        <v>4401</v>
      </c>
      <c r="I356" s="217" t="s">
        <v>4414</v>
      </c>
      <c r="J356" s="215" t="s">
        <v>5944</v>
      </c>
      <c r="K356" s="215" t="s">
        <v>5945</v>
      </c>
      <c r="L356" s="215" t="s">
        <v>5946</v>
      </c>
      <c r="M356" s="207" t="s">
        <v>4405</v>
      </c>
      <c r="N356" s="207" t="s">
        <v>4406</v>
      </c>
      <c r="O356" s="202">
        <v>46002</v>
      </c>
      <c r="P356" s="202" t="s">
        <v>4407</v>
      </c>
      <c r="Q356" s="202">
        <v>45999</v>
      </c>
      <c r="R356" s="202">
        <v>46006</v>
      </c>
      <c r="S356" s="202">
        <v>46006</v>
      </c>
      <c r="T356" s="202">
        <v>46009</v>
      </c>
      <c r="U356" s="202" t="s">
        <v>4408</v>
      </c>
      <c r="V356" s="202" t="s">
        <v>4408</v>
      </c>
      <c r="W356" s="202">
        <v>46014</v>
      </c>
      <c r="X356" s="202">
        <v>46024</v>
      </c>
      <c r="Y356" s="202"/>
      <c r="Z356" s="207"/>
      <c r="AA356" s="215" t="s">
        <v>5947</v>
      </c>
      <c r="AB356" s="215" t="s">
        <v>5948</v>
      </c>
      <c r="AC356" s="215" t="s">
        <v>5949</v>
      </c>
      <c r="AD356" s="217" t="s">
        <v>4421</v>
      </c>
      <c r="AE356" s="207" t="s">
        <v>4405</v>
      </c>
      <c r="AF356" s="218">
        <v>20167.82</v>
      </c>
      <c r="AG356" s="218">
        <v>20167.82</v>
      </c>
      <c r="AH356" s="207" t="s">
        <v>14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 t="s">
        <v>5950</v>
      </c>
      <c r="AU356" s="220"/>
      <c r="AV356" s="160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INDENIZAÇÃO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>
      <c r="A357" s="207">
        <v>353</v>
      </c>
      <c r="B357" s="197" t="s">
        <v>4396</v>
      </c>
      <c r="C357" s="207" t="s">
        <v>4427</v>
      </c>
      <c r="D357" s="207">
        <v>1</v>
      </c>
      <c r="E357" s="207" t="s">
        <v>4398</v>
      </c>
      <c r="F357" s="214" t="s">
        <v>5951</v>
      </c>
      <c r="G357" s="207" t="s">
        <v>4400</v>
      </c>
      <c r="H357" s="207" t="s">
        <v>4401</v>
      </c>
      <c r="I357" s="217" t="s">
        <v>4402</v>
      </c>
      <c r="J357" s="215" t="s">
        <v>5952</v>
      </c>
      <c r="K357" s="215" t="s">
        <v>5953</v>
      </c>
      <c r="L357" s="215" t="s">
        <v>5954</v>
      </c>
      <c r="M357" s="207" t="s">
        <v>4405</v>
      </c>
      <c r="N357" s="207" t="s">
        <v>4442</v>
      </c>
      <c r="O357" s="202" t="s">
        <v>4409</v>
      </c>
      <c r="P357" s="202" t="s">
        <v>4409</v>
      </c>
      <c r="Q357" s="202" t="s">
        <v>4409</v>
      </c>
      <c r="R357" s="202" t="s">
        <v>4409</v>
      </c>
      <c r="S357" s="202" t="s">
        <v>4409</v>
      </c>
      <c r="T357" s="202" t="s">
        <v>4409</v>
      </c>
      <c r="U357" s="202" t="s">
        <v>4409</v>
      </c>
      <c r="V357" s="202" t="s">
        <v>4409</v>
      </c>
      <c r="W357" s="202" t="s">
        <v>4409</v>
      </c>
      <c r="X357" s="202" t="s">
        <v>4409</v>
      </c>
      <c r="Y357" s="202"/>
      <c r="Z357" s="207"/>
      <c r="AA357" s="215" t="s">
        <v>5952</v>
      </c>
      <c r="AB357" s="215" t="s">
        <v>5953</v>
      </c>
      <c r="AC357" s="215" t="s">
        <v>5954</v>
      </c>
      <c r="AD357" s="207" t="s">
        <v>4402</v>
      </c>
      <c r="AE357" s="207" t="s">
        <v>4405</v>
      </c>
      <c r="AF357" s="218">
        <v>68808.5</v>
      </c>
      <c r="AG357" s="218">
        <v>68808.5</v>
      </c>
      <c r="AH357" s="207" t="s">
        <v>4433</v>
      </c>
      <c r="AI357" s="214" t="s">
        <v>4411</v>
      </c>
      <c r="AJ357" s="207">
        <v>148264898</v>
      </c>
      <c r="AK357" s="316">
        <v>46038</v>
      </c>
      <c r="AL357" s="316">
        <v>46038</v>
      </c>
      <c r="AM357" s="316">
        <v>46038</v>
      </c>
      <c r="AN357" s="316">
        <v>46038</v>
      </c>
      <c r="AO357" s="316">
        <v>46038</v>
      </c>
      <c r="AP357" s="316">
        <v>46038</v>
      </c>
      <c r="AQ357" s="314"/>
      <c r="AR357" s="315" t="str">
        <f t="shared" si="24"/>
        <v>FINALIZADO</v>
      </c>
      <c r="AS357" s="207" t="s">
        <v>4423</v>
      </c>
      <c r="AT357" s="207"/>
      <c r="AU357" s="220" t="s">
        <v>5955</v>
      </c>
      <c r="AV357" s="197" t="s">
        <v>4425</v>
      </c>
      <c r="AW357" s="207" t="s">
        <v>4425</v>
      </c>
      <c r="AX357" s="207" t="s">
        <v>4425</v>
      </c>
      <c r="AY357" s="207" t="s">
        <v>4425</v>
      </c>
      <c r="AZ357" s="202">
        <v>46071</v>
      </c>
      <c r="BA357" s="219" t="s">
        <v>4425</v>
      </c>
      <c r="BB357" s="219" t="s">
        <v>4425</v>
      </c>
      <c r="BC357" s="239">
        <v>46093</v>
      </c>
      <c r="BD357" s="226">
        <v>46093</v>
      </c>
      <c r="BE357" s="227" t="s">
        <v>4435</v>
      </c>
      <c r="BF357" s="228" t="s">
        <v>4436</v>
      </c>
      <c r="BG357" s="229" t="s">
        <v>4425</v>
      </c>
      <c r="BH357" s="321">
        <f t="shared" si="25"/>
        <v>55</v>
      </c>
      <c r="BI357" s="98" t="str">
        <f t="shared" si="26"/>
        <v>INDENIZAÇÃO</v>
      </c>
      <c r="BJ357" s="98" t="str">
        <f t="shared" si="27"/>
        <v>NÃO</v>
      </c>
      <c r="BK357" s="230" t="s">
        <v>4437</v>
      </c>
      <c r="BL357" s="230" t="s">
        <v>4437</v>
      </c>
      <c r="BM357" s="230" t="s">
        <v>4437</v>
      </c>
      <c r="BN357" s="265" t="s">
        <v>5732</v>
      </c>
      <c r="BO357" s="265"/>
      <c r="BP357" s="265"/>
      <c r="BQ357" s="265"/>
      <c r="BR357" s="231"/>
    </row>
    <row r="358" spans="1:72" s="240" customFormat="1" ht="27" hidden="1" customHeight="1">
      <c r="A358" s="207">
        <v>354</v>
      </c>
      <c r="B358" s="197" t="s">
        <v>4396</v>
      </c>
      <c r="C358" s="207" t="s">
        <v>4427</v>
      </c>
      <c r="D358" s="207">
        <v>1</v>
      </c>
      <c r="E358" s="207" t="s">
        <v>4398</v>
      </c>
      <c r="F358" s="214" t="s">
        <v>5956</v>
      </c>
      <c r="G358" s="207" t="s">
        <v>4400</v>
      </c>
      <c r="H358" s="207" t="s">
        <v>4401</v>
      </c>
      <c r="I358" s="217" t="s">
        <v>4402</v>
      </c>
      <c r="J358" s="215" t="s">
        <v>5957</v>
      </c>
      <c r="K358" s="215" t="s">
        <v>5958</v>
      </c>
      <c r="L358" s="215" t="s">
        <v>5959</v>
      </c>
      <c r="M358" s="207" t="s">
        <v>4405</v>
      </c>
      <c r="N358" s="207" t="s">
        <v>4442</v>
      </c>
      <c r="O358" s="202" t="s">
        <v>4409</v>
      </c>
      <c r="P358" s="202" t="s">
        <v>4409</v>
      </c>
      <c r="Q358" s="202" t="s">
        <v>4409</v>
      </c>
      <c r="R358" s="202" t="s">
        <v>4409</v>
      </c>
      <c r="S358" s="202" t="s">
        <v>4409</v>
      </c>
      <c r="T358" s="202" t="s">
        <v>4409</v>
      </c>
      <c r="U358" s="202" t="s">
        <v>4409</v>
      </c>
      <c r="V358" s="202" t="s">
        <v>4409</v>
      </c>
      <c r="W358" s="202" t="s">
        <v>4409</v>
      </c>
      <c r="X358" s="202" t="s">
        <v>4409</v>
      </c>
      <c r="Y358" s="202"/>
      <c r="Z358" s="207"/>
      <c r="AA358" s="215" t="s">
        <v>5957</v>
      </c>
      <c r="AB358" s="215" t="s">
        <v>5958</v>
      </c>
      <c r="AC358" s="215" t="s">
        <v>5959</v>
      </c>
      <c r="AD358" s="207" t="s">
        <v>4402</v>
      </c>
      <c r="AE358" s="207" t="s">
        <v>4405</v>
      </c>
      <c r="AF358" s="218">
        <v>57066.87</v>
      </c>
      <c r="AG358" s="218">
        <v>60000</v>
      </c>
      <c r="AH358" s="207" t="s">
        <v>4433</v>
      </c>
      <c r="AI358" s="214" t="s">
        <v>4411</v>
      </c>
      <c r="AJ358" s="207">
        <v>147049654</v>
      </c>
      <c r="AK358" s="316">
        <v>46001</v>
      </c>
      <c r="AL358" s="316">
        <v>46001</v>
      </c>
      <c r="AM358" s="316">
        <v>46001</v>
      </c>
      <c r="AN358" s="316">
        <v>46001</v>
      </c>
      <c r="AO358" s="316">
        <v>46001</v>
      </c>
      <c r="AP358" s="316">
        <v>46001</v>
      </c>
      <c r="AQ358" s="314"/>
      <c r="AR358" s="315" t="str">
        <f t="shared" si="24"/>
        <v>FINALIZADO</v>
      </c>
      <c r="AS358" s="207" t="s">
        <v>4423</v>
      </c>
      <c r="AT358" s="207"/>
      <c r="AU358" s="220" t="s">
        <v>5960</v>
      </c>
      <c r="AV358" s="197" t="s">
        <v>4425</v>
      </c>
      <c r="AW358" s="207" t="s">
        <v>4425</v>
      </c>
      <c r="AX358" s="207" t="s">
        <v>4425</v>
      </c>
      <c r="AY358" s="207" t="s">
        <v>4425</v>
      </c>
      <c r="AZ358" s="203">
        <v>46017</v>
      </c>
      <c r="BA358" s="219" t="s">
        <v>4425</v>
      </c>
      <c r="BB358" s="207" t="s">
        <v>4425</v>
      </c>
      <c r="BC358" s="208">
        <v>46024</v>
      </c>
      <c r="BD358" s="227">
        <v>46024</v>
      </c>
      <c r="BE358" s="226" t="s">
        <v>4435</v>
      </c>
      <c r="BF358" s="228" t="s">
        <v>4436</v>
      </c>
      <c r="BG358" s="229" t="s">
        <v>4425</v>
      </c>
      <c r="BH358" s="321">
        <f t="shared" si="25"/>
        <v>23</v>
      </c>
      <c r="BI358" s="98" t="str">
        <f t="shared" si="26"/>
        <v>INDENIZAÇÃO</v>
      </c>
      <c r="BJ358" s="98" t="str">
        <f t="shared" si="27"/>
        <v>NÃO</v>
      </c>
      <c r="BK358" s="230" t="s">
        <v>4437</v>
      </c>
      <c r="BL358" s="230" t="s">
        <v>4437</v>
      </c>
      <c r="BM358" s="230" t="s">
        <v>4437</v>
      </c>
      <c r="BN358" s="207" t="s">
        <v>4425</v>
      </c>
      <c r="BO358" s="207" t="s">
        <v>4425</v>
      </c>
      <c r="BP358" s="202">
        <v>46205</v>
      </c>
      <c r="BQ358" s="207" t="s">
        <v>4425</v>
      </c>
      <c r="BR358" s="232" t="s">
        <v>4435</v>
      </c>
    </row>
    <row r="359" spans="1:72" s="240" customFormat="1" ht="27" hidden="1" customHeight="1">
      <c r="A359" s="197">
        <v>355</v>
      </c>
      <c r="B359" s="197" t="s">
        <v>4396</v>
      </c>
      <c r="C359" s="207" t="s">
        <v>4427</v>
      </c>
      <c r="D359" s="207">
        <v>1</v>
      </c>
      <c r="E359" s="207" t="s">
        <v>4398</v>
      </c>
      <c r="F359" s="214" t="s">
        <v>5961</v>
      </c>
      <c r="G359" s="207" t="s">
        <v>4400</v>
      </c>
      <c r="H359" s="207" t="s">
        <v>4401</v>
      </c>
      <c r="I359" s="217" t="s">
        <v>4402</v>
      </c>
      <c r="J359" s="215" t="s">
        <v>5962</v>
      </c>
      <c r="K359" s="215" t="s">
        <v>5963</v>
      </c>
      <c r="L359" s="215" t="s">
        <v>5964</v>
      </c>
      <c r="M359" s="207" t="s">
        <v>4405</v>
      </c>
      <c r="N359" s="207" t="s">
        <v>4406</v>
      </c>
      <c r="O359" s="202">
        <v>46002</v>
      </c>
      <c r="P359" s="202" t="s">
        <v>4407</v>
      </c>
      <c r="Q359" s="202">
        <v>45999</v>
      </c>
      <c r="R359" s="202">
        <v>46006</v>
      </c>
      <c r="S359" s="202">
        <v>46006</v>
      </c>
      <c r="T359" s="202">
        <v>46009</v>
      </c>
      <c r="U359" s="202" t="s">
        <v>4408</v>
      </c>
      <c r="V359" s="202" t="s">
        <v>4408</v>
      </c>
      <c r="W359" s="202">
        <v>46014</v>
      </c>
      <c r="X359" s="202">
        <v>46020</v>
      </c>
      <c r="Y359" s="202"/>
      <c r="Z359" s="207"/>
      <c r="AA359" s="215" t="s">
        <v>5962</v>
      </c>
      <c r="AB359" s="215" t="s">
        <v>5963</v>
      </c>
      <c r="AC359" s="215" t="s">
        <v>5964</v>
      </c>
      <c r="AD359" s="217" t="s">
        <v>4402</v>
      </c>
      <c r="AE359" s="207" t="s">
        <v>4405</v>
      </c>
      <c r="AF359" s="218" t="s">
        <v>4409</v>
      </c>
      <c r="AG359" s="218" t="s">
        <v>4409</v>
      </c>
      <c r="AH359" s="207" t="s">
        <v>4410</v>
      </c>
      <c r="AI359" s="214" t="s">
        <v>4411</v>
      </c>
      <c r="AJ359" s="207"/>
      <c r="AK359" s="316">
        <v>45996</v>
      </c>
      <c r="AL359" s="316">
        <v>45996</v>
      </c>
      <c r="AM359" s="316">
        <v>45996</v>
      </c>
      <c r="AN359" s="316">
        <v>45996</v>
      </c>
      <c r="AO359" s="316">
        <v>45996</v>
      </c>
      <c r="AP359" s="316">
        <v>45996</v>
      </c>
      <c r="AQ359" s="314"/>
      <c r="AR359" s="315" t="str">
        <f t="shared" si="24"/>
        <v>FINALIZADO</v>
      </c>
      <c r="AS359" s="207"/>
      <c r="AT359" s="207"/>
      <c r="AU359" s="220"/>
      <c r="AV359" s="197"/>
      <c r="AW359" s="207"/>
      <c r="AX359" s="207"/>
      <c r="AY359" s="207"/>
      <c r="AZ359" s="202"/>
      <c r="BA359" s="219"/>
      <c r="BB359" s="207"/>
      <c r="BC359" s="202"/>
      <c r="BD359" s="208"/>
      <c r="BE359" s="202"/>
      <c r="BF359" s="207"/>
      <c r="BG359" s="229"/>
      <c r="BH359" s="321" t="str">
        <f t="shared" si="25"/>
        <v/>
      </c>
      <c r="BI359" s="98" t="str">
        <f t="shared" si="26"/>
        <v>AA</v>
      </c>
      <c r="BJ359" s="98" t="str">
        <f t="shared" si="27"/>
        <v>NÃO</v>
      </c>
      <c r="BK359" s="230"/>
      <c r="BL359" s="230"/>
      <c r="BM359" s="230"/>
      <c r="BN359" s="230"/>
      <c r="BO359" s="230"/>
      <c r="BP359" s="230"/>
      <c r="BQ359" s="230"/>
      <c r="BR359" s="234"/>
    </row>
    <row r="360" spans="1:72" s="240" customFormat="1" ht="27" hidden="1" customHeight="1">
      <c r="A360" s="197">
        <v>356</v>
      </c>
      <c r="B360" s="197" t="s">
        <v>4396</v>
      </c>
      <c r="C360" s="207" t="s">
        <v>4427</v>
      </c>
      <c r="D360" s="207">
        <v>1</v>
      </c>
      <c r="E360" s="207" t="s">
        <v>4398</v>
      </c>
      <c r="F360" s="214" t="s">
        <v>5965</v>
      </c>
      <c r="G360" s="207" t="s">
        <v>4400</v>
      </c>
      <c r="H360" s="207" t="s">
        <v>4401</v>
      </c>
      <c r="I360" s="217" t="s">
        <v>4402</v>
      </c>
      <c r="J360" s="215" t="s">
        <v>5966</v>
      </c>
      <c r="K360" s="215" t="s">
        <v>5967</v>
      </c>
      <c r="L360" s="215" t="s">
        <v>5968</v>
      </c>
      <c r="M360" s="207" t="s">
        <v>4405</v>
      </c>
      <c r="N360" s="207" t="s">
        <v>4442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5966</v>
      </c>
      <c r="AB360" s="215" t="s">
        <v>5967</v>
      </c>
      <c r="AC360" s="215" t="s">
        <v>5968</v>
      </c>
      <c r="AD360" s="207" t="s">
        <v>4402</v>
      </c>
      <c r="AE360" s="207" t="s">
        <v>4405</v>
      </c>
      <c r="AF360" s="218">
        <v>15443.8</v>
      </c>
      <c r="AG360" s="218">
        <f>AF360+30000</f>
        <v>45443.8</v>
      </c>
      <c r="AH360" s="207" t="s">
        <v>4433</v>
      </c>
      <c r="AI360" s="214" t="s">
        <v>4411</v>
      </c>
      <c r="AJ360" s="207">
        <v>147049934</v>
      </c>
      <c r="AK360" s="316">
        <v>45986</v>
      </c>
      <c r="AL360" s="316">
        <v>45986</v>
      </c>
      <c r="AM360" s="316">
        <v>45986</v>
      </c>
      <c r="AN360" s="316">
        <v>45986</v>
      </c>
      <c r="AO360" s="316">
        <v>45986</v>
      </c>
      <c r="AP360" s="316">
        <v>45986</v>
      </c>
      <c r="AQ360" s="314"/>
      <c r="AR360" s="315" t="str">
        <f t="shared" si="24"/>
        <v>FINALIZADO</v>
      </c>
      <c r="AS360" s="207" t="s">
        <v>4423</v>
      </c>
      <c r="AT360" s="207"/>
      <c r="AU360" s="220" t="s">
        <v>5969</v>
      </c>
      <c r="AV360" s="207" t="s">
        <v>4425</v>
      </c>
      <c r="AW360" s="207" t="s">
        <v>4425</v>
      </c>
      <c r="AX360" s="207" t="s">
        <v>4425</v>
      </c>
      <c r="AY360" s="207" t="s">
        <v>4425</v>
      </c>
      <c r="AZ360" s="203">
        <v>46017</v>
      </c>
      <c r="BA360" s="219" t="s">
        <v>4425</v>
      </c>
      <c r="BB360" s="207" t="s">
        <v>4425</v>
      </c>
      <c r="BC360" s="208">
        <v>46027</v>
      </c>
      <c r="BD360" s="227">
        <v>46027</v>
      </c>
      <c r="BE360" s="226" t="s">
        <v>4435</v>
      </c>
      <c r="BF360" s="228" t="s">
        <v>4436</v>
      </c>
      <c r="BG360" s="229" t="s">
        <v>4425</v>
      </c>
      <c r="BH360" s="321">
        <f t="shared" si="25"/>
        <v>41</v>
      </c>
      <c r="BI360" s="98" t="str">
        <f t="shared" si="26"/>
        <v>INDENIZAÇÃO</v>
      </c>
      <c r="BJ360" s="98" t="str">
        <f t="shared" si="27"/>
        <v>NÃO</v>
      </c>
      <c r="BK360" s="230" t="s">
        <v>4437</v>
      </c>
      <c r="BL360" s="230" t="s">
        <v>4437</v>
      </c>
      <c r="BM360" s="230" t="s">
        <v>4437</v>
      </c>
      <c r="BN360" s="265" t="s">
        <v>5732</v>
      </c>
      <c r="BO360" s="265"/>
      <c r="BP360" s="265"/>
      <c r="BQ360" s="265"/>
      <c r="BR360" s="231"/>
    </row>
    <row r="361" spans="1:72" s="240" customFormat="1" ht="27" hidden="1" customHeight="1">
      <c r="A361" s="207">
        <v>357</v>
      </c>
      <c r="B361" s="197" t="s">
        <v>4396</v>
      </c>
      <c r="C361" s="207" t="s">
        <v>4427</v>
      </c>
      <c r="D361" s="207">
        <v>1</v>
      </c>
      <c r="E361" s="207" t="s">
        <v>4398</v>
      </c>
      <c r="F361" s="214" t="s">
        <v>5970</v>
      </c>
      <c r="G361" s="207" t="s">
        <v>4400</v>
      </c>
      <c r="H361" s="207" t="s">
        <v>4401</v>
      </c>
      <c r="I361" s="217" t="s">
        <v>4402</v>
      </c>
      <c r="J361" s="215" t="s">
        <v>5971</v>
      </c>
      <c r="K361" s="215" t="s">
        <v>5972</v>
      </c>
      <c r="L361" s="215" t="s">
        <v>5973</v>
      </c>
      <c r="M361" s="207" t="s">
        <v>4405</v>
      </c>
      <c r="N361" s="207" t="s">
        <v>4442</v>
      </c>
      <c r="O361" s="202" t="s">
        <v>4409</v>
      </c>
      <c r="P361" s="202" t="s">
        <v>4409</v>
      </c>
      <c r="Q361" s="202" t="s">
        <v>4409</v>
      </c>
      <c r="R361" s="202" t="s">
        <v>4409</v>
      </c>
      <c r="S361" s="202" t="s">
        <v>4409</v>
      </c>
      <c r="T361" s="202" t="s">
        <v>4409</v>
      </c>
      <c r="U361" s="202" t="s">
        <v>4409</v>
      </c>
      <c r="V361" s="202" t="s">
        <v>4409</v>
      </c>
      <c r="W361" s="202" t="s">
        <v>4409</v>
      </c>
      <c r="X361" s="202" t="s">
        <v>4409</v>
      </c>
      <c r="Y361" s="202"/>
      <c r="Z361" s="207"/>
      <c r="AA361" s="215" t="s">
        <v>5971</v>
      </c>
      <c r="AB361" s="215" t="s">
        <v>5972</v>
      </c>
      <c r="AC361" s="215" t="s">
        <v>5973</v>
      </c>
      <c r="AD361" s="207" t="s">
        <v>4402</v>
      </c>
      <c r="AE361" s="207" t="s">
        <v>4405</v>
      </c>
      <c r="AF361" s="218">
        <v>15408.46</v>
      </c>
      <c r="AG361" s="218">
        <f>AF361+30000</f>
        <v>45408.46</v>
      </c>
      <c r="AH361" s="207" t="s">
        <v>4433</v>
      </c>
      <c r="AI361" s="214" t="s">
        <v>4411</v>
      </c>
      <c r="AJ361" s="207">
        <v>147050298</v>
      </c>
      <c r="AK361" s="316">
        <v>46001</v>
      </c>
      <c r="AL361" s="316">
        <v>46001</v>
      </c>
      <c r="AM361" s="316">
        <v>46001</v>
      </c>
      <c r="AN361" s="316">
        <v>46001</v>
      </c>
      <c r="AO361" s="316">
        <v>46001</v>
      </c>
      <c r="AP361" s="316">
        <v>46001</v>
      </c>
      <c r="AQ361" s="314"/>
      <c r="AR361" s="315" t="str">
        <f t="shared" si="24"/>
        <v>FINALIZADO</v>
      </c>
      <c r="AS361" s="207" t="s">
        <v>4423</v>
      </c>
      <c r="AT361" s="207"/>
      <c r="AU361" s="220" t="s">
        <v>5974</v>
      </c>
      <c r="AV361" s="160" t="s">
        <v>4425</v>
      </c>
      <c r="AW361" s="207" t="s">
        <v>4425</v>
      </c>
      <c r="AX361" s="207" t="s">
        <v>4425</v>
      </c>
      <c r="AY361" s="207" t="s">
        <v>4425</v>
      </c>
      <c r="AZ361" s="203">
        <v>46017</v>
      </c>
      <c r="BA361" s="219" t="s">
        <v>4425</v>
      </c>
      <c r="BB361" s="207" t="s">
        <v>4425</v>
      </c>
      <c r="BC361" s="208">
        <v>46024</v>
      </c>
      <c r="BD361" s="227">
        <v>46024</v>
      </c>
      <c r="BE361" s="226" t="s">
        <v>4435</v>
      </c>
      <c r="BF361" s="228" t="s">
        <v>4436</v>
      </c>
      <c r="BG361" s="229" t="s">
        <v>4425</v>
      </c>
      <c r="BH361" s="321">
        <f t="shared" si="25"/>
        <v>23</v>
      </c>
      <c r="BI361" s="98" t="str">
        <f t="shared" si="26"/>
        <v>INDENIZAÇÃO</v>
      </c>
      <c r="BJ361" s="98" t="str">
        <f t="shared" si="27"/>
        <v>NÃO</v>
      </c>
      <c r="BK361" s="230" t="s">
        <v>4437</v>
      </c>
      <c r="BL361" s="230" t="s">
        <v>4437</v>
      </c>
      <c r="BM361" s="230" t="s">
        <v>4437</v>
      </c>
      <c r="BN361" s="207" t="s">
        <v>4425</v>
      </c>
      <c r="BO361" s="207" t="s">
        <v>4425</v>
      </c>
      <c r="BP361" s="202">
        <v>46205</v>
      </c>
      <c r="BQ361" s="207" t="s">
        <v>4425</v>
      </c>
      <c r="BR361" s="232" t="s">
        <v>4435</v>
      </c>
    </row>
    <row r="362" spans="1:72" s="240" customFormat="1" ht="27" hidden="1" customHeight="1">
      <c r="A362" s="207">
        <v>358</v>
      </c>
      <c r="B362" s="197" t="s">
        <v>4396</v>
      </c>
      <c r="C362" s="207" t="s">
        <v>4427</v>
      </c>
      <c r="D362" s="207">
        <v>1</v>
      </c>
      <c r="E362" s="207" t="s">
        <v>4398</v>
      </c>
      <c r="F362" s="214" t="s">
        <v>5975</v>
      </c>
      <c r="G362" s="207" t="s">
        <v>4400</v>
      </c>
      <c r="H362" s="207" t="s">
        <v>4401</v>
      </c>
      <c r="I362" s="217" t="s">
        <v>4402</v>
      </c>
      <c r="J362" s="215" t="s">
        <v>5976</v>
      </c>
      <c r="K362" s="215" t="s">
        <v>5977</v>
      </c>
      <c r="L362" s="215" t="s">
        <v>5978</v>
      </c>
      <c r="M362" s="207" t="s">
        <v>4405</v>
      </c>
      <c r="N362" s="207" t="s">
        <v>4442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5976</v>
      </c>
      <c r="AB362" s="215" t="s">
        <v>5977</v>
      </c>
      <c r="AC362" s="215" t="s">
        <v>5978</v>
      </c>
      <c r="AD362" s="207" t="s">
        <v>4402</v>
      </c>
      <c r="AE362" s="207" t="s">
        <v>4405</v>
      </c>
      <c r="AF362" s="218">
        <v>15385.36</v>
      </c>
      <c r="AG362" s="218">
        <f>AF362+30000</f>
        <v>45385.36</v>
      </c>
      <c r="AH362" s="207" t="s">
        <v>4433</v>
      </c>
      <c r="AI362" s="214" t="s">
        <v>4411</v>
      </c>
      <c r="AJ362" s="207">
        <v>150604354</v>
      </c>
      <c r="AK362" s="316">
        <v>46066</v>
      </c>
      <c r="AL362" s="316">
        <v>46066</v>
      </c>
      <c r="AM362" s="316">
        <v>46066</v>
      </c>
      <c r="AN362" s="316">
        <v>46066</v>
      </c>
      <c r="AO362" s="316">
        <v>46066</v>
      </c>
      <c r="AP362" s="316">
        <v>46066</v>
      </c>
      <c r="AQ362" s="314"/>
      <c r="AR362" s="315" t="str">
        <f t="shared" si="24"/>
        <v>FINALIZADO</v>
      </c>
      <c r="AS362" s="207" t="s">
        <v>4423</v>
      </c>
      <c r="AT362" s="207"/>
      <c r="AU362" s="220" t="s">
        <v>5979</v>
      </c>
      <c r="AV362" s="250" t="s">
        <v>4425</v>
      </c>
      <c r="AW362" s="250" t="s">
        <v>4425</v>
      </c>
      <c r="AX362" s="207" t="s">
        <v>4425</v>
      </c>
      <c r="AY362" s="207" t="s">
        <v>4425</v>
      </c>
      <c r="AZ362" s="202">
        <v>46153</v>
      </c>
      <c r="BA362" s="207" t="s">
        <v>4425</v>
      </c>
      <c r="BB362" s="207" t="s">
        <v>4425</v>
      </c>
      <c r="BC362" s="202">
        <v>46160</v>
      </c>
      <c r="BD362" s="227">
        <v>46160</v>
      </c>
      <c r="BE362" s="228" t="s">
        <v>4435</v>
      </c>
      <c r="BF362" s="228" t="s">
        <v>4436</v>
      </c>
      <c r="BG362" s="219" t="s">
        <v>4425</v>
      </c>
      <c r="BH362" s="321">
        <f t="shared" si="25"/>
        <v>94</v>
      </c>
      <c r="BI362" s="98" t="str">
        <f t="shared" si="26"/>
        <v>INDENIZAÇÃO</v>
      </c>
      <c r="BJ362" s="98" t="str">
        <f t="shared" si="27"/>
        <v>NÃO</v>
      </c>
      <c r="BK362" s="219" t="s">
        <v>4437</v>
      </c>
      <c r="BL362" s="219" t="s">
        <v>4437</v>
      </c>
      <c r="BM362" s="219" t="s">
        <v>4437</v>
      </c>
      <c r="BN362" s="257" t="s">
        <v>5732</v>
      </c>
      <c r="BO362" s="257"/>
      <c r="BP362" s="257"/>
      <c r="BQ362" s="257"/>
      <c r="BR362" s="258"/>
    </row>
    <row r="363" spans="1:72" s="240" customFormat="1" ht="27" hidden="1" customHeight="1">
      <c r="A363" s="207">
        <v>359</v>
      </c>
      <c r="B363" s="197" t="s">
        <v>4396</v>
      </c>
      <c r="C363" s="207" t="s">
        <v>4427</v>
      </c>
      <c r="D363" s="207">
        <v>1</v>
      </c>
      <c r="E363" s="207" t="s">
        <v>4398</v>
      </c>
      <c r="F363" s="214" t="s">
        <v>5980</v>
      </c>
      <c r="G363" s="207" t="s">
        <v>4400</v>
      </c>
      <c r="H363" s="207" t="s">
        <v>4401</v>
      </c>
      <c r="I363" s="217" t="s">
        <v>4402</v>
      </c>
      <c r="J363" s="215" t="s">
        <v>5981</v>
      </c>
      <c r="K363" s="215" t="s">
        <v>5982</v>
      </c>
      <c r="L363" s="215" t="s">
        <v>5983</v>
      </c>
      <c r="M363" s="207" t="s">
        <v>4405</v>
      </c>
      <c r="N363" s="207" t="s">
        <v>4442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5981</v>
      </c>
      <c r="AB363" s="215" t="s">
        <v>5982</v>
      </c>
      <c r="AC363" s="215" t="s">
        <v>5983</v>
      </c>
      <c r="AD363" s="207" t="s">
        <v>4402</v>
      </c>
      <c r="AE363" s="207" t="s">
        <v>4405</v>
      </c>
      <c r="AF363" s="218">
        <v>108073.38</v>
      </c>
      <c r="AG363" s="218">
        <v>108073.38</v>
      </c>
      <c r="AH363" s="207" t="s">
        <v>4433</v>
      </c>
      <c r="AI363" s="214" t="s">
        <v>4411</v>
      </c>
      <c r="AJ363" s="207">
        <v>148265011</v>
      </c>
      <c r="AK363" s="316">
        <v>46045</v>
      </c>
      <c r="AL363" s="316">
        <v>46045</v>
      </c>
      <c r="AM363" s="316">
        <v>46045</v>
      </c>
      <c r="AN363" s="316">
        <v>46045</v>
      </c>
      <c r="AO363" s="316">
        <v>46045</v>
      </c>
      <c r="AP363" s="316">
        <v>46045</v>
      </c>
      <c r="AQ363" s="314"/>
      <c r="AR363" s="315" t="str">
        <f t="shared" si="24"/>
        <v>FINALIZADO</v>
      </c>
      <c r="AS363" s="207" t="s">
        <v>4423</v>
      </c>
      <c r="AT363" s="207"/>
      <c r="AU363" s="220" t="s">
        <v>5984</v>
      </c>
      <c r="AV363" s="160" t="s">
        <v>4425</v>
      </c>
      <c r="AW363" s="207" t="s">
        <v>4425</v>
      </c>
      <c r="AX363" s="207" t="s">
        <v>4425</v>
      </c>
      <c r="AY363" s="197" t="s">
        <v>4425</v>
      </c>
      <c r="AZ363" s="202">
        <v>46125</v>
      </c>
      <c r="BA363" s="207" t="s">
        <v>4425</v>
      </c>
      <c r="BB363" s="160" t="s">
        <v>4425</v>
      </c>
      <c r="BC363" s="202">
        <v>46139</v>
      </c>
      <c r="BD363" s="227">
        <v>46139</v>
      </c>
      <c r="BE363" s="227" t="s">
        <v>4435</v>
      </c>
      <c r="BF363" s="228" t="s">
        <v>4436</v>
      </c>
      <c r="BG363" s="229" t="s">
        <v>4425</v>
      </c>
      <c r="BH363" s="321">
        <f t="shared" si="25"/>
        <v>94</v>
      </c>
      <c r="BI363" s="98" t="str">
        <f t="shared" si="26"/>
        <v>INDENIZAÇÃO</v>
      </c>
      <c r="BJ363" s="98" t="str">
        <f t="shared" si="27"/>
        <v>NÃO</v>
      </c>
      <c r="BK363" s="219" t="s">
        <v>4437</v>
      </c>
      <c r="BL363" s="219" t="s">
        <v>4437</v>
      </c>
      <c r="BM363" s="219" t="s">
        <v>4437</v>
      </c>
      <c r="BN363" s="257" t="s">
        <v>5732</v>
      </c>
      <c r="BO363" s="257"/>
      <c r="BP363" s="257"/>
      <c r="BQ363" s="257"/>
      <c r="BR363" s="258"/>
    </row>
    <row r="364" spans="1:72" s="240" customFormat="1" ht="27" hidden="1" customHeight="1">
      <c r="A364" s="197">
        <v>360</v>
      </c>
      <c r="B364" s="197" t="s">
        <v>4396</v>
      </c>
      <c r="C364" s="207" t="s">
        <v>4427</v>
      </c>
      <c r="D364" s="207">
        <v>1</v>
      </c>
      <c r="E364" s="207" t="s">
        <v>4398</v>
      </c>
      <c r="F364" s="214" t="s">
        <v>5985</v>
      </c>
      <c r="G364" s="207" t="s">
        <v>4400</v>
      </c>
      <c r="H364" s="207" t="s">
        <v>4401</v>
      </c>
      <c r="I364" s="217" t="s">
        <v>4402</v>
      </c>
      <c r="J364" s="255" t="s">
        <v>5986</v>
      </c>
      <c r="K364" s="215" t="s">
        <v>5987</v>
      </c>
      <c r="L364" s="215" t="s">
        <v>5988</v>
      </c>
      <c r="M364" s="207" t="s">
        <v>4405</v>
      </c>
      <c r="N364" s="207" t="s">
        <v>4406</v>
      </c>
      <c r="O364" s="203">
        <v>46031</v>
      </c>
      <c r="P364" s="202" t="s">
        <v>4407</v>
      </c>
      <c r="Q364" s="203">
        <v>46030</v>
      </c>
      <c r="R364" s="203">
        <v>46031</v>
      </c>
      <c r="S364" s="203">
        <v>46036</v>
      </c>
      <c r="T364" s="203">
        <v>46045</v>
      </c>
      <c r="U364" s="203" t="s">
        <v>4408</v>
      </c>
      <c r="V364" s="203" t="s">
        <v>4408</v>
      </c>
      <c r="W364" s="202">
        <v>46055</v>
      </c>
      <c r="X364" s="202">
        <v>46056</v>
      </c>
      <c r="Y364" s="203"/>
      <c r="Z364" s="219"/>
      <c r="AA364" s="255" t="s">
        <v>5986</v>
      </c>
      <c r="AB364" s="215" t="s">
        <v>5987</v>
      </c>
      <c r="AC364" s="215" t="s">
        <v>5988</v>
      </c>
      <c r="AD364" s="217" t="s">
        <v>4402</v>
      </c>
      <c r="AE364" s="207" t="s">
        <v>4405</v>
      </c>
      <c r="AF364" s="218" t="s">
        <v>4409</v>
      </c>
      <c r="AG364" s="218" t="s">
        <v>4409</v>
      </c>
      <c r="AH364" s="207" t="s">
        <v>4410</v>
      </c>
      <c r="AI364" s="214" t="s">
        <v>4411</v>
      </c>
      <c r="AJ364" s="207"/>
      <c r="AK364" s="317"/>
      <c r="AL364" s="317"/>
      <c r="AM364" s="317"/>
      <c r="AN364" s="317"/>
      <c r="AO364" s="317"/>
      <c r="AP364" s="317"/>
      <c r="AQ364" s="314"/>
      <c r="AR364" s="315" t="str">
        <f t="shared" si="24"/>
        <v/>
      </c>
      <c r="AS364" s="207"/>
      <c r="AT364" s="219"/>
      <c r="AU364" s="220"/>
      <c r="AV364" s="219"/>
      <c r="AW364" s="219"/>
      <c r="AX364" s="219"/>
      <c r="AY364" s="219"/>
      <c r="AZ364" s="219"/>
      <c r="BA364" s="219"/>
      <c r="BB364" s="219"/>
      <c r="BC364" s="219"/>
      <c r="BD364" s="208"/>
      <c r="BE364" s="203"/>
      <c r="BF364" s="219"/>
      <c r="BG364" s="219"/>
      <c r="BH364" s="321" t="str">
        <f t="shared" si="25"/>
        <v/>
      </c>
      <c r="BI364" s="98" t="str">
        <f t="shared" si="26"/>
        <v>AA</v>
      </c>
      <c r="BJ364" s="98" t="str">
        <f t="shared" si="27"/>
        <v>NÃO</v>
      </c>
      <c r="BK364" s="219"/>
      <c r="BL364" s="221"/>
      <c r="BM364" s="221"/>
      <c r="BN364" s="219"/>
      <c r="BO364" s="219"/>
      <c r="BP364" s="219"/>
      <c r="BQ364" s="219"/>
      <c r="BR364" s="222"/>
      <c r="BS364" s="223"/>
      <c r="BT364" s="223"/>
    </row>
    <row r="365" spans="1:72" s="240" customFormat="1" ht="27" hidden="1" customHeight="1">
      <c r="A365" s="197">
        <v>361</v>
      </c>
      <c r="B365" s="197" t="s">
        <v>4396</v>
      </c>
      <c r="C365" s="207" t="s">
        <v>4427</v>
      </c>
      <c r="D365" s="207">
        <v>1</v>
      </c>
      <c r="E365" s="207" t="s">
        <v>4398</v>
      </c>
      <c r="F365" s="214" t="s">
        <v>5989</v>
      </c>
      <c r="G365" s="207" t="s">
        <v>4400</v>
      </c>
      <c r="H365" s="207" t="s">
        <v>4401</v>
      </c>
      <c r="I365" s="217" t="s">
        <v>4402</v>
      </c>
      <c r="J365" s="215" t="s">
        <v>5990</v>
      </c>
      <c r="K365" s="215" t="s">
        <v>5991</v>
      </c>
      <c r="L365" s="215" t="s">
        <v>5992</v>
      </c>
      <c r="M365" s="207" t="s">
        <v>4405</v>
      </c>
      <c r="N365" s="207" t="s">
        <v>4406</v>
      </c>
      <c r="O365" s="202">
        <v>46002</v>
      </c>
      <c r="P365" s="202" t="s">
        <v>4407</v>
      </c>
      <c r="Q365" s="202">
        <v>45999</v>
      </c>
      <c r="R365" s="202">
        <v>46006</v>
      </c>
      <c r="S365" s="202">
        <v>46006</v>
      </c>
      <c r="T365" s="202">
        <v>46009</v>
      </c>
      <c r="U365" s="202" t="s">
        <v>4408</v>
      </c>
      <c r="V365" s="202" t="s">
        <v>4408</v>
      </c>
      <c r="W365" s="202">
        <v>46014</v>
      </c>
      <c r="X365" s="202">
        <v>46017</v>
      </c>
      <c r="Y365" s="202"/>
      <c r="Z365" s="207"/>
      <c r="AA365" s="215" t="s">
        <v>5990</v>
      </c>
      <c r="AB365" s="215" t="s">
        <v>5991</v>
      </c>
      <c r="AC365" s="215" t="s">
        <v>5992</v>
      </c>
      <c r="AD365" s="207" t="s">
        <v>4402</v>
      </c>
      <c r="AE365" s="207" t="s">
        <v>4405</v>
      </c>
      <c r="AF365" s="218" t="s">
        <v>4409</v>
      </c>
      <c r="AG365" s="218" t="s">
        <v>4409</v>
      </c>
      <c r="AH365" s="207" t="s">
        <v>4410</v>
      </c>
      <c r="AI365" s="214" t="s">
        <v>4411</v>
      </c>
      <c r="AJ365" s="207"/>
      <c r="AK365" s="316">
        <v>45996</v>
      </c>
      <c r="AL365" s="316">
        <v>45996</v>
      </c>
      <c r="AM365" s="316">
        <v>45996</v>
      </c>
      <c r="AN365" s="316">
        <v>45996</v>
      </c>
      <c r="AO365" s="316">
        <v>45996</v>
      </c>
      <c r="AP365" s="316">
        <v>45996</v>
      </c>
      <c r="AQ365" s="314"/>
      <c r="AR365" s="315" t="str">
        <f t="shared" si="24"/>
        <v>FINALIZADO</v>
      </c>
      <c r="AS365" s="207"/>
      <c r="AT365" s="207"/>
      <c r="AU365" s="220"/>
      <c r="AV365" s="207"/>
      <c r="AW365" s="207"/>
      <c r="AX365" s="207"/>
      <c r="AY365" s="207"/>
      <c r="AZ365" s="202"/>
      <c r="BA365" s="219"/>
      <c r="BB365" s="207"/>
      <c r="BC365" s="202"/>
      <c r="BD365" s="208"/>
      <c r="BE365" s="202"/>
      <c r="BF365" s="207"/>
      <c r="BG365" s="229"/>
      <c r="BH365" s="321" t="str">
        <f t="shared" si="25"/>
        <v/>
      </c>
      <c r="BI365" s="98" t="str">
        <f t="shared" si="26"/>
        <v>AA</v>
      </c>
      <c r="BJ365" s="98" t="str">
        <f t="shared" si="27"/>
        <v>NÃO</v>
      </c>
      <c r="BK365" s="230"/>
      <c r="BL365" s="230"/>
      <c r="BM365" s="230"/>
      <c r="BN365" s="230"/>
      <c r="BO365" s="230"/>
      <c r="BP365" s="230"/>
      <c r="BQ365" s="230"/>
      <c r="BR365" s="234"/>
    </row>
    <row r="366" spans="1:72" s="240" customFormat="1" ht="27" hidden="1" customHeight="1">
      <c r="A366" s="207">
        <v>362</v>
      </c>
      <c r="B366" s="197" t="s">
        <v>4396</v>
      </c>
      <c r="C366" s="207" t="s">
        <v>4427</v>
      </c>
      <c r="D366" s="207">
        <v>1</v>
      </c>
      <c r="E366" s="207" t="s">
        <v>4398</v>
      </c>
      <c r="F366" s="214" t="s">
        <v>5993</v>
      </c>
      <c r="G366" s="207" t="s">
        <v>4400</v>
      </c>
      <c r="H366" s="207" t="s">
        <v>4583</v>
      </c>
      <c r="I366" s="217" t="s">
        <v>4402</v>
      </c>
      <c r="J366" s="215" t="s">
        <v>5994</v>
      </c>
      <c r="K366" s="215" t="s">
        <v>5995</v>
      </c>
      <c r="L366" s="215" t="s">
        <v>5996</v>
      </c>
      <c r="M366" s="207" t="s">
        <v>4405</v>
      </c>
      <c r="N366" s="207" t="s">
        <v>4442</v>
      </c>
      <c r="O366" s="202" t="s">
        <v>4409</v>
      </c>
      <c r="P366" s="202" t="s">
        <v>4409</v>
      </c>
      <c r="Q366" s="202" t="s">
        <v>4409</v>
      </c>
      <c r="R366" s="202" t="s">
        <v>4409</v>
      </c>
      <c r="S366" s="202" t="s">
        <v>4409</v>
      </c>
      <c r="T366" s="202" t="s">
        <v>4409</v>
      </c>
      <c r="U366" s="202" t="s">
        <v>4409</v>
      </c>
      <c r="V366" s="202" t="s">
        <v>4409</v>
      </c>
      <c r="W366" s="202" t="s">
        <v>4409</v>
      </c>
      <c r="X366" s="202" t="s">
        <v>4409</v>
      </c>
      <c r="Y366" s="202"/>
      <c r="Z366" s="207"/>
      <c r="AA366" s="215" t="s">
        <v>5994</v>
      </c>
      <c r="AB366" s="215" t="s">
        <v>5995</v>
      </c>
      <c r="AC366" s="215" t="s">
        <v>5996</v>
      </c>
      <c r="AD366" s="207" t="s">
        <v>4402</v>
      </c>
      <c r="AE366" s="207" t="s">
        <v>4405</v>
      </c>
      <c r="AF366" s="218">
        <v>76482.22</v>
      </c>
      <c r="AG366" s="218">
        <v>76482.22</v>
      </c>
      <c r="AH366" s="207" t="s">
        <v>4433</v>
      </c>
      <c r="AI366" s="214" t="s">
        <v>4411</v>
      </c>
      <c r="AJ366" s="207">
        <v>147055826</v>
      </c>
      <c r="AK366" s="316">
        <v>45996</v>
      </c>
      <c r="AL366" s="316">
        <v>45996</v>
      </c>
      <c r="AM366" s="316">
        <v>45996</v>
      </c>
      <c r="AN366" s="316">
        <v>45996</v>
      </c>
      <c r="AO366" s="316">
        <v>45996</v>
      </c>
      <c r="AP366" s="316">
        <v>45996</v>
      </c>
      <c r="AQ366" s="314"/>
      <c r="AR366" s="315" t="str">
        <f t="shared" si="24"/>
        <v>FINALIZADO</v>
      </c>
      <c r="AS366" s="207" t="s">
        <v>4423</v>
      </c>
      <c r="AT366" s="207"/>
      <c r="AU366" s="220" t="s">
        <v>5997</v>
      </c>
      <c r="AV366" s="160" t="s">
        <v>4425</v>
      </c>
      <c r="AW366" s="207" t="s">
        <v>4425</v>
      </c>
      <c r="AX366" s="207" t="s">
        <v>4425</v>
      </c>
      <c r="AY366" s="207" t="s">
        <v>4425</v>
      </c>
      <c r="AZ366" s="203">
        <v>46017</v>
      </c>
      <c r="BA366" s="219" t="s">
        <v>4425</v>
      </c>
      <c r="BB366" s="207" t="s">
        <v>4425</v>
      </c>
      <c r="BC366" s="208">
        <v>46024</v>
      </c>
      <c r="BD366" s="227">
        <v>46024</v>
      </c>
      <c r="BE366" s="226" t="s">
        <v>4435</v>
      </c>
      <c r="BF366" s="228" t="s">
        <v>4436</v>
      </c>
      <c r="BG366" s="229" t="s">
        <v>4425</v>
      </c>
      <c r="BH366" s="321">
        <f t="shared" si="25"/>
        <v>28</v>
      </c>
      <c r="BI366" s="98" t="str">
        <f t="shared" si="26"/>
        <v>INDENIZAÇÃO</v>
      </c>
      <c r="BJ366" s="98" t="str">
        <f t="shared" si="27"/>
        <v>NÃO</v>
      </c>
      <c r="BK366" s="230" t="s">
        <v>4437</v>
      </c>
      <c r="BL366" s="230" t="s">
        <v>4437</v>
      </c>
      <c r="BM366" s="230" t="s">
        <v>4437</v>
      </c>
      <c r="BN366" s="265" t="s">
        <v>5732</v>
      </c>
      <c r="BO366" s="265"/>
      <c r="BP366" s="265"/>
      <c r="BQ366" s="265"/>
      <c r="BR366" s="231"/>
    </row>
    <row r="367" spans="1:72" s="240" customFormat="1" ht="27" hidden="1" customHeight="1">
      <c r="A367" s="207">
        <v>363</v>
      </c>
      <c r="B367" s="197" t="s">
        <v>4396</v>
      </c>
      <c r="C367" s="207" t="s">
        <v>4427</v>
      </c>
      <c r="D367" s="207">
        <v>1</v>
      </c>
      <c r="E367" s="207" t="s">
        <v>4398</v>
      </c>
      <c r="F367" s="214" t="s">
        <v>5998</v>
      </c>
      <c r="G367" s="207" t="s">
        <v>4400</v>
      </c>
      <c r="H367" s="207" t="s">
        <v>4401</v>
      </c>
      <c r="I367" s="217" t="s">
        <v>4402</v>
      </c>
      <c r="J367" s="215" t="s">
        <v>5999</v>
      </c>
      <c r="K367" s="215" t="s">
        <v>6000</v>
      </c>
      <c r="L367" s="215" t="s">
        <v>6001</v>
      </c>
      <c r="M367" s="207" t="s">
        <v>4405</v>
      </c>
      <c r="N367" s="207" t="s">
        <v>4442</v>
      </c>
      <c r="O367" s="202" t="s">
        <v>4409</v>
      </c>
      <c r="P367" s="202" t="s">
        <v>4409</v>
      </c>
      <c r="Q367" s="202" t="s">
        <v>4409</v>
      </c>
      <c r="R367" s="202" t="s">
        <v>4409</v>
      </c>
      <c r="S367" s="202" t="s">
        <v>4409</v>
      </c>
      <c r="T367" s="202" t="s">
        <v>4409</v>
      </c>
      <c r="U367" s="202" t="s">
        <v>4409</v>
      </c>
      <c r="V367" s="202" t="s">
        <v>4409</v>
      </c>
      <c r="W367" s="202" t="s">
        <v>4409</v>
      </c>
      <c r="X367" s="202" t="s">
        <v>4409</v>
      </c>
      <c r="Y367" s="202"/>
      <c r="Z367" s="207"/>
      <c r="AA367" s="215" t="s">
        <v>5999</v>
      </c>
      <c r="AB367" s="215" t="s">
        <v>6000</v>
      </c>
      <c r="AC367" s="215" t="s">
        <v>6001</v>
      </c>
      <c r="AD367" s="207" t="s">
        <v>4402</v>
      </c>
      <c r="AE367" s="207" t="s">
        <v>4405</v>
      </c>
      <c r="AF367" s="218">
        <v>76127.16</v>
      </c>
      <c r="AG367" s="218">
        <v>76127.16</v>
      </c>
      <c r="AH367" s="207" t="s">
        <v>4433</v>
      </c>
      <c r="AI367" s="214" t="s">
        <v>4411</v>
      </c>
      <c r="AJ367" s="207">
        <v>148265129</v>
      </c>
      <c r="AK367" s="316">
        <v>46045</v>
      </c>
      <c r="AL367" s="316">
        <v>46045</v>
      </c>
      <c r="AM367" s="316">
        <v>46045</v>
      </c>
      <c r="AN367" s="316">
        <v>46045</v>
      </c>
      <c r="AO367" s="316">
        <v>46045</v>
      </c>
      <c r="AP367" s="316">
        <v>46045</v>
      </c>
      <c r="AQ367" s="314"/>
      <c r="AR367" s="315" t="str">
        <f t="shared" si="24"/>
        <v>FINALIZADO</v>
      </c>
      <c r="AS367" s="207" t="s">
        <v>4423</v>
      </c>
      <c r="AT367" s="207"/>
      <c r="AU367" s="220" t="s">
        <v>6002</v>
      </c>
      <c r="AV367" s="197" t="s">
        <v>4425</v>
      </c>
      <c r="AW367" s="207" t="s">
        <v>4425</v>
      </c>
      <c r="AX367" s="207" t="s">
        <v>4425</v>
      </c>
      <c r="AY367" s="207" t="s">
        <v>4425</v>
      </c>
      <c r="AZ367" s="202">
        <v>46153</v>
      </c>
      <c r="BA367" s="207" t="s">
        <v>4425</v>
      </c>
      <c r="BB367" s="207" t="s">
        <v>4425</v>
      </c>
      <c r="BC367" s="202">
        <v>46160</v>
      </c>
      <c r="BD367" s="227">
        <v>46160</v>
      </c>
      <c r="BE367" s="228" t="s">
        <v>4435</v>
      </c>
      <c r="BF367" s="228" t="s">
        <v>4436</v>
      </c>
      <c r="BG367" s="219" t="s">
        <v>4425</v>
      </c>
      <c r="BH367" s="321">
        <f t="shared" si="25"/>
        <v>115</v>
      </c>
      <c r="BI367" s="98" t="str">
        <f t="shared" si="26"/>
        <v>INDENIZAÇÃO</v>
      </c>
      <c r="BJ367" s="98" t="str">
        <f t="shared" si="27"/>
        <v>NÃO</v>
      </c>
      <c r="BK367" s="219" t="s">
        <v>4437</v>
      </c>
      <c r="BL367" s="219" t="s">
        <v>4437</v>
      </c>
      <c r="BM367" s="219" t="s">
        <v>4437</v>
      </c>
      <c r="BN367" s="257" t="s">
        <v>5732</v>
      </c>
      <c r="BO367" s="257"/>
      <c r="BP367" s="257"/>
      <c r="BQ367" s="257"/>
      <c r="BR367" s="258"/>
    </row>
    <row r="368" spans="1:72" s="240" customFormat="1" ht="27" hidden="1" customHeight="1">
      <c r="A368" s="207">
        <v>364</v>
      </c>
      <c r="B368" s="197" t="s">
        <v>4396</v>
      </c>
      <c r="C368" s="207" t="s">
        <v>4427</v>
      </c>
      <c r="D368" s="207">
        <v>1</v>
      </c>
      <c r="E368" s="207" t="s">
        <v>4398</v>
      </c>
      <c r="F368" s="214" t="s">
        <v>6003</v>
      </c>
      <c r="G368" s="207" t="s">
        <v>4400</v>
      </c>
      <c r="H368" s="207" t="s">
        <v>4401</v>
      </c>
      <c r="I368" s="217" t="s">
        <v>4402</v>
      </c>
      <c r="J368" s="215" t="s">
        <v>6004</v>
      </c>
      <c r="K368" s="215" t="s">
        <v>6005</v>
      </c>
      <c r="L368" s="215" t="s">
        <v>6006</v>
      </c>
      <c r="M368" s="207" t="s">
        <v>4405</v>
      </c>
      <c r="N368" s="207" t="s">
        <v>4442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6004</v>
      </c>
      <c r="AB368" s="215" t="s">
        <v>6005</v>
      </c>
      <c r="AC368" s="215" t="s">
        <v>6006</v>
      </c>
      <c r="AD368" s="207" t="s">
        <v>4402</v>
      </c>
      <c r="AE368" s="207" t="s">
        <v>4405</v>
      </c>
      <c r="AF368" s="218">
        <v>21612.32</v>
      </c>
      <c r="AG368" s="218">
        <f>AF368+30000</f>
        <v>51612.32</v>
      </c>
      <c r="AH368" s="207" t="s">
        <v>4433</v>
      </c>
      <c r="AI368" s="214" t="s">
        <v>4411</v>
      </c>
      <c r="AJ368" s="207">
        <v>147055964</v>
      </c>
      <c r="AK368" s="316">
        <v>46059</v>
      </c>
      <c r="AL368" s="316">
        <v>46059</v>
      </c>
      <c r="AM368" s="316">
        <v>46059</v>
      </c>
      <c r="AN368" s="316">
        <v>46059</v>
      </c>
      <c r="AO368" s="316">
        <v>46059</v>
      </c>
      <c r="AP368" s="316">
        <v>46059</v>
      </c>
      <c r="AQ368" s="314"/>
      <c r="AR368" s="315" t="str">
        <f t="shared" si="24"/>
        <v>FINALIZADO</v>
      </c>
      <c r="AS368" s="207" t="s">
        <v>4423</v>
      </c>
      <c r="AT368" s="207"/>
      <c r="AU368" s="220" t="s">
        <v>6007</v>
      </c>
      <c r="AV368" s="207" t="s">
        <v>4425</v>
      </c>
      <c r="AW368" s="207" t="s">
        <v>4425</v>
      </c>
      <c r="AX368" s="207" t="s">
        <v>4425</v>
      </c>
      <c r="AY368" s="197" t="s">
        <v>4425</v>
      </c>
      <c r="AZ368" s="202">
        <v>46127</v>
      </c>
      <c r="BA368" s="207" t="s">
        <v>4425</v>
      </c>
      <c r="BB368" s="197" t="s">
        <v>4425</v>
      </c>
      <c r="BC368" s="202">
        <v>46139</v>
      </c>
      <c r="BD368" s="227">
        <v>46139</v>
      </c>
      <c r="BE368" s="227" t="s">
        <v>4435</v>
      </c>
      <c r="BF368" s="228" t="s">
        <v>4436</v>
      </c>
      <c r="BG368" s="229" t="s">
        <v>4425</v>
      </c>
      <c r="BH368" s="321">
        <f t="shared" si="25"/>
        <v>80</v>
      </c>
      <c r="BI368" s="98" t="str">
        <f t="shared" si="26"/>
        <v>INDENIZAÇÃO</v>
      </c>
      <c r="BJ368" s="98" t="str">
        <f t="shared" si="27"/>
        <v>NÃO</v>
      </c>
      <c r="BK368" s="219" t="s">
        <v>4437</v>
      </c>
      <c r="BL368" s="219" t="s">
        <v>4437</v>
      </c>
      <c r="BM368" s="219" t="s">
        <v>4437</v>
      </c>
      <c r="BN368" s="257" t="s">
        <v>5732</v>
      </c>
      <c r="BO368" s="257"/>
      <c r="BP368" s="257"/>
      <c r="BQ368" s="257"/>
      <c r="BR368" s="258"/>
      <c r="BS368" s="223"/>
      <c r="BT368" s="223"/>
    </row>
    <row r="369" spans="1:72" s="240" customFormat="1" ht="27" hidden="1" customHeight="1">
      <c r="A369" s="197">
        <v>365</v>
      </c>
      <c r="B369" s="197" t="s">
        <v>4396</v>
      </c>
      <c r="C369" s="207" t="s">
        <v>4427</v>
      </c>
      <c r="D369" s="207">
        <v>1</v>
      </c>
      <c r="E369" s="207" t="s">
        <v>4398</v>
      </c>
      <c r="F369" s="214" t="s">
        <v>6008</v>
      </c>
      <c r="G369" s="207" t="s">
        <v>4400</v>
      </c>
      <c r="H369" s="207" t="s">
        <v>4401</v>
      </c>
      <c r="I369" s="217" t="s">
        <v>4402</v>
      </c>
      <c r="J369" s="215" t="s">
        <v>6009</v>
      </c>
      <c r="K369" s="215" t="s">
        <v>6010</v>
      </c>
      <c r="L369" s="215" t="s">
        <v>6011</v>
      </c>
      <c r="M369" s="207" t="s">
        <v>4405</v>
      </c>
      <c r="N369" s="207" t="s">
        <v>4442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6009</v>
      </c>
      <c r="AB369" s="215" t="s">
        <v>6010</v>
      </c>
      <c r="AC369" s="215" t="s">
        <v>6011</v>
      </c>
      <c r="AD369" s="207" t="s">
        <v>4402</v>
      </c>
      <c r="AE369" s="207" t="s">
        <v>4405</v>
      </c>
      <c r="AF369" s="218">
        <v>10167</v>
      </c>
      <c r="AG369" s="218">
        <v>10167</v>
      </c>
      <c r="AH369" s="207" t="s">
        <v>4433</v>
      </c>
      <c r="AI369" s="214" t="s">
        <v>4411</v>
      </c>
      <c r="AJ369" s="207">
        <v>147056127</v>
      </c>
      <c r="AK369" s="316">
        <v>46001</v>
      </c>
      <c r="AL369" s="316">
        <v>46001</v>
      </c>
      <c r="AM369" s="316">
        <v>46001</v>
      </c>
      <c r="AN369" s="316">
        <v>46001</v>
      </c>
      <c r="AO369" s="316">
        <v>46001</v>
      </c>
      <c r="AP369" s="316">
        <v>46001</v>
      </c>
      <c r="AQ369" s="314"/>
      <c r="AR369" s="315" t="str">
        <f t="shared" si="24"/>
        <v>FINALIZADO</v>
      </c>
      <c r="AS369" s="207" t="s">
        <v>4423</v>
      </c>
      <c r="AT369" s="207"/>
      <c r="AU369" s="220" t="s">
        <v>6012</v>
      </c>
      <c r="AV369" s="207" t="s">
        <v>4425</v>
      </c>
      <c r="AW369" s="207" t="s">
        <v>4425</v>
      </c>
      <c r="AX369" s="207" t="s">
        <v>4425</v>
      </c>
      <c r="AY369" s="207" t="s">
        <v>4425</v>
      </c>
      <c r="AZ369" s="202">
        <v>46020</v>
      </c>
      <c r="BA369" s="219" t="s">
        <v>4425</v>
      </c>
      <c r="BB369" s="207" t="s">
        <v>4425</v>
      </c>
      <c r="BC369" s="208">
        <v>46024</v>
      </c>
      <c r="BD369" s="227">
        <v>46024</v>
      </c>
      <c r="BE369" s="226" t="s">
        <v>4435</v>
      </c>
      <c r="BF369" s="228" t="s">
        <v>4436</v>
      </c>
      <c r="BG369" s="229" t="s">
        <v>4425</v>
      </c>
      <c r="BH369" s="321">
        <f t="shared" si="25"/>
        <v>23</v>
      </c>
      <c r="BI369" s="98" t="str">
        <f t="shared" si="26"/>
        <v>INDENIZAÇÃO</v>
      </c>
      <c r="BJ369" s="98" t="str">
        <f t="shared" si="27"/>
        <v>NÃO</v>
      </c>
      <c r="BK369" s="230" t="s">
        <v>4437</v>
      </c>
      <c r="BL369" s="230" t="s">
        <v>4437</v>
      </c>
      <c r="BM369" s="230" t="s">
        <v>4437</v>
      </c>
      <c r="BN369" s="265" t="s">
        <v>5732</v>
      </c>
      <c r="BO369" s="265"/>
      <c r="BP369" s="265"/>
      <c r="BQ369" s="265"/>
      <c r="BR369" s="231"/>
      <c r="BS369" s="223"/>
      <c r="BT369" s="223"/>
    </row>
    <row r="370" spans="1:72" s="240" customFormat="1" ht="27" hidden="1" customHeight="1">
      <c r="A370" s="197">
        <v>366</v>
      </c>
      <c r="B370" s="197" t="s">
        <v>4396</v>
      </c>
      <c r="C370" s="207" t="s">
        <v>4427</v>
      </c>
      <c r="D370" s="207">
        <v>1</v>
      </c>
      <c r="E370" s="207" t="s">
        <v>4398</v>
      </c>
      <c r="F370" s="214" t="s">
        <v>6013</v>
      </c>
      <c r="G370" s="207" t="s">
        <v>4400</v>
      </c>
      <c r="H370" s="207" t="s">
        <v>4401</v>
      </c>
      <c r="I370" s="217" t="s">
        <v>4402</v>
      </c>
      <c r="J370" s="215" t="s">
        <v>6014</v>
      </c>
      <c r="K370" s="215" t="s">
        <v>6015</v>
      </c>
      <c r="L370" s="215" t="s">
        <v>6016</v>
      </c>
      <c r="M370" s="207" t="s">
        <v>4405</v>
      </c>
      <c r="N370" s="207" t="s">
        <v>4406</v>
      </c>
      <c r="O370" s="202">
        <v>45986</v>
      </c>
      <c r="P370" s="203" t="s">
        <v>4407</v>
      </c>
      <c r="Q370" s="203">
        <v>45985</v>
      </c>
      <c r="R370" s="203">
        <v>45986</v>
      </c>
      <c r="S370" s="203">
        <v>45987</v>
      </c>
      <c r="T370" s="203">
        <v>45992</v>
      </c>
      <c r="U370" s="202" t="s">
        <v>4408</v>
      </c>
      <c r="V370" s="202" t="s">
        <v>4408</v>
      </c>
      <c r="W370" s="202">
        <v>45999</v>
      </c>
      <c r="X370" s="202">
        <v>46000</v>
      </c>
      <c r="Y370" s="202"/>
      <c r="Z370" s="207"/>
      <c r="AA370" s="215" t="s">
        <v>6014</v>
      </c>
      <c r="AB370" s="215" t="s">
        <v>6015</v>
      </c>
      <c r="AC370" s="215" t="s">
        <v>6016</v>
      </c>
      <c r="AD370" s="207" t="s">
        <v>4402</v>
      </c>
      <c r="AE370" s="207" t="s">
        <v>4405</v>
      </c>
      <c r="AF370" s="218" t="s">
        <v>4409</v>
      </c>
      <c r="AG370" s="218" t="s">
        <v>4409</v>
      </c>
      <c r="AH370" s="207" t="s">
        <v>4410</v>
      </c>
      <c r="AI370" s="214" t="s">
        <v>4411</v>
      </c>
      <c r="AJ370" s="207"/>
      <c r="AK370" s="316">
        <v>45980</v>
      </c>
      <c r="AL370" s="316">
        <v>45980</v>
      </c>
      <c r="AM370" s="316">
        <v>45980</v>
      </c>
      <c r="AN370" s="316">
        <v>45980</v>
      </c>
      <c r="AO370" s="316">
        <v>45980</v>
      </c>
      <c r="AP370" s="316">
        <v>45980</v>
      </c>
      <c r="AQ370" s="314"/>
      <c r="AR370" s="315" t="str">
        <f t="shared" si="24"/>
        <v>FINALIZADO</v>
      </c>
      <c r="AS370" s="207"/>
      <c r="AT370" s="207"/>
      <c r="AU370" s="220"/>
      <c r="AV370" s="207"/>
      <c r="AW370" s="207"/>
      <c r="AX370" s="207" t="s">
        <v>4409</v>
      </c>
      <c r="AY370" s="207" t="s">
        <v>4409</v>
      </c>
      <c r="AZ370" s="207" t="s">
        <v>4409</v>
      </c>
      <c r="BA370" s="207" t="s">
        <v>4409</v>
      </c>
      <c r="BB370" s="207"/>
      <c r="BC370" s="202"/>
      <c r="BD370" s="208"/>
      <c r="BE370" s="202"/>
      <c r="BF370" s="207"/>
      <c r="BG370" s="229"/>
      <c r="BH370" s="321" t="str">
        <f t="shared" si="25"/>
        <v/>
      </c>
      <c r="BI370" s="98" t="str">
        <f t="shared" si="26"/>
        <v>AA</v>
      </c>
      <c r="BJ370" s="98" t="str">
        <f t="shared" si="27"/>
        <v>NÃO</v>
      </c>
      <c r="BK370" s="230"/>
      <c r="BL370" s="230"/>
      <c r="BM370" s="230"/>
      <c r="BN370" s="230"/>
      <c r="BO370" s="230"/>
      <c r="BP370" s="230"/>
      <c r="BQ370" s="230"/>
      <c r="BR370" s="234"/>
    </row>
    <row r="371" spans="1:72" s="240" customFormat="1" ht="27" hidden="1" customHeight="1">
      <c r="A371" s="207">
        <v>367</v>
      </c>
      <c r="B371" s="197" t="s">
        <v>4396</v>
      </c>
      <c r="C371" s="207" t="s">
        <v>4427</v>
      </c>
      <c r="D371" s="207">
        <v>1</v>
      </c>
      <c r="E371" s="207" t="s">
        <v>4398</v>
      </c>
      <c r="F371" s="214" t="s">
        <v>6017</v>
      </c>
      <c r="G371" s="207" t="s">
        <v>4400</v>
      </c>
      <c r="H371" s="207" t="s">
        <v>4401</v>
      </c>
      <c r="I371" s="217" t="s">
        <v>4402</v>
      </c>
      <c r="J371" s="215" t="s">
        <v>6018</v>
      </c>
      <c r="K371" s="215" t="s">
        <v>6019</v>
      </c>
      <c r="L371" s="215" t="s">
        <v>6020</v>
      </c>
      <c r="M371" s="207" t="s">
        <v>4405</v>
      </c>
      <c r="N371" s="207" t="s">
        <v>4442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6018</v>
      </c>
      <c r="AB371" s="215" t="s">
        <v>6019</v>
      </c>
      <c r="AC371" s="215" t="s">
        <v>6020</v>
      </c>
      <c r="AD371" s="207" t="s">
        <v>4402</v>
      </c>
      <c r="AE371" s="207" t="s">
        <v>4405</v>
      </c>
      <c r="AF371" s="218">
        <v>9466.9699999999993</v>
      </c>
      <c r="AG371" s="218">
        <f>AF371+30000</f>
        <v>39466.97</v>
      </c>
      <c r="AH371" s="207" t="s">
        <v>4433</v>
      </c>
      <c r="AI371" s="214" t="s">
        <v>4411</v>
      </c>
      <c r="AJ371" s="207">
        <v>147056240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4423</v>
      </c>
      <c r="AT371" s="207"/>
      <c r="AU371" s="220" t="s">
        <v>6021</v>
      </c>
      <c r="AV371" s="207" t="s">
        <v>4425</v>
      </c>
      <c r="AW371" s="207" t="s">
        <v>4425</v>
      </c>
      <c r="AX371" s="207" t="s">
        <v>4425</v>
      </c>
      <c r="AY371" s="207" t="s">
        <v>4425</v>
      </c>
      <c r="AZ371" s="202">
        <v>46021</v>
      </c>
      <c r="BA371" s="219" t="s">
        <v>4425</v>
      </c>
      <c r="BB371" s="207" t="s">
        <v>4425</v>
      </c>
      <c r="BC371" s="208">
        <v>46062</v>
      </c>
      <c r="BD371" s="226">
        <v>46062</v>
      </c>
      <c r="BE371" s="227" t="s">
        <v>4435</v>
      </c>
      <c r="BF371" s="228" t="s">
        <v>4436</v>
      </c>
      <c r="BG371" s="229" t="s">
        <v>4425</v>
      </c>
      <c r="BH371" s="321">
        <f t="shared" si="25"/>
        <v>61</v>
      </c>
      <c r="BI371" s="98" t="str">
        <f t="shared" si="26"/>
        <v>INDENIZAÇÃO</v>
      </c>
      <c r="BJ371" s="98" t="str">
        <f t="shared" si="27"/>
        <v>NÃO</v>
      </c>
      <c r="BK371" s="230" t="s">
        <v>4437</v>
      </c>
      <c r="BL371" s="230" t="s">
        <v>4437</v>
      </c>
      <c r="BM371" s="230" t="s">
        <v>4437</v>
      </c>
      <c r="BN371" s="265" t="s">
        <v>5732</v>
      </c>
      <c r="BO371" s="265"/>
      <c r="BP371" s="265"/>
      <c r="BQ371" s="265"/>
      <c r="BR371" s="231"/>
    </row>
    <row r="372" spans="1:72" s="240" customFormat="1" ht="27" hidden="1" customHeight="1">
      <c r="A372" s="207">
        <v>368</v>
      </c>
      <c r="B372" s="197" t="s">
        <v>4396</v>
      </c>
      <c r="C372" s="207" t="s">
        <v>4427</v>
      </c>
      <c r="D372" s="207">
        <v>1</v>
      </c>
      <c r="E372" s="207" t="s">
        <v>4398</v>
      </c>
      <c r="F372" s="214" t="s">
        <v>6022</v>
      </c>
      <c r="G372" s="207" t="s">
        <v>4400</v>
      </c>
      <c r="H372" s="207" t="s">
        <v>4401</v>
      </c>
      <c r="I372" s="217" t="s">
        <v>4402</v>
      </c>
      <c r="J372" s="215" t="s">
        <v>6023</v>
      </c>
      <c r="K372" s="215" t="s">
        <v>6024</v>
      </c>
      <c r="L372" s="215" t="s">
        <v>6025</v>
      </c>
      <c r="M372" s="207" t="s">
        <v>4405</v>
      </c>
      <c r="N372" s="207" t="s">
        <v>4442</v>
      </c>
      <c r="O372" s="202" t="s">
        <v>4409</v>
      </c>
      <c r="P372" s="202" t="s">
        <v>4409</v>
      </c>
      <c r="Q372" s="202" t="s">
        <v>4409</v>
      </c>
      <c r="R372" s="202" t="s">
        <v>4409</v>
      </c>
      <c r="S372" s="202" t="s">
        <v>4409</v>
      </c>
      <c r="T372" s="202" t="s">
        <v>4409</v>
      </c>
      <c r="U372" s="202" t="s">
        <v>4409</v>
      </c>
      <c r="V372" s="202" t="s">
        <v>4409</v>
      </c>
      <c r="W372" s="202" t="s">
        <v>4409</v>
      </c>
      <c r="X372" s="202" t="s">
        <v>4409</v>
      </c>
      <c r="Y372" s="202"/>
      <c r="Z372" s="202"/>
      <c r="AA372" s="215" t="s">
        <v>6023</v>
      </c>
      <c r="AB372" s="215" t="s">
        <v>6024</v>
      </c>
      <c r="AC372" s="215" t="s">
        <v>6025</v>
      </c>
      <c r="AD372" s="207" t="s">
        <v>4402</v>
      </c>
      <c r="AE372" s="207" t="s">
        <v>4405</v>
      </c>
      <c r="AF372" s="218">
        <v>34765.089999999997</v>
      </c>
      <c r="AG372" s="218">
        <v>60000</v>
      </c>
      <c r="AH372" s="207" t="s">
        <v>4433</v>
      </c>
      <c r="AI372" s="214" t="s">
        <v>4411</v>
      </c>
      <c r="AJ372" s="207">
        <v>149655667</v>
      </c>
      <c r="AK372" s="316">
        <v>46093</v>
      </c>
      <c r="AL372" s="316">
        <v>46093</v>
      </c>
      <c r="AM372" s="316">
        <v>46093</v>
      </c>
      <c r="AN372" s="316">
        <v>46093</v>
      </c>
      <c r="AO372" s="316">
        <v>46093</v>
      </c>
      <c r="AP372" s="316">
        <v>46093</v>
      </c>
      <c r="AQ372" s="314"/>
      <c r="AR372" s="315" t="str">
        <f t="shared" si="24"/>
        <v>FINALIZADO</v>
      </c>
      <c r="AS372" s="207" t="s">
        <v>4423</v>
      </c>
      <c r="AT372" s="207"/>
      <c r="AU372" s="220" t="s">
        <v>6026</v>
      </c>
      <c r="AV372" s="270" t="s">
        <v>4425</v>
      </c>
      <c r="AW372" s="207" t="s">
        <v>4425</v>
      </c>
      <c r="AX372" s="207" t="s">
        <v>4425</v>
      </c>
      <c r="AY372" s="207" t="s">
        <v>4425</v>
      </c>
      <c r="AZ372" s="202">
        <v>46153</v>
      </c>
      <c r="BA372" s="207" t="s">
        <v>4425</v>
      </c>
      <c r="BB372" s="207" t="s">
        <v>4425</v>
      </c>
      <c r="BC372" s="202">
        <v>46161</v>
      </c>
      <c r="BD372" s="227">
        <v>46161</v>
      </c>
      <c r="BE372" s="228" t="s">
        <v>4435</v>
      </c>
      <c r="BF372" s="228" t="s">
        <v>4436</v>
      </c>
      <c r="BG372" s="219" t="s">
        <v>4425</v>
      </c>
      <c r="BH372" s="321">
        <f t="shared" si="25"/>
        <v>68</v>
      </c>
      <c r="BI372" s="98" t="str">
        <f t="shared" si="26"/>
        <v>INDENIZAÇÃO</v>
      </c>
      <c r="BJ372" s="98" t="str">
        <f t="shared" si="27"/>
        <v>NÃO</v>
      </c>
      <c r="BK372" s="219" t="s">
        <v>4437</v>
      </c>
      <c r="BL372" s="219" t="s">
        <v>4437</v>
      </c>
      <c r="BM372" s="219" t="s">
        <v>4437</v>
      </c>
      <c r="BN372" s="257" t="s">
        <v>5732</v>
      </c>
      <c r="BO372" s="257"/>
      <c r="BP372" s="257"/>
      <c r="BQ372" s="257"/>
      <c r="BR372" s="258"/>
    </row>
    <row r="373" spans="1:72" s="240" customFormat="1" ht="27" hidden="1" customHeight="1">
      <c r="A373" s="207">
        <v>369</v>
      </c>
      <c r="B373" s="197" t="s">
        <v>4396</v>
      </c>
      <c r="C373" s="207" t="s">
        <v>4427</v>
      </c>
      <c r="D373" s="207">
        <v>1</v>
      </c>
      <c r="E373" s="207" t="s">
        <v>4398</v>
      </c>
      <c r="F373" s="214" t="s">
        <v>6027</v>
      </c>
      <c r="G373" s="207" t="s">
        <v>4400</v>
      </c>
      <c r="H373" s="207" t="s">
        <v>4401</v>
      </c>
      <c r="I373" s="217" t="s">
        <v>4402</v>
      </c>
      <c r="J373" s="215" t="s">
        <v>6028</v>
      </c>
      <c r="K373" s="215" t="s">
        <v>6029</v>
      </c>
      <c r="L373" s="215" t="s">
        <v>6030</v>
      </c>
      <c r="M373" s="207" t="s">
        <v>4405</v>
      </c>
      <c r="N373" s="207" t="s">
        <v>4442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6028</v>
      </c>
      <c r="AB373" s="215" t="s">
        <v>6029</v>
      </c>
      <c r="AC373" s="215" t="s">
        <v>6030</v>
      </c>
      <c r="AD373" s="207" t="s">
        <v>4402</v>
      </c>
      <c r="AE373" s="207" t="s">
        <v>4405</v>
      </c>
      <c r="AF373" s="218">
        <v>22123.439999999999</v>
      </c>
      <c r="AG373" s="218">
        <f>AF373+30000</f>
        <v>52123.44</v>
      </c>
      <c r="AH373" s="207" t="s">
        <v>4433</v>
      </c>
      <c r="AI373" s="214" t="s">
        <v>4411</v>
      </c>
      <c r="AJ373" s="207">
        <v>147056354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4423</v>
      </c>
      <c r="AT373" s="207"/>
      <c r="AU373" s="220" t="s">
        <v>6031</v>
      </c>
      <c r="AV373" s="207" t="s">
        <v>4425</v>
      </c>
      <c r="AW373" s="207" t="s">
        <v>4425</v>
      </c>
      <c r="AX373" s="207" t="s">
        <v>4425</v>
      </c>
      <c r="AY373" s="197" t="s">
        <v>4425</v>
      </c>
      <c r="AZ373" s="203">
        <v>46017</v>
      </c>
      <c r="BA373" s="219" t="s">
        <v>4425</v>
      </c>
      <c r="BB373" s="207" t="s">
        <v>4425</v>
      </c>
      <c r="BC373" s="208">
        <v>46024</v>
      </c>
      <c r="BD373" s="226">
        <v>46024</v>
      </c>
      <c r="BE373" s="226" t="s">
        <v>4435</v>
      </c>
      <c r="BF373" s="228" t="s">
        <v>4436</v>
      </c>
      <c r="BG373" s="229" t="s">
        <v>4425</v>
      </c>
      <c r="BH373" s="321">
        <f t="shared" si="25"/>
        <v>23</v>
      </c>
      <c r="BI373" s="98" t="str">
        <f t="shared" si="26"/>
        <v>INDENIZAÇÃO</v>
      </c>
      <c r="BJ373" s="98" t="str">
        <f t="shared" si="27"/>
        <v>NÃO</v>
      </c>
      <c r="BK373" s="230" t="s">
        <v>4437</v>
      </c>
      <c r="BL373" s="230" t="s">
        <v>4437</v>
      </c>
      <c r="BM373" s="230" t="s">
        <v>4437</v>
      </c>
      <c r="BN373" s="265" t="s">
        <v>5732</v>
      </c>
      <c r="BO373" s="265"/>
      <c r="BP373" s="265"/>
      <c r="BQ373" s="265"/>
      <c r="BR373" s="231"/>
      <c r="BS373" s="223"/>
      <c r="BT373" s="223"/>
    </row>
    <row r="374" spans="1:72" s="240" customFormat="1" ht="27" hidden="1" customHeight="1">
      <c r="A374" s="197">
        <v>370</v>
      </c>
      <c r="B374" s="197" t="s">
        <v>4396</v>
      </c>
      <c r="C374" s="207" t="s">
        <v>4427</v>
      </c>
      <c r="D374" s="207">
        <v>1</v>
      </c>
      <c r="E374" s="207" t="s">
        <v>4398</v>
      </c>
      <c r="F374" s="214" t="s">
        <v>6032</v>
      </c>
      <c r="G374" s="207" t="s">
        <v>4400</v>
      </c>
      <c r="H374" s="207" t="s">
        <v>4401</v>
      </c>
      <c r="I374" s="217" t="s">
        <v>4402</v>
      </c>
      <c r="J374" s="215" t="s">
        <v>6033</v>
      </c>
      <c r="K374" s="215" t="s">
        <v>6034</v>
      </c>
      <c r="L374" s="215" t="s">
        <v>6035</v>
      </c>
      <c r="M374" s="207" t="s">
        <v>4405</v>
      </c>
      <c r="N374" s="207" t="s">
        <v>4406</v>
      </c>
      <c r="O374" s="202">
        <v>46002</v>
      </c>
      <c r="P374" s="202" t="s">
        <v>4407</v>
      </c>
      <c r="Q374" s="202">
        <v>45999</v>
      </c>
      <c r="R374" s="202">
        <v>46006</v>
      </c>
      <c r="S374" s="202">
        <v>46006</v>
      </c>
      <c r="T374" s="202">
        <v>46009</v>
      </c>
      <c r="U374" s="202" t="s">
        <v>4408</v>
      </c>
      <c r="V374" s="202" t="s">
        <v>4408</v>
      </c>
      <c r="W374" s="202">
        <v>46014</v>
      </c>
      <c r="X374" s="202">
        <v>46017</v>
      </c>
      <c r="Y374" s="202"/>
      <c r="Z374" s="207"/>
      <c r="AA374" s="215" t="s">
        <v>6033</v>
      </c>
      <c r="AB374" s="215" t="s">
        <v>6034</v>
      </c>
      <c r="AC374" s="215" t="s">
        <v>6035</v>
      </c>
      <c r="AD374" s="207" t="s">
        <v>4402</v>
      </c>
      <c r="AE374" s="207" t="s">
        <v>4405</v>
      </c>
      <c r="AF374" s="218" t="s">
        <v>4409</v>
      </c>
      <c r="AG374" s="218" t="s">
        <v>4409</v>
      </c>
      <c r="AH374" s="207" t="s">
        <v>4410</v>
      </c>
      <c r="AI374" s="214" t="s">
        <v>4411</v>
      </c>
      <c r="AJ374" s="207"/>
      <c r="AK374" s="316">
        <v>45996</v>
      </c>
      <c r="AL374" s="316">
        <v>45996</v>
      </c>
      <c r="AM374" s="316">
        <v>45996</v>
      </c>
      <c r="AN374" s="316">
        <v>45996</v>
      </c>
      <c r="AO374" s="316">
        <v>45996</v>
      </c>
      <c r="AP374" s="316">
        <v>45996</v>
      </c>
      <c r="AQ374" s="314"/>
      <c r="AR374" s="315" t="str">
        <f t="shared" si="24"/>
        <v>FINALIZADO</v>
      </c>
      <c r="AS374" s="207"/>
      <c r="AT374" s="207"/>
      <c r="AU374" s="220"/>
      <c r="AV374" s="160"/>
      <c r="AW374" s="207"/>
      <c r="AX374" s="207"/>
      <c r="AY374" s="207"/>
      <c r="AZ374" s="202"/>
      <c r="BA374" s="219"/>
      <c r="BB374" s="207"/>
      <c r="BC374" s="202"/>
      <c r="BD374" s="208"/>
      <c r="BE374" s="202"/>
      <c r="BF374" s="207"/>
      <c r="BG374" s="229"/>
      <c r="BH374" s="321" t="str">
        <f t="shared" si="25"/>
        <v/>
      </c>
      <c r="BI374" s="98" t="str">
        <f t="shared" si="26"/>
        <v>AA</v>
      </c>
      <c r="BJ374" s="98" t="str">
        <f t="shared" si="27"/>
        <v>NÃO</v>
      </c>
      <c r="BK374" s="230"/>
      <c r="BL374" s="230"/>
      <c r="BM374" s="230"/>
      <c r="BN374" s="230"/>
      <c r="BO374" s="230"/>
      <c r="BP374" s="230"/>
      <c r="BQ374" s="230"/>
      <c r="BR374" s="234"/>
    </row>
    <row r="375" spans="1:72" s="240" customFormat="1" ht="27" hidden="1" customHeight="1">
      <c r="A375" s="197">
        <v>371</v>
      </c>
      <c r="B375" s="197" t="s">
        <v>4396</v>
      </c>
      <c r="C375" s="207" t="s">
        <v>4427</v>
      </c>
      <c r="D375" s="207">
        <v>1</v>
      </c>
      <c r="E375" s="207" t="s">
        <v>4398</v>
      </c>
      <c r="F375" s="214" t="s">
        <v>6036</v>
      </c>
      <c r="G375" s="207" t="s">
        <v>4400</v>
      </c>
      <c r="H375" s="207" t="s">
        <v>4401</v>
      </c>
      <c r="I375" s="217" t="s">
        <v>4402</v>
      </c>
      <c r="J375" s="215" t="s">
        <v>6037</v>
      </c>
      <c r="K375" s="215" t="s">
        <v>6038</v>
      </c>
      <c r="L375" s="215" t="s">
        <v>6039</v>
      </c>
      <c r="M375" s="207" t="s">
        <v>4405</v>
      </c>
      <c r="N375" s="207" t="s">
        <v>4442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6040</v>
      </c>
      <c r="AB375" s="215" t="s">
        <v>6038</v>
      </c>
      <c r="AC375" s="215" t="s">
        <v>6039</v>
      </c>
      <c r="AD375" s="207" t="s">
        <v>4402</v>
      </c>
      <c r="AE375" s="207" t="s">
        <v>4405</v>
      </c>
      <c r="AF375" s="218"/>
      <c r="AG375" s="218"/>
      <c r="AH375" s="207"/>
      <c r="AI375" s="214" t="s">
        <v>4411</v>
      </c>
      <c r="AJ375" s="207"/>
      <c r="AK375" s="316">
        <v>45980</v>
      </c>
      <c r="AL375" s="316">
        <v>45980</v>
      </c>
      <c r="AM375" s="316">
        <v>45980</v>
      </c>
      <c r="AN375" s="316">
        <v>45980</v>
      </c>
      <c r="AO375" s="316">
        <v>45980</v>
      </c>
      <c r="AP375" s="316">
        <v>45980</v>
      </c>
      <c r="AQ375" s="314"/>
      <c r="AR375" s="315" t="str">
        <f t="shared" si="24"/>
        <v>FINALIZADO</v>
      </c>
      <c r="AS375" s="207"/>
      <c r="AT375" s="207"/>
      <c r="AU375" s="220"/>
      <c r="AV375" s="197"/>
      <c r="AW375" s="207"/>
      <c r="AX375" s="207"/>
      <c r="AY375" s="207"/>
      <c r="AZ375" s="202"/>
      <c r="BA375" s="219"/>
      <c r="BB375" s="207"/>
      <c r="BC375" s="202"/>
      <c r="BD375" s="208"/>
      <c r="BE375" s="202"/>
      <c r="BF375" s="207"/>
      <c r="BG375" s="229"/>
      <c r="BH375" s="321" t="str">
        <f t="shared" si="25"/>
        <v/>
      </c>
      <c r="BI375" s="98" t="str">
        <f t="shared" si="26"/>
        <v>INDENIZAÇÃO</v>
      </c>
      <c r="BJ375" s="98" t="str">
        <f t="shared" si="27"/>
        <v>NÃO</v>
      </c>
      <c r="BK375" s="230"/>
      <c r="BL375" s="230"/>
      <c r="BM375" s="230"/>
      <c r="BN375" s="230"/>
      <c r="BO375" s="230"/>
      <c r="BP375" s="230"/>
      <c r="BQ375" s="230"/>
      <c r="BR375" s="234"/>
    </row>
    <row r="376" spans="1:72" s="240" customFormat="1" ht="27" hidden="1" customHeight="1">
      <c r="A376" s="207">
        <v>372</v>
      </c>
      <c r="B376" s="197" t="s">
        <v>4396</v>
      </c>
      <c r="C376" s="207" t="s">
        <v>4427</v>
      </c>
      <c r="D376" s="207">
        <v>1</v>
      </c>
      <c r="E376" s="207" t="s">
        <v>4398</v>
      </c>
      <c r="F376" s="214" t="s">
        <v>6041</v>
      </c>
      <c r="G376" s="207" t="s">
        <v>4400</v>
      </c>
      <c r="H376" s="207" t="s">
        <v>4401</v>
      </c>
      <c r="I376" s="217" t="s">
        <v>4414</v>
      </c>
      <c r="J376" s="215" t="s">
        <v>6042</v>
      </c>
      <c r="K376" s="215" t="s">
        <v>6043</v>
      </c>
      <c r="L376" s="215" t="s">
        <v>6044</v>
      </c>
      <c r="M376" s="207" t="s">
        <v>4405</v>
      </c>
      <c r="N376" s="207" t="s">
        <v>4406</v>
      </c>
      <c r="O376" s="202">
        <v>45986</v>
      </c>
      <c r="P376" s="203" t="s">
        <v>4407</v>
      </c>
      <c r="Q376" s="203">
        <v>45985</v>
      </c>
      <c r="R376" s="203">
        <v>45986</v>
      </c>
      <c r="S376" s="203">
        <v>45987</v>
      </c>
      <c r="T376" s="203">
        <v>45992</v>
      </c>
      <c r="U376" s="202" t="s">
        <v>4408</v>
      </c>
      <c r="V376" s="202" t="s">
        <v>4408</v>
      </c>
      <c r="W376" s="202">
        <v>45999</v>
      </c>
      <c r="X376" s="202">
        <v>46015</v>
      </c>
      <c r="Y376" s="202"/>
      <c r="Z376" s="207"/>
      <c r="AA376" s="215" t="s">
        <v>6045</v>
      </c>
      <c r="AB376" s="215">
        <v>50431772</v>
      </c>
      <c r="AC376" s="215" t="s">
        <v>6046</v>
      </c>
      <c r="AD376" s="217" t="s">
        <v>4421</v>
      </c>
      <c r="AE376" s="207" t="s">
        <v>4405</v>
      </c>
      <c r="AF376" s="218">
        <v>16615.919999999998</v>
      </c>
      <c r="AG376" s="218">
        <v>16615.919999999998</v>
      </c>
      <c r="AH376" s="207" t="s">
        <v>4433</v>
      </c>
      <c r="AI376" s="214" t="s">
        <v>4411</v>
      </c>
      <c r="AJ376" s="207">
        <v>147056772</v>
      </c>
      <c r="AK376" s="316">
        <v>46001</v>
      </c>
      <c r="AL376" s="316">
        <v>46001</v>
      </c>
      <c r="AM376" s="316">
        <v>46001</v>
      </c>
      <c r="AN376" s="316">
        <v>46001</v>
      </c>
      <c r="AO376" s="316">
        <v>46001</v>
      </c>
      <c r="AP376" s="316">
        <v>46001</v>
      </c>
      <c r="AQ376" s="314"/>
      <c r="AR376" s="315" t="str">
        <f t="shared" si="24"/>
        <v>FINALIZADO</v>
      </c>
      <c r="AS376" s="207" t="s">
        <v>4423</v>
      </c>
      <c r="AT376" s="207"/>
      <c r="AU376" s="220" t="s">
        <v>6047</v>
      </c>
      <c r="AV376" s="207" t="s">
        <v>4425</v>
      </c>
      <c r="AW376" s="207" t="s">
        <v>4425</v>
      </c>
      <c r="AX376" s="207" t="s">
        <v>4425</v>
      </c>
      <c r="AY376" s="207" t="s">
        <v>4425</v>
      </c>
      <c r="AZ376" s="202">
        <v>46021</v>
      </c>
      <c r="BA376" s="219" t="s">
        <v>4425</v>
      </c>
      <c r="BB376" s="207" t="s">
        <v>4425</v>
      </c>
      <c r="BC376" s="239">
        <v>46041</v>
      </c>
      <c r="BD376" s="227">
        <v>46041</v>
      </c>
      <c r="BE376" s="227" t="s">
        <v>4435</v>
      </c>
      <c r="BF376" s="228" t="s">
        <v>4436</v>
      </c>
      <c r="BG376" s="229" t="s">
        <v>4425</v>
      </c>
      <c r="BH376" s="321">
        <f t="shared" si="25"/>
        <v>40</v>
      </c>
      <c r="BI376" s="98" t="str">
        <f t="shared" si="26"/>
        <v>INDENIZAÇÃO</v>
      </c>
      <c r="BJ376" s="98" t="str">
        <f t="shared" si="27"/>
        <v>NÃO</v>
      </c>
      <c r="BK376" s="230" t="s">
        <v>4437</v>
      </c>
      <c r="BL376" s="230" t="s">
        <v>4437</v>
      </c>
      <c r="BM376" s="230" t="s">
        <v>4437</v>
      </c>
      <c r="BN376" s="207" t="s">
        <v>4425</v>
      </c>
      <c r="BO376" s="207" t="s">
        <v>4425</v>
      </c>
      <c r="BP376" s="202">
        <v>46182</v>
      </c>
      <c r="BQ376" s="207" t="s">
        <v>4425</v>
      </c>
      <c r="BR376" s="256" t="s">
        <v>4435</v>
      </c>
    </row>
    <row r="377" spans="1:72" s="240" customFormat="1" ht="27" hidden="1" customHeight="1">
      <c r="A377" s="207">
        <v>373</v>
      </c>
      <c r="B377" s="197" t="s">
        <v>4396</v>
      </c>
      <c r="C377" s="207" t="s">
        <v>4427</v>
      </c>
      <c r="D377" s="207">
        <v>1</v>
      </c>
      <c r="E377" s="207" t="s">
        <v>4398</v>
      </c>
      <c r="F377" s="214" t="s">
        <v>6048</v>
      </c>
      <c r="G377" s="207" t="s">
        <v>4400</v>
      </c>
      <c r="H377" s="207" t="s">
        <v>4401</v>
      </c>
      <c r="I377" s="217" t="s">
        <v>4402</v>
      </c>
      <c r="J377" s="215" t="s">
        <v>6049</v>
      </c>
      <c r="K377" s="215" t="s">
        <v>6050</v>
      </c>
      <c r="L377" s="215" t="s">
        <v>6051</v>
      </c>
      <c r="M377" s="207" t="s">
        <v>4405</v>
      </c>
      <c r="N377" s="207" t="s">
        <v>4442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6049</v>
      </c>
      <c r="AB377" s="215" t="s">
        <v>6050</v>
      </c>
      <c r="AC377" s="215" t="s">
        <v>6051</v>
      </c>
      <c r="AD377" s="207" t="s">
        <v>4402</v>
      </c>
      <c r="AE377" s="207" t="s">
        <v>4405</v>
      </c>
      <c r="AF377" s="218">
        <v>27394.66</v>
      </c>
      <c r="AG377" s="218">
        <f>AF377+30000</f>
        <v>57394.66</v>
      </c>
      <c r="AH377" s="207" t="s">
        <v>4433</v>
      </c>
      <c r="AI377" s="214" t="s">
        <v>4411</v>
      </c>
      <c r="AJ377" s="207">
        <v>148265204</v>
      </c>
      <c r="AK377" s="316">
        <v>46059</v>
      </c>
      <c r="AL377" s="316">
        <v>46059</v>
      </c>
      <c r="AM377" s="316">
        <v>46059</v>
      </c>
      <c r="AN377" s="316">
        <v>46059</v>
      </c>
      <c r="AO377" s="316">
        <v>46059</v>
      </c>
      <c r="AP377" s="316">
        <v>46059</v>
      </c>
      <c r="AQ377" s="314"/>
      <c r="AR377" s="315" t="str">
        <f t="shared" si="24"/>
        <v>FINALIZADO</v>
      </c>
      <c r="AS377" s="207" t="s">
        <v>4423</v>
      </c>
      <c r="AT377" s="207"/>
      <c r="AU377" s="220" t="s">
        <v>6052</v>
      </c>
      <c r="AV377" s="207" t="s">
        <v>4425</v>
      </c>
      <c r="AW377" s="207" t="s">
        <v>4425</v>
      </c>
      <c r="AX377" s="207" t="s">
        <v>4425</v>
      </c>
      <c r="AY377" s="207" t="s">
        <v>4425</v>
      </c>
      <c r="AZ377" s="202">
        <v>46125</v>
      </c>
      <c r="BA377" s="207" t="s">
        <v>4425</v>
      </c>
      <c r="BB377" s="207" t="s">
        <v>4425</v>
      </c>
      <c r="BC377" s="202">
        <v>46139</v>
      </c>
      <c r="BD377" s="227">
        <v>46139</v>
      </c>
      <c r="BE377" s="227" t="s">
        <v>4435</v>
      </c>
      <c r="BF377" s="228" t="s">
        <v>4436</v>
      </c>
      <c r="BG377" s="229" t="s">
        <v>4425</v>
      </c>
      <c r="BH377" s="321">
        <f t="shared" si="25"/>
        <v>80</v>
      </c>
      <c r="BI377" s="98" t="str">
        <f t="shared" si="26"/>
        <v>INDENIZAÇÃO</v>
      </c>
      <c r="BJ377" s="98" t="str">
        <f t="shared" si="27"/>
        <v>NÃO</v>
      </c>
      <c r="BK377" s="219" t="s">
        <v>4437</v>
      </c>
      <c r="BL377" s="219" t="s">
        <v>4437</v>
      </c>
      <c r="BM377" s="219" t="s">
        <v>4437</v>
      </c>
      <c r="BN377" s="257" t="s">
        <v>5732</v>
      </c>
      <c r="BO377" s="257"/>
      <c r="BP377" s="257"/>
      <c r="BQ377" s="257"/>
      <c r="BR377" s="258"/>
    </row>
    <row r="378" spans="1:72" s="240" customFormat="1" ht="27" hidden="1" customHeight="1">
      <c r="A378" s="207">
        <v>374</v>
      </c>
      <c r="B378" s="197" t="s">
        <v>4396</v>
      </c>
      <c r="C378" s="207" t="s">
        <v>4427</v>
      </c>
      <c r="D378" s="207">
        <v>1</v>
      </c>
      <c r="E378" s="207" t="s">
        <v>4398</v>
      </c>
      <c r="F378" s="214" t="s">
        <v>6053</v>
      </c>
      <c r="G378" s="207" t="s">
        <v>4400</v>
      </c>
      <c r="H378" s="207" t="s">
        <v>4401</v>
      </c>
      <c r="I378" s="217" t="s">
        <v>4402</v>
      </c>
      <c r="J378" s="215" t="s">
        <v>6054</v>
      </c>
      <c r="K378" s="215" t="s">
        <v>6055</v>
      </c>
      <c r="L378" s="215" t="s">
        <v>6056</v>
      </c>
      <c r="M378" s="207" t="s">
        <v>4405</v>
      </c>
      <c r="N378" s="207" t="s">
        <v>4442</v>
      </c>
      <c r="O378" s="202" t="s">
        <v>4409</v>
      </c>
      <c r="P378" s="202" t="s">
        <v>4409</v>
      </c>
      <c r="Q378" s="202" t="s">
        <v>4409</v>
      </c>
      <c r="R378" s="202" t="s">
        <v>4409</v>
      </c>
      <c r="S378" s="202" t="s">
        <v>4409</v>
      </c>
      <c r="T378" s="202" t="s">
        <v>4409</v>
      </c>
      <c r="U378" s="202" t="s">
        <v>4409</v>
      </c>
      <c r="V378" s="202" t="s">
        <v>4409</v>
      </c>
      <c r="W378" s="202" t="s">
        <v>4409</v>
      </c>
      <c r="X378" s="202" t="s">
        <v>4409</v>
      </c>
      <c r="Y378" s="202"/>
      <c r="Z378" s="207"/>
      <c r="AA378" s="215" t="s">
        <v>6054</v>
      </c>
      <c r="AB378" s="215" t="s">
        <v>6055</v>
      </c>
      <c r="AC378" s="215" t="s">
        <v>6057</v>
      </c>
      <c r="AD378" s="207" t="s">
        <v>4402</v>
      </c>
      <c r="AE378" s="207" t="s">
        <v>4405</v>
      </c>
      <c r="AF378" s="218">
        <v>26336.83</v>
      </c>
      <c r="AG378" s="218">
        <f>AF378+30000</f>
        <v>56336.83</v>
      </c>
      <c r="AH378" s="207" t="s">
        <v>4422</v>
      </c>
      <c r="AI378" s="214" t="s">
        <v>4411</v>
      </c>
      <c r="AJ378" s="207">
        <v>150959397</v>
      </c>
      <c r="AK378" s="316">
        <v>46077</v>
      </c>
      <c r="AL378" s="316">
        <v>46077</v>
      </c>
      <c r="AM378" s="316">
        <v>46077</v>
      </c>
      <c r="AN378" s="316">
        <v>46077</v>
      </c>
      <c r="AO378" s="316">
        <v>46077</v>
      </c>
      <c r="AP378" s="316">
        <v>46077</v>
      </c>
      <c r="AQ378" s="314"/>
      <c r="AR378" s="315" t="str">
        <f t="shared" si="24"/>
        <v>FINALIZADO</v>
      </c>
      <c r="AS378" s="207" t="s">
        <v>4423</v>
      </c>
      <c r="AT378" s="207"/>
      <c r="AU378" s="220" t="s">
        <v>6058</v>
      </c>
      <c r="AV378" s="207" t="s">
        <v>4425</v>
      </c>
      <c r="AW378" s="207" t="s">
        <v>4425</v>
      </c>
      <c r="AX378" s="207" t="s">
        <v>4425</v>
      </c>
      <c r="AY378" s="207" t="s">
        <v>4425</v>
      </c>
      <c r="AZ378" s="202">
        <v>46111</v>
      </c>
      <c r="BA378" s="207" t="s">
        <v>4425</v>
      </c>
      <c r="BB378" s="207" t="s">
        <v>4425</v>
      </c>
      <c r="BC378" s="202">
        <v>46114</v>
      </c>
      <c r="BD378" s="227">
        <v>46114</v>
      </c>
      <c r="BE378" s="227" t="s">
        <v>4435</v>
      </c>
      <c r="BF378" s="228" t="s">
        <v>4436</v>
      </c>
      <c r="BG378" s="229" t="s">
        <v>4425</v>
      </c>
      <c r="BH378" s="321">
        <f t="shared" si="25"/>
        <v>37</v>
      </c>
      <c r="BI378" s="98" t="str">
        <f t="shared" si="26"/>
        <v>INDENIZAÇÃO</v>
      </c>
      <c r="BJ378" s="98" t="str">
        <f t="shared" si="27"/>
        <v>NÃO</v>
      </c>
      <c r="BK378" s="230" t="s">
        <v>4437</v>
      </c>
      <c r="BL378" s="230" t="s">
        <v>4437</v>
      </c>
      <c r="BM378" s="230" t="s">
        <v>4437</v>
      </c>
      <c r="BN378" s="265" t="s">
        <v>5732</v>
      </c>
      <c r="BO378" s="265"/>
      <c r="BP378" s="265"/>
      <c r="BQ378" s="265"/>
      <c r="BR378" s="231"/>
      <c r="BS378" s="223"/>
      <c r="BT378" s="223"/>
    </row>
    <row r="379" spans="1:72" s="240" customFormat="1" ht="27" hidden="1" customHeight="1">
      <c r="A379" s="197">
        <v>375</v>
      </c>
      <c r="B379" s="197" t="s">
        <v>4396</v>
      </c>
      <c r="C379" s="207" t="s">
        <v>4427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4406</v>
      </c>
      <c r="O379" s="202">
        <v>46002</v>
      </c>
      <c r="P379" s="202" t="s">
        <v>4407</v>
      </c>
      <c r="Q379" s="202">
        <v>45999</v>
      </c>
      <c r="R379" s="202">
        <v>46006</v>
      </c>
      <c r="S379" s="202">
        <v>46006</v>
      </c>
      <c r="T379" s="202">
        <v>46009</v>
      </c>
      <c r="U379" s="202" t="s">
        <v>4408</v>
      </c>
      <c r="V379" s="202" t="s">
        <v>4408</v>
      </c>
      <c r="W379" s="202">
        <v>46014</v>
      </c>
      <c r="X379" s="202">
        <v>46017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 t="s">
        <v>4409</v>
      </c>
      <c r="AG379" s="218" t="s">
        <v>4409</v>
      </c>
      <c r="AH379" s="207" t="s">
        <v>4410</v>
      </c>
      <c r="AI379" s="214" t="s">
        <v>4411</v>
      </c>
      <c r="AJ379" s="207"/>
      <c r="AK379" s="316">
        <v>45980</v>
      </c>
      <c r="AL379" s="316">
        <v>45980</v>
      </c>
      <c r="AM379" s="316">
        <v>45980</v>
      </c>
      <c r="AN379" s="316">
        <v>45980</v>
      </c>
      <c r="AO379" s="316">
        <v>45980</v>
      </c>
      <c r="AP379" s="316">
        <v>45980</v>
      </c>
      <c r="AQ379" s="314"/>
      <c r="AR379" s="315" t="str">
        <f t="shared" si="24"/>
        <v>FINALIZADO</v>
      </c>
      <c r="AS379" s="207"/>
      <c r="AT379" s="207"/>
      <c r="AU379" s="220"/>
      <c r="AV379" s="207"/>
      <c r="AW379" s="207"/>
      <c r="AX379" s="207"/>
      <c r="AY379" s="207"/>
      <c r="AZ379" s="202"/>
      <c r="BA379" s="219"/>
      <c r="BB379" s="207"/>
      <c r="BC379" s="202"/>
      <c r="BD379" s="208"/>
      <c r="BE379" s="202"/>
      <c r="BF379" s="207"/>
      <c r="BG379" s="229"/>
      <c r="BH379" s="321" t="str">
        <f t="shared" si="25"/>
        <v/>
      </c>
      <c r="BI379" s="98" t="str">
        <f t="shared" si="26"/>
        <v>AA</v>
      </c>
      <c r="BJ379" s="98" t="str">
        <f t="shared" si="27"/>
        <v>NÃO</v>
      </c>
      <c r="BK379" s="230"/>
      <c r="BL379" s="230"/>
      <c r="BM379" s="230"/>
      <c r="BN379" s="230"/>
      <c r="BO379" s="230"/>
      <c r="BP379" s="230"/>
      <c r="BQ379" s="230"/>
      <c r="BR379" s="234"/>
    </row>
    <row r="380" spans="1:72" s="240" customFormat="1" ht="27" hidden="1" customHeight="1">
      <c r="A380" s="197">
        <v>376</v>
      </c>
      <c r="B380" s="197" t="s">
        <v>4396</v>
      </c>
      <c r="C380" s="207" t="s">
        <v>4427</v>
      </c>
      <c r="D380" s="207">
        <v>1</v>
      </c>
      <c r="E380" s="207" t="s">
        <v>4398</v>
      </c>
      <c r="F380" s="214" t="s">
        <v>6063</v>
      </c>
      <c r="G380" s="207" t="s">
        <v>4400</v>
      </c>
      <c r="H380" s="207" t="s">
        <v>4536</v>
      </c>
      <c r="I380" s="217" t="s">
        <v>4536</v>
      </c>
      <c r="J380" s="215" t="s">
        <v>6064</v>
      </c>
      <c r="K380" s="215" t="s">
        <v>6065</v>
      </c>
      <c r="L380" s="215" t="s">
        <v>6066</v>
      </c>
      <c r="M380" s="207" t="s">
        <v>4405</v>
      </c>
      <c r="N380" s="207" t="s">
        <v>4406</v>
      </c>
      <c r="O380" s="202">
        <v>46217</v>
      </c>
      <c r="P380" s="202" t="s">
        <v>4407</v>
      </c>
      <c r="Q380" s="202">
        <v>46211</v>
      </c>
      <c r="R380" s="202">
        <v>46217</v>
      </c>
      <c r="S380" s="202"/>
      <c r="T380" s="202"/>
      <c r="U380" s="202"/>
      <c r="V380" s="202"/>
      <c r="W380" s="202"/>
      <c r="X380" s="202"/>
      <c r="Y380" s="202"/>
      <c r="Z380" s="207"/>
      <c r="AA380" s="215" t="s">
        <v>6064</v>
      </c>
      <c r="AB380" s="215" t="s">
        <v>6065</v>
      </c>
      <c r="AC380" s="215" t="s">
        <v>6066</v>
      </c>
      <c r="AD380" s="207" t="s">
        <v>4536</v>
      </c>
      <c r="AE380" s="207" t="s">
        <v>4405</v>
      </c>
      <c r="AF380" s="218" t="s">
        <v>4409</v>
      </c>
      <c r="AG380" s="218" t="s">
        <v>4409</v>
      </c>
      <c r="AH380" s="207" t="s">
        <v>4410</v>
      </c>
      <c r="AI380" s="214" t="s">
        <v>4411</v>
      </c>
      <c r="AJ380" s="207"/>
      <c r="AK380" s="316">
        <v>46217</v>
      </c>
      <c r="AL380" s="316">
        <v>46217</v>
      </c>
      <c r="AM380" s="316">
        <v>46217</v>
      </c>
      <c r="AN380" s="316">
        <v>46217</v>
      </c>
      <c r="AO380" s="316">
        <v>46217</v>
      </c>
      <c r="AP380" s="316">
        <v>46217</v>
      </c>
      <c r="AQ380" s="314"/>
      <c r="AR380" s="315" t="str">
        <f t="shared" si="24"/>
        <v>FINALIZADO</v>
      </c>
      <c r="AS380" s="207"/>
      <c r="AT380" s="207"/>
      <c r="AU380" s="220"/>
      <c r="AV380" s="207"/>
      <c r="AW380" s="207"/>
      <c r="AX380" s="207"/>
      <c r="AY380" s="197"/>
      <c r="AZ380" s="202"/>
      <c r="BA380" s="219"/>
      <c r="BB380" s="207"/>
      <c r="BC380" s="202"/>
      <c r="BD380" s="208"/>
      <c r="BE380" s="202"/>
      <c r="BF380" s="207"/>
      <c r="BG380" s="229"/>
      <c r="BH380" s="321" t="str">
        <f t="shared" si="25"/>
        <v/>
      </c>
      <c r="BI380" s="98" t="str">
        <f t="shared" si="26"/>
        <v>AA</v>
      </c>
      <c r="BJ380" s="98" t="str">
        <f t="shared" si="27"/>
        <v>NÃO</v>
      </c>
      <c r="BK380" s="230"/>
      <c r="BL380" s="230"/>
      <c r="BM380" s="230"/>
      <c r="BN380" s="230"/>
      <c r="BO380" s="230"/>
      <c r="BP380" s="230"/>
      <c r="BQ380" s="230"/>
      <c r="BR380" s="234"/>
    </row>
    <row r="381" spans="1:72" s="240" customFormat="1" ht="27" hidden="1" customHeight="1">
      <c r="A381" s="207">
        <v>377</v>
      </c>
      <c r="B381" s="197" t="s">
        <v>4396</v>
      </c>
      <c r="C381" s="207" t="s">
        <v>4427</v>
      </c>
      <c r="D381" s="207">
        <v>1</v>
      </c>
      <c r="E381" s="207" t="s">
        <v>4398</v>
      </c>
      <c r="F381" s="214" t="s">
        <v>6067</v>
      </c>
      <c r="G381" s="207" t="s">
        <v>4400</v>
      </c>
      <c r="H381" s="207" t="s">
        <v>4401</v>
      </c>
      <c r="I381" s="217" t="s">
        <v>4402</v>
      </c>
      <c r="J381" s="215" t="s">
        <v>6068</v>
      </c>
      <c r="K381" s="215" t="s">
        <v>6069</v>
      </c>
      <c r="L381" s="215" t="s">
        <v>6070</v>
      </c>
      <c r="M381" s="207" t="s">
        <v>4405</v>
      </c>
      <c r="N381" s="207" t="s">
        <v>4442</v>
      </c>
      <c r="O381" s="202" t="s">
        <v>4409</v>
      </c>
      <c r="P381" s="202" t="s">
        <v>4409</v>
      </c>
      <c r="Q381" s="202" t="s">
        <v>4409</v>
      </c>
      <c r="R381" s="202" t="s">
        <v>4409</v>
      </c>
      <c r="S381" s="202" t="s">
        <v>4409</v>
      </c>
      <c r="T381" s="202" t="s">
        <v>4409</v>
      </c>
      <c r="U381" s="202" t="s">
        <v>4409</v>
      </c>
      <c r="V381" s="202" t="s">
        <v>4409</v>
      </c>
      <c r="W381" s="202" t="s">
        <v>4409</v>
      </c>
      <c r="X381" s="202" t="s">
        <v>4409</v>
      </c>
      <c r="Y381" s="202"/>
      <c r="Z381" s="207"/>
      <c r="AA381" s="215" t="s">
        <v>6068</v>
      </c>
      <c r="AB381" s="215" t="s">
        <v>6069</v>
      </c>
      <c r="AC381" s="215" t="s">
        <v>6070</v>
      </c>
      <c r="AD381" s="207" t="s">
        <v>4402</v>
      </c>
      <c r="AE381" s="207" t="s">
        <v>4405</v>
      </c>
      <c r="AF381" s="218">
        <v>60000</v>
      </c>
      <c r="AG381" s="218">
        <v>60000</v>
      </c>
      <c r="AH381" s="207" t="s">
        <v>4433</v>
      </c>
      <c r="AI381" s="214" t="s">
        <v>4411</v>
      </c>
      <c r="AJ381" s="207">
        <v>148265288</v>
      </c>
      <c r="AK381" s="316">
        <v>46142</v>
      </c>
      <c r="AL381" s="316">
        <v>46142</v>
      </c>
      <c r="AM381" s="316">
        <v>46142</v>
      </c>
      <c r="AN381" s="316">
        <v>46142</v>
      </c>
      <c r="AO381" s="316">
        <v>46142</v>
      </c>
      <c r="AP381" s="316">
        <v>46142</v>
      </c>
      <c r="AQ381" s="314"/>
      <c r="AR381" s="315" t="str">
        <f t="shared" si="24"/>
        <v>FINALIZADO</v>
      </c>
      <c r="AS381" s="207" t="s">
        <v>4423</v>
      </c>
      <c r="AT381" s="207"/>
      <c r="AU381" s="220" t="s">
        <v>6071</v>
      </c>
      <c r="AV381" s="250" t="s">
        <v>4425</v>
      </c>
      <c r="AW381" s="207" t="s">
        <v>4425</v>
      </c>
      <c r="AX381" s="207" t="s">
        <v>4425</v>
      </c>
      <c r="AY381" s="219" t="s">
        <v>4425</v>
      </c>
      <c r="AZ381" s="202">
        <v>46226</v>
      </c>
      <c r="BA381" s="219" t="s">
        <v>4425</v>
      </c>
      <c r="BB381" s="219" t="s">
        <v>4425</v>
      </c>
      <c r="BC381" s="202">
        <v>46232</v>
      </c>
      <c r="BD381" s="226">
        <v>46232</v>
      </c>
      <c r="BE381" s="257" t="s">
        <v>4435</v>
      </c>
      <c r="BF381" s="257" t="s">
        <v>4436</v>
      </c>
      <c r="BG381" s="219" t="s">
        <v>4425</v>
      </c>
      <c r="BH381" s="321">
        <f t="shared" si="25"/>
        <v>90</v>
      </c>
      <c r="BI381" s="98" t="str">
        <f t="shared" si="26"/>
        <v>INDENIZAÇÃO</v>
      </c>
      <c r="BJ381" s="98" t="str">
        <f t="shared" si="27"/>
        <v>NÃO</v>
      </c>
      <c r="BK381" s="219" t="s">
        <v>4437</v>
      </c>
      <c r="BL381" s="219" t="s">
        <v>4437</v>
      </c>
      <c r="BM381" s="219" t="s">
        <v>4437</v>
      </c>
      <c r="BN381" s="257" t="s">
        <v>5732</v>
      </c>
      <c r="BO381" s="257"/>
      <c r="BP381" s="257"/>
      <c r="BQ381" s="257"/>
      <c r="BR381" s="258"/>
      <c r="BS381" s="223"/>
    </row>
    <row r="382" spans="1:72" s="240" customFormat="1" ht="27" hidden="1" customHeight="1">
      <c r="A382" s="207">
        <v>378</v>
      </c>
      <c r="B382" s="197" t="s">
        <v>4396</v>
      </c>
      <c r="C382" s="207" t="s">
        <v>4427</v>
      </c>
      <c r="D382" s="207">
        <v>1</v>
      </c>
      <c r="E382" s="207" t="s">
        <v>4398</v>
      </c>
      <c r="F382" s="214" t="s">
        <v>6072</v>
      </c>
      <c r="G382" s="207" t="s">
        <v>4400</v>
      </c>
      <c r="H382" s="207" t="s">
        <v>4401</v>
      </c>
      <c r="I382" s="217" t="s">
        <v>4402</v>
      </c>
      <c r="J382" s="215" t="s">
        <v>6073</v>
      </c>
      <c r="K382" s="215" t="s">
        <v>6074</v>
      </c>
      <c r="L382" s="215" t="s">
        <v>6075</v>
      </c>
      <c r="M382" s="207" t="s">
        <v>4405</v>
      </c>
      <c r="N382" s="207" t="s">
        <v>4442</v>
      </c>
      <c r="O382" s="202" t="s">
        <v>4409</v>
      </c>
      <c r="P382" s="202" t="s">
        <v>4409</v>
      </c>
      <c r="Q382" s="202" t="s">
        <v>4409</v>
      </c>
      <c r="R382" s="202" t="s">
        <v>4409</v>
      </c>
      <c r="S382" s="202" t="s">
        <v>4409</v>
      </c>
      <c r="T382" s="202" t="s">
        <v>4409</v>
      </c>
      <c r="U382" s="202" t="s">
        <v>4409</v>
      </c>
      <c r="V382" s="202" t="s">
        <v>4409</v>
      </c>
      <c r="W382" s="202" t="s">
        <v>4409</v>
      </c>
      <c r="X382" s="202" t="s">
        <v>4409</v>
      </c>
      <c r="Y382" s="202"/>
      <c r="Z382" s="207"/>
      <c r="AA382" s="215" t="s">
        <v>6073</v>
      </c>
      <c r="AB382" s="215" t="s">
        <v>6074</v>
      </c>
      <c r="AC382" s="215" t="s">
        <v>6075</v>
      </c>
      <c r="AD382" s="207" t="s">
        <v>4402</v>
      </c>
      <c r="AE382" s="207" t="s">
        <v>4405</v>
      </c>
      <c r="AF382" s="218">
        <v>27577.63</v>
      </c>
      <c r="AG382" s="218">
        <f>AF382+30000</f>
        <v>57577.630000000005</v>
      </c>
      <c r="AH382" s="207" t="s">
        <v>4433</v>
      </c>
      <c r="AI382" s="214" t="s">
        <v>4411</v>
      </c>
      <c r="AJ382" s="207">
        <v>147057200</v>
      </c>
      <c r="AK382" s="316">
        <v>46045</v>
      </c>
      <c r="AL382" s="316">
        <v>46045</v>
      </c>
      <c r="AM382" s="316">
        <v>46045</v>
      </c>
      <c r="AN382" s="316">
        <v>46045</v>
      </c>
      <c r="AO382" s="316">
        <v>46045</v>
      </c>
      <c r="AP382" s="316">
        <v>46045</v>
      </c>
      <c r="AQ382" s="314"/>
      <c r="AR382" s="315" t="str">
        <f t="shared" si="24"/>
        <v>FINALIZADO</v>
      </c>
      <c r="AS382" s="207" t="s">
        <v>4423</v>
      </c>
      <c r="AT382" s="207"/>
      <c r="AU382" s="220" t="s">
        <v>6076</v>
      </c>
      <c r="AV382" s="160" t="s">
        <v>4425</v>
      </c>
      <c r="AW382" s="207" t="s">
        <v>4425</v>
      </c>
      <c r="AX382" s="207" t="s">
        <v>4425</v>
      </c>
      <c r="AY382" s="207" t="s">
        <v>4425</v>
      </c>
      <c r="AZ382" s="202">
        <v>46127</v>
      </c>
      <c r="BA382" s="207" t="s">
        <v>4425</v>
      </c>
      <c r="BB382" s="207" t="s">
        <v>4425</v>
      </c>
      <c r="BC382" s="202">
        <v>46140</v>
      </c>
      <c r="BD382" s="227">
        <v>46140</v>
      </c>
      <c r="BE382" s="227" t="s">
        <v>4435</v>
      </c>
      <c r="BF382" s="228" t="s">
        <v>4436</v>
      </c>
      <c r="BG382" s="229" t="s">
        <v>4425</v>
      </c>
      <c r="BH382" s="321">
        <f t="shared" si="25"/>
        <v>95</v>
      </c>
      <c r="BI382" s="98" t="str">
        <f t="shared" si="26"/>
        <v>INDENIZAÇÃO</v>
      </c>
      <c r="BJ382" s="98" t="str">
        <f t="shared" si="27"/>
        <v>NÃO</v>
      </c>
      <c r="BK382" s="219" t="s">
        <v>4437</v>
      </c>
      <c r="BL382" s="219" t="s">
        <v>4437</v>
      </c>
      <c r="BM382" s="219" t="s">
        <v>4437</v>
      </c>
      <c r="BN382" s="257" t="s">
        <v>5732</v>
      </c>
      <c r="BO382" s="257"/>
      <c r="BP382" s="257"/>
      <c r="BQ382" s="257"/>
      <c r="BR382" s="258"/>
    </row>
    <row r="383" spans="1:72" s="240" customFormat="1" ht="27" hidden="1" customHeight="1">
      <c r="A383" s="207">
        <v>379</v>
      </c>
      <c r="B383" s="197" t="s">
        <v>4396</v>
      </c>
      <c r="C383" s="207" t="s">
        <v>4427</v>
      </c>
      <c r="D383" s="207">
        <v>1</v>
      </c>
      <c r="E383" s="207" t="s">
        <v>4398</v>
      </c>
      <c r="F383" s="214" t="s">
        <v>6077</v>
      </c>
      <c r="G383" s="207" t="s">
        <v>4400</v>
      </c>
      <c r="H383" s="207" t="s">
        <v>4401</v>
      </c>
      <c r="I383" s="217" t="s">
        <v>4402</v>
      </c>
      <c r="J383" s="215" t="s">
        <v>6078</v>
      </c>
      <c r="K383" s="215" t="s">
        <v>6079</v>
      </c>
      <c r="L383" s="215" t="s">
        <v>6080</v>
      </c>
      <c r="M383" s="207" t="s">
        <v>4405</v>
      </c>
      <c r="N383" s="207" t="s">
        <v>4442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6078</v>
      </c>
      <c r="AB383" s="215" t="s">
        <v>6079</v>
      </c>
      <c r="AC383" s="215" t="s">
        <v>6080</v>
      </c>
      <c r="AD383" s="207" t="s">
        <v>4402</v>
      </c>
      <c r="AE383" s="207" t="s">
        <v>4405</v>
      </c>
      <c r="AF383" s="218">
        <v>20828.13</v>
      </c>
      <c r="AG383" s="218">
        <f>AF383+30000</f>
        <v>50828.130000000005</v>
      </c>
      <c r="AH383" s="207" t="s">
        <v>4433</v>
      </c>
      <c r="AI383" s="214" t="s">
        <v>4411</v>
      </c>
      <c r="AJ383" s="207">
        <v>147057289</v>
      </c>
      <c r="AK383" s="316">
        <v>46045</v>
      </c>
      <c r="AL383" s="316">
        <v>46045</v>
      </c>
      <c r="AM383" s="316">
        <v>46045</v>
      </c>
      <c r="AN383" s="316">
        <v>46045</v>
      </c>
      <c r="AO383" s="316">
        <v>46045</v>
      </c>
      <c r="AP383" s="316">
        <v>46045</v>
      </c>
      <c r="AQ383" s="314"/>
      <c r="AR383" s="315" t="str">
        <f t="shared" si="24"/>
        <v>FINALIZADO</v>
      </c>
      <c r="AS383" s="207" t="s">
        <v>4423</v>
      </c>
      <c r="AT383" s="207"/>
      <c r="AU383" s="220" t="s">
        <v>6081</v>
      </c>
      <c r="AV383" s="207" t="s">
        <v>4425</v>
      </c>
      <c r="AW383" s="207" t="s">
        <v>4425</v>
      </c>
      <c r="AX383" s="207" t="s">
        <v>4425</v>
      </c>
      <c r="AY383" s="207" t="s">
        <v>4425</v>
      </c>
      <c r="AZ383" s="202">
        <v>46153</v>
      </c>
      <c r="BA383" s="207" t="s">
        <v>4425</v>
      </c>
      <c r="BB383" s="207" t="s">
        <v>4425</v>
      </c>
      <c r="BC383" s="202">
        <v>46161</v>
      </c>
      <c r="BD383" s="227">
        <v>46161</v>
      </c>
      <c r="BE383" s="227" t="s">
        <v>4435</v>
      </c>
      <c r="BF383" s="228" t="s">
        <v>4436</v>
      </c>
      <c r="BG383" s="219" t="s">
        <v>4425</v>
      </c>
      <c r="BH383" s="321">
        <f t="shared" si="25"/>
        <v>116</v>
      </c>
      <c r="BI383" s="98" t="str">
        <f t="shared" si="26"/>
        <v>INDENIZAÇÃO</v>
      </c>
      <c r="BJ383" s="98" t="str">
        <f t="shared" si="27"/>
        <v>NÃO</v>
      </c>
      <c r="BK383" s="219" t="s">
        <v>4437</v>
      </c>
      <c r="BL383" s="219" t="s">
        <v>4437</v>
      </c>
      <c r="BM383" s="219" t="s">
        <v>4437</v>
      </c>
      <c r="BN383" s="257" t="s">
        <v>5732</v>
      </c>
      <c r="BO383" s="257"/>
      <c r="BP383" s="257"/>
      <c r="BQ383" s="257"/>
      <c r="BR383" s="258"/>
    </row>
    <row r="384" spans="1:72" s="240" customFormat="1" ht="27" hidden="1" customHeight="1">
      <c r="A384" s="197">
        <v>380</v>
      </c>
      <c r="B384" s="197" t="s">
        <v>4396</v>
      </c>
      <c r="C384" s="207" t="s">
        <v>4427</v>
      </c>
      <c r="D384" s="207">
        <v>1</v>
      </c>
      <c r="E384" s="207" t="s">
        <v>4398</v>
      </c>
      <c r="F384" s="214" t="s">
        <v>6082</v>
      </c>
      <c r="G384" s="207" t="s">
        <v>4400</v>
      </c>
      <c r="H384" s="207" t="s">
        <v>4401</v>
      </c>
      <c r="I384" s="217" t="s">
        <v>4402</v>
      </c>
      <c r="J384" s="215" t="s">
        <v>6083</v>
      </c>
      <c r="K384" s="215" t="s">
        <v>6084</v>
      </c>
      <c r="L384" s="215" t="s">
        <v>6085</v>
      </c>
      <c r="M384" s="207" t="s">
        <v>4405</v>
      </c>
      <c r="N384" s="207" t="s">
        <v>4442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60"/>
      <c r="AA384" s="215" t="s">
        <v>6083</v>
      </c>
      <c r="AB384" s="215" t="s">
        <v>6084</v>
      </c>
      <c r="AC384" s="215" t="s">
        <v>6085</v>
      </c>
      <c r="AD384" s="217" t="s">
        <v>4402</v>
      </c>
      <c r="AE384" s="207" t="s">
        <v>4405</v>
      </c>
      <c r="AF384" s="218">
        <v>179018.85</v>
      </c>
      <c r="AG384" s="218">
        <v>179018.85</v>
      </c>
      <c r="AH384" s="207" t="s">
        <v>4422</v>
      </c>
      <c r="AI384" s="214" t="s">
        <v>4411</v>
      </c>
      <c r="AJ384" s="207">
        <v>154685023</v>
      </c>
      <c r="AK384" s="316">
        <v>46191</v>
      </c>
      <c r="AL384" s="316">
        <v>46191</v>
      </c>
      <c r="AM384" s="316">
        <v>46191</v>
      </c>
      <c r="AN384" s="316">
        <v>46191</v>
      </c>
      <c r="AO384" s="316">
        <v>46191</v>
      </c>
      <c r="AP384" s="316">
        <v>46191</v>
      </c>
      <c r="AQ384" s="314"/>
      <c r="AR384" s="315" t="str">
        <f t="shared" si="24"/>
        <v>FINALIZADO</v>
      </c>
      <c r="AS384" s="207" t="s">
        <v>4423</v>
      </c>
      <c r="AT384" s="262"/>
      <c r="AU384" s="220" t="s">
        <v>6086</v>
      </c>
      <c r="AV384" s="250" t="s">
        <v>4425</v>
      </c>
      <c r="AW384" s="207" t="s">
        <v>4425</v>
      </c>
      <c r="AX384" s="219" t="s">
        <v>4425</v>
      </c>
      <c r="AY384" s="219" t="s">
        <v>4425</v>
      </c>
      <c r="AZ384" s="202">
        <v>46226</v>
      </c>
      <c r="BA384" s="219" t="s">
        <v>4425</v>
      </c>
      <c r="BB384" s="219" t="s">
        <v>4425</v>
      </c>
      <c r="BC384" s="202">
        <v>46232</v>
      </c>
      <c r="BD384" s="226">
        <v>46232</v>
      </c>
      <c r="BE384" s="257" t="s">
        <v>4435</v>
      </c>
      <c r="BF384" s="257" t="s">
        <v>4436</v>
      </c>
      <c r="BG384" s="219" t="s">
        <v>4425</v>
      </c>
      <c r="BH384" s="321">
        <f t="shared" si="25"/>
        <v>41</v>
      </c>
      <c r="BI384" s="98" t="str">
        <f t="shared" si="26"/>
        <v>INDENIZAÇÃO</v>
      </c>
      <c r="BJ384" s="98" t="str">
        <f t="shared" si="27"/>
        <v>NÃO</v>
      </c>
      <c r="BK384" s="219" t="s">
        <v>4437</v>
      </c>
      <c r="BL384" s="219" t="s">
        <v>4437</v>
      </c>
      <c r="BM384" s="219" t="s">
        <v>4437</v>
      </c>
      <c r="BN384" s="257" t="s">
        <v>5732</v>
      </c>
      <c r="BO384" s="257"/>
      <c r="BP384" s="257"/>
      <c r="BQ384" s="257"/>
      <c r="BR384" s="258"/>
      <c r="BS384" s="223"/>
    </row>
    <row r="385" spans="1:70" s="240" customFormat="1" ht="27" hidden="1" customHeight="1">
      <c r="A385" s="197">
        <v>381</v>
      </c>
      <c r="B385" s="197" t="s">
        <v>4396</v>
      </c>
      <c r="C385" s="207" t="s">
        <v>4427</v>
      </c>
      <c r="D385" s="207">
        <v>1</v>
      </c>
      <c r="E385" s="207" t="s">
        <v>4398</v>
      </c>
      <c r="F385" s="214" t="s">
        <v>6087</v>
      </c>
      <c r="G385" s="207" t="s">
        <v>4400</v>
      </c>
      <c r="H385" s="207" t="s">
        <v>4401</v>
      </c>
      <c r="I385" s="217" t="s">
        <v>4402</v>
      </c>
      <c r="J385" s="215" t="s">
        <v>6088</v>
      </c>
      <c r="K385" s="215" t="s">
        <v>4398</v>
      </c>
      <c r="L385" s="215" t="s">
        <v>6089</v>
      </c>
      <c r="M385" s="207" t="s">
        <v>4405</v>
      </c>
      <c r="N385" s="207" t="s">
        <v>4406</v>
      </c>
      <c r="O385" s="202">
        <v>45986</v>
      </c>
      <c r="P385" s="203" t="s">
        <v>4407</v>
      </c>
      <c r="Q385" s="203">
        <v>45985</v>
      </c>
      <c r="R385" s="203">
        <v>45986</v>
      </c>
      <c r="S385" s="203">
        <v>45987</v>
      </c>
      <c r="T385" s="203">
        <v>45992</v>
      </c>
      <c r="U385" s="202" t="s">
        <v>4408</v>
      </c>
      <c r="V385" s="202" t="s">
        <v>4408</v>
      </c>
      <c r="W385" s="202">
        <v>45999</v>
      </c>
      <c r="X385" s="202">
        <v>46000</v>
      </c>
      <c r="Y385" s="202"/>
      <c r="Z385" s="207"/>
      <c r="AA385" s="215" t="s">
        <v>6088</v>
      </c>
      <c r="AB385" s="215" t="s">
        <v>4398</v>
      </c>
      <c r="AC385" s="215" t="s">
        <v>6089</v>
      </c>
      <c r="AD385" s="207" t="s">
        <v>4402</v>
      </c>
      <c r="AE385" s="207" t="s">
        <v>4405</v>
      </c>
      <c r="AF385" s="218" t="s">
        <v>4409</v>
      </c>
      <c r="AG385" s="218" t="s">
        <v>4409</v>
      </c>
      <c r="AH385" s="207" t="s">
        <v>4410</v>
      </c>
      <c r="AI385" s="214" t="s">
        <v>4411</v>
      </c>
      <c r="AJ385" s="207"/>
      <c r="AK385" s="316">
        <v>45980</v>
      </c>
      <c r="AL385" s="316">
        <v>45980</v>
      </c>
      <c r="AM385" s="316">
        <v>45980</v>
      </c>
      <c r="AN385" s="316">
        <v>45980</v>
      </c>
      <c r="AO385" s="316">
        <v>45980</v>
      </c>
      <c r="AP385" s="316">
        <v>45980</v>
      </c>
      <c r="AQ385" s="314"/>
      <c r="AR385" s="315" t="str">
        <f t="shared" si="24"/>
        <v>FINALIZADO</v>
      </c>
      <c r="AS385" s="207"/>
      <c r="AT385" s="207"/>
      <c r="AU385" s="220"/>
      <c r="AV385" s="207" t="s">
        <v>5487</v>
      </c>
      <c r="AW385" s="207"/>
      <c r="AX385" s="207" t="s">
        <v>4409</v>
      </c>
      <c r="AY385" s="207" t="s">
        <v>4409</v>
      </c>
      <c r="AZ385" s="207" t="s">
        <v>4409</v>
      </c>
      <c r="BA385" s="207" t="s">
        <v>4409</v>
      </c>
      <c r="BB385" s="207"/>
      <c r="BC385" s="202"/>
      <c r="BD385" s="208"/>
      <c r="BE385" s="202"/>
      <c r="BF385" s="207"/>
      <c r="BG385" s="229"/>
      <c r="BH385" s="321" t="str">
        <f t="shared" si="25"/>
        <v/>
      </c>
      <c r="BI385" s="98" t="str">
        <f t="shared" si="26"/>
        <v>AA</v>
      </c>
      <c r="BJ385" s="98" t="str">
        <f t="shared" si="27"/>
        <v>NÃO</v>
      </c>
      <c r="BK385" s="230"/>
      <c r="BL385" s="230"/>
      <c r="BM385" s="230"/>
      <c r="BN385" s="230"/>
      <c r="BO385" s="230"/>
      <c r="BP385" s="230"/>
      <c r="BQ385" s="230"/>
      <c r="BR385" s="234"/>
    </row>
    <row r="386" spans="1:70" s="240" customFormat="1" ht="27" hidden="1" customHeight="1">
      <c r="A386" s="207">
        <v>382</v>
      </c>
      <c r="B386" s="197" t="s">
        <v>4396</v>
      </c>
      <c r="C386" s="207" t="s">
        <v>4427</v>
      </c>
      <c r="D386" s="207">
        <v>1</v>
      </c>
      <c r="E386" s="207" t="s">
        <v>4398</v>
      </c>
      <c r="F386" s="214" t="s">
        <v>6090</v>
      </c>
      <c r="G386" s="207" t="s">
        <v>4400</v>
      </c>
      <c r="H386" s="207" t="s">
        <v>4401</v>
      </c>
      <c r="I386" s="217" t="s">
        <v>4402</v>
      </c>
      <c r="J386" s="215" t="s">
        <v>6091</v>
      </c>
      <c r="K386" s="215" t="s">
        <v>6092</v>
      </c>
      <c r="L386" s="215" t="s">
        <v>6093</v>
      </c>
      <c r="M386" s="207" t="s">
        <v>4405</v>
      </c>
      <c r="N386" s="207" t="s">
        <v>4442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07"/>
      <c r="AA386" s="215" t="s">
        <v>6091</v>
      </c>
      <c r="AB386" s="215" t="s">
        <v>6092</v>
      </c>
      <c r="AC386" s="215" t="s">
        <v>6093</v>
      </c>
      <c r="AD386" s="207" t="s">
        <v>4402</v>
      </c>
      <c r="AE386" s="207" t="s">
        <v>4405</v>
      </c>
      <c r="AF386" s="218">
        <v>66650.02</v>
      </c>
      <c r="AG386" s="218">
        <v>66650.02</v>
      </c>
      <c r="AH386" s="207" t="s">
        <v>4433</v>
      </c>
      <c r="AI386" s="214" t="s">
        <v>4411</v>
      </c>
      <c r="AJ386" s="207">
        <v>147057425</v>
      </c>
      <c r="AK386" s="316">
        <v>46001</v>
      </c>
      <c r="AL386" s="316">
        <v>46001</v>
      </c>
      <c r="AM386" s="316">
        <v>46001</v>
      </c>
      <c r="AN386" s="316">
        <v>46001</v>
      </c>
      <c r="AO386" s="316">
        <v>46001</v>
      </c>
      <c r="AP386" s="316">
        <v>46001</v>
      </c>
      <c r="AQ386" s="314"/>
      <c r="AR386" s="315" t="str">
        <f t="shared" si="24"/>
        <v>FINALIZADO</v>
      </c>
      <c r="AS386" s="207" t="s">
        <v>4423</v>
      </c>
      <c r="AT386" s="207"/>
      <c r="AU386" s="220" t="s">
        <v>6094</v>
      </c>
      <c r="AV386" s="207" t="s">
        <v>4425</v>
      </c>
      <c r="AW386" s="207" t="s">
        <v>4425</v>
      </c>
      <c r="AX386" s="207" t="s">
        <v>4425</v>
      </c>
      <c r="AY386" s="207" t="s">
        <v>4425</v>
      </c>
      <c r="AZ386" s="202">
        <v>46020</v>
      </c>
      <c r="BA386" s="219" t="s">
        <v>4425</v>
      </c>
      <c r="BB386" s="207" t="s">
        <v>4425</v>
      </c>
      <c r="BC386" s="208">
        <v>46035</v>
      </c>
      <c r="BD386" s="226">
        <v>46066</v>
      </c>
      <c r="BE386" s="227" t="s">
        <v>4435</v>
      </c>
      <c r="BF386" s="228" t="s">
        <v>4436</v>
      </c>
      <c r="BG386" s="229" t="s">
        <v>4425</v>
      </c>
      <c r="BH386" s="321">
        <f t="shared" si="25"/>
        <v>65</v>
      </c>
      <c r="BI386" s="98" t="str">
        <f t="shared" si="26"/>
        <v>INDENIZAÇÃO</v>
      </c>
      <c r="BJ386" s="98" t="str">
        <f t="shared" si="27"/>
        <v>NÃO</v>
      </c>
      <c r="BK386" s="230" t="s">
        <v>4437</v>
      </c>
      <c r="BL386" s="230" t="s">
        <v>4437</v>
      </c>
      <c r="BM386" s="230" t="s">
        <v>4437</v>
      </c>
      <c r="BN386" s="265" t="s">
        <v>5732</v>
      </c>
      <c r="BO386" s="265"/>
      <c r="BP386" s="265"/>
      <c r="BQ386" s="265"/>
      <c r="BR386" s="231"/>
    </row>
    <row r="387" spans="1:70" s="240" customFormat="1" ht="27" hidden="1" customHeight="1">
      <c r="A387" s="207">
        <v>383</v>
      </c>
      <c r="B387" s="197" t="s">
        <v>4396</v>
      </c>
      <c r="C387" s="207" t="s">
        <v>4427</v>
      </c>
      <c r="D387" s="207">
        <v>1</v>
      </c>
      <c r="E387" s="207" t="s">
        <v>4398</v>
      </c>
      <c r="F387" s="214" t="s">
        <v>6095</v>
      </c>
      <c r="G387" s="207" t="s">
        <v>4400</v>
      </c>
      <c r="H387" s="207" t="s">
        <v>4401</v>
      </c>
      <c r="I387" s="217" t="s">
        <v>4402</v>
      </c>
      <c r="J387" s="215" t="s">
        <v>6096</v>
      </c>
      <c r="K387" s="215" t="s">
        <v>6097</v>
      </c>
      <c r="L387" s="215" t="s">
        <v>6098</v>
      </c>
      <c r="M387" s="207" t="s">
        <v>4405</v>
      </c>
      <c r="N387" s="207" t="s">
        <v>4442</v>
      </c>
      <c r="O387" s="202" t="s">
        <v>4409</v>
      </c>
      <c r="P387" s="202" t="s">
        <v>4409</v>
      </c>
      <c r="Q387" s="202" t="s">
        <v>4409</v>
      </c>
      <c r="R387" s="202" t="s">
        <v>4409</v>
      </c>
      <c r="S387" s="202" t="s">
        <v>4409</v>
      </c>
      <c r="T387" s="202" t="s">
        <v>4409</v>
      </c>
      <c r="U387" s="202" t="s">
        <v>4409</v>
      </c>
      <c r="V387" s="202" t="s">
        <v>4409</v>
      </c>
      <c r="W387" s="202" t="s">
        <v>4409</v>
      </c>
      <c r="X387" s="202" t="s">
        <v>4409</v>
      </c>
      <c r="Y387" s="202"/>
      <c r="Z387" s="207"/>
      <c r="AA387" s="215" t="s">
        <v>6096</v>
      </c>
      <c r="AB387" s="215" t="s">
        <v>6097</v>
      </c>
      <c r="AC387" s="215" t="s">
        <v>6098</v>
      </c>
      <c r="AD387" s="207" t="s">
        <v>4402</v>
      </c>
      <c r="AE387" s="207" t="s">
        <v>4405</v>
      </c>
      <c r="AF387" s="218">
        <v>22418.93</v>
      </c>
      <c r="AG387" s="218">
        <f>AF387+30000</f>
        <v>52418.93</v>
      </c>
      <c r="AH387" s="207" t="s">
        <v>4433</v>
      </c>
      <c r="AI387" s="214" t="s">
        <v>4411</v>
      </c>
      <c r="AJ387" s="207">
        <v>147057535</v>
      </c>
      <c r="AK387" s="316">
        <v>46001</v>
      </c>
      <c r="AL387" s="316">
        <v>46001</v>
      </c>
      <c r="AM387" s="316">
        <v>46001</v>
      </c>
      <c r="AN387" s="316">
        <v>46001</v>
      </c>
      <c r="AO387" s="316">
        <v>46001</v>
      </c>
      <c r="AP387" s="316">
        <v>46001</v>
      </c>
      <c r="AQ387" s="314"/>
      <c r="AR387" s="315" t="str">
        <f t="shared" si="24"/>
        <v>FINALIZADO</v>
      </c>
      <c r="AS387" s="207" t="s">
        <v>4423</v>
      </c>
      <c r="AT387" s="207"/>
      <c r="AU387" s="220" t="s">
        <v>6099</v>
      </c>
      <c r="AV387" s="207" t="s">
        <v>4425</v>
      </c>
      <c r="AW387" s="207" t="s">
        <v>4425</v>
      </c>
      <c r="AX387" s="207" t="s">
        <v>4425</v>
      </c>
      <c r="AY387" s="197" t="s">
        <v>4425</v>
      </c>
      <c r="AZ387" s="202">
        <v>46009</v>
      </c>
      <c r="BA387" s="219" t="s">
        <v>4425</v>
      </c>
      <c r="BB387" s="207" t="s">
        <v>4425</v>
      </c>
      <c r="BC387" s="239">
        <v>46021</v>
      </c>
      <c r="BD387" s="227">
        <v>46021</v>
      </c>
      <c r="BE387" s="227" t="s">
        <v>4435</v>
      </c>
      <c r="BF387" s="228" t="s">
        <v>4436</v>
      </c>
      <c r="BG387" s="229" t="s">
        <v>4425</v>
      </c>
      <c r="BH387" s="321">
        <f t="shared" si="25"/>
        <v>20</v>
      </c>
      <c r="BI387" s="98" t="str">
        <f t="shared" si="26"/>
        <v>INDENIZAÇÃO</v>
      </c>
      <c r="BJ387" s="98" t="str">
        <f t="shared" si="27"/>
        <v>NÃO</v>
      </c>
      <c r="BK387" s="230" t="s">
        <v>4437</v>
      </c>
      <c r="BL387" s="230" t="s">
        <v>4437</v>
      </c>
      <c r="BM387" s="230" t="s">
        <v>4437</v>
      </c>
      <c r="BN387" s="207" t="s">
        <v>4425</v>
      </c>
      <c r="BO387" s="207" t="s">
        <v>4425</v>
      </c>
      <c r="BP387" s="202">
        <v>46205</v>
      </c>
      <c r="BQ387" s="207" t="s">
        <v>4425</v>
      </c>
      <c r="BR387" s="232" t="s">
        <v>4435</v>
      </c>
    </row>
    <row r="388" spans="1:70" s="240" customFormat="1" ht="27" hidden="1" customHeight="1">
      <c r="A388" s="207">
        <v>384</v>
      </c>
      <c r="B388" s="197" t="s">
        <v>4396</v>
      </c>
      <c r="C388" s="207" t="s">
        <v>4427</v>
      </c>
      <c r="D388" s="207">
        <v>1</v>
      </c>
      <c r="E388" s="207" t="s">
        <v>4398</v>
      </c>
      <c r="F388" s="214" t="s">
        <v>6100</v>
      </c>
      <c r="G388" s="207" t="s">
        <v>4400</v>
      </c>
      <c r="H388" s="207" t="s">
        <v>4401</v>
      </c>
      <c r="I388" s="217" t="s">
        <v>4402</v>
      </c>
      <c r="J388" s="215" t="s">
        <v>6101</v>
      </c>
      <c r="K388" s="215" t="s">
        <v>6102</v>
      </c>
      <c r="L388" s="215" t="s">
        <v>6103</v>
      </c>
      <c r="M388" s="207" t="s">
        <v>4405</v>
      </c>
      <c r="N388" s="207" t="s">
        <v>4406</v>
      </c>
      <c r="O388" s="202">
        <v>46044</v>
      </c>
      <c r="P388" s="202" t="s">
        <v>4407</v>
      </c>
      <c r="Q388" s="202">
        <v>46043</v>
      </c>
      <c r="R388" s="202">
        <v>46044</v>
      </c>
      <c r="S388" s="202">
        <v>46045</v>
      </c>
      <c r="T388" s="203">
        <v>46155</v>
      </c>
      <c r="U388" s="202" t="s">
        <v>4408</v>
      </c>
      <c r="V388" s="202" t="s">
        <v>4408</v>
      </c>
      <c r="W388" s="202">
        <v>46055</v>
      </c>
      <c r="X388" s="202">
        <v>46057</v>
      </c>
      <c r="Y388" s="202"/>
      <c r="Z388" s="207"/>
      <c r="AA388" s="215" t="s">
        <v>6101</v>
      </c>
      <c r="AB388" s="215" t="s">
        <v>6102</v>
      </c>
      <c r="AC388" s="215" t="s">
        <v>6103</v>
      </c>
      <c r="AD388" s="207" t="s">
        <v>4402</v>
      </c>
      <c r="AE388" s="207" t="s">
        <v>4405</v>
      </c>
      <c r="AF388" s="218" t="s">
        <v>4409</v>
      </c>
      <c r="AG388" s="218" t="s">
        <v>4409</v>
      </c>
      <c r="AH388" s="207" t="s">
        <v>4410</v>
      </c>
      <c r="AI388" s="214" t="s">
        <v>4411</v>
      </c>
      <c r="AJ388" s="207"/>
      <c r="AK388" s="316">
        <v>46041</v>
      </c>
      <c r="AL388" s="316">
        <v>46041</v>
      </c>
      <c r="AM388" s="316">
        <v>46041</v>
      </c>
      <c r="AN388" s="316">
        <v>46041</v>
      </c>
      <c r="AO388" s="316">
        <v>46041</v>
      </c>
      <c r="AP388" s="316">
        <v>46041</v>
      </c>
      <c r="AQ388" s="314"/>
      <c r="AR388" s="315" t="str">
        <f t="shared" si="24"/>
        <v>FINALIZADO</v>
      </c>
      <c r="AS388" s="207"/>
      <c r="AT388" s="207"/>
      <c r="AU388" s="220"/>
      <c r="AV388" s="207"/>
      <c r="AW388" s="207"/>
      <c r="AX388" s="207"/>
      <c r="AY388" s="207"/>
      <c r="AZ388" s="202"/>
      <c r="BA388" s="219"/>
      <c r="BB388" s="207"/>
      <c r="BC388" s="202"/>
      <c r="BD388" s="208"/>
      <c r="BE388" s="227"/>
      <c r="BF388" s="228"/>
      <c r="BG388" s="229"/>
      <c r="BH388" s="321" t="str">
        <f t="shared" si="25"/>
        <v/>
      </c>
      <c r="BI388" s="98" t="str">
        <f t="shared" si="26"/>
        <v>AA</v>
      </c>
      <c r="BJ388" s="98" t="str">
        <f t="shared" si="27"/>
        <v>NÃO</v>
      </c>
      <c r="BK388" s="230"/>
      <c r="BL388" s="230"/>
      <c r="BM388" s="230"/>
      <c r="BN388" s="265"/>
      <c r="BO388" s="265"/>
      <c r="BP388" s="265"/>
      <c r="BQ388" s="265"/>
      <c r="BR388" s="231"/>
    </row>
    <row r="389" spans="1:70" s="240" customFormat="1" ht="27" hidden="1" customHeight="1">
      <c r="A389" s="197">
        <v>385</v>
      </c>
      <c r="B389" s="197" t="s">
        <v>4396</v>
      </c>
      <c r="C389" s="207" t="s">
        <v>4427</v>
      </c>
      <c r="D389" s="207">
        <v>1</v>
      </c>
      <c r="E389" s="207" t="s">
        <v>4398</v>
      </c>
      <c r="F389" s="214" t="s">
        <v>6104</v>
      </c>
      <c r="G389" s="207" t="s">
        <v>4400</v>
      </c>
      <c r="H389" s="207" t="s">
        <v>4401</v>
      </c>
      <c r="I389" s="217" t="s">
        <v>4402</v>
      </c>
      <c r="J389" s="215" t="s">
        <v>6105</v>
      </c>
      <c r="K389" s="215" t="s">
        <v>6106</v>
      </c>
      <c r="L389" s="215" t="s">
        <v>6107</v>
      </c>
      <c r="M389" s="207" t="s">
        <v>4405</v>
      </c>
      <c r="N389" s="207" t="s">
        <v>4432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AA389" s="215" t="s">
        <v>6105</v>
      </c>
      <c r="AB389" s="215" t="s">
        <v>6106</v>
      </c>
      <c r="AC389" s="215" t="s">
        <v>6107</v>
      </c>
      <c r="AD389" s="217" t="s">
        <v>4402</v>
      </c>
      <c r="AE389" s="207" t="s">
        <v>4405</v>
      </c>
      <c r="AF389" s="218">
        <v>188565.43</v>
      </c>
      <c r="AG389" s="218">
        <v>188565.43</v>
      </c>
      <c r="AH389" s="207" t="s">
        <v>4422</v>
      </c>
      <c r="AI389" s="214" t="s">
        <v>4411</v>
      </c>
      <c r="AJ389" s="207">
        <v>160441120</v>
      </c>
      <c r="AK389" s="316">
        <v>46253</v>
      </c>
      <c r="AL389" s="316">
        <v>46253</v>
      </c>
      <c r="AM389" s="316">
        <v>46253</v>
      </c>
      <c r="AN389" s="316">
        <v>46253</v>
      </c>
      <c r="AO389" s="316"/>
      <c r="AP389" s="316"/>
      <c r="AQ389" s="314"/>
      <c r="AR389" s="315" t="str">
        <f t="shared" si="24"/>
        <v>AGUARDANDO ASSINATURA GAB</v>
      </c>
      <c r="AS389" s="207" t="s">
        <v>4447</v>
      </c>
      <c r="AT389" s="207"/>
      <c r="AU389" s="220"/>
      <c r="AV389" s="207"/>
      <c r="AW389" s="207"/>
      <c r="AX389" s="207"/>
      <c r="AY389" s="197"/>
      <c r="AZ389" s="202"/>
      <c r="BA389" s="219"/>
      <c r="BB389" s="207"/>
      <c r="BC389" s="202"/>
      <c r="BD389" s="208"/>
      <c r="BE389" s="227"/>
      <c r="BF389" s="228"/>
      <c r="BG389" s="229"/>
      <c r="BH389" s="321" t="str">
        <f t="shared" si="25"/>
        <v/>
      </c>
      <c r="BI389" s="98" t="str">
        <f t="shared" si="26"/>
        <v>INDENIZAÇÃO</v>
      </c>
      <c r="BJ389" s="98" t="str">
        <f t="shared" si="27"/>
        <v>NÃO</v>
      </c>
      <c r="BK389" s="230"/>
      <c r="BL389" s="230"/>
      <c r="BM389" s="230"/>
      <c r="BN389" s="265"/>
      <c r="BO389" s="265"/>
      <c r="BP389" s="265"/>
      <c r="BQ389" s="265"/>
      <c r="BR389" s="231"/>
    </row>
    <row r="390" spans="1:70" s="240" customFormat="1" ht="27" hidden="1" customHeight="1">
      <c r="A390" s="197">
        <v>386</v>
      </c>
      <c r="B390" s="197" t="s">
        <v>4396</v>
      </c>
      <c r="C390" s="207" t="s">
        <v>4427</v>
      </c>
      <c r="D390" s="207">
        <v>2</v>
      </c>
      <c r="E390" s="207" t="s">
        <v>4398</v>
      </c>
      <c r="F390" s="214" t="s">
        <v>6108</v>
      </c>
      <c r="G390" s="207" t="s">
        <v>4400</v>
      </c>
      <c r="H390" s="207" t="s">
        <v>4401</v>
      </c>
      <c r="I390" s="217" t="s">
        <v>4402</v>
      </c>
      <c r="J390" s="215" t="s">
        <v>6109</v>
      </c>
      <c r="K390" s="215" t="s">
        <v>6110</v>
      </c>
      <c r="L390" s="215" t="s">
        <v>6111</v>
      </c>
      <c r="M390" s="207" t="s">
        <v>4405</v>
      </c>
      <c r="N390" s="207" t="s">
        <v>4432</v>
      </c>
      <c r="O390" s="202" t="s">
        <v>4409</v>
      </c>
      <c r="P390" s="202" t="s">
        <v>4409</v>
      </c>
      <c r="Q390" s="202" t="s">
        <v>4409</v>
      </c>
      <c r="R390" s="202" t="s">
        <v>4409</v>
      </c>
      <c r="S390" s="202" t="s">
        <v>4409</v>
      </c>
      <c r="T390" s="202" t="s">
        <v>4409</v>
      </c>
      <c r="U390" s="202" t="s">
        <v>4409</v>
      </c>
      <c r="V390" s="202" t="s">
        <v>4409</v>
      </c>
      <c r="W390" s="202" t="s">
        <v>4409</v>
      </c>
      <c r="X390" s="202" t="s">
        <v>4409</v>
      </c>
      <c r="Y390" s="202"/>
      <c r="AA390" s="215" t="s">
        <v>6109</v>
      </c>
      <c r="AB390" s="215" t="s">
        <v>6110</v>
      </c>
      <c r="AC390" s="215" t="s">
        <v>6111</v>
      </c>
      <c r="AD390" s="217" t="s">
        <v>4402</v>
      </c>
      <c r="AE390" s="207" t="s">
        <v>4405</v>
      </c>
      <c r="AF390" s="218">
        <v>31898.38</v>
      </c>
      <c r="AG390" s="218">
        <v>60000</v>
      </c>
      <c r="AH390" s="207" t="s">
        <v>4433</v>
      </c>
      <c r="AI390" s="214" t="s">
        <v>4411</v>
      </c>
      <c r="AJ390" s="207">
        <v>163067583</v>
      </c>
      <c r="AK390" s="316">
        <v>46253</v>
      </c>
      <c r="AL390" s="316">
        <v>46253</v>
      </c>
      <c r="AM390" s="316">
        <v>46253</v>
      </c>
      <c r="AN390" s="316">
        <v>46253</v>
      </c>
      <c r="AO390" s="316"/>
      <c r="AP390" s="316"/>
      <c r="AQ390" s="314"/>
      <c r="AR390" s="315" t="str">
        <f t="shared" ref="AR390:AR453" si="28">IF(AQ390="SIM","AGUARDANDO CORREÇÃO",IF(AP390&lt;&gt;"","FINALIZADO",IF(AO390&lt;&gt;"","AGUARDANDO ENVIO DTS",IF(AN390&lt;&gt;"","AGUARDANDO ASSINATURA GAB",IF(AM390&lt;&gt;"","AGUARDANDO ASSINATURA CTS",IF(AL390&lt;&gt;"","AGUARDANDO ENVIO ASSINATURA CTS",IF(AK390&lt;&gt;"","AGUARDANDO CONFERÊNCIA","")))))))</f>
        <v>AGUARDANDO ASSINATURA GAB</v>
      </c>
      <c r="AS390" s="207" t="s">
        <v>4447</v>
      </c>
      <c r="AT390" s="207" t="s">
        <v>6112</v>
      </c>
      <c r="AU390" s="220"/>
      <c r="AV390" s="207"/>
      <c r="AW390" s="207"/>
      <c r="AX390" s="207"/>
      <c r="AY390" s="19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ref="BH390:BH453" si="29">IFERROR(IF(BD390-KI390=0,"",BD390-AK390),"")</f>
        <v/>
      </c>
      <c r="BI390" s="98" t="str">
        <f t="shared" ref="BI390:BI453" si="30">IF(AND(AH390&lt;&gt;"SIM",AH390="UH"),"AA","INDENIZAÇÃO")</f>
        <v>INDENIZAÇÃO</v>
      </c>
      <c r="BJ390" s="98" t="str">
        <f t="shared" ref="BJ390:BJ453" si="31">IF(AND(BD390&lt;&gt;"AGUARDANDO",BD390&lt;&gt;"",N390="AUXÍLIO ALUGUEL ATÉ INDENIZAÇÃO"),"SIM","NÃO")</f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0" s="240" customFormat="1" ht="27" hidden="1" customHeight="1">
      <c r="A391" s="207">
        <v>387</v>
      </c>
      <c r="B391" s="197" t="s">
        <v>4396</v>
      </c>
      <c r="C391" s="207" t="s">
        <v>4427</v>
      </c>
      <c r="D391" s="207">
        <v>1</v>
      </c>
      <c r="E391" s="250" t="s">
        <v>4398</v>
      </c>
      <c r="F391" s="214" t="s">
        <v>6113</v>
      </c>
      <c r="G391" s="207" t="s">
        <v>4400</v>
      </c>
      <c r="H391" s="207" t="s">
        <v>4401</v>
      </c>
      <c r="I391" s="217" t="s">
        <v>4402</v>
      </c>
      <c r="J391" s="215" t="s">
        <v>6114</v>
      </c>
      <c r="K391" s="215" t="s">
        <v>6115</v>
      </c>
      <c r="L391" s="215" t="s">
        <v>6116</v>
      </c>
      <c r="M391" s="207" t="s">
        <v>4405</v>
      </c>
      <c r="N391" s="207" t="s">
        <v>4442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Z391" s="207"/>
      <c r="AA391" s="215" t="s">
        <v>6114</v>
      </c>
      <c r="AB391" s="215" t="s">
        <v>6115</v>
      </c>
      <c r="AC391" s="215" t="s">
        <v>6116</v>
      </c>
      <c r="AD391" s="217" t="s">
        <v>6117</v>
      </c>
      <c r="AE391" s="207" t="s">
        <v>4405</v>
      </c>
      <c r="AF391" s="218">
        <v>29342.82</v>
      </c>
      <c r="AG391" s="218">
        <v>59342.82</v>
      </c>
      <c r="AH391" s="207" t="s">
        <v>4422</v>
      </c>
      <c r="AI391" s="214" t="s">
        <v>4411</v>
      </c>
      <c r="AJ391" s="207">
        <v>160441925</v>
      </c>
      <c r="AK391" s="316" t="s">
        <v>6118</v>
      </c>
      <c r="AL391" s="316" t="s">
        <v>6118</v>
      </c>
      <c r="AM391" s="316" t="s">
        <v>6118</v>
      </c>
      <c r="AN391" s="316" t="s">
        <v>6118</v>
      </c>
      <c r="AO391" s="316" t="s">
        <v>6118</v>
      </c>
      <c r="AP391" s="316" t="s">
        <v>6118</v>
      </c>
      <c r="AQ391" s="314"/>
      <c r="AR391" s="315" t="str">
        <f t="shared" si="28"/>
        <v>FINALIZADO</v>
      </c>
      <c r="AS391" s="207" t="s">
        <v>4423</v>
      </c>
      <c r="AT391" s="207"/>
      <c r="AU391" s="220" t="s">
        <v>4435</v>
      </c>
      <c r="AV391" s="219" t="s">
        <v>5487</v>
      </c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9"/>
        <v/>
      </c>
      <c r="BI391" s="98" t="str">
        <f t="shared" si="30"/>
        <v>INDENIZAÇÃO</v>
      </c>
      <c r="BJ391" s="98" t="str">
        <f t="shared" si="31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0" s="240" customFormat="1" ht="27" hidden="1" customHeight="1">
      <c r="A392" s="207">
        <v>388</v>
      </c>
      <c r="B392" s="197" t="s">
        <v>4396</v>
      </c>
      <c r="C392" s="207" t="s">
        <v>4427</v>
      </c>
      <c r="D392" s="207">
        <v>1</v>
      </c>
      <c r="E392" s="250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4440</v>
      </c>
      <c r="L392" s="215" t="s">
        <v>6121</v>
      </c>
      <c r="M392" s="207" t="s">
        <v>4405</v>
      </c>
      <c r="N392" s="207" t="s">
        <v>4442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Z392" s="207"/>
      <c r="AA392" s="215" t="s">
        <v>6120</v>
      </c>
      <c r="AB392" s="215" t="s">
        <v>4440</v>
      </c>
      <c r="AC392" s="215" t="s">
        <v>6121</v>
      </c>
      <c r="AD392" s="217" t="s">
        <v>6117</v>
      </c>
      <c r="AE392" s="207" t="s">
        <v>5045</v>
      </c>
      <c r="AF392" s="218">
        <v>18978.2</v>
      </c>
      <c r="AG392" s="218">
        <v>48978.2</v>
      </c>
      <c r="AH392" s="207" t="s">
        <v>4422</v>
      </c>
      <c r="AI392" s="214" t="s">
        <v>4411</v>
      </c>
      <c r="AJ392" s="207">
        <v>160442023</v>
      </c>
      <c r="AK392" s="316" t="s">
        <v>6118</v>
      </c>
      <c r="AL392" s="316" t="s">
        <v>6118</v>
      </c>
      <c r="AM392" s="316" t="s">
        <v>6118</v>
      </c>
      <c r="AN392" s="316" t="s">
        <v>6118</v>
      </c>
      <c r="AO392" s="316" t="s">
        <v>6118</v>
      </c>
      <c r="AP392" s="316" t="s">
        <v>6118</v>
      </c>
      <c r="AQ392" s="314"/>
      <c r="AR392" s="315" t="str">
        <f t="shared" si="28"/>
        <v>FINALIZADO</v>
      </c>
      <c r="AS392" s="207" t="s">
        <v>4423</v>
      </c>
      <c r="AT392" s="207"/>
      <c r="AU392" s="220" t="s">
        <v>4435</v>
      </c>
      <c r="AV392" s="219" t="s">
        <v>5487</v>
      </c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si="29"/>
        <v/>
      </c>
      <c r="BI392" s="98" t="str">
        <f t="shared" si="30"/>
        <v>INDENIZAÇÃO</v>
      </c>
      <c r="BJ392" s="98" t="str">
        <f t="shared" si="31"/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0" s="240" customFormat="1" ht="27" hidden="1" customHeight="1">
      <c r="A393" s="207">
        <v>389</v>
      </c>
      <c r="B393" s="197" t="s">
        <v>4396</v>
      </c>
      <c r="C393" s="207" t="s">
        <v>4427</v>
      </c>
      <c r="D393" s="207">
        <v>1</v>
      </c>
      <c r="E393" s="207" t="s">
        <v>4398</v>
      </c>
      <c r="F393" s="214" t="s">
        <v>6122</v>
      </c>
      <c r="G393" s="207" t="s">
        <v>4400</v>
      </c>
      <c r="H393" s="207" t="s">
        <v>4401</v>
      </c>
      <c r="I393" s="217" t="s">
        <v>4402</v>
      </c>
      <c r="J393" s="215" t="s">
        <v>6123</v>
      </c>
      <c r="K393" s="215" t="s">
        <v>6124</v>
      </c>
      <c r="L393" s="215" t="s">
        <v>6125</v>
      </c>
      <c r="M393" s="207" t="s">
        <v>4405</v>
      </c>
      <c r="N393" s="207" t="s">
        <v>4406</v>
      </c>
      <c r="O393" s="202">
        <v>46084</v>
      </c>
      <c r="P393" s="202" t="s">
        <v>4407</v>
      </c>
      <c r="Q393" s="202">
        <v>46083</v>
      </c>
      <c r="R393" s="203">
        <v>46084</v>
      </c>
      <c r="S393" s="203">
        <v>46087</v>
      </c>
      <c r="T393" s="203">
        <v>46090</v>
      </c>
      <c r="U393" s="202" t="s">
        <v>4408</v>
      </c>
      <c r="V393" s="202" t="s">
        <v>4408</v>
      </c>
      <c r="W393" s="202">
        <v>46101</v>
      </c>
      <c r="X393" s="202" t="s">
        <v>4440</v>
      </c>
      <c r="Y393" s="202"/>
      <c r="Z393" s="217" t="s">
        <v>5871</v>
      </c>
      <c r="AA393" s="215" t="s">
        <v>6123</v>
      </c>
      <c r="AB393" s="215" t="s">
        <v>6124</v>
      </c>
      <c r="AC393" s="215" t="s">
        <v>6125</v>
      </c>
      <c r="AD393" s="207" t="s">
        <v>4402</v>
      </c>
      <c r="AE393" s="207" t="s">
        <v>4405</v>
      </c>
      <c r="AF393" s="218" t="s">
        <v>4409</v>
      </c>
      <c r="AG393" s="218" t="s">
        <v>4409</v>
      </c>
      <c r="AH393" s="207" t="s">
        <v>4410</v>
      </c>
      <c r="AI393" s="214" t="s">
        <v>4411</v>
      </c>
      <c r="AJ393" s="207"/>
      <c r="AK393" s="316"/>
      <c r="AL393" s="316"/>
      <c r="AM393" s="316"/>
      <c r="AN393" s="316"/>
      <c r="AO393" s="316"/>
      <c r="AP393" s="316"/>
      <c r="AQ393" s="314"/>
      <c r="AR393" s="315" t="str">
        <f t="shared" si="28"/>
        <v/>
      </c>
      <c r="AS393" s="207"/>
      <c r="AT393" s="207"/>
      <c r="AU393" s="220"/>
      <c r="AV393" s="207"/>
      <c r="AW393" s="207"/>
      <c r="AX393" s="207"/>
      <c r="AY393" s="278"/>
      <c r="AZ393" s="227"/>
      <c r="BA393" s="219"/>
      <c r="BB393" s="228"/>
      <c r="BC393" s="228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AA</v>
      </c>
      <c r="BJ393" s="98" t="str">
        <f t="shared" si="31"/>
        <v>NÃO</v>
      </c>
      <c r="BK393" s="230"/>
      <c r="BL393" s="230"/>
      <c r="BM393" s="230"/>
      <c r="BN393" s="230"/>
      <c r="BO393" s="230"/>
      <c r="BP393" s="230"/>
      <c r="BQ393" s="230"/>
      <c r="BR393" s="234"/>
    </row>
    <row r="394" spans="1:70" s="240" customFormat="1" ht="27" hidden="1" customHeight="1">
      <c r="A394" s="197">
        <v>390</v>
      </c>
      <c r="B394" s="197" t="s">
        <v>4396</v>
      </c>
      <c r="C394" s="207" t="s">
        <v>4427</v>
      </c>
      <c r="D394" s="207">
        <v>1</v>
      </c>
      <c r="E394" s="207" t="s">
        <v>4398</v>
      </c>
      <c r="F394" s="214" t="s">
        <v>6126</v>
      </c>
      <c r="G394" s="207" t="s">
        <v>4400</v>
      </c>
      <c r="H394" s="207" t="s">
        <v>4401</v>
      </c>
      <c r="I394" s="217" t="s">
        <v>4402</v>
      </c>
      <c r="J394" s="215" t="s">
        <v>6127</v>
      </c>
      <c r="K394" s="215" t="s">
        <v>6128</v>
      </c>
      <c r="L394" s="215" t="s">
        <v>6129</v>
      </c>
      <c r="M394" s="207" t="s">
        <v>4405</v>
      </c>
      <c r="N394" s="207" t="s">
        <v>4442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6127</v>
      </c>
      <c r="AB394" s="215" t="s">
        <v>6128</v>
      </c>
      <c r="AC394" s="215" t="s">
        <v>6129</v>
      </c>
      <c r="AD394" s="207" t="s">
        <v>4402</v>
      </c>
      <c r="AE394" s="207" t="s">
        <v>4405</v>
      </c>
      <c r="AF394" s="218"/>
      <c r="AG394" s="218"/>
      <c r="AH394" s="207"/>
      <c r="AI394" s="214" t="s">
        <v>4411</v>
      </c>
      <c r="AJ394" s="207"/>
      <c r="AK394" s="316">
        <v>45996</v>
      </c>
      <c r="AL394" s="316">
        <v>45996</v>
      </c>
      <c r="AM394" s="316">
        <v>45996</v>
      </c>
      <c r="AN394" s="316">
        <v>45996</v>
      </c>
      <c r="AO394" s="316">
        <v>45996</v>
      </c>
      <c r="AP394" s="316">
        <v>45996</v>
      </c>
      <c r="AQ394" s="314"/>
      <c r="AR394" s="315" t="str">
        <f t="shared" si="28"/>
        <v>FINALIZADO</v>
      </c>
      <c r="AS394" s="207"/>
      <c r="AT394" s="207"/>
      <c r="AU394" s="220"/>
      <c r="AV394" s="207"/>
      <c r="AW394" s="207"/>
      <c r="AX394" s="207"/>
      <c r="AY394" s="207"/>
      <c r="AZ394" s="202"/>
      <c r="BA394" s="219"/>
      <c r="BB394" s="207"/>
      <c r="BC394" s="202"/>
      <c r="BD394" s="208"/>
      <c r="BE394" s="202"/>
      <c r="BF394" s="207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30"/>
      <c r="BO394" s="230"/>
      <c r="BP394" s="230"/>
      <c r="BQ394" s="230"/>
      <c r="BR394" s="234"/>
    </row>
    <row r="395" spans="1:70" s="240" customFormat="1" ht="27" hidden="1" customHeight="1">
      <c r="A395" s="197">
        <v>391</v>
      </c>
      <c r="B395" s="197" t="s">
        <v>4396</v>
      </c>
      <c r="C395" s="207" t="s">
        <v>4427</v>
      </c>
      <c r="D395" s="207">
        <v>1</v>
      </c>
      <c r="E395" s="207" t="s">
        <v>4398</v>
      </c>
      <c r="F395" s="214" t="s">
        <v>6130</v>
      </c>
      <c r="G395" s="207" t="s">
        <v>4546</v>
      </c>
      <c r="H395" s="207" t="s">
        <v>4546</v>
      </c>
      <c r="I395" s="233" t="s">
        <v>4421</v>
      </c>
      <c r="J395" s="215" t="s">
        <v>6131</v>
      </c>
      <c r="K395" s="215" t="s">
        <v>4398</v>
      </c>
      <c r="L395" s="215" t="s">
        <v>6132</v>
      </c>
      <c r="M395" s="207" t="s">
        <v>4405</v>
      </c>
      <c r="N395" s="207" t="s">
        <v>4442</v>
      </c>
      <c r="O395" s="202" t="s">
        <v>4409</v>
      </c>
      <c r="P395" s="202" t="s">
        <v>4409</v>
      </c>
      <c r="Q395" s="202" t="s">
        <v>4409</v>
      </c>
      <c r="R395" s="202" t="s">
        <v>4409</v>
      </c>
      <c r="S395" s="202" t="s">
        <v>4409</v>
      </c>
      <c r="T395" s="202" t="s">
        <v>4409</v>
      </c>
      <c r="U395" s="202" t="s">
        <v>4409</v>
      </c>
      <c r="V395" s="202" t="s">
        <v>4409</v>
      </c>
      <c r="W395" s="202" t="s">
        <v>4409</v>
      </c>
      <c r="X395" s="202" t="s">
        <v>4409</v>
      </c>
      <c r="Y395" s="202"/>
      <c r="Z395" s="202"/>
      <c r="AA395" s="215" t="s">
        <v>6131</v>
      </c>
      <c r="AB395" s="215" t="s">
        <v>4398</v>
      </c>
      <c r="AC395" s="215" t="s">
        <v>6132</v>
      </c>
      <c r="AD395" s="233" t="s">
        <v>4421</v>
      </c>
      <c r="AE395" s="207" t="s">
        <v>4405</v>
      </c>
      <c r="AF395" s="218"/>
      <c r="AG395" s="218"/>
      <c r="AH395" s="207"/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07"/>
      <c r="AZ395" s="202"/>
      <c r="BA395" s="219"/>
      <c r="BB395" s="207"/>
      <c r="BC395" s="202"/>
      <c r="BD395" s="208"/>
      <c r="BE395" s="202"/>
      <c r="BF395" s="207"/>
      <c r="BG395" s="229"/>
      <c r="BH395" s="321" t="str">
        <f t="shared" si="29"/>
        <v/>
      </c>
      <c r="BI395" s="98" t="str">
        <f t="shared" si="30"/>
        <v>INDENIZAÇÃO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0" s="240" customFormat="1" ht="27" hidden="1" customHeight="1">
      <c r="A396" s="207">
        <v>392</v>
      </c>
      <c r="B396" s="197" t="s">
        <v>4396</v>
      </c>
      <c r="C396" s="207" t="s">
        <v>4427</v>
      </c>
      <c r="D396" s="207">
        <v>1</v>
      </c>
      <c r="E396" s="207" t="s">
        <v>4398</v>
      </c>
      <c r="F396" s="214" t="s">
        <v>6133</v>
      </c>
      <c r="G396" s="207" t="s">
        <v>4400</v>
      </c>
      <c r="H396" s="207" t="s">
        <v>4401</v>
      </c>
      <c r="I396" s="249" t="s">
        <v>4414</v>
      </c>
      <c r="J396" s="215" t="s">
        <v>6134</v>
      </c>
      <c r="K396" s="215" t="s">
        <v>6135</v>
      </c>
      <c r="L396" s="215" t="s">
        <v>6136</v>
      </c>
      <c r="M396" s="207" t="s">
        <v>4405</v>
      </c>
      <c r="N396" s="207" t="s">
        <v>4406</v>
      </c>
      <c r="O396" s="202">
        <v>46002</v>
      </c>
      <c r="P396" s="202" t="s">
        <v>4407</v>
      </c>
      <c r="Q396" s="202">
        <v>45999</v>
      </c>
      <c r="R396" s="202">
        <v>46006</v>
      </c>
      <c r="S396" s="202">
        <v>46006</v>
      </c>
      <c r="T396" s="202">
        <v>46009</v>
      </c>
      <c r="U396" s="202" t="s">
        <v>4408</v>
      </c>
      <c r="V396" s="202" t="s">
        <v>4408</v>
      </c>
      <c r="W396" s="202">
        <v>46014</v>
      </c>
      <c r="X396" s="280" t="s">
        <v>4440</v>
      </c>
      <c r="Y396" s="202"/>
      <c r="Z396" s="217" t="s">
        <v>6137</v>
      </c>
      <c r="AA396" s="215" t="s">
        <v>6138</v>
      </c>
      <c r="AB396" s="215" t="s">
        <v>4440</v>
      </c>
      <c r="AC396" s="215" t="s">
        <v>4440</v>
      </c>
      <c r="AD396" s="217" t="s">
        <v>4421</v>
      </c>
      <c r="AE396" s="207" t="s">
        <v>6139</v>
      </c>
      <c r="AF396" s="218" t="s">
        <v>4409</v>
      </c>
      <c r="AG396" s="218" t="s">
        <v>4409</v>
      </c>
      <c r="AH396" s="207" t="s">
        <v>6140</v>
      </c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0" s="240" customFormat="1" ht="27" hidden="1" customHeight="1">
      <c r="A397" s="207">
        <v>393</v>
      </c>
      <c r="B397" s="197" t="s">
        <v>4396</v>
      </c>
      <c r="C397" s="207" t="s">
        <v>4427</v>
      </c>
      <c r="D397" s="207">
        <v>1</v>
      </c>
      <c r="E397" s="207" t="s">
        <v>4398</v>
      </c>
      <c r="F397" s="214" t="s">
        <v>6141</v>
      </c>
      <c r="G397" s="207" t="s">
        <v>4400</v>
      </c>
      <c r="H397" s="207" t="s">
        <v>4401</v>
      </c>
      <c r="I397" s="217" t="s">
        <v>4402</v>
      </c>
      <c r="J397" s="215" t="s">
        <v>6142</v>
      </c>
      <c r="K397" s="215">
        <v>33837673</v>
      </c>
      <c r="L397" s="215" t="s">
        <v>6143</v>
      </c>
      <c r="M397" s="207" t="s">
        <v>4405</v>
      </c>
      <c r="N397" s="207" t="s">
        <v>4442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7"/>
      <c r="AA397" s="215" t="s">
        <v>6142</v>
      </c>
      <c r="AB397" s="215">
        <v>33837673</v>
      </c>
      <c r="AC397" s="215" t="s">
        <v>6143</v>
      </c>
      <c r="AD397" s="207" t="s">
        <v>4402</v>
      </c>
      <c r="AE397" s="207" t="s">
        <v>4405</v>
      </c>
      <c r="AF397" s="218">
        <v>68165.39</v>
      </c>
      <c r="AG397" s="218">
        <v>68165.39</v>
      </c>
      <c r="AH397" s="207" t="s">
        <v>4433</v>
      </c>
      <c r="AI397" s="214" t="s">
        <v>4411</v>
      </c>
      <c r="AJ397" s="207">
        <v>147057729</v>
      </c>
      <c r="AK397" s="316">
        <v>45996</v>
      </c>
      <c r="AL397" s="316">
        <v>45996</v>
      </c>
      <c r="AM397" s="316">
        <v>45996</v>
      </c>
      <c r="AN397" s="316">
        <v>45996</v>
      </c>
      <c r="AO397" s="316">
        <v>45996</v>
      </c>
      <c r="AP397" s="316">
        <v>45996</v>
      </c>
      <c r="AQ397" s="314"/>
      <c r="AR397" s="315" t="str">
        <f t="shared" si="28"/>
        <v>FINALIZADO</v>
      </c>
      <c r="AS397" s="207" t="s">
        <v>4423</v>
      </c>
      <c r="AT397" s="207"/>
      <c r="AU397" s="220" t="s">
        <v>6144</v>
      </c>
      <c r="AV397" s="160" t="s">
        <v>4425</v>
      </c>
      <c r="AW397" s="207" t="s">
        <v>4425</v>
      </c>
      <c r="AX397" s="207" t="s">
        <v>4425</v>
      </c>
      <c r="AY397" s="207" t="s">
        <v>4425</v>
      </c>
      <c r="AZ397" s="202">
        <v>46009</v>
      </c>
      <c r="BA397" s="219" t="s">
        <v>4425</v>
      </c>
      <c r="BB397" s="207" t="s">
        <v>4425</v>
      </c>
      <c r="BC397" s="239">
        <v>46021</v>
      </c>
      <c r="BD397" s="227">
        <v>46021</v>
      </c>
      <c r="BE397" s="227" t="s">
        <v>4435</v>
      </c>
      <c r="BF397" s="228" t="s">
        <v>4436</v>
      </c>
      <c r="BG397" s="229" t="s">
        <v>4425</v>
      </c>
      <c r="BH397" s="321">
        <f t="shared" si="29"/>
        <v>25</v>
      </c>
      <c r="BI397" s="98" t="str">
        <f t="shared" si="30"/>
        <v>INDENIZAÇÃO</v>
      </c>
      <c r="BJ397" s="98" t="str">
        <f t="shared" si="31"/>
        <v>NÃO</v>
      </c>
      <c r="BK397" s="230" t="s">
        <v>4437</v>
      </c>
      <c r="BL397" s="230" t="s">
        <v>4437</v>
      </c>
      <c r="BM397" s="230" t="s">
        <v>4437</v>
      </c>
      <c r="BN397" s="207" t="s">
        <v>4425</v>
      </c>
      <c r="BO397" s="207" t="s">
        <v>4425</v>
      </c>
      <c r="BP397" s="202">
        <v>46205</v>
      </c>
      <c r="BQ397" s="207" t="s">
        <v>4425</v>
      </c>
      <c r="BR397" s="232" t="s">
        <v>4435</v>
      </c>
    </row>
    <row r="398" spans="1:70" s="240" customFormat="1" ht="27" hidden="1" customHeight="1">
      <c r="A398" s="207">
        <v>394</v>
      </c>
      <c r="B398" s="197" t="s">
        <v>4396</v>
      </c>
      <c r="C398" s="207" t="s">
        <v>4427</v>
      </c>
      <c r="D398" s="207">
        <v>1</v>
      </c>
      <c r="E398" s="207" t="s">
        <v>4398</v>
      </c>
      <c r="F398" s="214" t="s">
        <v>6145</v>
      </c>
      <c r="G398" s="207" t="s">
        <v>4400</v>
      </c>
      <c r="H398" s="207" t="s">
        <v>4401</v>
      </c>
      <c r="I398" s="217" t="s">
        <v>4402</v>
      </c>
      <c r="J398" s="215" t="s">
        <v>6146</v>
      </c>
      <c r="K398" s="215" t="s">
        <v>6147</v>
      </c>
      <c r="L398" s="215" t="s">
        <v>6148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02">
        <v>46059</v>
      </c>
      <c r="Y398" s="202"/>
      <c r="Z398" s="207"/>
      <c r="AA398" s="215" t="s">
        <v>6146</v>
      </c>
      <c r="AB398" s="215" t="s">
        <v>6147</v>
      </c>
      <c r="AC398" s="215" t="s">
        <v>6148</v>
      </c>
      <c r="AD398" s="217" t="s">
        <v>4402</v>
      </c>
      <c r="AE398" s="207" t="s">
        <v>4405</v>
      </c>
      <c r="AF398" s="218" t="s">
        <v>4409</v>
      </c>
      <c r="AG398" s="218" t="s">
        <v>4409</v>
      </c>
      <c r="AH398" s="207" t="s">
        <v>4410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AA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0" s="240" customFormat="1" ht="27" hidden="1" customHeight="1">
      <c r="A399" s="197">
        <v>395</v>
      </c>
      <c r="B399" s="197" t="s">
        <v>4396</v>
      </c>
      <c r="C399" s="207" t="s">
        <v>4427</v>
      </c>
      <c r="D399" s="207">
        <v>1</v>
      </c>
      <c r="E399" s="207" t="s">
        <v>4398</v>
      </c>
      <c r="F399" s="214" t="s">
        <v>6149</v>
      </c>
      <c r="G399" s="207" t="s">
        <v>4400</v>
      </c>
      <c r="H399" s="207" t="s">
        <v>4401</v>
      </c>
      <c r="I399" s="217" t="s">
        <v>4402</v>
      </c>
      <c r="J399" s="215" t="s">
        <v>6150</v>
      </c>
      <c r="K399" s="215" t="s">
        <v>6151</v>
      </c>
      <c r="L399" s="215" t="s">
        <v>6152</v>
      </c>
      <c r="M399" s="207" t="s">
        <v>4405</v>
      </c>
      <c r="N399" s="207" t="s">
        <v>4406</v>
      </c>
      <c r="O399" s="202">
        <v>46002</v>
      </c>
      <c r="P399" s="202" t="s">
        <v>4407</v>
      </c>
      <c r="Q399" s="202">
        <v>45999</v>
      </c>
      <c r="R399" s="202">
        <v>46006</v>
      </c>
      <c r="S399" s="202">
        <v>46006</v>
      </c>
      <c r="T399" s="202">
        <v>46009</v>
      </c>
      <c r="U399" s="202" t="s">
        <v>4408</v>
      </c>
      <c r="V399" s="202" t="s">
        <v>4408</v>
      </c>
      <c r="W399" s="202">
        <v>46014</v>
      </c>
      <c r="X399" s="202">
        <v>46017</v>
      </c>
      <c r="Y399" s="202"/>
      <c r="Z399" s="207"/>
      <c r="AA399" s="215" t="s">
        <v>6150</v>
      </c>
      <c r="AB399" s="215" t="s">
        <v>6151</v>
      </c>
      <c r="AC399" s="215" t="s">
        <v>6152</v>
      </c>
      <c r="AD399" s="207" t="s">
        <v>4402</v>
      </c>
      <c r="AE399" s="207" t="s">
        <v>4405</v>
      </c>
      <c r="AF399" s="218" t="s">
        <v>4409</v>
      </c>
      <c r="AG399" s="218" t="s">
        <v>4409</v>
      </c>
      <c r="AH399" s="207" t="s">
        <v>4410</v>
      </c>
      <c r="AI399" s="214" t="s">
        <v>4411</v>
      </c>
      <c r="AJ399" s="207"/>
      <c r="AK399" s="316">
        <v>45980</v>
      </c>
      <c r="AL399" s="316">
        <v>45980</v>
      </c>
      <c r="AM399" s="316">
        <v>45980</v>
      </c>
      <c r="AN399" s="316">
        <v>45980</v>
      </c>
      <c r="AO399" s="316">
        <v>45980</v>
      </c>
      <c r="AP399" s="316">
        <v>45980</v>
      </c>
      <c r="AQ399" s="314"/>
      <c r="AR399" s="315" t="str">
        <f t="shared" si="28"/>
        <v>FINALIZADO</v>
      </c>
      <c r="AS399" s="207"/>
      <c r="AT399" s="207"/>
      <c r="AU399" s="220"/>
      <c r="AV399" s="207"/>
      <c r="AW399" s="207"/>
      <c r="AX399" s="207"/>
      <c r="AY399" s="207"/>
      <c r="AZ399" s="202"/>
      <c r="BA399" s="219"/>
      <c r="BB399" s="207"/>
      <c r="BC399" s="202"/>
      <c r="BD399" s="208"/>
      <c r="BE399" s="202"/>
      <c r="BF399" s="207"/>
      <c r="BG399" s="229"/>
      <c r="BH399" s="321" t="str">
        <f t="shared" si="29"/>
        <v/>
      </c>
      <c r="BI399" s="98" t="str">
        <f t="shared" si="30"/>
        <v>AA</v>
      </c>
      <c r="BJ399" s="98" t="str">
        <f t="shared" si="31"/>
        <v>NÃO</v>
      </c>
      <c r="BK399" s="230"/>
      <c r="BL399" s="230"/>
      <c r="BM399" s="230"/>
      <c r="BN399" s="230"/>
      <c r="BO399" s="230"/>
      <c r="BP399" s="230"/>
      <c r="BQ399" s="230"/>
      <c r="BR399" s="234"/>
    </row>
    <row r="400" spans="1:70" s="240" customFormat="1" ht="27" hidden="1" customHeight="1">
      <c r="A400" s="197">
        <v>396</v>
      </c>
      <c r="B400" s="197" t="s">
        <v>4396</v>
      </c>
      <c r="C400" s="207" t="s">
        <v>4427</v>
      </c>
      <c r="D400" s="207">
        <v>1</v>
      </c>
      <c r="E400" s="207" t="s">
        <v>4398</v>
      </c>
      <c r="F400" s="214" t="s">
        <v>6153</v>
      </c>
      <c r="G400" s="207" t="s">
        <v>4400</v>
      </c>
      <c r="H400" s="207" t="s">
        <v>4401</v>
      </c>
      <c r="I400" s="217" t="s">
        <v>4402</v>
      </c>
      <c r="J400" s="215" t="s">
        <v>6154</v>
      </c>
      <c r="K400" s="215" t="s">
        <v>4440</v>
      </c>
      <c r="L400" s="215" t="s">
        <v>6155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46017</v>
      </c>
      <c r="Y400" s="202"/>
      <c r="Z400" s="207"/>
      <c r="AA400" s="215" t="s">
        <v>6156</v>
      </c>
      <c r="AB400" s="215" t="s">
        <v>4440</v>
      </c>
      <c r="AC400" s="215" t="s">
        <v>6155</v>
      </c>
      <c r="AD400" s="20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45980</v>
      </c>
      <c r="AL400" s="316">
        <v>45980</v>
      </c>
      <c r="AM400" s="316">
        <v>45980</v>
      </c>
      <c r="AN400" s="316">
        <v>45980</v>
      </c>
      <c r="AO400" s="316">
        <v>45980</v>
      </c>
      <c r="AP400" s="316">
        <v>45980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207">
        <v>397</v>
      </c>
      <c r="B401" s="197" t="s">
        <v>4396</v>
      </c>
      <c r="C401" s="207" t="s">
        <v>4427</v>
      </c>
      <c r="D401" s="207">
        <v>1</v>
      </c>
      <c r="E401" s="207" t="s">
        <v>4398</v>
      </c>
      <c r="F401" s="214" t="s">
        <v>6157</v>
      </c>
      <c r="G401" s="207" t="s">
        <v>4400</v>
      </c>
      <c r="H401" s="207" t="s">
        <v>4401</v>
      </c>
      <c r="I401" s="217" t="s">
        <v>4402</v>
      </c>
      <c r="J401" s="215" t="s">
        <v>6158</v>
      </c>
      <c r="K401" s="215" t="s">
        <v>6159</v>
      </c>
      <c r="L401" s="215" t="s">
        <v>6160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6158</v>
      </c>
      <c r="AB401" s="215" t="s">
        <v>6159</v>
      </c>
      <c r="AC401" s="215" t="s">
        <v>6160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207">
        <v>398</v>
      </c>
      <c r="B402" s="197" t="s">
        <v>4396</v>
      </c>
      <c r="C402" s="207" t="s">
        <v>4427</v>
      </c>
      <c r="D402" s="207">
        <v>1</v>
      </c>
      <c r="E402" s="207" t="s">
        <v>4398</v>
      </c>
      <c r="F402" s="214" t="s">
        <v>6161</v>
      </c>
      <c r="G402" s="207" t="s">
        <v>4400</v>
      </c>
      <c r="H402" s="207" t="s">
        <v>4401</v>
      </c>
      <c r="I402" s="217" t="s">
        <v>4402</v>
      </c>
      <c r="J402" s="215" t="s">
        <v>6162</v>
      </c>
      <c r="K402" s="215" t="s">
        <v>4440</v>
      </c>
      <c r="L402" s="215" t="s">
        <v>6163</v>
      </c>
      <c r="M402" s="207" t="s">
        <v>4405</v>
      </c>
      <c r="N402" s="207" t="s">
        <v>4406</v>
      </c>
      <c r="O402" s="203">
        <v>46031</v>
      </c>
      <c r="P402" s="202" t="s">
        <v>4407</v>
      </c>
      <c r="Q402" s="203">
        <v>46030</v>
      </c>
      <c r="R402" s="203">
        <v>46031</v>
      </c>
      <c r="S402" s="203">
        <v>46036</v>
      </c>
      <c r="T402" s="203">
        <v>46045</v>
      </c>
      <c r="U402" s="203" t="s">
        <v>4408</v>
      </c>
      <c r="V402" s="203" t="s">
        <v>4408</v>
      </c>
      <c r="W402" s="202">
        <v>46055</v>
      </c>
      <c r="X402" s="202">
        <v>46056</v>
      </c>
      <c r="Y402" s="202"/>
      <c r="Z402" s="207"/>
      <c r="AA402" s="215" t="s">
        <v>6162</v>
      </c>
      <c r="AB402" s="215" t="s">
        <v>4440</v>
      </c>
      <c r="AC402" s="215" t="s">
        <v>6163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/>
      <c r="AL402" s="316"/>
      <c r="AM402" s="316"/>
      <c r="AN402" s="316"/>
      <c r="AO402" s="316"/>
      <c r="AP402" s="316"/>
      <c r="AQ402" s="314"/>
      <c r="AR402" s="315" t="str">
        <f t="shared" si="28"/>
        <v/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customHeight="1">
      <c r="A403" s="207">
        <v>399</v>
      </c>
      <c r="B403" s="197" t="s">
        <v>4396</v>
      </c>
      <c r="C403" s="207" t="s">
        <v>4413</v>
      </c>
      <c r="D403" s="207">
        <v>1</v>
      </c>
      <c r="E403" s="207" t="s">
        <v>4398</v>
      </c>
      <c r="F403" s="214" t="s">
        <v>6164</v>
      </c>
      <c r="G403" s="207" t="s">
        <v>4400</v>
      </c>
      <c r="H403" s="207" t="s">
        <v>4401</v>
      </c>
      <c r="I403" s="207" t="s">
        <v>4402</v>
      </c>
      <c r="J403" s="215" t="s">
        <v>6165</v>
      </c>
      <c r="K403" s="215" t="s">
        <v>6166</v>
      </c>
      <c r="L403" s="215" t="s">
        <v>6167</v>
      </c>
      <c r="M403" s="207" t="s">
        <v>4405</v>
      </c>
      <c r="N403" s="207" t="s">
        <v>4406</v>
      </c>
      <c r="O403" s="203">
        <v>46090</v>
      </c>
      <c r="P403" s="203" t="s">
        <v>4407</v>
      </c>
      <c r="Q403" s="202">
        <v>46090</v>
      </c>
      <c r="R403" s="202">
        <v>46099</v>
      </c>
      <c r="S403" s="202">
        <v>46101</v>
      </c>
      <c r="T403" s="202">
        <v>46118</v>
      </c>
      <c r="U403" s="202" t="s">
        <v>4408</v>
      </c>
      <c r="V403" s="202" t="s">
        <v>4408</v>
      </c>
      <c r="W403" s="202">
        <v>46118</v>
      </c>
      <c r="X403" s="202">
        <v>46126</v>
      </c>
      <c r="Y403" s="202"/>
      <c r="Z403" s="202"/>
      <c r="AA403" s="215" t="s">
        <v>6165</v>
      </c>
      <c r="AB403" s="215" t="s">
        <v>6166</v>
      </c>
      <c r="AC403" s="215" t="s">
        <v>6167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46086</v>
      </c>
      <c r="AL403" s="316">
        <v>46086</v>
      </c>
      <c r="AM403" s="316">
        <v>46086</v>
      </c>
      <c r="AN403" s="316">
        <v>46086</v>
      </c>
      <c r="AO403" s="316">
        <v>46086</v>
      </c>
      <c r="AP403" s="316">
        <v>46086</v>
      </c>
      <c r="AQ403" s="314"/>
      <c r="AR403" s="315" t="str">
        <f t="shared" si="28"/>
        <v>FINALIZADO</v>
      </c>
      <c r="AS403" s="207"/>
      <c r="AT403" s="219"/>
      <c r="AU403" s="220"/>
      <c r="AV403" s="219"/>
      <c r="AW403" s="219"/>
      <c r="AX403" s="219"/>
      <c r="AY403" s="219"/>
      <c r="AZ403" s="219"/>
      <c r="BA403" s="219"/>
      <c r="BB403" s="219"/>
      <c r="BC403" s="219"/>
      <c r="BD403" s="208"/>
      <c r="BE403" s="203"/>
      <c r="BF403" s="219"/>
      <c r="BG403" s="21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19"/>
      <c r="BL403" s="221"/>
      <c r="BM403" s="221"/>
      <c r="BN403" s="219"/>
      <c r="BO403" s="219"/>
      <c r="BP403" s="219"/>
      <c r="BQ403" s="219"/>
      <c r="BR403" s="222"/>
    </row>
    <row r="404" spans="1:112" s="240" customFormat="1" ht="27" hidden="1" customHeight="1">
      <c r="A404" s="197">
        <v>400</v>
      </c>
      <c r="B404" s="197" t="s">
        <v>4396</v>
      </c>
      <c r="C404" s="207" t="s">
        <v>4427</v>
      </c>
      <c r="D404" s="207">
        <v>1</v>
      </c>
      <c r="E404" s="207" t="s">
        <v>4398</v>
      </c>
      <c r="F404" s="214" t="s">
        <v>6164</v>
      </c>
      <c r="G404" s="207" t="s">
        <v>4400</v>
      </c>
      <c r="H404" s="207" t="s">
        <v>4401</v>
      </c>
      <c r="I404" s="217" t="s">
        <v>4402</v>
      </c>
      <c r="J404" s="215" t="s">
        <v>6168</v>
      </c>
      <c r="K404" s="215" t="s">
        <v>6169</v>
      </c>
      <c r="L404" s="215" t="s">
        <v>6170</v>
      </c>
      <c r="M404" s="207" t="s">
        <v>4405</v>
      </c>
      <c r="N404" s="207" t="s">
        <v>4442</v>
      </c>
      <c r="O404" s="202" t="s">
        <v>4409</v>
      </c>
      <c r="P404" s="202" t="s">
        <v>4409</v>
      </c>
      <c r="Q404" s="202" t="s">
        <v>4409</v>
      </c>
      <c r="R404" s="202" t="s">
        <v>4409</v>
      </c>
      <c r="S404" s="202" t="s">
        <v>4409</v>
      </c>
      <c r="T404" s="202" t="s">
        <v>4409</v>
      </c>
      <c r="U404" s="202" t="s">
        <v>4409</v>
      </c>
      <c r="V404" s="202" t="s">
        <v>4409</v>
      </c>
      <c r="W404" s="202" t="s">
        <v>4409</v>
      </c>
      <c r="X404" s="202" t="s">
        <v>4409</v>
      </c>
      <c r="Y404" s="202"/>
      <c r="Z404" s="207"/>
      <c r="AA404" s="215" t="s">
        <v>6168</v>
      </c>
      <c r="AB404" s="215" t="s">
        <v>6169</v>
      </c>
      <c r="AC404" s="215" t="s">
        <v>6170</v>
      </c>
      <c r="AD404" s="207" t="s">
        <v>4402</v>
      </c>
      <c r="AE404" s="207" t="s">
        <v>4405</v>
      </c>
      <c r="AF404" s="218">
        <v>71123.05</v>
      </c>
      <c r="AG404" s="218">
        <v>71123.05</v>
      </c>
      <c r="AH404" s="207" t="s">
        <v>4422</v>
      </c>
      <c r="AI404" s="214" t="s">
        <v>4411</v>
      </c>
      <c r="AJ404" s="207">
        <v>154685258</v>
      </c>
      <c r="AK404" s="316">
        <v>46160</v>
      </c>
      <c r="AL404" s="316">
        <v>46160</v>
      </c>
      <c r="AM404" s="316">
        <v>46160</v>
      </c>
      <c r="AN404" s="316">
        <v>46160</v>
      </c>
      <c r="AO404" s="316">
        <v>46160</v>
      </c>
      <c r="AP404" s="316">
        <v>46160</v>
      </c>
      <c r="AQ404" s="314"/>
      <c r="AR404" s="315" t="str">
        <f t="shared" si="28"/>
        <v>FINALIZADO</v>
      </c>
      <c r="AS404" s="207" t="s">
        <v>4423</v>
      </c>
      <c r="AT404" s="262"/>
      <c r="AU404" s="220" t="s">
        <v>6171</v>
      </c>
      <c r="AV404" s="250" t="s">
        <v>4425</v>
      </c>
      <c r="AW404" s="207" t="s">
        <v>4425</v>
      </c>
      <c r="AX404" s="219" t="s">
        <v>4425</v>
      </c>
      <c r="AY404" s="219" t="s">
        <v>4425</v>
      </c>
      <c r="AZ404" s="202">
        <v>46226</v>
      </c>
      <c r="BA404" s="219" t="s">
        <v>4425</v>
      </c>
      <c r="BB404" s="219" t="s">
        <v>4425</v>
      </c>
      <c r="BC404" s="202">
        <v>46233</v>
      </c>
      <c r="BD404" s="226">
        <v>46232</v>
      </c>
      <c r="BE404" s="257" t="s">
        <v>4435</v>
      </c>
      <c r="BF404" s="257" t="s">
        <v>4436</v>
      </c>
      <c r="BG404" s="219" t="s">
        <v>4425</v>
      </c>
      <c r="BH404" s="321">
        <f t="shared" si="29"/>
        <v>72</v>
      </c>
      <c r="BI404" s="98" t="str">
        <f t="shared" si="30"/>
        <v>INDENIZAÇÃO</v>
      </c>
      <c r="BJ404" s="98" t="str">
        <f t="shared" si="31"/>
        <v>NÃO</v>
      </c>
      <c r="BK404" s="219" t="s">
        <v>4437</v>
      </c>
      <c r="BL404" s="219" t="s">
        <v>4437</v>
      </c>
      <c r="BM404" s="219" t="s">
        <v>4437</v>
      </c>
      <c r="BN404" s="257" t="s">
        <v>5732</v>
      </c>
      <c r="BO404" s="257"/>
      <c r="BP404" s="257"/>
      <c r="BQ404" s="257"/>
      <c r="BR404" s="258"/>
      <c r="BS404" s="223"/>
      <c r="BW404" s="161"/>
      <c r="BX404" s="161"/>
      <c r="BY404" s="161"/>
      <c r="BZ404" s="161"/>
      <c r="CA404" s="161"/>
      <c r="CB404" s="161"/>
      <c r="CC404" s="161"/>
      <c r="CD404" s="161"/>
      <c r="CE404" s="161"/>
      <c r="CF404" s="161"/>
      <c r="CG404" s="161"/>
      <c r="CH404" s="161"/>
      <c r="CI404" s="161"/>
      <c r="CJ404" s="161"/>
      <c r="CK404" s="161"/>
      <c r="CL404" s="161"/>
      <c r="CM404" s="161"/>
      <c r="CN404" s="161"/>
      <c r="CO404" s="161"/>
      <c r="CP404" s="161"/>
      <c r="CQ404" s="161"/>
      <c r="CR404" s="161"/>
      <c r="CS404" s="161"/>
      <c r="CT404" s="161"/>
      <c r="CU404" s="161"/>
      <c r="CV404" s="161"/>
      <c r="CW404" s="161"/>
      <c r="CX404" s="161"/>
      <c r="CY404" s="161"/>
      <c r="CZ404" s="161"/>
      <c r="DA404" s="161"/>
      <c r="DB404" s="161"/>
      <c r="DC404" s="161"/>
      <c r="DD404" s="161"/>
      <c r="DE404" s="161"/>
      <c r="DF404" s="161"/>
      <c r="DG404" s="161"/>
      <c r="DH404" s="161"/>
    </row>
    <row r="405" spans="1:112" s="240" customFormat="1" ht="27" customHeight="1">
      <c r="A405" s="197">
        <v>401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6172</v>
      </c>
      <c r="G405" s="207" t="s">
        <v>4400</v>
      </c>
      <c r="H405" s="207" t="s">
        <v>4428</v>
      </c>
      <c r="I405" s="207" t="s">
        <v>4421</v>
      </c>
      <c r="J405" s="215" t="s">
        <v>6173</v>
      </c>
      <c r="K405" s="215" t="s">
        <v>6174</v>
      </c>
      <c r="L405" s="215" t="s">
        <v>6175</v>
      </c>
      <c r="M405" s="207" t="s">
        <v>4405</v>
      </c>
      <c r="N405" s="207" t="s">
        <v>4432</v>
      </c>
      <c r="O405" s="202" t="s">
        <v>4409</v>
      </c>
      <c r="P405" s="202" t="s">
        <v>4409</v>
      </c>
      <c r="Q405" s="202" t="s">
        <v>4409</v>
      </c>
      <c r="R405" s="202" t="s">
        <v>4409</v>
      </c>
      <c r="S405" s="202" t="s">
        <v>4409</v>
      </c>
      <c r="T405" s="202" t="s">
        <v>4409</v>
      </c>
      <c r="U405" s="202" t="s">
        <v>4409</v>
      </c>
      <c r="V405" s="202" t="s">
        <v>4409</v>
      </c>
      <c r="W405" s="202" t="s">
        <v>4409</v>
      </c>
      <c r="X405" s="202" t="s">
        <v>4409</v>
      </c>
      <c r="Y405" s="202"/>
      <c r="Z405" s="202"/>
      <c r="AA405" s="215" t="s">
        <v>6176</v>
      </c>
      <c r="AB405" s="215" t="s">
        <v>6174</v>
      </c>
      <c r="AC405" s="215" t="s">
        <v>6175</v>
      </c>
      <c r="AD405" s="207" t="s">
        <v>4421</v>
      </c>
      <c r="AE405" s="207" t="s">
        <v>4405</v>
      </c>
      <c r="AF405" s="218">
        <v>53425.95</v>
      </c>
      <c r="AG405" s="218">
        <v>60000</v>
      </c>
      <c r="AH405" s="207" t="s">
        <v>4422</v>
      </c>
      <c r="AI405" s="214" t="s">
        <v>4411</v>
      </c>
      <c r="AJ405" s="207">
        <v>158037398</v>
      </c>
      <c r="AK405" s="316">
        <v>46188</v>
      </c>
      <c r="AL405" s="316">
        <v>46188</v>
      </c>
      <c r="AM405" s="316">
        <v>46188</v>
      </c>
      <c r="AN405" s="316">
        <v>46188</v>
      </c>
      <c r="AO405" s="316">
        <v>46188</v>
      </c>
      <c r="AP405" s="316">
        <v>46188</v>
      </c>
      <c r="AQ405" s="314"/>
      <c r="AR405" s="315" t="str">
        <f t="shared" si="28"/>
        <v>FINALIZADO</v>
      </c>
      <c r="AS405" s="207" t="s">
        <v>4423</v>
      </c>
      <c r="AT405" s="219"/>
      <c r="AU405" s="220" t="s">
        <v>6177</v>
      </c>
      <c r="AV405" s="197" t="s">
        <v>4818</v>
      </c>
      <c r="AW405" s="207" t="s">
        <v>4818</v>
      </c>
      <c r="AX405" s="207" t="s">
        <v>4818</v>
      </c>
      <c r="AY405" s="207" t="s">
        <v>4818</v>
      </c>
      <c r="AZ405" s="202">
        <v>46233</v>
      </c>
      <c r="BA405" s="207" t="s">
        <v>4818</v>
      </c>
      <c r="BB405" s="207" t="s">
        <v>4818</v>
      </c>
      <c r="BC405" s="202">
        <v>46237</v>
      </c>
      <c r="BD405" s="226">
        <v>46237</v>
      </c>
      <c r="BE405" s="257" t="s">
        <v>4435</v>
      </c>
      <c r="BF405" s="257" t="s">
        <v>4436</v>
      </c>
      <c r="BG405" s="219" t="s">
        <v>4425</v>
      </c>
      <c r="BH405" s="321">
        <f t="shared" si="29"/>
        <v>49</v>
      </c>
      <c r="BI405" s="98" t="str">
        <f t="shared" si="30"/>
        <v>INDENIZAÇÃO</v>
      </c>
      <c r="BJ405" s="98" t="str">
        <f t="shared" si="31"/>
        <v>NÃO</v>
      </c>
      <c r="BK405" s="219" t="s">
        <v>4437</v>
      </c>
      <c r="BL405" s="219" t="s">
        <v>4437</v>
      </c>
      <c r="BM405" s="219" t="s">
        <v>4437</v>
      </c>
      <c r="BN405" s="257" t="s">
        <v>5732</v>
      </c>
      <c r="BO405" s="257"/>
      <c r="BP405" s="257"/>
      <c r="BQ405" s="257"/>
      <c r="BR405" s="258"/>
      <c r="BS405" s="223"/>
      <c r="BT405" s="161"/>
      <c r="BU405" s="161"/>
      <c r="BV405" s="161"/>
      <c r="BW405" s="161"/>
      <c r="BX405" s="161"/>
      <c r="BY405" s="161"/>
      <c r="BZ405" s="161"/>
      <c r="CA405" s="161"/>
      <c r="CB405" s="161"/>
      <c r="CC405" s="161"/>
      <c r="CD405" s="161"/>
      <c r="CE405" s="161"/>
      <c r="CF405" s="161"/>
      <c r="CG405" s="161"/>
      <c r="CH405" s="161"/>
      <c r="CI405" s="161"/>
      <c r="CJ405" s="161"/>
      <c r="CK405" s="161"/>
      <c r="CL405" s="161"/>
      <c r="CM405" s="161"/>
      <c r="CN405" s="161"/>
      <c r="CO405" s="161"/>
      <c r="CP405" s="161"/>
      <c r="CQ405" s="161"/>
      <c r="CR405" s="161"/>
      <c r="CS405" s="161"/>
      <c r="CT405" s="161"/>
      <c r="CU405" s="161"/>
      <c r="CV405" s="161"/>
      <c r="CW405" s="161"/>
      <c r="CX405" s="161"/>
      <c r="CY405" s="161"/>
      <c r="CZ405" s="161"/>
      <c r="DA405" s="161"/>
      <c r="DB405" s="161"/>
      <c r="DC405" s="161"/>
      <c r="DD405" s="161"/>
      <c r="DE405" s="161"/>
      <c r="DF405" s="161"/>
      <c r="DG405" s="161"/>
      <c r="DH405" s="161"/>
    </row>
    <row r="406" spans="1:112" s="240" customFormat="1" ht="27" customHeight="1">
      <c r="A406" s="207">
        <v>402</v>
      </c>
      <c r="B406" s="197" t="s">
        <v>4396</v>
      </c>
      <c r="C406" s="207" t="s">
        <v>4413</v>
      </c>
      <c r="D406" s="207">
        <v>1</v>
      </c>
      <c r="E406" s="207" t="s">
        <v>4398</v>
      </c>
      <c r="F406" s="214" t="s">
        <v>6178</v>
      </c>
      <c r="G406" s="207" t="s">
        <v>4400</v>
      </c>
      <c r="H406" s="207" t="s">
        <v>4401</v>
      </c>
      <c r="I406" s="20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4406</v>
      </c>
      <c r="O406" s="202">
        <v>46084</v>
      </c>
      <c r="P406" s="202" t="s">
        <v>4407</v>
      </c>
      <c r="Q406" s="202">
        <v>46083</v>
      </c>
      <c r="R406" s="203">
        <v>46084</v>
      </c>
      <c r="S406" s="203">
        <v>46087</v>
      </c>
      <c r="T406" s="203">
        <v>46090</v>
      </c>
      <c r="U406" s="202" t="s">
        <v>4408</v>
      </c>
      <c r="V406" s="202" t="s">
        <v>4408</v>
      </c>
      <c r="W406" s="202">
        <v>46101</v>
      </c>
      <c r="X406" s="202">
        <v>46101</v>
      </c>
      <c r="Y406" s="202"/>
      <c r="Z406" s="202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 t="s">
        <v>4409</v>
      </c>
      <c r="AG406" s="218" t="s">
        <v>4409</v>
      </c>
      <c r="AH406" s="207" t="s">
        <v>4410</v>
      </c>
      <c r="AI406" s="214" t="s">
        <v>4411</v>
      </c>
      <c r="AJ406" s="207"/>
      <c r="AK406" s="316">
        <v>46080</v>
      </c>
      <c r="AL406" s="316">
        <v>46080</v>
      </c>
      <c r="AM406" s="316">
        <v>46080</v>
      </c>
      <c r="AN406" s="316">
        <v>46080</v>
      </c>
      <c r="AO406" s="316">
        <v>46080</v>
      </c>
      <c r="AP406" s="316">
        <v>46080</v>
      </c>
      <c r="AQ406" s="314"/>
      <c r="AR406" s="315" t="str">
        <f t="shared" si="28"/>
        <v>FINALIZADO</v>
      </c>
      <c r="AS406" s="207"/>
      <c r="AT406" s="219"/>
      <c r="AU406" s="220"/>
      <c r="AV406" s="219"/>
      <c r="AW406" s="219"/>
      <c r="AX406" s="219"/>
      <c r="AY406" s="219"/>
      <c r="AZ406" s="219"/>
      <c r="BA406" s="219"/>
      <c r="BB406" s="219"/>
      <c r="BC406" s="219"/>
      <c r="BD406" s="208"/>
      <c r="BE406" s="203"/>
      <c r="BF406" s="219"/>
      <c r="BG406" s="219"/>
      <c r="BH406" s="321" t="str">
        <f t="shared" si="29"/>
        <v/>
      </c>
      <c r="BI406" s="98" t="str">
        <f t="shared" si="30"/>
        <v>AA</v>
      </c>
      <c r="BJ406" s="98" t="str">
        <f t="shared" si="31"/>
        <v>NÃO</v>
      </c>
      <c r="BK406" s="219"/>
      <c r="BL406" s="221"/>
      <c r="BM406" s="221"/>
      <c r="BN406" s="219"/>
      <c r="BO406" s="219"/>
      <c r="BP406" s="219"/>
      <c r="BQ406" s="219"/>
      <c r="BR406" s="222"/>
    </row>
    <row r="407" spans="1:112" s="240" customFormat="1" ht="27" customHeight="1">
      <c r="A407" s="207">
        <v>403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6182</v>
      </c>
      <c r="G407" s="207" t="s">
        <v>4400</v>
      </c>
      <c r="H407" s="207" t="s">
        <v>4401</v>
      </c>
      <c r="I407" s="207" t="s">
        <v>4402</v>
      </c>
      <c r="J407" s="215" t="s">
        <v>6183</v>
      </c>
      <c r="K407" s="215" t="s">
        <v>6184</v>
      </c>
      <c r="L407" s="215" t="s">
        <v>6185</v>
      </c>
      <c r="M407" s="207" t="s">
        <v>4405</v>
      </c>
      <c r="N407" s="207" t="s">
        <v>4406</v>
      </c>
      <c r="O407" s="202">
        <v>46084</v>
      </c>
      <c r="P407" s="202" t="s">
        <v>4407</v>
      </c>
      <c r="Q407" s="202">
        <v>46083</v>
      </c>
      <c r="R407" s="203">
        <v>46084</v>
      </c>
      <c r="S407" s="203">
        <v>46087</v>
      </c>
      <c r="T407" s="203">
        <v>46090</v>
      </c>
      <c r="U407" s="202" t="s">
        <v>4408</v>
      </c>
      <c r="V407" s="202" t="s">
        <v>4408</v>
      </c>
      <c r="W407" s="202">
        <v>46101</v>
      </c>
      <c r="X407" s="202">
        <v>46101</v>
      </c>
      <c r="Y407" s="202"/>
      <c r="Z407" s="202"/>
      <c r="AA407" s="215" t="s">
        <v>6183</v>
      </c>
      <c r="AB407" s="215" t="s">
        <v>6184</v>
      </c>
      <c r="AC407" s="215" t="s">
        <v>6185</v>
      </c>
      <c r="AD407" s="217" t="s">
        <v>4402</v>
      </c>
      <c r="AE407" s="207" t="s">
        <v>4405</v>
      </c>
      <c r="AF407" s="218" t="s">
        <v>4409</v>
      </c>
      <c r="AG407" s="218" t="s">
        <v>4409</v>
      </c>
      <c r="AH407" s="207" t="s">
        <v>4410</v>
      </c>
      <c r="AI407" s="214" t="s">
        <v>4411</v>
      </c>
      <c r="AJ407" s="207"/>
      <c r="AK407" s="316">
        <v>46080</v>
      </c>
      <c r="AL407" s="316">
        <v>46080</v>
      </c>
      <c r="AM407" s="316">
        <v>46080</v>
      </c>
      <c r="AN407" s="316">
        <v>46080</v>
      </c>
      <c r="AO407" s="316">
        <v>46080</v>
      </c>
      <c r="AP407" s="316">
        <v>46080</v>
      </c>
      <c r="AQ407" s="314"/>
      <c r="AR407" s="315" t="str">
        <f t="shared" si="28"/>
        <v>FINALIZADO</v>
      </c>
      <c r="AS407" s="207"/>
      <c r="AT407" s="219"/>
      <c r="AU407" s="220"/>
      <c r="AV407" s="161"/>
      <c r="AW407" s="219"/>
      <c r="AX407" s="219"/>
      <c r="AY407" s="161"/>
      <c r="AZ407" s="161"/>
      <c r="BA407" s="219"/>
      <c r="BB407" s="219"/>
      <c r="BC407" s="219"/>
      <c r="BD407" s="208"/>
      <c r="BE407" s="203"/>
      <c r="BF407" s="219"/>
      <c r="BG407" s="219"/>
      <c r="BH407" s="321" t="str">
        <f t="shared" si="29"/>
        <v/>
      </c>
      <c r="BI407" s="98" t="str">
        <f t="shared" si="30"/>
        <v>AA</v>
      </c>
      <c r="BJ407" s="98" t="str">
        <f t="shared" si="31"/>
        <v>NÃO</v>
      </c>
      <c r="BK407" s="219"/>
      <c r="BL407" s="221"/>
      <c r="BM407" s="221"/>
      <c r="BN407" s="219"/>
      <c r="BO407" s="219"/>
      <c r="BP407" s="219"/>
      <c r="BQ407" s="219"/>
      <c r="BR407" s="222"/>
    </row>
    <row r="408" spans="1:112" s="240" customFormat="1" ht="27" hidden="1" customHeight="1">
      <c r="A408" s="207">
        <v>404</v>
      </c>
      <c r="B408" s="197" t="s">
        <v>4396</v>
      </c>
      <c r="C408" s="207" t="s">
        <v>4427</v>
      </c>
      <c r="D408" s="207">
        <v>1</v>
      </c>
      <c r="E408" s="207" t="s">
        <v>4398</v>
      </c>
      <c r="F408" s="214" t="s">
        <v>6186</v>
      </c>
      <c r="G408" s="207" t="s">
        <v>4400</v>
      </c>
      <c r="H408" s="207" t="s">
        <v>4583</v>
      </c>
      <c r="I408" s="217" t="s">
        <v>4402</v>
      </c>
      <c r="J408" s="215" t="s">
        <v>6187</v>
      </c>
      <c r="K408" s="215" t="s">
        <v>6188</v>
      </c>
      <c r="L408" s="215" t="s">
        <v>6189</v>
      </c>
      <c r="M408" s="207" t="s">
        <v>4405</v>
      </c>
      <c r="N408" s="207" t="s">
        <v>4442</v>
      </c>
      <c r="O408" s="202" t="s">
        <v>4409</v>
      </c>
      <c r="P408" s="202" t="s">
        <v>4409</v>
      </c>
      <c r="Q408" s="202" t="s">
        <v>4409</v>
      </c>
      <c r="R408" s="202" t="s">
        <v>4409</v>
      </c>
      <c r="S408" s="202" t="s">
        <v>4409</v>
      </c>
      <c r="T408" s="202" t="s">
        <v>4409</v>
      </c>
      <c r="U408" s="202" t="s">
        <v>4409</v>
      </c>
      <c r="V408" s="202" t="s">
        <v>4409</v>
      </c>
      <c r="W408" s="202" t="s">
        <v>4409</v>
      </c>
      <c r="X408" s="202" t="s">
        <v>4409</v>
      </c>
      <c r="Y408" s="202"/>
      <c r="Z408" s="207"/>
      <c r="AA408" s="215" t="s">
        <v>6187</v>
      </c>
      <c r="AB408" s="215" t="s">
        <v>6188</v>
      </c>
      <c r="AC408" s="215" t="s">
        <v>6189</v>
      </c>
      <c r="AD408" s="207" t="s">
        <v>4402</v>
      </c>
      <c r="AE408" s="219" t="s">
        <v>4405</v>
      </c>
      <c r="AF408" s="218">
        <v>103783.01</v>
      </c>
      <c r="AG408" s="218">
        <v>103783.01</v>
      </c>
      <c r="AH408" s="207" t="s">
        <v>4433</v>
      </c>
      <c r="AI408" s="214" t="s">
        <v>4411</v>
      </c>
      <c r="AJ408" s="207">
        <v>148265385</v>
      </c>
      <c r="AK408" s="316">
        <v>46045</v>
      </c>
      <c r="AL408" s="316">
        <v>46045</v>
      </c>
      <c r="AM408" s="316">
        <v>46045</v>
      </c>
      <c r="AN408" s="316">
        <v>46045</v>
      </c>
      <c r="AO408" s="316">
        <v>46045</v>
      </c>
      <c r="AP408" s="316">
        <v>46045</v>
      </c>
      <c r="AQ408" s="314"/>
      <c r="AR408" s="315" t="str">
        <f t="shared" si="28"/>
        <v>FINALIZADO</v>
      </c>
      <c r="AS408" s="207" t="s">
        <v>4423</v>
      </c>
      <c r="AT408" s="207"/>
      <c r="AU408" s="220" t="s">
        <v>6190</v>
      </c>
      <c r="AV408" s="207" t="s">
        <v>4425</v>
      </c>
      <c r="AW408" s="207" t="s">
        <v>4425</v>
      </c>
      <c r="AX408" s="207" t="s">
        <v>4425</v>
      </c>
      <c r="AY408" s="207" t="s">
        <v>4425</v>
      </c>
      <c r="AZ408" s="202">
        <v>46125</v>
      </c>
      <c r="BA408" s="207" t="s">
        <v>4425</v>
      </c>
      <c r="BB408" s="207" t="s">
        <v>4425</v>
      </c>
      <c r="BC408" s="202">
        <v>46140</v>
      </c>
      <c r="BD408" s="227">
        <v>46140</v>
      </c>
      <c r="BE408" s="227" t="s">
        <v>4435</v>
      </c>
      <c r="BF408" s="228" t="s">
        <v>4436</v>
      </c>
      <c r="BG408" s="229" t="s">
        <v>4425</v>
      </c>
      <c r="BH408" s="321">
        <f t="shared" si="29"/>
        <v>95</v>
      </c>
      <c r="BI408" s="98" t="str">
        <f t="shared" si="30"/>
        <v>INDENIZAÇÃO</v>
      </c>
      <c r="BJ408" s="98" t="str">
        <f t="shared" si="31"/>
        <v>NÃO</v>
      </c>
      <c r="BK408" s="219" t="s">
        <v>4437</v>
      </c>
      <c r="BL408" s="219" t="s">
        <v>4437</v>
      </c>
      <c r="BM408" s="219" t="s">
        <v>4437</v>
      </c>
      <c r="BN408" s="257" t="s">
        <v>5732</v>
      </c>
      <c r="BO408" s="257"/>
      <c r="BP408" s="257"/>
      <c r="BQ408" s="257"/>
      <c r="BR408" s="258"/>
    </row>
    <row r="409" spans="1:112" s="240" customFormat="1" ht="27" customHeight="1">
      <c r="A409" s="197">
        <v>405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6186</v>
      </c>
      <c r="G409" s="207" t="s">
        <v>4400</v>
      </c>
      <c r="H409" s="207" t="s">
        <v>4401</v>
      </c>
      <c r="I409" s="207" t="s">
        <v>4402</v>
      </c>
      <c r="J409" s="215" t="s">
        <v>6191</v>
      </c>
      <c r="K409" s="215" t="s">
        <v>6192</v>
      </c>
      <c r="L409" s="215" t="s">
        <v>6193</v>
      </c>
      <c r="M409" s="207" t="s">
        <v>4405</v>
      </c>
      <c r="N409" s="207" t="s">
        <v>4442</v>
      </c>
      <c r="O409" s="202" t="s">
        <v>4409</v>
      </c>
      <c r="P409" s="202" t="s">
        <v>4409</v>
      </c>
      <c r="Q409" s="202" t="s">
        <v>4409</v>
      </c>
      <c r="R409" s="202" t="s">
        <v>4409</v>
      </c>
      <c r="S409" s="202" t="s">
        <v>4409</v>
      </c>
      <c r="T409" s="202" t="s">
        <v>4409</v>
      </c>
      <c r="U409" s="202" t="s">
        <v>4409</v>
      </c>
      <c r="V409" s="202" t="s">
        <v>4409</v>
      </c>
      <c r="W409" s="202" t="s">
        <v>4409</v>
      </c>
      <c r="X409" s="202" t="s">
        <v>4409</v>
      </c>
      <c r="Y409" s="202"/>
      <c r="Z409" s="219"/>
      <c r="AA409" s="215" t="s">
        <v>6191</v>
      </c>
      <c r="AB409" s="215" t="s">
        <v>6192</v>
      </c>
      <c r="AC409" s="215" t="s">
        <v>6193</v>
      </c>
      <c r="AD409" s="207" t="s">
        <v>4402</v>
      </c>
      <c r="AE409" s="207" t="s">
        <v>4405</v>
      </c>
      <c r="AF409" s="218">
        <v>56907.78</v>
      </c>
      <c r="AG409" s="218">
        <v>60000</v>
      </c>
      <c r="AH409" s="207" t="s">
        <v>4433</v>
      </c>
      <c r="AI409" s="214" t="s">
        <v>4411</v>
      </c>
      <c r="AJ409" s="207">
        <v>153002371</v>
      </c>
      <c r="AK409" s="316">
        <v>46129</v>
      </c>
      <c r="AL409" s="316">
        <v>46129</v>
      </c>
      <c r="AM409" s="316">
        <v>46129</v>
      </c>
      <c r="AN409" s="316">
        <v>46129</v>
      </c>
      <c r="AO409" s="316">
        <v>46129</v>
      </c>
      <c r="AP409" s="316">
        <v>46129</v>
      </c>
      <c r="AQ409" s="314"/>
      <c r="AR409" s="315" t="str">
        <f t="shared" si="28"/>
        <v>FINALIZADO</v>
      </c>
      <c r="AS409" s="207" t="s">
        <v>4423</v>
      </c>
      <c r="AT409" s="219"/>
      <c r="AU409" s="220" t="s">
        <v>6194</v>
      </c>
      <c r="AV409" s="262" t="s">
        <v>4818</v>
      </c>
      <c r="AW409" s="262" t="s">
        <v>4818</v>
      </c>
      <c r="AX409" s="262" t="s">
        <v>4818</v>
      </c>
      <c r="AY409" s="262" t="s">
        <v>4818</v>
      </c>
      <c r="AZ409" s="202">
        <v>46247</v>
      </c>
      <c r="BA409" s="207" t="s">
        <v>4425</v>
      </c>
      <c r="BB409" s="207" t="s">
        <v>4425</v>
      </c>
      <c r="BC409" s="202">
        <v>46267</v>
      </c>
      <c r="BD409" s="264">
        <v>46267</v>
      </c>
      <c r="BE409" s="226" t="s">
        <v>4435</v>
      </c>
      <c r="BF409" s="228" t="s">
        <v>4436</v>
      </c>
      <c r="BG409" s="219" t="s">
        <v>4425</v>
      </c>
      <c r="BH409" s="321">
        <f t="shared" si="29"/>
        <v>138</v>
      </c>
      <c r="BI409" s="98" t="str">
        <f t="shared" si="30"/>
        <v>INDENIZAÇÃO</v>
      </c>
      <c r="BJ409" s="98" t="str">
        <f t="shared" si="31"/>
        <v>NÃO</v>
      </c>
      <c r="BK409" s="219" t="s">
        <v>4437</v>
      </c>
      <c r="BL409" s="219" t="s">
        <v>4437</v>
      </c>
      <c r="BM409" s="219" t="s">
        <v>4437</v>
      </c>
      <c r="BN409" s="257" t="s">
        <v>5732</v>
      </c>
      <c r="BO409" s="257"/>
      <c r="BP409" s="257"/>
      <c r="BQ409" s="257"/>
      <c r="BR409" s="258"/>
      <c r="BS409" s="161"/>
      <c r="BT409" s="161"/>
      <c r="BU409" s="161"/>
    </row>
    <row r="410" spans="1:112" s="240" customFormat="1" ht="27" hidden="1" customHeight="1">
      <c r="A410" s="197">
        <v>406</v>
      </c>
      <c r="B410" s="197" t="s">
        <v>4396</v>
      </c>
      <c r="C410" s="207" t="s">
        <v>4427</v>
      </c>
      <c r="D410" s="207">
        <v>1</v>
      </c>
      <c r="E410" s="207" t="s">
        <v>4398</v>
      </c>
      <c r="F410" s="214" t="s">
        <v>6195</v>
      </c>
      <c r="G410" s="207" t="s">
        <v>4400</v>
      </c>
      <c r="H410" s="207" t="s">
        <v>4401</v>
      </c>
      <c r="I410" s="217" t="s">
        <v>4922</v>
      </c>
      <c r="J410" s="215" t="s">
        <v>6196</v>
      </c>
      <c r="K410" s="215"/>
      <c r="L410" s="215" t="s">
        <v>6197</v>
      </c>
      <c r="M410" s="207" t="s">
        <v>4405</v>
      </c>
      <c r="N410" s="207" t="s">
        <v>4406</v>
      </c>
      <c r="O410" s="202">
        <v>46176</v>
      </c>
      <c r="P410" s="202" t="s">
        <v>4407</v>
      </c>
      <c r="Q410" s="202">
        <v>46174</v>
      </c>
      <c r="R410" s="202">
        <v>46176</v>
      </c>
      <c r="S410" s="202">
        <v>46202</v>
      </c>
      <c r="T410" s="202">
        <v>46204</v>
      </c>
      <c r="U410" s="203" t="s">
        <v>4408</v>
      </c>
      <c r="V410" s="203" t="s">
        <v>4408</v>
      </c>
      <c r="W410" s="202">
        <v>46223</v>
      </c>
      <c r="X410" s="202"/>
      <c r="Y410" s="203"/>
      <c r="Z410" s="233"/>
      <c r="AA410" s="215" t="s">
        <v>6198</v>
      </c>
      <c r="AB410" s="215" t="s">
        <v>4440</v>
      </c>
      <c r="AC410" s="215" t="s">
        <v>6197</v>
      </c>
      <c r="AD410" s="233" t="s">
        <v>4421</v>
      </c>
      <c r="AE410" s="219" t="s">
        <v>4405</v>
      </c>
      <c r="AF410" s="218"/>
      <c r="AG410" s="218"/>
      <c r="AH410" s="207"/>
      <c r="AI410" s="214" t="s">
        <v>4411</v>
      </c>
      <c r="AJ410" s="207"/>
      <c r="AK410" s="317"/>
      <c r="AL410" s="317"/>
      <c r="AM410" s="317"/>
      <c r="AN410" s="317"/>
      <c r="AO410" s="317"/>
      <c r="AP410" s="317"/>
      <c r="AQ410" s="314"/>
      <c r="AR410" s="315" t="str">
        <f t="shared" si="28"/>
        <v/>
      </c>
      <c r="AS410" s="207"/>
      <c r="AT410" s="219"/>
      <c r="AU410" s="220"/>
      <c r="AV410" s="219"/>
      <c r="AW410" s="219"/>
      <c r="AX410" s="219"/>
      <c r="AY410" s="219"/>
      <c r="AZ410" s="219"/>
      <c r="BA410" s="219"/>
      <c r="BB410" s="219"/>
      <c r="BC410" s="219"/>
      <c r="BD410" s="208"/>
      <c r="BE410" s="203"/>
      <c r="BF410" s="219"/>
      <c r="BG410" s="219"/>
      <c r="BH410" s="321" t="str">
        <f t="shared" si="29"/>
        <v/>
      </c>
      <c r="BI410" s="98" t="str">
        <f t="shared" si="30"/>
        <v>INDENIZAÇÃO</v>
      </c>
      <c r="BJ410" s="98" t="str">
        <f t="shared" si="31"/>
        <v>NÃO</v>
      </c>
      <c r="BK410" s="219"/>
      <c r="BL410" s="221"/>
      <c r="BM410" s="221"/>
      <c r="BN410" s="219"/>
      <c r="BO410" s="219"/>
      <c r="BP410" s="219"/>
      <c r="BQ410" s="219"/>
      <c r="BR410" s="222"/>
    </row>
    <row r="411" spans="1:112" s="240" customFormat="1" ht="27" customHeight="1">
      <c r="A411" s="207">
        <v>407</v>
      </c>
      <c r="B411" s="197" t="s">
        <v>4396</v>
      </c>
      <c r="C411" s="207" t="s">
        <v>4413</v>
      </c>
      <c r="D411" s="207">
        <v>1</v>
      </c>
      <c r="E411" s="250" t="s">
        <v>4398</v>
      </c>
      <c r="F411" s="214" t="s">
        <v>6195</v>
      </c>
      <c r="G411" s="207" t="s">
        <v>4400</v>
      </c>
      <c r="H411" s="207" t="s">
        <v>4401</v>
      </c>
      <c r="I411" s="207" t="s">
        <v>4402</v>
      </c>
      <c r="J411" s="215" t="s">
        <v>6199</v>
      </c>
      <c r="K411" s="215" t="s">
        <v>6200</v>
      </c>
      <c r="L411" s="215" t="s">
        <v>6201</v>
      </c>
      <c r="M411" s="207" t="s">
        <v>4405</v>
      </c>
      <c r="N411" s="207" t="s">
        <v>4432</v>
      </c>
      <c r="O411" s="203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3"/>
      <c r="Z411" s="233"/>
      <c r="AA411" s="215" t="s">
        <v>6199</v>
      </c>
      <c r="AB411" s="215" t="s">
        <v>6200</v>
      </c>
      <c r="AC411" s="215" t="s">
        <v>6201</v>
      </c>
      <c r="AD411" s="207" t="s">
        <v>4402</v>
      </c>
      <c r="AE411" s="219" t="s">
        <v>5045</v>
      </c>
      <c r="AF411" s="218">
        <v>21838.720000000001</v>
      </c>
      <c r="AG411" s="218">
        <v>51838.720000000001</v>
      </c>
      <c r="AH411" s="207" t="s">
        <v>4422</v>
      </c>
      <c r="AI411" s="214" t="s">
        <v>4411</v>
      </c>
      <c r="AJ411">
        <v>160470889</v>
      </c>
      <c r="AK411" s="316">
        <v>46206</v>
      </c>
      <c r="AL411" s="316">
        <v>46206</v>
      </c>
      <c r="AM411" s="316">
        <v>46206</v>
      </c>
      <c r="AN411" s="316">
        <v>46206</v>
      </c>
      <c r="AO411" s="316">
        <v>46206</v>
      </c>
      <c r="AP411" s="316">
        <v>46206</v>
      </c>
      <c r="AQ411" s="314"/>
      <c r="AR411" s="315" t="str">
        <f t="shared" si="28"/>
        <v>FINALIZADO</v>
      </c>
      <c r="AS411" s="207" t="s">
        <v>4423</v>
      </c>
      <c r="AT411" s="161"/>
      <c r="AU411" s="220" t="s">
        <v>6202</v>
      </c>
      <c r="AV411" s="219" t="s">
        <v>4425</v>
      </c>
      <c r="AW411" s="219" t="s">
        <v>4425</v>
      </c>
      <c r="AX411" s="257" t="s">
        <v>4828</v>
      </c>
      <c r="AY411" s="257"/>
      <c r="AZ411" s="257"/>
      <c r="BA411" s="257"/>
      <c r="BB411" s="257"/>
      <c r="BC411" s="257"/>
      <c r="BD411" s="226"/>
      <c r="BE411" s="226"/>
      <c r="BF411" s="228" t="s">
        <v>4400</v>
      </c>
      <c r="BG411" s="219"/>
      <c r="BH411" s="321" t="str">
        <f t="shared" si="29"/>
        <v/>
      </c>
      <c r="BI411" s="98" t="str">
        <f t="shared" si="30"/>
        <v>INDENIZAÇÃO</v>
      </c>
      <c r="BJ411" s="98" t="str">
        <f t="shared" si="31"/>
        <v>NÃO</v>
      </c>
      <c r="BK411" s="219"/>
      <c r="BL411" s="221"/>
      <c r="BM411" s="221"/>
      <c r="BN411" s="219"/>
      <c r="BO411" s="219"/>
      <c r="BP411" s="219"/>
      <c r="BQ411" s="219"/>
      <c r="BR411" s="222"/>
      <c r="BS411" s="223"/>
      <c r="BT411" s="223"/>
    </row>
    <row r="412" spans="1:112" s="240" customFormat="1" ht="27" customHeight="1">
      <c r="A412" s="207">
        <v>408</v>
      </c>
      <c r="B412" s="197" t="s">
        <v>4396</v>
      </c>
      <c r="C412" s="207" t="s">
        <v>4413</v>
      </c>
      <c r="D412" s="207">
        <v>1</v>
      </c>
      <c r="E412" s="207" t="s">
        <v>4398</v>
      </c>
      <c r="F412" s="214" t="s">
        <v>6203</v>
      </c>
      <c r="G412" s="207" t="s">
        <v>4400</v>
      </c>
      <c r="H412" s="207" t="s">
        <v>4401</v>
      </c>
      <c r="I412" s="207" t="s">
        <v>4402</v>
      </c>
      <c r="J412" s="215" t="s">
        <v>6204</v>
      </c>
      <c r="K412" s="215"/>
      <c r="L412" s="215" t="s">
        <v>6205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2" t="s">
        <v>4408</v>
      </c>
      <c r="V412" s="202" t="s">
        <v>4408</v>
      </c>
      <c r="W412" s="202">
        <v>46223</v>
      </c>
      <c r="X412" s="202"/>
      <c r="Y412" s="203"/>
      <c r="Z412" s="233"/>
      <c r="AA412" s="215"/>
      <c r="AB412" s="215"/>
      <c r="AC412" s="215"/>
      <c r="AD412" s="207"/>
      <c r="AE412" s="219"/>
      <c r="AF412" s="218"/>
      <c r="AG412" s="218"/>
      <c r="AH412" s="207"/>
      <c r="AI412" s="214" t="s">
        <v>4411</v>
      </c>
      <c r="AJ412" s="207"/>
      <c r="AK412" s="316"/>
      <c r="AL412" s="316"/>
      <c r="AM412" s="316"/>
      <c r="AN412" s="316"/>
      <c r="AO412" s="316"/>
      <c r="AP412" s="316"/>
      <c r="AQ412" s="314"/>
      <c r="AR412" s="315" t="str">
        <f t="shared" si="28"/>
        <v/>
      </c>
      <c r="AS412" s="207"/>
      <c r="AT412" s="161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54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  <c r="BS412" s="223"/>
      <c r="BT412" s="223"/>
    </row>
    <row r="413" spans="1:112" s="240" customFormat="1" ht="27" customHeight="1">
      <c r="A413" s="207">
        <v>409</v>
      </c>
      <c r="B413" s="197" t="s">
        <v>4396</v>
      </c>
      <c r="C413" s="207" t="s">
        <v>4413</v>
      </c>
      <c r="D413" s="207">
        <v>1</v>
      </c>
      <c r="E413" s="207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6207</v>
      </c>
      <c r="K413" s="215" t="s">
        <v>6208</v>
      </c>
      <c r="L413" s="215" t="s">
        <v>6209</v>
      </c>
      <c r="M413" s="207" t="s">
        <v>4405</v>
      </c>
      <c r="N413" s="207" t="s">
        <v>4442</v>
      </c>
      <c r="O413" s="202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2"/>
      <c r="Z413" s="202"/>
      <c r="AA413" s="215" t="s">
        <v>6207</v>
      </c>
      <c r="AB413" s="215" t="s">
        <v>6208</v>
      </c>
      <c r="AC413" s="215" t="s">
        <v>6209</v>
      </c>
      <c r="AD413" s="207" t="s">
        <v>4402</v>
      </c>
      <c r="AE413" s="207" t="s">
        <v>4405</v>
      </c>
      <c r="AF413" s="218">
        <v>15451.91</v>
      </c>
      <c r="AG413" s="218">
        <f>AF413+30000</f>
        <v>45451.91</v>
      </c>
      <c r="AH413" s="207" t="s">
        <v>4422</v>
      </c>
      <c r="AI413" s="214" t="s">
        <v>4411</v>
      </c>
      <c r="AJ413" s="207">
        <v>153977563</v>
      </c>
      <c r="AK413" s="316">
        <v>46129</v>
      </c>
      <c r="AL413" s="316">
        <v>46129</v>
      </c>
      <c r="AM413" s="316">
        <v>46129</v>
      </c>
      <c r="AN413" s="316">
        <v>46129</v>
      </c>
      <c r="AO413" s="316">
        <v>46129</v>
      </c>
      <c r="AP413" s="316">
        <v>46129</v>
      </c>
      <c r="AQ413" s="314"/>
      <c r="AR413" s="315" t="str">
        <f t="shared" si="28"/>
        <v>FINALIZADO</v>
      </c>
      <c r="AS413" s="207" t="s">
        <v>4423</v>
      </c>
      <c r="AT413" s="219"/>
      <c r="AU413" s="220" t="s">
        <v>6210</v>
      </c>
      <c r="AV413" s="207" t="s">
        <v>4425</v>
      </c>
      <c r="AW413" s="207" t="s">
        <v>4425</v>
      </c>
      <c r="AX413" s="219" t="s">
        <v>4425</v>
      </c>
      <c r="AY413" s="219" t="s">
        <v>4425</v>
      </c>
      <c r="AZ413" s="202">
        <v>46226</v>
      </c>
      <c r="BA413" s="219" t="s">
        <v>4425</v>
      </c>
      <c r="BB413" s="219" t="s">
        <v>4425</v>
      </c>
      <c r="BC413" s="202">
        <v>46232</v>
      </c>
      <c r="BD413" s="226">
        <v>46232</v>
      </c>
      <c r="BE413" s="257" t="s">
        <v>4435</v>
      </c>
      <c r="BF413" s="257" t="s">
        <v>4436</v>
      </c>
      <c r="BG413" s="219" t="s">
        <v>4425</v>
      </c>
      <c r="BH413" s="321">
        <f t="shared" si="29"/>
        <v>103</v>
      </c>
      <c r="BI413" s="98" t="str">
        <f t="shared" si="30"/>
        <v>INDENIZAÇÃO</v>
      </c>
      <c r="BJ413" s="98" t="str">
        <f t="shared" si="31"/>
        <v>NÃO</v>
      </c>
      <c r="BK413" s="219" t="s">
        <v>4437</v>
      </c>
      <c r="BL413" s="219" t="s">
        <v>4437</v>
      </c>
      <c r="BM413" s="219" t="s">
        <v>4437</v>
      </c>
      <c r="BN413" s="257" t="s">
        <v>5732</v>
      </c>
      <c r="BO413" s="257"/>
      <c r="BP413" s="257"/>
      <c r="BQ413" s="257"/>
      <c r="BR413" s="258"/>
      <c r="BS413" s="223"/>
      <c r="BT413" s="161"/>
    </row>
    <row r="414" spans="1:112" s="240" customFormat="1" ht="27" hidden="1" customHeight="1">
      <c r="A414" s="197">
        <v>410</v>
      </c>
      <c r="B414" s="197" t="s">
        <v>4396</v>
      </c>
      <c r="C414" s="207" t="s">
        <v>4427</v>
      </c>
      <c r="D414" s="207">
        <v>1</v>
      </c>
      <c r="E414" s="207" t="s">
        <v>4398</v>
      </c>
      <c r="F414" s="214" t="s">
        <v>6206</v>
      </c>
      <c r="G414" s="207" t="s">
        <v>4400</v>
      </c>
      <c r="H414" s="207" t="s">
        <v>4401</v>
      </c>
      <c r="I414" s="217" t="s">
        <v>4414</v>
      </c>
      <c r="J414" s="215" t="s">
        <v>6211</v>
      </c>
      <c r="K414" s="215" t="s">
        <v>6212</v>
      </c>
      <c r="L414" s="215" t="s">
        <v>6213</v>
      </c>
      <c r="M414" s="207" t="s">
        <v>4405</v>
      </c>
      <c r="N414" s="207" t="s">
        <v>4406</v>
      </c>
      <c r="O414" s="202">
        <v>46065</v>
      </c>
      <c r="P414" s="203" t="s">
        <v>4407</v>
      </c>
      <c r="Q414" s="202">
        <v>46072</v>
      </c>
      <c r="R414" s="203">
        <v>46072</v>
      </c>
      <c r="S414" s="203">
        <v>46080</v>
      </c>
      <c r="T414" s="202">
        <v>46083</v>
      </c>
      <c r="U414" s="202" t="s">
        <v>4408</v>
      </c>
      <c r="V414" s="202" t="s">
        <v>4408</v>
      </c>
      <c r="W414" s="203">
        <v>46055</v>
      </c>
      <c r="X414" s="203" t="s">
        <v>4440</v>
      </c>
      <c r="Y414" s="267"/>
      <c r="Z414" s="219" t="s">
        <v>6214</v>
      </c>
      <c r="AA414" s="215" t="s">
        <v>6215</v>
      </c>
      <c r="AB414" s="215" t="s">
        <v>6216</v>
      </c>
      <c r="AC414" s="215" t="s">
        <v>6217</v>
      </c>
      <c r="AD414" s="217" t="s">
        <v>4421</v>
      </c>
      <c r="AE414" s="219" t="s">
        <v>4405</v>
      </c>
      <c r="AF414" s="218">
        <v>17725.560000000001</v>
      </c>
      <c r="AG414" s="218">
        <v>17725.560000000001</v>
      </c>
      <c r="AH414" s="207" t="s">
        <v>4433</v>
      </c>
      <c r="AI414" s="214" t="s">
        <v>4411</v>
      </c>
      <c r="AJ414" s="207">
        <v>150610221</v>
      </c>
      <c r="AK414" s="317">
        <v>46066</v>
      </c>
      <c r="AL414" s="317">
        <v>46066</v>
      </c>
      <c r="AM414" s="317">
        <v>46066</v>
      </c>
      <c r="AN414" s="317">
        <v>46066</v>
      </c>
      <c r="AO414" s="317">
        <v>46066</v>
      </c>
      <c r="AP414" s="317">
        <v>46066</v>
      </c>
      <c r="AQ414" s="314"/>
      <c r="AR414" s="315" t="str">
        <f t="shared" si="28"/>
        <v>FINALIZADO</v>
      </c>
      <c r="AS414" s="207" t="s">
        <v>4423</v>
      </c>
      <c r="AT414" s="219"/>
      <c r="AU414" s="220" t="s">
        <v>6218</v>
      </c>
      <c r="AV414" s="250" t="s">
        <v>4425</v>
      </c>
      <c r="AW414" s="207" t="s">
        <v>4425</v>
      </c>
      <c r="AX414" s="219" t="s">
        <v>4425</v>
      </c>
      <c r="AY414" s="219" t="s">
        <v>4425</v>
      </c>
      <c r="AZ414" s="202">
        <v>46226</v>
      </c>
      <c r="BA414" s="219" t="s">
        <v>4425</v>
      </c>
      <c r="BB414" s="219" t="s">
        <v>4425</v>
      </c>
      <c r="BC414" s="202">
        <v>46233</v>
      </c>
      <c r="BD414" s="226">
        <v>46233</v>
      </c>
      <c r="BE414" s="227" t="s">
        <v>4435</v>
      </c>
      <c r="BF414" s="257" t="s">
        <v>4436</v>
      </c>
      <c r="BG414" s="219" t="s">
        <v>4425</v>
      </c>
      <c r="BH414" s="321">
        <f t="shared" si="29"/>
        <v>167</v>
      </c>
      <c r="BI414" s="98" t="str">
        <f t="shared" si="30"/>
        <v>INDENIZAÇÃO</v>
      </c>
      <c r="BJ414" s="98" t="str">
        <f t="shared" si="31"/>
        <v>NÃO</v>
      </c>
      <c r="BK414" s="219" t="s">
        <v>4437</v>
      </c>
      <c r="BL414" s="219" t="s">
        <v>4437</v>
      </c>
      <c r="BM414" s="219" t="s">
        <v>4437</v>
      </c>
      <c r="BN414" s="257" t="s">
        <v>5732</v>
      </c>
      <c r="BO414" s="257"/>
      <c r="BP414" s="257"/>
      <c r="BQ414" s="257"/>
      <c r="BR414" s="258"/>
      <c r="BS414" s="223"/>
      <c r="BT414" s="161"/>
    </row>
    <row r="415" spans="1:112" s="240" customFormat="1" ht="27" hidden="1" customHeight="1">
      <c r="A415" s="197">
        <v>411</v>
      </c>
      <c r="B415" s="197" t="s">
        <v>4396</v>
      </c>
      <c r="C415" s="207" t="s">
        <v>4427</v>
      </c>
      <c r="D415" s="207">
        <v>1</v>
      </c>
      <c r="E415" s="207" t="s">
        <v>4398</v>
      </c>
      <c r="F415" s="214" t="s">
        <v>6219</v>
      </c>
      <c r="G415" s="207" t="s">
        <v>4400</v>
      </c>
      <c r="H415" s="207" t="s">
        <v>4401</v>
      </c>
      <c r="I415" s="217" t="s">
        <v>4402</v>
      </c>
      <c r="J415" s="255" t="s">
        <v>6220</v>
      </c>
      <c r="K415" s="215" t="s">
        <v>6221</v>
      </c>
      <c r="L415" s="215" t="s">
        <v>6222</v>
      </c>
      <c r="M415" s="207" t="s">
        <v>4405</v>
      </c>
      <c r="N415" s="207" t="s">
        <v>4406</v>
      </c>
      <c r="O415" s="203">
        <v>46031</v>
      </c>
      <c r="P415" s="202" t="s">
        <v>4407</v>
      </c>
      <c r="Q415" s="203">
        <v>46030</v>
      </c>
      <c r="R415" s="203">
        <v>46031</v>
      </c>
      <c r="S415" s="203">
        <v>46036</v>
      </c>
      <c r="T415" s="203">
        <v>46045</v>
      </c>
      <c r="U415" s="203" t="s">
        <v>4408</v>
      </c>
      <c r="V415" s="203" t="s">
        <v>4408</v>
      </c>
      <c r="W415" s="202">
        <v>46055</v>
      </c>
      <c r="X415" s="202">
        <v>46056</v>
      </c>
      <c r="Y415" s="166"/>
      <c r="Z415" s="219"/>
      <c r="AA415" s="255" t="s">
        <v>6220</v>
      </c>
      <c r="AB415" s="215" t="s">
        <v>6221</v>
      </c>
      <c r="AC415" s="215" t="s">
        <v>6222</v>
      </c>
      <c r="AD415" s="217" t="s">
        <v>4402</v>
      </c>
      <c r="AE415" s="207" t="s">
        <v>4405</v>
      </c>
      <c r="AF415" s="218" t="s">
        <v>4409</v>
      </c>
      <c r="AG415" s="218" t="s">
        <v>4409</v>
      </c>
      <c r="AH415" s="207" t="s">
        <v>4410</v>
      </c>
      <c r="AI415" s="214" t="s">
        <v>4411</v>
      </c>
      <c r="AJ415" s="207"/>
      <c r="AK415" s="317"/>
      <c r="AL415" s="317"/>
      <c r="AM415" s="317"/>
      <c r="AN415" s="317"/>
      <c r="AO415" s="317"/>
      <c r="AP415" s="317"/>
      <c r="AQ415" s="314"/>
      <c r="AR415" s="315" t="str">
        <f t="shared" si="28"/>
        <v/>
      </c>
      <c r="AS415" s="207"/>
      <c r="AT415" s="219"/>
      <c r="AU415" s="220"/>
      <c r="AV415" s="219"/>
      <c r="AW415" s="219"/>
      <c r="AX415" s="219"/>
      <c r="AY415" s="219"/>
      <c r="AZ415" s="219"/>
      <c r="BA415" s="219"/>
      <c r="BB415" s="219"/>
      <c r="BC415" s="219"/>
      <c r="BD415" s="208"/>
      <c r="BE415" s="203"/>
      <c r="BF415" s="219"/>
      <c r="BG415" s="219"/>
      <c r="BH415" s="321" t="str">
        <f t="shared" si="29"/>
        <v/>
      </c>
      <c r="BI415" s="98" t="str">
        <f t="shared" si="30"/>
        <v>AA</v>
      </c>
      <c r="BJ415" s="98" t="str">
        <f t="shared" si="31"/>
        <v>NÃO</v>
      </c>
      <c r="BK415" s="219"/>
      <c r="BL415" s="221"/>
      <c r="BM415" s="221"/>
      <c r="BN415" s="219"/>
      <c r="BO415" s="219"/>
      <c r="BP415" s="219"/>
      <c r="BQ415" s="219"/>
      <c r="BR415" s="222"/>
      <c r="BS415" s="223"/>
      <c r="BT415" s="161"/>
    </row>
    <row r="416" spans="1:112" s="240" customFormat="1" ht="27" customHeight="1">
      <c r="A416" s="207">
        <v>412</v>
      </c>
      <c r="B416" s="197" t="s">
        <v>4396</v>
      </c>
      <c r="C416" s="207" t="s">
        <v>4413</v>
      </c>
      <c r="D416" s="207">
        <v>1</v>
      </c>
      <c r="E416" s="207" t="s">
        <v>4398</v>
      </c>
      <c r="F416" s="214" t="s">
        <v>6219</v>
      </c>
      <c r="G416" s="219" t="s">
        <v>4400</v>
      </c>
      <c r="H416" s="219" t="s">
        <v>4401</v>
      </c>
      <c r="I416" s="219" t="s">
        <v>4402</v>
      </c>
      <c r="J416" s="255" t="s">
        <v>6223</v>
      </c>
      <c r="K416" s="255" t="s">
        <v>6224</v>
      </c>
      <c r="L416" s="220" t="s">
        <v>6225</v>
      </c>
      <c r="M416" s="219" t="s">
        <v>4405</v>
      </c>
      <c r="N416" s="219" t="s">
        <v>4432</v>
      </c>
      <c r="O416" s="202" t="s">
        <v>4409</v>
      </c>
      <c r="P416" s="202" t="s">
        <v>4409</v>
      </c>
      <c r="Q416" s="202" t="s">
        <v>4409</v>
      </c>
      <c r="R416" s="202" t="s">
        <v>4409</v>
      </c>
      <c r="S416" s="202" t="s">
        <v>4409</v>
      </c>
      <c r="T416" s="202" t="s">
        <v>4409</v>
      </c>
      <c r="U416" s="202" t="s">
        <v>4409</v>
      </c>
      <c r="V416" s="202" t="s">
        <v>4409</v>
      </c>
      <c r="W416" s="202" t="s">
        <v>4409</v>
      </c>
      <c r="X416" s="202" t="s">
        <v>4409</v>
      </c>
      <c r="Y416" s="202"/>
      <c r="Z416" s="202"/>
      <c r="AA416" s="255" t="s">
        <v>6223</v>
      </c>
      <c r="AB416" s="255" t="s">
        <v>6224</v>
      </c>
      <c r="AC416" s="220" t="s">
        <v>6225</v>
      </c>
      <c r="AD416" s="207" t="s">
        <v>4402</v>
      </c>
      <c r="AE416" s="219" t="s">
        <v>4405</v>
      </c>
      <c r="AF416" s="218">
        <v>51505.83</v>
      </c>
      <c r="AG416" s="218">
        <v>60000</v>
      </c>
      <c r="AH416" s="207" t="s">
        <v>4433</v>
      </c>
      <c r="AI416" s="214" t="s">
        <v>4411</v>
      </c>
      <c r="AJ416" s="207">
        <v>153978824</v>
      </c>
      <c r="AK416" s="316">
        <v>46129</v>
      </c>
      <c r="AL416" s="316">
        <v>46129</v>
      </c>
      <c r="AM416" s="316">
        <v>46129</v>
      </c>
      <c r="AN416" s="316">
        <v>46129</v>
      </c>
      <c r="AO416" s="316">
        <v>46129</v>
      </c>
      <c r="AP416" s="316">
        <v>46129</v>
      </c>
      <c r="AQ416" s="314"/>
      <c r="AR416" s="315" t="str">
        <f t="shared" si="28"/>
        <v>FINALIZADO</v>
      </c>
      <c r="AS416" s="207" t="s">
        <v>4423</v>
      </c>
      <c r="AT416" s="219"/>
      <c r="AU416" s="220" t="s">
        <v>6226</v>
      </c>
      <c r="AV416" s="262" t="s">
        <v>4425</v>
      </c>
      <c r="AW416" s="262" t="s">
        <v>4425</v>
      </c>
      <c r="AX416" s="207" t="s">
        <v>4425</v>
      </c>
      <c r="AY416" s="207" t="s">
        <v>4425</v>
      </c>
      <c r="AZ416" s="202">
        <v>46226</v>
      </c>
      <c r="BA416" s="219" t="s">
        <v>4425</v>
      </c>
      <c r="BB416" s="219" t="s">
        <v>4425</v>
      </c>
      <c r="BC416" s="202">
        <v>46232</v>
      </c>
      <c r="BD416" s="226">
        <v>46232</v>
      </c>
      <c r="BE416" s="257" t="s">
        <v>4435</v>
      </c>
      <c r="BF416" s="257" t="s">
        <v>4436</v>
      </c>
      <c r="BG416" s="219" t="s">
        <v>4425</v>
      </c>
      <c r="BH416" s="321">
        <f t="shared" si="29"/>
        <v>103</v>
      </c>
      <c r="BI416" s="98" t="str">
        <f t="shared" si="30"/>
        <v>INDENIZAÇÃO</v>
      </c>
      <c r="BJ416" s="98" t="str">
        <f t="shared" si="31"/>
        <v>NÃO</v>
      </c>
      <c r="BK416" s="219" t="s">
        <v>4437</v>
      </c>
      <c r="BL416" s="219" t="s">
        <v>4437</v>
      </c>
      <c r="BM416" s="219" t="s">
        <v>4437</v>
      </c>
      <c r="BN416" s="257" t="s">
        <v>5732</v>
      </c>
      <c r="BO416" s="257"/>
      <c r="BP416" s="257"/>
      <c r="BQ416" s="257"/>
      <c r="BR416" s="258"/>
    </row>
    <row r="417" spans="1:112" s="240" customFormat="1" ht="27" customHeight="1">
      <c r="A417" s="207">
        <v>413</v>
      </c>
      <c r="B417" s="197" t="s">
        <v>4396</v>
      </c>
      <c r="C417" s="207" t="s">
        <v>4413</v>
      </c>
      <c r="D417" s="207">
        <v>1</v>
      </c>
      <c r="E417" s="207" t="s">
        <v>4398</v>
      </c>
      <c r="F417" s="214" t="s">
        <v>6227</v>
      </c>
      <c r="G417" s="207" t="s">
        <v>4400</v>
      </c>
      <c r="H417" s="207" t="s">
        <v>4401</v>
      </c>
      <c r="I417" s="207" t="s">
        <v>4402</v>
      </c>
      <c r="J417" s="215" t="s">
        <v>6228</v>
      </c>
      <c r="K417" s="215" t="s">
        <v>6229</v>
      </c>
      <c r="L417" s="215" t="s">
        <v>6230</v>
      </c>
      <c r="M417" s="207" t="s">
        <v>4405</v>
      </c>
      <c r="N417" s="207" t="s">
        <v>4406</v>
      </c>
      <c r="O417" s="202">
        <v>46147</v>
      </c>
      <c r="P417" s="202" t="s">
        <v>4407</v>
      </c>
      <c r="Q417" s="203">
        <v>46136</v>
      </c>
      <c r="R417" s="202">
        <v>46147</v>
      </c>
      <c r="S417" s="203">
        <v>46156</v>
      </c>
      <c r="T417" s="203">
        <v>46168</v>
      </c>
      <c r="U417" s="203" t="s">
        <v>4408</v>
      </c>
      <c r="V417" s="203" t="s">
        <v>4408</v>
      </c>
      <c r="W417" s="279">
        <v>46196</v>
      </c>
      <c r="X417" s="202">
        <v>46197</v>
      </c>
      <c r="Y417" s="202"/>
      <c r="Z417" s="202"/>
      <c r="AA417" s="215" t="s">
        <v>6228</v>
      </c>
      <c r="AB417" s="215" t="s">
        <v>6229</v>
      </c>
      <c r="AC417" s="215" t="s">
        <v>6230</v>
      </c>
      <c r="AD417" s="20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6">
        <v>46080</v>
      </c>
      <c r="AL417" s="316">
        <v>46080</v>
      </c>
      <c r="AM417" s="316">
        <v>46080</v>
      </c>
      <c r="AN417" s="316">
        <v>46080</v>
      </c>
      <c r="AO417" s="316">
        <v>46080</v>
      </c>
      <c r="AP417" s="316">
        <v>46080</v>
      </c>
      <c r="AQ417" s="314"/>
      <c r="AR417" s="315" t="str">
        <f t="shared" si="28"/>
        <v>FINALIZADO</v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</row>
    <row r="418" spans="1:112" s="240" customFormat="1" ht="27" hidden="1" customHeight="1">
      <c r="A418" s="207">
        <v>414</v>
      </c>
      <c r="B418" s="197" t="s">
        <v>4396</v>
      </c>
      <c r="C418" s="207" t="s">
        <v>4427</v>
      </c>
      <c r="D418" s="207">
        <v>1</v>
      </c>
      <c r="E418" s="207" t="s">
        <v>4398</v>
      </c>
      <c r="F418" s="214" t="s">
        <v>6231</v>
      </c>
      <c r="G418" s="207" t="s">
        <v>4400</v>
      </c>
      <c r="H418" s="207" t="s">
        <v>4401</v>
      </c>
      <c r="I418" s="217" t="s">
        <v>4402</v>
      </c>
      <c r="J418" s="215" t="s">
        <v>6232</v>
      </c>
      <c r="K418" s="215" t="s">
        <v>6233</v>
      </c>
      <c r="L418" s="215" t="s">
        <v>6234</v>
      </c>
      <c r="M418" s="207" t="s">
        <v>4405</v>
      </c>
      <c r="N418" s="207" t="s">
        <v>4406</v>
      </c>
      <c r="O418" s="202">
        <v>45986</v>
      </c>
      <c r="P418" s="202" t="s">
        <v>4407</v>
      </c>
      <c r="Q418" s="202">
        <v>45985</v>
      </c>
      <c r="R418" s="202">
        <v>45986</v>
      </c>
      <c r="S418" s="202">
        <v>45987</v>
      </c>
      <c r="T418" s="202">
        <v>45992</v>
      </c>
      <c r="U418" s="202" t="s">
        <v>4408</v>
      </c>
      <c r="V418" s="202" t="s">
        <v>4408</v>
      </c>
      <c r="W418" s="202">
        <v>45999</v>
      </c>
      <c r="X418" s="202">
        <v>46000</v>
      </c>
      <c r="Y418" s="202"/>
      <c r="Z418" s="207"/>
      <c r="AA418" s="215" t="s">
        <v>6232</v>
      </c>
      <c r="AB418" s="215" t="s">
        <v>6233</v>
      </c>
      <c r="AC418" s="215" t="s">
        <v>6234</v>
      </c>
      <c r="AD418" s="217" t="s">
        <v>4402</v>
      </c>
      <c r="AE418" s="207" t="s">
        <v>4405</v>
      </c>
      <c r="AF418" s="218" t="s">
        <v>4409</v>
      </c>
      <c r="AG418" s="218" t="s">
        <v>4409</v>
      </c>
      <c r="AH418" s="241" t="s">
        <v>4410</v>
      </c>
      <c r="AI418" s="214" t="s">
        <v>4411</v>
      </c>
      <c r="AJ418" s="207"/>
      <c r="AK418" s="316">
        <v>45980</v>
      </c>
      <c r="AL418" s="316">
        <v>45980</v>
      </c>
      <c r="AM418" s="316">
        <v>45980</v>
      </c>
      <c r="AN418" s="316">
        <v>45980</v>
      </c>
      <c r="AO418" s="316">
        <v>45980</v>
      </c>
      <c r="AP418" s="316">
        <v>45980</v>
      </c>
      <c r="AQ418" s="314"/>
      <c r="AR418" s="315" t="str">
        <f t="shared" si="28"/>
        <v>FINALIZADO</v>
      </c>
      <c r="AS418" s="207"/>
      <c r="AT418" s="207"/>
      <c r="AU418" s="220"/>
      <c r="AV418" s="207"/>
      <c r="AW418" s="207"/>
      <c r="AX418" s="207" t="s">
        <v>4409</v>
      </c>
      <c r="AY418" s="207" t="s">
        <v>4409</v>
      </c>
      <c r="AZ418" s="207" t="s">
        <v>4409</v>
      </c>
      <c r="BA418" s="207" t="s">
        <v>4409</v>
      </c>
      <c r="BB418" s="207"/>
      <c r="BC418" s="202"/>
      <c r="BD418" s="208"/>
      <c r="BE418" s="202"/>
      <c r="BF418" s="207"/>
      <c r="BG418" s="229"/>
      <c r="BH418" s="321" t="str">
        <f t="shared" si="29"/>
        <v/>
      </c>
      <c r="BI418" s="98" t="str">
        <f t="shared" si="30"/>
        <v>AA</v>
      </c>
      <c r="BJ418" s="98" t="str">
        <f t="shared" si="31"/>
        <v>NÃO</v>
      </c>
      <c r="BK418" s="230"/>
      <c r="BL418" s="230"/>
      <c r="BM418" s="230"/>
      <c r="BN418" s="230"/>
      <c r="BO418" s="230"/>
      <c r="BP418" s="230"/>
      <c r="BQ418" s="230"/>
      <c r="BR418" s="234"/>
      <c r="BS418" s="161"/>
      <c r="BT418" s="161"/>
      <c r="BU418" s="161"/>
      <c r="BV418" s="161"/>
      <c r="BW418" s="161"/>
      <c r="BX418" s="161"/>
      <c r="BY418" s="161"/>
      <c r="BZ418" s="161"/>
      <c r="CA418" s="161"/>
      <c r="CB418" s="161"/>
      <c r="CC418" s="161"/>
      <c r="CD418" s="161"/>
      <c r="CE418" s="161"/>
      <c r="CF418" s="161"/>
      <c r="CG418" s="161"/>
      <c r="CH418" s="161"/>
      <c r="CI418" s="161"/>
      <c r="CJ418" s="161"/>
      <c r="CK418" s="161"/>
      <c r="CL418" s="161"/>
      <c r="CM418" s="161"/>
      <c r="CN418" s="161"/>
      <c r="CO418" s="161"/>
      <c r="CP418" s="161"/>
      <c r="CQ418" s="161"/>
      <c r="CR418" s="161"/>
      <c r="CS418" s="161"/>
      <c r="CT418" s="161"/>
      <c r="CU418" s="161"/>
      <c r="CV418" s="161"/>
      <c r="CW418" s="161"/>
      <c r="CX418" s="161"/>
      <c r="CY418" s="161"/>
      <c r="CZ418" s="161"/>
      <c r="DA418" s="161"/>
      <c r="DB418" s="161"/>
      <c r="DC418" s="161"/>
      <c r="DD418" s="161"/>
      <c r="DE418" s="161"/>
      <c r="DF418" s="161"/>
      <c r="DG418" s="161"/>
      <c r="DH418" s="161"/>
    </row>
    <row r="419" spans="1:112" s="240" customFormat="1" ht="27" customHeight="1">
      <c r="A419" s="197">
        <v>415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6231</v>
      </c>
      <c r="G419" s="219" t="s">
        <v>4400</v>
      </c>
      <c r="H419" s="219" t="s">
        <v>4401</v>
      </c>
      <c r="I419" s="219" t="s">
        <v>4402</v>
      </c>
      <c r="J419" s="255" t="s">
        <v>6235</v>
      </c>
      <c r="K419" s="255" t="s">
        <v>6236</v>
      </c>
      <c r="L419" s="255" t="s">
        <v>6237</v>
      </c>
      <c r="M419" s="219" t="s">
        <v>4405</v>
      </c>
      <c r="N419" s="219" t="s">
        <v>4432</v>
      </c>
      <c r="O419" s="202" t="s">
        <v>4409</v>
      </c>
      <c r="P419" s="202" t="s">
        <v>4409</v>
      </c>
      <c r="Q419" s="202" t="s">
        <v>4409</v>
      </c>
      <c r="R419" s="202" t="s">
        <v>4409</v>
      </c>
      <c r="S419" s="202" t="s">
        <v>4409</v>
      </c>
      <c r="T419" s="202" t="s">
        <v>4409</v>
      </c>
      <c r="U419" s="202" t="s">
        <v>4409</v>
      </c>
      <c r="V419" s="202" t="s">
        <v>4409</v>
      </c>
      <c r="W419" s="202" t="s">
        <v>4409</v>
      </c>
      <c r="X419" s="202" t="s">
        <v>4409</v>
      </c>
      <c r="Y419" s="202"/>
      <c r="Z419" s="202"/>
      <c r="AA419" s="255" t="s">
        <v>6235</v>
      </c>
      <c r="AB419" s="255" t="s">
        <v>6236</v>
      </c>
      <c r="AC419" s="255" t="s">
        <v>6237</v>
      </c>
      <c r="AD419" s="219" t="s">
        <v>4402</v>
      </c>
      <c r="AE419" s="219" t="s">
        <v>4405</v>
      </c>
      <c r="AF419" s="218">
        <v>182371.02</v>
      </c>
      <c r="AG419" s="218">
        <v>182371.02</v>
      </c>
      <c r="AH419" s="197" t="s">
        <v>4422</v>
      </c>
      <c r="AI419" s="214" t="s">
        <v>4411</v>
      </c>
      <c r="AJ419" s="207">
        <v>153979063</v>
      </c>
      <c r="AK419" s="317">
        <v>46127</v>
      </c>
      <c r="AL419" s="317">
        <v>46127</v>
      </c>
      <c r="AM419" s="317">
        <v>46127</v>
      </c>
      <c r="AN419" s="317">
        <v>46127</v>
      </c>
      <c r="AO419" s="317">
        <v>46127</v>
      </c>
      <c r="AP419" s="317">
        <v>46127</v>
      </c>
      <c r="AQ419" s="314"/>
      <c r="AR419" s="315" t="str">
        <f t="shared" si="28"/>
        <v>FINALIZADO</v>
      </c>
      <c r="AS419" s="207" t="s">
        <v>4423</v>
      </c>
      <c r="AT419" s="219"/>
      <c r="AU419" s="220" t="s">
        <v>6238</v>
      </c>
      <c r="AV419" s="262" t="s">
        <v>4425</v>
      </c>
      <c r="AW419" s="219" t="s">
        <v>4425</v>
      </c>
      <c r="AX419" s="219" t="s">
        <v>4425</v>
      </c>
      <c r="AY419" s="219" t="s">
        <v>4425</v>
      </c>
      <c r="AZ419" s="202">
        <v>46216</v>
      </c>
      <c r="BA419" s="262" t="s">
        <v>4425</v>
      </c>
      <c r="BB419" s="262" t="s">
        <v>4425</v>
      </c>
      <c r="BC419" s="202">
        <v>46223</v>
      </c>
      <c r="BD419" s="227">
        <v>46223</v>
      </c>
      <c r="BE419" s="257" t="s">
        <v>4435</v>
      </c>
      <c r="BF419" s="228" t="s">
        <v>4436</v>
      </c>
      <c r="BG419" s="229" t="s">
        <v>4425</v>
      </c>
      <c r="BH419" s="321">
        <f t="shared" si="29"/>
        <v>96</v>
      </c>
      <c r="BI419" s="98" t="str">
        <f t="shared" si="30"/>
        <v>INDENIZAÇÃO</v>
      </c>
      <c r="BJ419" s="98" t="str">
        <f t="shared" si="31"/>
        <v>NÃO</v>
      </c>
      <c r="BK419" s="230" t="s">
        <v>4437</v>
      </c>
      <c r="BL419" s="230" t="s">
        <v>4437</v>
      </c>
      <c r="BM419" s="230" t="s">
        <v>4437</v>
      </c>
      <c r="BN419" s="265" t="s">
        <v>5732</v>
      </c>
      <c r="BO419" s="265"/>
      <c r="BP419" s="265"/>
      <c r="BQ419" s="265"/>
      <c r="BR419" s="231"/>
    </row>
    <row r="420" spans="1:112" s="240" customFormat="1" ht="27" hidden="1" customHeight="1">
      <c r="A420" s="197">
        <v>416</v>
      </c>
      <c r="B420" s="197" t="s">
        <v>4396</v>
      </c>
      <c r="C420" s="207" t="s">
        <v>4427</v>
      </c>
      <c r="D420" s="207">
        <v>1</v>
      </c>
      <c r="E420" s="207" t="s">
        <v>4398</v>
      </c>
      <c r="F420" s="214" t="s">
        <v>6239</v>
      </c>
      <c r="G420" s="207" t="s">
        <v>4400</v>
      </c>
      <c r="H420" s="207" t="s">
        <v>4401</v>
      </c>
      <c r="I420" s="217" t="s">
        <v>4402</v>
      </c>
      <c r="J420" s="215" t="s">
        <v>6240</v>
      </c>
      <c r="K420" s="215" t="s">
        <v>6241</v>
      </c>
      <c r="L420" s="215" t="s">
        <v>6242</v>
      </c>
      <c r="M420" s="207" t="s">
        <v>4405</v>
      </c>
      <c r="N420" s="207" t="s">
        <v>4406</v>
      </c>
      <c r="O420" s="202">
        <v>46002</v>
      </c>
      <c r="P420" s="202" t="s">
        <v>4407</v>
      </c>
      <c r="Q420" s="202">
        <v>45999</v>
      </c>
      <c r="R420" s="202">
        <v>46006</v>
      </c>
      <c r="S420" s="202">
        <v>46006</v>
      </c>
      <c r="T420" s="202">
        <v>46009</v>
      </c>
      <c r="U420" s="202" t="s">
        <v>4408</v>
      </c>
      <c r="V420" s="202" t="s">
        <v>4408</v>
      </c>
      <c r="W420" s="202">
        <v>46014</v>
      </c>
      <c r="X420" s="202">
        <v>46017</v>
      </c>
      <c r="Y420" s="202"/>
      <c r="Z420" s="207"/>
      <c r="AA420" s="200" t="s">
        <v>6240</v>
      </c>
      <c r="AB420" s="200" t="s">
        <v>6241</v>
      </c>
      <c r="AC420" s="200" t="s">
        <v>6242</v>
      </c>
      <c r="AD420" s="199" t="s">
        <v>4402</v>
      </c>
      <c r="AE420" s="197" t="s">
        <v>4405</v>
      </c>
      <c r="AF420" s="243" t="s">
        <v>4409</v>
      </c>
      <c r="AG420" s="243" t="s">
        <v>4409</v>
      </c>
      <c r="AH420" s="197" t="s">
        <v>4410</v>
      </c>
      <c r="AI420" s="214" t="s">
        <v>4411</v>
      </c>
      <c r="AJ420" s="207"/>
      <c r="AK420" s="316">
        <v>45996</v>
      </c>
      <c r="AL420" s="316">
        <v>45996</v>
      </c>
      <c r="AM420" s="316">
        <v>45996</v>
      </c>
      <c r="AN420" s="316">
        <v>45996</v>
      </c>
      <c r="AO420" s="316">
        <v>45996</v>
      </c>
      <c r="AP420" s="316">
        <v>45996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/>
      <c r="AY420" s="207"/>
      <c r="AZ420" s="202"/>
      <c r="BA420" s="219"/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</row>
    <row r="421" spans="1:112" s="240" customFormat="1" ht="27" hidden="1" customHeight="1">
      <c r="A421" s="207">
        <v>417</v>
      </c>
      <c r="B421" s="197" t="s">
        <v>4396</v>
      </c>
      <c r="C421" s="207" t="s">
        <v>4427</v>
      </c>
      <c r="D421" s="207">
        <v>1</v>
      </c>
      <c r="E421" s="207" t="s">
        <v>4398</v>
      </c>
      <c r="F421" s="214" t="s">
        <v>6243</v>
      </c>
      <c r="G421" s="207" t="s">
        <v>4400</v>
      </c>
      <c r="H421" s="207" t="s">
        <v>4428</v>
      </c>
      <c r="I421" s="233" t="s">
        <v>4421</v>
      </c>
      <c r="J421" s="215" t="s">
        <v>6244</v>
      </c>
      <c r="K421" s="215" t="s">
        <v>6245</v>
      </c>
      <c r="L421" s="215" t="s">
        <v>6246</v>
      </c>
      <c r="M421" s="207" t="s">
        <v>4405</v>
      </c>
      <c r="N421" s="207" t="s">
        <v>4442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15" t="s">
        <v>6244</v>
      </c>
      <c r="AB421" s="215" t="s">
        <v>6245</v>
      </c>
      <c r="AC421" s="215" t="s">
        <v>6246</v>
      </c>
      <c r="AD421" s="233" t="s">
        <v>4421</v>
      </c>
      <c r="AE421" s="207" t="s">
        <v>4405</v>
      </c>
      <c r="AF421" s="218">
        <v>19667.93</v>
      </c>
      <c r="AG421" s="218">
        <f>AF421+30000</f>
        <v>49667.93</v>
      </c>
      <c r="AH421" s="207" t="s">
        <v>4422</v>
      </c>
      <c r="AI421" s="214" t="s">
        <v>4411</v>
      </c>
      <c r="AJ421" s="207">
        <v>150610340</v>
      </c>
      <c r="AK421" s="316">
        <v>46066</v>
      </c>
      <c r="AL421" s="316">
        <v>46066</v>
      </c>
      <c r="AM421" s="316">
        <v>46066</v>
      </c>
      <c r="AN421" s="316">
        <v>46066</v>
      </c>
      <c r="AO421" s="316">
        <v>46066</v>
      </c>
      <c r="AP421" s="316">
        <v>46066</v>
      </c>
      <c r="AQ421" s="314"/>
      <c r="AR421" s="315" t="str">
        <f t="shared" si="28"/>
        <v>FINALIZADO</v>
      </c>
      <c r="AS421" s="207" t="s">
        <v>4423</v>
      </c>
      <c r="AT421" s="207"/>
      <c r="AU421" s="220" t="s">
        <v>6247</v>
      </c>
      <c r="AV421" s="207" t="s">
        <v>4425</v>
      </c>
      <c r="AW421" s="207" t="s">
        <v>4425</v>
      </c>
      <c r="AX421" s="207" t="s">
        <v>4425</v>
      </c>
      <c r="AY421" s="207" t="s">
        <v>4425</v>
      </c>
      <c r="AZ421" s="202">
        <v>46127</v>
      </c>
      <c r="BA421" s="207" t="s">
        <v>4425</v>
      </c>
      <c r="BB421" s="207" t="s">
        <v>4425</v>
      </c>
      <c r="BC421" s="202">
        <v>46139</v>
      </c>
      <c r="BD421" s="227">
        <v>46139</v>
      </c>
      <c r="BE421" s="227" t="s">
        <v>4435</v>
      </c>
      <c r="BF421" s="228" t="s">
        <v>4436</v>
      </c>
      <c r="BG421" s="229" t="s">
        <v>4425</v>
      </c>
      <c r="BH421" s="321">
        <f t="shared" si="29"/>
        <v>73</v>
      </c>
      <c r="BI421" s="98" t="str">
        <f t="shared" si="30"/>
        <v>INDENIZAÇÃO</v>
      </c>
      <c r="BJ421" s="98" t="str">
        <f t="shared" si="31"/>
        <v>NÃO</v>
      </c>
      <c r="BK421" s="219" t="s">
        <v>4437</v>
      </c>
      <c r="BL421" s="219" t="s">
        <v>4437</v>
      </c>
      <c r="BM421" s="219" t="s">
        <v>4437</v>
      </c>
      <c r="BN421" s="257" t="s">
        <v>5732</v>
      </c>
      <c r="BO421" s="257"/>
      <c r="BP421" s="257"/>
      <c r="BQ421" s="257"/>
      <c r="BR421" s="258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1"/>
      <c r="CC421" s="161"/>
      <c r="CD421" s="161"/>
      <c r="CE421" s="161"/>
      <c r="CF421" s="161"/>
      <c r="CG421" s="161"/>
      <c r="CH421" s="161"/>
      <c r="CI421" s="161"/>
      <c r="CJ421" s="161"/>
      <c r="CK421" s="161"/>
      <c r="CL421" s="161"/>
      <c r="CM421" s="161"/>
      <c r="CN421" s="161"/>
      <c r="CO421" s="161"/>
      <c r="CP421" s="161"/>
      <c r="CQ421" s="161"/>
      <c r="CR421" s="161"/>
      <c r="CS421" s="161"/>
      <c r="CT421" s="161"/>
      <c r="CU421" s="161"/>
      <c r="CV421" s="161"/>
      <c r="CW421" s="161"/>
      <c r="CX421" s="161"/>
      <c r="CY421" s="161"/>
      <c r="CZ421" s="161"/>
      <c r="DA421" s="161"/>
      <c r="DB421" s="161"/>
      <c r="DC421" s="161"/>
      <c r="DD421" s="161"/>
      <c r="DE421" s="161"/>
      <c r="DF421" s="161"/>
      <c r="DG421" s="161"/>
      <c r="DH421" s="161"/>
    </row>
    <row r="422" spans="1:112" s="240" customFormat="1" ht="27" customHeight="1">
      <c r="A422" s="207">
        <v>418</v>
      </c>
      <c r="B422" s="197" t="s">
        <v>4396</v>
      </c>
      <c r="C422" s="207" t="s">
        <v>4413</v>
      </c>
      <c r="D422" s="207">
        <v>1</v>
      </c>
      <c r="E422" s="250" t="s">
        <v>4398</v>
      </c>
      <c r="F422" s="214" t="s">
        <v>6243</v>
      </c>
      <c r="G422" s="207" t="s">
        <v>4400</v>
      </c>
      <c r="H422" s="207" t="s">
        <v>4401</v>
      </c>
      <c r="I422" s="160" t="s">
        <v>4402</v>
      </c>
      <c r="J422" s="215" t="s">
        <v>6248</v>
      </c>
      <c r="K422" s="215" t="s">
        <v>6249</v>
      </c>
      <c r="L422" s="215" t="s">
        <v>6250</v>
      </c>
      <c r="M422" s="207" t="s">
        <v>4405</v>
      </c>
      <c r="N422" s="207" t="s">
        <v>4442</v>
      </c>
      <c r="O422" s="202" t="s">
        <v>4409</v>
      </c>
      <c r="P422" s="202" t="s">
        <v>4409</v>
      </c>
      <c r="Q422" s="202" t="s">
        <v>4409</v>
      </c>
      <c r="R422" s="202" t="s">
        <v>4409</v>
      </c>
      <c r="S422" s="202" t="s">
        <v>4409</v>
      </c>
      <c r="T422" s="202" t="s">
        <v>4409</v>
      </c>
      <c r="U422" s="202" t="s">
        <v>4409</v>
      </c>
      <c r="V422" s="202" t="s">
        <v>4409</v>
      </c>
      <c r="W422" s="202" t="s">
        <v>4409</v>
      </c>
      <c r="X422" s="202" t="s">
        <v>4409</v>
      </c>
      <c r="Y422" s="202"/>
      <c r="Z422" s="202"/>
      <c r="AA422" s="215" t="s">
        <v>6248</v>
      </c>
      <c r="AB422" s="215" t="s">
        <v>6249</v>
      </c>
      <c r="AC422" s="215" t="s">
        <v>6250</v>
      </c>
      <c r="AD422" s="207" t="s">
        <v>4402</v>
      </c>
      <c r="AE422" s="207" t="s">
        <v>4405</v>
      </c>
      <c r="AF422" s="218">
        <v>77944.53</v>
      </c>
      <c r="AG422" s="218">
        <v>77944.53</v>
      </c>
      <c r="AH422" s="207" t="s">
        <v>4433</v>
      </c>
      <c r="AI422" s="214" t="s">
        <v>4411</v>
      </c>
      <c r="AJ422" s="207">
        <v>156883674</v>
      </c>
      <c r="AK422" s="316">
        <v>46206</v>
      </c>
      <c r="AL422" s="316">
        <v>46206</v>
      </c>
      <c r="AM422" s="316">
        <v>46206</v>
      </c>
      <c r="AN422" s="316">
        <v>46206</v>
      </c>
      <c r="AO422" s="316">
        <v>46206</v>
      </c>
      <c r="AP422" s="316">
        <v>46206</v>
      </c>
      <c r="AQ422" s="314"/>
      <c r="AR422" s="315" t="str">
        <f t="shared" si="28"/>
        <v>FINALIZADO</v>
      </c>
      <c r="AS422" s="207" t="s">
        <v>4423</v>
      </c>
      <c r="AT422" s="219"/>
      <c r="AU422" s="220" t="s">
        <v>6251</v>
      </c>
      <c r="AV422" s="219" t="s">
        <v>4425</v>
      </c>
      <c r="AW422" s="219" t="s">
        <v>4425</v>
      </c>
      <c r="AX422" s="257" t="s">
        <v>4828</v>
      </c>
      <c r="AY422" s="257"/>
      <c r="AZ422" s="257"/>
      <c r="BA422" s="257"/>
      <c r="BB422" s="257"/>
      <c r="BC422" s="257"/>
      <c r="BD422" s="226"/>
      <c r="BE422" s="226"/>
      <c r="BF422" s="228" t="s">
        <v>4400</v>
      </c>
      <c r="BG422" s="219"/>
      <c r="BH422" s="321" t="str">
        <f t="shared" si="29"/>
        <v/>
      </c>
      <c r="BI422" s="98" t="str">
        <f t="shared" si="30"/>
        <v>INDENIZAÇÃO</v>
      </c>
      <c r="BJ422" s="98" t="str">
        <f t="shared" si="31"/>
        <v>NÃO</v>
      </c>
      <c r="BK422" s="219"/>
      <c r="BL422" s="221"/>
      <c r="BM422" s="221"/>
      <c r="BN422" s="219"/>
      <c r="BO422" s="219"/>
      <c r="BP422" s="219"/>
      <c r="BQ422" s="219"/>
      <c r="BR422" s="222"/>
    </row>
    <row r="423" spans="1:112" s="240" customFormat="1" ht="27" hidden="1" customHeight="1">
      <c r="A423" s="207">
        <v>419</v>
      </c>
      <c r="B423" s="197" t="s">
        <v>4396</v>
      </c>
      <c r="C423" s="207" t="s">
        <v>4427</v>
      </c>
      <c r="D423" s="207">
        <v>1</v>
      </c>
      <c r="E423" s="207" t="s">
        <v>4398</v>
      </c>
      <c r="F423" s="214" t="s">
        <v>6252</v>
      </c>
      <c r="G423" s="207" t="s">
        <v>4400</v>
      </c>
      <c r="H423" s="207" t="s">
        <v>4401</v>
      </c>
      <c r="I423" s="217" t="s">
        <v>4402</v>
      </c>
      <c r="J423" s="215" t="s">
        <v>6253</v>
      </c>
      <c r="K423" s="215" t="s">
        <v>6254</v>
      </c>
      <c r="L423" s="215" t="s">
        <v>6255</v>
      </c>
      <c r="M423" s="207" t="s">
        <v>4405</v>
      </c>
      <c r="N423" s="207" t="s">
        <v>4442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6253</v>
      </c>
      <c r="AB423" s="215" t="s">
        <v>6254</v>
      </c>
      <c r="AC423" s="215" t="s">
        <v>6255</v>
      </c>
      <c r="AD423" s="207" t="s">
        <v>4402</v>
      </c>
      <c r="AE423" s="207" t="s">
        <v>4405</v>
      </c>
      <c r="AF423" s="218">
        <v>11043.71</v>
      </c>
      <c r="AG423" s="218">
        <f>AF423+30000</f>
        <v>41043.71</v>
      </c>
      <c r="AH423" s="207" t="s">
        <v>4422</v>
      </c>
      <c r="AI423" s="214" t="s">
        <v>4411</v>
      </c>
      <c r="AJ423" s="207">
        <v>150959451</v>
      </c>
      <c r="AK423" s="316">
        <v>46048</v>
      </c>
      <c r="AL423" s="316">
        <v>46048</v>
      </c>
      <c r="AM423" s="316">
        <v>46048</v>
      </c>
      <c r="AN423" s="316">
        <v>46048</v>
      </c>
      <c r="AO423" s="316">
        <v>46048</v>
      </c>
      <c r="AP423" s="316">
        <v>46048</v>
      </c>
      <c r="AQ423" s="314"/>
      <c r="AR423" s="315" t="str">
        <f t="shared" si="28"/>
        <v>FINALIZADO</v>
      </c>
      <c r="AS423" s="207" t="s">
        <v>4423</v>
      </c>
      <c r="AT423" s="207"/>
      <c r="AU423" s="220" t="s">
        <v>6256</v>
      </c>
      <c r="AV423" s="207" t="s">
        <v>4425</v>
      </c>
      <c r="AW423" s="207" t="s">
        <v>4425</v>
      </c>
      <c r="AX423" s="207" t="s">
        <v>4425</v>
      </c>
      <c r="AY423" s="207" t="s">
        <v>4425</v>
      </c>
      <c r="AZ423" s="202">
        <v>46127</v>
      </c>
      <c r="BA423" s="207" t="s">
        <v>4425</v>
      </c>
      <c r="BB423" s="207" t="s">
        <v>4425</v>
      </c>
      <c r="BC423" s="202">
        <v>46139</v>
      </c>
      <c r="BD423" s="227">
        <v>46139</v>
      </c>
      <c r="BE423" s="227" t="s">
        <v>4435</v>
      </c>
      <c r="BF423" s="228" t="s">
        <v>4436</v>
      </c>
      <c r="BG423" s="229" t="s">
        <v>4425</v>
      </c>
      <c r="BH423" s="321">
        <f t="shared" si="29"/>
        <v>91</v>
      </c>
      <c r="BI423" s="98" t="str">
        <f t="shared" si="30"/>
        <v>INDENIZAÇÃO</v>
      </c>
      <c r="BJ423" s="98" t="str">
        <f t="shared" si="31"/>
        <v>NÃO</v>
      </c>
      <c r="BK423" s="219" t="s">
        <v>4437</v>
      </c>
      <c r="BL423" s="219" t="s">
        <v>4437</v>
      </c>
      <c r="BM423" s="219" t="s">
        <v>4437</v>
      </c>
      <c r="BN423" s="257" t="s">
        <v>5732</v>
      </c>
      <c r="BO423" s="257"/>
      <c r="BP423" s="257"/>
      <c r="BQ423" s="257"/>
      <c r="BR423" s="258"/>
    </row>
    <row r="424" spans="1:112" s="240" customFormat="1" ht="27" customHeight="1">
      <c r="A424" s="197">
        <v>420</v>
      </c>
      <c r="B424" s="197" t="s">
        <v>4396</v>
      </c>
      <c r="C424" s="207" t="s">
        <v>4413</v>
      </c>
      <c r="D424" s="207">
        <v>1</v>
      </c>
      <c r="E424" s="207" t="s">
        <v>4398</v>
      </c>
      <c r="F424" s="214" t="s">
        <v>6252</v>
      </c>
      <c r="G424" s="207" t="s">
        <v>4400</v>
      </c>
      <c r="H424" s="207" t="s">
        <v>4401</v>
      </c>
      <c r="I424" s="207" t="s">
        <v>4402</v>
      </c>
      <c r="J424" s="215" t="s">
        <v>6257</v>
      </c>
      <c r="K424" s="215" t="s">
        <v>6258</v>
      </c>
      <c r="L424" s="215" t="s">
        <v>6259</v>
      </c>
      <c r="M424" s="207" t="s">
        <v>4405</v>
      </c>
      <c r="N424" s="207" t="s">
        <v>4406</v>
      </c>
      <c r="O424" s="202">
        <v>46084</v>
      </c>
      <c r="P424" s="202" t="s">
        <v>4407</v>
      </c>
      <c r="Q424" s="202">
        <v>46083</v>
      </c>
      <c r="R424" s="203">
        <v>46084</v>
      </c>
      <c r="S424" s="203">
        <v>46087</v>
      </c>
      <c r="T424" s="203">
        <v>46090</v>
      </c>
      <c r="U424" s="202" t="s">
        <v>4408</v>
      </c>
      <c r="V424" s="202" t="s">
        <v>4408</v>
      </c>
      <c r="W424" s="202">
        <v>46101</v>
      </c>
      <c r="X424" s="202">
        <v>46104</v>
      </c>
      <c r="Y424" s="202"/>
      <c r="Z424" s="202"/>
      <c r="AA424" s="215" t="s">
        <v>6257</v>
      </c>
      <c r="AB424" s="215" t="s">
        <v>6258</v>
      </c>
      <c r="AC424" s="215" t="s">
        <v>6259</v>
      </c>
      <c r="AD424" s="217" t="s">
        <v>4402</v>
      </c>
      <c r="AE424" s="207" t="s">
        <v>4405</v>
      </c>
      <c r="AF424" s="218" t="s">
        <v>4409</v>
      </c>
      <c r="AG424" s="218" t="s">
        <v>4409</v>
      </c>
      <c r="AH424" s="207" t="s">
        <v>4410</v>
      </c>
      <c r="AI424" s="214" t="s">
        <v>4411</v>
      </c>
      <c r="AJ424" s="207"/>
      <c r="AK424" s="316">
        <v>46080</v>
      </c>
      <c r="AL424" s="316">
        <v>46080</v>
      </c>
      <c r="AM424" s="316">
        <v>46080</v>
      </c>
      <c r="AN424" s="316">
        <v>46080</v>
      </c>
      <c r="AO424" s="316">
        <v>46080</v>
      </c>
      <c r="AP424" s="316">
        <v>46080</v>
      </c>
      <c r="AQ424" s="314"/>
      <c r="AR424" s="315" t="str">
        <f t="shared" si="28"/>
        <v>FINALIZADO</v>
      </c>
      <c r="AS424" s="207"/>
      <c r="AT424" s="219"/>
      <c r="AU424" s="220"/>
      <c r="AV424" s="219"/>
      <c r="AW424" s="219"/>
      <c r="AX424" s="219"/>
      <c r="AY424" s="219"/>
      <c r="AZ424" s="219"/>
      <c r="BA424" s="219"/>
      <c r="BB424" s="219"/>
      <c r="BC424" s="219"/>
      <c r="BD424" s="208"/>
      <c r="BE424" s="203"/>
      <c r="BF424" s="219"/>
      <c r="BG424" s="219"/>
      <c r="BH424" s="321" t="str">
        <f t="shared" si="29"/>
        <v/>
      </c>
      <c r="BI424" s="98" t="str">
        <f t="shared" si="30"/>
        <v>AA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  <c r="BS424" s="223"/>
      <c r="BT424" s="223"/>
    </row>
    <row r="425" spans="1:112" s="240" customFormat="1" ht="27" hidden="1" customHeight="1">
      <c r="A425" s="197">
        <v>421</v>
      </c>
      <c r="B425" s="197" t="s">
        <v>4396</v>
      </c>
      <c r="C425" s="207" t="s">
        <v>4427</v>
      </c>
      <c r="D425" s="207">
        <v>1</v>
      </c>
      <c r="E425" s="207" t="s">
        <v>4398</v>
      </c>
      <c r="F425" s="214" t="s">
        <v>6260</v>
      </c>
      <c r="G425" s="207" t="s">
        <v>4400</v>
      </c>
      <c r="H425" s="207" t="s">
        <v>4401</v>
      </c>
      <c r="I425" s="217" t="s">
        <v>4414</v>
      </c>
      <c r="J425" s="215" t="s">
        <v>6261</v>
      </c>
      <c r="K425" s="215" t="s">
        <v>6262</v>
      </c>
      <c r="L425" s="215" t="s">
        <v>6263</v>
      </c>
      <c r="M425" s="207" t="s">
        <v>4405</v>
      </c>
      <c r="N425" s="207" t="s">
        <v>4406</v>
      </c>
      <c r="O425" s="202">
        <v>46002</v>
      </c>
      <c r="P425" s="202" t="s">
        <v>4407</v>
      </c>
      <c r="Q425" s="202">
        <v>45999</v>
      </c>
      <c r="R425" s="202">
        <v>46006</v>
      </c>
      <c r="S425" s="202">
        <v>46006</v>
      </c>
      <c r="T425" s="202">
        <v>46009</v>
      </c>
      <c r="U425" s="202" t="s">
        <v>4408</v>
      </c>
      <c r="V425" s="202" t="s">
        <v>4408</v>
      </c>
      <c r="W425" s="202">
        <v>46014</v>
      </c>
      <c r="X425" s="202">
        <v>46017</v>
      </c>
      <c r="Y425" s="202"/>
      <c r="Z425" s="207"/>
      <c r="AA425" s="215" t="s">
        <v>6264</v>
      </c>
      <c r="AB425" s="215" t="s">
        <v>6265</v>
      </c>
      <c r="AC425" s="215" t="s">
        <v>6266</v>
      </c>
      <c r="AD425" s="217" t="s">
        <v>4421</v>
      </c>
      <c r="AE425" s="207" t="s">
        <v>4405</v>
      </c>
      <c r="AF425" s="218">
        <v>24255.09</v>
      </c>
      <c r="AG425" s="218">
        <v>24255.09</v>
      </c>
      <c r="AH425" s="207" t="s">
        <v>4422</v>
      </c>
      <c r="AI425" s="214" t="s">
        <v>4411</v>
      </c>
      <c r="AJ425" s="207">
        <v>150610433</v>
      </c>
      <c r="AK425" s="316">
        <v>46111</v>
      </c>
      <c r="AL425" s="316">
        <v>46111</v>
      </c>
      <c r="AM425" s="316">
        <v>46111</v>
      </c>
      <c r="AN425" s="316">
        <v>46111</v>
      </c>
      <c r="AO425" s="316">
        <v>46111</v>
      </c>
      <c r="AP425" s="316">
        <v>46111</v>
      </c>
      <c r="AQ425" s="314"/>
      <c r="AR425" s="315" t="str">
        <f t="shared" si="28"/>
        <v>FINALIZADO</v>
      </c>
      <c r="AS425" s="207" t="s">
        <v>4423</v>
      </c>
      <c r="AT425" s="207"/>
      <c r="AU425" s="220" t="s">
        <v>6267</v>
      </c>
      <c r="AV425" s="250" t="s">
        <v>4425</v>
      </c>
      <c r="AW425" s="250" t="s">
        <v>4425</v>
      </c>
      <c r="AX425" s="207" t="s">
        <v>4425</v>
      </c>
      <c r="AY425" s="207" t="s">
        <v>4425</v>
      </c>
      <c r="AZ425" s="202">
        <v>46150</v>
      </c>
      <c r="BA425" s="207" t="s">
        <v>4425</v>
      </c>
      <c r="BB425" s="207" t="s">
        <v>4425</v>
      </c>
      <c r="BC425" s="202">
        <v>46161</v>
      </c>
      <c r="BD425" s="227">
        <v>46161</v>
      </c>
      <c r="BE425" s="228" t="s">
        <v>4435</v>
      </c>
      <c r="BF425" s="228" t="s">
        <v>4436</v>
      </c>
      <c r="BG425" s="219" t="s">
        <v>4425</v>
      </c>
      <c r="BH425" s="321">
        <f t="shared" si="29"/>
        <v>50</v>
      </c>
      <c r="BI425" s="98" t="str">
        <f t="shared" si="30"/>
        <v>INDENIZAÇÃO</v>
      </c>
      <c r="BJ425" s="98" t="str">
        <f t="shared" si="31"/>
        <v>NÃO</v>
      </c>
      <c r="BK425" s="219" t="s">
        <v>4437</v>
      </c>
      <c r="BL425" s="219" t="s">
        <v>4437</v>
      </c>
      <c r="BM425" s="219" t="s">
        <v>4437</v>
      </c>
      <c r="BN425" s="257" t="s">
        <v>5732</v>
      </c>
      <c r="BO425" s="257"/>
      <c r="BP425" s="257"/>
      <c r="BQ425" s="257"/>
      <c r="BR425" s="258"/>
      <c r="BS425" s="223"/>
      <c r="BT425" s="223"/>
    </row>
    <row r="426" spans="1:112" s="240" customFormat="1" ht="27" hidden="1" customHeight="1">
      <c r="A426" s="207">
        <v>422</v>
      </c>
      <c r="B426" s="197" t="s">
        <v>4396</v>
      </c>
      <c r="C426" s="207" t="s">
        <v>4427</v>
      </c>
      <c r="D426" s="207">
        <v>1</v>
      </c>
      <c r="E426" s="207" t="s">
        <v>4398</v>
      </c>
      <c r="F426" s="214" t="s">
        <v>6268</v>
      </c>
      <c r="G426" s="207" t="s">
        <v>4400</v>
      </c>
      <c r="H426" s="207" t="s">
        <v>4401</v>
      </c>
      <c r="I426" s="217" t="s">
        <v>4402</v>
      </c>
      <c r="J426" s="215" t="s">
        <v>6269</v>
      </c>
      <c r="K426" s="215" t="s">
        <v>4398</v>
      </c>
      <c r="L426" s="215" t="s">
        <v>6270</v>
      </c>
      <c r="M426" s="207" t="s">
        <v>4405</v>
      </c>
      <c r="N426" s="207" t="s">
        <v>4442</v>
      </c>
      <c r="O426" s="202" t="s">
        <v>4409</v>
      </c>
      <c r="P426" s="202" t="s">
        <v>4409</v>
      </c>
      <c r="Q426" s="202" t="s">
        <v>4409</v>
      </c>
      <c r="R426" s="202" t="s">
        <v>4409</v>
      </c>
      <c r="S426" s="202" t="s">
        <v>4409</v>
      </c>
      <c r="T426" s="202" t="s">
        <v>4409</v>
      </c>
      <c r="U426" s="202" t="s">
        <v>4409</v>
      </c>
      <c r="V426" s="202" t="s">
        <v>4409</v>
      </c>
      <c r="W426" s="202" t="s">
        <v>4409</v>
      </c>
      <c r="X426" s="202" t="s">
        <v>4409</v>
      </c>
      <c r="Y426" s="202"/>
      <c r="Z426" s="202"/>
      <c r="AA426" s="215" t="s">
        <v>6269</v>
      </c>
      <c r="AB426" s="215" t="s">
        <v>4398</v>
      </c>
      <c r="AC426" s="215" t="s">
        <v>6270</v>
      </c>
      <c r="AD426" s="207" t="s">
        <v>4402</v>
      </c>
      <c r="AE426" s="207" t="s">
        <v>4405</v>
      </c>
      <c r="AF426" s="218">
        <v>24160.23</v>
      </c>
      <c r="AG426" s="218">
        <f>AF426+30000</f>
        <v>54160.229999999996</v>
      </c>
      <c r="AH426" s="207" t="s">
        <v>4433</v>
      </c>
      <c r="AI426" s="214" t="s">
        <v>4411</v>
      </c>
      <c r="AJ426" s="207">
        <v>147058442</v>
      </c>
      <c r="AK426" s="316">
        <v>46001</v>
      </c>
      <c r="AL426" s="316">
        <v>46001</v>
      </c>
      <c r="AM426" s="316">
        <v>46001</v>
      </c>
      <c r="AN426" s="316">
        <v>46001</v>
      </c>
      <c r="AO426" s="316">
        <v>46001</v>
      </c>
      <c r="AP426" s="316">
        <v>46001</v>
      </c>
      <c r="AQ426" s="314"/>
      <c r="AR426" s="315" t="str">
        <f t="shared" si="28"/>
        <v>FINALIZADO</v>
      </c>
      <c r="AS426" s="207" t="s">
        <v>4423</v>
      </c>
      <c r="AT426" s="207"/>
      <c r="AU426" s="220" t="s">
        <v>6271</v>
      </c>
      <c r="AV426" s="207" t="s">
        <v>4425</v>
      </c>
      <c r="AW426" s="207" t="s">
        <v>4425</v>
      </c>
      <c r="AX426" s="207" t="s">
        <v>4425</v>
      </c>
      <c r="AY426" s="207" t="s">
        <v>4425</v>
      </c>
      <c r="AZ426" s="202">
        <v>46020</v>
      </c>
      <c r="BA426" s="219" t="s">
        <v>4425</v>
      </c>
      <c r="BB426" s="207" t="s">
        <v>4425</v>
      </c>
      <c r="BC426" s="208">
        <v>46024</v>
      </c>
      <c r="BD426" s="227">
        <v>46024</v>
      </c>
      <c r="BE426" s="226" t="s">
        <v>4435</v>
      </c>
      <c r="BF426" s="228" t="s">
        <v>4436</v>
      </c>
      <c r="BG426" s="229" t="s">
        <v>4425</v>
      </c>
      <c r="BH426" s="321">
        <f t="shared" si="29"/>
        <v>23</v>
      </c>
      <c r="BI426" s="98" t="str">
        <f t="shared" si="30"/>
        <v>INDENIZAÇÃO</v>
      </c>
      <c r="BJ426" s="98" t="str">
        <f t="shared" si="31"/>
        <v>NÃO</v>
      </c>
      <c r="BK426" s="230" t="s">
        <v>4437</v>
      </c>
      <c r="BL426" s="230" t="s">
        <v>4437</v>
      </c>
      <c r="BM426" s="230" t="s">
        <v>4437</v>
      </c>
      <c r="BN426" s="265" t="s">
        <v>5732</v>
      </c>
      <c r="BO426" s="265"/>
      <c r="BP426" s="265"/>
      <c r="BQ426" s="265"/>
      <c r="BR426" s="231"/>
    </row>
    <row r="427" spans="1:112" s="240" customFormat="1" ht="27" hidden="1" customHeight="1">
      <c r="A427" s="207">
        <v>423</v>
      </c>
      <c r="B427" s="197" t="s">
        <v>4396</v>
      </c>
      <c r="C427" s="207" t="s">
        <v>4427</v>
      </c>
      <c r="D427" s="207">
        <v>1</v>
      </c>
      <c r="E427" s="207" t="s">
        <v>4398</v>
      </c>
      <c r="F427" s="214" t="s">
        <v>6272</v>
      </c>
      <c r="G427" s="207" t="s">
        <v>4400</v>
      </c>
      <c r="H427" s="207" t="s">
        <v>4401</v>
      </c>
      <c r="I427" s="217" t="s">
        <v>4402</v>
      </c>
      <c r="J427" s="215" t="s">
        <v>6273</v>
      </c>
      <c r="K427" s="215" t="s">
        <v>6274</v>
      </c>
      <c r="L427" s="215" t="s">
        <v>6275</v>
      </c>
      <c r="M427" s="207" t="s">
        <v>4405</v>
      </c>
      <c r="N427" s="207" t="s">
        <v>4442</v>
      </c>
      <c r="O427" s="202" t="s">
        <v>4409</v>
      </c>
      <c r="P427" s="202" t="s">
        <v>4409</v>
      </c>
      <c r="Q427" s="202" t="s">
        <v>4409</v>
      </c>
      <c r="R427" s="202" t="s">
        <v>4409</v>
      </c>
      <c r="S427" s="202" t="s">
        <v>4409</v>
      </c>
      <c r="T427" s="202" t="s">
        <v>4409</v>
      </c>
      <c r="U427" s="202" t="s">
        <v>4409</v>
      </c>
      <c r="V427" s="202" t="s">
        <v>4409</v>
      </c>
      <c r="W427" s="202" t="s">
        <v>4409</v>
      </c>
      <c r="X427" s="202" t="s">
        <v>4409</v>
      </c>
      <c r="Y427" s="202"/>
      <c r="Z427" s="202"/>
      <c r="AA427" s="215" t="s">
        <v>6273</v>
      </c>
      <c r="AB427" s="215" t="s">
        <v>6274</v>
      </c>
      <c r="AC427" s="215" t="s">
        <v>6275</v>
      </c>
      <c r="AD427" s="207" t="s">
        <v>4402</v>
      </c>
      <c r="AE427" s="207" t="s">
        <v>4405</v>
      </c>
      <c r="AF427" s="218">
        <v>22050.51</v>
      </c>
      <c r="AG427" s="218">
        <f>AF427+30000</f>
        <v>52050.509999999995</v>
      </c>
      <c r="AH427" s="207" t="s">
        <v>4433</v>
      </c>
      <c r="AI427" s="214" t="s">
        <v>4411</v>
      </c>
      <c r="AJ427" s="207">
        <v>147058948</v>
      </c>
      <c r="AK427" s="316">
        <v>46001</v>
      </c>
      <c r="AL427" s="316">
        <v>46001</v>
      </c>
      <c r="AM427" s="316">
        <v>46001</v>
      </c>
      <c r="AN427" s="316">
        <v>46001</v>
      </c>
      <c r="AO427" s="316">
        <v>46001</v>
      </c>
      <c r="AP427" s="316">
        <v>46001</v>
      </c>
      <c r="AQ427" s="314"/>
      <c r="AR427" s="315" t="str">
        <f t="shared" si="28"/>
        <v>FINALIZADO</v>
      </c>
      <c r="AS427" s="207" t="s">
        <v>4423</v>
      </c>
      <c r="AT427" s="219"/>
      <c r="AU427" s="220" t="s">
        <v>6276</v>
      </c>
      <c r="AV427" s="207" t="s">
        <v>4425</v>
      </c>
      <c r="AW427" s="207" t="s">
        <v>4425</v>
      </c>
      <c r="AX427" s="207" t="s">
        <v>4425</v>
      </c>
      <c r="AY427" s="207" t="s">
        <v>4425</v>
      </c>
      <c r="AZ427" s="202">
        <v>46009</v>
      </c>
      <c r="BA427" s="219" t="s">
        <v>4425</v>
      </c>
      <c r="BB427" s="207" t="s">
        <v>4425</v>
      </c>
      <c r="BC427" s="239">
        <v>46021</v>
      </c>
      <c r="BD427" s="226">
        <v>46021</v>
      </c>
      <c r="BE427" s="227" t="s">
        <v>4435</v>
      </c>
      <c r="BF427" s="228" t="s">
        <v>4436</v>
      </c>
      <c r="BG427" s="229" t="s">
        <v>4425</v>
      </c>
      <c r="BH427" s="321">
        <f t="shared" si="29"/>
        <v>20</v>
      </c>
      <c r="BI427" s="98" t="str">
        <f t="shared" si="30"/>
        <v>INDENIZAÇÃO</v>
      </c>
      <c r="BJ427" s="98" t="str">
        <f t="shared" si="31"/>
        <v>NÃO</v>
      </c>
      <c r="BK427" s="230" t="s">
        <v>4437</v>
      </c>
      <c r="BL427" s="230" t="s">
        <v>4437</v>
      </c>
      <c r="BM427" s="230" t="s">
        <v>4437</v>
      </c>
      <c r="BN427" s="207" t="s">
        <v>4425</v>
      </c>
      <c r="BO427" s="207" t="s">
        <v>4425</v>
      </c>
      <c r="BP427" s="202">
        <v>46205</v>
      </c>
      <c r="BQ427" s="207" t="s">
        <v>4425</v>
      </c>
      <c r="BR427" s="232" t="s">
        <v>4435</v>
      </c>
    </row>
    <row r="428" spans="1:112" s="240" customFormat="1" ht="27" hidden="1" customHeight="1">
      <c r="A428" s="207">
        <v>424</v>
      </c>
      <c r="B428" s="197" t="s">
        <v>4396</v>
      </c>
      <c r="C428" s="207" t="s">
        <v>4427</v>
      </c>
      <c r="D428" s="207">
        <v>1</v>
      </c>
      <c r="E428" s="207" t="s">
        <v>4398</v>
      </c>
      <c r="F428" s="214" t="s">
        <v>6277</v>
      </c>
      <c r="G428" s="207" t="s">
        <v>4400</v>
      </c>
      <c r="H428" s="207" t="s">
        <v>4401</v>
      </c>
      <c r="I428" s="217" t="s">
        <v>4414</v>
      </c>
      <c r="J428" s="215" t="s">
        <v>6278</v>
      </c>
      <c r="K428" s="215" t="s">
        <v>6279</v>
      </c>
      <c r="L428" s="215" t="s">
        <v>6280</v>
      </c>
      <c r="M428" s="207" t="s">
        <v>4405</v>
      </c>
      <c r="N428" s="207" t="s">
        <v>4406</v>
      </c>
      <c r="O428" s="202">
        <v>45986</v>
      </c>
      <c r="P428" s="203" t="s">
        <v>4407</v>
      </c>
      <c r="Q428" s="203">
        <v>45985</v>
      </c>
      <c r="R428" s="203">
        <v>45986</v>
      </c>
      <c r="S428" s="203">
        <v>45987</v>
      </c>
      <c r="T428" s="203">
        <v>45992</v>
      </c>
      <c r="U428" s="202" t="s">
        <v>4408</v>
      </c>
      <c r="V428" s="202" t="s">
        <v>4408</v>
      </c>
      <c r="W428" s="202">
        <v>45999</v>
      </c>
      <c r="X428" s="202">
        <v>46000</v>
      </c>
      <c r="Y428" s="202"/>
      <c r="Z428" s="207"/>
      <c r="AA428" s="215" t="s">
        <v>6281</v>
      </c>
      <c r="AB428" s="215" t="s">
        <v>6279</v>
      </c>
      <c r="AC428" s="215" t="s">
        <v>6282</v>
      </c>
      <c r="AD428" s="217" t="s">
        <v>4421</v>
      </c>
      <c r="AE428" s="207" t="s">
        <v>4405</v>
      </c>
      <c r="AF428" s="218">
        <v>42929.26</v>
      </c>
      <c r="AG428" s="218">
        <v>42929.26</v>
      </c>
      <c r="AH428" s="207" t="s">
        <v>6283</v>
      </c>
      <c r="AI428" s="214" t="s">
        <v>4411</v>
      </c>
      <c r="AJ428" s="207">
        <v>147059051</v>
      </c>
      <c r="AK428" s="316">
        <v>45996</v>
      </c>
      <c r="AL428" s="316">
        <v>45996</v>
      </c>
      <c r="AM428" s="316">
        <v>45996</v>
      </c>
      <c r="AN428" s="316">
        <v>45996</v>
      </c>
      <c r="AO428" s="316">
        <v>45996</v>
      </c>
      <c r="AP428" s="316">
        <v>45996</v>
      </c>
      <c r="AQ428" s="314"/>
      <c r="AR428" s="315" t="str">
        <f t="shared" si="28"/>
        <v>FINALIZADO</v>
      </c>
      <c r="AS428" s="207"/>
      <c r="AT428" s="207"/>
      <c r="AU428" s="220"/>
      <c r="AV428" s="207"/>
      <c r="AW428" s="207"/>
      <c r="AX428" s="207"/>
      <c r="AY428" s="207"/>
      <c r="AZ428" s="202"/>
      <c r="BA428" s="219"/>
      <c r="BB428" s="207"/>
      <c r="BC428" s="202"/>
      <c r="BD428" s="208"/>
      <c r="BE428" s="202"/>
      <c r="BF428" s="207"/>
      <c r="BG428" s="229"/>
      <c r="BH428" s="321" t="str">
        <f t="shared" si="29"/>
        <v/>
      </c>
      <c r="BI428" s="98" t="str">
        <f t="shared" si="30"/>
        <v>INDENIZAÇÃO</v>
      </c>
      <c r="BJ428" s="98" t="str">
        <f t="shared" si="31"/>
        <v>NÃO</v>
      </c>
      <c r="BK428" s="230"/>
      <c r="BL428" s="230"/>
      <c r="BM428" s="230"/>
      <c r="BN428" s="230"/>
      <c r="BO428" s="230"/>
      <c r="BP428" s="230"/>
      <c r="BQ428" s="230"/>
      <c r="BR428" s="234"/>
    </row>
    <row r="429" spans="1:112" s="240" customFormat="1" ht="27" hidden="1" customHeight="1">
      <c r="A429" s="197">
        <v>425</v>
      </c>
      <c r="B429" s="197" t="s">
        <v>4396</v>
      </c>
      <c r="C429" s="207" t="s">
        <v>4427</v>
      </c>
      <c r="D429" s="207">
        <v>1</v>
      </c>
      <c r="E429" s="207" t="s">
        <v>4398</v>
      </c>
      <c r="F429" s="214" t="s">
        <v>6284</v>
      </c>
      <c r="G429" s="207" t="s">
        <v>4400</v>
      </c>
      <c r="H429" s="207" t="s">
        <v>4401</v>
      </c>
      <c r="I429" s="217" t="s">
        <v>4402</v>
      </c>
      <c r="J429" s="215" t="s">
        <v>6285</v>
      </c>
      <c r="K429" s="215" t="s">
        <v>6286</v>
      </c>
      <c r="L429" s="215" t="s">
        <v>6287</v>
      </c>
      <c r="M429" s="207" t="s">
        <v>4405</v>
      </c>
      <c r="N429" s="207" t="s">
        <v>4406</v>
      </c>
      <c r="O429" s="202">
        <v>45986</v>
      </c>
      <c r="P429" s="203" t="s">
        <v>4407</v>
      </c>
      <c r="Q429" s="203">
        <v>45985</v>
      </c>
      <c r="R429" s="203">
        <v>45986</v>
      </c>
      <c r="S429" s="203">
        <v>45987</v>
      </c>
      <c r="T429" s="203">
        <v>45992</v>
      </c>
      <c r="U429" s="202" t="s">
        <v>4408</v>
      </c>
      <c r="V429" s="202" t="s">
        <v>4408</v>
      </c>
      <c r="W429" s="202">
        <v>45999</v>
      </c>
      <c r="X429" s="202">
        <v>46001</v>
      </c>
      <c r="Y429" s="202"/>
      <c r="Z429" s="207"/>
      <c r="AA429" s="215" t="s">
        <v>6285</v>
      </c>
      <c r="AB429" s="215" t="s">
        <v>6286</v>
      </c>
      <c r="AC429" s="215" t="s">
        <v>6287</v>
      </c>
      <c r="AD429" s="217" t="s">
        <v>4402</v>
      </c>
      <c r="AE429" s="207" t="s">
        <v>4405</v>
      </c>
      <c r="AF429" s="218" t="s">
        <v>4409</v>
      </c>
      <c r="AG429" s="218" t="s">
        <v>4409</v>
      </c>
      <c r="AH429" s="241" t="s">
        <v>4410</v>
      </c>
      <c r="AI429" s="214" t="s">
        <v>4411</v>
      </c>
      <c r="AJ429" s="207"/>
      <c r="AK429" s="316">
        <v>45980</v>
      </c>
      <c r="AL429" s="316">
        <v>45980</v>
      </c>
      <c r="AM429" s="316">
        <v>45980</v>
      </c>
      <c r="AN429" s="316">
        <v>45980</v>
      </c>
      <c r="AO429" s="316">
        <v>45980</v>
      </c>
      <c r="AP429" s="316">
        <v>45980</v>
      </c>
      <c r="AQ429" s="314"/>
      <c r="AR429" s="315" t="str">
        <f t="shared" si="28"/>
        <v>FINALIZADO</v>
      </c>
      <c r="AS429" s="207"/>
      <c r="AT429" s="207"/>
      <c r="AU429" s="220"/>
      <c r="AV429" s="207"/>
      <c r="AW429" s="207"/>
      <c r="AX429" s="207" t="s">
        <v>4409</v>
      </c>
      <c r="AY429" s="207" t="s">
        <v>4409</v>
      </c>
      <c r="AZ429" s="207" t="s">
        <v>4409</v>
      </c>
      <c r="BA429" s="207" t="s">
        <v>4409</v>
      </c>
      <c r="BB429" s="207"/>
      <c r="BC429" s="202"/>
      <c r="BD429" s="208"/>
      <c r="BE429" s="202"/>
      <c r="BF429" s="207"/>
      <c r="BG429" s="229"/>
      <c r="BH429" s="321" t="str">
        <f t="shared" si="29"/>
        <v/>
      </c>
      <c r="BI429" s="98" t="str">
        <f t="shared" si="30"/>
        <v>AA</v>
      </c>
      <c r="BJ429" s="98" t="str">
        <f t="shared" si="31"/>
        <v>NÃO</v>
      </c>
      <c r="BK429" s="230"/>
      <c r="BL429" s="230"/>
      <c r="BM429" s="230"/>
      <c r="BN429" s="230"/>
      <c r="BO429" s="230"/>
      <c r="BP429" s="230"/>
      <c r="BQ429" s="230"/>
      <c r="BR429" s="234"/>
    </row>
    <row r="430" spans="1:112" s="240" customFormat="1" ht="27" hidden="1" customHeight="1">
      <c r="A430" s="197">
        <v>426</v>
      </c>
      <c r="B430" s="197" t="s">
        <v>4396</v>
      </c>
      <c r="C430" s="207" t="s">
        <v>4427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4402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46001</v>
      </c>
      <c r="Y430" s="203"/>
      <c r="Z430" s="219"/>
      <c r="AA430" s="215" t="s">
        <v>6289</v>
      </c>
      <c r="AB430" s="215" t="s">
        <v>6290</v>
      </c>
      <c r="AC430" s="215" t="s">
        <v>6291</v>
      </c>
      <c r="AD430" s="217" t="s">
        <v>4402</v>
      </c>
      <c r="AE430" s="207" t="s">
        <v>4405</v>
      </c>
      <c r="AF430" s="218" t="s">
        <v>4409</v>
      </c>
      <c r="AG430" s="218" t="s">
        <v>4409</v>
      </c>
      <c r="AH430" s="204" t="s">
        <v>4410</v>
      </c>
      <c r="AI430" s="214" t="s">
        <v>4411</v>
      </c>
      <c r="AJ430" s="207"/>
      <c r="AK430" s="316">
        <v>45980</v>
      </c>
      <c r="AL430" s="316">
        <v>45980</v>
      </c>
      <c r="AM430" s="316">
        <v>45980</v>
      </c>
      <c r="AN430" s="316">
        <v>45980</v>
      </c>
      <c r="AO430" s="316">
        <v>45980</v>
      </c>
      <c r="AP430" s="316">
        <v>45980</v>
      </c>
      <c r="AQ430" s="314"/>
      <c r="AR430" s="315" t="str">
        <f t="shared" si="28"/>
        <v>FINALIZADO</v>
      </c>
      <c r="AS430" s="207"/>
      <c r="AT430" s="219"/>
      <c r="AU430" s="220"/>
      <c r="AV430" s="207"/>
      <c r="AW430" s="207"/>
      <c r="AX430" s="207" t="s">
        <v>4409</v>
      </c>
      <c r="AY430" s="207" t="s">
        <v>4409</v>
      </c>
      <c r="AZ430" s="207" t="s">
        <v>4409</v>
      </c>
      <c r="BA430" s="207" t="s">
        <v>4409</v>
      </c>
      <c r="BB430" s="219"/>
      <c r="BC430" s="219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AA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207">
        <v>427</v>
      </c>
      <c r="B431" s="197" t="s">
        <v>4396</v>
      </c>
      <c r="C431" s="207" t="s">
        <v>4427</v>
      </c>
      <c r="D431" s="207">
        <v>1</v>
      </c>
      <c r="E431" s="207" t="s">
        <v>4398</v>
      </c>
      <c r="F431" s="214" t="s">
        <v>6292</v>
      </c>
      <c r="G431" s="207" t="s">
        <v>4400</v>
      </c>
      <c r="H431" s="207" t="s">
        <v>4401</v>
      </c>
      <c r="I431" s="217" t="s">
        <v>4402</v>
      </c>
      <c r="J431" s="215" t="s">
        <v>6293</v>
      </c>
      <c r="K431" s="215" t="s">
        <v>4398</v>
      </c>
      <c r="L431" s="215" t="s">
        <v>6294</v>
      </c>
      <c r="M431" s="207" t="s">
        <v>4405</v>
      </c>
      <c r="N431" s="207" t="s">
        <v>4432</v>
      </c>
      <c r="O431" s="202" t="s">
        <v>4409</v>
      </c>
      <c r="P431" s="202" t="s">
        <v>4409</v>
      </c>
      <c r="Q431" s="202" t="s">
        <v>4409</v>
      </c>
      <c r="R431" s="202" t="s">
        <v>4409</v>
      </c>
      <c r="S431" s="202" t="s">
        <v>4409</v>
      </c>
      <c r="T431" s="202" t="s">
        <v>4409</v>
      </c>
      <c r="U431" s="202" t="s">
        <v>4409</v>
      </c>
      <c r="V431" s="202" t="s">
        <v>4409</v>
      </c>
      <c r="W431" s="202" t="s">
        <v>4409</v>
      </c>
      <c r="X431" s="202" t="s">
        <v>4409</v>
      </c>
      <c r="Y431" s="202"/>
      <c r="Z431" s="202"/>
      <c r="AA431" s="200" t="s">
        <v>6293</v>
      </c>
      <c r="AB431" s="200" t="s">
        <v>4398</v>
      </c>
      <c r="AC431" s="200" t="s">
        <v>6294</v>
      </c>
      <c r="AD431" s="197" t="s">
        <v>4402</v>
      </c>
      <c r="AE431" s="197" t="s">
        <v>4405</v>
      </c>
      <c r="AF431" s="243">
        <v>8592.5499999999993</v>
      </c>
      <c r="AG431" s="243">
        <v>38592.550000000003</v>
      </c>
      <c r="AH431" s="197" t="s">
        <v>4433</v>
      </c>
      <c r="AI431" s="214" t="s">
        <v>4411</v>
      </c>
      <c r="AJ431" s="207">
        <v>154259494</v>
      </c>
      <c r="AK431" s="316">
        <v>46129</v>
      </c>
      <c r="AL431" s="316">
        <v>46129</v>
      </c>
      <c r="AM431" s="316">
        <v>46129</v>
      </c>
      <c r="AN431" s="316">
        <v>46129</v>
      </c>
      <c r="AO431" s="316">
        <v>46129</v>
      </c>
      <c r="AP431" s="316">
        <v>46129</v>
      </c>
      <c r="AQ431" s="314"/>
      <c r="AR431" s="315" t="str">
        <f t="shared" si="28"/>
        <v>FINALIZADO</v>
      </c>
      <c r="AS431" s="207" t="s">
        <v>4423</v>
      </c>
      <c r="AT431" s="207"/>
      <c r="AU431" s="220" t="s">
        <v>6295</v>
      </c>
      <c r="AV431" s="250" t="s">
        <v>4425</v>
      </c>
      <c r="AW431" s="207" t="s">
        <v>4425</v>
      </c>
      <c r="AX431" s="207" t="s">
        <v>4818</v>
      </c>
      <c r="AY431" s="207" t="s">
        <v>4818</v>
      </c>
      <c r="AZ431" s="202">
        <v>46233</v>
      </c>
      <c r="BA431" s="207" t="s">
        <v>4425</v>
      </c>
      <c r="BB431" s="207" t="s">
        <v>4425</v>
      </c>
      <c r="BC431" s="202">
        <v>46261</v>
      </c>
      <c r="BD431" s="264">
        <v>46261</v>
      </c>
      <c r="BE431" s="226" t="s">
        <v>4435</v>
      </c>
      <c r="BF431" s="228" t="s">
        <v>4436</v>
      </c>
      <c r="BG431" s="219" t="s">
        <v>4425</v>
      </c>
      <c r="BH431" s="321">
        <f t="shared" si="29"/>
        <v>132</v>
      </c>
      <c r="BI431" s="98" t="str">
        <f t="shared" si="30"/>
        <v>INDENIZAÇÃO</v>
      </c>
      <c r="BJ431" s="98" t="str">
        <f t="shared" si="31"/>
        <v>NÃO</v>
      </c>
      <c r="BK431" s="219" t="s">
        <v>4437</v>
      </c>
      <c r="BL431" s="219" t="s">
        <v>4437</v>
      </c>
      <c r="BM431" s="219" t="s">
        <v>4437</v>
      </c>
      <c r="BN431" s="257" t="s">
        <v>5732</v>
      </c>
      <c r="BO431" s="257"/>
      <c r="BP431" s="257"/>
      <c r="BQ431" s="257"/>
      <c r="BR431" s="258"/>
      <c r="BS431" s="161"/>
      <c r="BT431" s="161"/>
      <c r="BU431" s="161"/>
    </row>
    <row r="432" spans="1:112" s="240" customFormat="1" ht="27" hidden="1" customHeight="1">
      <c r="A432" s="207">
        <v>428</v>
      </c>
      <c r="B432" s="197" t="s">
        <v>4396</v>
      </c>
      <c r="C432" s="207" t="s">
        <v>4427</v>
      </c>
      <c r="D432" s="207">
        <v>1</v>
      </c>
      <c r="E432" s="207" t="s">
        <v>4398</v>
      </c>
      <c r="F432" s="214" t="s">
        <v>6296</v>
      </c>
      <c r="G432" s="207" t="s">
        <v>4400</v>
      </c>
      <c r="H432" s="207" t="s">
        <v>4401</v>
      </c>
      <c r="I432" s="217" t="s">
        <v>4402</v>
      </c>
      <c r="J432" s="215" t="s">
        <v>6297</v>
      </c>
      <c r="K432" s="215" t="s">
        <v>6298</v>
      </c>
      <c r="L432" s="215" t="s">
        <v>6299</v>
      </c>
      <c r="M432" s="207" t="s">
        <v>4405</v>
      </c>
      <c r="N432" s="207" t="s">
        <v>4406</v>
      </c>
      <c r="O432" s="202">
        <v>46106</v>
      </c>
      <c r="P432" s="202" t="s">
        <v>4407</v>
      </c>
      <c r="Q432" s="202">
        <v>46106</v>
      </c>
      <c r="R432" s="202">
        <v>46107</v>
      </c>
      <c r="S432" s="202">
        <v>46111</v>
      </c>
      <c r="T432" s="202">
        <v>46087</v>
      </c>
      <c r="U432" s="202" t="s">
        <v>4408</v>
      </c>
      <c r="V432" s="202" t="s">
        <v>4408</v>
      </c>
      <c r="W432" s="202">
        <v>46132</v>
      </c>
      <c r="X432" s="202">
        <v>46129</v>
      </c>
      <c r="Y432" s="203"/>
      <c r="Z432" s="219"/>
      <c r="AA432" s="215" t="s">
        <v>6297</v>
      </c>
      <c r="AB432" s="215" t="s">
        <v>6298</v>
      </c>
      <c r="AC432" s="215" t="s">
        <v>6299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197" t="s">
        <v>4410</v>
      </c>
      <c r="AI432" s="214" t="s">
        <v>4411</v>
      </c>
      <c r="AJ432" s="207"/>
      <c r="AK432" s="316">
        <v>46001</v>
      </c>
      <c r="AL432" s="316">
        <v>46001</v>
      </c>
      <c r="AM432" s="316">
        <v>46001</v>
      </c>
      <c r="AN432" s="316">
        <v>46001</v>
      </c>
      <c r="AO432" s="316">
        <v>46001</v>
      </c>
      <c r="AP432" s="316">
        <v>46001</v>
      </c>
      <c r="AQ432" s="314"/>
      <c r="AR432" s="315" t="str">
        <f t="shared" si="28"/>
        <v>FINALIZADO</v>
      </c>
      <c r="AS432" s="207"/>
      <c r="AT432" s="219"/>
      <c r="AU432" s="220"/>
      <c r="AV432" s="219"/>
      <c r="AW432" s="219"/>
      <c r="AX432" s="219"/>
      <c r="AY432" s="219"/>
      <c r="AZ432" s="219"/>
      <c r="BA432" s="219"/>
      <c r="BB432" s="219"/>
      <c r="BC432" s="219"/>
      <c r="BD432" s="208"/>
      <c r="BE432" s="203"/>
      <c r="BF432" s="219"/>
      <c r="BG432" s="21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19"/>
      <c r="BL432" s="221"/>
      <c r="BM432" s="221"/>
      <c r="BN432" s="219"/>
      <c r="BO432" s="219"/>
      <c r="BP432" s="219"/>
      <c r="BQ432" s="219"/>
      <c r="BR432" s="222"/>
    </row>
    <row r="433" spans="1:71" s="240" customFormat="1" ht="27" hidden="1" customHeight="1">
      <c r="A433" s="207">
        <v>429</v>
      </c>
      <c r="B433" s="197" t="s">
        <v>4396</v>
      </c>
      <c r="C433" s="207" t="s">
        <v>4427</v>
      </c>
      <c r="D433" s="207">
        <v>1</v>
      </c>
      <c r="E433" s="207" t="s">
        <v>4398</v>
      </c>
      <c r="F433" s="214" t="s">
        <v>6300</v>
      </c>
      <c r="G433" s="207" t="s">
        <v>4400</v>
      </c>
      <c r="H433" s="207" t="s">
        <v>4401</v>
      </c>
      <c r="I433" s="217" t="s">
        <v>4402</v>
      </c>
      <c r="J433" s="215" t="s">
        <v>6301</v>
      </c>
      <c r="K433" s="215" t="s">
        <v>6302</v>
      </c>
      <c r="L433" s="215" t="s">
        <v>6303</v>
      </c>
      <c r="M433" s="207" t="s">
        <v>4405</v>
      </c>
      <c r="N433" s="207" t="s">
        <v>4406</v>
      </c>
      <c r="O433" s="202">
        <v>45986</v>
      </c>
      <c r="P433" s="203" t="s">
        <v>4407</v>
      </c>
      <c r="Q433" s="203">
        <v>45985</v>
      </c>
      <c r="R433" s="203">
        <v>45986</v>
      </c>
      <c r="S433" s="203">
        <v>45987</v>
      </c>
      <c r="T433" s="203">
        <v>45992</v>
      </c>
      <c r="U433" s="203" t="s">
        <v>4408</v>
      </c>
      <c r="V433" s="203" t="s">
        <v>4408</v>
      </c>
      <c r="W433" s="202">
        <v>45999</v>
      </c>
      <c r="X433" s="202">
        <v>46000</v>
      </c>
      <c r="Y433" s="203"/>
      <c r="Z433" s="219"/>
      <c r="AA433" s="215" t="s">
        <v>6301</v>
      </c>
      <c r="AB433" s="215" t="s">
        <v>6302</v>
      </c>
      <c r="AC433" s="215" t="s">
        <v>6303</v>
      </c>
      <c r="AD433" s="217" t="s">
        <v>4402</v>
      </c>
      <c r="AE433" s="207" t="s">
        <v>4405</v>
      </c>
      <c r="AF433" s="218" t="s">
        <v>4409</v>
      </c>
      <c r="AG433" s="218" t="s">
        <v>4409</v>
      </c>
      <c r="AH433" s="241" t="s">
        <v>4410</v>
      </c>
      <c r="AI433" s="214" t="s">
        <v>4411</v>
      </c>
      <c r="AJ433" s="207"/>
      <c r="AK433" s="317">
        <v>45978</v>
      </c>
      <c r="AL433" s="317">
        <v>45978</v>
      </c>
      <c r="AM433" s="317">
        <v>45978</v>
      </c>
      <c r="AN433" s="317">
        <v>45978</v>
      </c>
      <c r="AO433" s="317">
        <v>45978</v>
      </c>
      <c r="AP433" s="317">
        <v>45978</v>
      </c>
      <c r="AQ433" s="314"/>
      <c r="AR433" s="315" t="str">
        <f t="shared" si="28"/>
        <v>FINALIZADO</v>
      </c>
      <c r="AS433" s="207"/>
      <c r="AT433" s="219"/>
      <c r="AU433" s="220"/>
      <c r="AV433" s="197"/>
      <c r="AW433" s="207"/>
      <c r="AX433" s="207" t="s">
        <v>4409</v>
      </c>
      <c r="AY433" s="207" t="s">
        <v>4409</v>
      </c>
      <c r="AZ433" s="207" t="s">
        <v>4409</v>
      </c>
      <c r="BA433" s="207" t="s">
        <v>4409</v>
      </c>
      <c r="BB433" s="219"/>
      <c r="BC433" s="219"/>
      <c r="BD433" s="208"/>
      <c r="BE433" s="202"/>
      <c r="BF433" s="207"/>
      <c r="BG433" s="229"/>
      <c r="BH433" s="321" t="str">
        <f t="shared" si="29"/>
        <v/>
      </c>
      <c r="BI433" s="98" t="str">
        <f t="shared" si="30"/>
        <v>AA</v>
      </c>
      <c r="BJ433" s="98" t="str">
        <f t="shared" si="31"/>
        <v>NÃO</v>
      </c>
      <c r="BK433" s="230"/>
      <c r="BL433" s="230"/>
      <c r="BM433" s="230"/>
      <c r="BN433" s="230"/>
      <c r="BO433" s="230"/>
      <c r="BP433" s="230"/>
      <c r="BQ433" s="230"/>
      <c r="BR433" s="234"/>
    </row>
    <row r="434" spans="1:71" s="240" customFormat="1" ht="27" hidden="1" customHeight="1">
      <c r="A434" s="197">
        <v>430</v>
      </c>
      <c r="B434" s="197" t="s">
        <v>4396</v>
      </c>
      <c r="C434" s="207" t="s">
        <v>4427</v>
      </c>
      <c r="D434" s="207">
        <v>1</v>
      </c>
      <c r="E434" s="207" t="s">
        <v>4398</v>
      </c>
      <c r="F434" s="214" t="s">
        <v>6304</v>
      </c>
      <c r="G434" s="207" t="s">
        <v>4400</v>
      </c>
      <c r="H434" s="207" t="s">
        <v>4401</v>
      </c>
      <c r="I434" s="217" t="s">
        <v>4402</v>
      </c>
      <c r="J434" s="242" t="s">
        <v>6305</v>
      </c>
      <c r="K434" s="215" t="s">
        <v>6306</v>
      </c>
      <c r="L434" s="215" t="s">
        <v>6307</v>
      </c>
      <c r="M434" s="207" t="s">
        <v>4405</v>
      </c>
      <c r="N434" s="207" t="s">
        <v>4406</v>
      </c>
      <c r="O434" s="202">
        <v>45986</v>
      </c>
      <c r="P434" s="203" t="s">
        <v>4407</v>
      </c>
      <c r="Q434" s="203">
        <v>45985</v>
      </c>
      <c r="R434" s="203">
        <v>45986</v>
      </c>
      <c r="S434" s="203">
        <v>45987</v>
      </c>
      <c r="T434" s="203">
        <v>45992</v>
      </c>
      <c r="U434" s="202" t="s">
        <v>4408</v>
      </c>
      <c r="V434" s="202" t="s">
        <v>4408</v>
      </c>
      <c r="W434" s="202">
        <v>45999</v>
      </c>
      <c r="X434" s="202">
        <v>46000</v>
      </c>
      <c r="Y434" s="202"/>
      <c r="Z434" s="207"/>
      <c r="AA434" s="242" t="s">
        <v>6305</v>
      </c>
      <c r="AB434" s="215" t="s">
        <v>6306</v>
      </c>
      <c r="AC434" s="215" t="s">
        <v>6307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204" t="s">
        <v>4410</v>
      </c>
      <c r="AI434" s="214" t="s">
        <v>4411</v>
      </c>
      <c r="AJ434" s="207"/>
      <c r="AK434" s="316">
        <v>45980</v>
      </c>
      <c r="AL434" s="316">
        <v>45980</v>
      </c>
      <c r="AM434" s="316">
        <v>45980</v>
      </c>
      <c r="AN434" s="316">
        <v>45980</v>
      </c>
      <c r="AO434" s="316">
        <v>45980</v>
      </c>
      <c r="AP434" s="316">
        <v>45980</v>
      </c>
      <c r="AQ434" s="314"/>
      <c r="AR434" s="315" t="str">
        <f t="shared" si="28"/>
        <v>FINALIZADO</v>
      </c>
      <c r="AS434" s="207"/>
      <c r="AT434" s="207"/>
      <c r="AU434" s="220"/>
      <c r="AV434" s="207"/>
      <c r="AW434" s="207"/>
      <c r="AX434" s="207" t="s">
        <v>4409</v>
      </c>
      <c r="AY434" s="207" t="s">
        <v>4409</v>
      </c>
      <c r="AZ434" s="207" t="s">
        <v>4409</v>
      </c>
      <c r="BA434" s="207" t="s">
        <v>4409</v>
      </c>
      <c r="BB434" s="207"/>
      <c r="BC434" s="202"/>
      <c r="BD434" s="208"/>
      <c r="BE434" s="202"/>
      <c r="BF434" s="207"/>
      <c r="BG434" s="22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30"/>
      <c r="BL434" s="230"/>
      <c r="BM434" s="230"/>
      <c r="BN434" s="230"/>
      <c r="BO434" s="230"/>
      <c r="BP434" s="230"/>
      <c r="BQ434" s="230"/>
      <c r="BR434" s="234"/>
    </row>
    <row r="435" spans="1:71" s="240" customFormat="1" ht="27" hidden="1" customHeight="1">
      <c r="A435" s="197">
        <v>431</v>
      </c>
      <c r="B435" s="197" t="s">
        <v>4396</v>
      </c>
      <c r="C435" s="207" t="s">
        <v>4427</v>
      </c>
      <c r="D435" s="207">
        <v>1</v>
      </c>
      <c r="E435" s="207" t="s">
        <v>4398</v>
      </c>
      <c r="F435" s="214" t="s">
        <v>6308</v>
      </c>
      <c r="G435" s="207" t="s">
        <v>4400</v>
      </c>
      <c r="H435" s="207" t="s">
        <v>4401</v>
      </c>
      <c r="I435" s="217" t="s">
        <v>4402</v>
      </c>
      <c r="J435" s="215" t="s">
        <v>6309</v>
      </c>
      <c r="K435" s="215" t="s">
        <v>4440</v>
      </c>
      <c r="L435" s="215" t="s">
        <v>6310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2" t="s">
        <v>4408</v>
      </c>
      <c r="V435" s="202" t="s">
        <v>4408</v>
      </c>
      <c r="W435" s="202">
        <v>45999</v>
      </c>
      <c r="X435" s="202">
        <v>46010</v>
      </c>
      <c r="Y435" s="202"/>
      <c r="Z435" s="207"/>
      <c r="AA435" s="215" t="s">
        <v>6309</v>
      </c>
      <c r="AB435" s="215" t="s">
        <v>4440</v>
      </c>
      <c r="AC435" s="215" t="s">
        <v>6310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04" t="s">
        <v>4410</v>
      </c>
      <c r="AI435" s="214" t="s">
        <v>4411</v>
      </c>
      <c r="AJ435" s="207"/>
      <c r="AK435" s="316">
        <v>45980</v>
      </c>
      <c r="AL435" s="316">
        <v>45980</v>
      </c>
      <c r="AM435" s="316">
        <v>45980</v>
      </c>
      <c r="AN435" s="316">
        <v>45980</v>
      </c>
      <c r="AO435" s="316">
        <v>45980</v>
      </c>
      <c r="AP435" s="316">
        <v>45980</v>
      </c>
      <c r="AQ435" s="314"/>
      <c r="AR435" s="315" t="str">
        <f t="shared" si="28"/>
        <v>FINALIZADO</v>
      </c>
      <c r="AS435" s="207"/>
      <c r="AT435" s="207"/>
      <c r="AU435" s="220"/>
      <c r="AV435" s="20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07"/>
      <c r="BC435" s="202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1" s="240" customFormat="1" ht="27" hidden="1" customHeight="1">
      <c r="A436" s="207">
        <v>432</v>
      </c>
      <c r="B436" s="197" t="s">
        <v>4396</v>
      </c>
      <c r="C436" s="207" t="s">
        <v>4427</v>
      </c>
      <c r="D436" s="207">
        <v>1</v>
      </c>
      <c r="E436" s="207" t="s">
        <v>4398</v>
      </c>
      <c r="F436" s="214" t="s">
        <v>6311</v>
      </c>
      <c r="G436" s="207" t="s">
        <v>4400</v>
      </c>
      <c r="H436" s="207" t="s">
        <v>4401</v>
      </c>
      <c r="I436" s="217" t="s">
        <v>4402</v>
      </c>
      <c r="J436" s="215" t="s">
        <v>6312</v>
      </c>
      <c r="K436" s="215" t="s">
        <v>4440</v>
      </c>
      <c r="L436" s="215" t="s">
        <v>6313</v>
      </c>
      <c r="M436" s="207" t="s">
        <v>4405</v>
      </c>
      <c r="N436" s="207" t="s">
        <v>4406</v>
      </c>
      <c r="O436" s="202">
        <v>46147</v>
      </c>
      <c r="P436" s="202" t="s">
        <v>4407</v>
      </c>
      <c r="Q436" s="203">
        <v>46136</v>
      </c>
      <c r="R436" s="202">
        <v>46147</v>
      </c>
      <c r="S436" s="203">
        <v>46156</v>
      </c>
      <c r="T436" s="203">
        <v>46168</v>
      </c>
      <c r="U436" s="203" t="s">
        <v>4408</v>
      </c>
      <c r="V436" s="203" t="s">
        <v>4408</v>
      </c>
      <c r="W436" s="279">
        <v>46196</v>
      </c>
      <c r="X436" s="202">
        <v>46196</v>
      </c>
      <c r="Y436" s="202"/>
      <c r="Z436" s="202"/>
      <c r="AA436" s="200" t="s">
        <v>6312</v>
      </c>
      <c r="AB436" s="200" t="s">
        <v>4440</v>
      </c>
      <c r="AC436" s="200" t="s">
        <v>6313</v>
      </c>
      <c r="AD436" s="197" t="s">
        <v>4402</v>
      </c>
      <c r="AE436" s="197" t="s">
        <v>4405</v>
      </c>
      <c r="AF436" s="218" t="s">
        <v>4409</v>
      </c>
      <c r="AG436" s="218" t="s">
        <v>4409</v>
      </c>
      <c r="AH436" s="197" t="s">
        <v>4410</v>
      </c>
      <c r="AI436" s="214" t="s">
        <v>4411</v>
      </c>
      <c r="AJ436" s="207"/>
      <c r="AK436" s="316">
        <v>46050</v>
      </c>
      <c r="AL436" s="316">
        <v>46050</v>
      </c>
      <c r="AM436" s="316">
        <v>46050</v>
      </c>
      <c r="AN436" s="316">
        <v>46050</v>
      </c>
      <c r="AO436" s="316">
        <v>46050</v>
      </c>
      <c r="AP436" s="316">
        <v>46050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/>
      <c r="AY436" s="207"/>
      <c r="AZ436" s="202"/>
      <c r="BA436" s="219"/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1" s="240" customFormat="1" ht="27" hidden="1" customHeight="1">
      <c r="A437" s="207">
        <v>433</v>
      </c>
      <c r="B437" s="197" t="s">
        <v>4396</v>
      </c>
      <c r="C437" s="207" t="s">
        <v>4427</v>
      </c>
      <c r="D437" s="207">
        <v>1</v>
      </c>
      <c r="E437" s="250" t="s">
        <v>4398</v>
      </c>
      <c r="F437" s="214" t="s">
        <v>6314</v>
      </c>
      <c r="G437" s="207" t="s">
        <v>4400</v>
      </c>
      <c r="H437" s="207" t="s">
        <v>4401</v>
      </c>
      <c r="I437" s="217" t="s">
        <v>4402</v>
      </c>
      <c r="J437" s="215" t="s">
        <v>6315</v>
      </c>
      <c r="K437" s="215" t="s">
        <v>6316</v>
      </c>
      <c r="L437" s="215" t="s">
        <v>6317</v>
      </c>
      <c r="M437" s="207" t="s">
        <v>4405</v>
      </c>
      <c r="N437" s="207" t="s">
        <v>4442</v>
      </c>
      <c r="O437" s="202" t="s">
        <v>4409</v>
      </c>
      <c r="P437" s="202" t="s">
        <v>4409</v>
      </c>
      <c r="Q437" s="202" t="s">
        <v>4409</v>
      </c>
      <c r="R437" s="202" t="s">
        <v>4409</v>
      </c>
      <c r="S437" s="202" t="s">
        <v>4409</v>
      </c>
      <c r="T437" s="202" t="s">
        <v>4409</v>
      </c>
      <c r="U437" s="202" t="s">
        <v>4409</v>
      </c>
      <c r="V437" s="202" t="s">
        <v>4409</v>
      </c>
      <c r="W437" s="202" t="s">
        <v>4409</v>
      </c>
      <c r="X437" s="202" t="s">
        <v>4409</v>
      </c>
      <c r="Y437" s="202"/>
      <c r="Z437" s="202"/>
      <c r="AA437" s="215" t="s">
        <v>6315</v>
      </c>
      <c r="AB437" s="215" t="s">
        <v>6318</v>
      </c>
      <c r="AC437" s="215" t="s">
        <v>6317</v>
      </c>
      <c r="AD437" s="207" t="s">
        <v>4402</v>
      </c>
      <c r="AE437" s="207" t="s">
        <v>4405</v>
      </c>
      <c r="AF437" s="218">
        <v>136614.56</v>
      </c>
      <c r="AG437" s="218">
        <v>136614.56</v>
      </c>
      <c r="AH437" s="207" t="s">
        <v>4422</v>
      </c>
      <c r="AI437" s="214" t="s">
        <v>4411</v>
      </c>
      <c r="AJ437" s="207">
        <v>151379310</v>
      </c>
      <c r="AK437" s="316">
        <v>46227</v>
      </c>
      <c r="AL437" s="316">
        <v>46227</v>
      </c>
      <c r="AM437" s="316">
        <v>46227</v>
      </c>
      <c r="AN437" s="316">
        <v>46227</v>
      </c>
      <c r="AO437" s="316">
        <v>46227</v>
      </c>
      <c r="AP437" s="316">
        <v>46227</v>
      </c>
      <c r="AQ437" s="314"/>
      <c r="AR437" s="315" t="str">
        <f t="shared" si="28"/>
        <v>FINALIZADO</v>
      </c>
      <c r="AS437" s="207" t="s">
        <v>4423</v>
      </c>
      <c r="AT437" s="207"/>
      <c r="AU437" s="220" t="s">
        <v>4435</v>
      </c>
      <c r="AV437" s="219" t="s">
        <v>5487</v>
      </c>
      <c r="AW437" s="207"/>
      <c r="AX437" s="207"/>
      <c r="AY437" s="207"/>
      <c r="AZ437" s="202"/>
      <c r="BA437" s="219"/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INDENIZAÇÃO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1" s="240" customFormat="1" ht="27" hidden="1" customHeight="1">
      <c r="A438" s="207">
        <v>434</v>
      </c>
      <c r="B438" s="197" t="s">
        <v>4396</v>
      </c>
      <c r="C438" s="207" t="s">
        <v>4427</v>
      </c>
      <c r="D438" s="207">
        <v>1</v>
      </c>
      <c r="E438" s="207" t="s">
        <v>4398</v>
      </c>
      <c r="F438" s="214" t="s">
        <v>6319</v>
      </c>
      <c r="G438" s="207" t="s">
        <v>4546</v>
      </c>
      <c r="H438" s="207" t="s">
        <v>4546</v>
      </c>
      <c r="I438" s="233" t="s">
        <v>4421</v>
      </c>
      <c r="J438" s="215" t="s">
        <v>6320</v>
      </c>
      <c r="K438" s="215" t="s">
        <v>6321</v>
      </c>
      <c r="L438" s="215" t="s">
        <v>6322</v>
      </c>
      <c r="M438" s="207" t="s">
        <v>4405</v>
      </c>
      <c r="N438" s="207" t="s">
        <v>4432</v>
      </c>
      <c r="O438" s="202" t="s">
        <v>4409</v>
      </c>
      <c r="P438" s="202" t="s">
        <v>4409</v>
      </c>
      <c r="Q438" s="202" t="s">
        <v>4409</v>
      </c>
      <c r="R438" s="202" t="s">
        <v>4409</v>
      </c>
      <c r="S438" s="202" t="s">
        <v>4409</v>
      </c>
      <c r="T438" s="202" t="s">
        <v>4409</v>
      </c>
      <c r="U438" s="202" t="s">
        <v>4409</v>
      </c>
      <c r="V438" s="202" t="s">
        <v>4409</v>
      </c>
      <c r="W438" s="202" t="s">
        <v>4409</v>
      </c>
      <c r="X438" s="202" t="s">
        <v>4409</v>
      </c>
      <c r="Y438" s="202"/>
      <c r="Z438" s="202"/>
      <c r="AA438" s="215" t="s">
        <v>6320</v>
      </c>
      <c r="AB438" s="215" t="s">
        <v>6321</v>
      </c>
      <c r="AC438" s="215" t="s">
        <v>6322</v>
      </c>
      <c r="AD438" s="233" t="s">
        <v>4421</v>
      </c>
      <c r="AE438" s="207" t="s">
        <v>4405</v>
      </c>
      <c r="AF438" s="218">
        <v>47849.98</v>
      </c>
      <c r="AG438" s="218">
        <v>47849.98</v>
      </c>
      <c r="AH438" s="207" t="s">
        <v>4422</v>
      </c>
      <c r="AI438" s="214" t="s">
        <v>4411</v>
      </c>
      <c r="AJ438" s="207">
        <v>163067072</v>
      </c>
      <c r="AK438" s="316">
        <v>46265</v>
      </c>
      <c r="AL438" s="316">
        <v>46267</v>
      </c>
      <c r="AM438" s="316">
        <v>46267</v>
      </c>
      <c r="AN438" s="316"/>
      <c r="AO438" s="316"/>
      <c r="AP438" s="316"/>
      <c r="AQ438" s="314" t="s">
        <v>14</v>
      </c>
      <c r="AR438" s="315" t="str">
        <f t="shared" si="28"/>
        <v>AGUARDANDO ASSINATURA CTS</v>
      </c>
      <c r="AS438" s="207"/>
      <c r="AT438" s="207" t="s">
        <v>6112</v>
      </c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INDENIZAÇÃO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1" s="240" customFormat="1" ht="27" hidden="1" customHeight="1">
      <c r="A439" s="197">
        <v>435</v>
      </c>
      <c r="B439" s="197" t="s">
        <v>4396</v>
      </c>
      <c r="C439" s="207" t="s">
        <v>4427</v>
      </c>
      <c r="D439" s="207">
        <v>1</v>
      </c>
      <c r="E439" s="207" t="s">
        <v>4398</v>
      </c>
      <c r="F439" s="214" t="s">
        <v>6323</v>
      </c>
      <c r="G439" s="207" t="s">
        <v>4400</v>
      </c>
      <c r="H439" s="207" t="s">
        <v>4401</v>
      </c>
      <c r="I439" s="249" t="s">
        <v>4402</v>
      </c>
      <c r="J439" s="215" t="s">
        <v>6324</v>
      </c>
      <c r="K439" s="215" t="s">
        <v>6325</v>
      </c>
      <c r="L439" s="215" t="s">
        <v>6326</v>
      </c>
      <c r="M439" s="207" t="s">
        <v>4405</v>
      </c>
      <c r="N439" s="207" t="s">
        <v>4406</v>
      </c>
      <c r="O439" s="202">
        <v>45986</v>
      </c>
      <c r="P439" s="203" t="s">
        <v>4407</v>
      </c>
      <c r="Q439" s="203">
        <v>45985</v>
      </c>
      <c r="R439" s="203">
        <v>45986</v>
      </c>
      <c r="S439" s="203">
        <v>45987</v>
      </c>
      <c r="T439" s="203">
        <v>45992</v>
      </c>
      <c r="U439" s="202" t="s">
        <v>4408</v>
      </c>
      <c r="V439" s="202" t="s">
        <v>4408</v>
      </c>
      <c r="W439" s="202">
        <v>45999</v>
      </c>
      <c r="X439" s="202">
        <v>46000</v>
      </c>
      <c r="Y439" s="202"/>
      <c r="Z439" s="207"/>
      <c r="AA439" s="215" t="s">
        <v>6324</v>
      </c>
      <c r="AB439" s="215" t="s">
        <v>6325</v>
      </c>
      <c r="AC439" s="215" t="s">
        <v>6326</v>
      </c>
      <c r="AD439" s="217" t="s">
        <v>4402</v>
      </c>
      <c r="AE439" s="207" t="s">
        <v>4405</v>
      </c>
      <c r="AF439" s="218" t="s">
        <v>4409</v>
      </c>
      <c r="AG439" s="218" t="s">
        <v>4409</v>
      </c>
      <c r="AH439" s="241" t="s">
        <v>4410</v>
      </c>
      <c r="AI439" s="214" t="s">
        <v>4411</v>
      </c>
      <c r="AJ439" s="207"/>
      <c r="AK439" s="316">
        <v>45980</v>
      </c>
      <c r="AL439" s="316">
        <v>45980</v>
      </c>
      <c r="AM439" s="316">
        <v>45980</v>
      </c>
      <c r="AN439" s="316">
        <v>45980</v>
      </c>
      <c r="AO439" s="316">
        <v>45980</v>
      </c>
      <c r="AP439" s="316">
        <v>45980</v>
      </c>
      <c r="AQ439" s="314"/>
      <c r="AR439" s="315" t="str">
        <f t="shared" si="28"/>
        <v>FINALIZADO</v>
      </c>
      <c r="AS439" s="207"/>
      <c r="AT439" s="207"/>
      <c r="AU439" s="220"/>
      <c r="AV439" s="207"/>
      <c r="AW439" s="207"/>
      <c r="AX439" s="207" t="s">
        <v>4409</v>
      </c>
      <c r="AY439" s="207" t="s">
        <v>4409</v>
      </c>
      <c r="AZ439" s="207" t="s">
        <v>4409</v>
      </c>
      <c r="BA439" s="207" t="s">
        <v>4409</v>
      </c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AA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1" s="240" customFormat="1" ht="27" hidden="1" customHeight="1">
      <c r="A440" s="197">
        <v>436</v>
      </c>
      <c r="B440" s="197" t="s">
        <v>4396</v>
      </c>
      <c r="C440" s="207" t="s">
        <v>4427</v>
      </c>
      <c r="D440" s="207">
        <v>1</v>
      </c>
      <c r="E440" s="207" t="s">
        <v>4398</v>
      </c>
      <c r="F440" s="214" t="s">
        <v>6327</v>
      </c>
      <c r="G440" s="207" t="s">
        <v>4400</v>
      </c>
      <c r="H440" s="207" t="s">
        <v>4401</v>
      </c>
      <c r="I440" s="217" t="s">
        <v>4402</v>
      </c>
      <c r="J440" s="215" t="s">
        <v>6328</v>
      </c>
      <c r="K440" s="215" t="s">
        <v>6329</v>
      </c>
      <c r="L440" s="215" t="s">
        <v>6330</v>
      </c>
      <c r="M440" s="207" t="s">
        <v>4405</v>
      </c>
      <c r="N440" s="207" t="s">
        <v>4442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81" t="s">
        <v>6331</v>
      </c>
      <c r="AB440" s="200" t="s">
        <v>6329</v>
      </c>
      <c r="AC440" s="200" t="s">
        <v>6330</v>
      </c>
      <c r="AD440" s="197" t="s">
        <v>4402</v>
      </c>
      <c r="AE440" s="197" t="s">
        <v>4405</v>
      </c>
      <c r="AF440" s="243">
        <v>26596.43</v>
      </c>
      <c r="AG440" s="243">
        <v>56596.43</v>
      </c>
      <c r="AH440" s="197" t="s">
        <v>4433</v>
      </c>
      <c r="AI440" s="214" t="s">
        <v>4411</v>
      </c>
      <c r="AJ440" s="207">
        <v>150610695</v>
      </c>
      <c r="AK440" s="316">
        <v>46099</v>
      </c>
      <c r="AL440" s="316">
        <v>46099</v>
      </c>
      <c r="AM440" s="316">
        <v>46099</v>
      </c>
      <c r="AN440" s="316">
        <v>46099</v>
      </c>
      <c r="AO440" s="316">
        <v>46099</v>
      </c>
      <c r="AP440" s="316">
        <v>46099</v>
      </c>
      <c r="AQ440" s="314"/>
      <c r="AR440" s="315" t="str">
        <f t="shared" si="28"/>
        <v>FINALIZADO</v>
      </c>
      <c r="AS440" s="207" t="s">
        <v>4423</v>
      </c>
      <c r="AT440" s="207"/>
      <c r="AU440" s="220" t="s">
        <v>6332</v>
      </c>
      <c r="AV440" s="207" t="s">
        <v>4425</v>
      </c>
      <c r="AW440" s="207" t="s">
        <v>4425</v>
      </c>
      <c r="AX440" s="207" t="s">
        <v>4425</v>
      </c>
      <c r="AY440" s="207" t="s">
        <v>4425</v>
      </c>
      <c r="AZ440" s="202">
        <v>46150</v>
      </c>
      <c r="BA440" s="207" t="s">
        <v>4425</v>
      </c>
      <c r="BB440" s="207" t="s">
        <v>4425</v>
      </c>
      <c r="BC440" s="202">
        <v>46234</v>
      </c>
      <c r="BD440" s="226">
        <v>46234</v>
      </c>
      <c r="BE440" s="227" t="s">
        <v>4435</v>
      </c>
      <c r="BF440" s="257" t="s">
        <v>4436</v>
      </c>
      <c r="BG440" s="219" t="s">
        <v>4425</v>
      </c>
      <c r="BH440" s="321">
        <f t="shared" si="29"/>
        <v>135</v>
      </c>
      <c r="BI440" s="98" t="str">
        <f t="shared" si="30"/>
        <v>INDENIZAÇÃO</v>
      </c>
      <c r="BJ440" s="98" t="str">
        <f t="shared" si="31"/>
        <v>NÃO</v>
      </c>
      <c r="BK440" s="219" t="s">
        <v>4437</v>
      </c>
      <c r="BL440" s="219" t="s">
        <v>4437</v>
      </c>
      <c r="BM440" s="219" t="s">
        <v>4437</v>
      </c>
      <c r="BN440" s="257" t="s">
        <v>5732</v>
      </c>
      <c r="BO440" s="257"/>
      <c r="BP440" s="257"/>
      <c r="BQ440" s="257"/>
      <c r="BR440" s="258"/>
      <c r="BS440" s="223"/>
    </row>
    <row r="441" spans="1:71" s="240" customFormat="1" ht="27" hidden="1" customHeight="1">
      <c r="A441" s="207">
        <v>437</v>
      </c>
      <c r="B441" s="197" t="s">
        <v>4396</v>
      </c>
      <c r="C441" s="207" t="s">
        <v>4427</v>
      </c>
      <c r="D441" s="207">
        <v>1</v>
      </c>
      <c r="E441" s="207" t="s">
        <v>4398</v>
      </c>
      <c r="F441" s="214" t="s">
        <v>6333</v>
      </c>
      <c r="G441" s="207" t="s">
        <v>4400</v>
      </c>
      <c r="H441" s="207" t="s">
        <v>4428</v>
      </c>
      <c r="I441" s="233" t="s">
        <v>4421</v>
      </c>
      <c r="J441" s="215" t="s">
        <v>6334</v>
      </c>
      <c r="K441" s="215" t="s">
        <v>6335</v>
      </c>
      <c r="L441" s="215" t="s">
        <v>6336</v>
      </c>
      <c r="M441" s="207" t="s">
        <v>4405</v>
      </c>
      <c r="N441" s="207" t="s">
        <v>4442</v>
      </c>
      <c r="O441" s="202" t="s">
        <v>4409</v>
      </c>
      <c r="P441" s="202" t="s">
        <v>4409</v>
      </c>
      <c r="Q441" s="202" t="s">
        <v>4409</v>
      </c>
      <c r="R441" s="202" t="s">
        <v>4409</v>
      </c>
      <c r="S441" s="202" t="s">
        <v>4409</v>
      </c>
      <c r="T441" s="202" t="s">
        <v>4409</v>
      </c>
      <c r="U441" s="202" t="s">
        <v>4409</v>
      </c>
      <c r="V441" s="202" t="s">
        <v>4409</v>
      </c>
      <c r="W441" s="202" t="s">
        <v>4409</v>
      </c>
      <c r="X441" s="202" t="s">
        <v>4409</v>
      </c>
      <c r="Y441" s="202"/>
      <c r="Z441" s="202"/>
      <c r="AA441" s="282" t="s">
        <v>6334</v>
      </c>
      <c r="AB441" s="215" t="s">
        <v>6335</v>
      </c>
      <c r="AC441" s="215" t="s">
        <v>6336</v>
      </c>
      <c r="AD441" s="233" t="s">
        <v>4421</v>
      </c>
      <c r="AE441" s="207" t="s">
        <v>4405</v>
      </c>
      <c r="AF441" s="218">
        <v>88066.78</v>
      </c>
      <c r="AG441" s="218">
        <v>88066.78</v>
      </c>
      <c r="AH441" s="207" t="s">
        <v>4433</v>
      </c>
      <c r="AI441" s="214" t="s">
        <v>4411</v>
      </c>
      <c r="AJ441" s="207">
        <v>150610887</v>
      </c>
      <c r="AK441" s="316">
        <v>46111</v>
      </c>
      <c r="AL441" s="316">
        <v>46111</v>
      </c>
      <c r="AM441" s="316">
        <v>46111</v>
      </c>
      <c r="AN441" s="316">
        <v>46111</v>
      </c>
      <c r="AO441" s="316">
        <v>46111</v>
      </c>
      <c r="AP441" s="316">
        <v>46111</v>
      </c>
      <c r="AQ441" s="314"/>
      <c r="AR441" s="315" t="str">
        <f t="shared" si="28"/>
        <v>FINALIZADO</v>
      </c>
      <c r="AS441" s="207" t="s">
        <v>4423</v>
      </c>
      <c r="AT441" s="207"/>
      <c r="AU441" s="220" t="s">
        <v>6337</v>
      </c>
      <c r="AV441" s="207" t="s">
        <v>4425</v>
      </c>
      <c r="AW441" s="207" t="s">
        <v>4425</v>
      </c>
      <c r="AX441" s="207" t="s">
        <v>4425</v>
      </c>
      <c r="AY441" s="207" t="s">
        <v>4425</v>
      </c>
      <c r="AZ441" s="202">
        <v>46153</v>
      </c>
      <c r="BA441" s="207" t="s">
        <v>4425</v>
      </c>
      <c r="BB441" s="207" t="s">
        <v>4425</v>
      </c>
      <c r="BC441" s="202">
        <v>46161</v>
      </c>
      <c r="BD441" s="227">
        <v>46161</v>
      </c>
      <c r="BE441" s="227" t="s">
        <v>4435</v>
      </c>
      <c r="BF441" s="228" t="s">
        <v>4436</v>
      </c>
      <c r="BG441" s="219" t="s">
        <v>4425</v>
      </c>
      <c r="BH441" s="321">
        <f t="shared" si="29"/>
        <v>50</v>
      </c>
      <c r="BI441" s="98" t="str">
        <f t="shared" si="30"/>
        <v>INDENIZAÇÃO</v>
      </c>
      <c r="BJ441" s="98" t="str">
        <f t="shared" si="31"/>
        <v>NÃO</v>
      </c>
      <c r="BK441" s="219" t="s">
        <v>4437</v>
      </c>
      <c r="BL441" s="219" t="s">
        <v>4437</v>
      </c>
      <c r="BM441" s="219" t="s">
        <v>4437</v>
      </c>
      <c r="BN441" s="257" t="s">
        <v>5732</v>
      </c>
      <c r="BO441" s="257"/>
      <c r="BP441" s="257"/>
      <c r="BQ441" s="257"/>
      <c r="BR441" s="258"/>
    </row>
    <row r="442" spans="1:71" s="240" customFormat="1" ht="27" hidden="1" customHeight="1">
      <c r="A442" s="207">
        <v>438</v>
      </c>
      <c r="B442" s="197" t="s">
        <v>4396</v>
      </c>
      <c r="C442" s="207" t="s">
        <v>4427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4583</v>
      </c>
      <c r="I442" s="249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4442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15" t="s">
        <v>6339</v>
      </c>
      <c r="AB442" s="215" t="s">
        <v>6340</v>
      </c>
      <c r="AC442" s="215" t="s">
        <v>6341</v>
      </c>
      <c r="AD442" s="207" t="s">
        <v>4402</v>
      </c>
      <c r="AE442" s="207" t="s">
        <v>4405</v>
      </c>
      <c r="AF442" s="218">
        <v>52681.2</v>
      </c>
      <c r="AG442" s="218">
        <v>60000</v>
      </c>
      <c r="AH442" s="207" t="s">
        <v>4433</v>
      </c>
      <c r="AI442" s="214" t="s">
        <v>4411</v>
      </c>
      <c r="AJ442" s="207">
        <v>148265516</v>
      </c>
      <c r="AK442" s="316">
        <v>46045</v>
      </c>
      <c r="AL442" s="316">
        <v>46045</v>
      </c>
      <c r="AM442" s="316">
        <v>46045</v>
      </c>
      <c r="AN442" s="316">
        <v>46045</v>
      </c>
      <c r="AO442" s="316">
        <v>46045</v>
      </c>
      <c r="AP442" s="316">
        <v>46045</v>
      </c>
      <c r="AQ442" s="314"/>
      <c r="AR442" s="315" t="str">
        <f t="shared" si="28"/>
        <v>FINALIZADO</v>
      </c>
      <c r="AS442" s="207" t="s">
        <v>4423</v>
      </c>
      <c r="AT442" s="207"/>
      <c r="AU442" s="220" t="s">
        <v>6342</v>
      </c>
      <c r="AV442" s="207" t="s">
        <v>4425</v>
      </c>
      <c r="AW442" s="207" t="s">
        <v>4425</v>
      </c>
      <c r="AX442" s="207" t="s">
        <v>4425</v>
      </c>
      <c r="AY442" s="197" t="s">
        <v>4425</v>
      </c>
      <c r="AZ442" s="202">
        <v>46153</v>
      </c>
      <c r="BA442" s="207" t="s">
        <v>4425</v>
      </c>
      <c r="BB442" s="207" t="s">
        <v>4425</v>
      </c>
      <c r="BC442" s="202">
        <v>46161</v>
      </c>
      <c r="BD442" s="227">
        <v>46161</v>
      </c>
      <c r="BE442" s="227" t="s">
        <v>4435</v>
      </c>
      <c r="BF442" s="228" t="s">
        <v>4436</v>
      </c>
      <c r="BG442" s="219" t="s">
        <v>4425</v>
      </c>
      <c r="BH442" s="321">
        <f t="shared" si="29"/>
        <v>116</v>
      </c>
      <c r="BI442" s="98" t="str">
        <f t="shared" si="30"/>
        <v>INDENIZAÇÃO</v>
      </c>
      <c r="BJ442" s="98" t="str">
        <f t="shared" si="31"/>
        <v>NÃO</v>
      </c>
      <c r="BK442" s="219" t="s">
        <v>4437</v>
      </c>
      <c r="BL442" s="219" t="s">
        <v>4437</v>
      </c>
      <c r="BM442" s="219" t="s">
        <v>4437</v>
      </c>
      <c r="BN442" s="257" t="s">
        <v>5732</v>
      </c>
      <c r="BO442" s="257"/>
      <c r="BP442" s="257"/>
      <c r="BQ442" s="257"/>
      <c r="BR442" s="258"/>
    </row>
    <row r="443" spans="1:71" s="240" customFormat="1" ht="27" hidden="1" customHeight="1">
      <c r="A443" s="207">
        <v>439</v>
      </c>
      <c r="B443" s="197" t="s">
        <v>4396</v>
      </c>
      <c r="C443" s="207" t="s">
        <v>4427</v>
      </c>
      <c r="D443" s="207">
        <v>1</v>
      </c>
      <c r="E443" s="207" t="s">
        <v>4398</v>
      </c>
      <c r="F443" s="214" t="s">
        <v>6343</v>
      </c>
      <c r="G443" s="207" t="s">
        <v>4400</v>
      </c>
      <c r="H443" s="207" t="s">
        <v>4401</v>
      </c>
      <c r="I443" s="217" t="s">
        <v>4402</v>
      </c>
      <c r="J443" s="215" t="s">
        <v>6344</v>
      </c>
      <c r="K443" s="215" t="s">
        <v>6345</v>
      </c>
      <c r="L443" s="215" t="s">
        <v>6346</v>
      </c>
      <c r="M443" s="207" t="s">
        <v>4405</v>
      </c>
      <c r="N443" s="207" t="s">
        <v>4406</v>
      </c>
      <c r="O443" s="202">
        <v>45986</v>
      </c>
      <c r="P443" s="203" t="s">
        <v>4407</v>
      </c>
      <c r="Q443" s="203">
        <v>45985</v>
      </c>
      <c r="R443" s="203">
        <v>45986</v>
      </c>
      <c r="S443" s="203">
        <v>45987</v>
      </c>
      <c r="T443" s="203">
        <v>45992</v>
      </c>
      <c r="U443" s="203" t="s">
        <v>4408</v>
      </c>
      <c r="V443" s="203" t="s">
        <v>4408</v>
      </c>
      <c r="W443" s="202">
        <v>45999</v>
      </c>
      <c r="X443" s="202">
        <v>46000</v>
      </c>
      <c r="Y443" s="203"/>
      <c r="Z443" s="219"/>
      <c r="AA443" s="215" t="s">
        <v>6344</v>
      </c>
      <c r="AB443" s="215" t="s">
        <v>6345</v>
      </c>
      <c r="AC443" s="215" t="s">
        <v>6346</v>
      </c>
      <c r="AD443" s="217" t="s">
        <v>4402</v>
      </c>
      <c r="AE443" s="207" t="s">
        <v>4405</v>
      </c>
      <c r="AF443" s="218" t="s">
        <v>4409</v>
      </c>
      <c r="AG443" s="218" t="s">
        <v>4409</v>
      </c>
      <c r="AH443" s="241" t="s">
        <v>4410</v>
      </c>
      <c r="AI443" s="214" t="s">
        <v>4411</v>
      </c>
      <c r="AJ443" s="207"/>
      <c r="AK443" s="316">
        <v>45980</v>
      </c>
      <c r="AL443" s="316">
        <v>45980</v>
      </c>
      <c r="AM443" s="316">
        <v>45980</v>
      </c>
      <c r="AN443" s="316">
        <v>45980</v>
      </c>
      <c r="AO443" s="316">
        <v>45980</v>
      </c>
      <c r="AP443" s="316">
        <v>45980</v>
      </c>
      <c r="AQ443" s="314"/>
      <c r="AR443" s="315" t="str">
        <f t="shared" si="28"/>
        <v>FINALIZADO</v>
      </c>
      <c r="AS443" s="207"/>
      <c r="AT443" s="219"/>
      <c r="AU443" s="220"/>
      <c r="AV443" s="207"/>
      <c r="AW443" s="207"/>
      <c r="AX443" s="207" t="s">
        <v>4409</v>
      </c>
      <c r="AY443" s="197" t="s">
        <v>4409</v>
      </c>
      <c r="AZ443" s="207" t="s">
        <v>4409</v>
      </c>
      <c r="BA443" s="207" t="s">
        <v>4409</v>
      </c>
      <c r="BB443" s="219"/>
      <c r="BC443" s="219"/>
      <c r="BD443" s="208"/>
      <c r="BE443" s="202"/>
      <c r="BF443" s="207"/>
      <c r="BG443" s="229"/>
      <c r="BH443" s="321" t="str">
        <f t="shared" si="29"/>
        <v/>
      </c>
      <c r="BI443" s="98" t="str">
        <f t="shared" si="30"/>
        <v>AA</v>
      </c>
      <c r="BJ443" s="98" t="str">
        <f t="shared" si="31"/>
        <v>NÃO</v>
      </c>
      <c r="BK443" s="230"/>
      <c r="BL443" s="230"/>
      <c r="BM443" s="230"/>
      <c r="BN443" s="230"/>
      <c r="BO443" s="230"/>
      <c r="BP443" s="230"/>
      <c r="BQ443" s="230"/>
      <c r="BR443" s="234"/>
    </row>
    <row r="444" spans="1:71" s="240" customFormat="1" ht="27" hidden="1" customHeight="1">
      <c r="A444" s="197">
        <v>440</v>
      </c>
      <c r="B444" s="197" t="s">
        <v>4396</v>
      </c>
      <c r="C444" s="207" t="s">
        <v>4427</v>
      </c>
      <c r="D444" s="207">
        <v>1</v>
      </c>
      <c r="E444" s="207" t="s">
        <v>4398</v>
      </c>
      <c r="F444" s="214" t="s">
        <v>6347</v>
      </c>
      <c r="G444" s="207" t="s">
        <v>4400</v>
      </c>
      <c r="H444" s="207" t="s">
        <v>4401</v>
      </c>
      <c r="I444" s="217" t="s">
        <v>4402</v>
      </c>
      <c r="J444" s="215" t="s">
        <v>6348</v>
      </c>
      <c r="K444" s="215" t="s">
        <v>6349</v>
      </c>
      <c r="L444" s="215" t="s">
        <v>6350</v>
      </c>
      <c r="M444" s="207" t="s">
        <v>4405</v>
      </c>
      <c r="N444" s="207" t="s">
        <v>4406</v>
      </c>
      <c r="O444" s="202">
        <v>45986</v>
      </c>
      <c r="P444" s="203" t="s">
        <v>4407</v>
      </c>
      <c r="Q444" s="203">
        <v>45985</v>
      </c>
      <c r="R444" s="203">
        <v>45986</v>
      </c>
      <c r="S444" s="203">
        <v>45987</v>
      </c>
      <c r="T444" s="203">
        <v>45992</v>
      </c>
      <c r="U444" s="203" t="s">
        <v>4408</v>
      </c>
      <c r="V444" s="203" t="s">
        <v>4408</v>
      </c>
      <c r="W444" s="202">
        <v>45999</v>
      </c>
      <c r="X444" s="202">
        <v>46000</v>
      </c>
      <c r="Y444" s="203"/>
      <c r="Z444" s="219"/>
      <c r="AA444" s="215" t="s">
        <v>6348</v>
      </c>
      <c r="AB444" s="215" t="s">
        <v>6349</v>
      </c>
      <c r="AC444" s="215" t="s">
        <v>6350</v>
      </c>
      <c r="AD444" s="217" t="s">
        <v>4402</v>
      </c>
      <c r="AE444" s="207" t="s">
        <v>4405</v>
      </c>
      <c r="AF444" s="218" t="s">
        <v>4409</v>
      </c>
      <c r="AG444" s="218" t="s">
        <v>4409</v>
      </c>
      <c r="AH444" s="241" t="s">
        <v>4410</v>
      </c>
      <c r="AI444" s="214" t="s">
        <v>4411</v>
      </c>
      <c r="AJ444" s="207"/>
      <c r="AK444" s="316">
        <v>45980</v>
      </c>
      <c r="AL444" s="316">
        <v>45980</v>
      </c>
      <c r="AM444" s="316">
        <v>45980</v>
      </c>
      <c r="AN444" s="316">
        <v>45980</v>
      </c>
      <c r="AO444" s="316">
        <v>45980</v>
      </c>
      <c r="AP444" s="316">
        <v>45980</v>
      </c>
      <c r="AQ444" s="314"/>
      <c r="AR444" s="315" t="str">
        <f t="shared" si="28"/>
        <v>FINALIZADO</v>
      </c>
      <c r="AS444" s="207"/>
      <c r="AT444" s="219"/>
      <c r="AU444" s="220"/>
      <c r="AV444" s="207"/>
      <c r="AW444" s="207"/>
      <c r="AX444" s="207" t="s">
        <v>4409</v>
      </c>
      <c r="AY444" s="207" t="s">
        <v>4409</v>
      </c>
      <c r="AZ444" s="207" t="s">
        <v>4409</v>
      </c>
      <c r="BA444" s="207" t="s">
        <v>4409</v>
      </c>
      <c r="BB444" s="219"/>
      <c r="BC444" s="219"/>
      <c r="BD444" s="208"/>
      <c r="BE444" s="202"/>
      <c r="BF444" s="207"/>
      <c r="BG444" s="229"/>
      <c r="BH444" s="321" t="str">
        <f t="shared" si="29"/>
        <v/>
      </c>
      <c r="BI444" s="98" t="str">
        <f t="shared" si="30"/>
        <v>AA</v>
      </c>
      <c r="BJ444" s="98" t="str">
        <f t="shared" si="31"/>
        <v>NÃO</v>
      </c>
      <c r="BK444" s="230"/>
      <c r="BL444" s="230"/>
      <c r="BM444" s="230"/>
      <c r="BN444" s="230"/>
      <c r="BO444" s="230"/>
      <c r="BP444" s="230"/>
      <c r="BQ444" s="230"/>
      <c r="BR444" s="234"/>
    </row>
    <row r="445" spans="1:71" s="240" customFormat="1" ht="27" hidden="1" customHeight="1">
      <c r="A445" s="197">
        <v>441</v>
      </c>
      <c r="B445" s="197" t="s">
        <v>4396</v>
      </c>
      <c r="C445" s="207" t="s">
        <v>4427</v>
      </c>
      <c r="D445" s="207">
        <v>1</v>
      </c>
      <c r="E445" s="207" t="s">
        <v>4398</v>
      </c>
      <c r="F445" s="214" t="s">
        <v>6351</v>
      </c>
      <c r="G445" s="207" t="s">
        <v>4400</v>
      </c>
      <c r="H445" s="207" t="s">
        <v>4401</v>
      </c>
      <c r="I445" s="217" t="s">
        <v>4402</v>
      </c>
      <c r="J445" s="215" t="s">
        <v>6352</v>
      </c>
      <c r="K445" s="215" t="s">
        <v>6353</v>
      </c>
      <c r="L445" s="215" t="s">
        <v>6354</v>
      </c>
      <c r="M445" s="207" t="s">
        <v>4405</v>
      </c>
      <c r="N445" s="207" t="s">
        <v>4406</v>
      </c>
      <c r="O445" s="202">
        <v>46002</v>
      </c>
      <c r="P445" s="202" t="s">
        <v>4407</v>
      </c>
      <c r="Q445" s="202">
        <v>45999</v>
      </c>
      <c r="R445" s="202">
        <v>46006</v>
      </c>
      <c r="S445" s="202">
        <v>46006</v>
      </c>
      <c r="T445" s="202">
        <v>46009</v>
      </c>
      <c r="U445" s="202" t="s">
        <v>4408</v>
      </c>
      <c r="V445" s="202" t="s">
        <v>4408</v>
      </c>
      <c r="W445" s="202">
        <v>46014</v>
      </c>
      <c r="X445" s="202">
        <v>46017</v>
      </c>
      <c r="Y445" s="203"/>
      <c r="Z445" s="219"/>
      <c r="AA445" s="215" t="s">
        <v>6352</v>
      </c>
      <c r="AB445" s="215" t="s">
        <v>6353</v>
      </c>
      <c r="AC445" s="215" t="s">
        <v>6354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197" t="s">
        <v>4410</v>
      </c>
      <c r="AI445" s="214" t="s">
        <v>4411</v>
      </c>
      <c r="AJ445" s="207"/>
      <c r="AK445" s="316">
        <v>45996</v>
      </c>
      <c r="AL445" s="316">
        <v>45996</v>
      </c>
      <c r="AM445" s="316">
        <v>45996</v>
      </c>
      <c r="AN445" s="316">
        <v>45996</v>
      </c>
      <c r="AO445" s="316">
        <v>45996</v>
      </c>
      <c r="AP445" s="316">
        <v>45996</v>
      </c>
      <c r="AQ445" s="314"/>
      <c r="AR445" s="315" t="str">
        <f t="shared" si="28"/>
        <v>FINALIZADO</v>
      </c>
      <c r="AS445" s="207"/>
      <c r="AT445" s="219"/>
      <c r="AU445" s="220"/>
      <c r="AV445" s="219"/>
      <c r="AW445" s="219"/>
      <c r="AX445" s="219"/>
      <c r="AY445" s="219"/>
      <c r="AZ445" s="219"/>
      <c r="BA445" s="219"/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1" s="240" customFormat="1" ht="27" hidden="1" customHeight="1">
      <c r="A446" s="207">
        <v>442</v>
      </c>
      <c r="B446" s="197" t="s">
        <v>4396</v>
      </c>
      <c r="C446" s="207" t="s">
        <v>4427</v>
      </c>
      <c r="D446" s="207">
        <v>1</v>
      </c>
      <c r="E446" s="207" t="s">
        <v>4398</v>
      </c>
      <c r="F446" s="214" t="s">
        <v>6355</v>
      </c>
      <c r="G446" s="207" t="s">
        <v>4400</v>
      </c>
      <c r="H446" s="207" t="s">
        <v>4401</v>
      </c>
      <c r="I446" s="217" t="s">
        <v>4402</v>
      </c>
      <c r="J446" s="215" t="s">
        <v>6356</v>
      </c>
      <c r="K446" s="215" t="s">
        <v>6357</v>
      </c>
      <c r="L446" s="215" t="s">
        <v>6358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2" t="s">
        <v>4408</v>
      </c>
      <c r="V446" s="202" t="s">
        <v>4408</v>
      </c>
      <c r="W446" s="202">
        <v>45999</v>
      </c>
      <c r="X446" s="202">
        <v>46001</v>
      </c>
      <c r="Y446" s="202"/>
      <c r="Z446" s="207"/>
      <c r="AA446" s="215" t="s">
        <v>6356</v>
      </c>
      <c r="AB446" s="215" t="s">
        <v>6357</v>
      </c>
      <c r="AC446" s="215" t="s">
        <v>6358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197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07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07"/>
      <c r="BC446" s="202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1" s="240" customFormat="1" ht="27" hidden="1" customHeight="1">
      <c r="A447" s="207">
        <v>443</v>
      </c>
      <c r="B447" s="197" t="s">
        <v>4396</v>
      </c>
      <c r="C447" s="207" t="s">
        <v>4427</v>
      </c>
      <c r="D447" s="207">
        <v>1</v>
      </c>
      <c r="E447" s="207" t="s">
        <v>4398</v>
      </c>
      <c r="F447" s="214" t="s">
        <v>6359</v>
      </c>
      <c r="G447" s="207" t="s">
        <v>4400</v>
      </c>
      <c r="H447" s="207" t="s">
        <v>4401</v>
      </c>
      <c r="I447" s="217" t="s">
        <v>4402</v>
      </c>
      <c r="J447" s="242" t="s">
        <v>6360</v>
      </c>
      <c r="K447" s="215" t="s">
        <v>6361</v>
      </c>
      <c r="L447" s="215" t="s">
        <v>6362</v>
      </c>
      <c r="M447" s="207" t="s">
        <v>4405</v>
      </c>
      <c r="N447" s="207" t="s">
        <v>4442</v>
      </c>
      <c r="O447" s="202" t="s">
        <v>4409</v>
      </c>
      <c r="P447" s="202" t="s">
        <v>4409</v>
      </c>
      <c r="Q447" s="202" t="s">
        <v>4409</v>
      </c>
      <c r="R447" s="202" t="s">
        <v>4409</v>
      </c>
      <c r="S447" s="202" t="s">
        <v>4409</v>
      </c>
      <c r="T447" s="202" t="s">
        <v>4409</v>
      </c>
      <c r="U447" s="202" t="s">
        <v>4409</v>
      </c>
      <c r="V447" s="202" t="s">
        <v>4409</v>
      </c>
      <c r="W447" s="202" t="s">
        <v>4409</v>
      </c>
      <c r="X447" s="202" t="s">
        <v>4409</v>
      </c>
      <c r="Y447" s="202"/>
      <c r="Z447" s="202"/>
      <c r="AA447" s="200" t="s">
        <v>6360</v>
      </c>
      <c r="AB447" s="200" t="s">
        <v>6361</v>
      </c>
      <c r="AC447" s="200" t="s">
        <v>6362</v>
      </c>
      <c r="AD447" s="197" t="s">
        <v>4402</v>
      </c>
      <c r="AE447" s="197" t="s">
        <v>4405</v>
      </c>
      <c r="AF447" s="243">
        <v>57756.74</v>
      </c>
      <c r="AG447" s="243">
        <v>60000</v>
      </c>
      <c r="AH447" s="197" t="s">
        <v>4433</v>
      </c>
      <c r="AI447" s="214" t="s">
        <v>4411</v>
      </c>
      <c r="AJ447" s="207">
        <v>147059234</v>
      </c>
      <c r="AK447" s="316">
        <v>46001</v>
      </c>
      <c r="AL447" s="316">
        <v>46001</v>
      </c>
      <c r="AM447" s="316">
        <v>46001</v>
      </c>
      <c r="AN447" s="316">
        <v>46001</v>
      </c>
      <c r="AO447" s="316">
        <v>46001</v>
      </c>
      <c r="AP447" s="316">
        <v>46001</v>
      </c>
      <c r="AQ447" s="314"/>
      <c r="AR447" s="315" t="str">
        <f t="shared" si="28"/>
        <v>FINALIZADO</v>
      </c>
      <c r="AS447" s="207" t="s">
        <v>4423</v>
      </c>
      <c r="AT447" s="207"/>
      <c r="AU447" s="220" t="s">
        <v>6363</v>
      </c>
      <c r="AV447" s="207" t="s">
        <v>4425</v>
      </c>
      <c r="AW447" s="207" t="s">
        <v>4425</v>
      </c>
      <c r="AX447" s="207" t="s">
        <v>4425</v>
      </c>
      <c r="AY447" s="207" t="s">
        <v>4425</v>
      </c>
      <c r="AZ447" s="203">
        <v>46024</v>
      </c>
      <c r="BA447" s="219" t="s">
        <v>4425</v>
      </c>
      <c r="BB447" s="207" t="s">
        <v>4425</v>
      </c>
      <c r="BC447" s="239">
        <v>46063</v>
      </c>
      <c r="BD447" s="226">
        <v>46063</v>
      </c>
      <c r="BE447" s="227" t="s">
        <v>4435</v>
      </c>
      <c r="BF447" s="228" t="s">
        <v>4436</v>
      </c>
      <c r="BG447" s="229" t="s">
        <v>4425</v>
      </c>
      <c r="BH447" s="321">
        <f t="shared" si="29"/>
        <v>62</v>
      </c>
      <c r="BI447" s="98" t="str">
        <f t="shared" si="30"/>
        <v>INDENIZAÇÃO</v>
      </c>
      <c r="BJ447" s="98" t="str">
        <f t="shared" si="31"/>
        <v>NÃO</v>
      </c>
      <c r="BK447" s="230" t="s">
        <v>4437</v>
      </c>
      <c r="BL447" s="230" t="s">
        <v>4437</v>
      </c>
      <c r="BM447" s="230" t="s">
        <v>4437</v>
      </c>
      <c r="BN447" s="265" t="s">
        <v>5732</v>
      </c>
      <c r="BO447" s="265"/>
      <c r="BP447" s="265"/>
      <c r="BQ447" s="265"/>
      <c r="BR447" s="231"/>
    </row>
    <row r="448" spans="1:71" s="240" customFormat="1" ht="27" hidden="1" customHeight="1">
      <c r="A448" s="207">
        <v>444</v>
      </c>
      <c r="B448" s="197" t="s">
        <v>4396</v>
      </c>
      <c r="C448" s="207" t="s">
        <v>4427</v>
      </c>
      <c r="D448" s="207">
        <v>1</v>
      </c>
      <c r="E448" s="207" t="s">
        <v>4398</v>
      </c>
      <c r="F448" s="214" t="s">
        <v>6364</v>
      </c>
      <c r="G448" s="207" t="s">
        <v>4400</v>
      </c>
      <c r="H448" s="207" t="s">
        <v>4401</v>
      </c>
      <c r="I448" s="217" t="s">
        <v>4402</v>
      </c>
      <c r="J448" s="242" t="s">
        <v>6365</v>
      </c>
      <c r="K448" s="215" t="s">
        <v>6366</v>
      </c>
      <c r="L448" s="215" t="s">
        <v>6367</v>
      </c>
      <c r="M448" s="207" t="s">
        <v>4405</v>
      </c>
      <c r="N448" s="207" t="s">
        <v>4442</v>
      </c>
      <c r="O448" s="202" t="s">
        <v>4409</v>
      </c>
      <c r="P448" s="202" t="s">
        <v>4409</v>
      </c>
      <c r="Q448" s="202" t="s">
        <v>4409</v>
      </c>
      <c r="R448" s="202" t="s">
        <v>4409</v>
      </c>
      <c r="S448" s="202" t="s">
        <v>4409</v>
      </c>
      <c r="T448" s="202" t="s">
        <v>4409</v>
      </c>
      <c r="U448" s="202" t="s">
        <v>4409</v>
      </c>
      <c r="V448" s="202" t="s">
        <v>4409</v>
      </c>
      <c r="W448" s="202" t="s">
        <v>4409</v>
      </c>
      <c r="X448" s="202" t="s">
        <v>4409</v>
      </c>
      <c r="Y448" s="202"/>
      <c r="Z448" s="202"/>
      <c r="AA448" s="215" t="s">
        <v>6365</v>
      </c>
      <c r="AB448" s="215" t="s">
        <v>6366</v>
      </c>
      <c r="AC448" s="215" t="s">
        <v>6367</v>
      </c>
      <c r="AD448" s="207" t="s">
        <v>4402</v>
      </c>
      <c r="AE448" s="207" t="s">
        <v>4405</v>
      </c>
      <c r="AF448" s="218">
        <v>30689.66</v>
      </c>
      <c r="AG448" s="218">
        <v>60000</v>
      </c>
      <c r="AH448" s="207" t="s">
        <v>4433</v>
      </c>
      <c r="AI448" s="214" t="s">
        <v>4411</v>
      </c>
      <c r="AJ448" s="207">
        <v>150611129</v>
      </c>
      <c r="AK448" s="316">
        <v>46077</v>
      </c>
      <c r="AL448" s="316">
        <v>46077</v>
      </c>
      <c r="AM448" s="316">
        <v>46077</v>
      </c>
      <c r="AN448" s="316">
        <v>46077</v>
      </c>
      <c r="AO448" s="316">
        <v>46077</v>
      </c>
      <c r="AP448" s="316">
        <v>46077</v>
      </c>
      <c r="AQ448" s="314"/>
      <c r="AR448" s="315" t="str">
        <f t="shared" si="28"/>
        <v>FINALIZADO</v>
      </c>
      <c r="AS448" s="207" t="s">
        <v>4423</v>
      </c>
      <c r="AT448" s="207"/>
      <c r="AU448" s="220" t="s">
        <v>6368</v>
      </c>
      <c r="AV448" s="207" t="s">
        <v>4425</v>
      </c>
      <c r="AW448" s="207" t="s">
        <v>4425</v>
      </c>
      <c r="AX448" s="207" t="s">
        <v>4425</v>
      </c>
      <c r="AY448" s="207" t="s">
        <v>4425</v>
      </c>
      <c r="AZ448" s="202">
        <v>46127</v>
      </c>
      <c r="BA448" s="207" t="s">
        <v>4425</v>
      </c>
      <c r="BB448" s="207" t="s">
        <v>4425</v>
      </c>
      <c r="BC448" s="202">
        <v>46154</v>
      </c>
      <c r="BD448" s="227">
        <v>46154</v>
      </c>
      <c r="BE448" s="227" t="s">
        <v>4435</v>
      </c>
      <c r="BF448" s="228" t="s">
        <v>4436</v>
      </c>
      <c r="BG448" s="229" t="s">
        <v>4425</v>
      </c>
      <c r="BH448" s="321">
        <f t="shared" si="29"/>
        <v>77</v>
      </c>
      <c r="BI448" s="98" t="str">
        <f t="shared" si="30"/>
        <v>INDENIZAÇÃO</v>
      </c>
      <c r="BJ448" s="98" t="str">
        <f t="shared" si="31"/>
        <v>NÃO</v>
      </c>
      <c r="BK448" s="230" t="s">
        <v>4437</v>
      </c>
      <c r="BL448" s="230" t="s">
        <v>4437</v>
      </c>
      <c r="BM448" s="230" t="s">
        <v>4437</v>
      </c>
      <c r="BN448" s="265" t="s">
        <v>5732</v>
      </c>
      <c r="BO448" s="265"/>
      <c r="BP448" s="265"/>
      <c r="BQ448" s="265"/>
      <c r="BR448" s="231"/>
    </row>
    <row r="449" spans="1:112" s="240" customFormat="1" ht="27" hidden="1" customHeight="1">
      <c r="A449" s="197">
        <v>445</v>
      </c>
      <c r="B449" s="197" t="s">
        <v>4396</v>
      </c>
      <c r="C449" s="207" t="s">
        <v>4427</v>
      </c>
      <c r="D449" s="207">
        <v>1</v>
      </c>
      <c r="E449" s="207" t="s">
        <v>4398</v>
      </c>
      <c r="F449" s="214" t="s">
        <v>6369</v>
      </c>
      <c r="G449" s="207" t="s">
        <v>4400</v>
      </c>
      <c r="H449" s="207" t="s">
        <v>4401</v>
      </c>
      <c r="I449" s="217" t="s">
        <v>4402</v>
      </c>
      <c r="J449" s="242" t="s">
        <v>6370</v>
      </c>
      <c r="K449" s="215" t="s">
        <v>6371</v>
      </c>
      <c r="L449" s="215" t="s">
        <v>6372</v>
      </c>
      <c r="M449" s="207" t="s">
        <v>4405</v>
      </c>
      <c r="N449" s="207" t="s">
        <v>4406</v>
      </c>
      <c r="O449" s="202">
        <v>46002</v>
      </c>
      <c r="P449" s="202" t="s">
        <v>4407</v>
      </c>
      <c r="Q449" s="202">
        <v>45999</v>
      </c>
      <c r="R449" s="202">
        <v>46006</v>
      </c>
      <c r="S449" s="202">
        <v>46006</v>
      </c>
      <c r="T449" s="202">
        <v>46009</v>
      </c>
      <c r="U449" s="202" t="s">
        <v>4408</v>
      </c>
      <c r="V449" s="202" t="s">
        <v>4408</v>
      </c>
      <c r="W449" s="202">
        <v>46014</v>
      </c>
      <c r="X449" s="202">
        <v>46020</v>
      </c>
      <c r="Y449" s="202"/>
      <c r="Z449" s="207"/>
      <c r="AA449" s="215" t="s">
        <v>6370</v>
      </c>
      <c r="AB449" s="215" t="s">
        <v>6371</v>
      </c>
      <c r="AC449" s="215" t="s">
        <v>6372</v>
      </c>
      <c r="AD449" s="217" t="s">
        <v>4402</v>
      </c>
      <c r="AE449" s="207" t="s">
        <v>4405</v>
      </c>
      <c r="AF449" s="218" t="s">
        <v>4409</v>
      </c>
      <c r="AG449" s="218" t="s">
        <v>4409</v>
      </c>
      <c r="AH449" s="207" t="s">
        <v>4410</v>
      </c>
      <c r="AI449" s="214" t="s">
        <v>4411</v>
      </c>
      <c r="AJ449" s="207"/>
      <c r="AK449" s="316">
        <v>45980</v>
      </c>
      <c r="AL449" s="316">
        <v>45980</v>
      </c>
      <c r="AM449" s="316">
        <v>45980</v>
      </c>
      <c r="AN449" s="316">
        <v>45980</v>
      </c>
      <c r="AO449" s="316">
        <v>45980</v>
      </c>
      <c r="AP449" s="316">
        <v>45980</v>
      </c>
      <c r="AQ449" s="314"/>
      <c r="AR449" s="315" t="str">
        <f t="shared" si="28"/>
        <v>FINALIZADO</v>
      </c>
      <c r="AS449" s="207"/>
      <c r="AT449" s="207"/>
      <c r="AU449" s="220"/>
      <c r="AV449" s="207"/>
      <c r="AW449" s="207"/>
      <c r="AX449" s="207"/>
      <c r="AY449" s="207"/>
      <c r="AZ449" s="202"/>
      <c r="BA449" s="219"/>
      <c r="BB449" s="207"/>
      <c r="BC449" s="202"/>
      <c r="BD449" s="208"/>
      <c r="BE449" s="202"/>
      <c r="BF449" s="207"/>
      <c r="BG449" s="229"/>
      <c r="BH449" s="321" t="str">
        <f t="shared" si="29"/>
        <v/>
      </c>
      <c r="BI449" s="98" t="str">
        <f t="shared" si="30"/>
        <v>AA</v>
      </c>
      <c r="BJ449" s="98" t="str">
        <f t="shared" si="31"/>
        <v>NÃO</v>
      </c>
      <c r="BK449" s="230"/>
      <c r="BL449" s="230"/>
      <c r="BM449" s="230"/>
      <c r="BN449" s="230"/>
      <c r="BO449" s="230"/>
      <c r="BP449" s="230"/>
      <c r="BQ449" s="230"/>
      <c r="BR449" s="234"/>
    </row>
    <row r="450" spans="1:112" s="240" customFormat="1" ht="27" hidden="1" customHeight="1">
      <c r="A450" s="197">
        <v>446</v>
      </c>
      <c r="B450" s="197" t="s">
        <v>4396</v>
      </c>
      <c r="C450" s="207" t="s">
        <v>4427</v>
      </c>
      <c r="D450" s="207">
        <v>1</v>
      </c>
      <c r="E450" s="207" t="s">
        <v>4398</v>
      </c>
      <c r="F450" s="214" t="s">
        <v>6373</v>
      </c>
      <c r="G450" s="207" t="s">
        <v>4400</v>
      </c>
      <c r="H450" s="207" t="s">
        <v>4401</v>
      </c>
      <c r="I450" s="217" t="s">
        <v>4402</v>
      </c>
      <c r="J450" s="215" t="s">
        <v>6374</v>
      </c>
      <c r="K450" s="215" t="s">
        <v>6375</v>
      </c>
      <c r="L450" s="215" t="s">
        <v>6376</v>
      </c>
      <c r="M450" s="207" t="s">
        <v>4405</v>
      </c>
      <c r="N450" s="207" t="s">
        <v>4406</v>
      </c>
      <c r="O450" s="202">
        <v>45986</v>
      </c>
      <c r="P450" s="203" t="s">
        <v>4407</v>
      </c>
      <c r="Q450" s="203">
        <v>45985</v>
      </c>
      <c r="R450" s="203">
        <v>45986</v>
      </c>
      <c r="S450" s="203">
        <v>45987</v>
      </c>
      <c r="T450" s="203">
        <v>45992</v>
      </c>
      <c r="U450" s="202" t="s">
        <v>4408</v>
      </c>
      <c r="V450" s="202" t="s">
        <v>4408</v>
      </c>
      <c r="W450" s="202">
        <v>45999</v>
      </c>
      <c r="X450" s="202">
        <v>46002</v>
      </c>
      <c r="Y450" s="202"/>
      <c r="Z450" s="207"/>
      <c r="AA450" s="215" t="s">
        <v>6374</v>
      </c>
      <c r="AB450" s="215" t="s">
        <v>6375</v>
      </c>
      <c r="AC450" s="215" t="s">
        <v>6376</v>
      </c>
      <c r="AD450" s="217" t="s">
        <v>4402</v>
      </c>
      <c r="AE450" s="207" t="s">
        <v>4405</v>
      </c>
      <c r="AF450" s="218" t="s">
        <v>4409</v>
      </c>
      <c r="AG450" s="218" t="s">
        <v>4409</v>
      </c>
      <c r="AH450" s="241" t="s">
        <v>4410</v>
      </c>
      <c r="AI450" s="214" t="s">
        <v>4411</v>
      </c>
      <c r="AJ450" s="207"/>
      <c r="AK450" s="316">
        <v>45980</v>
      </c>
      <c r="AL450" s="316">
        <v>45980</v>
      </c>
      <c r="AM450" s="316">
        <v>45980</v>
      </c>
      <c r="AN450" s="316">
        <v>45980</v>
      </c>
      <c r="AO450" s="316">
        <v>45980</v>
      </c>
      <c r="AP450" s="316">
        <v>45980</v>
      </c>
      <c r="AQ450" s="314"/>
      <c r="AR450" s="315" t="str">
        <f t="shared" si="28"/>
        <v>FINALIZADO</v>
      </c>
      <c r="AS450" s="207"/>
      <c r="AT450" s="207"/>
      <c r="AU450" s="220"/>
      <c r="AV450" s="207"/>
      <c r="AW450" s="207"/>
      <c r="AX450" s="207" t="s">
        <v>4409</v>
      </c>
      <c r="AY450" s="207" t="s">
        <v>4409</v>
      </c>
      <c r="AZ450" s="207" t="s">
        <v>4409</v>
      </c>
      <c r="BA450" s="207" t="s">
        <v>4409</v>
      </c>
      <c r="BB450" s="207"/>
      <c r="BC450" s="202"/>
      <c r="BD450" s="208"/>
      <c r="BE450" s="202"/>
      <c r="BF450" s="207"/>
      <c r="BG450" s="229"/>
      <c r="BH450" s="321" t="str">
        <f t="shared" si="29"/>
        <v/>
      </c>
      <c r="BI450" s="98" t="str">
        <f t="shared" si="30"/>
        <v>AA</v>
      </c>
      <c r="BJ450" s="98" t="str">
        <f t="shared" si="31"/>
        <v>NÃO</v>
      </c>
      <c r="BK450" s="230"/>
      <c r="BL450" s="230"/>
      <c r="BM450" s="230"/>
      <c r="BN450" s="230"/>
      <c r="BO450" s="230"/>
      <c r="BP450" s="230"/>
      <c r="BQ450" s="230"/>
      <c r="BR450" s="234"/>
    </row>
    <row r="451" spans="1:112" s="240" customFormat="1" ht="27" hidden="1" customHeight="1">
      <c r="A451" s="207">
        <v>447</v>
      </c>
      <c r="B451" s="197" t="s">
        <v>4396</v>
      </c>
      <c r="C451" s="207" t="s">
        <v>4427</v>
      </c>
      <c r="D451" s="207">
        <v>1</v>
      </c>
      <c r="E451" s="207" t="s">
        <v>4398</v>
      </c>
      <c r="F451" s="214" t="s">
        <v>6377</v>
      </c>
      <c r="G451" s="207" t="s">
        <v>4400</v>
      </c>
      <c r="H451" s="207" t="s">
        <v>4401</v>
      </c>
      <c r="I451" s="217" t="s">
        <v>4402</v>
      </c>
      <c r="J451" s="215" t="s">
        <v>6378</v>
      </c>
      <c r="K451" s="215" t="s">
        <v>6379</v>
      </c>
      <c r="L451" s="215" t="s">
        <v>6380</v>
      </c>
      <c r="M451" s="207" t="s">
        <v>4405</v>
      </c>
      <c r="N451" s="207" t="s">
        <v>4406</v>
      </c>
      <c r="O451" s="202">
        <v>45986</v>
      </c>
      <c r="P451" s="203" t="s">
        <v>4407</v>
      </c>
      <c r="Q451" s="203">
        <v>45985</v>
      </c>
      <c r="R451" s="203">
        <v>45986</v>
      </c>
      <c r="S451" s="203">
        <v>45987</v>
      </c>
      <c r="T451" s="203">
        <v>45992</v>
      </c>
      <c r="U451" s="202" t="s">
        <v>4408</v>
      </c>
      <c r="V451" s="202" t="s">
        <v>4408</v>
      </c>
      <c r="W451" s="202">
        <v>45999</v>
      </c>
      <c r="X451" s="202">
        <v>46000</v>
      </c>
      <c r="Y451" s="203"/>
      <c r="Z451" s="219"/>
      <c r="AA451" s="215" t="s">
        <v>6378</v>
      </c>
      <c r="AB451" s="215" t="s">
        <v>6379</v>
      </c>
      <c r="AC451" s="215" t="s">
        <v>6380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4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19"/>
      <c r="AU451" s="220"/>
      <c r="AV451" s="207"/>
      <c r="AW451" s="207"/>
      <c r="AX451" s="207" t="s">
        <v>4409</v>
      </c>
      <c r="AY451" s="207" t="s">
        <v>4409</v>
      </c>
      <c r="AZ451" s="207" t="s">
        <v>4409</v>
      </c>
      <c r="BA451" s="207" t="s">
        <v>4409</v>
      </c>
      <c r="BB451" s="219"/>
      <c r="BC451" s="219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207">
        <v>448</v>
      </c>
      <c r="B452" s="197" t="s">
        <v>4396</v>
      </c>
      <c r="C452" s="207" t="s">
        <v>4427</v>
      </c>
      <c r="D452" s="207">
        <v>1</v>
      </c>
      <c r="E452" s="207" t="s">
        <v>4398</v>
      </c>
      <c r="F452" s="214" t="s">
        <v>6381</v>
      </c>
      <c r="G452" s="207" t="s">
        <v>4400</v>
      </c>
      <c r="H452" s="207" t="s">
        <v>4401</v>
      </c>
      <c r="I452" s="217" t="s">
        <v>4402</v>
      </c>
      <c r="J452" s="215" t="s">
        <v>6382</v>
      </c>
      <c r="K452" s="215" t="s">
        <v>6383</v>
      </c>
      <c r="L452" s="215" t="s">
        <v>6384</v>
      </c>
      <c r="M452" s="207" t="s">
        <v>4405</v>
      </c>
      <c r="N452" s="207" t="s">
        <v>4406</v>
      </c>
      <c r="O452" s="202">
        <v>46002</v>
      </c>
      <c r="P452" s="202" t="s">
        <v>4407</v>
      </c>
      <c r="Q452" s="202">
        <v>45999</v>
      </c>
      <c r="R452" s="202">
        <v>46006</v>
      </c>
      <c r="S452" s="202">
        <v>46006</v>
      </c>
      <c r="T452" s="202">
        <v>46009</v>
      </c>
      <c r="U452" s="202" t="s">
        <v>4408</v>
      </c>
      <c r="V452" s="202" t="s">
        <v>4408</v>
      </c>
      <c r="W452" s="202">
        <v>46014</v>
      </c>
      <c r="X452" s="202">
        <v>46020</v>
      </c>
      <c r="Y452" s="203"/>
      <c r="Z452" s="219"/>
      <c r="AA452" s="215" t="s">
        <v>6382</v>
      </c>
      <c r="AB452" s="215" t="s">
        <v>6383</v>
      </c>
      <c r="AC452" s="215" t="s">
        <v>6384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04" t="s">
        <v>4410</v>
      </c>
      <c r="AI452" s="214" t="s">
        <v>4411</v>
      </c>
      <c r="AJ452" s="207"/>
      <c r="AK452" s="316">
        <v>45996</v>
      </c>
      <c r="AL452" s="316">
        <v>45996</v>
      </c>
      <c r="AM452" s="316">
        <v>45996</v>
      </c>
      <c r="AN452" s="316">
        <v>45996</v>
      </c>
      <c r="AO452" s="316">
        <v>45996</v>
      </c>
      <c r="AP452" s="316">
        <v>45996</v>
      </c>
      <c r="AQ452" s="314"/>
      <c r="AR452" s="315" t="str">
        <f t="shared" si="28"/>
        <v>FINALIZADO</v>
      </c>
      <c r="AS452" s="207"/>
      <c r="AT452" s="219"/>
      <c r="AU452" s="220"/>
      <c r="AV452" s="219"/>
      <c r="AW452" s="219"/>
      <c r="AX452" s="219"/>
      <c r="AY452" s="219"/>
      <c r="AZ452" s="219"/>
      <c r="BA452" s="219"/>
      <c r="BB452" s="219"/>
      <c r="BC452" s="219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449</v>
      </c>
      <c r="B453" s="197" t="s">
        <v>4396</v>
      </c>
      <c r="C453" s="207" t="s">
        <v>4427</v>
      </c>
      <c r="D453" s="207">
        <v>1</v>
      </c>
      <c r="E453" s="207" t="s">
        <v>4398</v>
      </c>
      <c r="F453" s="214" t="s">
        <v>6385</v>
      </c>
      <c r="G453" s="207" t="s">
        <v>4400</v>
      </c>
      <c r="H453" s="207" t="s">
        <v>4401</v>
      </c>
      <c r="I453" s="217" t="s">
        <v>4402</v>
      </c>
      <c r="J453" s="215" t="s">
        <v>6386</v>
      </c>
      <c r="K453" s="215" t="s">
        <v>6387</v>
      </c>
      <c r="L453" s="215" t="s">
        <v>6388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6386</v>
      </c>
      <c r="AB453" s="215" t="s">
        <v>6387</v>
      </c>
      <c r="AC453" s="215" t="s">
        <v>6388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41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customHeight="1">
      <c r="A454" s="197">
        <v>450</v>
      </c>
      <c r="B454" s="197" t="s">
        <v>4396</v>
      </c>
      <c r="C454" s="207" t="s">
        <v>4413</v>
      </c>
      <c r="D454" s="207">
        <v>1</v>
      </c>
      <c r="E454" s="207" t="s">
        <v>4398</v>
      </c>
      <c r="F454" s="214" t="s">
        <v>6385</v>
      </c>
      <c r="G454" s="219" t="s">
        <v>4400</v>
      </c>
      <c r="H454" s="219" t="s">
        <v>4401</v>
      </c>
      <c r="I454" s="219" t="s">
        <v>4402</v>
      </c>
      <c r="J454" s="255" t="s">
        <v>6389</v>
      </c>
      <c r="K454" s="255" t="s">
        <v>6390</v>
      </c>
      <c r="L454" s="255" t="s">
        <v>6391</v>
      </c>
      <c r="M454" s="219" t="s">
        <v>4405</v>
      </c>
      <c r="N454" s="219" t="s">
        <v>4432</v>
      </c>
      <c r="O454" s="202" t="s">
        <v>4409</v>
      </c>
      <c r="P454" s="202" t="s">
        <v>4409</v>
      </c>
      <c r="Q454" s="202" t="s">
        <v>4409</v>
      </c>
      <c r="R454" s="202" t="s">
        <v>4409</v>
      </c>
      <c r="S454" s="202" t="s">
        <v>4409</v>
      </c>
      <c r="T454" s="202" t="s">
        <v>4409</v>
      </c>
      <c r="U454" s="202" t="s">
        <v>4409</v>
      </c>
      <c r="V454" s="202" t="s">
        <v>4409</v>
      </c>
      <c r="W454" s="202" t="s">
        <v>4409</v>
      </c>
      <c r="X454" s="202" t="s">
        <v>4409</v>
      </c>
      <c r="Y454" s="202"/>
      <c r="Z454" s="202"/>
      <c r="AA454" s="255" t="s">
        <v>6389</v>
      </c>
      <c r="AB454" s="255" t="s">
        <v>6390</v>
      </c>
      <c r="AC454" s="255" t="s">
        <v>6391</v>
      </c>
      <c r="AD454" s="219" t="s">
        <v>4402</v>
      </c>
      <c r="AE454" s="219" t="s">
        <v>4405</v>
      </c>
      <c r="AF454" s="243">
        <v>155748.63</v>
      </c>
      <c r="AG454" s="243">
        <v>155748.63</v>
      </c>
      <c r="AH454" s="197" t="s">
        <v>4422</v>
      </c>
      <c r="AI454" s="214" t="s">
        <v>4411</v>
      </c>
      <c r="AJ454" s="207">
        <v>153979223</v>
      </c>
      <c r="AK454" s="317">
        <v>46127</v>
      </c>
      <c r="AL454" s="317">
        <v>46127</v>
      </c>
      <c r="AM454" s="317">
        <v>46127</v>
      </c>
      <c r="AN454" s="317">
        <v>46127</v>
      </c>
      <c r="AO454" s="317">
        <v>46127</v>
      </c>
      <c r="AP454" s="317">
        <v>46127</v>
      </c>
      <c r="AQ454" s="314"/>
      <c r="AR454" s="315" t="str">
        <f t="shared" ref="AR454:AR517" si="32">IF(AQ454="SIM","AGUARDANDO CORREÇÃO",IF(AP454&lt;&gt;"","FINALIZADO",IF(AO454&lt;&gt;"","AGUARDANDO ENVIO DTS",IF(AN454&lt;&gt;"","AGUARDANDO ASSINATURA GAB",IF(AM454&lt;&gt;"","AGUARDANDO ASSINATURA CTS",IF(AL454&lt;&gt;"","AGUARDANDO ENVIO ASSINATURA CTS",IF(AK454&lt;&gt;"","AGUARDANDO CONFERÊNCIA","")))))))</f>
        <v>FINALIZADO</v>
      </c>
      <c r="AS454" s="207" t="s">
        <v>4423</v>
      </c>
      <c r="AT454" s="219"/>
      <c r="AU454" s="220" t="s">
        <v>6392</v>
      </c>
      <c r="AV454" s="262" t="s">
        <v>4425</v>
      </c>
      <c r="AW454" s="219" t="s">
        <v>4425</v>
      </c>
      <c r="AX454" s="207" t="s">
        <v>4818</v>
      </c>
      <c r="AY454" s="207" t="s">
        <v>4818</v>
      </c>
      <c r="AZ454" s="202">
        <v>46233</v>
      </c>
      <c r="BA454" s="207" t="s">
        <v>4818</v>
      </c>
      <c r="BB454" s="207" t="s">
        <v>4818</v>
      </c>
      <c r="BC454" s="202">
        <v>46234</v>
      </c>
      <c r="BD454" s="226">
        <v>46234</v>
      </c>
      <c r="BE454" s="257" t="s">
        <v>4435</v>
      </c>
      <c r="BF454" s="257" t="s">
        <v>4436</v>
      </c>
      <c r="BG454" s="219" t="s">
        <v>4425</v>
      </c>
      <c r="BH454" s="321">
        <f t="shared" ref="BH454:BH517" si="33">IFERROR(IF(BD454-KI454=0,"",BD454-AK454),"")</f>
        <v>107</v>
      </c>
      <c r="BI454" s="98" t="str">
        <f t="shared" ref="BI454:BI517" si="34">IF(AND(AH454&lt;&gt;"SIM",AH454="UH"),"AA","INDENIZAÇÃO")</f>
        <v>INDENIZAÇÃO</v>
      </c>
      <c r="BJ454" s="98" t="str">
        <f t="shared" ref="BJ454:BJ517" si="35">IF(AND(BD454&lt;&gt;"AGUARDANDO",BD454&lt;&gt;"",N454="AUXÍLIO ALUGUEL ATÉ INDENIZAÇÃO"),"SIM","NÃO")</f>
        <v>NÃO</v>
      </c>
      <c r="BK454" s="219" t="s">
        <v>4437</v>
      </c>
      <c r="BL454" s="219" t="s">
        <v>4437</v>
      </c>
      <c r="BM454" s="219" t="s">
        <v>4437</v>
      </c>
      <c r="BN454" s="257" t="s">
        <v>5732</v>
      </c>
      <c r="BO454" s="257"/>
      <c r="BP454" s="257"/>
      <c r="BQ454" s="257"/>
      <c r="BR454" s="258"/>
      <c r="BS454" s="223"/>
      <c r="BT454" s="161"/>
      <c r="BU454" s="161"/>
      <c r="BV454" s="161"/>
      <c r="BW454" s="161"/>
      <c r="BX454" s="161"/>
      <c r="BY454" s="161"/>
      <c r="BZ454" s="161"/>
      <c r="CA454" s="161"/>
      <c r="CB454" s="161"/>
      <c r="CC454" s="161"/>
      <c r="CD454" s="161"/>
      <c r="CE454" s="161"/>
      <c r="CF454" s="161"/>
      <c r="CG454" s="161"/>
      <c r="CH454" s="161"/>
      <c r="CI454" s="161"/>
      <c r="CJ454" s="161"/>
      <c r="CK454" s="161"/>
      <c r="CL454" s="161"/>
      <c r="CM454" s="161"/>
      <c r="CN454" s="161"/>
      <c r="CO454" s="161"/>
      <c r="CP454" s="161"/>
      <c r="CQ454" s="161"/>
      <c r="CR454" s="161"/>
      <c r="CS454" s="161"/>
      <c r="CT454" s="161"/>
      <c r="CU454" s="161"/>
      <c r="CV454" s="161"/>
      <c r="CW454" s="161"/>
      <c r="CX454" s="161"/>
      <c r="CY454" s="161"/>
      <c r="CZ454" s="161"/>
      <c r="DA454" s="161"/>
      <c r="DB454" s="161"/>
      <c r="DC454" s="161"/>
      <c r="DD454" s="161"/>
      <c r="DE454" s="161"/>
      <c r="DF454" s="161"/>
      <c r="DG454" s="161"/>
      <c r="DH454" s="161"/>
    </row>
    <row r="455" spans="1:112" s="240" customFormat="1" ht="27" customHeight="1">
      <c r="A455" s="197">
        <v>451</v>
      </c>
      <c r="B455" s="197" t="s">
        <v>4396</v>
      </c>
      <c r="C455" s="207" t="s">
        <v>4413</v>
      </c>
      <c r="D455" s="207">
        <v>1</v>
      </c>
      <c r="E455" s="207" t="s">
        <v>4398</v>
      </c>
      <c r="F455" s="214" t="s">
        <v>6393</v>
      </c>
      <c r="G455" s="207" t="s">
        <v>4400</v>
      </c>
      <c r="H455" s="207" t="s">
        <v>4401</v>
      </c>
      <c r="I455" s="207" t="s">
        <v>4402</v>
      </c>
      <c r="J455" s="215" t="s">
        <v>6394</v>
      </c>
      <c r="K455" s="215" t="s">
        <v>6395</v>
      </c>
      <c r="L455" s="215" t="s">
        <v>6396</v>
      </c>
      <c r="M455" s="207" t="s">
        <v>4405</v>
      </c>
      <c r="N455" s="207" t="s">
        <v>4442</v>
      </c>
      <c r="O455" s="202" t="s">
        <v>4409</v>
      </c>
      <c r="P455" s="202" t="s">
        <v>4409</v>
      </c>
      <c r="Q455" s="202" t="s">
        <v>4409</v>
      </c>
      <c r="R455" s="202" t="s">
        <v>4409</v>
      </c>
      <c r="S455" s="202" t="s">
        <v>4409</v>
      </c>
      <c r="T455" s="202" t="s">
        <v>4409</v>
      </c>
      <c r="U455" s="202" t="s">
        <v>4409</v>
      </c>
      <c r="V455" s="202" t="s">
        <v>4409</v>
      </c>
      <c r="W455" s="202" t="s">
        <v>4409</v>
      </c>
      <c r="X455" s="202" t="s">
        <v>4409</v>
      </c>
      <c r="Y455" s="202"/>
      <c r="Z455" s="202"/>
      <c r="AA455" s="200" t="s">
        <v>6394</v>
      </c>
      <c r="AB455" s="200" t="s">
        <v>6395</v>
      </c>
      <c r="AC455" s="200" t="s">
        <v>6396</v>
      </c>
      <c r="AD455" s="197" t="s">
        <v>4402</v>
      </c>
      <c r="AE455" s="197" t="s">
        <v>4405</v>
      </c>
      <c r="AF455" s="243">
        <v>127293.82</v>
      </c>
      <c r="AG455" s="243">
        <v>127293.82</v>
      </c>
      <c r="AH455" s="197" t="s">
        <v>4433</v>
      </c>
      <c r="AI455" s="214" t="s">
        <v>4411</v>
      </c>
      <c r="AJ455" s="207">
        <v>161832124</v>
      </c>
      <c r="AK455" s="316">
        <v>46260</v>
      </c>
      <c r="AL455" s="316">
        <v>46260</v>
      </c>
      <c r="AM455" s="316">
        <v>46260</v>
      </c>
      <c r="AN455" s="316">
        <v>46260</v>
      </c>
      <c r="AO455" s="316"/>
      <c r="AP455" s="316"/>
      <c r="AQ455" s="314"/>
      <c r="AR455" s="315" t="str">
        <f t="shared" si="32"/>
        <v>AGUARDANDO ASSINATURA GAB</v>
      </c>
      <c r="AS455" s="207" t="s">
        <v>4447</v>
      </c>
      <c r="AT455" s="219"/>
      <c r="AU455" s="220"/>
      <c r="AV455" s="219"/>
      <c r="AW455" s="219"/>
      <c r="AX455" s="219"/>
      <c r="AY455" s="219"/>
      <c r="AZ455" s="219"/>
      <c r="BA455" s="219"/>
      <c r="BB455" s="219"/>
      <c r="BC455" s="219"/>
      <c r="BD455" s="208"/>
      <c r="BE455" s="203"/>
      <c r="BF455" s="219"/>
      <c r="BG455" s="219"/>
      <c r="BH455" s="321" t="str">
        <f t="shared" si="33"/>
        <v/>
      </c>
      <c r="BI455" s="98" t="str">
        <f t="shared" si="34"/>
        <v>INDENIZAÇÃO</v>
      </c>
      <c r="BJ455" s="98" t="str">
        <f t="shared" si="35"/>
        <v>NÃO</v>
      </c>
      <c r="BK455" s="219"/>
      <c r="BL455" s="221"/>
      <c r="BM455" s="221"/>
      <c r="BN455" s="219"/>
      <c r="BO455" s="219"/>
      <c r="BP455" s="219"/>
      <c r="BQ455" s="219"/>
      <c r="BR455" s="222"/>
    </row>
    <row r="456" spans="1:112" s="240" customFormat="1" ht="27" hidden="1" customHeight="1">
      <c r="A456" s="207">
        <v>452</v>
      </c>
      <c r="B456" s="197" t="s">
        <v>4396</v>
      </c>
      <c r="C456" s="207" t="s">
        <v>4427</v>
      </c>
      <c r="D456" s="207">
        <v>1</v>
      </c>
      <c r="E456" s="207" t="s">
        <v>4398</v>
      </c>
      <c r="F456" s="214" t="s">
        <v>6393</v>
      </c>
      <c r="G456" s="207" t="s">
        <v>4400</v>
      </c>
      <c r="H456" s="207" t="s">
        <v>4401</v>
      </c>
      <c r="I456" s="217" t="s">
        <v>4402</v>
      </c>
      <c r="J456" s="215" t="s">
        <v>6397</v>
      </c>
      <c r="K456" s="215" t="s">
        <v>6398</v>
      </c>
      <c r="L456" s="215" t="s">
        <v>6399</v>
      </c>
      <c r="M456" s="207" t="s">
        <v>4405</v>
      </c>
      <c r="N456" s="207" t="s">
        <v>4406</v>
      </c>
      <c r="O456" s="202">
        <v>45986</v>
      </c>
      <c r="P456" s="203" t="s">
        <v>4407</v>
      </c>
      <c r="Q456" s="203">
        <v>45985</v>
      </c>
      <c r="R456" s="203">
        <v>45986</v>
      </c>
      <c r="S456" s="203">
        <v>45987</v>
      </c>
      <c r="T456" s="203">
        <v>45992</v>
      </c>
      <c r="U456" s="202" t="s">
        <v>4408</v>
      </c>
      <c r="V456" s="202" t="s">
        <v>4408</v>
      </c>
      <c r="W456" s="202">
        <v>45999</v>
      </c>
      <c r="X456" s="202">
        <v>46002</v>
      </c>
      <c r="Y456" s="202"/>
      <c r="Z456" s="207"/>
      <c r="AA456" s="215" t="s">
        <v>6397</v>
      </c>
      <c r="AB456" s="215" t="s">
        <v>6398</v>
      </c>
      <c r="AC456" s="215" t="s">
        <v>6399</v>
      </c>
      <c r="AD456" s="217" t="s">
        <v>4402</v>
      </c>
      <c r="AE456" s="207" t="s">
        <v>4405</v>
      </c>
      <c r="AF456" s="218" t="s">
        <v>4409</v>
      </c>
      <c r="AG456" s="218" t="s">
        <v>4409</v>
      </c>
      <c r="AH456" s="241" t="s">
        <v>4410</v>
      </c>
      <c r="AI456" s="214" t="s">
        <v>4411</v>
      </c>
      <c r="AJ456" s="207"/>
      <c r="AK456" s="316">
        <v>45980</v>
      </c>
      <c r="AL456" s="316">
        <v>45980</v>
      </c>
      <c r="AM456" s="316">
        <v>45980</v>
      </c>
      <c r="AN456" s="316">
        <v>45980</v>
      </c>
      <c r="AO456" s="316">
        <v>45980</v>
      </c>
      <c r="AP456" s="316">
        <v>45980</v>
      </c>
      <c r="AQ456" s="314"/>
      <c r="AR456" s="315" t="str">
        <f t="shared" si="32"/>
        <v>FINALIZADO</v>
      </c>
      <c r="AS456" s="207"/>
      <c r="AT456" s="207"/>
      <c r="AU456" s="220"/>
      <c r="AV456" s="207"/>
      <c r="AW456" s="207"/>
      <c r="AX456" s="207" t="s">
        <v>4409</v>
      </c>
      <c r="AY456" s="207" t="s">
        <v>4409</v>
      </c>
      <c r="AZ456" s="207" t="s">
        <v>4409</v>
      </c>
      <c r="BA456" s="207" t="s">
        <v>4409</v>
      </c>
      <c r="BB456" s="207"/>
      <c r="BC456" s="202"/>
      <c r="BD456" s="208"/>
      <c r="BE456" s="202"/>
      <c r="BF456" s="207"/>
      <c r="BG456" s="229"/>
      <c r="BH456" s="321" t="str">
        <f t="shared" si="33"/>
        <v/>
      </c>
      <c r="BI456" s="98" t="str">
        <f t="shared" si="34"/>
        <v>AA</v>
      </c>
      <c r="BJ456" s="98" t="str">
        <f t="shared" si="35"/>
        <v>NÃO</v>
      </c>
      <c r="BK456" s="230"/>
      <c r="BL456" s="230"/>
      <c r="BM456" s="230"/>
      <c r="BN456" s="230"/>
      <c r="BO456" s="230"/>
      <c r="BP456" s="230"/>
      <c r="BQ456" s="230"/>
      <c r="BR456" s="234"/>
      <c r="BS456" s="161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207">
        <v>453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6400</v>
      </c>
      <c r="G457" s="207" t="s">
        <v>4400</v>
      </c>
      <c r="H457" s="207" t="s">
        <v>4401</v>
      </c>
      <c r="I457" s="207" t="s">
        <v>4402</v>
      </c>
      <c r="J457" s="215" t="s">
        <v>4563</v>
      </c>
      <c r="K457" s="215" t="s">
        <v>4564</v>
      </c>
      <c r="L457" s="215" t="s">
        <v>4565</v>
      </c>
      <c r="M457" s="207" t="s">
        <v>4405</v>
      </c>
      <c r="N457" s="207" t="s">
        <v>4406</v>
      </c>
      <c r="O457" s="202">
        <v>46084</v>
      </c>
      <c r="P457" s="202" t="s">
        <v>4407</v>
      </c>
      <c r="Q457" s="202">
        <v>46083</v>
      </c>
      <c r="R457" s="203">
        <v>46084</v>
      </c>
      <c r="S457" s="203">
        <v>46087</v>
      </c>
      <c r="T457" s="203">
        <v>46090</v>
      </c>
      <c r="U457" s="202" t="s">
        <v>4408</v>
      </c>
      <c r="V457" s="202" t="s">
        <v>4408</v>
      </c>
      <c r="W457" s="202">
        <v>46101</v>
      </c>
      <c r="X457" s="202">
        <v>46104</v>
      </c>
      <c r="Y457" s="202"/>
      <c r="Z457" s="202"/>
      <c r="AA457" s="215" t="s">
        <v>4563</v>
      </c>
      <c r="AB457" s="215" t="s">
        <v>4564</v>
      </c>
      <c r="AC457" s="215" t="s">
        <v>4565</v>
      </c>
      <c r="AD457" s="217" t="s">
        <v>4402</v>
      </c>
      <c r="AE457" s="207" t="s">
        <v>4405</v>
      </c>
      <c r="AF457" s="218" t="s">
        <v>4409</v>
      </c>
      <c r="AG457" s="218" t="s">
        <v>4409</v>
      </c>
      <c r="AH457" s="197" t="s">
        <v>4410</v>
      </c>
      <c r="AI457" s="214" t="s">
        <v>4411</v>
      </c>
      <c r="AJ457" s="207"/>
      <c r="AK457" s="316">
        <v>46080</v>
      </c>
      <c r="AL457" s="316">
        <v>46080</v>
      </c>
      <c r="AM457" s="316">
        <v>46080</v>
      </c>
      <c r="AN457" s="316">
        <v>46080</v>
      </c>
      <c r="AO457" s="316">
        <v>46080</v>
      </c>
      <c r="AP457" s="316">
        <v>46080</v>
      </c>
      <c r="AQ457" s="314"/>
      <c r="AR457" s="315" t="str">
        <f t="shared" si="32"/>
        <v>FINALIZADO</v>
      </c>
      <c r="AS457" s="207"/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AA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>
      <c r="A458" s="207">
        <v>454</v>
      </c>
      <c r="B458" s="197" t="s">
        <v>4396</v>
      </c>
      <c r="C458" s="207" t="s">
        <v>4427</v>
      </c>
      <c r="D458" s="207">
        <v>1</v>
      </c>
      <c r="E458" s="207" t="s">
        <v>4398</v>
      </c>
      <c r="F458" s="214" t="s">
        <v>6400</v>
      </c>
      <c r="G458" s="207" t="s">
        <v>4400</v>
      </c>
      <c r="H458" s="207" t="s">
        <v>4401</v>
      </c>
      <c r="I458" s="217" t="s">
        <v>4402</v>
      </c>
      <c r="J458" s="215" t="s">
        <v>6401</v>
      </c>
      <c r="K458" s="215" t="s">
        <v>6402</v>
      </c>
      <c r="L458" s="215" t="s">
        <v>6403</v>
      </c>
      <c r="M458" s="207" t="s">
        <v>4405</v>
      </c>
      <c r="N458" s="207" t="s">
        <v>4442</v>
      </c>
      <c r="O458" s="202" t="s">
        <v>4409</v>
      </c>
      <c r="P458" s="202" t="s">
        <v>4409</v>
      </c>
      <c r="Q458" s="202" t="s">
        <v>4409</v>
      </c>
      <c r="R458" s="202" t="s">
        <v>4409</v>
      </c>
      <c r="S458" s="202" t="s">
        <v>4409</v>
      </c>
      <c r="T458" s="202" t="s">
        <v>4409</v>
      </c>
      <c r="U458" s="202" t="s">
        <v>4409</v>
      </c>
      <c r="V458" s="202" t="s">
        <v>4409</v>
      </c>
      <c r="W458" s="202" t="s">
        <v>4409</v>
      </c>
      <c r="X458" s="202" t="s">
        <v>4409</v>
      </c>
      <c r="Y458" s="202"/>
      <c r="Z458" s="202"/>
      <c r="AA458" s="200" t="s">
        <v>6401</v>
      </c>
      <c r="AB458" s="200" t="s">
        <v>6402</v>
      </c>
      <c r="AC458" s="200" t="s">
        <v>6403</v>
      </c>
      <c r="AD458" s="197" t="s">
        <v>4402</v>
      </c>
      <c r="AE458" s="197" t="s">
        <v>4405</v>
      </c>
      <c r="AF458" s="243">
        <v>45830.1</v>
      </c>
      <c r="AG458" s="243">
        <v>60000</v>
      </c>
      <c r="AH458" s="197" t="s">
        <v>4433</v>
      </c>
      <c r="AI458" s="214" t="s">
        <v>4411</v>
      </c>
      <c r="AJ458" s="207">
        <v>150611486</v>
      </c>
      <c r="AK458" s="316">
        <v>46147</v>
      </c>
      <c r="AL458" s="316">
        <v>46147</v>
      </c>
      <c r="AM458" s="316">
        <v>46147</v>
      </c>
      <c r="AN458" s="316">
        <v>46147</v>
      </c>
      <c r="AO458" s="316">
        <v>46147</v>
      </c>
      <c r="AP458" s="316">
        <v>46147</v>
      </c>
      <c r="AQ458" s="314"/>
      <c r="AR458" s="315" t="str">
        <f t="shared" si="32"/>
        <v>FINALIZADO</v>
      </c>
      <c r="AS458" s="207" t="s">
        <v>4423</v>
      </c>
      <c r="AT458" s="207"/>
      <c r="AU458" s="220" t="s">
        <v>6404</v>
      </c>
      <c r="AV458" s="250" t="s">
        <v>4425</v>
      </c>
      <c r="AW458" s="207" t="s">
        <v>4425</v>
      </c>
      <c r="AX458" s="207" t="s">
        <v>4818</v>
      </c>
      <c r="AY458" s="207" t="s">
        <v>4818</v>
      </c>
      <c r="AZ458" s="202">
        <v>46233</v>
      </c>
      <c r="BA458" s="207" t="s">
        <v>4818</v>
      </c>
      <c r="BB458" s="207" t="s">
        <v>4818</v>
      </c>
      <c r="BC458" s="202">
        <v>46234</v>
      </c>
      <c r="BD458" s="226">
        <v>46234</v>
      </c>
      <c r="BE458" s="257" t="s">
        <v>4435</v>
      </c>
      <c r="BF458" s="257" t="s">
        <v>4436</v>
      </c>
      <c r="BG458" s="219" t="s">
        <v>4425</v>
      </c>
      <c r="BH458" s="321">
        <f t="shared" si="33"/>
        <v>87</v>
      </c>
      <c r="BI458" s="98" t="str">
        <f t="shared" si="34"/>
        <v>INDENIZAÇÃO</v>
      </c>
      <c r="BJ458" s="98" t="str">
        <f t="shared" si="35"/>
        <v>NÃO</v>
      </c>
      <c r="BK458" s="219" t="s">
        <v>4437</v>
      </c>
      <c r="BL458" s="219" t="s">
        <v>4437</v>
      </c>
      <c r="BM458" s="219" t="s">
        <v>4437</v>
      </c>
      <c r="BN458" s="257" t="s">
        <v>5732</v>
      </c>
      <c r="BO458" s="257"/>
      <c r="BP458" s="257"/>
      <c r="BQ458" s="257"/>
      <c r="BR458" s="258"/>
      <c r="BS458" s="223"/>
      <c r="BT458" s="161"/>
    </row>
    <row r="459" spans="1:112" s="240" customFormat="1" ht="27" hidden="1" customHeight="1">
      <c r="A459" s="197">
        <v>455</v>
      </c>
      <c r="B459" s="197" t="s">
        <v>4396</v>
      </c>
      <c r="C459" s="207" t="s">
        <v>4427</v>
      </c>
      <c r="D459" s="207">
        <v>1</v>
      </c>
      <c r="E459" s="207" t="s">
        <v>4398</v>
      </c>
      <c r="F459" s="214" t="s">
        <v>6405</v>
      </c>
      <c r="G459" s="207" t="s">
        <v>4400</v>
      </c>
      <c r="H459" s="207" t="s">
        <v>4401</v>
      </c>
      <c r="I459" s="217" t="s">
        <v>4402</v>
      </c>
      <c r="J459" s="215" t="s">
        <v>6406</v>
      </c>
      <c r="K459" s="215" t="s">
        <v>6407</v>
      </c>
      <c r="L459" s="215" t="s">
        <v>6408</v>
      </c>
      <c r="M459" s="207" t="s">
        <v>4405</v>
      </c>
      <c r="N459" s="207" t="s">
        <v>4406</v>
      </c>
      <c r="O459" s="202">
        <v>46176</v>
      </c>
      <c r="P459" s="202" t="s">
        <v>4407</v>
      </c>
      <c r="Q459" s="202">
        <v>46174</v>
      </c>
      <c r="R459" s="202">
        <v>46176</v>
      </c>
      <c r="S459" s="202">
        <v>46202</v>
      </c>
      <c r="T459" s="202">
        <v>46204</v>
      </c>
      <c r="U459" s="202" t="s">
        <v>4408</v>
      </c>
      <c r="V459" s="202" t="s">
        <v>4408</v>
      </c>
      <c r="W459" s="202">
        <v>46223</v>
      </c>
      <c r="X459" s="202"/>
      <c r="Y459" s="202"/>
      <c r="Z459" s="202"/>
      <c r="AA459" s="200"/>
      <c r="AB459" s="200"/>
      <c r="AC459" s="200"/>
      <c r="AD459" s="197"/>
      <c r="AE459" s="197"/>
      <c r="AF459" s="243"/>
      <c r="AG459" s="243"/>
      <c r="AH459" s="197"/>
      <c r="AI459" s="214" t="s">
        <v>4411</v>
      </c>
      <c r="AJ459" s="207"/>
      <c r="AK459" s="316"/>
      <c r="AL459" s="316"/>
      <c r="AM459" s="316"/>
      <c r="AN459" s="316"/>
      <c r="AO459" s="316"/>
      <c r="AP459" s="316"/>
      <c r="AQ459" s="314"/>
      <c r="AR459" s="315" t="str">
        <f t="shared" si="32"/>
        <v/>
      </c>
      <c r="AS459" s="207"/>
      <c r="AT459" s="207"/>
      <c r="AU459" s="220"/>
      <c r="AV459" s="250"/>
      <c r="AW459" s="207"/>
      <c r="AX459" s="207"/>
      <c r="AY459" s="207"/>
      <c r="AZ459" s="202"/>
      <c r="BA459" s="219"/>
      <c r="BB459" s="207"/>
      <c r="BC459" s="202"/>
      <c r="BD459" s="208"/>
      <c r="BE459" s="202"/>
      <c r="BF459" s="207"/>
      <c r="BG459" s="229"/>
      <c r="BH459" s="321" t="str">
        <f t="shared" si="33"/>
        <v/>
      </c>
      <c r="BI459" s="98" t="str">
        <f t="shared" si="34"/>
        <v>INDENIZAÇÃO</v>
      </c>
      <c r="BJ459" s="98" t="str">
        <f t="shared" si="35"/>
        <v>NÃO</v>
      </c>
      <c r="BK459" s="230"/>
      <c r="BL459" s="230"/>
      <c r="BM459" s="230"/>
      <c r="BN459" s="230"/>
      <c r="BO459" s="230"/>
      <c r="BP459" s="230"/>
      <c r="BQ459" s="230"/>
      <c r="BR459" s="234"/>
    </row>
    <row r="460" spans="1:112" s="240" customFormat="1" ht="27" hidden="1" customHeight="1">
      <c r="A460" s="197">
        <v>456</v>
      </c>
      <c r="B460" s="197" t="s">
        <v>4396</v>
      </c>
      <c r="C460" s="207" t="s">
        <v>4427</v>
      </c>
      <c r="D460" s="207">
        <v>1</v>
      </c>
      <c r="E460" s="207" t="s">
        <v>4398</v>
      </c>
      <c r="F460" s="214" t="s">
        <v>6409</v>
      </c>
      <c r="G460" s="207" t="s">
        <v>4400</v>
      </c>
      <c r="H460" s="207" t="s">
        <v>4401</v>
      </c>
      <c r="I460" s="217" t="s">
        <v>4402</v>
      </c>
      <c r="J460" s="215" t="s">
        <v>6410</v>
      </c>
      <c r="K460" s="215" t="s">
        <v>6411</v>
      </c>
      <c r="L460" s="215" t="s">
        <v>6412</v>
      </c>
      <c r="M460" s="207" t="s">
        <v>4405</v>
      </c>
      <c r="N460" s="207" t="s">
        <v>4406</v>
      </c>
      <c r="O460" s="202">
        <v>45986</v>
      </c>
      <c r="P460" s="203" t="s">
        <v>4407</v>
      </c>
      <c r="Q460" s="203">
        <v>45985</v>
      </c>
      <c r="R460" s="203">
        <v>45986</v>
      </c>
      <c r="S460" s="203">
        <v>45987</v>
      </c>
      <c r="T460" s="203">
        <v>45992</v>
      </c>
      <c r="U460" s="202" t="s">
        <v>4408</v>
      </c>
      <c r="V460" s="202" t="s">
        <v>4408</v>
      </c>
      <c r="W460" s="202">
        <v>45999</v>
      </c>
      <c r="X460" s="202">
        <v>46003</v>
      </c>
      <c r="Y460" s="202"/>
      <c r="Z460" s="207"/>
      <c r="AA460" s="215" t="s">
        <v>6410</v>
      </c>
      <c r="AB460" s="215" t="s">
        <v>6411</v>
      </c>
      <c r="AC460" s="215" t="s">
        <v>6412</v>
      </c>
      <c r="AD460" s="217" t="s">
        <v>4402</v>
      </c>
      <c r="AE460" s="207" t="s">
        <v>4405</v>
      </c>
      <c r="AF460" s="218" t="s">
        <v>4409</v>
      </c>
      <c r="AG460" s="218" t="s">
        <v>4409</v>
      </c>
      <c r="AH460" s="241" t="s">
        <v>4410</v>
      </c>
      <c r="AI460" s="214" t="s">
        <v>4411</v>
      </c>
      <c r="AJ460" s="207"/>
      <c r="AK460" s="316">
        <v>45980</v>
      </c>
      <c r="AL460" s="316">
        <v>45980</v>
      </c>
      <c r="AM460" s="316">
        <v>45980</v>
      </c>
      <c r="AN460" s="316">
        <v>45980</v>
      </c>
      <c r="AO460" s="316">
        <v>45980</v>
      </c>
      <c r="AP460" s="316">
        <v>45980</v>
      </c>
      <c r="AQ460" s="314"/>
      <c r="AR460" s="315" t="str">
        <f t="shared" si="32"/>
        <v>FINALIZADO</v>
      </c>
      <c r="AS460" s="207"/>
      <c r="AT460" s="207"/>
      <c r="AU460" s="220"/>
      <c r="AV460" s="207"/>
      <c r="AW460" s="207"/>
      <c r="AX460" s="207" t="s">
        <v>4409</v>
      </c>
      <c r="AY460" s="207" t="s">
        <v>4409</v>
      </c>
      <c r="AZ460" s="207" t="s">
        <v>4409</v>
      </c>
      <c r="BA460" s="207" t="s">
        <v>4409</v>
      </c>
      <c r="BB460" s="207"/>
      <c r="BC460" s="202"/>
      <c r="BD460" s="208"/>
      <c r="BE460" s="202"/>
      <c r="BF460" s="207"/>
      <c r="BG460" s="229"/>
      <c r="BH460" s="321" t="str">
        <f t="shared" si="33"/>
        <v/>
      </c>
      <c r="BI460" s="98" t="str">
        <f t="shared" si="34"/>
        <v>AA</v>
      </c>
      <c r="BJ460" s="98" t="str">
        <f t="shared" si="35"/>
        <v>NÃO</v>
      </c>
      <c r="BK460" s="230"/>
      <c r="BL460" s="230"/>
      <c r="BM460" s="230"/>
      <c r="BN460" s="230"/>
      <c r="BO460" s="230"/>
      <c r="BP460" s="230"/>
      <c r="BQ460" s="230"/>
      <c r="BR460" s="234"/>
    </row>
    <row r="461" spans="1:112" s="240" customFormat="1" ht="27" customHeight="1">
      <c r="A461" s="207">
        <v>457</v>
      </c>
      <c r="B461" s="197" t="s">
        <v>4396</v>
      </c>
      <c r="C461" s="207" t="s">
        <v>4413</v>
      </c>
      <c r="D461" s="207">
        <v>1</v>
      </c>
      <c r="E461" s="207" t="s">
        <v>4398</v>
      </c>
      <c r="F461" s="214" t="s">
        <v>6409</v>
      </c>
      <c r="G461" s="207" t="s">
        <v>4400</v>
      </c>
      <c r="H461" s="207" t="s">
        <v>4401</v>
      </c>
      <c r="I461" s="207" t="s">
        <v>4402</v>
      </c>
      <c r="J461" s="215" t="s">
        <v>6413</v>
      </c>
      <c r="K461" s="215" t="s">
        <v>4906</v>
      </c>
      <c r="L461" s="215" t="s">
        <v>6414</v>
      </c>
      <c r="M461" s="207" t="s">
        <v>4405</v>
      </c>
      <c r="N461" s="207" t="s">
        <v>4442</v>
      </c>
      <c r="O461" s="202" t="s">
        <v>4409</v>
      </c>
      <c r="P461" s="202" t="s">
        <v>4409</v>
      </c>
      <c r="Q461" s="202" t="s">
        <v>4409</v>
      </c>
      <c r="R461" s="202" t="s">
        <v>4409</v>
      </c>
      <c r="S461" s="202" t="s">
        <v>4409</v>
      </c>
      <c r="T461" s="202" t="s">
        <v>4409</v>
      </c>
      <c r="U461" s="202" t="s">
        <v>4409</v>
      </c>
      <c r="V461" s="202" t="s">
        <v>4409</v>
      </c>
      <c r="W461" s="202" t="s">
        <v>4409</v>
      </c>
      <c r="X461" s="202" t="s">
        <v>4409</v>
      </c>
      <c r="Y461" s="202"/>
      <c r="Z461" s="202"/>
      <c r="AA461" s="215" t="s">
        <v>6413</v>
      </c>
      <c r="AB461" s="215" t="s">
        <v>4906</v>
      </c>
      <c r="AC461" s="215" t="s">
        <v>6414</v>
      </c>
      <c r="AD461" s="207" t="s">
        <v>4402</v>
      </c>
      <c r="AE461" s="207" t="s">
        <v>4405</v>
      </c>
      <c r="AF461" s="243">
        <v>65235.74</v>
      </c>
      <c r="AG461" s="243">
        <v>65235.74</v>
      </c>
      <c r="AH461" s="197" t="s">
        <v>4433</v>
      </c>
      <c r="AI461" s="214" t="s">
        <v>4411</v>
      </c>
      <c r="AJ461" s="207">
        <v>163064945</v>
      </c>
      <c r="AK461" s="316">
        <v>46255</v>
      </c>
      <c r="AL461" s="316">
        <v>46255</v>
      </c>
      <c r="AM461" s="316">
        <v>46255</v>
      </c>
      <c r="AN461" s="316">
        <v>46255</v>
      </c>
      <c r="AO461" s="316"/>
      <c r="AP461" s="316"/>
      <c r="AQ461" s="314"/>
      <c r="AR461" s="315" t="str">
        <f t="shared" si="32"/>
        <v>AGUARDANDO ASSINATURA GAB</v>
      </c>
      <c r="AS461" s="207" t="s">
        <v>4447</v>
      </c>
      <c r="AT461" s="219"/>
      <c r="AU461" s="220"/>
      <c r="AV461" s="219"/>
      <c r="AW461" s="219"/>
      <c r="AX461" s="219"/>
      <c r="AY461" s="219"/>
      <c r="AZ461" s="219"/>
      <c r="BA461" s="219"/>
      <c r="BB461" s="219"/>
      <c r="BC461" s="219"/>
      <c r="BD461" s="208"/>
      <c r="BE461" s="203"/>
      <c r="BF461" s="219"/>
      <c r="BG461" s="21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19"/>
      <c r="BL461" s="221"/>
      <c r="BM461" s="221"/>
      <c r="BN461" s="219"/>
      <c r="BO461" s="219"/>
      <c r="BP461" s="219"/>
      <c r="BQ461" s="219"/>
      <c r="BR461" s="222"/>
    </row>
    <row r="462" spans="1:112" s="240" customFormat="1" ht="27" hidden="1" customHeight="1">
      <c r="A462" s="207">
        <v>458</v>
      </c>
      <c r="B462" s="197" t="s">
        <v>4396</v>
      </c>
      <c r="C462" s="207" t="s">
        <v>4427</v>
      </c>
      <c r="D462" s="207">
        <v>1</v>
      </c>
      <c r="E462" s="207" t="s">
        <v>4398</v>
      </c>
      <c r="F462" s="214" t="s">
        <v>6415</v>
      </c>
      <c r="G462" s="207" t="s">
        <v>4400</v>
      </c>
      <c r="H462" s="207" t="s">
        <v>4401</v>
      </c>
      <c r="I462" s="217" t="s">
        <v>4402</v>
      </c>
      <c r="J462" s="215" t="s">
        <v>6416</v>
      </c>
      <c r="K462" s="215" t="s">
        <v>6417</v>
      </c>
      <c r="L462" s="215" t="s">
        <v>6418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3" t="s">
        <v>4408</v>
      </c>
      <c r="V462" s="203" t="s">
        <v>4408</v>
      </c>
      <c r="W462" s="202">
        <v>45999</v>
      </c>
      <c r="X462" s="202">
        <v>46000</v>
      </c>
      <c r="Y462" s="202"/>
      <c r="Z462" s="207"/>
      <c r="AA462" s="200" t="s">
        <v>6416</v>
      </c>
      <c r="AB462" s="200" t="s">
        <v>6417</v>
      </c>
      <c r="AC462" s="200" t="s">
        <v>6418</v>
      </c>
      <c r="AD462" s="199" t="s">
        <v>4402</v>
      </c>
      <c r="AE462" s="197" t="s">
        <v>4405</v>
      </c>
      <c r="AF462" s="243" t="s">
        <v>4409</v>
      </c>
      <c r="AG462" s="243" t="s">
        <v>4409</v>
      </c>
      <c r="AH462" s="204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459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6415</v>
      </c>
      <c r="G463" s="207" t="s">
        <v>4400</v>
      </c>
      <c r="H463" s="207" t="s">
        <v>4401</v>
      </c>
      <c r="I463" s="207" t="s">
        <v>4402</v>
      </c>
      <c r="J463" s="215" t="s">
        <v>6419</v>
      </c>
      <c r="K463" s="215" t="s">
        <v>6420</v>
      </c>
      <c r="L463" s="215" t="s">
        <v>6421</v>
      </c>
      <c r="M463" s="207" t="s">
        <v>4405</v>
      </c>
      <c r="N463" s="207" t="s">
        <v>4442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6419</v>
      </c>
      <c r="AB463" s="215" t="s">
        <v>6420</v>
      </c>
      <c r="AC463" s="215" t="s">
        <v>6421</v>
      </c>
      <c r="AD463" s="207" t="s">
        <v>4402</v>
      </c>
      <c r="AE463" s="207" t="s">
        <v>4405</v>
      </c>
      <c r="AF463" s="218">
        <v>39497.07</v>
      </c>
      <c r="AG463" s="218">
        <v>60000</v>
      </c>
      <c r="AH463" s="207" t="s">
        <v>4433</v>
      </c>
      <c r="AI463" s="214" t="s">
        <v>4411</v>
      </c>
      <c r="AJ463" s="207">
        <v>153979535</v>
      </c>
      <c r="AK463" s="316">
        <v>46129</v>
      </c>
      <c r="AL463" s="316">
        <v>46129</v>
      </c>
      <c r="AM463" s="316">
        <v>46129</v>
      </c>
      <c r="AN463" s="316">
        <v>46129</v>
      </c>
      <c r="AO463" s="316">
        <v>46129</v>
      </c>
      <c r="AP463" s="316">
        <v>46129</v>
      </c>
      <c r="AQ463" s="314"/>
      <c r="AR463" s="315" t="str">
        <f t="shared" si="32"/>
        <v>FINALIZADO</v>
      </c>
      <c r="AS463" s="207" t="s">
        <v>4423</v>
      </c>
      <c r="AT463" s="219"/>
      <c r="AU463" s="220" t="s">
        <v>6422</v>
      </c>
      <c r="AV463" s="262" t="s">
        <v>4425</v>
      </c>
      <c r="AW463" s="219" t="s">
        <v>4425</v>
      </c>
      <c r="AX463" s="219" t="s">
        <v>4425</v>
      </c>
      <c r="AY463" s="219" t="s">
        <v>4425</v>
      </c>
      <c r="AZ463" s="202">
        <v>46216</v>
      </c>
      <c r="BA463" s="262" t="s">
        <v>4425</v>
      </c>
      <c r="BB463" s="262" t="s">
        <v>4425</v>
      </c>
      <c r="BC463" s="202">
        <v>46223</v>
      </c>
      <c r="BD463" s="264">
        <v>46223</v>
      </c>
      <c r="BE463" s="257" t="s">
        <v>4435</v>
      </c>
      <c r="BF463" s="228" t="s">
        <v>4436</v>
      </c>
      <c r="BG463" s="229" t="s">
        <v>4425</v>
      </c>
      <c r="BH463" s="321">
        <f t="shared" si="33"/>
        <v>94</v>
      </c>
      <c r="BI463" s="98" t="str">
        <f t="shared" si="34"/>
        <v>INDENIZAÇÃO</v>
      </c>
      <c r="BJ463" s="98" t="str">
        <f t="shared" si="35"/>
        <v>NÃO</v>
      </c>
      <c r="BK463" s="230" t="s">
        <v>4437</v>
      </c>
      <c r="BL463" s="230" t="s">
        <v>4437</v>
      </c>
      <c r="BM463" s="230" t="s">
        <v>4437</v>
      </c>
      <c r="BN463" s="265" t="s">
        <v>5732</v>
      </c>
      <c r="BO463" s="265"/>
      <c r="BP463" s="265"/>
      <c r="BQ463" s="265"/>
      <c r="BR463" s="231"/>
    </row>
    <row r="464" spans="1:112" s="240" customFormat="1" ht="27" customHeight="1">
      <c r="A464" s="197">
        <v>460</v>
      </c>
      <c r="B464" s="197" t="s">
        <v>4396</v>
      </c>
      <c r="C464" s="207" t="s">
        <v>4413</v>
      </c>
      <c r="D464" s="207">
        <v>1</v>
      </c>
      <c r="E464" s="207" t="s">
        <v>4398</v>
      </c>
      <c r="F464" s="214" t="s">
        <v>6423</v>
      </c>
      <c r="G464" s="207" t="s">
        <v>4400</v>
      </c>
      <c r="H464" s="207" t="s">
        <v>4401</v>
      </c>
      <c r="I464" s="207" t="s">
        <v>4402</v>
      </c>
      <c r="J464" s="215" t="s">
        <v>6424</v>
      </c>
      <c r="K464" s="215" t="s">
        <v>6425</v>
      </c>
      <c r="L464" s="215" t="s">
        <v>6426</v>
      </c>
      <c r="M464" s="207" t="s">
        <v>4405</v>
      </c>
      <c r="N464" s="207" t="s">
        <v>4442</v>
      </c>
      <c r="O464" s="202" t="s">
        <v>4409</v>
      </c>
      <c r="P464" s="202" t="s">
        <v>4409</v>
      </c>
      <c r="Q464" s="202" t="s">
        <v>4409</v>
      </c>
      <c r="R464" s="202" t="s">
        <v>4409</v>
      </c>
      <c r="S464" s="202" t="s">
        <v>4409</v>
      </c>
      <c r="T464" s="202" t="s">
        <v>4409</v>
      </c>
      <c r="U464" s="202" t="s">
        <v>4409</v>
      </c>
      <c r="V464" s="202" t="s">
        <v>4409</v>
      </c>
      <c r="W464" s="202" t="s">
        <v>4409</v>
      </c>
      <c r="X464" s="202" t="s">
        <v>4409</v>
      </c>
      <c r="Y464" s="202"/>
      <c r="Z464" s="202"/>
      <c r="AA464" s="215" t="s">
        <v>6424</v>
      </c>
      <c r="AB464" s="215" t="s">
        <v>6425</v>
      </c>
      <c r="AC464" s="215" t="s">
        <v>6426</v>
      </c>
      <c r="AD464" s="207" t="s">
        <v>4402</v>
      </c>
      <c r="AE464" s="207" t="s">
        <v>4405</v>
      </c>
      <c r="AF464" s="243">
        <v>137659.72</v>
      </c>
      <c r="AG464" s="243">
        <v>137659.72</v>
      </c>
      <c r="AH464" s="197" t="s">
        <v>4433</v>
      </c>
      <c r="AI464" s="214" t="s">
        <v>4411</v>
      </c>
      <c r="AJ464" s="207">
        <v>153980746</v>
      </c>
      <c r="AK464" s="316">
        <v>46129</v>
      </c>
      <c r="AL464" s="316">
        <v>46129</v>
      </c>
      <c r="AM464" s="316">
        <v>46129</v>
      </c>
      <c r="AN464" s="316">
        <v>46129</v>
      </c>
      <c r="AO464" s="316">
        <v>46129</v>
      </c>
      <c r="AP464" s="316">
        <v>46129</v>
      </c>
      <c r="AQ464" s="314"/>
      <c r="AR464" s="315" t="str">
        <f t="shared" si="32"/>
        <v>FINALIZADO</v>
      </c>
      <c r="AS464" s="207" t="s">
        <v>4423</v>
      </c>
      <c r="AT464" s="219"/>
      <c r="AU464" s="220" t="s">
        <v>6427</v>
      </c>
      <c r="AV464" s="262" t="s">
        <v>4425</v>
      </c>
      <c r="AW464" s="219" t="s">
        <v>4425</v>
      </c>
      <c r="AX464" s="207" t="s">
        <v>4425</v>
      </c>
      <c r="AY464" s="207" t="s">
        <v>4425</v>
      </c>
      <c r="AZ464" s="202">
        <v>46226</v>
      </c>
      <c r="BA464" s="219" t="s">
        <v>4425</v>
      </c>
      <c r="BB464" s="219" t="s">
        <v>4425</v>
      </c>
      <c r="BC464" s="202">
        <v>46232</v>
      </c>
      <c r="BD464" s="226">
        <v>46232</v>
      </c>
      <c r="BE464" s="257" t="s">
        <v>4435</v>
      </c>
      <c r="BF464" s="257" t="s">
        <v>4436</v>
      </c>
      <c r="BG464" s="219" t="s">
        <v>4425</v>
      </c>
      <c r="BH464" s="321">
        <f t="shared" si="33"/>
        <v>103</v>
      </c>
      <c r="BI464" s="98" t="str">
        <f t="shared" si="34"/>
        <v>INDENIZAÇÃO</v>
      </c>
      <c r="BJ464" s="98" t="str">
        <f t="shared" si="35"/>
        <v>NÃO</v>
      </c>
      <c r="BK464" s="219" t="s">
        <v>4437</v>
      </c>
      <c r="BL464" s="219" t="s">
        <v>4437</v>
      </c>
      <c r="BM464" s="219" t="s">
        <v>4437</v>
      </c>
      <c r="BN464" s="257" t="s">
        <v>5732</v>
      </c>
      <c r="BO464" s="257"/>
      <c r="BP464" s="257"/>
      <c r="BQ464" s="257"/>
      <c r="BR464" s="258"/>
      <c r="BS464" s="223"/>
      <c r="BT464" s="161"/>
    </row>
    <row r="465" spans="1:112" s="240" customFormat="1" ht="27" hidden="1" customHeight="1">
      <c r="A465" s="197">
        <v>461</v>
      </c>
      <c r="B465" s="197" t="s">
        <v>4396</v>
      </c>
      <c r="C465" s="207" t="s">
        <v>4427</v>
      </c>
      <c r="D465" s="207">
        <v>1</v>
      </c>
      <c r="E465" s="207" t="s">
        <v>4398</v>
      </c>
      <c r="F465" s="214" t="s">
        <v>6428</v>
      </c>
      <c r="G465" s="207" t="s">
        <v>4400</v>
      </c>
      <c r="H465" s="207" t="s">
        <v>4401</v>
      </c>
      <c r="I465" s="217" t="s">
        <v>4402</v>
      </c>
      <c r="J465" s="215" t="s">
        <v>6429</v>
      </c>
      <c r="K465" s="215" t="s">
        <v>6430</v>
      </c>
      <c r="L465" s="215" t="s">
        <v>6431</v>
      </c>
      <c r="M465" s="207" t="s">
        <v>4405</v>
      </c>
      <c r="N465" s="207" t="s">
        <v>4406</v>
      </c>
      <c r="O465" s="202">
        <v>46002</v>
      </c>
      <c r="P465" s="202" t="s">
        <v>4407</v>
      </c>
      <c r="Q465" s="202">
        <v>45999</v>
      </c>
      <c r="R465" s="202">
        <v>46006</v>
      </c>
      <c r="S465" s="202">
        <v>46006</v>
      </c>
      <c r="T465" s="202">
        <v>46009</v>
      </c>
      <c r="U465" s="202" t="s">
        <v>4408</v>
      </c>
      <c r="V465" s="202" t="s">
        <v>4408</v>
      </c>
      <c r="W465" s="202">
        <v>46014</v>
      </c>
      <c r="X465" s="202">
        <v>46020</v>
      </c>
      <c r="Y465" s="202"/>
      <c r="Z465" s="207"/>
      <c r="AA465" s="215" t="s">
        <v>6429</v>
      </c>
      <c r="AB465" s="215" t="s">
        <v>6430</v>
      </c>
      <c r="AC465" s="215" t="s">
        <v>6431</v>
      </c>
      <c r="AD465" s="217" t="s">
        <v>4402</v>
      </c>
      <c r="AE465" s="207" t="s">
        <v>4405</v>
      </c>
      <c r="AF465" s="218" t="s">
        <v>4409</v>
      </c>
      <c r="AG465" s="218" t="s">
        <v>4409</v>
      </c>
      <c r="AH465" s="197" t="s">
        <v>4410</v>
      </c>
      <c r="AI465" s="214" t="s">
        <v>4411</v>
      </c>
      <c r="AJ465" s="207"/>
      <c r="AK465" s="316">
        <v>45996</v>
      </c>
      <c r="AL465" s="316">
        <v>45996</v>
      </c>
      <c r="AM465" s="316">
        <v>45996</v>
      </c>
      <c r="AN465" s="316">
        <v>45996</v>
      </c>
      <c r="AO465" s="316">
        <v>45996</v>
      </c>
      <c r="AP465" s="316">
        <v>45996</v>
      </c>
      <c r="AQ465" s="314"/>
      <c r="AR465" s="315" t="str">
        <f t="shared" si="32"/>
        <v>FINALIZADO</v>
      </c>
      <c r="AS465" s="207"/>
      <c r="AT465" s="207"/>
      <c r="AU465" s="220"/>
      <c r="AV465" s="207"/>
      <c r="AW465" s="207"/>
      <c r="AX465" s="207"/>
      <c r="AY465" s="207"/>
      <c r="AZ465" s="202"/>
      <c r="BA465" s="219"/>
      <c r="BB465" s="207"/>
      <c r="BC465" s="202"/>
      <c r="BD465" s="208"/>
      <c r="BE465" s="202"/>
      <c r="BF465" s="207"/>
      <c r="BG465" s="229"/>
      <c r="BH465" s="321" t="str">
        <f t="shared" si="33"/>
        <v/>
      </c>
      <c r="BI465" s="98" t="str">
        <f t="shared" si="34"/>
        <v>AA</v>
      </c>
      <c r="BJ465" s="98" t="str">
        <f t="shared" si="35"/>
        <v>NÃO</v>
      </c>
      <c r="BK465" s="230"/>
      <c r="BL465" s="230"/>
      <c r="BM465" s="230"/>
      <c r="BN465" s="230"/>
      <c r="BO465" s="230"/>
      <c r="BP465" s="230"/>
      <c r="BQ465" s="230"/>
      <c r="BR465" s="234"/>
    </row>
    <row r="466" spans="1:112" s="240" customFormat="1" ht="27" customHeight="1">
      <c r="A466" s="207">
        <v>462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6428</v>
      </c>
      <c r="G466" s="207" t="s">
        <v>4400</v>
      </c>
      <c r="H466" s="207" t="s">
        <v>4401</v>
      </c>
      <c r="I466" s="207" t="s">
        <v>4402</v>
      </c>
      <c r="J466" s="215" t="s">
        <v>6432</v>
      </c>
      <c r="K466" s="215" t="s">
        <v>6433</v>
      </c>
      <c r="L466" s="215" t="s">
        <v>6434</v>
      </c>
      <c r="M466" s="207" t="s">
        <v>4405</v>
      </c>
      <c r="N466" s="207" t="s">
        <v>4442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6432</v>
      </c>
      <c r="AB466" s="215" t="s">
        <v>6433</v>
      </c>
      <c r="AC466" s="215" t="s">
        <v>6434</v>
      </c>
      <c r="AD466" s="207" t="s">
        <v>4402</v>
      </c>
      <c r="AE466" s="207" t="s">
        <v>4405</v>
      </c>
      <c r="AF466" s="218">
        <v>24525.65</v>
      </c>
      <c r="AG466" s="218">
        <f>AF466+30000</f>
        <v>54525.65</v>
      </c>
      <c r="AH466" s="207" t="s">
        <v>4422</v>
      </c>
      <c r="AI466" s="214" t="s">
        <v>4411</v>
      </c>
      <c r="AJ466" s="207">
        <v>153980840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4423</v>
      </c>
      <c r="AT466" s="219"/>
      <c r="AU466" s="220" t="s">
        <v>6435</v>
      </c>
      <c r="AV466" s="262" t="s">
        <v>4425</v>
      </c>
      <c r="AW466" s="219" t="s">
        <v>4425</v>
      </c>
      <c r="AX466" s="207" t="s">
        <v>4818</v>
      </c>
      <c r="AY466" s="207" t="s">
        <v>4818</v>
      </c>
      <c r="AZ466" s="202">
        <v>46233</v>
      </c>
      <c r="BA466" s="207" t="s">
        <v>4818</v>
      </c>
      <c r="BB466" s="207" t="s">
        <v>4818</v>
      </c>
      <c r="BC466" s="202">
        <v>46234</v>
      </c>
      <c r="BD466" s="226">
        <v>46234</v>
      </c>
      <c r="BE466" s="257" t="s">
        <v>4435</v>
      </c>
      <c r="BF466" s="257" t="s">
        <v>4436</v>
      </c>
      <c r="BG466" s="219" t="s">
        <v>4425</v>
      </c>
      <c r="BH466" s="321">
        <f t="shared" si="33"/>
        <v>105</v>
      </c>
      <c r="BI466" s="98" t="str">
        <f t="shared" si="34"/>
        <v>INDENIZAÇÃO</v>
      </c>
      <c r="BJ466" s="98" t="str">
        <f t="shared" si="35"/>
        <v>NÃO</v>
      </c>
      <c r="BK466" s="219" t="s">
        <v>4437</v>
      </c>
      <c r="BL466" s="219" t="s">
        <v>4437</v>
      </c>
      <c r="BM466" s="219" t="s">
        <v>4437</v>
      </c>
      <c r="BN466" s="257" t="s">
        <v>5732</v>
      </c>
      <c r="BO466" s="257"/>
      <c r="BP466" s="257"/>
      <c r="BQ466" s="257"/>
      <c r="BR466" s="258"/>
      <c r="BS466" s="223"/>
      <c r="BT466" s="161"/>
    </row>
    <row r="467" spans="1:112" s="240" customFormat="1" ht="27" customHeight="1">
      <c r="A467" s="207">
        <v>463</v>
      </c>
      <c r="B467" s="197" t="s">
        <v>4396</v>
      </c>
      <c r="C467" s="207" t="s">
        <v>4413</v>
      </c>
      <c r="D467" s="207">
        <v>1</v>
      </c>
      <c r="E467" s="207" t="s">
        <v>4398</v>
      </c>
      <c r="F467" s="214" t="s">
        <v>6436</v>
      </c>
      <c r="G467" s="207" t="s">
        <v>4400</v>
      </c>
      <c r="H467" s="207" t="s">
        <v>4401</v>
      </c>
      <c r="I467" s="207" t="s">
        <v>4402</v>
      </c>
      <c r="J467" s="215" t="s">
        <v>6437</v>
      </c>
      <c r="K467" s="215" t="s">
        <v>6438</v>
      </c>
      <c r="L467" s="215" t="s">
        <v>6439</v>
      </c>
      <c r="M467" s="207" t="s">
        <v>4405</v>
      </c>
      <c r="N467" s="207" t="s">
        <v>4442</v>
      </c>
      <c r="O467" s="202" t="s">
        <v>4409</v>
      </c>
      <c r="P467" s="202" t="s">
        <v>4409</v>
      </c>
      <c r="Q467" s="202" t="s">
        <v>4409</v>
      </c>
      <c r="R467" s="202" t="s">
        <v>4409</v>
      </c>
      <c r="S467" s="202" t="s">
        <v>4409</v>
      </c>
      <c r="T467" s="202" t="s">
        <v>4409</v>
      </c>
      <c r="U467" s="202" t="s">
        <v>4409</v>
      </c>
      <c r="V467" s="202" t="s">
        <v>4409</v>
      </c>
      <c r="W467" s="202" t="s">
        <v>4409</v>
      </c>
      <c r="X467" s="202" t="s">
        <v>4409</v>
      </c>
      <c r="Y467" s="202"/>
      <c r="Z467" s="202"/>
      <c r="AA467" s="215" t="s">
        <v>6437</v>
      </c>
      <c r="AB467" s="215" t="s">
        <v>6438</v>
      </c>
      <c r="AC467" s="215" t="s">
        <v>6439</v>
      </c>
      <c r="AD467" s="207" t="s">
        <v>4402</v>
      </c>
      <c r="AE467" s="207" t="s">
        <v>4405</v>
      </c>
      <c r="AF467" s="218">
        <v>8623.86</v>
      </c>
      <c r="AG467" s="218">
        <f>AF467+30000</f>
        <v>38623.86</v>
      </c>
      <c r="AH467" s="207" t="s">
        <v>4433</v>
      </c>
      <c r="AI467" s="214" t="s">
        <v>4411</v>
      </c>
      <c r="AJ467" s="207">
        <v>153980952</v>
      </c>
      <c r="AK467" s="316">
        <v>46129</v>
      </c>
      <c r="AL467" s="316">
        <v>46129</v>
      </c>
      <c r="AM467" s="316">
        <v>46129</v>
      </c>
      <c r="AN467" s="316">
        <v>46129</v>
      </c>
      <c r="AO467" s="316">
        <v>46129</v>
      </c>
      <c r="AP467" s="316">
        <v>46129</v>
      </c>
      <c r="AQ467" s="314"/>
      <c r="AR467" s="315" t="str">
        <f t="shared" si="32"/>
        <v>FINALIZADO</v>
      </c>
      <c r="AS467" s="207" t="s">
        <v>4423</v>
      </c>
      <c r="AT467" s="219"/>
      <c r="AU467" s="220" t="s">
        <v>6440</v>
      </c>
      <c r="AV467" s="262" t="s">
        <v>4425</v>
      </c>
      <c r="AW467" s="219" t="s">
        <v>4425</v>
      </c>
      <c r="AX467" s="207" t="s">
        <v>4425</v>
      </c>
      <c r="AY467" s="207" t="s">
        <v>4425</v>
      </c>
      <c r="AZ467" s="202">
        <v>46226</v>
      </c>
      <c r="BA467" s="219" t="s">
        <v>4425</v>
      </c>
      <c r="BB467" s="219" t="s">
        <v>4425</v>
      </c>
      <c r="BC467" s="202">
        <v>46233</v>
      </c>
      <c r="BD467" s="226">
        <v>46234</v>
      </c>
      <c r="BE467" s="257" t="s">
        <v>4435</v>
      </c>
      <c r="BF467" s="257" t="s">
        <v>4436</v>
      </c>
      <c r="BG467" s="219" t="s">
        <v>4425</v>
      </c>
      <c r="BH467" s="321">
        <f t="shared" si="33"/>
        <v>105</v>
      </c>
      <c r="BI467" s="98" t="str">
        <f t="shared" si="34"/>
        <v>INDENIZAÇÃO</v>
      </c>
      <c r="BJ467" s="98" t="str">
        <f t="shared" si="35"/>
        <v>NÃO</v>
      </c>
      <c r="BK467" s="219" t="s">
        <v>4437</v>
      </c>
      <c r="BL467" s="219" t="s">
        <v>4437</v>
      </c>
      <c r="BM467" s="219" t="s">
        <v>4437</v>
      </c>
      <c r="BN467" s="257" t="s">
        <v>5732</v>
      </c>
      <c r="BO467" s="257"/>
      <c r="BP467" s="257"/>
      <c r="BQ467" s="257"/>
      <c r="BR467" s="258"/>
    </row>
    <row r="468" spans="1:112" s="240" customFormat="1" ht="27" hidden="1" customHeight="1">
      <c r="A468" s="207">
        <v>464</v>
      </c>
      <c r="B468" s="197" t="s">
        <v>4396</v>
      </c>
      <c r="C468" s="207" t="s">
        <v>4427</v>
      </c>
      <c r="D468" s="207">
        <v>1</v>
      </c>
      <c r="E468" s="207" t="s">
        <v>4398</v>
      </c>
      <c r="F468" s="214" t="s">
        <v>6441</v>
      </c>
      <c r="G468" s="207" t="s">
        <v>4400</v>
      </c>
      <c r="H468" s="207" t="s">
        <v>4401</v>
      </c>
      <c r="I468" s="217" t="s">
        <v>4402</v>
      </c>
      <c r="J468" s="215" t="s">
        <v>6442</v>
      </c>
      <c r="K468" s="215" t="s">
        <v>6443</v>
      </c>
      <c r="L468" s="215" t="s">
        <v>6444</v>
      </c>
      <c r="M468" s="207" t="s">
        <v>4405</v>
      </c>
      <c r="N468" s="207" t="s">
        <v>4406</v>
      </c>
      <c r="O468" s="202">
        <v>45986</v>
      </c>
      <c r="P468" s="203" t="s">
        <v>4407</v>
      </c>
      <c r="Q468" s="203">
        <v>45985</v>
      </c>
      <c r="R468" s="203">
        <v>45986</v>
      </c>
      <c r="S468" s="203">
        <v>45987</v>
      </c>
      <c r="T468" s="203">
        <v>45992</v>
      </c>
      <c r="U468" s="202" t="s">
        <v>4408</v>
      </c>
      <c r="V468" s="202" t="s">
        <v>4408</v>
      </c>
      <c r="W468" s="202">
        <v>45999</v>
      </c>
      <c r="X468" s="202">
        <v>46000</v>
      </c>
      <c r="Y468" s="203"/>
      <c r="Z468" s="219"/>
      <c r="AA468" s="215" t="s">
        <v>6442</v>
      </c>
      <c r="AB468" s="215" t="s">
        <v>6443</v>
      </c>
      <c r="AC468" s="215" t="s">
        <v>6444</v>
      </c>
      <c r="AD468" s="217" t="s">
        <v>4402</v>
      </c>
      <c r="AE468" s="207" t="s">
        <v>4405</v>
      </c>
      <c r="AF468" s="218" t="s">
        <v>4409</v>
      </c>
      <c r="AG468" s="218" t="s">
        <v>4409</v>
      </c>
      <c r="AH468" s="241" t="s">
        <v>4410</v>
      </c>
      <c r="AI468" s="214" t="s">
        <v>4411</v>
      </c>
      <c r="AJ468" s="207"/>
      <c r="AK468" s="316">
        <v>45980</v>
      </c>
      <c r="AL468" s="316">
        <v>45980</v>
      </c>
      <c r="AM468" s="316">
        <v>45980</v>
      </c>
      <c r="AN468" s="316">
        <v>45980</v>
      </c>
      <c r="AO468" s="316">
        <v>45980</v>
      </c>
      <c r="AP468" s="316">
        <v>45980</v>
      </c>
      <c r="AQ468" s="314"/>
      <c r="AR468" s="315" t="str">
        <f t="shared" si="32"/>
        <v>FINALIZADO</v>
      </c>
      <c r="AS468" s="207"/>
      <c r="AT468" s="219"/>
      <c r="AU468" s="220"/>
      <c r="AV468" s="207"/>
      <c r="AW468" s="207"/>
      <c r="AX468" s="207" t="s">
        <v>4409</v>
      </c>
      <c r="AY468" s="207" t="s">
        <v>4409</v>
      </c>
      <c r="AZ468" s="207" t="s">
        <v>4409</v>
      </c>
      <c r="BA468" s="207" t="s">
        <v>4409</v>
      </c>
      <c r="BB468" s="219"/>
      <c r="BC468" s="219"/>
      <c r="BD468" s="208"/>
      <c r="BE468" s="202"/>
      <c r="BF468" s="207"/>
      <c r="BG468" s="229"/>
      <c r="BH468" s="321" t="str">
        <f t="shared" si="33"/>
        <v/>
      </c>
      <c r="BI468" s="98" t="str">
        <f t="shared" si="34"/>
        <v>AA</v>
      </c>
      <c r="BJ468" s="98" t="str">
        <f t="shared" si="35"/>
        <v>NÃO</v>
      </c>
      <c r="BK468" s="230"/>
      <c r="BL468" s="230"/>
      <c r="BM468" s="230"/>
      <c r="BN468" s="230"/>
      <c r="BO468" s="230"/>
      <c r="BP468" s="230"/>
      <c r="BQ468" s="230"/>
      <c r="BR468" s="234"/>
    </row>
    <row r="469" spans="1:112" s="240" customFormat="1" ht="27" customHeight="1">
      <c r="A469" s="197">
        <v>465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6441</v>
      </c>
      <c r="G469" s="207" t="s">
        <v>4400</v>
      </c>
      <c r="H469" s="207" t="s">
        <v>4401</v>
      </c>
      <c r="I469" s="207" t="s">
        <v>4402</v>
      </c>
      <c r="J469" s="215" t="s">
        <v>6445</v>
      </c>
      <c r="K469" s="215" t="s">
        <v>6446</v>
      </c>
      <c r="L469" s="215" t="s">
        <v>6447</v>
      </c>
      <c r="M469" s="207" t="s">
        <v>4405</v>
      </c>
      <c r="N469" s="207" t="s">
        <v>4406</v>
      </c>
      <c r="O469" s="202">
        <v>46084</v>
      </c>
      <c r="P469" s="202" t="s">
        <v>4407</v>
      </c>
      <c r="Q469" s="202">
        <v>46083</v>
      </c>
      <c r="R469" s="203">
        <v>46084</v>
      </c>
      <c r="S469" s="203">
        <v>46087</v>
      </c>
      <c r="T469" s="203">
        <v>46090</v>
      </c>
      <c r="U469" s="202" t="s">
        <v>4408</v>
      </c>
      <c r="V469" s="202" t="s">
        <v>4408</v>
      </c>
      <c r="W469" s="202">
        <v>46101</v>
      </c>
      <c r="X469" s="202">
        <v>46153</v>
      </c>
      <c r="Y469" s="202"/>
      <c r="Z469" s="216" t="s">
        <v>6448</v>
      </c>
      <c r="AA469" s="215" t="s">
        <v>6445</v>
      </c>
      <c r="AB469" s="215" t="s">
        <v>6446</v>
      </c>
      <c r="AC469" s="215" t="s">
        <v>6447</v>
      </c>
      <c r="AD469" s="217" t="s">
        <v>4402</v>
      </c>
      <c r="AE469" s="207" t="s">
        <v>4405</v>
      </c>
      <c r="AF469" s="218" t="s">
        <v>4409</v>
      </c>
      <c r="AG469" s="218" t="s">
        <v>4409</v>
      </c>
      <c r="AH469" s="197" t="s">
        <v>4410</v>
      </c>
      <c r="AI469" s="214" t="s">
        <v>4411</v>
      </c>
      <c r="AJ469" s="207"/>
      <c r="AK469" s="316">
        <v>46080</v>
      </c>
      <c r="AL469" s="316">
        <v>46080</v>
      </c>
      <c r="AM469" s="316">
        <v>46080</v>
      </c>
      <c r="AN469" s="316">
        <v>46080</v>
      </c>
      <c r="AO469" s="316">
        <v>46080</v>
      </c>
      <c r="AP469" s="316">
        <v>46080</v>
      </c>
      <c r="AQ469" s="314"/>
      <c r="AR469" s="315" t="str">
        <f t="shared" si="32"/>
        <v>FINALIZADO</v>
      </c>
      <c r="AS469" s="207"/>
      <c r="AT469" s="219"/>
      <c r="AU469" s="220"/>
      <c r="AV469" s="219"/>
      <c r="AW469" s="219"/>
      <c r="AX469" s="219"/>
      <c r="AY469" s="219"/>
      <c r="AZ469" s="219"/>
      <c r="BA469" s="219"/>
      <c r="BB469" s="219"/>
      <c r="BC469" s="219"/>
      <c r="BD469" s="208"/>
      <c r="BE469" s="203"/>
      <c r="BF469" s="219"/>
      <c r="BG469" s="219"/>
      <c r="BH469" s="321" t="str">
        <f t="shared" si="33"/>
        <v/>
      </c>
      <c r="BI469" s="98" t="str">
        <f t="shared" si="34"/>
        <v>AA</v>
      </c>
      <c r="BJ469" s="98" t="str">
        <f t="shared" si="35"/>
        <v>NÃO</v>
      </c>
      <c r="BK469" s="219"/>
      <c r="BL469" s="221"/>
      <c r="BM469" s="221"/>
      <c r="BN469" s="219"/>
      <c r="BO469" s="219"/>
      <c r="BP469" s="219"/>
      <c r="BQ469" s="219"/>
      <c r="BR469" s="222"/>
    </row>
    <row r="470" spans="1:112" s="240" customFormat="1" ht="27" customHeight="1">
      <c r="A470" s="197">
        <v>466</v>
      </c>
      <c r="B470" s="197" t="s">
        <v>4396</v>
      </c>
      <c r="C470" s="207" t="s">
        <v>4413</v>
      </c>
      <c r="D470" s="207">
        <v>1</v>
      </c>
      <c r="E470" s="207" t="s">
        <v>4398</v>
      </c>
      <c r="F470" s="214" t="s">
        <v>6449</v>
      </c>
      <c r="G470" s="207" t="s">
        <v>4400</v>
      </c>
      <c r="H470" s="207" t="s">
        <v>4401</v>
      </c>
      <c r="I470" s="207" t="s">
        <v>4402</v>
      </c>
      <c r="J470" s="215" t="s">
        <v>6450</v>
      </c>
      <c r="K470" s="215" t="s">
        <v>6451</v>
      </c>
      <c r="L470" s="215" t="s">
        <v>6452</v>
      </c>
      <c r="M470" s="207" t="s">
        <v>4405</v>
      </c>
      <c r="N470" s="207" t="s">
        <v>4406</v>
      </c>
      <c r="O470" s="202">
        <v>46084</v>
      </c>
      <c r="P470" s="202" t="s">
        <v>4407</v>
      </c>
      <c r="Q470" s="202">
        <v>46083</v>
      </c>
      <c r="R470" s="203">
        <v>46084</v>
      </c>
      <c r="S470" s="203">
        <v>46087</v>
      </c>
      <c r="T470" s="203">
        <v>46090</v>
      </c>
      <c r="U470" s="202" t="s">
        <v>4408</v>
      </c>
      <c r="V470" s="202" t="s">
        <v>4408</v>
      </c>
      <c r="W470" s="202">
        <v>46101</v>
      </c>
      <c r="X470" s="202">
        <v>46106</v>
      </c>
      <c r="Y470" s="202"/>
      <c r="Z470" s="202"/>
      <c r="AA470" s="215" t="s">
        <v>6450</v>
      </c>
      <c r="AB470" s="215" t="s">
        <v>6451</v>
      </c>
      <c r="AC470" s="215" t="s">
        <v>6452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197" t="s">
        <v>4410</v>
      </c>
      <c r="AI470" s="214" t="s">
        <v>4411</v>
      </c>
      <c r="AJ470" s="207"/>
      <c r="AK470" s="316">
        <v>46080</v>
      </c>
      <c r="AL470" s="316">
        <v>46080</v>
      </c>
      <c r="AM470" s="316">
        <v>46080</v>
      </c>
      <c r="AN470" s="316">
        <v>46080</v>
      </c>
      <c r="AO470" s="316">
        <v>46080</v>
      </c>
      <c r="AP470" s="316">
        <v>46080</v>
      </c>
      <c r="AQ470" s="314"/>
      <c r="AR470" s="315" t="str">
        <f t="shared" si="32"/>
        <v>FINALIZADO</v>
      </c>
      <c r="AS470" s="207"/>
      <c r="AT470" s="219"/>
      <c r="AU470" s="220"/>
      <c r="AV470" s="219"/>
      <c r="AW470" s="219"/>
      <c r="AX470" s="219"/>
      <c r="AY470" s="219"/>
      <c r="AZ470" s="219"/>
      <c r="BA470" s="219"/>
      <c r="BB470" s="219"/>
      <c r="BC470" s="219"/>
      <c r="BD470" s="208"/>
      <c r="BE470" s="203"/>
      <c r="BF470" s="219"/>
      <c r="BG470" s="21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19"/>
      <c r="BL470" s="221"/>
      <c r="BM470" s="221"/>
      <c r="BN470" s="219"/>
      <c r="BO470" s="219"/>
      <c r="BP470" s="219"/>
      <c r="BQ470" s="219"/>
      <c r="BR470" s="222"/>
    </row>
    <row r="471" spans="1:112" s="240" customFormat="1" ht="27" hidden="1" customHeight="1">
      <c r="A471" s="207">
        <v>467</v>
      </c>
      <c r="B471" s="197" t="s">
        <v>4396</v>
      </c>
      <c r="C471" s="207" t="s">
        <v>4427</v>
      </c>
      <c r="D471" s="207">
        <v>1</v>
      </c>
      <c r="E471" s="207" t="s">
        <v>4398</v>
      </c>
      <c r="F471" s="214" t="s">
        <v>6453</v>
      </c>
      <c r="G471" s="207" t="s">
        <v>4400</v>
      </c>
      <c r="H471" s="207" t="s">
        <v>4401</v>
      </c>
      <c r="I471" s="217" t="s">
        <v>4402</v>
      </c>
      <c r="J471" s="242" t="s">
        <v>6454</v>
      </c>
      <c r="K471" s="215" t="s">
        <v>6455</v>
      </c>
      <c r="L471" s="215" t="s">
        <v>6456</v>
      </c>
      <c r="M471" s="207" t="s">
        <v>4405</v>
      </c>
      <c r="N471" s="207" t="s">
        <v>4406</v>
      </c>
      <c r="O471" s="202">
        <v>45986</v>
      </c>
      <c r="P471" s="203" t="s">
        <v>4407</v>
      </c>
      <c r="Q471" s="203">
        <v>45985</v>
      </c>
      <c r="R471" s="203">
        <v>45986</v>
      </c>
      <c r="S471" s="203">
        <v>45987</v>
      </c>
      <c r="T471" s="203">
        <v>45992</v>
      </c>
      <c r="U471" s="202" t="s">
        <v>4408</v>
      </c>
      <c r="V471" s="202" t="s">
        <v>4408</v>
      </c>
      <c r="W471" s="202">
        <v>45999</v>
      </c>
      <c r="X471" s="202">
        <v>46001</v>
      </c>
      <c r="Y471" s="202"/>
      <c r="Z471" s="207"/>
      <c r="AA471" s="242" t="s">
        <v>6454</v>
      </c>
      <c r="AB471" s="215" t="s">
        <v>6455</v>
      </c>
      <c r="AC471" s="215" t="s">
        <v>6456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241" t="s">
        <v>4410</v>
      </c>
      <c r="AI471" s="214" t="s">
        <v>4411</v>
      </c>
      <c r="AJ471" s="207"/>
      <c r="AK471" s="316">
        <v>45980</v>
      </c>
      <c r="AL471" s="316">
        <v>45980</v>
      </c>
      <c r="AM471" s="316">
        <v>45980</v>
      </c>
      <c r="AN471" s="316">
        <v>45980</v>
      </c>
      <c r="AO471" s="316">
        <v>45980</v>
      </c>
      <c r="AP471" s="316">
        <v>45980</v>
      </c>
      <c r="AQ471" s="314"/>
      <c r="AR471" s="315" t="str">
        <f t="shared" si="32"/>
        <v>FINALIZADO</v>
      </c>
      <c r="AS471" s="207"/>
      <c r="AT471" s="207"/>
      <c r="AU471" s="220"/>
      <c r="AV471" s="207"/>
      <c r="AW471" s="207"/>
      <c r="AX471" s="207" t="s">
        <v>4409</v>
      </c>
      <c r="AY471" s="207" t="s">
        <v>4409</v>
      </c>
      <c r="AZ471" s="207" t="s">
        <v>4409</v>
      </c>
      <c r="BA471" s="207" t="s">
        <v>4409</v>
      </c>
      <c r="BB471" s="207"/>
      <c r="BC471" s="202"/>
      <c r="BD471" s="208"/>
      <c r="BE471" s="202"/>
      <c r="BF471" s="207"/>
      <c r="BG471" s="22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30"/>
      <c r="BL471" s="230"/>
      <c r="BM471" s="230"/>
      <c r="BN471" s="230"/>
      <c r="BO471" s="230"/>
      <c r="BP471" s="230"/>
      <c r="BQ471" s="230"/>
      <c r="BR471" s="234"/>
      <c r="BS471" s="223"/>
      <c r="BT471" s="161"/>
    </row>
    <row r="472" spans="1:112" s="240" customFormat="1" ht="27" customHeight="1">
      <c r="A472" s="207">
        <v>468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6453</v>
      </c>
      <c r="G472" s="207" t="s">
        <v>4400</v>
      </c>
      <c r="H472" s="207" t="s">
        <v>4401</v>
      </c>
      <c r="I472" s="207" t="s">
        <v>4402</v>
      </c>
      <c r="J472" s="215" t="s">
        <v>6457</v>
      </c>
      <c r="K472" s="215" t="s">
        <v>6458</v>
      </c>
      <c r="L472" s="215" t="s">
        <v>6459</v>
      </c>
      <c r="M472" s="207" t="s">
        <v>4405</v>
      </c>
      <c r="N472" s="207" t="s">
        <v>4442</v>
      </c>
      <c r="O472" s="202" t="s">
        <v>4409</v>
      </c>
      <c r="P472" s="202" t="s">
        <v>4409</v>
      </c>
      <c r="Q472" s="202" t="s">
        <v>4409</v>
      </c>
      <c r="R472" s="202" t="s">
        <v>4409</v>
      </c>
      <c r="S472" s="202" t="s">
        <v>4409</v>
      </c>
      <c r="T472" s="202" t="s">
        <v>4409</v>
      </c>
      <c r="U472" s="202" t="s">
        <v>4409</v>
      </c>
      <c r="V472" s="202" t="s">
        <v>4409</v>
      </c>
      <c r="W472" s="202" t="s">
        <v>4409</v>
      </c>
      <c r="X472" s="202" t="s">
        <v>4409</v>
      </c>
      <c r="Y472" s="202"/>
      <c r="Z472" s="260"/>
      <c r="AA472" s="215" t="s">
        <v>6457</v>
      </c>
      <c r="AB472" s="215" t="s">
        <v>6458</v>
      </c>
      <c r="AC472" s="215" t="s">
        <v>6459</v>
      </c>
      <c r="AD472" s="207" t="s">
        <v>4402</v>
      </c>
      <c r="AE472" s="207" t="s">
        <v>4405</v>
      </c>
      <c r="AF472" s="243">
        <v>33748.89</v>
      </c>
      <c r="AG472" s="243">
        <v>60000</v>
      </c>
      <c r="AH472" s="197" t="s">
        <v>4422</v>
      </c>
      <c r="AI472" s="214" t="s">
        <v>4411</v>
      </c>
      <c r="AJ472" s="207">
        <v>153981037</v>
      </c>
      <c r="AK472" s="316">
        <v>46147</v>
      </c>
      <c r="AL472" s="316">
        <v>46147</v>
      </c>
      <c r="AM472" s="316">
        <v>46147</v>
      </c>
      <c r="AN472" s="316">
        <v>46147</v>
      </c>
      <c r="AO472" s="316">
        <v>46147</v>
      </c>
      <c r="AP472" s="316">
        <v>46147</v>
      </c>
      <c r="AQ472" s="314"/>
      <c r="AR472" s="315" t="str">
        <f t="shared" si="32"/>
        <v>FINALIZADO</v>
      </c>
      <c r="AS472" s="207" t="s">
        <v>4423</v>
      </c>
      <c r="AT472" s="219"/>
      <c r="AU472" s="220" t="s">
        <v>6460</v>
      </c>
      <c r="AV472" s="283" t="s">
        <v>4425</v>
      </c>
      <c r="AW472" s="283" t="s">
        <v>4425</v>
      </c>
      <c r="AX472" s="207" t="s">
        <v>4818</v>
      </c>
      <c r="AY472" s="207" t="s">
        <v>4818</v>
      </c>
      <c r="AZ472" s="202">
        <v>46233</v>
      </c>
      <c r="BA472" s="207" t="s">
        <v>4818</v>
      </c>
      <c r="BB472" s="207" t="s">
        <v>4818</v>
      </c>
      <c r="BC472" s="202">
        <v>46234</v>
      </c>
      <c r="BD472" s="226">
        <v>46234</v>
      </c>
      <c r="BE472" s="257" t="s">
        <v>4435</v>
      </c>
      <c r="BF472" s="257" t="s">
        <v>4436</v>
      </c>
      <c r="BG472" s="219" t="s">
        <v>4425</v>
      </c>
      <c r="BH472" s="321">
        <f t="shared" si="33"/>
        <v>87</v>
      </c>
      <c r="BI472" s="98" t="str">
        <f t="shared" si="34"/>
        <v>INDENIZAÇÃO</v>
      </c>
      <c r="BJ472" s="98" t="str">
        <f t="shared" si="35"/>
        <v>NÃO</v>
      </c>
      <c r="BK472" s="219" t="s">
        <v>4437</v>
      </c>
      <c r="BL472" s="219" t="s">
        <v>4437</v>
      </c>
      <c r="BM472" s="219" t="s">
        <v>4437</v>
      </c>
      <c r="BN472" s="257" t="s">
        <v>5732</v>
      </c>
      <c r="BO472" s="257"/>
      <c r="BP472" s="257"/>
      <c r="BQ472" s="257"/>
      <c r="BR472" s="258"/>
    </row>
    <row r="473" spans="1:112" s="240" customFormat="1" ht="27" customHeight="1">
      <c r="A473" s="207">
        <v>469</v>
      </c>
      <c r="B473" s="197" t="s">
        <v>4396</v>
      </c>
      <c r="C473" s="207" t="s">
        <v>4413</v>
      </c>
      <c r="D473" s="207">
        <v>1</v>
      </c>
      <c r="E473" s="207" t="s">
        <v>4398</v>
      </c>
      <c r="F473" s="214" t="s">
        <v>6461</v>
      </c>
      <c r="G473" s="207" t="s">
        <v>4400</v>
      </c>
      <c r="H473" s="207" t="s">
        <v>4401</v>
      </c>
      <c r="I473" s="217" t="s">
        <v>4402</v>
      </c>
      <c r="J473" s="215" t="s">
        <v>6462</v>
      </c>
      <c r="K473" s="215" t="s">
        <v>6463</v>
      </c>
      <c r="L473" s="215" t="s">
        <v>6464</v>
      </c>
      <c r="M473" s="207" t="s">
        <v>4405</v>
      </c>
      <c r="N473" s="207" t="s">
        <v>4406</v>
      </c>
      <c r="O473" s="202">
        <v>46106</v>
      </c>
      <c r="P473" s="202" t="s">
        <v>4407</v>
      </c>
      <c r="Q473" s="202">
        <v>46106</v>
      </c>
      <c r="R473" s="202">
        <v>46107</v>
      </c>
      <c r="S473" s="202">
        <v>46111</v>
      </c>
      <c r="T473" s="202">
        <v>46087</v>
      </c>
      <c r="U473" s="202" t="s">
        <v>4408</v>
      </c>
      <c r="V473" s="202" t="s">
        <v>4408</v>
      </c>
      <c r="W473" s="202">
        <v>46132</v>
      </c>
      <c r="X473" s="202">
        <v>46129</v>
      </c>
      <c r="Y473" s="202"/>
      <c r="Z473" s="202"/>
      <c r="AA473" s="215" t="s">
        <v>6462</v>
      </c>
      <c r="AB473" s="215" t="s">
        <v>6465</v>
      </c>
      <c r="AC473" s="215" t="s">
        <v>6464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197" t="s">
        <v>4410</v>
      </c>
      <c r="AI473" s="214" t="s">
        <v>4411</v>
      </c>
      <c r="AJ473" s="207"/>
      <c r="AK473" s="316">
        <v>46097</v>
      </c>
      <c r="AL473" s="316">
        <v>46097</v>
      </c>
      <c r="AM473" s="316">
        <v>46097</v>
      </c>
      <c r="AN473" s="316">
        <v>46097</v>
      </c>
      <c r="AO473" s="316">
        <v>46097</v>
      </c>
      <c r="AP473" s="316">
        <v>46097</v>
      </c>
      <c r="AQ473" s="314"/>
      <c r="AR473" s="315" t="str">
        <f t="shared" si="32"/>
        <v>FINALIZADO</v>
      </c>
      <c r="AS473" s="207"/>
      <c r="AT473" s="219"/>
      <c r="AU473" s="220"/>
      <c r="AV473" s="161"/>
      <c r="AW473" s="161"/>
      <c r="AX473" s="284"/>
      <c r="AY473" s="219"/>
      <c r="AZ473" s="219"/>
      <c r="BA473" s="219"/>
      <c r="BB473" s="219"/>
      <c r="BC473" s="219"/>
      <c r="BD473" s="208"/>
      <c r="BE473" s="203"/>
      <c r="BF473" s="219"/>
      <c r="BG473" s="21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19"/>
      <c r="BL473" s="221"/>
      <c r="BM473" s="221"/>
      <c r="BN473" s="219"/>
      <c r="BO473" s="219"/>
      <c r="BP473" s="219"/>
      <c r="BQ473" s="219"/>
      <c r="BR473" s="222"/>
    </row>
    <row r="474" spans="1:112" s="240" customFormat="1" ht="27" customHeight="1">
      <c r="A474" s="197">
        <v>470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6466</v>
      </c>
      <c r="G474" s="207" t="s">
        <v>4400</v>
      </c>
      <c r="H474" s="207" t="s">
        <v>4401</v>
      </c>
      <c r="I474" s="217" t="s">
        <v>4402</v>
      </c>
      <c r="J474" s="215" t="s">
        <v>6467</v>
      </c>
      <c r="K474" s="215" t="s">
        <v>6468</v>
      </c>
      <c r="L474" s="215" t="s">
        <v>6469</v>
      </c>
      <c r="M474" s="207" t="s">
        <v>4405</v>
      </c>
      <c r="N474" s="207" t="s">
        <v>4432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02"/>
      <c r="AA474" s="215" t="s">
        <v>6467</v>
      </c>
      <c r="AB474" s="215" t="s">
        <v>6468</v>
      </c>
      <c r="AC474" s="215" t="s">
        <v>6469</v>
      </c>
      <c r="AD474" s="217" t="s">
        <v>4402</v>
      </c>
      <c r="AE474" s="207" t="s">
        <v>4405</v>
      </c>
      <c r="AF474" s="218">
        <v>42208.36</v>
      </c>
      <c r="AG474" s="218">
        <v>60000</v>
      </c>
      <c r="AH474" s="197" t="s">
        <v>4422</v>
      </c>
      <c r="AI474" s="214" t="s">
        <v>4411</v>
      </c>
      <c r="AJ474" s="207">
        <v>158037657</v>
      </c>
      <c r="AK474" s="316">
        <v>46188</v>
      </c>
      <c r="AL474" s="316">
        <v>46188</v>
      </c>
      <c r="AM474" s="316">
        <v>46188</v>
      </c>
      <c r="AN474" s="316">
        <v>46188</v>
      </c>
      <c r="AO474" s="316">
        <v>46188</v>
      </c>
      <c r="AP474" s="316">
        <v>46188</v>
      </c>
      <c r="AQ474" s="314"/>
      <c r="AR474" s="315" t="str">
        <f t="shared" si="32"/>
        <v>FINALIZADO</v>
      </c>
      <c r="AS474" s="207" t="s">
        <v>4423</v>
      </c>
      <c r="AT474" s="219"/>
      <c r="AU474" s="220" t="s">
        <v>6470</v>
      </c>
      <c r="AV474" s="197" t="s">
        <v>4818</v>
      </c>
      <c r="AW474" s="207" t="s">
        <v>4818</v>
      </c>
      <c r="AX474" s="207" t="s">
        <v>4818</v>
      </c>
      <c r="AY474" s="207" t="s">
        <v>4818</v>
      </c>
      <c r="AZ474" s="202">
        <v>46233</v>
      </c>
      <c r="BA474" s="207" t="s">
        <v>4818</v>
      </c>
      <c r="BB474" s="207" t="s">
        <v>4818</v>
      </c>
      <c r="BC474" s="202">
        <v>46248</v>
      </c>
      <c r="BD474" s="227">
        <v>46248</v>
      </c>
      <c r="BE474" s="226" t="s">
        <v>4435</v>
      </c>
      <c r="BF474" s="228" t="s">
        <v>4436</v>
      </c>
      <c r="BG474" s="219" t="s">
        <v>4425</v>
      </c>
      <c r="BH474" s="321">
        <f t="shared" si="33"/>
        <v>60</v>
      </c>
      <c r="BI474" s="98" t="str">
        <f t="shared" si="34"/>
        <v>INDENIZAÇÃO</v>
      </c>
      <c r="BJ474" s="98" t="str">
        <f t="shared" si="35"/>
        <v>NÃO</v>
      </c>
      <c r="BK474" s="219" t="s">
        <v>4437</v>
      </c>
      <c r="BL474" s="219" t="s">
        <v>4437</v>
      </c>
      <c r="BM474" s="219" t="s">
        <v>4437</v>
      </c>
      <c r="BN474" s="257" t="s">
        <v>5732</v>
      </c>
      <c r="BO474" s="257"/>
      <c r="BP474" s="257"/>
      <c r="BQ474" s="257"/>
      <c r="BR474" s="258"/>
      <c r="BS474" s="223"/>
      <c r="BT474" s="161"/>
    </row>
    <row r="475" spans="1:112" s="240" customFormat="1" ht="27" hidden="1" customHeight="1">
      <c r="A475" s="197">
        <v>471</v>
      </c>
      <c r="B475" s="197" t="s">
        <v>4396</v>
      </c>
      <c r="C475" s="207" t="s">
        <v>4427</v>
      </c>
      <c r="D475" s="207">
        <v>1</v>
      </c>
      <c r="E475" s="207" t="s">
        <v>4398</v>
      </c>
      <c r="F475" s="214" t="s">
        <v>6466</v>
      </c>
      <c r="G475" s="207" t="s">
        <v>4400</v>
      </c>
      <c r="H475" s="207" t="s">
        <v>4401</v>
      </c>
      <c r="I475" s="217" t="s">
        <v>4402</v>
      </c>
      <c r="J475" s="215" t="s">
        <v>6471</v>
      </c>
      <c r="K475" s="215" t="s">
        <v>6472</v>
      </c>
      <c r="L475" s="215" t="s">
        <v>6473</v>
      </c>
      <c r="M475" s="207" t="s">
        <v>4405</v>
      </c>
      <c r="N475" s="207" t="s">
        <v>4406</v>
      </c>
      <c r="O475" s="202">
        <v>45986</v>
      </c>
      <c r="P475" s="203" t="s">
        <v>4407</v>
      </c>
      <c r="Q475" s="203">
        <v>45985</v>
      </c>
      <c r="R475" s="203">
        <v>45986</v>
      </c>
      <c r="S475" s="203">
        <v>45987</v>
      </c>
      <c r="T475" s="203">
        <v>45992</v>
      </c>
      <c r="U475" s="202" t="s">
        <v>4408</v>
      </c>
      <c r="V475" s="202" t="s">
        <v>4408</v>
      </c>
      <c r="W475" s="202">
        <v>45999</v>
      </c>
      <c r="X475" s="202">
        <v>46000</v>
      </c>
      <c r="Y475" s="203"/>
      <c r="Z475" s="219"/>
      <c r="AA475" s="215" t="s">
        <v>6471</v>
      </c>
      <c r="AB475" s="215" t="s">
        <v>6472</v>
      </c>
      <c r="AC475" s="215" t="s">
        <v>6473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241" t="s">
        <v>4410</v>
      </c>
      <c r="AI475" s="214" t="s">
        <v>4411</v>
      </c>
      <c r="AJ475" s="207"/>
      <c r="AK475" s="316">
        <v>45980</v>
      </c>
      <c r="AL475" s="316">
        <v>45980</v>
      </c>
      <c r="AM475" s="316">
        <v>45980</v>
      </c>
      <c r="AN475" s="316">
        <v>45980</v>
      </c>
      <c r="AO475" s="316">
        <v>45980</v>
      </c>
      <c r="AP475" s="316">
        <v>45980</v>
      </c>
      <c r="AQ475" s="314"/>
      <c r="AR475" s="315" t="str">
        <f t="shared" si="32"/>
        <v>FINALIZADO</v>
      </c>
      <c r="AS475" s="207"/>
      <c r="AT475" s="219"/>
      <c r="AU475" s="220"/>
      <c r="AV475" s="285"/>
      <c r="AW475" s="286"/>
      <c r="AX475" s="207" t="s">
        <v>4409</v>
      </c>
      <c r="AY475" s="207" t="s">
        <v>4409</v>
      </c>
      <c r="AZ475" s="207" t="s">
        <v>4409</v>
      </c>
      <c r="BA475" s="207" t="s">
        <v>4409</v>
      </c>
      <c r="BB475" s="219"/>
      <c r="BC475" s="219"/>
      <c r="BD475" s="208"/>
      <c r="BE475" s="202"/>
      <c r="BF475" s="207"/>
      <c r="BG475" s="22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30"/>
      <c r="BL475" s="230"/>
      <c r="BM475" s="230"/>
      <c r="BN475" s="230"/>
      <c r="BO475" s="230"/>
      <c r="BP475" s="230"/>
      <c r="BQ475" s="230"/>
      <c r="BR475" s="234"/>
    </row>
    <row r="476" spans="1:112" s="240" customFormat="1" ht="27" customHeight="1">
      <c r="A476" s="207">
        <v>472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6474</v>
      </c>
      <c r="G476" s="207" t="s">
        <v>4400</v>
      </c>
      <c r="H476" s="207" t="s">
        <v>4536</v>
      </c>
      <c r="I476" s="207" t="s">
        <v>4536</v>
      </c>
      <c r="J476" s="215" t="s">
        <v>6475</v>
      </c>
      <c r="K476" s="215" t="s">
        <v>6476</v>
      </c>
      <c r="L476" s="215" t="s">
        <v>6477</v>
      </c>
      <c r="M476" s="207" t="s">
        <v>4405</v>
      </c>
      <c r="N476" s="207" t="s">
        <v>4406</v>
      </c>
      <c r="O476" s="202">
        <v>46147</v>
      </c>
      <c r="P476" s="202" t="s">
        <v>4407</v>
      </c>
      <c r="Q476" s="203">
        <v>46136</v>
      </c>
      <c r="R476" s="202">
        <v>46147</v>
      </c>
      <c r="S476" s="203">
        <v>46156</v>
      </c>
      <c r="T476" s="203">
        <v>46168</v>
      </c>
      <c r="U476" s="203" t="s">
        <v>4408</v>
      </c>
      <c r="V476" s="203" t="s">
        <v>4408</v>
      </c>
      <c r="W476" s="279">
        <v>46196</v>
      </c>
      <c r="X476" s="203">
        <v>46196</v>
      </c>
      <c r="Y476" s="203"/>
      <c r="Z476" s="219"/>
      <c r="AA476" s="215" t="s">
        <v>6475</v>
      </c>
      <c r="AB476" s="215" t="s">
        <v>6476</v>
      </c>
      <c r="AC476" s="215" t="s">
        <v>6477</v>
      </c>
      <c r="AD476" s="217" t="s">
        <v>4402</v>
      </c>
      <c r="AE476" s="207" t="s">
        <v>4405</v>
      </c>
      <c r="AF476" s="218" t="s">
        <v>4409</v>
      </c>
      <c r="AG476" s="218" t="s">
        <v>4409</v>
      </c>
      <c r="AH476" s="197" t="s">
        <v>4410</v>
      </c>
      <c r="AI476" s="214" t="s">
        <v>4411</v>
      </c>
      <c r="AJ476" s="207"/>
      <c r="AK476" s="317">
        <v>46134</v>
      </c>
      <c r="AL476" s="317">
        <v>46134</v>
      </c>
      <c r="AM476" s="317">
        <v>46134</v>
      </c>
      <c r="AN476" s="317">
        <v>46134</v>
      </c>
      <c r="AO476" s="317">
        <v>46134</v>
      </c>
      <c r="AP476" s="317">
        <v>46134</v>
      </c>
      <c r="AQ476" s="314"/>
      <c r="AR476" s="315" t="str">
        <f t="shared" si="32"/>
        <v>FINALIZADO</v>
      </c>
      <c r="AS476" s="207"/>
      <c r="AT476" s="219"/>
      <c r="AU476" s="220"/>
      <c r="AV476" s="254"/>
      <c r="AW476" s="219"/>
      <c r="AX476" s="219"/>
      <c r="AY476" s="219"/>
      <c r="AZ476" s="219"/>
      <c r="BA476" s="219"/>
      <c r="BB476" s="219"/>
      <c r="BC476" s="219"/>
      <c r="BD476" s="208"/>
      <c r="BE476" s="203"/>
      <c r="BF476" s="219"/>
      <c r="BG476" s="219"/>
      <c r="BH476" s="321" t="str">
        <f t="shared" si="33"/>
        <v/>
      </c>
      <c r="BI476" s="98" t="str">
        <f t="shared" si="34"/>
        <v>AA</v>
      </c>
      <c r="BJ476" s="98" t="str">
        <f t="shared" si="35"/>
        <v>NÃO</v>
      </c>
      <c r="BK476" s="219"/>
      <c r="BL476" s="221"/>
      <c r="BM476" s="221"/>
      <c r="BN476" s="219"/>
      <c r="BO476" s="219"/>
      <c r="BP476" s="219"/>
      <c r="BQ476" s="219"/>
      <c r="BR476" s="222"/>
    </row>
    <row r="477" spans="1:112" s="240" customFormat="1" ht="27" hidden="1" customHeight="1">
      <c r="A477" s="207">
        <v>473</v>
      </c>
      <c r="B477" s="197" t="s">
        <v>4396</v>
      </c>
      <c r="C477" s="207" t="s">
        <v>4427</v>
      </c>
      <c r="D477" s="207">
        <v>1</v>
      </c>
      <c r="E477" s="207" t="s">
        <v>4398</v>
      </c>
      <c r="F477" s="214" t="s">
        <v>6478</v>
      </c>
      <c r="G477" s="207" t="s">
        <v>4400</v>
      </c>
      <c r="H477" s="207" t="s">
        <v>4401</v>
      </c>
      <c r="I477" s="217" t="s">
        <v>4402</v>
      </c>
      <c r="J477" s="215" t="s">
        <v>6479</v>
      </c>
      <c r="K477" s="215" t="s">
        <v>6480</v>
      </c>
      <c r="L477" s="215" t="s">
        <v>6481</v>
      </c>
      <c r="M477" s="207" t="s">
        <v>4405</v>
      </c>
      <c r="N477" s="207" t="s">
        <v>4442</v>
      </c>
      <c r="O477" s="202" t="s">
        <v>4409</v>
      </c>
      <c r="P477" s="202" t="s">
        <v>4409</v>
      </c>
      <c r="Q477" s="202" t="s">
        <v>4409</v>
      </c>
      <c r="R477" s="202" t="s">
        <v>4409</v>
      </c>
      <c r="S477" s="202" t="s">
        <v>4409</v>
      </c>
      <c r="T477" s="202" t="s">
        <v>4409</v>
      </c>
      <c r="U477" s="202" t="s">
        <v>4409</v>
      </c>
      <c r="V477" s="202" t="s">
        <v>4409</v>
      </c>
      <c r="W477" s="202" t="s">
        <v>4409</v>
      </c>
      <c r="X477" s="202" t="s">
        <v>4409</v>
      </c>
      <c r="Y477" s="202"/>
      <c r="Z477" s="202"/>
      <c r="AA477" s="200" t="s">
        <v>6479</v>
      </c>
      <c r="AB477" s="200" t="s">
        <v>6480</v>
      </c>
      <c r="AC477" s="200" t="s">
        <v>6481</v>
      </c>
      <c r="AD477" s="197" t="s">
        <v>4402</v>
      </c>
      <c r="AE477" s="254" t="s">
        <v>4405</v>
      </c>
      <c r="AF477" s="243">
        <v>29415.63</v>
      </c>
      <c r="AG477" s="243">
        <f>AF477+30000</f>
        <v>59415.630000000005</v>
      </c>
      <c r="AH477" s="197" t="s">
        <v>4422</v>
      </c>
      <c r="AI477" s="214" t="s">
        <v>4411</v>
      </c>
      <c r="AJ477" s="207">
        <v>153413980</v>
      </c>
      <c r="AK477" s="316">
        <v>46064</v>
      </c>
      <c r="AL477" s="316">
        <v>46064</v>
      </c>
      <c r="AM477" s="316">
        <v>46064</v>
      </c>
      <c r="AN477" s="316">
        <v>46064</v>
      </c>
      <c r="AO477" s="316">
        <v>46064</v>
      </c>
      <c r="AP477" s="316">
        <v>46064</v>
      </c>
      <c r="AQ477" s="314"/>
      <c r="AR477" s="315" t="str">
        <f t="shared" si="32"/>
        <v>FINALIZADO</v>
      </c>
      <c r="AS477" s="207" t="s">
        <v>4423</v>
      </c>
      <c r="AT477" s="219"/>
      <c r="AU477" s="220" t="s">
        <v>6482</v>
      </c>
      <c r="AV477" s="207" t="s">
        <v>4425</v>
      </c>
      <c r="AW477" s="197" t="s">
        <v>4425</v>
      </c>
      <c r="AX477" s="207" t="s">
        <v>4425</v>
      </c>
      <c r="AY477" s="207" t="s">
        <v>4425</v>
      </c>
      <c r="AZ477" s="202">
        <v>46153</v>
      </c>
      <c r="BA477" s="207" t="s">
        <v>4425</v>
      </c>
      <c r="BB477" s="207" t="s">
        <v>4425</v>
      </c>
      <c r="BC477" s="202">
        <v>46161</v>
      </c>
      <c r="BD477" s="227">
        <v>46161</v>
      </c>
      <c r="BE477" s="227" t="s">
        <v>4435</v>
      </c>
      <c r="BF477" s="228" t="s">
        <v>4436</v>
      </c>
      <c r="BG477" s="219" t="s">
        <v>4425</v>
      </c>
      <c r="BH477" s="321">
        <f t="shared" si="33"/>
        <v>97</v>
      </c>
      <c r="BI477" s="98" t="str">
        <f t="shared" si="34"/>
        <v>INDENIZAÇÃO</v>
      </c>
      <c r="BJ477" s="98" t="str">
        <f t="shared" si="35"/>
        <v>NÃO</v>
      </c>
      <c r="BK477" s="219" t="s">
        <v>4437</v>
      </c>
      <c r="BL477" s="219" t="s">
        <v>4437</v>
      </c>
      <c r="BM477" s="219" t="s">
        <v>4437</v>
      </c>
      <c r="BN477" s="257" t="s">
        <v>5732</v>
      </c>
      <c r="BO477" s="257"/>
      <c r="BP477" s="257"/>
      <c r="BQ477" s="257"/>
      <c r="BR477" s="258"/>
      <c r="BS477" s="223"/>
      <c r="BT477" s="161"/>
    </row>
    <row r="478" spans="1:112" s="240" customFormat="1" ht="27" customHeight="1">
      <c r="A478" s="207">
        <v>474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6478</v>
      </c>
      <c r="G478" s="207" t="s">
        <v>4400</v>
      </c>
      <c r="H478" s="207" t="s">
        <v>4401</v>
      </c>
      <c r="I478" s="207" t="s">
        <v>4402</v>
      </c>
      <c r="J478" s="215" t="s">
        <v>6483</v>
      </c>
      <c r="K478" s="215" t="s">
        <v>6484</v>
      </c>
      <c r="L478" s="215" t="s">
        <v>6485</v>
      </c>
      <c r="M478" s="207" t="s">
        <v>4405</v>
      </c>
      <c r="N478" s="207" t="s">
        <v>4432</v>
      </c>
      <c r="O478" s="202" t="s">
        <v>6486</v>
      </c>
      <c r="P478" s="202" t="s">
        <v>6486</v>
      </c>
      <c r="Q478" s="202" t="s">
        <v>6486</v>
      </c>
      <c r="R478" s="202" t="s">
        <v>6486</v>
      </c>
      <c r="S478" s="202" t="s">
        <v>6486</v>
      </c>
      <c r="T478" s="202" t="s">
        <v>6486</v>
      </c>
      <c r="U478" s="202" t="s">
        <v>6486</v>
      </c>
      <c r="V478" s="202" t="s">
        <v>6486</v>
      </c>
      <c r="W478" s="202" t="s">
        <v>6486</v>
      </c>
      <c r="X478" s="202" t="s">
        <v>6486</v>
      </c>
      <c r="Y478" s="202"/>
      <c r="Z478" s="202" t="s">
        <v>6486</v>
      </c>
      <c r="AA478" s="215" t="s">
        <v>6483</v>
      </c>
      <c r="AB478" s="215" t="s">
        <v>6484</v>
      </c>
      <c r="AC478" s="215" t="s">
        <v>6485</v>
      </c>
      <c r="AD478" s="217" t="s">
        <v>4402</v>
      </c>
      <c r="AE478" s="207" t="s">
        <v>4405</v>
      </c>
      <c r="AF478" s="218">
        <v>15842.03</v>
      </c>
      <c r="AG478" s="218">
        <v>45842.03</v>
      </c>
      <c r="AH478" s="207" t="s">
        <v>4422</v>
      </c>
      <c r="AI478" s="214" t="s">
        <v>4411</v>
      </c>
      <c r="AJ478" s="207">
        <v>153981462</v>
      </c>
      <c r="AK478" s="316">
        <v>46188</v>
      </c>
      <c r="AL478" s="316">
        <v>46188</v>
      </c>
      <c r="AM478" s="316">
        <v>46188</v>
      </c>
      <c r="AN478" s="316">
        <v>46188</v>
      </c>
      <c r="AO478" s="316">
        <v>46188</v>
      </c>
      <c r="AP478" s="316">
        <v>46188</v>
      </c>
      <c r="AQ478" s="314"/>
      <c r="AR478" s="315" t="str">
        <f t="shared" si="32"/>
        <v>FINALIZADO</v>
      </c>
      <c r="AS478" s="207" t="s">
        <v>4423</v>
      </c>
      <c r="AT478" s="219"/>
      <c r="AU478" s="220" t="s">
        <v>6487</v>
      </c>
      <c r="AV478" s="207" t="s">
        <v>4425</v>
      </c>
      <c r="AW478" s="207" t="s">
        <v>4425</v>
      </c>
      <c r="AX478" s="207" t="s">
        <v>4818</v>
      </c>
      <c r="AY478" s="207" t="s">
        <v>4818</v>
      </c>
      <c r="AZ478" s="202">
        <v>46233</v>
      </c>
      <c r="BA478" s="207" t="s">
        <v>4818</v>
      </c>
      <c r="BB478" s="207" t="s">
        <v>4818</v>
      </c>
      <c r="BC478" s="202">
        <v>46234</v>
      </c>
      <c r="BD478" s="226">
        <v>46234</v>
      </c>
      <c r="BE478" s="257" t="s">
        <v>4435</v>
      </c>
      <c r="BF478" s="257" t="s">
        <v>4436</v>
      </c>
      <c r="BG478" s="219" t="s">
        <v>4425</v>
      </c>
      <c r="BH478" s="321">
        <f t="shared" si="33"/>
        <v>46</v>
      </c>
      <c r="BI478" s="98" t="str">
        <f t="shared" si="34"/>
        <v>INDENIZAÇÃO</v>
      </c>
      <c r="BJ478" s="98" t="str">
        <f t="shared" si="35"/>
        <v>NÃO</v>
      </c>
      <c r="BK478" s="219" t="s">
        <v>4437</v>
      </c>
      <c r="BL478" s="219" t="s">
        <v>4437</v>
      </c>
      <c r="BM478" s="219" t="s">
        <v>4437</v>
      </c>
      <c r="BN478" s="257" t="s">
        <v>5732</v>
      </c>
      <c r="BO478" s="257"/>
      <c r="BP478" s="257"/>
      <c r="BQ478" s="257"/>
      <c r="BR478" s="258"/>
      <c r="BS478" s="161"/>
      <c r="BT478" s="161"/>
      <c r="BU478" s="161"/>
      <c r="BV478" s="161"/>
      <c r="BW478" s="161"/>
      <c r="BX478" s="161"/>
      <c r="BY478" s="161"/>
      <c r="BZ478" s="161"/>
      <c r="CA478" s="161"/>
      <c r="CB478" s="161"/>
      <c r="CC478" s="161"/>
      <c r="CD478" s="161"/>
      <c r="CE478" s="161"/>
      <c r="CF478" s="161"/>
      <c r="CG478" s="161"/>
      <c r="CH478" s="161"/>
      <c r="CI478" s="161"/>
      <c r="CJ478" s="161"/>
      <c r="CK478" s="161"/>
      <c r="CL478" s="161"/>
      <c r="CM478" s="161"/>
      <c r="CN478" s="161"/>
      <c r="CO478" s="161"/>
      <c r="CP478" s="161"/>
      <c r="CQ478" s="161"/>
      <c r="CR478" s="161"/>
      <c r="CS478" s="161"/>
      <c r="CT478" s="161"/>
      <c r="CU478" s="161"/>
      <c r="CV478" s="161"/>
      <c r="CW478" s="161"/>
      <c r="CX478" s="161"/>
      <c r="CY478" s="161"/>
      <c r="CZ478" s="161"/>
      <c r="DA478" s="161"/>
      <c r="DB478" s="161"/>
      <c r="DC478" s="161"/>
      <c r="DD478" s="161"/>
      <c r="DE478" s="161"/>
      <c r="DF478" s="161"/>
      <c r="DG478" s="161"/>
      <c r="DH478" s="161"/>
    </row>
    <row r="479" spans="1:112" s="240" customFormat="1" ht="27" customHeight="1">
      <c r="A479" s="197">
        <v>475</v>
      </c>
      <c r="B479" s="197" t="s">
        <v>4396</v>
      </c>
      <c r="C479" s="207" t="s">
        <v>4413</v>
      </c>
      <c r="D479" s="207">
        <v>1</v>
      </c>
      <c r="E479" s="207" t="s">
        <v>4398</v>
      </c>
      <c r="F479" s="214" t="s">
        <v>6488</v>
      </c>
      <c r="G479" s="207" t="s">
        <v>4400</v>
      </c>
      <c r="H479" s="207" t="s">
        <v>4401</v>
      </c>
      <c r="I479" s="207" t="s">
        <v>4402</v>
      </c>
      <c r="J479" s="215" t="s">
        <v>6489</v>
      </c>
      <c r="K479" s="215" t="s">
        <v>6490</v>
      </c>
      <c r="L479" s="215" t="s">
        <v>6491</v>
      </c>
      <c r="M479" s="207" t="s">
        <v>4405</v>
      </c>
      <c r="N479" s="207" t="s">
        <v>4442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15" t="s">
        <v>6489</v>
      </c>
      <c r="AB479" s="215" t="s">
        <v>6490</v>
      </c>
      <c r="AC479" s="215" t="s">
        <v>6491</v>
      </c>
      <c r="AD479" s="207" t="s">
        <v>4402</v>
      </c>
      <c r="AE479" s="207" t="s">
        <v>4405</v>
      </c>
      <c r="AF479" s="218">
        <v>83679.75</v>
      </c>
      <c r="AG479" s="218">
        <v>83679.75</v>
      </c>
      <c r="AH479" s="207" t="s">
        <v>4433</v>
      </c>
      <c r="AI479" s="214" t="s">
        <v>4411</v>
      </c>
      <c r="AJ479" s="207">
        <v>150531066</v>
      </c>
      <c r="AK479" s="316">
        <v>46093</v>
      </c>
      <c r="AL479" s="316">
        <v>46093</v>
      </c>
      <c r="AM479" s="316">
        <v>46093</v>
      </c>
      <c r="AN479" s="316">
        <v>46093</v>
      </c>
      <c r="AO479" s="316">
        <v>46093</v>
      </c>
      <c r="AP479" s="316">
        <v>46093</v>
      </c>
      <c r="AQ479" s="314"/>
      <c r="AR479" s="315" t="str">
        <f t="shared" si="32"/>
        <v>FINALIZADO</v>
      </c>
      <c r="AS479" s="207" t="s">
        <v>4423</v>
      </c>
      <c r="AT479" s="219"/>
      <c r="AU479" s="220" t="s">
        <v>6492</v>
      </c>
      <c r="AV479" s="207" t="s">
        <v>4425</v>
      </c>
      <c r="AW479" s="207" t="s">
        <v>4425</v>
      </c>
      <c r="AX479" s="207" t="s">
        <v>4425</v>
      </c>
      <c r="AY479" s="197" t="s">
        <v>4425</v>
      </c>
      <c r="AZ479" s="202">
        <v>46128</v>
      </c>
      <c r="BA479" s="207" t="s">
        <v>4425</v>
      </c>
      <c r="BB479" s="197" t="s">
        <v>4425</v>
      </c>
      <c r="BC479" s="202">
        <v>46139</v>
      </c>
      <c r="BD479" s="227">
        <v>46139</v>
      </c>
      <c r="BE479" s="227" t="s">
        <v>4435</v>
      </c>
      <c r="BF479" s="228" t="s">
        <v>4436</v>
      </c>
      <c r="BG479" s="229" t="s">
        <v>4425</v>
      </c>
      <c r="BH479" s="321">
        <f t="shared" si="33"/>
        <v>46</v>
      </c>
      <c r="BI479" s="98" t="str">
        <f t="shared" si="34"/>
        <v>INDENIZAÇÃO</v>
      </c>
      <c r="BJ479" s="98" t="str">
        <f t="shared" si="35"/>
        <v>NÃO</v>
      </c>
      <c r="BK479" s="219" t="s">
        <v>4437</v>
      </c>
      <c r="BL479" s="219" t="s">
        <v>4437</v>
      </c>
      <c r="BM479" s="219" t="s">
        <v>4437</v>
      </c>
      <c r="BN479" s="257" t="s">
        <v>5732</v>
      </c>
      <c r="BO479" s="257"/>
      <c r="BP479" s="257"/>
      <c r="BQ479" s="257"/>
      <c r="BR479" s="258"/>
    </row>
    <row r="480" spans="1:112" s="240" customFormat="1" ht="27" hidden="1" customHeight="1">
      <c r="A480" s="197">
        <v>476</v>
      </c>
      <c r="B480" s="197" t="s">
        <v>4396</v>
      </c>
      <c r="C480" s="207" t="s">
        <v>4427</v>
      </c>
      <c r="D480" s="207">
        <v>1</v>
      </c>
      <c r="E480" s="207" t="s">
        <v>4398</v>
      </c>
      <c r="F480" s="214" t="s">
        <v>6488</v>
      </c>
      <c r="G480" s="207" t="s">
        <v>4400</v>
      </c>
      <c r="H480" s="207" t="s">
        <v>4428</v>
      </c>
      <c r="I480" s="233" t="s">
        <v>4421</v>
      </c>
      <c r="J480" s="215" t="s">
        <v>6493</v>
      </c>
      <c r="K480" s="215" t="s">
        <v>6494</v>
      </c>
      <c r="L480" s="215" t="s">
        <v>6495</v>
      </c>
      <c r="M480" s="207" t="s">
        <v>4405</v>
      </c>
      <c r="N480" s="207" t="s">
        <v>4442</v>
      </c>
      <c r="O480" s="202" t="s">
        <v>4409</v>
      </c>
      <c r="P480" s="202" t="s">
        <v>4409</v>
      </c>
      <c r="Q480" s="202" t="s">
        <v>4409</v>
      </c>
      <c r="R480" s="202" t="s">
        <v>4409</v>
      </c>
      <c r="S480" s="202" t="s">
        <v>4409</v>
      </c>
      <c r="T480" s="202" t="s">
        <v>4409</v>
      </c>
      <c r="U480" s="202" t="s">
        <v>4409</v>
      </c>
      <c r="V480" s="202" t="s">
        <v>4409</v>
      </c>
      <c r="W480" s="202" t="s">
        <v>4409</v>
      </c>
      <c r="X480" s="202" t="s">
        <v>4409</v>
      </c>
      <c r="Y480" s="202"/>
      <c r="Z480" s="202"/>
      <c r="AA480" s="215" t="s">
        <v>6493</v>
      </c>
      <c r="AB480" s="215" t="s">
        <v>6494</v>
      </c>
      <c r="AC480" s="215" t="s">
        <v>6495</v>
      </c>
      <c r="AD480" s="233" t="s">
        <v>4421</v>
      </c>
      <c r="AE480" s="207" t="s">
        <v>4405</v>
      </c>
      <c r="AF480" s="218">
        <v>77783.350000000006</v>
      </c>
      <c r="AG480" s="218">
        <v>77783.350000000006</v>
      </c>
      <c r="AH480" s="207" t="s">
        <v>4433</v>
      </c>
      <c r="AI480" s="214" t="s">
        <v>4411</v>
      </c>
      <c r="AJ480" s="207">
        <v>150531066</v>
      </c>
      <c r="AK480" s="316">
        <v>46059</v>
      </c>
      <c r="AL480" s="316">
        <v>46059</v>
      </c>
      <c r="AM480" s="316">
        <v>46059</v>
      </c>
      <c r="AN480" s="316">
        <v>46059</v>
      </c>
      <c r="AO480" s="316">
        <v>46059</v>
      </c>
      <c r="AP480" s="316">
        <v>46059</v>
      </c>
      <c r="AQ480" s="314"/>
      <c r="AR480" s="315" t="str">
        <f t="shared" si="32"/>
        <v>FINALIZADO</v>
      </c>
      <c r="AS480" s="207" t="s">
        <v>4423</v>
      </c>
      <c r="AT480" s="219"/>
      <c r="AU480" s="220" t="s">
        <v>6496</v>
      </c>
      <c r="AV480" s="207" t="s">
        <v>4425</v>
      </c>
      <c r="AW480" s="207" t="s">
        <v>4425</v>
      </c>
      <c r="AX480" s="207" t="s">
        <v>4425</v>
      </c>
      <c r="AY480" s="207" t="s">
        <v>4425</v>
      </c>
      <c r="AZ480" s="202">
        <v>46128</v>
      </c>
      <c r="BA480" s="207" t="s">
        <v>4425</v>
      </c>
      <c r="BB480" s="207" t="s">
        <v>4425</v>
      </c>
      <c r="BC480" s="202">
        <v>46139</v>
      </c>
      <c r="BD480" s="227">
        <v>46139</v>
      </c>
      <c r="BE480" s="227" t="s">
        <v>4435</v>
      </c>
      <c r="BF480" s="228" t="s">
        <v>4436</v>
      </c>
      <c r="BG480" s="229" t="s">
        <v>4425</v>
      </c>
      <c r="BH480" s="321">
        <f t="shared" si="33"/>
        <v>80</v>
      </c>
      <c r="BI480" s="98" t="str">
        <f t="shared" si="34"/>
        <v>INDENIZAÇÃO</v>
      </c>
      <c r="BJ480" s="98" t="str">
        <f t="shared" si="35"/>
        <v>NÃO</v>
      </c>
      <c r="BK480" s="219" t="s">
        <v>4437</v>
      </c>
      <c r="BL480" s="219" t="s">
        <v>4437</v>
      </c>
      <c r="BM480" s="219" t="s">
        <v>4437</v>
      </c>
      <c r="BN480" s="257" t="s">
        <v>5732</v>
      </c>
      <c r="BO480" s="257"/>
      <c r="BP480" s="257"/>
      <c r="BQ480" s="257"/>
      <c r="BR480" s="258"/>
    </row>
    <row r="481" spans="1:74" s="240" customFormat="1" ht="27" hidden="1" customHeight="1">
      <c r="A481" s="207">
        <v>477</v>
      </c>
      <c r="B481" s="197" t="s">
        <v>4396</v>
      </c>
      <c r="C481" s="207" t="s">
        <v>4427</v>
      </c>
      <c r="D481" s="207">
        <v>1</v>
      </c>
      <c r="E481" s="207" t="s">
        <v>4398</v>
      </c>
      <c r="F481" s="214" t="s">
        <v>6497</v>
      </c>
      <c r="G481" s="207" t="s">
        <v>6498</v>
      </c>
      <c r="H481" s="207" t="s">
        <v>6498</v>
      </c>
      <c r="I481" s="163" t="s">
        <v>4421</v>
      </c>
      <c r="J481" s="215" t="s">
        <v>6499</v>
      </c>
      <c r="K481" s="215" t="s">
        <v>6500</v>
      </c>
      <c r="L481" s="215" t="s">
        <v>6501</v>
      </c>
      <c r="M481" s="207" t="s">
        <v>4405</v>
      </c>
      <c r="N481" s="207" t="s">
        <v>4442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6499</v>
      </c>
      <c r="AB481" s="215" t="s">
        <v>6500</v>
      </c>
      <c r="AC481" s="215" t="s">
        <v>6501</v>
      </c>
      <c r="AD481" s="233" t="s">
        <v>4421</v>
      </c>
      <c r="AE481" s="207" t="s">
        <v>4405</v>
      </c>
      <c r="AF481" s="218">
        <v>66126.44</v>
      </c>
      <c r="AG481" s="218">
        <v>66126.44</v>
      </c>
      <c r="AH481" s="207" t="s">
        <v>4433</v>
      </c>
      <c r="AI481" s="214" t="s">
        <v>4411</v>
      </c>
      <c r="AJ481" s="207">
        <v>148266044</v>
      </c>
      <c r="AK481" s="316">
        <v>46076</v>
      </c>
      <c r="AL481" s="316">
        <v>46076</v>
      </c>
      <c r="AM481" s="316">
        <v>46076</v>
      </c>
      <c r="AN481" s="316">
        <v>46076</v>
      </c>
      <c r="AO481" s="316">
        <v>46076</v>
      </c>
      <c r="AP481" s="316">
        <v>46076</v>
      </c>
      <c r="AQ481" s="314"/>
      <c r="AR481" s="315" t="str">
        <f t="shared" si="32"/>
        <v>FINALIZADO</v>
      </c>
      <c r="AS481" s="207" t="s">
        <v>4423</v>
      </c>
      <c r="AT481" s="219"/>
      <c r="AU481" s="220" t="s">
        <v>6502</v>
      </c>
      <c r="AV481" s="160" t="s">
        <v>4425</v>
      </c>
      <c r="AW481" s="207" t="s">
        <v>4425</v>
      </c>
      <c r="AX481" s="207" t="s">
        <v>4425</v>
      </c>
      <c r="AY481" s="207" t="s">
        <v>4425</v>
      </c>
      <c r="AZ481" s="202">
        <v>46153</v>
      </c>
      <c r="BA481" s="207" t="s">
        <v>4425</v>
      </c>
      <c r="BB481" s="207" t="s">
        <v>4425</v>
      </c>
      <c r="BC481" s="202">
        <v>46182</v>
      </c>
      <c r="BD481" s="227">
        <v>46182</v>
      </c>
      <c r="BE481" s="287" t="s">
        <v>4435</v>
      </c>
      <c r="BF481" s="288" t="s">
        <v>4436</v>
      </c>
      <c r="BG481" s="289" t="s">
        <v>4425</v>
      </c>
      <c r="BH481" s="321">
        <f t="shared" si="33"/>
        <v>106</v>
      </c>
      <c r="BI481" s="98" t="str">
        <f t="shared" si="34"/>
        <v>INDENIZAÇÃO</v>
      </c>
      <c r="BJ481" s="98" t="str">
        <f t="shared" si="35"/>
        <v>NÃO</v>
      </c>
      <c r="BK481" s="290" t="s">
        <v>4437</v>
      </c>
      <c r="BL481" s="238" t="s">
        <v>4437</v>
      </c>
      <c r="BM481" s="238" t="s">
        <v>4437</v>
      </c>
      <c r="BN481" s="291" t="s">
        <v>5732</v>
      </c>
      <c r="BO481" s="265"/>
      <c r="BP481" s="265"/>
      <c r="BQ481" s="265"/>
      <c r="BR481" s="231"/>
    </row>
    <row r="482" spans="1:74" s="240" customFormat="1" ht="27" customHeight="1">
      <c r="A482" s="207">
        <v>478</v>
      </c>
      <c r="B482" s="197" t="s">
        <v>4396</v>
      </c>
      <c r="C482" s="207" t="s">
        <v>4413</v>
      </c>
      <c r="D482" s="207">
        <v>1</v>
      </c>
      <c r="E482" s="207" t="s">
        <v>4398</v>
      </c>
      <c r="F482" s="214" t="s">
        <v>6503</v>
      </c>
      <c r="G482" s="207" t="s">
        <v>4400</v>
      </c>
      <c r="H482" s="207" t="s">
        <v>4401</v>
      </c>
      <c r="I482" s="160" t="s">
        <v>4402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4406</v>
      </c>
      <c r="O482" s="202">
        <v>46084</v>
      </c>
      <c r="P482" s="202" t="s">
        <v>4407</v>
      </c>
      <c r="Q482" s="202">
        <v>46083</v>
      </c>
      <c r="R482" s="203">
        <v>46084</v>
      </c>
      <c r="S482" s="203">
        <v>46087</v>
      </c>
      <c r="T482" s="203">
        <v>46090</v>
      </c>
      <c r="U482" s="202" t="s">
        <v>4408</v>
      </c>
      <c r="V482" s="202" t="s">
        <v>4408</v>
      </c>
      <c r="W482" s="202">
        <v>46101</v>
      </c>
      <c r="X482" s="202">
        <v>46104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17" t="s">
        <v>4402</v>
      </c>
      <c r="AE482" s="207" t="s">
        <v>4405</v>
      </c>
      <c r="AF482" s="218" t="s">
        <v>4409</v>
      </c>
      <c r="AG482" s="218" t="s">
        <v>4409</v>
      </c>
      <c r="AH482" s="207" t="s">
        <v>4410</v>
      </c>
      <c r="AI482" s="214" t="s">
        <v>4411</v>
      </c>
      <c r="AJ482" s="207"/>
      <c r="AK482" s="316">
        <v>46080</v>
      </c>
      <c r="AL482" s="316">
        <v>46080</v>
      </c>
      <c r="AM482" s="316">
        <v>46080</v>
      </c>
      <c r="AN482" s="316">
        <v>46080</v>
      </c>
      <c r="AO482" s="316">
        <v>46080</v>
      </c>
      <c r="AP482" s="316">
        <v>46080</v>
      </c>
      <c r="AQ482" s="314"/>
      <c r="AR482" s="315" t="str">
        <f t="shared" si="32"/>
        <v>FINALIZADO</v>
      </c>
      <c r="AS482" s="207"/>
      <c r="AT482" s="219"/>
      <c r="AU482" s="220"/>
      <c r="AV482" s="219"/>
      <c r="AW482" s="219"/>
      <c r="AX482" s="219"/>
      <c r="AY482" s="219"/>
      <c r="AZ482" s="219"/>
      <c r="BA482" s="219"/>
      <c r="BB482" s="219"/>
      <c r="BC482" s="219"/>
      <c r="BD482" s="208"/>
      <c r="BE482" s="203"/>
      <c r="BF482" s="219"/>
      <c r="BG482" s="219"/>
      <c r="BH482" s="321" t="str">
        <f t="shared" si="33"/>
        <v/>
      </c>
      <c r="BI482" s="98" t="str">
        <f t="shared" si="34"/>
        <v>AA</v>
      </c>
      <c r="BJ482" s="98" t="str">
        <f t="shared" si="35"/>
        <v>NÃO</v>
      </c>
      <c r="BK482" s="219"/>
      <c r="BL482" s="221"/>
      <c r="BM482" s="221"/>
      <c r="BN482" s="219"/>
      <c r="BO482" s="219"/>
      <c r="BP482" s="219"/>
      <c r="BQ482" s="219"/>
      <c r="BR482" s="222"/>
    </row>
    <row r="483" spans="1:74" s="240" customFormat="1" ht="27" customHeight="1">
      <c r="A483" s="207">
        <v>479</v>
      </c>
      <c r="B483" s="197" t="s">
        <v>4396</v>
      </c>
      <c r="C483" s="207" t="s">
        <v>4413</v>
      </c>
      <c r="D483" s="207">
        <v>1</v>
      </c>
      <c r="E483" s="207" t="s">
        <v>4398</v>
      </c>
      <c r="F483" s="214" t="s">
        <v>6507</v>
      </c>
      <c r="G483" s="207" t="s">
        <v>4400</v>
      </c>
      <c r="H483" s="207" t="s">
        <v>4401</v>
      </c>
      <c r="I483" s="207" t="s">
        <v>4402</v>
      </c>
      <c r="J483" s="215" t="s">
        <v>6508</v>
      </c>
      <c r="K483" s="215" t="s">
        <v>6509</v>
      </c>
      <c r="L483" s="215" t="s">
        <v>6510</v>
      </c>
      <c r="M483" s="207" t="s">
        <v>4405</v>
      </c>
      <c r="N483" s="207" t="s">
        <v>4406</v>
      </c>
      <c r="O483" s="202">
        <v>46084</v>
      </c>
      <c r="P483" s="202" t="s">
        <v>4407</v>
      </c>
      <c r="Q483" s="202">
        <v>46083</v>
      </c>
      <c r="R483" s="203">
        <v>46084</v>
      </c>
      <c r="S483" s="203">
        <v>46087</v>
      </c>
      <c r="T483" s="203">
        <v>46090</v>
      </c>
      <c r="U483" s="202" t="s">
        <v>4408</v>
      </c>
      <c r="V483" s="202" t="s">
        <v>4408</v>
      </c>
      <c r="W483" s="202">
        <v>46101</v>
      </c>
      <c r="X483" s="202">
        <v>46101</v>
      </c>
      <c r="Y483" s="202"/>
      <c r="Z483" s="202"/>
      <c r="AA483" s="215" t="s">
        <v>6508</v>
      </c>
      <c r="AB483" s="215" t="s">
        <v>6509</v>
      </c>
      <c r="AC483" s="215" t="s">
        <v>6510</v>
      </c>
      <c r="AD483" s="217" t="s">
        <v>4402</v>
      </c>
      <c r="AE483" s="207" t="s">
        <v>4405</v>
      </c>
      <c r="AF483" s="218" t="s">
        <v>4409</v>
      </c>
      <c r="AG483" s="218" t="s">
        <v>4409</v>
      </c>
      <c r="AH483" s="207" t="s">
        <v>4410</v>
      </c>
      <c r="AI483" s="214" t="s">
        <v>4411</v>
      </c>
      <c r="AJ483" s="207"/>
      <c r="AK483" s="316">
        <v>46080</v>
      </c>
      <c r="AL483" s="316">
        <v>46080</v>
      </c>
      <c r="AM483" s="316">
        <v>46080</v>
      </c>
      <c r="AN483" s="316">
        <v>46080</v>
      </c>
      <c r="AO483" s="316">
        <v>46080</v>
      </c>
      <c r="AP483" s="316">
        <v>46080</v>
      </c>
      <c r="AQ483" s="314"/>
      <c r="AR483" s="315" t="str">
        <f t="shared" si="32"/>
        <v>FINALIZADO</v>
      </c>
      <c r="AS483" s="207"/>
      <c r="AT483" s="219"/>
      <c r="AU483" s="220"/>
      <c r="AV483" s="219"/>
      <c r="AW483" s="219"/>
      <c r="AX483" s="219"/>
      <c r="AY483" s="254"/>
      <c r="AZ483" s="219"/>
      <c r="BA483" s="219"/>
      <c r="BB483" s="219"/>
      <c r="BC483" s="219"/>
      <c r="BD483" s="208"/>
      <c r="BE483" s="203"/>
      <c r="BF483" s="219"/>
      <c r="BG483" s="219"/>
      <c r="BH483" s="321" t="str">
        <f t="shared" si="33"/>
        <v/>
      </c>
      <c r="BI483" s="98" t="str">
        <f t="shared" si="34"/>
        <v>AA</v>
      </c>
      <c r="BJ483" s="98" t="str">
        <f t="shared" si="35"/>
        <v>NÃO</v>
      </c>
      <c r="BK483" s="219"/>
      <c r="BL483" s="221"/>
      <c r="BM483" s="221"/>
      <c r="BN483" s="219"/>
      <c r="BO483" s="219"/>
      <c r="BP483" s="219"/>
      <c r="BQ483" s="219"/>
      <c r="BR483" s="222"/>
    </row>
    <row r="484" spans="1:74" s="240" customFormat="1" ht="27" customHeight="1">
      <c r="A484" s="197">
        <v>480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6511</v>
      </c>
      <c r="G484" s="207" t="s">
        <v>4400</v>
      </c>
      <c r="H484" s="207" t="s">
        <v>4401</v>
      </c>
      <c r="I484" s="207" t="s">
        <v>4402</v>
      </c>
      <c r="J484" s="215" t="s">
        <v>6512</v>
      </c>
      <c r="K484" s="215" t="s">
        <v>6513</v>
      </c>
      <c r="L484" s="215" t="s">
        <v>6514</v>
      </c>
      <c r="M484" s="207" t="s">
        <v>4405</v>
      </c>
      <c r="N484" s="207" t="s">
        <v>4406</v>
      </c>
      <c r="O484" s="202">
        <v>46106</v>
      </c>
      <c r="P484" s="202" t="s">
        <v>4407</v>
      </c>
      <c r="Q484" s="202">
        <v>46106</v>
      </c>
      <c r="R484" s="202">
        <v>46107</v>
      </c>
      <c r="S484" s="202">
        <v>46111</v>
      </c>
      <c r="T484" s="202">
        <v>46087</v>
      </c>
      <c r="U484" s="202" t="s">
        <v>4408</v>
      </c>
      <c r="V484" s="202" t="s">
        <v>4408</v>
      </c>
      <c r="W484" s="202">
        <v>46132</v>
      </c>
      <c r="X484" s="202">
        <v>46129</v>
      </c>
      <c r="Y484" s="202"/>
      <c r="Z484" s="202"/>
      <c r="AA484" s="215" t="s">
        <v>6512</v>
      </c>
      <c r="AB484" s="215" t="s">
        <v>6513</v>
      </c>
      <c r="AC484" s="215" t="s">
        <v>6514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197">
        <v>481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6515</v>
      </c>
      <c r="G485" s="207" t="s">
        <v>4400</v>
      </c>
      <c r="H485" s="207" t="s">
        <v>4401</v>
      </c>
      <c r="I485" s="207" t="s">
        <v>4402</v>
      </c>
      <c r="J485" s="215" t="s">
        <v>6516</v>
      </c>
      <c r="K485" s="215" t="s">
        <v>6517</v>
      </c>
      <c r="L485" s="215" t="s">
        <v>6518</v>
      </c>
      <c r="M485" s="207" t="s">
        <v>4405</v>
      </c>
      <c r="N485" s="207" t="s">
        <v>4406</v>
      </c>
      <c r="O485" s="203">
        <v>46090</v>
      </c>
      <c r="P485" s="203" t="s">
        <v>4407</v>
      </c>
      <c r="Q485" s="202">
        <v>46090</v>
      </c>
      <c r="R485" s="202">
        <v>46099</v>
      </c>
      <c r="S485" s="202">
        <v>46101</v>
      </c>
      <c r="T485" s="202">
        <v>46118</v>
      </c>
      <c r="U485" s="202" t="s">
        <v>4408</v>
      </c>
      <c r="V485" s="202" t="s">
        <v>4408</v>
      </c>
      <c r="W485" s="202">
        <v>46118</v>
      </c>
      <c r="X485" s="202">
        <v>46119</v>
      </c>
      <c r="Y485" s="202"/>
      <c r="Z485" s="202"/>
      <c r="AA485" s="215" t="s">
        <v>6516</v>
      </c>
      <c r="AB485" s="215" t="s">
        <v>6517</v>
      </c>
      <c r="AC485" s="215" t="s">
        <v>6518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46086</v>
      </c>
      <c r="AL485" s="316">
        <v>46086</v>
      </c>
      <c r="AM485" s="316">
        <v>46086</v>
      </c>
      <c r="AN485" s="316">
        <v>46086</v>
      </c>
      <c r="AO485" s="316">
        <v>46086</v>
      </c>
      <c r="AP485" s="316">
        <v>46086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19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207">
        <v>482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6519</v>
      </c>
      <c r="G486" s="207" t="s">
        <v>4400</v>
      </c>
      <c r="H486" s="207" t="s">
        <v>4401</v>
      </c>
      <c r="I486" s="207" t="s">
        <v>4402</v>
      </c>
      <c r="J486" s="215" t="s">
        <v>6520</v>
      </c>
      <c r="K486" s="215" t="s">
        <v>6521</v>
      </c>
      <c r="L486" s="215" t="s">
        <v>6522</v>
      </c>
      <c r="M486" s="207" t="s">
        <v>4405</v>
      </c>
      <c r="N486" s="207" t="s">
        <v>4442</v>
      </c>
      <c r="O486" s="202" t="s">
        <v>4409</v>
      </c>
      <c r="P486" s="202" t="s">
        <v>4409</v>
      </c>
      <c r="Q486" s="202" t="s">
        <v>4409</v>
      </c>
      <c r="R486" s="202" t="s">
        <v>4409</v>
      </c>
      <c r="S486" s="202" t="s">
        <v>4409</v>
      </c>
      <c r="T486" s="202" t="s">
        <v>4409</v>
      </c>
      <c r="U486" s="202" t="s">
        <v>4409</v>
      </c>
      <c r="V486" s="202" t="s">
        <v>4409</v>
      </c>
      <c r="W486" s="202" t="s">
        <v>4409</v>
      </c>
      <c r="X486" s="202" t="s">
        <v>4409</v>
      </c>
      <c r="Y486" s="202"/>
      <c r="Z486" s="202"/>
      <c r="AA486" s="215" t="s">
        <v>6520</v>
      </c>
      <c r="AB486" s="215" t="s">
        <v>6521</v>
      </c>
      <c r="AC486" s="215" t="s">
        <v>6522</v>
      </c>
      <c r="AD486" s="207" t="s">
        <v>4402</v>
      </c>
      <c r="AE486" s="207" t="s">
        <v>4405</v>
      </c>
      <c r="AF486" s="218">
        <v>27649.74</v>
      </c>
      <c r="AG486" s="218">
        <f>AF486+30000</f>
        <v>57649.740000000005</v>
      </c>
      <c r="AH486" s="207" t="s">
        <v>4422</v>
      </c>
      <c r="AI486" s="214" t="s">
        <v>4411</v>
      </c>
      <c r="AJ486" s="207">
        <v>153982110</v>
      </c>
      <c r="AK486" s="316">
        <v>46129</v>
      </c>
      <c r="AL486" s="316">
        <v>46129</v>
      </c>
      <c r="AM486" s="316">
        <v>46129</v>
      </c>
      <c r="AN486" s="316">
        <v>46129</v>
      </c>
      <c r="AO486" s="316">
        <v>46129</v>
      </c>
      <c r="AP486" s="316">
        <v>46129</v>
      </c>
      <c r="AQ486" s="314"/>
      <c r="AR486" s="315" t="str">
        <f t="shared" si="32"/>
        <v>FINALIZADO</v>
      </c>
      <c r="AS486" s="207" t="s">
        <v>4423</v>
      </c>
      <c r="AT486" s="219"/>
      <c r="AU486" s="220" t="s">
        <v>6523</v>
      </c>
      <c r="AV486" s="262" t="s">
        <v>4425</v>
      </c>
      <c r="AW486" s="219" t="s">
        <v>4425</v>
      </c>
      <c r="AX486" s="219" t="s">
        <v>4425</v>
      </c>
      <c r="AY486" s="219" t="s">
        <v>4425</v>
      </c>
      <c r="AZ486" s="202">
        <v>46226</v>
      </c>
      <c r="BA486" s="219" t="s">
        <v>4425</v>
      </c>
      <c r="BB486" s="219" t="s">
        <v>4425</v>
      </c>
      <c r="BC486" s="202">
        <v>46232</v>
      </c>
      <c r="BD486" s="226">
        <v>46232</v>
      </c>
      <c r="BE486" s="257" t="s">
        <v>4435</v>
      </c>
      <c r="BF486" s="257" t="s">
        <v>4436</v>
      </c>
      <c r="BG486" s="219" t="s">
        <v>4425</v>
      </c>
      <c r="BH486" s="321">
        <f t="shared" si="33"/>
        <v>103</v>
      </c>
      <c r="BI486" s="98" t="str">
        <f t="shared" si="34"/>
        <v>INDENIZAÇÃO</v>
      </c>
      <c r="BJ486" s="98" t="str">
        <f t="shared" si="35"/>
        <v>NÃO</v>
      </c>
      <c r="BK486" s="219" t="s">
        <v>4437</v>
      </c>
      <c r="BL486" s="219" t="s">
        <v>4437</v>
      </c>
      <c r="BM486" s="219" t="s">
        <v>4437</v>
      </c>
      <c r="BN486" s="257" t="s">
        <v>5732</v>
      </c>
      <c r="BO486" s="257"/>
      <c r="BP486" s="257"/>
      <c r="BQ486" s="257"/>
      <c r="BR486" s="258"/>
      <c r="BS486" s="223"/>
      <c r="BT486" s="161"/>
    </row>
    <row r="487" spans="1:74" s="240" customFormat="1" ht="27" customHeight="1">
      <c r="A487" s="207">
        <v>483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6524</v>
      </c>
      <c r="G487" s="207" t="s">
        <v>4400</v>
      </c>
      <c r="H487" s="207" t="s">
        <v>4401</v>
      </c>
      <c r="I487" s="207" t="s">
        <v>4402</v>
      </c>
      <c r="J487" s="215" t="s">
        <v>6525</v>
      </c>
      <c r="K487" s="215" t="s">
        <v>6526</v>
      </c>
      <c r="L487" s="215" t="s">
        <v>6527</v>
      </c>
      <c r="M487" s="207" t="s">
        <v>4405</v>
      </c>
      <c r="N487" s="207" t="s">
        <v>4406</v>
      </c>
      <c r="O487" s="202">
        <v>46084</v>
      </c>
      <c r="P487" s="202" t="s">
        <v>4407</v>
      </c>
      <c r="Q487" s="202">
        <v>46083</v>
      </c>
      <c r="R487" s="203">
        <v>46084</v>
      </c>
      <c r="S487" s="203">
        <v>46087</v>
      </c>
      <c r="T487" s="203">
        <v>46090</v>
      </c>
      <c r="U487" s="202" t="s">
        <v>4408</v>
      </c>
      <c r="V487" s="202" t="s">
        <v>4408</v>
      </c>
      <c r="W487" s="202">
        <v>46101</v>
      </c>
      <c r="X487" s="202">
        <v>46101</v>
      </c>
      <c r="Y487" s="202"/>
      <c r="Z487" s="202"/>
      <c r="AA487" s="215" t="s">
        <v>6525</v>
      </c>
      <c r="AB487" s="215" t="s">
        <v>6526</v>
      </c>
      <c r="AC487" s="215" t="s">
        <v>6527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46080</v>
      </c>
      <c r="AL487" s="316">
        <v>46080</v>
      </c>
      <c r="AM487" s="316">
        <v>46080</v>
      </c>
      <c r="AN487" s="316">
        <v>46080</v>
      </c>
      <c r="AO487" s="316">
        <v>46080</v>
      </c>
      <c r="AP487" s="316">
        <v>46080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484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6528</v>
      </c>
      <c r="G488" s="207" t="s">
        <v>4400</v>
      </c>
      <c r="H488" s="207" t="s">
        <v>4401</v>
      </c>
      <c r="I488" s="207" t="s">
        <v>4402</v>
      </c>
      <c r="J488" s="215" t="s">
        <v>6529</v>
      </c>
      <c r="K488" s="215" t="s">
        <v>6530</v>
      </c>
      <c r="L488" s="215" t="s">
        <v>6531</v>
      </c>
      <c r="M488" s="207" t="s">
        <v>4405</v>
      </c>
      <c r="N488" s="207" t="s">
        <v>4406</v>
      </c>
      <c r="O488" s="202">
        <v>46084</v>
      </c>
      <c r="P488" s="202" t="s">
        <v>4407</v>
      </c>
      <c r="Q488" s="202">
        <v>46083</v>
      </c>
      <c r="R488" s="203">
        <v>46084</v>
      </c>
      <c r="S488" s="203">
        <v>46087</v>
      </c>
      <c r="T488" s="203">
        <v>46090</v>
      </c>
      <c r="U488" s="202" t="s">
        <v>4408</v>
      </c>
      <c r="V488" s="202" t="s">
        <v>4408</v>
      </c>
      <c r="W488" s="202">
        <v>46101</v>
      </c>
      <c r="X488" s="202">
        <v>46101</v>
      </c>
      <c r="Y488" s="202"/>
      <c r="Z488" s="202"/>
      <c r="AA488" s="215" t="s">
        <v>6529</v>
      </c>
      <c r="AB488" s="215" t="s">
        <v>6530</v>
      </c>
      <c r="AC488" s="215" t="s">
        <v>6531</v>
      </c>
      <c r="AD488" s="217" t="s">
        <v>4402</v>
      </c>
      <c r="AE488" s="207" t="s">
        <v>4405</v>
      </c>
      <c r="AF488" s="218" t="s">
        <v>4409</v>
      </c>
      <c r="AG488" s="218" t="s">
        <v>4409</v>
      </c>
      <c r="AH488" s="207" t="s">
        <v>4410</v>
      </c>
      <c r="AI488" s="214" t="s">
        <v>4411</v>
      </c>
      <c r="AJ488" s="292" t="s">
        <v>4398</v>
      </c>
      <c r="AK488" s="316">
        <v>46080</v>
      </c>
      <c r="AL488" s="316">
        <v>46080</v>
      </c>
      <c r="AM488" s="316">
        <v>46080</v>
      </c>
      <c r="AN488" s="316">
        <v>46080</v>
      </c>
      <c r="AO488" s="316">
        <v>46080</v>
      </c>
      <c r="AP488" s="316">
        <v>46080</v>
      </c>
      <c r="AQ488" s="314"/>
      <c r="AR488" s="315" t="str">
        <f t="shared" si="32"/>
        <v>FINALIZADO</v>
      </c>
      <c r="AS488" s="207" t="s">
        <v>4437</v>
      </c>
      <c r="AT488" s="219"/>
      <c r="AU488" s="220" t="s">
        <v>4437</v>
      </c>
      <c r="AV488" s="207" t="s">
        <v>4437</v>
      </c>
      <c r="AW488" s="207" t="s">
        <v>4437</v>
      </c>
      <c r="AX488" s="207" t="s">
        <v>4437</v>
      </c>
      <c r="AY488" s="207" t="s">
        <v>4437</v>
      </c>
      <c r="AZ488" s="207" t="s">
        <v>4437</v>
      </c>
      <c r="BA488" s="207" t="s">
        <v>4437</v>
      </c>
      <c r="BB488" s="207" t="s">
        <v>4437</v>
      </c>
      <c r="BC488" s="219"/>
      <c r="BD488" s="208"/>
      <c r="BE488" s="203"/>
      <c r="BF488" s="219"/>
      <c r="BG488" s="219"/>
      <c r="BH488" s="321" t="str">
        <f t="shared" si="33"/>
        <v/>
      </c>
      <c r="BI488" s="98" t="str">
        <f t="shared" si="34"/>
        <v>AA</v>
      </c>
      <c r="BJ488" s="98" t="str">
        <f t="shared" si="35"/>
        <v>NÃO</v>
      </c>
      <c r="BK488" s="219"/>
      <c r="BL488" s="221"/>
      <c r="BM488" s="221"/>
      <c r="BN488" s="219"/>
      <c r="BO488" s="219"/>
      <c r="BP488" s="219"/>
      <c r="BQ488" s="219"/>
      <c r="BR488" s="222"/>
    </row>
    <row r="489" spans="1:74" s="240" customFormat="1" ht="27" hidden="1" customHeight="1">
      <c r="A489" s="197">
        <v>485</v>
      </c>
      <c r="B489" s="197" t="s">
        <v>4396</v>
      </c>
      <c r="C489" s="207" t="s">
        <v>4427</v>
      </c>
      <c r="D489" s="207">
        <v>1</v>
      </c>
      <c r="E489" s="207" t="s">
        <v>4398</v>
      </c>
      <c r="F489" s="214" t="s">
        <v>6532</v>
      </c>
      <c r="G489" s="207" t="s">
        <v>4400</v>
      </c>
      <c r="H489" s="207" t="s">
        <v>4401</v>
      </c>
      <c r="I489" s="217" t="s">
        <v>6533</v>
      </c>
      <c r="J489" s="215" t="s">
        <v>6534</v>
      </c>
      <c r="K489" s="215" t="s">
        <v>4398</v>
      </c>
      <c r="L489" s="215" t="s">
        <v>6535</v>
      </c>
      <c r="M489" s="207" t="s">
        <v>4405</v>
      </c>
      <c r="N489" s="207" t="s">
        <v>4406</v>
      </c>
      <c r="O489" s="202">
        <v>46031</v>
      </c>
      <c r="P489" s="202" t="s">
        <v>4407</v>
      </c>
      <c r="Q489" s="202">
        <v>46023</v>
      </c>
      <c r="R489" s="202">
        <v>46023</v>
      </c>
      <c r="S489" s="202">
        <v>46036</v>
      </c>
      <c r="T489" s="202">
        <v>46045</v>
      </c>
      <c r="U489" s="202" t="s">
        <v>4408</v>
      </c>
      <c r="V489" s="202" t="s">
        <v>4408</v>
      </c>
      <c r="W489" s="202">
        <v>46055</v>
      </c>
      <c r="X489" s="202">
        <v>46059</v>
      </c>
      <c r="Y489" s="203"/>
      <c r="Z489" s="219"/>
      <c r="AA489" s="215" t="s">
        <v>6534</v>
      </c>
      <c r="AB489" s="215" t="s">
        <v>4398</v>
      </c>
      <c r="AC489" s="215" t="s">
        <v>6535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45996</v>
      </c>
      <c r="AL489" s="316">
        <v>45996</v>
      </c>
      <c r="AM489" s="316">
        <v>45996</v>
      </c>
      <c r="AN489" s="316">
        <v>45996</v>
      </c>
      <c r="AO489" s="316">
        <v>45996</v>
      </c>
      <c r="AP489" s="316">
        <v>45996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2"/>
      <c r="BF489" s="207"/>
      <c r="BG489" s="22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30"/>
      <c r="BL489" s="230"/>
      <c r="BM489" s="230"/>
      <c r="BN489" s="230"/>
      <c r="BO489" s="230"/>
      <c r="BP489" s="230"/>
      <c r="BQ489" s="230"/>
      <c r="BR489" s="234"/>
    </row>
    <row r="490" spans="1:74" s="240" customFormat="1" ht="27" hidden="1" customHeight="1">
      <c r="A490" s="197">
        <v>486</v>
      </c>
      <c r="B490" s="197" t="s">
        <v>4396</v>
      </c>
      <c r="C490" s="207" t="s">
        <v>4427</v>
      </c>
      <c r="D490" s="207">
        <v>1</v>
      </c>
      <c r="E490" s="207" t="s">
        <v>4398</v>
      </c>
      <c r="F490" s="214" t="s">
        <v>6536</v>
      </c>
      <c r="G490" s="207" t="s">
        <v>4400</v>
      </c>
      <c r="H490" s="207" t="s">
        <v>4401</v>
      </c>
      <c r="I490" s="217" t="s">
        <v>4402</v>
      </c>
      <c r="J490" s="215" t="s">
        <v>6537</v>
      </c>
      <c r="K490" s="215" t="s">
        <v>6538</v>
      </c>
      <c r="L490" s="215" t="s">
        <v>6539</v>
      </c>
      <c r="M490" s="207" t="s">
        <v>4405</v>
      </c>
      <c r="N490" s="207" t="s">
        <v>4442</v>
      </c>
      <c r="O490" s="202" t="s">
        <v>4409</v>
      </c>
      <c r="P490" s="202" t="s">
        <v>4409</v>
      </c>
      <c r="Q490" s="202" t="s">
        <v>4409</v>
      </c>
      <c r="R490" s="202" t="s">
        <v>4409</v>
      </c>
      <c r="S490" s="202" t="s">
        <v>4409</v>
      </c>
      <c r="T490" s="202" t="s">
        <v>4409</v>
      </c>
      <c r="U490" s="202" t="s">
        <v>4409</v>
      </c>
      <c r="V490" s="202" t="s">
        <v>4409</v>
      </c>
      <c r="W490" s="202" t="s">
        <v>4409</v>
      </c>
      <c r="X490" s="202" t="s">
        <v>4409</v>
      </c>
      <c r="Y490" s="202"/>
      <c r="Z490" s="202"/>
      <c r="AA490" s="215" t="s">
        <v>6537</v>
      </c>
      <c r="AB490" s="215" t="s">
        <v>6538</v>
      </c>
      <c r="AC490" s="215" t="s">
        <v>6539</v>
      </c>
      <c r="AD490" s="207" t="s">
        <v>4402</v>
      </c>
      <c r="AE490" s="219" t="s">
        <v>4405</v>
      </c>
      <c r="AF490" s="218">
        <v>42817.58</v>
      </c>
      <c r="AG490" s="218">
        <v>60000</v>
      </c>
      <c r="AH490" s="207" t="s">
        <v>4422</v>
      </c>
      <c r="AI490" s="214" t="s">
        <v>4411</v>
      </c>
      <c r="AJ490" s="207">
        <v>150611783</v>
      </c>
      <c r="AK490" s="316">
        <v>46076</v>
      </c>
      <c r="AL490" s="316">
        <v>46076</v>
      </c>
      <c r="AM490" s="316">
        <v>46076</v>
      </c>
      <c r="AN490" s="316">
        <v>46076</v>
      </c>
      <c r="AO490" s="316">
        <v>46076</v>
      </c>
      <c r="AP490" s="316">
        <v>46076</v>
      </c>
      <c r="AQ490" s="314"/>
      <c r="AR490" s="315" t="str">
        <f t="shared" si="32"/>
        <v>FINALIZADO</v>
      </c>
      <c r="AS490" s="207" t="s">
        <v>4423</v>
      </c>
      <c r="AT490" s="219"/>
      <c r="AU490" s="220" t="s">
        <v>6540</v>
      </c>
      <c r="AV490" s="207" t="s">
        <v>4425</v>
      </c>
      <c r="AW490" s="207" t="s">
        <v>4425</v>
      </c>
      <c r="AX490" s="207" t="s">
        <v>4425</v>
      </c>
      <c r="AY490" s="207" t="s">
        <v>4425</v>
      </c>
      <c r="AZ490" s="202">
        <v>46118</v>
      </c>
      <c r="BA490" s="207" t="s">
        <v>4425</v>
      </c>
      <c r="BB490" s="207" t="s">
        <v>4425</v>
      </c>
      <c r="BC490" s="202">
        <v>46126</v>
      </c>
      <c r="BD490" s="227">
        <v>46126</v>
      </c>
      <c r="BE490" s="227" t="s">
        <v>4435</v>
      </c>
      <c r="BF490" s="245" t="s">
        <v>4436</v>
      </c>
      <c r="BG490" s="229" t="s">
        <v>4425</v>
      </c>
      <c r="BH490" s="321">
        <f t="shared" si="33"/>
        <v>50</v>
      </c>
      <c r="BI490" s="98" t="str">
        <f t="shared" si="34"/>
        <v>INDENIZAÇÃO</v>
      </c>
      <c r="BJ490" s="98" t="str">
        <f t="shared" si="35"/>
        <v>NÃO</v>
      </c>
      <c r="BK490" s="230" t="s">
        <v>4437</v>
      </c>
      <c r="BL490" s="230" t="s">
        <v>4437</v>
      </c>
      <c r="BM490" s="230" t="s">
        <v>4437</v>
      </c>
      <c r="BN490" s="265" t="s">
        <v>5732</v>
      </c>
      <c r="BO490" s="265"/>
      <c r="BP490" s="265"/>
      <c r="BQ490" s="265"/>
      <c r="BR490" s="231"/>
      <c r="BS490" s="223"/>
      <c r="BT490" s="223"/>
      <c r="BU490" s="223"/>
      <c r="BV490" s="223"/>
    </row>
    <row r="491" spans="1:74" s="240" customFormat="1" ht="27" hidden="1" customHeight="1">
      <c r="A491" s="207">
        <v>487</v>
      </c>
      <c r="B491" s="197" t="s">
        <v>4396</v>
      </c>
      <c r="C491" s="207" t="s">
        <v>4427</v>
      </c>
      <c r="D491" s="207">
        <v>1</v>
      </c>
      <c r="E491" s="207" t="s">
        <v>4398</v>
      </c>
      <c r="F491" s="214" t="s">
        <v>6541</v>
      </c>
      <c r="G491" s="207" t="s">
        <v>4400</v>
      </c>
      <c r="H491" s="207" t="s">
        <v>4401</v>
      </c>
      <c r="I491" s="217" t="s">
        <v>4402</v>
      </c>
      <c r="J491" s="215" t="s">
        <v>6542</v>
      </c>
      <c r="K491" s="215" t="s">
        <v>4398</v>
      </c>
      <c r="L491" s="215" t="s">
        <v>6543</v>
      </c>
      <c r="M491" s="207" t="s">
        <v>4405</v>
      </c>
      <c r="N491" s="207" t="s">
        <v>4406</v>
      </c>
      <c r="O491" s="202">
        <v>45986</v>
      </c>
      <c r="P491" s="203" t="s">
        <v>4407</v>
      </c>
      <c r="Q491" s="203">
        <v>45985</v>
      </c>
      <c r="R491" s="203">
        <v>45986</v>
      </c>
      <c r="S491" s="203">
        <v>45987</v>
      </c>
      <c r="T491" s="203">
        <v>45992</v>
      </c>
      <c r="U491" s="202" t="s">
        <v>4408</v>
      </c>
      <c r="V491" s="202" t="s">
        <v>4408</v>
      </c>
      <c r="W491" s="202">
        <v>45999</v>
      </c>
      <c r="X491" s="202">
        <v>46001</v>
      </c>
      <c r="Y491" s="202"/>
      <c r="Z491" s="207"/>
      <c r="AA491" s="215" t="s">
        <v>6542</v>
      </c>
      <c r="AB491" s="215" t="s">
        <v>4398</v>
      </c>
      <c r="AC491" s="215" t="s">
        <v>6543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41" t="s">
        <v>4410</v>
      </c>
      <c r="AI491" s="214" t="s">
        <v>4411</v>
      </c>
      <c r="AJ491" s="207"/>
      <c r="AK491" s="316">
        <v>45980</v>
      </c>
      <c r="AL491" s="316">
        <v>45980</v>
      </c>
      <c r="AM491" s="316">
        <v>45980</v>
      </c>
      <c r="AN491" s="316">
        <v>45980</v>
      </c>
      <c r="AO491" s="316">
        <v>45980</v>
      </c>
      <c r="AP491" s="316">
        <v>45980</v>
      </c>
      <c r="AQ491" s="314"/>
      <c r="AR491" s="315" t="str">
        <f t="shared" si="32"/>
        <v>FINALIZADO</v>
      </c>
      <c r="AS491" s="207"/>
      <c r="AT491" s="207"/>
      <c r="AU491" s="220"/>
      <c r="AV491" s="207"/>
      <c r="AW491" s="207"/>
      <c r="AX491" s="207" t="s">
        <v>4409</v>
      </c>
      <c r="AY491" s="207" t="s">
        <v>4409</v>
      </c>
      <c r="AZ491" s="207" t="s">
        <v>4409</v>
      </c>
      <c r="BA491" s="207" t="s">
        <v>4409</v>
      </c>
      <c r="BB491" s="207"/>
      <c r="BC491" s="202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>
      <c r="A492" s="207">
        <v>488</v>
      </c>
      <c r="B492" s="197" t="s">
        <v>4396</v>
      </c>
      <c r="C492" s="207" t="s">
        <v>4427</v>
      </c>
      <c r="D492" s="207">
        <v>1</v>
      </c>
      <c r="E492" s="207" t="s">
        <v>4398</v>
      </c>
      <c r="F492" s="214" t="s">
        <v>6544</v>
      </c>
      <c r="G492" s="207" t="s">
        <v>4400</v>
      </c>
      <c r="H492" s="207" t="s">
        <v>4401</v>
      </c>
      <c r="I492" s="217" t="s">
        <v>4402</v>
      </c>
      <c r="J492" s="215" t="s">
        <v>6545</v>
      </c>
      <c r="K492" s="215" t="s">
        <v>6546</v>
      </c>
      <c r="L492" s="215" t="s">
        <v>6547</v>
      </c>
      <c r="M492" s="207" t="s">
        <v>4405</v>
      </c>
      <c r="N492" s="207" t="s">
        <v>4406</v>
      </c>
      <c r="O492" s="202">
        <v>45986</v>
      </c>
      <c r="P492" s="203" t="s">
        <v>4407</v>
      </c>
      <c r="Q492" s="203">
        <v>45985</v>
      </c>
      <c r="R492" s="203">
        <v>45986</v>
      </c>
      <c r="S492" s="203">
        <v>45987</v>
      </c>
      <c r="T492" s="203">
        <v>45992</v>
      </c>
      <c r="U492" s="203" t="s">
        <v>4408</v>
      </c>
      <c r="V492" s="203" t="s">
        <v>4408</v>
      </c>
      <c r="W492" s="202">
        <v>45999</v>
      </c>
      <c r="X492" s="202">
        <v>46000</v>
      </c>
      <c r="Y492" s="202"/>
      <c r="Z492" s="207"/>
      <c r="AA492" s="215" t="s">
        <v>6545</v>
      </c>
      <c r="AB492" s="215" t="s">
        <v>6546</v>
      </c>
      <c r="AC492" s="215" t="s">
        <v>6547</v>
      </c>
      <c r="AD492" s="217" t="s">
        <v>4402</v>
      </c>
      <c r="AE492" s="207" t="s">
        <v>4405</v>
      </c>
      <c r="AF492" s="218" t="s">
        <v>4409</v>
      </c>
      <c r="AG492" s="218" t="s">
        <v>4409</v>
      </c>
      <c r="AH492" s="204" t="s">
        <v>4410</v>
      </c>
      <c r="AI492" s="214" t="s">
        <v>4411</v>
      </c>
      <c r="AJ492" s="207"/>
      <c r="AK492" s="316">
        <v>45980</v>
      </c>
      <c r="AL492" s="316">
        <v>45980</v>
      </c>
      <c r="AM492" s="316">
        <v>45980</v>
      </c>
      <c r="AN492" s="316">
        <v>45980</v>
      </c>
      <c r="AO492" s="316">
        <v>45980</v>
      </c>
      <c r="AP492" s="316">
        <v>45980</v>
      </c>
      <c r="AQ492" s="314"/>
      <c r="AR492" s="315" t="str">
        <f t="shared" si="32"/>
        <v>FINALIZADO</v>
      </c>
      <c r="AS492" s="207"/>
      <c r="AT492" s="207"/>
      <c r="AU492" s="220"/>
      <c r="AV492" s="207"/>
      <c r="AW492" s="207"/>
      <c r="AX492" s="207" t="s">
        <v>4409</v>
      </c>
      <c r="AY492" s="207" t="s">
        <v>4409</v>
      </c>
      <c r="AZ492" s="207" t="s">
        <v>4409</v>
      </c>
      <c r="BA492" s="207" t="s">
        <v>4409</v>
      </c>
      <c r="BB492" s="207"/>
      <c r="BC492" s="202"/>
      <c r="BD492" s="208"/>
      <c r="BE492" s="202"/>
      <c r="BF492" s="207"/>
      <c r="BG492" s="229"/>
      <c r="BH492" s="321" t="str">
        <f t="shared" si="33"/>
        <v/>
      </c>
      <c r="BI492" s="98" t="str">
        <f t="shared" si="34"/>
        <v>AA</v>
      </c>
      <c r="BJ492" s="98" t="str">
        <f t="shared" si="35"/>
        <v>NÃO</v>
      </c>
      <c r="BK492" s="230"/>
      <c r="BL492" s="230"/>
      <c r="BM492" s="230"/>
      <c r="BN492" s="230"/>
      <c r="BO492" s="230"/>
      <c r="BP492" s="230"/>
      <c r="BQ492" s="230"/>
      <c r="BR492" s="234"/>
    </row>
    <row r="493" spans="1:74" s="240" customFormat="1" ht="27" hidden="1" customHeight="1">
      <c r="A493" s="207">
        <v>489</v>
      </c>
      <c r="B493" s="197" t="s">
        <v>4396</v>
      </c>
      <c r="C493" s="207" t="s">
        <v>4427</v>
      </c>
      <c r="D493" s="207">
        <v>1</v>
      </c>
      <c r="E493" s="207" t="s">
        <v>4398</v>
      </c>
      <c r="F493" s="214" t="s">
        <v>6548</v>
      </c>
      <c r="G493" s="207" t="s">
        <v>4400</v>
      </c>
      <c r="H493" s="207" t="s">
        <v>4401</v>
      </c>
      <c r="I493" s="217" t="s">
        <v>4402</v>
      </c>
      <c r="J493" s="215" t="s">
        <v>6549</v>
      </c>
      <c r="K493" s="215" t="s">
        <v>6550</v>
      </c>
      <c r="L493" s="215" t="s">
        <v>6551</v>
      </c>
      <c r="M493" s="207" t="s">
        <v>4405</v>
      </c>
      <c r="N493" s="207" t="s">
        <v>4442</v>
      </c>
      <c r="O493" s="202" t="s">
        <v>4409</v>
      </c>
      <c r="P493" s="202" t="s">
        <v>4409</v>
      </c>
      <c r="Q493" s="202" t="s">
        <v>4409</v>
      </c>
      <c r="R493" s="202" t="s">
        <v>4409</v>
      </c>
      <c r="S493" s="202" t="s">
        <v>4409</v>
      </c>
      <c r="T493" s="202" t="s">
        <v>4409</v>
      </c>
      <c r="U493" s="202" t="s">
        <v>4409</v>
      </c>
      <c r="V493" s="202" t="s">
        <v>4409</v>
      </c>
      <c r="W493" s="202" t="s">
        <v>4409</v>
      </c>
      <c r="X493" s="202" t="s">
        <v>4409</v>
      </c>
      <c r="Y493" s="202"/>
      <c r="Z493" s="202"/>
      <c r="AA493" s="200" t="s">
        <v>6549</v>
      </c>
      <c r="AB493" s="200" t="s">
        <v>6550</v>
      </c>
      <c r="AC493" s="200" t="s">
        <v>6551</v>
      </c>
      <c r="AD493" s="197" t="s">
        <v>4402</v>
      </c>
      <c r="AE493" s="197" t="s">
        <v>4405</v>
      </c>
      <c r="AF493" s="243">
        <v>60697.24</v>
      </c>
      <c r="AG493" s="243">
        <v>60697.24</v>
      </c>
      <c r="AH493" s="197" t="s">
        <v>4433</v>
      </c>
      <c r="AI493" s="214" t="s">
        <v>4411</v>
      </c>
      <c r="AJ493" s="207">
        <v>150997684</v>
      </c>
      <c r="AK493" s="316">
        <v>46097</v>
      </c>
      <c r="AL493" s="316">
        <v>46097</v>
      </c>
      <c r="AM493" s="316">
        <v>46097</v>
      </c>
      <c r="AN493" s="316">
        <v>46097</v>
      </c>
      <c r="AO493" s="316">
        <v>46097</v>
      </c>
      <c r="AP493" s="316">
        <v>46097</v>
      </c>
      <c r="AQ493" s="314"/>
      <c r="AR493" s="315" t="str">
        <f t="shared" si="32"/>
        <v>FINALIZADO</v>
      </c>
      <c r="AS493" s="207" t="s">
        <v>4423</v>
      </c>
      <c r="AT493" s="207"/>
      <c r="AU493" s="220" t="s">
        <v>6552</v>
      </c>
      <c r="AV493" s="207" t="s">
        <v>4425</v>
      </c>
      <c r="AW493" s="207" t="s">
        <v>4425</v>
      </c>
      <c r="AX493" s="207" t="s">
        <v>4425</v>
      </c>
      <c r="AY493" s="207" t="s">
        <v>4425</v>
      </c>
      <c r="AZ493" s="202">
        <v>46153</v>
      </c>
      <c r="BA493" s="207" t="s">
        <v>4425</v>
      </c>
      <c r="BB493" s="207" t="s">
        <v>4425</v>
      </c>
      <c r="BC493" s="202">
        <v>46157</v>
      </c>
      <c r="BD493" s="227">
        <v>46157</v>
      </c>
      <c r="BE493" s="227" t="s">
        <v>4435</v>
      </c>
      <c r="BF493" s="228" t="s">
        <v>4436</v>
      </c>
      <c r="BG493" s="229" t="s">
        <v>4425</v>
      </c>
      <c r="BH493" s="321">
        <f t="shared" si="33"/>
        <v>60</v>
      </c>
      <c r="BI493" s="98" t="str">
        <f t="shared" si="34"/>
        <v>INDENIZAÇÃO</v>
      </c>
      <c r="BJ493" s="98" t="str">
        <f t="shared" si="35"/>
        <v>NÃO</v>
      </c>
      <c r="BK493" s="230" t="s">
        <v>4437</v>
      </c>
      <c r="BL493" s="230" t="s">
        <v>4437</v>
      </c>
      <c r="BM493" s="230" t="s">
        <v>4437</v>
      </c>
      <c r="BN493" s="265" t="s">
        <v>5732</v>
      </c>
      <c r="BO493" s="265"/>
      <c r="BP493" s="265"/>
      <c r="BQ493" s="265"/>
      <c r="BR493" s="231"/>
    </row>
    <row r="494" spans="1:74" s="240" customFormat="1" ht="27" hidden="1" customHeight="1">
      <c r="A494" s="197">
        <v>490</v>
      </c>
      <c r="B494" s="197" t="s">
        <v>4396</v>
      </c>
      <c r="C494" s="207" t="s">
        <v>4427</v>
      </c>
      <c r="D494" s="207">
        <v>1</v>
      </c>
      <c r="E494" s="207" t="s">
        <v>4398</v>
      </c>
      <c r="F494" s="214" t="s">
        <v>6553</v>
      </c>
      <c r="G494" s="207" t="s">
        <v>4400</v>
      </c>
      <c r="H494" s="207" t="s">
        <v>4401</v>
      </c>
      <c r="I494" s="217" t="s">
        <v>4402</v>
      </c>
      <c r="J494" s="215" t="s">
        <v>6554</v>
      </c>
      <c r="K494" s="215" t="s">
        <v>6555</v>
      </c>
      <c r="L494" s="215" t="s">
        <v>6556</v>
      </c>
      <c r="M494" s="207" t="s">
        <v>4405</v>
      </c>
      <c r="N494" s="207" t="s">
        <v>4406</v>
      </c>
      <c r="O494" s="202">
        <v>46106</v>
      </c>
      <c r="P494" s="202" t="s">
        <v>4407</v>
      </c>
      <c r="Q494" s="202">
        <v>46106</v>
      </c>
      <c r="R494" s="202">
        <v>46107</v>
      </c>
      <c r="S494" s="202">
        <v>46111</v>
      </c>
      <c r="T494" s="202">
        <v>46087</v>
      </c>
      <c r="U494" s="202" t="s">
        <v>4408</v>
      </c>
      <c r="V494" s="202" t="s">
        <v>4408</v>
      </c>
      <c r="W494" s="202">
        <v>46132</v>
      </c>
      <c r="X494" s="202">
        <v>46129</v>
      </c>
      <c r="Y494" s="203"/>
      <c r="Z494" s="219"/>
      <c r="AA494" s="215" t="s">
        <v>6554</v>
      </c>
      <c r="AB494" s="215" t="s">
        <v>6555</v>
      </c>
      <c r="AC494" s="215" t="s">
        <v>6556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197" t="s">
        <v>4410</v>
      </c>
      <c r="AI494" s="214" t="s">
        <v>4411</v>
      </c>
      <c r="AJ494" s="207"/>
      <c r="AK494" s="316">
        <v>46001</v>
      </c>
      <c r="AL494" s="316">
        <v>46001</v>
      </c>
      <c r="AM494" s="316">
        <v>46001</v>
      </c>
      <c r="AN494" s="316">
        <v>46001</v>
      </c>
      <c r="AO494" s="316">
        <v>46001</v>
      </c>
      <c r="AP494" s="316">
        <v>46001</v>
      </c>
      <c r="AQ494" s="314"/>
      <c r="AR494" s="315" t="str">
        <f t="shared" si="32"/>
        <v>FINALIZADO</v>
      </c>
      <c r="AS494" s="207"/>
      <c r="AT494" s="219"/>
      <c r="AU494" s="220"/>
      <c r="AV494" s="219"/>
      <c r="AW494" s="219"/>
      <c r="AX494" s="219"/>
      <c r="AY494" s="219"/>
      <c r="AZ494" s="219"/>
      <c r="BA494" s="219"/>
      <c r="BB494" s="219"/>
      <c r="BC494" s="219"/>
      <c r="BD494" s="208"/>
      <c r="BE494" s="203"/>
      <c r="BF494" s="219"/>
      <c r="BG494" s="21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19"/>
      <c r="BL494" s="221"/>
      <c r="BM494" s="221"/>
      <c r="BN494" s="219"/>
      <c r="BO494" s="219"/>
      <c r="BP494" s="219"/>
      <c r="BQ494" s="219"/>
      <c r="BR494" s="222"/>
    </row>
    <row r="495" spans="1:74" s="240" customFormat="1" ht="27" hidden="1" customHeight="1">
      <c r="A495" s="197">
        <v>491</v>
      </c>
      <c r="B495" s="197" t="s">
        <v>4396</v>
      </c>
      <c r="C495" s="207" t="s">
        <v>4427</v>
      </c>
      <c r="D495" s="207">
        <v>1</v>
      </c>
      <c r="E495" s="207" t="s">
        <v>4398</v>
      </c>
      <c r="F495" s="214" t="s">
        <v>6557</v>
      </c>
      <c r="G495" s="207" t="s">
        <v>4400</v>
      </c>
      <c r="H495" s="207" t="s">
        <v>4401</v>
      </c>
      <c r="I495" s="217" t="s">
        <v>4402</v>
      </c>
      <c r="J495" s="215" t="s">
        <v>6558</v>
      </c>
      <c r="K495" s="215"/>
      <c r="L495" s="215" t="s">
        <v>6559</v>
      </c>
      <c r="M495" s="207" t="s">
        <v>4405</v>
      </c>
      <c r="N495" s="207" t="s">
        <v>4406</v>
      </c>
      <c r="O495" s="202">
        <v>46176</v>
      </c>
      <c r="P495" s="202" t="s">
        <v>4407</v>
      </c>
      <c r="Q495" s="202">
        <v>46174</v>
      </c>
      <c r="R495" s="202">
        <v>46176</v>
      </c>
      <c r="S495" s="202">
        <v>46202</v>
      </c>
      <c r="T495" s="202">
        <v>46204</v>
      </c>
      <c r="U495" s="202" t="s">
        <v>4408</v>
      </c>
      <c r="V495" s="202" t="s">
        <v>4408</v>
      </c>
      <c r="W495" s="202">
        <v>46223</v>
      </c>
      <c r="X495" s="202"/>
      <c r="Y495" s="203"/>
      <c r="Z495" s="219"/>
      <c r="AA495" s="215"/>
      <c r="AB495" s="215"/>
      <c r="AC495" s="215"/>
      <c r="AD495" s="217"/>
      <c r="AE495" s="207"/>
      <c r="AF495" s="218"/>
      <c r="AG495" s="218"/>
      <c r="AH495" s="197"/>
      <c r="AI495" s="214" t="s">
        <v>4411</v>
      </c>
      <c r="AJ495" s="207"/>
      <c r="AK495" s="316"/>
      <c r="AL495" s="316"/>
      <c r="AM495" s="316"/>
      <c r="AN495" s="316"/>
      <c r="AO495" s="316"/>
      <c r="AP495" s="316"/>
      <c r="AQ495" s="314"/>
      <c r="AR495" s="315" t="str">
        <f t="shared" si="32"/>
        <v/>
      </c>
      <c r="AS495" s="207"/>
      <c r="AT495" s="219"/>
      <c r="AU495" s="220"/>
      <c r="AV495" s="219"/>
      <c r="AW495" s="219"/>
      <c r="AX495" s="219"/>
      <c r="AY495" s="254"/>
      <c r="AZ495" s="219"/>
      <c r="BA495" s="219"/>
      <c r="BB495" s="161"/>
      <c r="BC495" s="161"/>
      <c r="BD495" s="208"/>
      <c r="BE495" s="203"/>
      <c r="BF495" s="219"/>
      <c r="BG495" s="219"/>
      <c r="BH495" s="321" t="str">
        <f t="shared" si="33"/>
        <v/>
      </c>
      <c r="BI495" s="98" t="str">
        <f t="shared" si="34"/>
        <v>INDENIZAÇÃO</v>
      </c>
      <c r="BJ495" s="98" t="str">
        <f t="shared" si="35"/>
        <v>NÃO</v>
      </c>
      <c r="BK495" s="219"/>
      <c r="BL495" s="221"/>
      <c r="BM495" s="221"/>
      <c r="BN495" s="219"/>
      <c r="BO495" s="219"/>
      <c r="BP495" s="219"/>
      <c r="BQ495" s="219"/>
      <c r="BR495" s="222"/>
    </row>
    <row r="496" spans="1:74" s="240" customFormat="1" ht="27" hidden="1" customHeight="1">
      <c r="A496" s="207">
        <v>492</v>
      </c>
      <c r="B496" s="197" t="s">
        <v>4396</v>
      </c>
      <c r="C496" s="207" t="s">
        <v>4427</v>
      </c>
      <c r="D496" s="207">
        <v>1</v>
      </c>
      <c r="E496" s="207" t="s">
        <v>4398</v>
      </c>
      <c r="F496" s="214" t="s">
        <v>6560</v>
      </c>
      <c r="G496" s="207" t="s">
        <v>4400</v>
      </c>
      <c r="H496" s="207" t="s">
        <v>4401</v>
      </c>
      <c r="I496" s="217" t="s">
        <v>4402</v>
      </c>
      <c r="J496" s="215" t="s">
        <v>6561</v>
      </c>
      <c r="K496" s="215" t="s">
        <v>6562</v>
      </c>
      <c r="L496" s="215" t="s">
        <v>6563</v>
      </c>
      <c r="M496" s="207" t="s">
        <v>4405</v>
      </c>
      <c r="N496" s="207" t="s">
        <v>4442</v>
      </c>
      <c r="O496" s="202" t="s">
        <v>4409</v>
      </c>
      <c r="P496" s="202" t="s">
        <v>4409</v>
      </c>
      <c r="Q496" s="202" t="s">
        <v>4409</v>
      </c>
      <c r="R496" s="202" t="s">
        <v>4409</v>
      </c>
      <c r="S496" s="202" t="s">
        <v>4409</v>
      </c>
      <c r="T496" s="202" t="s">
        <v>4409</v>
      </c>
      <c r="U496" s="202" t="s">
        <v>4409</v>
      </c>
      <c r="V496" s="202" t="s">
        <v>4409</v>
      </c>
      <c r="W496" s="202" t="s">
        <v>4409</v>
      </c>
      <c r="X496" s="202" t="s">
        <v>4409</v>
      </c>
      <c r="Y496" s="202"/>
      <c r="Z496" s="202"/>
      <c r="AA496" s="215" t="s">
        <v>6561</v>
      </c>
      <c r="AB496" s="215" t="s">
        <v>6562</v>
      </c>
      <c r="AC496" s="215" t="s">
        <v>6563</v>
      </c>
      <c r="AD496" s="207" t="s">
        <v>6117</v>
      </c>
      <c r="AE496" s="207" t="s">
        <v>5045</v>
      </c>
      <c r="AF496" s="218">
        <v>73073.350000000006</v>
      </c>
      <c r="AG496" s="218">
        <v>73073.350000000006</v>
      </c>
      <c r="AH496" s="207" t="s">
        <v>4433</v>
      </c>
      <c r="AI496" s="214" t="s">
        <v>4411</v>
      </c>
      <c r="AJ496" s="207">
        <v>161832348</v>
      </c>
      <c r="AK496" s="316">
        <v>46234</v>
      </c>
      <c r="AL496" s="316">
        <v>46267</v>
      </c>
      <c r="AM496" s="316">
        <v>46268</v>
      </c>
      <c r="AN496" s="316"/>
      <c r="AO496" s="316"/>
      <c r="AP496" s="316"/>
      <c r="AQ496" s="314" t="s">
        <v>14</v>
      </c>
      <c r="AR496" s="315" t="str">
        <f t="shared" si="32"/>
        <v>AGUARDANDO ASSINATURA CTS</v>
      </c>
      <c r="AS496" s="207"/>
      <c r="AT496" s="207" t="s">
        <v>6112</v>
      </c>
      <c r="AU496" s="220"/>
      <c r="AV496" s="228"/>
      <c r="AW496" s="228"/>
      <c r="AX496" s="228"/>
      <c r="AY496" s="245"/>
      <c r="AZ496" s="227"/>
      <c r="BA496" s="257"/>
      <c r="BB496" s="268"/>
      <c r="BC496" s="293"/>
      <c r="BD496" s="208"/>
      <c r="BE496" s="227"/>
      <c r="BF496" s="228"/>
      <c r="BG496" s="229"/>
      <c r="BH496" s="321" t="str">
        <f t="shared" si="33"/>
        <v/>
      </c>
      <c r="BI496" s="98" t="str">
        <f t="shared" si="34"/>
        <v>INDENIZAÇÃO</v>
      </c>
      <c r="BJ496" s="98" t="str">
        <f t="shared" si="35"/>
        <v>NÃO</v>
      </c>
      <c r="BK496" s="230"/>
      <c r="BL496" s="230"/>
      <c r="BM496" s="230"/>
      <c r="BN496" s="230"/>
      <c r="BO496" s="230"/>
      <c r="BP496" s="230"/>
      <c r="BQ496" s="230"/>
      <c r="BR496" s="234"/>
    </row>
    <row r="497" spans="1:112" s="240" customFormat="1" ht="27" hidden="1" customHeight="1">
      <c r="A497" s="207">
        <v>493</v>
      </c>
      <c r="B497" s="197" t="s">
        <v>4396</v>
      </c>
      <c r="C497" s="207" t="s">
        <v>4427</v>
      </c>
      <c r="D497" s="207">
        <v>1</v>
      </c>
      <c r="E497" s="207" t="s">
        <v>4398</v>
      </c>
      <c r="F497" s="214" t="s">
        <v>6564</v>
      </c>
      <c r="G497" s="207" t="s">
        <v>4400</v>
      </c>
      <c r="H497" s="207" t="s">
        <v>4401</v>
      </c>
      <c r="I497" s="217" t="s">
        <v>4402</v>
      </c>
      <c r="J497" s="215" t="s">
        <v>6565</v>
      </c>
      <c r="K497" s="215" t="s">
        <v>6566</v>
      </c>
      <c r="L497" s="215" t="s">
        <v>6567</v>
      </c>
      <c r="M497" s="207" t="s">
        <v>4405</v>
      </c>
      <c r="N497" s="207" t="s">
        <v>4406</v>
      </c>
      <c r="O497" s="202">
        <v>45986</v>
      </c>
      <c r="P497" s="203" t="s">
        <v>4407</v>
      </c>
      <c r="Q497" s="203">
        <v>45985</v>
      </c>
      <c r="R497" s="203">
        <v>45986</v>
      </c>
      <c r="S497" s="203">
        <v>45987</v>
      </c>
      <c r="T497" s="203">
        <v>45992</v>
      </c>
      <c r="U497" s="202" t="s">
        <v>4408</v>
      </c>
      <c r="V497" s="202" t="s">
        <v>4408</v>
      </c>
      <c r="W497" s="202">
        <v>45999</v>
      </c>
      <c r="X497" s="202">
        <v>46000</v>
      </c>
      <c r="Y497" s="202"/>
      <c r="Z497" s="207"/>
      <c r="AA497" s="215" t="s">
        <v>6565</v>
      </c>
      <c r="AB497" s="215" t="s">
        <v>6566</v>
      </c>
      <c r="AC497" s="215" t="s">
        <v>6567</v>
      </c>
      <c r="AD497" s="217" t="s">
        <v>4402</v>
      </c>
      <c r="AE497" s="207" t="s">
        <v>4405</v>
      </c>
      <c r="AF497" s="218" t="s">
        <v>4409</v>
      </c>
      <c r="AG497" s="218" t="s">
        <v>4409</v>
      </c>
      <c r="AH497" s="241" t="s">
        <v>4410</v>
      </c>
      <c r="AI497" s="214" t="s">
        <v>4411</v>
      </c>
      <c r="AJ497" s="207"/>
      <c r="AK497" s="316">
        <v>45980</v>
      </c>
      <c r="AL497" s="316">
        <v>45980</v>
      </c>
      <c r="AM497" s="316">
        <v>45980</v>
      </c>
      <c r="AN497" s="316">
        <v>45980</v>
      </c>
      <c r="AO497" s="316">
        <v>45980</v>
      </c>
      <c r="AP497" s="316">
        <v>45980</v>
      </c>
      <c r="AQ497" s="314"/>
      <c r="AR497" s="315" t="str">
        <f t="shared" si="32"/>
        <v>FINALIZADO</v>
      </c>
      <c r="AS497" s="207"/>
      <c r="AT497" s="207"/>
      <c r="AU497" s="220"/>
      <c r="AV497" s="207"/>
      <c r="AW497" s="207"/>
      <c r="AX497" s="207" t="s">
        <v>4409</v>
      </c>
      <c r="AY497" s="207" t="s">
        <v>4409</v>
      </c>
      <c r="AZ497" s="207" t="s">
        <v>4409</v>
      </c>
      <c r="BA497" s="207" t="s">
        <v>4409</v>
      </c>
      <c r="BB497" s="207"/>
      <c r="BC497" s="202"/>
      <c r="BD497" s="208"/>
      <c r="BE497" s="202"/>
      <c r="BF497" s="207"/>
      <c r="BG497" s="229"/>
      <c r="BH497" s="321" t="str">
        <f t="shared" si="33"/>
        <v/>
      </c>
      <c r="BI497" s="98" t="str">
        <f t="shared" si="34"/>
        <v>AA</v>
      </c>
      <c r="BJ497" s="98" t="str">
        <f t="shared" si="35"/>
        <v>NÃO</v>
      </c>
      <c r="BK497" s="230"/>
      <c r="BL497" s="230"/>
      <c r="BM497" s="230"/>
      <c r="BN497" s="230"/>
      <c r="BO497" s="230"/>
      <c r="BP497" s="230"/>
      <c r="BQ497" s="230"/>
      <c r="BR497" s="234"/>
    </row>
    <row r="498" spans="1:112" s="240" customFormat="1" ht="27" hidden="1" customHeight="1">
      <c r="A498" s="207">
        <v>494</v>
      </c>
      <c r="B498" s="197" t="s">
        <v>4396</v>
      </c>
      <c r="C498" s="207" t="s">
        <v>4427</v>
      </c>
      <c r="D498" s="207">
        <v>1</v>
      </c>
      <c r="E498" s="207" t="s">
        <v>4398</v>
      </c>
      <c r="F498" s="214" t="s">
        <v>6568</v>
      </c>
      <c r="G498" s="207" t="s">
        <v>4400</v>
      </c>
      <c r="H498" s="207" t="s">
        <v>4401</v>
      </c>
      <c r="I498" s="217" t="s">
        <v>4402</v>
      </c>
      <c r="J498" s="215" t="s">
        <v>6569</v>
      </c>
      <c r="K498" s="215" t="s">
        <v>6570</v>
      </c>
      <c r="L498" s="215" t="s">
        <v>6571</v>
      </c>
      <c r="M498" s="207" t="s">
        <v>4405</v>
      </c>
      <c r="N498" s="207" t="s">
        <v>4406</v>
      </c>
      <c r="O498" s="202">
        <v>45986</v>
      </c>
      <c r="P498" s="203" t="s">
        <v>4407</v>
      </c>
      <c r="Q498" s="203">
        <v>45985</v>
      </c>
      <c r="R498" s="203">
        <v>45986</v>
      </c>
      <c r="S498" s="203">
        <v>45987</v>
      </c>
      <c r="T498" s="203">
        <v>45992</v>
      </c>
      <c r="U498" s="202" t="s">
        <v>4408</v>
      </c>
      <c r="V498" s="202" t="s">
        <v>4408</v>
      </c>
      <c r="W498" s="202">
        <v>45999</v>
      </c>
      <c r="X498" s="202">
        <v>46000</v>
      </c>
      <c r="Y498" s="202"/>
      <c r="Z498" s="207"/>
      <c r="AA498" s="215" t="s">
        <v>6569</v>
      </c>
      <c r="AB498" s="215" t="s">
        <v>6570</v>
      </c>
      <c r="AC498" s="215" t="s">
        <v>6571</v>
      </c>
      <c r="AD498" s="217" t="s">
        <v>4402</v>
      </c>
      <c r="AE498" s="207" t="s">
        <v>4405</v>
      </c>
      <c r="AF498" s="218" t="s">
        <v>4409</v>
      </c>
      <c r="AG498" s="218" t="s">
        <v>4409</v>
      </c>
      <c r="AH498" s="204" t="s">
        <v>4410</v>
      </c>
      <c r="AI498" s="214" t="s">
        <v>4411</v>
      </c>
      <c r="AJ498" s="207"/>
      <c r="AK498" s="316">
        <v>45980</v>
      </c>
      <c r="AL498" s="316">
        <v>45980</v>
      </c>
      <c r="AM498" s="316">
        <v>45980</v>
      </c>
      <c r="AN498" s="316">
        <v>45980</v>
      </c>
      <c r="AO498" s="316">
        <v>45980</v>
      </c>
      <c r="AP498" s="316">
        <v>45980</v>
      </c>
      <c r="AQ498" s="314"/>
      <c r="AR498" s="315" t="str">
        <f t="shared" si="32"/>
        <v>FINALIZADO</v>
      </c>
      <c r="AS498" s="207"/>
      <c r="AT498" s="207"/>
      <c r="AU498" s="220"/>
      <c r="AV498" s="207"/>
      <c r="AW498" s="207"/>
      <c r="AX498" s="207" t="s">
        <v>4409</v>
      </c>
      <c r="AY498" s="207" t="s">
        <v>4409</v>
      </c>
      <c r="AZ498" s="207" t="s">
        <v>4409</v>
      </c>
      <c r="BA498" s="207" t="s">
        <v>4409</v>
      </c>
      <c r="BB498" s="207"/>
      <c r="BC498" s="202"/>
      <c r="BD498" s="208"/>
      <c r="BE498" s="202"/>
      <c r="BF498" s="207"/>
      <c r="BG498" s="229"/>
      <c r="BH498" s="321" t="str">
        <f t="shared" si="33"/>
        <v/>
      </c>
      <c r="BI498" s="98" t="str">
        <f t="shared" si="34"/>
        <v>AA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112" s="240" customFormat="1" ht="27" hidden="1" customHeight="1">
      <c r="A499" s="197">
        <v>495</v>
      </c>
      <c r="B499" s="197" t="s">
        <v>4396</v>
      </c>
      <c r="C499" s="207" t="s">
        <v>4427</v>
      </c>
      <c r="D499" s="207">
        <v>1</v>
      </c>
      <c r="E499" s="207" t="s">
        <v>4398</v>
      </c>
      <c r="F499" s="214" t="s">
        <v>6572</v>
      </c>
      <c r="G499" s="207" t="s">
        <v>4400</v>
      </c>
      <c r="H499" s="207" t="s">
        <v>4401</v>
      </c>
      <c r="I499" s="217" t="s">
        <v>4402</v>
      </c>
      <c r="J499" s="215" t="s">
        <v>6573</v>
      </c>
      <c r="K499" s="215" t="s">
        <v>6574</v>
      </c>
      <c r="L499" s="215" t="s">
        <v>6575</v>
      </c>
      <c r="M499" s="207" t="s">
        <v>4405</v>
      </c>
      <c r="N499" s="207" t="s">
        <v>4406</v>
      </c>
      <c r="O499" s="202">
        <v>46002</v>
      </c>
      <c r="P499" s="202" t="s">
        <v>4407</v>
      </c>
      <c r="Q499" s="202">
        <v>45999</v>
      </c>
      <c r="R499" s="202">
        <v>46006</v>
      </c>
      <c r="S499" s="202">
        <v>46006</v>
      </c>
      <c r="T499" s="202">
        <v>46009</v>
      </c>
      <c r="U499" s="202" t="s">
        <v>4408</v>
      </c>
      <c r="V499" s="202" t="s">
        <v>4408</v>
      </c>
      <c r="W499" s="202">
        <v>46014</v>
      </c>
      <c r="X499" s="202">
        <v>46017</v>
      </c>
      <c r="Y499" s="202"/>
      <c r="Z499" s="207"/>
      <c r="AA499" s="215" t="s">
        <v>6573</v>
      </c>
      <c r="AB499" s="215" t="s">
        <v>6574</v>
      </c>
      <c r="AC499" s="215" t="s">
        <v>6575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197" t="s">
        <v>4410</v>
      </c>
      <c r="AI499" s="214" t="s">
        <v>4411</v>
      </c>
      <c r="AJ499" s="207"/>
      <c r="AK499" s="316">
        <v>45996</v>
      </c>
      <c r="AL499" s="316">
        <v>45996</v>
      </c>
      <c r="AM499" s="316">
        <v>45996</v>
      </c>
      <c r="AN499" s="316">
        <v>45996</v>
      </c>
      <c r="AO499" s="316">
        <v>45996</v>
      </c>
      <c r="AP499" s="316">
        <v>45996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/>
      <c r="AY499" s="207"/>
      <c r="AZ499" s="202"/>
      <c r="BA499" s="219"/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112" s="240" customFormat="1" ht="27" hidden="1" customHeight="1">
      <c r="A500" s="197">
        <v>496</v>
      </c>
      <c r="B500" s="197" t="s">
        <v>4396</v>
      </c>
      <c r="C500" s="207" t="s">
        <v>4427</v>
      </c>
      <c r="D500" s="207">
        <v>1</v>
      </c>
      <c r="E500" s="207" t="s">
        <v>4398</v>
      </c>
      <c r="F500" s="214" t="s">
        <v>6576</v>
      </c>
      <c r="G500" s="207" t="s">
        <v>4400</v>
      </c>
      <c r="H500" s="207" t="s">
        <v>4401</v>
      </c>
      <c r="I500" s="217" t="s">
        <v>4402</v>
      </c>
      <c r="J500" s="215" t="s">
        <v>6577</v>
      </c>
      <c r="K500" s="215" t="s">
        <v>6578</v>
      </c>
      <c r="L500" s="215" t="s">
        <v>6579</v>
      </c>
      <c r="M500" s="207" t="s">
        <v>4405</v>
      </c>
      <c r="N500" s="207" t="s">
        <v>4442</v>
      </c>
      <c r="O500" s="202" t="s">
        <v>4409</v>
      </c>
      <c r="P500" s="202" t="s">
        <v>4409</v>
      </c>
      <c r="Q500" s="202" t="s">
        <v>4409</v>
      </c>
      <c r="R500" s="202" t="s">
        <v>4409</v>
      </c>
      <c r="S500" s="202" t="s">
        <v>4409</v>
      </c>
      <c r="T500" s="202" t="s">
        <v>4409</v>
      </c>
      <c r="U500" s="202" t="s">
        <v>4409</v>
      </c>
      <c r="V500" s="202" t="s">
        <v>4409</v>
      </c>
      <c r="W500" s="202" t="s">
        <v>4409</v>
      </c>
      <c r="X500" s="202" t="s">
        <v>4409</v>
      </c>
      <c r="Y500" s="202"/>
      <c r="Z500" s="202"/>
      <c r="AA500" s="215" t="s">
        <v>6577</v>
      </c>
      <c r="AB500" s="215" t="s">
        <v>6578</v>
      </c>
      <c r="AC500" s="215" t="s">
        <v>6579</v>
      </c>
      <c r="AD500" s="207" t="s">
        <v>4402</v>
      </c>
      <c r="AE500" s="207" t="s">
        <v>4405</v>
      </c>
      <c r="AF500" s="218">
        <v>40843.19</v>
      </c>
      <c r="AG500" s="218">
        <v>60000</v>
      </c>
      <c r="AH500" s="207" t="s">
        <v>4433</v>
      </c>
      <c r="AI500" s="214" t="s">
        <v>4411</v>
      </c>
      <c r="AJ500" s="207">
        <v>147059440</v>
      </c>
      <c r="AK500" s="316">
        <v>46059</v>
      </c>
      <c r="AL500" s="316">
        <v>46059</v>
      </c>
      <c r="AM500" s="316">
        <v>46059</v>
      </c>
      <c r="AN500" s="316">
        <v>46059</v>
      </c>
      <c r="AO500" s="316">
        <v>46059</v>
      </c>
      <c r="AP500" s="316">
        <v>46059</v>
      </c>
      <c r="AQ500" s="314"/>
      <c r="AR500" s="315" t="str">
        <f t="shared" si="32"/>
        <v>FINALIZADO</v>
      </c>
      <c r="AS500" s="207" t="s">
        <v>4423</v>
      </c>
      <c r="AT500" s="207"/>
      <c r="AU500" s="220" t="s">
        <v>6580</v>
      </c>
      <c r="AV500" s="207" t="s">
        <v>4425</v>
      </c>
      <c r="AW500" s="207" t="s">
        <v>4425</v>
      </c>
      <c r="AX500" s="207" t="s">
        <v>4425</v>
      </c>
      <c r="AY500" s="207" t="s">
        <v>4425</v>
      </c>
      <c r="AZ500" s="202">
        <v>46128</v>
      </c>
      <c r="BA500" s="207" t="s">
        <v>4425</v>
      </c>
      <c r="BB500" s="207" t="s">
        <v>4425</v>
      </c>
      <c r="BC500" s="202">
        <v>46139</v>
      </c>
      <c r="BD500" s="227">
        <v>46139</v>
      </c>
      <c r="BE500" s="227" t="s">
        <v>4435</v>
      </c>
      <c r="BF500" s="228" t="s">
        <v>4436</v>
      </c>
      <c r="BG500" s="229" t="s">
        <v>4425</v>
      </c>
      <c r="BH500" s="321">
        <f t="shared" si="33"/>
        <v>80</v>
      </c>
      <c r="BI500" s="98" t="str">
        <f t="shared" si="34"/>
        <v>INDENIZAÇÃO</v>
      </c>
      <c r="BJ500" s="98" t="str">
        <f t="shared" si="35"/>
        <v>NÃO</v>
      </c>
      <c r="BK500" s="219" t="s">
        <v>4437</v>
      </c>
      <c r="BL500" s="219" t="s">
        <v>4437</v>
      </c>
      <c r="BM500" s="219" t="s">
        <v>4437</v>
      </c>
      <c r="BN500" s="257" t="s">
        <v>5732</v>
      </c>
      <c r="BO500" s="257"/>
      <c r="BP500" s="257"/>
      <c r="BQ500" s="257"/>
      <c r="BR500" s="258"/>
    </row>
    <row r="501" spans="1:112" s="240" customFormat="1" ht="27" hidden="1" customHeight="1">
      <c r="A501" s="207">
        <v>497</v>
      </c>
      <c r="B501" s="197" t="s">
        <v>4396</v>
      </c>
      <c r="C501" s="207" t="s">
        <v>4427</v>
      </c>
      <c r="D501" s="207">
        <v>1</v>
      </c>
      <c r="E501" s="207" t="s">
        <v>4398</v>
      </c>
      <c r="F501" s="214" t="s">
        <v>6581</v>
      </c>
      <c r="G501" s="207" t="s">
        <v>4400</v>
      </c>
      <c r="H501" s="207" t="s">
        <v>4401</v>
      </c>
      <c r="I501" s="217" t="s">
        <v>4402</v>
      </c>
      <c r="J501" s="215" t="s">
        <v>6582</v>
      </c>
      <c r="K501" s="215" t="s">
        <v>6583</v>
      </c>
      <c r="L501" s="215" t="s">
        <v>6584</v>
      </c>
      <c r="M501" s="207" t="s">
        <v>4405</v>
      </c>
      <c r="N501" s="207" t="s">
        <v>4406</v>
      </c>
      <c r="O501" s="202">
        <v>45986</v>
      </c>
      <c r="P501" s="203" t="s">
        <v>4407</v>
      </c>
      <c r="Q501" s="203">
        <v>45985</v>
      </c>
      <c r="R501" s="203">
        <v>45986</v>
      </c>
      <c r="S501" s="203">
        <v>45987</v>
      </c>
      <c r="T501" s="203">
        <v>45992</v>
      </c>
      <c r="U501" s="202" t="s">
        <v>4408</v>
      </c>
      <c r="V501" s="202" t="s">
        <v>4408</v>
      </c>
      <c r="W501" s="202">
        <v>45999</v>
      </c>
      <c r="X501" s="202">
        <v>46000</v>
      </c>
      <c r="Y501" s="202"/>
      <c r="Z501" s="207"/>
      <c r="AA501" s="215" t="s">
        <v>6582</v>
      </c>
      <c r="AB501" s="215" t="s">
        <v>6583</v>
      </c>
      <c r="AC501" s="215" t="s">
        <v>6584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241" t="s">
        <v>4410</v>
      </c>
      <c r="AI501" s="214" t="s">
        <v>4411</v>
      </c>
      <c r="AJ501" s="207"/>
      <c r="AK501" s="316">
        <v>45980</v>
      </c>
      <c r="AL501" s="316">
        <v>45980</v>
      </c>
      <c r="AM501" s="316">
        <v>45980</v>
      </c>
      <c r="AN501" s="316">
        <v>45980</v>
      </c>
      <c r="AO501" s="316">
        <v>45980</v>
      </c>
      <c r="AP501" s="316">
        <v>45980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 t="s">
        <v>4409</v>
      </c>
      <c r="AY501" s="207" t="s">
        <v>4409</v>
      </c>
      <c r="AZ501" s="207" t="s">
        <v>4409</v>
      </c>
      <c r="BA501" s="207" t="s">
        <v>4409</v>
      </c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112" s="240" customFormat="1" ht="27" hidden="1" customHeight="1">
      <c r="A502" s="207">
        <v>498</v>
      </c>
      <c r="B502" s="197" t="s">
        <v>4396</v>
      </c>
      <c r="C502" s="207" t="s">
        <v>4427</v>
      </c>
      <c r="D502" s="207">
        <v>1</v>
      </c>
      <c r="E502" s="207" t="s">
        <v>4398</v>
      </c>
      <c r="F502" s="214" t="s">
        <v>6585</v>
      </c>
      <c r="G502" s="207" t="s">
        <v>4400</v>
      </c>
      <c r="H502" s="207" t="s">
        <v>4401</v>
      </c>
      <c r="I502" s="217" t="s">
        <v>4402</v>
      </c>
      <c r="J502" s="215" t="s">
        <v>6586</v>
      </c>
      <c r="K502" s="215" t="s">
        <v>6587</v>
      </c>
      <c r="L502" s="215" t="s">
        <v>6588</v>
      </c>
      <c r="M502" s="207" t="s">
        <v>4405</v>
      </c>
      <c r="N502" s="207" t="s">
        <v>4406</v>
      </c>
      <c r="O502" s="202">
        <v>45986</v>
      </c>
      <c r="P502" s="203" t="s">
        <v>4407</v>
      </c>
      <c r="Q502" s="203">
        <v>45985</v>
      </c>
      <c r="R502" s="203">
        <v>45986</v>
      </c>
      <c r="S502" s="203">
        <v>45987</v>
      </c>
      <c r="T502" s="203">
        <v>45992</v>
      </c>
      <c r="U502" s="202" t="s">
        <v>4408</v>
      </c>
      <c r="V502" s="202" t="s">
        <v>4408</v>
      </c>
      <c r="W502" s="202">
        <v>45999</v>
      </c>
      <c r="X502" s="202">
        <v>46000</v>
      </c>
      <c r="Y502" s="202"/>
      <c r="Z502" s="207"/>
      <c r="AA502" s="215" t="s">
        <v>6586</v>
      </c>
      <c r="AB502" s="215" t="s">
        <v>6587</v>
      </c>
      <c r="AC502" s="215" t="s">
        <v>6588</v>
      </c>
      <c r="AD502" s="217" t="s">
        <v>4402</v>
      </c>
      <c r="AE502" s="207" t="s">
        <v>4405</v>
      </c>
      <c r="AF502" s="218" t="s">
        <v>4409</v>
      </c>
      <c r="AG502" s="218" t="s">
        <v>4409</v>
      </c>
      <c r="AH502" s="204" t="s">
        <v>4410</v>
      </c>
      <c r="AI502" s="214" t="s">
        <v>4411</v>
      </c>
      <c r="AJ502" s="207"/>
      <c r="AK502" s="316">
        <v>45980</v>
      </c>
      <c r="AL502" s="316">
        <v>45980</v>
      </c>
      <c r="AM502" s="316">
        <v>45980</v>
      </c>
      <c r="AN502" s="316">
        <v>45980</v>
      </c>
      <c r="AO502" s="316">
        <v>45980</v>
      </c>
      <c r="AP502" s="316">
        <v>45980</v>
      </c>
      <c r="AQ502" s="314"/>
      <c r="AR502" s="315" t="str">
        <f t="shared" si="32"/>
        <v>FINALIZADO</v>
      </c>
      <c r="AS502" s="207"/>
      <c r="AT502" s="207"/>
      <c r="AU502" s="220"/>
      <c r="AV502" s="207"/>
      <c r="AW502" s="207"/>
      <c r="AX502" s="207" t="s">
        <v>4409</v>
      </c>
      <c r="AY502" s="207" t="s">
        <v>4409</v>
      </c>
      <c r="AZ502" s="207" t="s">
        <v>4409</v>
      </c>
      <c r="BA502" s="207" t="s">
        <v>4409</v>
      </c>
      <c r="BB502" s="207"/>
      <c r="BC502" s="202"/>
      <c r="BD502" s="208"/>
      <c r="BE502" s="202"/>
      <c r="BF502" s="207"/>
      <c r="BG502" s="229"/>
      <c r="BH502" s="321" t="str">
        <f t="shared" si="33"/>
        <v/>
      </c>
      <c r="BI502" s="98" t="str">
        <f t="shared" si="34"/>
        <v>AA</v>
      </c>
      <c r="BJ502" s="98" t="str">
        <f t="shared" si="35"/>
        <v>NÃO</v>
      </c>
      <c r="BK502" s="230"/>
      <c r="BL502" s="230"/>
      <c r="BM502" s="230"/>
      <c r="BN502" s="230"/>
      <c r="BO502" s="230"/>
      <c r="BP502" s="230"/>
      <c r="BQ502" s="230"/>
      <c r="BR502" s="234"/>
    </row>
    <row r="503" spans="1:112" s="240" customFormat="1" ht="27" hidden="1" customHeight="1">
      <c r="A503" s="207">
        <v>499</v>
      </c>
      <c r="B503" s="197" t="s">
        <v>4396</v>
      </c>
      <c r="C503" s="207" t="s">
        <v>4427</v>
      </c>
      <c r="D503" s="207">
        <v>1</v>
      </c>
      <c r="E503" s="207" t="s">
        <v>4398</v>
      </c>
      <c r="F503" s="214" t="s">
        <v>6589</v>
      </c>
      <c r="G503" s="207" t="s">
        <v>4400</v>
      </c>
      <c r="H503" s="207" t="s">
        <v>4401</v>
      </c>
      <c r="I503" s="217" t="s">
        <v>4402</v>
      </c>
      <c r="J503" s="215" t="s">
        <v>6590</v>
      </c>
      <c r="K503" s="215" t="s">
        <v>6591</v>
      </c>
      <c r="L503" s="215" t="s">
        <v>6592</v>
      </c>
      <c r="M503" s="207" t="s">
        <v>4405</v>
      </c>
      <c r="N503" s="207" t="s">
        <v>4406</v>
      </c>
      <c r="O503" s="202">
        <v>46176</v>
      </c>
      <c r="P503" s="202" t="s">
        <v>4407</v>
      </c>
      <c r="Q503" s="202">
        <v>46174</v>
      </c>
      <c r="R503" s="202">
        <v>46176</v>
      </c>
      <c r="S503" s="202">
        <v>46202</v>
      </c>
      <c r="T503" s="202">
        <v>46204</v>
      </c>
      <c r="U503" s="202" t="s">
        <v>4408</v>
      </c>
      <c r="V503" s="202" t="s">
        <v>4408</v>
      </c>
      <c r="W503" s="202">
        <v>46223</v>
      </c>
      <c r="X503" s="202"/>
      <c r="Y503" s="202"/>
      <c r="Z503" s="202"/>
      <c r="AA503" s="200" t="s">
        <v>6590</v>
      </c>
      <c r="AB503" s="200" t="s">
        <v>6591</v>
      </c>
      <c r="AC503" s="200" t="s">
        <v>6592</v>
      </c>
      <c r="AD503" s="197" t="s">
        <v>4402</v>
      </c>
      <c r="AE503" s="197" t="s">
        <v>4405</v>
      </c>
      <c r="AF503" s="243"/>
      <c r="AG503" s="243"/>
      <c r="AH503" s="197"/>
      <c r="AI503" s="214" t="s">
        <v>4411</v>
      </c>
      <c r="AJ503" s="207"/>
      <c r="AK503" s="316">
        <v>46041</v>
      </c>
      <c r="AL503" s="316">
        <v>46041</v>
      </c>
      <c r="AM503" s="316">
        <v>46041</v>
      </c>
      <c r="AN503" s="316">
        <v>46041</v>
      </c>
      <c r="AO503" s="316">
        <v>46041</v>
      </c>
      <c r="AP503" s="316">
        <v>46041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/>
      <c r="AY503" s="207"/>
      <c r="AZ503" s="202"/>
      <c r="BA503" s="219"/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INDENIZAÇÃO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112" s="240" customFormat="1" ht="27" hidden="1" customHeight="1">
      <c r="A504" s="197">
        <v>500</v>
      </c>
      <c r="B504" s="197" t="s">
        <v>4396</v>
      </c>
      <c r="C504" s="207" t="s">
        <v>4427</v>
      </c>
      <c r="D504" s="207">
        <v>1</v>
      </c>
      <c r="E504" s="207" t="s">
        <v>4398</v>
      </c>
      <c r="F504" s="214" t="s">
        <v>6593</v>
      </c>
      <c r="G504" s="207" t="s">
        <v>4400</v>
      </c>
      <c r="H504" s="207" t="s">
        <v>4401</v>
      </c>
      <c r="I504" s="217" t="s">
        <v>4402</v>
      </c>
      <c r="J504" s="215" t="s">
        <v>6594</v>
      </c>
      <c r="K504" s="215" t="s">
        <v>6595</v>
      </c>
      <c r="L504" s="215" t="s">
        <v>6596</v>
      </c>
      <c r="M504" s="207" t="s">
        <v>4405</v>
      </c>
      <c r="N504" s="207" t="s">
        <v>4406</v>
      </c>
      <c r="O504" s="203">
        <v>46044</v>
      </c>
      <c r="P504" s="203" t="s">
        <v>4407</v>
      </c>
      <c r="Q504" s="203">
        <v>46043</v>
      </c>
      <c r="R504" s="203">
        <v>46044</v>
      </c>
      <c r="S504" s="203">
        <v>46045</v>
      </c>
      <c r="T504" s="203">
        <v>46155</v>
      </c>
      <c r="U504" s="202" t="s">
        <v>4408</v>
      </c>
      <c r="V504" s="202" t="s">
        <v>4408</v>
      </c>
      <c r="W504" s="202">
        <v>46055</v>
      </c>
      <c r="X504" s="202">
        <v>46057</v>
      </c>
      <c r="Y504" s="202"/>
      <c r="Z504" s="207"/>
      <c r="AA504" s="215" t="s">
        <v>6594</v>
      </c>
      <c r="AB504" s="215" t="s">
        <v>6595</v>
      </c>
      <c r="AC504" s="215" t="s">
        <v>6596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7" t="s">
        <v>4410</v>
      </c>
      <c r="AI504" s="214" t="s">
        <v>4411</v>
      </c>
      <c r="AJ504" s="207"/>
      <c r="AK504" s="316">
        <v>46041</v>
      </c>
      <c r="AL504" s="316">
        <v>46041</v>
      </c>
      <c r="AM504" s="316">
        <v>46041</v>
      </c>
      <c r="AN504" s="316">
        <v>46041</v>
      </c>
      <c r="AO504" s="316">
        <v>46041</v>
      </c>
      <c r="AP504" s="316">
        <v>46041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/>
      <c r="AY504" s="207"/>
      <c r="AZ504" s="202"/>
      <c r="BA504" s="219"/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112" s="240" customFormat="1" ht="27" hidden="1" customHeight="1">
      <c r="A505" s="197">
        <v>501</v>
      </c>
      <c r="B505" s="197" t="s">
        <v>4396</v>
      </c>
      <c r="C505" s="207" t="s">
        <v>4427</v>
      </c>
      <c r="D505" s="207">
        <v>1</v>
      </c>
      <c r="E505" s="207" t="s">
        <v>4398</v>
      </c>
      <c r="F505" s="214" t="s">
        <v>6597</v>
      </c>
      <c r="G505" s="207" t="s">
        <v>4400</v>
      </c>
      <c r="H505" s="207" t="s">
        <v>4401</v>
      </c>
      <c r="I505" s="217" t="s">
        <v>4402</v>
      </c>
      <c r="J505" s="215" t="s">
        <v>6598</v>
      </c>
      <c r="K505" s="215" t="s">
        <v>6599</v>
      </c>
      <c r="L505" s="215" t="s">
        <v>6600</v>
      </c>
      <c r="M505" s="207" t="s">
        <v>4405</v>
      </c>
      <c r="N505" s="207" t="s">
        <v>4406</v>
      </c>
      <c r="O505" s="202">
        <v>45986</v>
      </c>
      <c r="P505" s="203" t="s">
        <v>4407</v>
      </c>
      <c r="Q505" s="203">
        <v>45985</v>
      </c>
      <c r="R505" s="203">
        <v>45986</v>
      </c>
      <c r="S505" s="203">
        <v>45987</v>
      </c>
      <c r="T505" s="203">
        <v>45992</v>
      </c>
      <c r="U505" s="203" t="s">
        <v>4408</v>
      </c>
      <c r="V505" s="203" t="s">
        <v>4408</v>
      </c>
      <c r="W505" s="202">
        <v>45999</v>
      </c>
      <c r="X505" s="202">
        <v>46017</v>
      </c>
      <c r="Y505" s="202"/>
      <c r="Z505" s="207"/>
      <c r="AA505" s="215" t="s">
        <v>6598</v>
      </c>
      <c r="AB505" s="215" t="s">
        <v>6599</v>
      </c>
      <c r="AC505" s="215" t="s">
        <v>6600</v>
      </c>
      <c r="AD505" s="217" t="s">
        <v>4402</v>
      </c>
      <c r="AE505" s="207" t="s">
        <v>4405</v>
      </c>
      <c r="AF505" s="218" t="s">
        <v>4409</v>
      </c>
      <c r="AG505" s="218" t="s">
        <v>4409</v>
      </c>
      <c r="AH505" s="241" t="s">
        <v>4410</v>
      </c>
      <c r="AI505" s="214" t="s">
        <v>4411</v>
      </c>
      <c r="AJ505" s="207"/>
      <c r="AK505" s="316">
        <v>45980</v>
      </c>
      <c r="AL505" s="316">
        <v>45980</v>
      </c>
      <c r="AM505" s="316">
        <v>45980</v>
      </c>
      <c r="AN505" s="316">
        <v>45980</v>
      </c>
      <c r="AO505" s="316">
        <v>45980</v>
      </c>
      <c r="AP505" s="316">
        <v>45980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 t="s">
        <v>4409</v>
      </c>
      <c r="AY505" s="207" t="s">
        <v>4409</v>
      </c>
      <c r="AZ505" s="207" t="s">
        <v>4409</v>
      </c>
      <c r="BA505" s="207" t="s">
        <v>4409</v>
      </c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AA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112" s="240" customFormat="1" ht="27" hidden="1" customHeight="1">
      <c r="A506" s="207">
        <v>502</v>
      </c>
      <c r="B506" s="197" t="s">
        <v>4396</v>
      </c>
      <c r="C506" s="207" t="s">
        <v>4427</v>
      </c>
      <c r="D506" s="207">
        <v>1</v>
      </c>
      <c r="E506" s="207" t="s">
        <v>4398</v>
      </c>
      <c r="F506" s="214" t="s">
        <v>6601</v>
      </c>
      <c r="G506" s="207" t="s">
        <v>4400</v>
      </c>
      <c r="H506" s="207" t="s">
        <v>4401</v>
      </c>
      <c r="I506" s="217" t="s">
        <v>4402</v>
      </c>
      <c r="J506" s="215" t="s">
        <v>6602</v>
      </c>
      <c r="K506" s="215" t="s">
        <v>6603</v>
      </c>
      <c r="L506" s="215" t="s">
        <v>6604</v>
      </c>
      <c r="M506" s="207" t="s">
        <v>4405</v>
      </c>
      <c r="N506" s="207" t="s">
        <v>4406</v>
      </c>
      <c r="O506" s="202">
        <v>45986</v>
      </c>
      <c r="P506" s="203" t="s">
        <v>4407</v>
      </c>
      <c r="Q506" s="203">
        <v>45985</v>
      </c>
      <c r="R506" s="203">
        <v>45986</v>
      </c>
      <c r="S506" s="203">
        <v>45987</v>
      </c>
      <c r="T506" s="203">
        <v>45992</v>
      </c>
      <c r="U506" s="202" t="s">
        <v>4408</v>
      </c>
      <c r="V506" s="202" t="s">
        <v>4408</v>
      </c>
      <c r="W506" s="202">
        <v>45999</v>
      </c>
      <c r="X506" s="202">
        <v>46000</v>
      </c>
      <c r="Y506" s="203"/>
      <c r="Z506" s="219"/>
      <c r="AA506" s="215" t="s">
        <v>6602</v>
      </c>
      <c r="AB506" s="215" t="s">
        <v>6603</v>
      </c>
      <c r="AC506" s="215" t="s">
        <v>6604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4" t="s">
        <v>4410</v>
      </c>
      <c r="AI506" s="214" t="s">
        <v>4411</v>
      </c>
      <c r="AJ506" s="207"/>
      <c r="AK506" s="316">
        <v>45980</v>
      </c>
      <c r="AL506" s="316">
        <v>45980</v>
      </c>
      <c r="AM506" s="316">
        <v>45980</v>
      </c>
      <c r="AN506" s="316">
        <v>45980</v>
      </c>
      <c r="AO506" s="316">
        <v>45980</v>
      </c>
      <c r="AP506" s="316">
        <v>45980</v>
      </c>
      <c r="AQ506" s="314"/>
      <c r="AR506" s="315" t="str">
        <f t="shared" si="32"/>
        <v>FINALIZADO</v>
      </c>
      <c r="AS506" s="207"/>
      <c r="AT506" s="219"/>
      <c r="AU506" s="220"/>
      <c r="AV506" s="207"/>
      <c r="AW506" s="207"/>
      <c r="AX506" s="207" t="s">
        <v>4409</v>
      </c>
      <c r="AY506" s="207" t="s">
        <v>4409</v>
      </c>
      <c r="AZ506" s="207" t="s">
        <v>4409</v>
      </c>
      <c r="BA506" s="207" t="s">
        <v>4409</v>
      </c>
      <c r="BB506" s="219"/>
      <c r="BC506" s="219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112" s="240" customFormat="1" ht="27" hidden="1" customHeight="1">
      <c r="A507" s="207">
        <v>503</v>
      </c>
      <c r="B507" s="197" t="s">
        <v>4396</v>
      </c>
      <c r="C507" s="207" t="s">
        <v>4427</v>
      </c>
      <c r="D507" s="207">
        <v>1</v>
      </c>
      <c r="E507" s="207" t="s">
        <v>4398</v>
      </c>
      <c r="F507" s="214" t="s">
        <v>6605</v>
      </c>
      <c r="G507" s="207" t="s">
        <v>4400</v>
      </c>
      <c r="H507" s="207" t="s">
        <v>4401</v>
      </c>
      <c r="I507" s="217" t="s">
        <v>4402</v>
      </c>
      <c r="J507" s="242" t="s">
        <v>6606</v>
      </c>
      <c r="K507" s="215" t="s">
        <v>6607</v>
      </c>
      <c r="L507" s="215" t="s">
        <v>6608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2" t="s">
        <v>4408</v>
      </c>
      <c r="V507" s="202" t="s">
        <v>4408</v>
      </c>
      <c r="W507" s="202">
        <v>45999</v>
      </c>
      <c r="X507" s="202">
        <v>46000</v>
      </c>
      <c r="Y507" s="202"/>
      <c r="Z507" s="207"/>
      <c r="AA507" s="242" t="s">
        <v>6606</v>
      </c>
      <c r="AB507" s="215" t="s">
        <v>6607</v>
      </c>
      <c r="AC507" s="215" t="s">
        <v>6608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04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112" s="240" customFormat="1" ht="27" hidden="1" customHeight="1">
      <c r="A508" s="207">
        <v>504</v>
      </c>
      <c r="B508" s="197" t="s">
        <v>4396</v>
      </c>
      <c r="C508" s="207" t="s">
        <v>4427</v>
      </c>
      <c r="D508" s="207">
        <v>1</v>
      </c>
      <c r="E508" s="207" t="s">
        <v>4398</v>
      </c>
      <c r="F508" s="214" t="s">
        <v>6609</v>
      </c>
      <c r="G508" s="207" t="s">
        <v>4400</v>
      </c>
      <c r="H508" s="207" t="s">
        <v>4401</v>
      </c>
      <c r="I508" s="217" t="s">
        <v>4402</v>
      </c>
      <c r="J508" s="215" t="s">
        <v>6610</v>
      </c>
      <c r="K508" s="215" t="s">
        <v>6611</v>
      </c>
      <c r="L508" s="215" t="s">
        <v>6612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2"/>
      <c r="Z508" s="207"/>
      <c r="AA508" s="215" t="s">
        <v>6610</v>
      </c>
      <c r="AB508" s="215" t="s">
        <v>6611</v>
      </c>
      <c r="AC508" s="215" t="s">
        <v>6612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07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07"/>
      <c r="BC508" s="202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112" s="240" customFormat="1" ht="27" hidden="1" customHeight="1">
      <c r="A509" s="197">
        <v>505</v>
      </c>
      <c r="B509" s="197" t="s">
        <v>4396</v>
      </c>
      <c r="C509" s="207" t="s">
        <v>4427</v>
      </c>
      <c r="D509" s="207">
        <v>1</v>
      </c>
      <c r="E509" s="207" t="s">
        <v>4398</v>
      </c>
      <c r="F509" s="214" t="s">
        <v>6613</v>
      </c>
      <c r="G509" s="207" t="s">
        <v>4400</v>
      </c>
      <c r="H509" s="207" t="s">
        <v>4401</v>
      </c>
      <c r="I509" s="207" t="s">
        <v>4402</v>
      </c>
      <c r="J509" s="215" t="s">
        <v>6614</v>
      </c>
      <c r="K509" s="215" t="s">
        <v>6591</v>
      </c>
      <c r="L509" s="215" t="s">
        <v>6615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15" t="s">
        <v>6614</v>
      </c>
      <c r="AB509" s="215" t="s">
        <v>6591</v>
      </c>
      <c r="AC509" s="215" t="s">
        <v>6615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112" s="240" customFormat="1" ht="27" customHeight="1">
      <c r="A510" s="197">
        <v>506</v>
      </c>
      <c r="B510" s="197" t="s">
        <v>4396</v>
      </c>
      <c r="C510" s="207" t="s">
        <v>4413</v>
      </c>
      <c r="D510" s="207">
        <v>1</v>
      </c>
      <c r="E510" s="207" t="s">
        <v>4398</v>
      </c>
      <c r="F510" s="214" t="s">
        <v>6613</v>
      </c>
      <c r="G510" s="207" t="s">
        <v>4400</v>
      </c>
      <c r="H510" s="207" t="s">
        <v>4401</v>
      </c>
      <c r="I510" s="207" t="s">
        <v>4402</v>
      </c>
      <c r="J510" s="215" t="s">
        <v>6616</v>
      </c>
      <c r="K510" s="215" t="s">
        <v>6617</v>
      </c>
      <c r="L510" s="215" t="s">
        <v>6618</v>
      </c>
      <c r="M510" s="207" t="s">
        <v>4405</v>
      </c>
      <c r="N510" s="207" t="s">
        <v>4406</v>
      </c>
      <c r="O510" s="202">
        <v>46147</v>
      </c>
      <c r="P510" s="202" t="s">
        <v>4407</v>
      </c>
      <c r="Q510" s="203">
        <v>46136</v>
      </c>
      <c r="R510" s="202">
        <v>46147</v>
      </c>
      <c r="S510" s="203">
        <v>46156</v>
      </c>
      <c r="T510" s="203">
        <v>46168</v>
      </c>
      <c r="U510" s="203" t="s">
        <v>4408</v>
      </c>
      <c r="V510" s="203" t="s">
        <v>4408</v>
      </c>
      <c r="W510" s="279">
        <v>46196</v>
      </c>
      <c r="X510" s="203">
        <v>46196</v>
      </c>
      <c r="Y510" s="203"/>
      <c r="Z510" s="219"/>
      <c r="AA510" s="200" t="s">
        <v>6619</v>
      </c>
      <c r="AB510" s="200" t="s">
        <v>6617</v>
      </c>
      <c r="AC510" s="200" t="s">
        <v>6618</v>
      </c>
      <c r="AD510" s="197" t="s">
        <v>4402</v>
      </c>
      <c r="AE510" s="207" t="s">
        <v>4405</v>
      </c>
      <c r="AF510" s="218" t="s">
        <v>4409</v>
      </c>
      <c r="AG510" s="218" t="s">
        <v>4409</v>
      </c>
      <c r="AH510" s="197" t="s">
        <v>4410</v>
      </c>
      <c r="AI510" s="214" t="s">
        <v>4411</v>
      </c>
      <c r="AJ510" s="207"/>
      <c r="AK510" s="317">
        <v>46134</v>
      </c>
      <c r="AL510" s="317">
        <v>46134</v>
      </c>
      <c r="AM510" s="317">
        <v>46134</v>
      </c>
      <c r="AN510" s="317">
        <v>46134</v>
      </c>
      <c r="AO510" s="317">
        <v>46134</v>
      </c>
      <c r="AP510" s="317">
        <v>46134</v>
      </c>
      <c r="AQ510" s="314"/>
      <c r="AR510" s="315" t="str">
        <f t="shared" si="32"/>
        <v>FINALIZADO</v>
      </c>
      <c r="AS510" s="207"/>
      <c r="AT510" s="219"/>
      <c r="AU510" s="220"/>
      <c r="AV510" s="219"/>
      <c r="AW510" s="219"/>
      <c r="AX510" s="219"/>
      <c r="AY510" s="219"/>
      <c r="AZ510" s="219"/>
      <c r="BA510" s="219"/>
      <c r="BB510" s="219"/>
      <c r="BC510" s="219"/>
      <c r="BD510" s="208"/>
      <c r="BE510" s="203"/>
      <c r="BF510" s="219"/>
      <c r="BG510" s="21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19"/>
      <c r="BL510" s="221"/>
      <c r="BM510" s="221"/>
      <c r="BN510" s="219"/>
      <c r="BO510" s="219"/>
      <c r="BP510" s="219"/>
      <c r="BQ510" s="219"/>
      <c r="BR510" s="222"/>
    </row>
    <row r="511" spans="1:112" s="240" customFormat="1" ht="27" hidden="1" customHeight="1">
      <c r="A511" s="207">
        <v>507</v>
      </c>
      <c r="B511" s="197" t="s">
        <v>4396</v>
      </c>
      <c r="C511" s="207" t="s">
        <v>4427</v>
      </c>
      <c r="D511" s="207">
        <v>1</v>
      </c>
      <c r="E511" s="207" t="s">
        <v>4398</v>
      </c>
      <c r="F511" s="214" t="s">
        <v>6620</v>
      </c>
      <c r="G511" s="207" t="s">
        <v>4400</v>
      </c>
      <c r="H511" s="207" t="s">
        <v>4401</v>
      </c>
      <c r="I511" s="217" t="s">
        <v>4922</v>
      </c>
      <c r="J511" s="215" t="s">
        <v>6621</v>
      </c>
      <c r="K511" s="215" t="s">
        <v>6622</v>
      </c>
      <c r="L511" s="215" t="s">
        <v>6623</v>
      </c>
      <c r="M511" s="207" t="s">
        <v>4405</v>
      </c>
      <c r="N511" s="207" t="s">
        <v>4406</v>
      </c>
      <c r="O511" s="203">
        <v>46031</v>
      </c>
      <c r="P511" s="202" t="s">
        <v>4407</v>
      </c>
      <c r="Q511" s="203">
        <v>46030</v>
      </c>
      <c r="R511" s="203">
        <v>46031</v>
      </c>
      <c r="S511" s="203">
        <v>46036</v>
      </c>
      <c r="T511" s="203">
        <v>46045</v>
      </c>
      <c r="U511" s="203" t="s">
        <v>4408</v>
      </c>
      <c r="V511" s="203" t="s">
        <v>4408</v>
      </c>
      <c r="W511" s="202">
        <v>46055</v>
      </c>
      <c r="X511" s="202" t="s">
        <v>4440</v>
      </c>
      <c r="Y511" s="202"/>
      <c r="Z511" s="207" t="s">
        <v>6624</v>
      </c>
      <c r="AA511" s="215" t="s">
        <v>6625</v>
      </c>
      <c r="AB511" s="215" t="s">
        <v>6626</v>
      </c>
      <c r="AC511" s="215" t="s">
        <v>6627</v>
      </c>
      <c r="AD511" s="217" t="s">
        <v>4421</v>
      </c>
      <c r="AE511" s="207" t="s">
        <v>4405</v>
      </c>
      <c r="AF511" s="218">
        <v>29437.08</v>
      </c>
      <c r="AG511" s="218">
        <v>29437.08</v>
      </c>
      <c r="AH511" s="207" t="s">
        <v>4433</v>
      </c>
      <c r="AI511" s="214" t="s">
        <v>4411</v>
      </c>
      <c r="AJ511" s="207">
        <v>150612303</v>
      </c>
      <c r="AK511" s="316">
        <v>46064</v>
      </c>
      <c r="AL511" s="316">
        <v>46064</v>
      </c>
      <c r="AM511" s="316">
        <v>46064</v>
      </c>
      <c r="AN511" s="316">
        <v>46064</v>
      </c>
      <c r="AO511" s="316">
        <v>46064</v>
      </c>
      <c r="AP511" s="316">
        <v>46064</v>
      </c>
      <c r="AQ511" s="314"/>
      <c r="AR511" s="315" t="str">
        <f t="shared" si="32"/>
        <v>FINALIZADO</v>
      </c>
      <c r="AS511" s="207" t="s">
        <v>4423</v>
      </c>
      <c r="AT511" s="207"/>
      <c r="AU511" s="220" t="s">
        <v>6628</v>
      </c>
      <c r="AV511" s="207" t="s">
        <v>4425</v>
      </c>
      <c r="AW511" s="207" t="s">
        <v>4425</v>
      </c>
      <c r="AX511" s="207" t="s">
        <v>4425</v>
      </c>
      <c r="AY511" s="207" t="s">
        <v>4425</v>
      </c>
      <c r="AZ511" s="202">
        <v>46170</v>
      </c>
      <c r="BA511" s="207" t="s">
        <v>4425</v>
      </c>
      <c r="BB511" s="207" t="s">
        <v>4425</v>
      </c>
      <c r="BC511" s="202">
        <v>46182</v>
      </c>
      <c r="BD511" s="227">
        <v>46182</v>
      </c>
      <c r="BE511" s="227" t="s">
        <v>4435</v>
      </c>
      <c r="BF511" s="228" t="s">
        <v>4436</v>
      </c>
      <c r="BG511" s="229" t="s">
        <v>4425</v>
      </c>
      <c r="BH511" s="321">
        <f t="shared" si="33"/>
        <v>118</v>
      </c>
      <c r="BI511" s="98" t="str">
        <f t="shared" si="34"/>
        <v>INDENIZAÇÃO</v>
      </c>
      <c r="BJ511" s="98" t="str">
        <f t="shared" si="35"/>
        <v>NÃO</v>
      </c>
      <c r="BK511" s="230" t="s">
        <v>4437</v>
      </c>
      <c r="BL511" s="230" t="s">
        <v>4437</v>
      </c>
      <c r="BM511" s="230" t="s">
        <v>4437</v>
      </c>
      <c r="BN511" s="265" t="s">
        <v>5732</v>
      </c>
      <c r="BO511" s="265"/>
      <c r="BP511" s="265"/>
      <c r="BQ511" s="265"/>
      <c r="BR511" s="231"/>
      <c r="BS511" s="161"/>
      <c r="BT511" s="161"/>
      <c r="BU511" s="161"/>
      <c r="BV511" s="161"/>
      <c r="BW511" s="161"/>
      <c r="BX511" s="161"/>
      <c r="BY511" s="161"/>
      <c r="BZ511" s="161"/>
      <c r="CA511" s="161"/>
      <c r="CB511" s="161"/>
      <c r="CC511" s="161"/>
      <c r="CD511" s="161"/>
      <c r="CE511" s="161"/>
      <c r="CF511" s="161"/>
      <c r="CG511" s="161"/>
      <c r="CH511" s="161"/>
      <c r="CI511" s="161"/>
      <c r="CJ511" s="161"/>
      <c r="CK511" s="161"/>
      <c r="CL511" s="161"/>
      <c r="CM511" s="161"/>
      <c r="CN511" s="161"/>
      <c r="CO511" s="161"/>
      <c r="CP511" s="161"/>
      <c r="CQ511" s="161"/>
      <c r="CR511" s="161"/>
      <c r="CS511" s="161"/>
      <c r="CT511" s="161"/>
      <c r="CU511" s="161"/>
      <c r="CV511" s="161"/>
      <c r="CW511" s="161"/>
      <c r="CX511" s="161"/>
      <c r="CY511" s="161"/>
      <c r="CZ511" s="161"/>
      <c r="DA511" s="161"/>
      <c r="DB511" s="161"/>
      <c r="DC511" s="161"/>
      <c r="DD511" s="161"/>
      <c r="DE511" s="161"/>
      <c r="DF511" s="161"/>
      <c r="DG511" s="161"/>
      <c r="DH511" s="161"/>
    </row>
    <row r="512" spans="1:112" s="240" customFormat="1" ht="27" customHeight="1">
      <c r="A512" s="207">
        <v>508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6620</v>
      </c>
      <c r="G512" s="207" t="s">
        <v>4400</v>
      </c>
      <c r="H512" s="207" t="s">
        <v>4401</v>
      </c>
      <c r="I512" s="207" t="s">
        <v>4402</v>
      </c>
      <c r="J512" s="215" t="s">
        <v>6629</v>
      </c>
      <c r="K512" s="215" t="s">
        <v>4398</v>
      </c>
      <c r="L512" s="215" t="s">
        <v>6630</v>
      </c>
      <c r="M512" s="207" t="s">
        <v>4405</v>
      </c>
      <c r="N512" s="207" t="s">
        <v>4406</v>
      </c>
      <c r="O512" s="202">
        <v>46084</v>
      </c>
      <c r="P512" s="202" t="s">
        <v>4407</v>
      </c>
      <c r="Q512" s="202">
        <v>46083</v>
      </c>
      <c r="R512" s="203">
        <v>46084</v>
      </c>
      <c r="S512" s="203">
        <v>46087</v>
      </c>
      <c r="T512" s="203">
        <v>46090</v>
      </c>
      <c r="U512" s="202" t="s">
        <v>4408</v>
      </c>
      <c r="V512" s="202" t="s">
        <v>4408</v>
      </c>
      <c r="W512" s="202">
        <v>46101</v>
      </c>
      <c r="X512" s="202">
        <v>46104</v>
      </c>
      <c r="Y512" s="202"/>
      <c r="Z512" s="202"/>
      <c r="AA512" s="215" t="s">
        <v>6629</v>
      </c>
      <c r="AB512" s="215" t="s">
        <v>4398</v>
      </c>
      <c r="AC512" s="215" t="s">
        <v>6630</v>
      </c>
      <c r="AD512" s="217" t="s">
        <v>4402</v>
      </c>
      <c r="AE512" s="207" t="s">
        <v>4405</v>
      </c>
      <c r="AF512" s="218" t="s">
        <v>4409</v>
      </c>
      <c r="AG512" s="218" t="s">
        <v>4409</v>
      </c>
      <c r="AH512" s="207" t="s">
        <v>4410</v>
      </c>
      <c r="AI512" s="214" t="s">
        <v>4411</v>
      </c>
      <c r="AJ512" s="207"/>
      <c r="AK512" s="316">
        <v>46080</v>
      </c>
      <c r="AL512" s="316">
        <v>46080</v>
      </c>
      <c r="AM512" s="316">
        <v>46080</v>
      </c>
      <c r="AN512" s="316">
        <v>46080</v>
      </c>
      <c r="AO512" s="316">
        <v>46080</v>
      </c>
      <c r="AP512" s="316">
        <v>46080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  <c r="BS512" s="223"/>
    </row>
    <row r="513" spans="1:112" s="240" customFormat="1" ht="27" customHeight="1">
      <c r="A513" s="207">
        <v>509</v>
      </c>
      <c r="B513" s="197" t="s">
        <v>4396</v>
      </c>
      <c r="C513" s="207" t="s">
        <v>4413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07" t="s">
        <v>4402</v>
      </c>
      <c r="J513" s="215" t="s">
        <v>6632</v>
      </c>
      <c r="K513" s="215" t="s">
        <v>4398</v>
      </c>
      <c r="L513" s="215" t="s">
        <v>6633</v>
      </c>
      <c r="M513" s="207" t="s">
        <v>4405</v>
      </c>
      <c r="N513" s="207" t="s">
        <v>4406</v>
      </c>
      <c r="O513" s="202">
        <v>46147</v>
      </c>
      <c r="P513" s="202" t="s">
        <v>4407</v>
      </c>
      <c r="Q513" s="203">
        <v>46136</v>
      </c>
      <c r="R513" s="202">
        <v>46147</v>
      </c>
      <c r="S513" s="203">
        <v>46156</v>
      </c>
      <c r="T513" s="203">
        <v>46168</v>
      </c>
      <c r="U513" s="203" t="s">
        <v>4408</v>
      </c>
      <c r="V513" s="203" t="s">
        <v>4408</v>
      </c>
      <c r="W513" s="279">
        <v>46196</v>
      </c>
      <c r="X513" s="203">
        <v>46197</v>
      </c>
      <c r="Y513" s="203"/>
      <c r="Z513" s="219"/>
      <c r="AA513" s="215" t="s">
        <v>6632</v>
      </c>
      <c r="AB513" s="215" t="s">
        <v>4398</v>
      </c>
      <c r="AC513" s="215" t="s">
        <v>6633</v>
      </c>
      <c r="AD513" s="217" t="s">
        <v>4402</v>
      </c>
      <c r="AE513" s="207" t="s">
        <v>4405</v>
      </c>
      <c r="AF513" s="218" t="s">
        <v>4409</v>
      </c>
      <c r="AG513" s="218" t="s">
        <v>4409</v>
      </c>
      <c r="AH513" s="207" t="s">
        <v>4410</v>
      </c>
      <c r="AI513" s="214" t="s">
        <v>4411</v>
      </c>
      <c r="AJ513" s="207"/>
      <c r="AK513" s="317">
        <v>46134</v>
      </c>
      <c r="AL513" s="317">
        <v>46134</v>
      </c>
      <c r="AM513" s="317">
        <v>46134</v>
      </c>
      <c r="AN513" s="317">
        <v>46134</v>
      </c>
      <c r="AO513" s="317">
        <v>46134</v>
      </c>
      <c r="AP513" s="317">
        <v>46134</v>
      </c>
      <c r="AQ513" s="314"/>
      <c r="AR513" s="315" t="str">
        <f t="shared" si="32"/>
        <v>FINALIZADO</v>
      </c>
      <c r="AS513" s="207"/>
      <c r="AT513" s="219"/>
      <c r="AU513" s="220"/>
      <c r="AV513" s="219"/>
      <c r="AW513" s="219"/>
      <c r="AX513" s="219"/>
      <c r="AY513" s="219"/>
      <c r="AZ513" s="219"/>
      <c r="BA513" s="219"/>
      <c r="BB513" s="219"/>
      <c r="BC513" s="219"/>
      <c r="BD513" s="208"/>
      <c r="BE513" s="203"/>
      <c r="BF513" s="219"/>
      <c r="BG513" s="219"/>
      <c r="BH513" s="321" t="str">
        <f t="shared" si="33"/>
        <v/>
      </c>
      <c r="BI513" s="98" t="str">
        <f t="shared" si="34"/>
        <v>AA</v>
      </c>
      <c r="BJ513" s="98" t="str">
        <f t="shared" si="35"/>
        <v>NÃO</v>
      </c>
      <c r="BK513" s="219"/>
      <c r="BL513" s="221"/>
      <c r="BM513" s="221"/>
      <c r="BN513" s="219"/>
      <c r="BO513" s="219"/>
      <c r="BP513" s="219"/>
      <c r="BQ513" s="219"/>
      <c r="BR513" s="222"/>
    </row>
    <row r="514" spans="1:112" s="240" customFormat="1" ht="27" customHeight="1">
      <c r="A514" s="197">
        <v>510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6634</v>
      </c>
      <c r="G514" s="207" t="s">
        <v>4400</v>
      </c>
      <c r="H514" s="207" t="s">
        <v>4401</v>
      </c>
      <c r="I514" s="207" t="s">
        <v>4402</v>
      </c>
      <c r="J514" s="215" t="s">
        <v>6635</v>
      </c>
      <c r="K514" s="215" t="s">
        <v>6636</v>
      </c>
      <c r="L514" s="215" t="s">
        <v>6637</v>
      </c>
      <c r="M514" s="207" t="s">
        <v>4405</v>
      </c>
      <c r="N514" s="207" t="s">
        <v>4406</v>
      </c>
      <c r="O514" s="202">
        <v>46147</v>
      </c>
      <c r="P514" s="202" t="s">
        <v>4407</v>
      </c>
      <c r="Q514" s="203">
        <v>46136</v>
      </c>
      <c r="R514" s="202">
        <v>46147</v>
      </c>
      <c r="S514" s="203">
        <v>46156</v>
      </c>
      <c r="T514" s="203">
        <v>46168</v>
      </c>
      <c r="U514" s="203" t="s">
        <v>4408</v>
      </c>
      <c r="V514" s="203" t="s">
        <v>4408</v>
      </c>
      <c r="W514" s="279">
        <v>46196</v>
      </c>
      <c r="X514" s="203">
        <v>46197</v>
      </c>
      <c r="Y514" s="203"/>
      <c r="Z514" s="219"/>
      <c r="AA514" s="215" t="s">
        <v>6635</v>
      </c>
      <c r="AB514" s="215" t="s">
        <v>6636</v>
      </c>
      <c r="AC514" s="215" t="s">
        <v>6637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7">
        <v>46134</v>
      </c>
      <c r="AL514" s="317">
        <v>46134</v>
      </c>
      <c r="AM514" s="317">
        <v>46134</v>
      </c>
      <c r="AN514" s="317">
        <v>46134</v>
      </c>
      <c r="AO514" s="317">
        <v>46134</v>
      </c>
      <c r="AP514" s="317">
        <v>46134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1"/>
      <c r="CC514" s="161"/>
      <c r="CD514" s="161"/>
      <c r="CE514" s="161"/>
      <c r="CF514" s="161"/>
      <c r="CG514" s="161"/>
      <c r="CH514" s="161"/>
      <c r="CI514" s="161"/>
      <c r="CJ514" s="161"/>
      <c r="CK514" s="161"/>
      <c r="CL514" s="161"/>
      <c r="CM514" s="161"/>
      <c r="CN514" s="161"/>
      <c r="CO514" s="161"/>
      <c r="CP514" s="161"/>
      <c r="CQ514" s="161"/>
      <c r="CR514" s="161"/>
      <c r="CS514" s="161"/>
      <c r="CT514" s="161"/>
      <c r="CU514" s="161"/>
      <c r="CV514" s="161"/>
      <c r="CW514" s="161"/>
      <c r="CX514" s="161"/>
      <c r="CY514" s="161"/>
      <c r="CZ514" s="161"/>
      <c r="DA514" s="161"/>
      <c r="DB514" s="161"/>
      <c r="DC514" s="161"/>
      <c r="DD514" s="161"/>
      <c r="DE514" s="161"/>
      <c r="DF514" s="161"/>
      <c r="DG514" s="161"/>
      <c r="DH514" s="161"/>
    </row>
    <row r="515" spans="1:112" s="240" customFormat="1" ht="27" customHeight="1">
      <c r="A515" s="197">
        <v>511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6638</v>
      </c>
      <c r="G515" s="207" t="s">
        <v>4400</v>
      </c>
      <c r="H515" s="207" t="s">
        <v>4401</v>
      </c>
      <c r="I515" s="207" t="s">
        <v>4402</v>
      </c>
      <c r="J515" s="215" t="s">
        <v>6639</v>
      </c>
      <c r="K515" s="215" t="s">
        <v>6640</v>
      </c>
      <c r="L515" s="215" t="s">
        <v>6641</v>
      </c>
      <c r="M515" s="207" t="s">
        <v>4405</v>
      </c>
      <c r="N515" s="207" t="s">
        <v>4406</v>
      </c>
      <c r="O515" s="202">
        <v>46084</v>
      </c>
      <c r="P515" s="202" t="s">
        <v>4407</v>
      </c>
      <c r="Q515" s="202">
        <v>46083</v>
      </c>
      <c r="R515" s="203">
        <v>46084</v>
      </c>
      <c r="S515" s="203">
        <v>46087</v>
      </c>
      <c r="T515" s="203">
        <v>46090</v>
      </c>
      <c r="U515" s="202" t="s">
        <v>4408</v>
      </c>
      <c r="V515" s="202" t="s">
        <v>4408</v>
      </c>
      <c r="W515" s="202">
        <v>46101</v>
      </c>
      <c r="X515" s="202">
        <v>46104</v>
      </c>
      <c r="Y515" s="202"/>
      <c r="Z515" s="202"/>
      <c r="AA515" s="215" t="s">
        <v>6639</v>
      </c>
      <c r="AB515" s="215" t="s">
        <v>6640</v>
      </c>
      <c r="AC515" s="215" t="s">
        <v>6641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6">
        <v>46086</v>
      </c>
      <c r="AL515" s="316">
        <v>46086</v>
      </c>
      <c r="AM515" s="316">
        <v>46086</v>
      </c>
      <c r="AN515" s="316">
        <v>46086</v>
      </c>
      <c r="AO515" s="316">
        <v>46086</v>
      </c>
      <c r="AP515" s="316">
        <v>46086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  <c r="BS515" s="161"/>
      <c r="BT515" s="161"/>
      <c r="BU515" s="161"/>
      <c r="BV515" s="161"/>
      <c r="BW515" s="161"/>
      <c r="BX515" s="161"/>
      <c r="BY515" s="161"/>
      <c r="BZ515" s="161"/>
      <c r="CA515" s="161"/>
      <c r="CB515" s="161"/>
      <c r="CC515" s="161"/>
      <c r="CD515" s="161"/>
      <c r="CE515" s="161"/>
      <c r="CF515" s="161"/>
      <c r="CG515" s="161"/>
      <c r="CH515" s="161"/>
      <c r="CI515" s="161"/>
      <c r="CJ515" s="161"/>
      <c r="CK515" s="161"/>
      <c r="CL515" s="161"/>
      <c r="CM515" s="161"/>
      <c r="CN515" s="161"/>
      <c r="CO515" s="161"/>
      <c r="CP515" s="161"/>
      <c r="CQ515" s="161"/>
      <c r="CR515" s="161"/>
      <c r="CS515" s="161"/>
      <c r="CT515" s="161"/>
      <c r="CU515" s="161"/>
      <c r="CV515" s="161"/>
      <c r="CW515" s="161"/>
      <c r="CX515" s="161"/>
      <c r="CY515" s="161"/>
      <c r="CZ515" s="161"/>
      <c r="DA515" s="161"/>
      <c r="DB515" s="161"/>
      <c r="DC515" s="161"/>
      <c r="DD515" s="161"/>
      <c r="DE515" s="161"/>
      <c r="DF515" s="161"/>
      <c r="DG515" s="161"/>
      <c r="DH515" s="161"/>
    </row>
    <row r="516" spans="1:112" s="240" customFormat="1" ht="27" customHeight="1">
      <c r="A516" s="207">
        <v>512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6642</v>
      </c>
      <c r="G516" s="207" t="s">
        <v>4400</v>
      </c>
      <c r="H516" s="207" t="s">
        <v>4401</v>
      </c>
      <c r="I516" s="207" t="s">
        <v>4402</v>
      </c>
      <c r="J516" s="215" t="s">
        <v>6643</v>
      </c>
      <c r="K516" s="215" t="s">
        <v>6644</v>
      </c>
      <c r="L516" s="215" t="s">
        <v>6645</v>
      </c>
      <c r="M516" s="207" t="s">
        <v>4405</v>
      </c>
      <c r="N516" s="207" t="s">
        <v>4406</v>
      </c>
      <c r="O516" s="202">
        <v>46084</v>
      </c>
      <c r="P516" s="202" t="s">
        <v>4407</v>
      </c>
      <c r="Q516" s="202">
        <v>46083</v>
      </c>
      <c r="R516" s="203">
        <v>46084</v>
      </c>
      <c r="S516" s="203">
        <v>46087</v>
      </c>
      <c r="T516" s="203">
        <v>46090</v>
      </c>
      <c r="U516" s="202" t="s">
        <v>4408</v>
      </c>
      <c r="V516" s="202" t="s">
        <v>4408</v>
      </c>
      <c r="W516" s="202">
        <v>46101</v>
      </c>
      <c r="X516" s="202">
        <v>46101</v>
      </c>
      <c r="Y516" s="202"/>
      <c r="Z516" s="202"/>
      <c r="AA516" s="215" t="s">
        <v>6643</v>
      </c>
      <c r="AB516" s="215" t="s">
        <v>6644</v>
      </c>
      <c r="AC516" s="215" t="s">
        <v>6645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6">
        <v>46086</v>
      </c>
      <c r="AL516" s="316">
        <v>46086</v>
      </c>
      <c r="AM516" s="316">
        <v>46086</v>
      </c>
      <c r="AN516" s="316">
        <v>46086</v>
      </c>
      <c r="AO516" s="316">
        <v>46086</v>
      </c>
      <c r="AP516" s="316">
        <v>46086</v>
      </c>
      <c r="AQ516" s="314"/>
      <c r="AR516" s="315" t="str">
        <f t="shared" si="32"/>
        <v>FINALIZADO</v>
      </c>
      <c r="AS516" s="207"/>
      <c r="AT516" s="219"/>
      <c r="AU516" s="220"/>
      <c r="AV516" s="161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</row>
    <row r="517" spans="1:112" s="240" customFormat="1" ht="27" customHeight="1">
      <c r="A517" s="207">
        <v>513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6646</v>
      </c>
      <c r="G517" s="207" t="s">
        <v>4400</v>
      </c>
      <c r="H517" s="207" t="s">
        <v>4401</v>
      </c>
      <c r="I517" s="207" t="s">
        <v>4402</v>
      </c>
      <c r="J517" s="215" t="s">
        <v>6647</v>
      </c>
      <c r="K517" s="215" t="s">
        <v>6648</v>
      </c>
      <c r="L517" s="215" t="s">
        <v>4608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46101</v>
      </c>
      <c r="Y517" s="202"/>
      <c r="Z517" s="202"/>
      <c r="AA517" s="215" t="s">
        <v>6647</v>
      </c>
      <c r="AB517" s="215" t="s">
        <v>6648</v>
      </c>
      <c r="AC517" s="215" t="s">
        <v>4608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46080</v>
      </c>
      <c r="AL517" s="316">
        <v>46080</v>
      </c>
      <c r="AM517" s="316">
        <v>46080</v>
      </c>
      <c r="AN517" s="316">
        <v>46080</v>
      </c>
      <c r="AO517" s="316">
        <v>46080</v>
      </c>
      <c r="AP517" s="316">
        <v>46080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</row>
    <row r="518" spans="1:112" s="240" customFormat="1" ht="27" customHeight="1">
      <c r="A518" s="207">
        <v>514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6649</v>
      </c>
      <c r="G518" s="207" t="s">
        <v>4400</v>
      </c>
      <c r="H518" s="207" t="s">
        <v>4401</v>
      </c>
      <c r="I518" s="207" t="s">
        <v>4402</v>
      </c>
      <c r="J518" s="215" t="s">
        <v>6650</v>
      </c>
      <c r="K518" s="215" t="s">
        <v>6651</v>
      </c>
      <c r="L518" s="215" t="s">
        <v>6652</v>
      </c>
      <c r="M518" s="207" t="s">
        <v>4405</v>
      </c>
      <c r="N518" s="207" t="s">
        <v>4406</v>
      </c>
      <c r="O518" s="203">
        <v>46090</v>
      </c>
      <c r="P518" s="203" t="s">
        <v>4407</v>
      </c>
      <c r="Q518" s="202">
        <v>46090</v>
      </c>
      <c r="R518" s="202">
        <v>46099</v>
      </c>
      <c r="S518" s="202">
        <v>46101</v>
      </c>
      <c r="T518" s="202">
        <v>46118</v>
      </c>
      <c r="U518" s="202" t="s">
        <v>4408</v>
      </c>
      <c r="V518" s="202" t="s">
        <v>4408</v>
      </c>
      <c r="W518" s="202">
        <v>46118</v>
      </c>
      <c r="X518" s="202">
        <v>46118</v>
      </c>
      <c r="Y518" s="202"/>
      <c r="Z518" s="202"/>
      <c r="AA518" s="215" t="s">
        <v>6650</v>
      </c>
      <c r="AB518" s="215" t="s">
        <v>6651</v>
      </c>
      <c r="AC518" s="215" t="s">
        <v>6652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ref="AR518:AR581" si="36">IF(AQ518="SIM","AGUARDANDO CORREÇÃO",IF(AP518&lt;&gt;"","FINALIZADO",IF(AO518&lt;&gt;"","AGUARDANDO ENVIO DTS",IF(AN518&lt;&gt;"","AGUARDANDO ASSINATURA GAB",IF(AM518&lt;&gt;"","AGUARDANDO ASSINATURA CTS",IF(AL518&lt;&gt;"","AGUARDANDO ENVIO ASSINATURA CTS",IF(AK518&lt;&gt;"","AGUARDANDO CONFERÊNCIA","")))))))</f>
        <v>FINALIZADO</v>
      </c>
      <c r="AS518" s="207"/>
      <c r="AT518" s="219"/>
      <c r="AU518" s="220"/>
      <c r="AV518" s="219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ref="BH518:BH582" si="37">IFERROR(IF(BD518-KI518=0,"",BD518-AK518),"")</f>
        <v/>
      </c>
      <c r="BI518" s="98" t="str">
        <f t="shared" ref="BI518:BI582" si="38">IF(AND(AH518&lt;&gt;"SIM",AH518="UH"),"AA","INDENIZAÇÃO")</f>
        <v>AA</v>
      </c>
      <c r="BJ518" s="98" t="str">
        <f t="shared" ref="BJ518:BJ582" si="39">IF(AND(BD518&lt;&gt;"AGUARDANDO",BD518&lt;&gt;"",N518="AUXÍLIO ALUGUEL ATÉ INDENIZAÇÃO"),"SIM","NÃO")</f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197">
        <v>515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6653</v>
      </c>
      <c r="G519" s="207" t="s">
        <v>4400</v>
      </c>
      <c r="H519" s="207" t="s">
        <v>4401</v>
      </c>
      <c r="I519" s="207" t="s">
        <v>4402</v>
      </c>
      <c r="J519" s="215" t="s">
        <v>6654</v>
      </c>
      <c r="K519" s="215" t="s">
        <v>6655</v>
      </c>
      <c r="L519" s="215" t="s">
        <v>6656</v>
      </c>
      <c r="M519" s="207" t="s">
        <v>4405</v>
      </c>
      <c r="N519" s="207" t="s">
        <v>4406</v>
      </c>
      <c r="O519" s="202">
        <v>46147</v>
      </c>
      <c r="P519" s="202" t="s">
        <v>4407</v>
      </c>
      <c r="Q519" s="203">
        <v>46136</v>
      </c>
      <c r="R519" s="202">
        <v>46147</v>
      </c>
      <c r="S519" s="203">
        <v>46156</v>
      </c>
      <c r="T519" s="203">
        <v>46168</v>
      </c>
      <c r="U519" s="203" t="s">
        <v>4408</v>
      </c>
      <c r="V519" s="203" t="s">
        <v>4408</v>
      </c>
      <c r="W519" s="279">
        <v>46196</v>
      </c>
      <c r="X519" s="203">
        <v>46197</v>
      </c>
      <c r="Y519" s="203"/>
      <c r="Z519" s="219"/>
      <c r="AA519" s="215" t="s">
        <v>6654</v>
      </c>
      <c r="AB519" s="215" t="s">
        <v>6655</v>
      </c>
      <c r="AC519" s="215" t="s">
        <v>6656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7">
        <v>46134</v>
      </c>
      <c r="AL519" s="317">
        <v>46134</v>
      </c>
      <c r="AM519" s="317">
        <v>46134</v>
      </c>
      <c r="AN519" s="317">
        <v>46134</v>
      </c>
      <c r="AO519" s="317">
        <v>46134</v>
      </c>
      <c r="AP519" s="317">
        <v>46134</v>
      </c>
      <c r="AQ519" s="314"/>
      <c r="AR519" s="315" t="str">
        <f t="shared" si="36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7"/>
        <v/>
      </c>
      <c r="BI519" s="98" t="str">
        <f t="shared" si="38"/>
        <v>AA</v>
      </c>
      <c r="BJ519" s="98" t="str">
        <f t="shared" si="39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197">
        <v>516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6657</v>
      </c>
      <c r="G520" s="207" t="s">
        <v>4400</v>
      </c>
      <c r="H520" s="207" t="s">
        <v>4401</v>
      </c>
      <c r="I520" s="207" t="s">
        <v>4402</v>
      </c>
      <c r="J520" s="215" t="s">
        <v>6658</v>
      </c>
      <c r="K520" s="215" t="s">
        <v>6659</v>
      </c>
      <c r="L520" s="215" t="s">
        <v>6660</v>
      </c>
      <c r="M520" s="207" t="s">
        <v>4405</v>
      </c>
      <c r="N520" s="207" t="s">
        <v>4406</v>
      </c>
      <c r="O520" s="202">
        <v>46126</v>
      </c>
      <c r="P520" s="202" t="s">
        <v>4407</v>
      </c>
      <c r="Q520" s="203">
        <v>46126</v>
      </c>
      <c r="R520" s="203">
        <v>46126</v>
      </c>
      <c r="S520" s="203">
        <v>46136</v>
      </c>
      <c r="T520" s="203">
        <v>46140</v>
      </c>
      <c r="U520" s="203" t="s">
        <v>4408</v>
      </c>
      <c r="V520" s="203" t="s">
        <v>4408</v>
      </c>
      <c r="W520" s="202">
        <v>46153</v>
      </c>
      <c r="X520" s="203">
        <v>46154</v>
      </c>
      <c r="Y520" s="203"/>
      <c r="Z520" s="219"/>
      <c r="AA520" s="215" t="s">
        <v>6658</v>
      </c>
      <c r="AB520" s="215" t="s">
        <v>6659</v>
      </c>
      <c r="AC520" s="215" t="s">
        <v>6660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7">
        <v>46134</v>
      </c>
      <c r="AL520" s="317">
        <v>46134</v>
      </c>
      <c r="AM520" s="317">
        <v>46134</v>
      </c>
      <c r="AN520" s="317">
        <v>46134</v>
      </c>
      <c r="AO520" s="317">
        <v>46134</v>
      </c>
      <c r="AP520" s="317">
        <v>46134</v>
      </c>
      <c r="AQ520" s="314"/>
      <c r="AR520" s="315" t="str">
        <f t="shared" si="36"/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si="37"/>
        <v/>
      </c>
      <c r="BI520" s="98" t="str">
        <f t="shared" si="38"/>
        <v>AA</v>
      </c>
      <c r="BJ520" s="98" t="str">
        <f t="shared" si="39"/>
        <v>NÃO</v>
      </c>
      <c r="BK520" s="219"/>
      <c r="BL520" s="221"/>
      <c r="BM520" s="221"/>
      <c r="BN520" s="219"/>
      <c r="BO520" s="219"/>
      <c r="BP520" s="219"/>
      <c r="BQ520" s="219"/>
      <c r="BR520" s="222"/>
      <c r="BS520" s="161"/>
      <c r="BT520" s="161"/>
      <c r="BU520" s="161"/>
      <c r="BV520" s="161"/>
      <c r="BW520" s="161"/>
      <c r="BX520" s="161"/>
      <c r="BY520" s="161"/>
      <c r="BZ520" s="161"/>
      <c r="CA520" s="161"/>
      <c r="CB520" s="161"/>
      <c r="CC520" s="161"/>
      <c r="CD520" s="161"/>
      <c r="CE520" s="161"/>
      <c r="CF520" s="161"/>
      <c r="CG520" s="161"/>
      <c r="CH520" s="161"/>
      <c r="CI520" s="161"/>
      <c r="CJ520" s="161"/>
      <c r="CK520" s="161"/>
      <c r="CL520" s="161"/>
      <c r="CM520" s="161"/>
      <c r="CN520" s="161"/>
      <c r="CO520" s="161"/>
      <c r="CP520" s="161"/>
      <c r="CQ520" s="161"/>
      <c r="CR520" s="161"/>
      <c r="CS520" s="161"/>
      <c r="CT520" s="161"/>
      <c r="CU520" s="161"/>
      <c r="CV520" s="161"/>
      <c r="CW520" s="161"/>
      <c r="CX520" s="161"/>
      <c r="CY520" s="161"/>
      <c r="CZ520" s="161"/>
      <c r="DA520" s="161"/>
      <c r="DB520" s="161"/>
      <c r="DC520" s="161"/>
      <c r="DD520" s="161"/>
      <c r="DE520" s="161"/>
      <c r="DF520" s="161"/>
      <c r="DG520" s="161"/>
      <c r="DH520" s="161"/>
    </row>
    <row r="521" spans="1:112" s="240" customFormat="1" ht="27" customHeight="1">
      <c r="A521" s="207">
        <v>517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6661</v>
      </c>
      <c r="G521" s="207" t="s">
        <v>4400</v>
      </c>
      <c r="H521" s="207" t="s">
        <v>4401</v>
      </c>
      <c r="I521" s="207" t="s">
        <v>4402</v>
      </c>
      <c r="J521" s="215" t="s">
        <v>6662</v>
      </c>
      <c r="K521" s="215" t="s">
        <v>6663</v>
      </c>
      <c r="L521" s="215" t="s">
        <v>6664</v>
      </c>
      <c r="M521" s="207" t="s">
        <v>4405</v>
      </c>
      <c r="N521" s="207" t="s">
        <v>4432</v>
      </c>
      <c r="O521" s="202" t="s">
        <v>4409</v>
      </c>
      <c r="P521" s="202" t="s">
        <v>4409</v>
      </c>
      <c r="Q521" s="202" t="s">
        <v>4409</v>
      </c>
      <c r="R521" s="202" t="s">
        <v>4409</v>
      </c>
      <c r="S521" s="202" t="s">
        <v>4409</v>
      </c>
      <c r="T521" s="202" t="s">
        <v>4409</v>
      </c>
      <c r="U521" s="202" t="s">
        <v>4409</v>
      </c>
      <c r="V521" s="202" t="s">
        <v>4409</v>
      </c>
      <c r="W521" s="202" t="s">
        <v>4409</v>
      </c>
      <c r="X521" s="202" t="s">
        <v>4409</v>
      </c>
      <c r="Y521" s="203"/>
      <c r="Z521" s="219"/>
      <c r="AA521" s="215" t="s">
        <v>6662</v>
      </c>
      <c r="AB521" s="215" t="s">
        <v>6663</v>
      </c>
      <c r="AC521" s="215" t="s">
        <v>6664</v>
      </c>
      <c r="AD521" s="217" t="s">
        <v>4402</v>
      </c>
      <c r="AE521" s="207" t="s">
        <v>4405</v>
      </c>
      <c r="AF521" s="218">
        <v>48241.26</v>
      </c>
      <c r="AG521" s="218">
        <v>60000</v>
      </c>
      <c r="AH521" s="207" t="s">
        <v>4422</v>
      </c>
      <c r="AI521" s="214" t="s">
        <v>4411</v>
      </c>
      <c r="AJ521" s="207">
        <v>158037812</v>
      </c>
      <c r="AK521" s="317">
        <v>46188</v>
      </c>
      <c r="AL521" s="317">
        <v>46188</v>
      </c>
      <c r="AM521" s="317">
        <v>46188</v>
      </c>
      <c r="AN521" s="317">
        <v>46188</v>
      </c>
      <c r="AO521" s="317">
        <v>46188</v>
      </c>
      <c r="AP521" s="317">
        <v>46188</v>
      </c>
      <c r="AQ521" s="314"/>
      <c r="AR521" s="315" t="str">
        <f t="shared" si="36"/>
        <v>FINALIZADO</v>
      </c>
      <c r="AS521" s="207" t="s">
        <v>4423</v>
      </c>
      <c r="AT521" s="219"/>
      <c r="AU521" s="220" t="s">
        <v>6665</v>
      </c>
      <c r="AV521" s="207" t="s">
        <v>4425</v>
      </c>
      <c r="AW521" s="197" t="s">
        <v>4425</v>
      </c>
      <c r="AX521" s="207" t="s">
        <v>4818</v>
      </c>
      <c r="AY521" s="207" t="s">
        <v>4818</v>
      </c>
      <c r="AZ521" s="202">
        <v>46233</v>
      </c>
      <c r="BA521" s="207" t="s">
        <v>4818</v>
      </c>
      <c r="BB521" s="207" t="s">
        <v>4818</v>
      </c>
      <c r="BC521" s="202">
        <v>46234</v>
      </c>
      <c r="BD521" s="226">
        <v>46234</v>
      </c>
      <c r="BE521" s="257" t="s">
        <v>4435</v>
      </c>
      <c r="BF521" s="257" t="s">
        <v>4436</v>
      </c>
      <c r="BG521" s="219" t="s">
        <v>4425</v>
      </c>
      <c r="BH521" s="321">
        <f t="shared" si="37"/>
        <v>46</v>
      </c>
      <c r="BI521" s="98" t="str">
        <f t="shared" si="38"/>
        <v>INDENIZAÇÃO</v>
      </c>
      <c r="BJ521" s="98" t="str">
        <f t="shared" si="39"/>
        <v>NÃO</v>
      </c>
      <c r="BK521" s="219" t="s">
        <v>4437</v>
      </c>
      <c r="BL521" s="219" t="s">
        <v>4437</v>
      </c>
      <c r="BM521" s="219" t="s">
        <v>4437</v>
      </c>
      <c r="BN521" s="257" t="s">
        <v>5732</v>
      </c>
      <c r="BO521" s="257"/>
      <c r="BP521" s="257"/>
      <c r="BQ521" s="257"/>
      <c r="BR521" s="258"/>
      <c r="BS521" s="223"/>
      <c r="BT521" s="161"/>
      <c r="BU521" s="161"/>
      <c r="BV521" s="161"/>
      <c r="BW521" s="161"/>
      <c r="BX521" s="161"/>
      <c r="BY521" s="161"/>
      <c r="BZ521" s="161"/>
      <c r="CA521" s="161"/>
      <c r="CB521" s="161"/>
      <c r="CC521" s="161"/>
      <c r="CD521" s="161"/>
      <c r="CE521" s="161"/>
      <c r="CF521" s="161"/>
      <c r="CG521" s="161"/>
      <c r="CH521" s="161"/>
      <c r="CI521" s="161"/>
      <c r="CJ521" s="161"/>
      <c r="CK521" s="161"/>
      <c r="CL521" s="161"/>
      <c r="CM521" s="161"/>
      <c r="CN521" s="161"/>
      <c r="CO521" s="161"/>
      <c r="CP521" s="161"/>
      <c r="CQ521" s="161"/>
      <c r="CR521" s="161"/>
      <c r="CS521" s="161"/>
      <c r="CT521" s="161"/>
      <c r="CU521" s="161"/>
      <c r="CV521" s="161"/>
      <c r="CW521" s="161"/>
      <c r="CX521" s="161"/>
      <c r="CY521" s="161"/>
      <c r="CZ521" s="161"/>
      <c r="DA521" s="161"/>
      <c r="DB521" s="161"/>
      <c r="DC521" s="161"/>
      <c r="DD521" s="161"/>
      <c r="DE521" s="161"/>
      <c r="DF521" s="161"/>
      <c r="DG521" s="161"/>
      <c r="DH521" s="161"/>
    </row>
    <row r="522" spans="1:112" s="240" customFormat="1" ht="27" customHeight="1">
      <c r="A522" s="207">
        <v>518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6666</v>
      </c>
      <c r="G522" s="207" t="s">
        <v>4400</v>
      </c>
      <c r="H522" s="207" t="s">
        <v>4401</v>
      </c>
      <c r="I522" s="207" t="s">
        <v>4402</v>
      </c>
      <c r="J522" s="215" t="s">
        <v>6667</v>
      </c>
      <c r="K522" s="215" t="s">
        <v>6668</v>
      </c>
      <c r="L522" s="215" t="s">
        <v>6669</v>
      </c>
      <c r="M522" s="207" t="s">
        <v>4405</v>
      </c>
      <c r="N522" s="207" t="s">
        <v>4406</v>
      </c>
      <c r="O522" s="203">
        <v>46090</v>
      </c>
      <c r="P522" s="203" t="s">
        <v>4407</v>
      </c>
      <c r="Q522" s="202">
        <v>46090</v>
      </c>
      <c r="R522" s="202">
        <v>46099</v>
      </c>
      <c r="S522" s="202">
        <v>46101</v>
      </c>
      <c r="T522" s="202">
        <v>46118</v>
      </c>
      <c r="U522" s="202" t="s">
        <v>4408</v>
      </c>
      <c r="V522" s="202" t="s">
        <v>4408</v>
      </c>
      <c r="W522" s="202">
        <v>46118</v>
      </c>
      <c r="X522" s="202">
        <v>46118</v>
      </c>
      <c r="Y522" s="202"/>
      <c r="Z522" s="202"/>
      <c r="AA522" s="215" t="s">
        <v>6667</v>
      </c>
      <c r="AB522" s="215" t="s">
        <v>6668</v>
      </c>
      <c r="AC522" s="215" t="s">
        <v>6669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6">
        <v>46086</v>
      </c>
      <c r="AL522" s="316">
        <v>46086</v>
      </c>
      <c r="AM522" s="316">
        <v>46086</v>
      </c>
      <c r="AN522" s="316">
        <v>46086</v>
      </c>
      <c r="AO522" s="316">
        <v>46086</v>
      </c>
      <c r="AP522" s="316">
        <v>46086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54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519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6670</v>
      </c>
      <c r="G523" s="207" t="s">
        <v>4400</v>
      </c>
      <c r="H523" s="207" t="s">
        <v>4401</v>
      </c>
      <c r="I523" s="207" t="s">
        <v>4402</v>
      </c>
      <c r="J523" s="215" t="s">
        <v>6671</v>
      </c>
      <c r="K523" s="215" t="s">
        <v>6672</v>
      </c>
      <c r="L523" s="215" t="s">
        <v>6673</v>
      </c>
      <c r="M523" s="207" t="s">
        <v>4405</v>
      </c>
      <c r="N523" s="207" t="s">
        <v>4406</v>
      </c>
      <c r="O523" s="202">
        <v>46084</v>
      </c>
      <c r="P523" s="202" t="s">
        <v>4407</v>
      </c>
      <c r="Q523" s="202">
        <v>46083</v>
      </c>
      <c r="R523" s="203">
        <v>46084</v>
      </c>
      <c r="S523" s="203">
        <v>46087</v>
      </c>
      <c r="T523" s="203">
        <v>46090</v>
      </c>
      <c r="U523" s="202" t="s">
        <v>4408</v>
      </c>
      <c r="V523" s="202" t="s">
        <v>4408</v>
      </c>
      <c r="W523" s="202">
        <v>46101</v>
      </c>
      <c r="X523" s="202">
        <v>46101</v>
      </c>
      <c r="Y523" s="202"/>
      <c r="Z523" s="202"/>
      <c r="AA523" s="215" t="s">
        <v>6671</v>
      </c>
      <c r="AB523" s="215" t="s">
        <v>6672</v>
      </c>
      <c r="AC523" s="215" t="s">
        <v>6673</v>
      </c>
      <c r="AD523" s="217" t="s">
        <v>4402</v>
      </c>
      <c r="AE523" s="207" t="s">
        <v>4405</v>
      </c>
      <c r="AF523" s="218" t="s">
        <v>4409</v>
      </c>
      <c r="AG523" s="218" t="s">
        <v>4409</v>
      </c>
      <c r="AH523" s="207" t="s">
        <v>4410</v>
      </c>
      <c r="AI523" s="214" t="s">
        <v>4411</v>
      </c>
      <c r="AJ523" s="207"/>
      <c r="AK523" s="316">
        <v>46080</v>
      </c>
      <c r="AL523" s="316">
        <v>46080</v>
      </c>
      <c r="AM523" s="316">
        <v>46080</v>
      </c>
      <c r="AN523" s="316">
        <v>46080</v>
      </c>
      <c r="AO523" s="316">
        <v>46080</v>
      </c>
      <c r="AP523" s="316">
        <v>46080</v>
      </c>
      <c r="AQ523" s="314"/>
      <c r="AR523" s="315" t="str">
        <f t="shared" si="36"/>
        <v>FINALIZADO</v>
      </c>
      <c r="AS523" s="207"/>
      <c r="AT523" s="217"/>
      <c r="AU523" s="220"/>
      <c r="AV523" s="217"/>
      <c r="AW523" s="217"/>
      <c r="AX523" s="217"/>
      <c r="AY523" s="217"/>
      <c r="AZ523" s="217"/>
      <c r="BA523" s="217"/>
      <c r="BB523" s="217"/>
      <c r="BC523" s="217"/>
      <c r="BD523" s="208"/>
      <c r="BE523" s="216"/>
      <c r="BF523" s="217"/>
      <c r="BG523" s="219"/>
      <c r="BH523" s="321" t="str">
        <f t="shared" si="37"/>
        <v/>
      </c>
      <c r="BI523" s="98" t="str">
        <f t="shared" si="38"/>
        <v>AA</v>
      </c>
      <c r="BJ523" s="98" t="str">
        <f t="shared" si="39"/>
        <v>NÃO</v>
      </c>
      <c r="BK523" s="219"/>
      <c r="BL523" s="221"/>
      <c r="BM523" s="221"/>
      <c r="BN523" s="219"/>
      <c r="BO523" s="219"/>
      <c r="BP523" s="219"/>
      <c r="BQ523" s="219"/>
      <c r="BR523" s="222"/>
    </row>
    <row r="524" spans="1:112" s="240" customFormat="1" ht="27" customHeight="1">
      <c r="A524" s="197">
        <v>520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6674</v>
      </c>
      <c r="G524" s="207" t="s">
        <v>4400</v>
      </c>
      <c r="H524" s="207" t="s">
        <v>4401</v>
      </c>
      <c r="I524" s="207" t="s">
        <v>4402</v>
      </c>
      <c r="J524" s="215" t="s">
        <v>6675</v>
      </c>
      <c r="K524" s="215" t="s">
        <v>6676</v>
      </c>
      <c r="L524" s="215" t="s">
        <v>6677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6675</v>
      </c>
      <c r="AB524" s="215" t="s">
        <v>6676</v>
      </c>
      <c r="AC524" s="215" t="s">
        <v>6677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19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</row>
    <row r="525" spans="1:112" s="240" customFormat="1" ht="27" customHeight="1">
      <c r="A525" s="197">
        <v>521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6678</v>
      </c>
      <c r="G525" s="207" t="s">
        <v>4400</v>
      </c>
      <c r="H525" s="207" t="s">
        <v>4401</v>
      </c>
      <c r="I525" s="207" t="s">
        <v>4402</v>
      </c>
      <c r="J525" s="215" t="s">
        <v>6679</v>
      </c>
      <c r="K525" s="215" t="s">
        <v>6680</v>
      </c>
      <c r="L525" s="215" t="s">
        <v>6681</v>
      </c>
      <c r="M525" s="207" t="s">
        <v>4405</v>
      </c>
      <c r="N525" s="207" t="s">
        <v>4406</v>
      </c>
      <c r="O525" s="203">
        <v>46090</v>
      </c>
      <c r="P525" s="203" t="s">
        <v>4407</v>
      </c>
      <c r="Q525" s="202">
        <v>46090</v>
      </c>
      <c r="R525" s="202">
        <v>46099</v>
      </c>
      <c r="S525" s="202">
        <v>46101</v>
      </c>
      <c r="T525" s="202">
        <v>46118</v>
      </c>
      <c r="U525" s="202" t="s">
        <v>4408</v>
      </c>
      <c r="V525" s="202" t="s">
        <v>4408</v>
      </c>
      <c r="W525" s="202">
        <v>46118</v>
      </c>
      <c r="X525" s="202">
        <v>46118</v>
      </c>
      <c r="Y525" s="202"/>
      <c r="Z525" s="202"/>
      <c r="AA525" s="215" t="s">
        <v>6679</v>
      </c>
      <c r="AB525" s="215" t="s">
        <v>6680</v>
      </c>
      <c r="AC525" s="215" t="s">
        <v>6681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46086</v>
      </c>
      <c r="AL525" s="316">
        <v>46086</v>
      </c>
      <c r="AM525" s="316">
        <v>46086</v>
      </c>
      <c r="AN525" s="316">
        <v>46086</v>
      </c>
      <c r="AO525" s="316">
        <v>46086</v>
      </c>
      <c r="AP525" s="316">
        <v>46086</v>
      </c>
      <c r="AQ525" s="314"/>
      <c r="AR525" s="315" t="str">
        <f t="shared" si="36"/>
        <v>FINALIZADO</v>
      </c>
      <c r="AS525" s="207"/>
      <c r="AT525" s="219"/>
      <c r="AU525" s="220"/>
      <c r="AV525" s="219"/>
      <c r="AW525" s="219"/>
      <c r="AX525" s="219"/>
      <c r="AY525" s="219"/>
      <c r="AZ525" s="219"/>
      <c r="BA525" s="219"/>
      <c r="BB525" s="219"/>
      <c r="BC525" s="219"/>
      <c r="BD525" s="208"/>
      <c r="BE525" s="203"/>
      <c r="BF525" s="219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207">
        <v>522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6682</v>
      </c>
      <c r="G526" s="207" t="s">
        <v>4400</v>
      </c>
      <c r="H526" s="207" t="s">
        <v>4401</v>
      </c>
      <c r="I526" s="207" t="s">
        <v>4402</v>
      </c>
      <c r="J526" s="215" t="s">
        <v>6683</v>
      </c>
      <c r="K526" s="215" t="s">
        <v>6684</v>
      </c>
      <c r="L526" s="215" t="s">
        <v>6685</v>
      </c>
      <c r="M526" s="207" t="s">
        <v>4405</v>
      </c>
      <c r="N526" s="207" t="s">
        <v>4406</v>
      </c>
      <c r="O526" s="202">
        <v>46084</v>
      </c>
      <c r="P526" s="202" t="s">
        <v>4407</v>
      </c>
      <c r="Q526" s="202">
        <v>46083</v>
      </c>
      <c r="R526" s="203">
        <v>46084</v>
      </c>
      <c r="S526" s="203">
        <v>46087</v>
      </c>
      <c r="T526" s="203">
        <v>46090</v>
      </c>
      <c r="U526" s="202" t="s">
        <v>4408</v>
      </c>
      <c r="V526" s="202" t="s">
        <v>4408</v>
      </c>
      <c r="W526" s="202">
        <v>46101</v>
      </c>
      <c r="X526" s="202">
        <v>46101</v>
      </c>
      <c r="Y526" s="202"/>
      <c r="Z526" s="202"/>
      <c r="AA526" s="215" t="s">
        <v>6683</v>
      </c>
      <c r="AB526" s="215" t="s">
        <v>6684</v>
      </c>
      <c r="AC526" s="215" t="s">
        <v>6685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207">
        <v>523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6686</v>
      </c>
      <c r="G527" s="207" t="s">
        <v>4400</v>
      </c>
      <c r="H527" s="207" t="s">
        <v>4401</v>
      </c>
      <c r="I527" s="207" t="s">
        <v>4402</v>
      </c>
      <c r="J527" s="215" t="s">
        <v>6687</v>
      </c>
      <c r="K527" s="215" t="s">
        <v>6688</v>
      </c>
      <c r="L527" s="215" t="s">
        <v>6689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6687</v>
      </c>
      <c r="AB527" s="215" t="s">
        <v>6688</v>
      </c>
      <c r="AC527" s="215" t="s">
        <v>6689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524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6690</v>
      </c>
      <c r="G528" s="207" t="s">
        <v>4400</v>
      </c>
      <c r="H528" s="207" t="s">
        <v>4401</v>
      </c>
      <c r="I528" s="207" t="s">
        <v>4402</v>
      </c>
      <c r="J528" s="215" t="s">
        <v>6691</v>
      </c>
      <c r="K528" s="215">
        <v>30.475688000000002</v>
      </c>
      <c r="L528" s="215" t="s">
        <v>6692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46104</v>
      </c>
      <c r="Y528" s="202"/>
      <c r="Z528" s="202"/>
      <c r="AA528" s="215" t="s">
        <v>6691</v>
      </c>
      <c r="AB528" s="215">
        <v>30.475688000000002</v>
      </c>
      <c r="AC528" s="215" t="s">
        <v>6692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197">
        <v>525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6693</v>
      </c>
      <c r="G529" s="207" t="s">
        <v>4400</v>
      </c>
      <c r="H529" s="207" t="s">
        <v>4401</v>
      </c>
      <c r="I529" s="207" t="s">
        <v>4402</v>
      </c>
      <c r="J529" s="215" t="s">
        <v>6694</v>
      </c>
      <c r="K529" s="215"/>
      <c r="L529" s="215" t="s">
        <v>6695</v>
      </c>
      <c r="M529" s="207" t="s">
        <v>4405</v>
      </c>
      <c r="N529" s="207" t="s">
        <v>4406</v>
      </c>
      <c r="O529" s="202">
        <v>46176</v>
      </c>
      <c r="P529" s="202" t="s">
        <v>4407</v>
      </c>
      <c r="Q529" s="202">
        <v>46174</v>
      </c>
      <c r="R529" s="202">
        <v>46176</v>
      </c>
      <c r="S529" s="202">
        <v>46202</v>
      </c>
      <c r="T529" s="202">
        <v>46204</v>
      </c>
      <c r="U529" s="202" t="s">
        <v>4408</v>
      </c>
      <c r="V529" s="202" t="s">
        <v>4408</v>
      </c>
      <c r="W529" s="202">
        <v>46223</v>
      </c>
      <c r="X529" s="202"/>
      <c r="Y529" s="202"/>
      <c r="Z529" s="202"/>
      <c r="AA529" s="215"/>
      <c r="AB529" s="215"/>
      <c r="AC529" s="215"/>
      <c r="AD529" s="217"/>
      <c r="AE529" s="207"/>
      <c r="AF529" s="218"/>
      <c r="AG529" s="218"/>
      <c r="AH529" s="207"/>
      <c r="AI529" s="214" t="s">
        <v>4411</v>
      </c>
      <c r="AJ529" s="207"/>
      <c r="AK529" s="316"/>
      <c r="AL529" s="316"/>
      <c r="AM529" s="316"/>
      <c r="AN529" s="316"/>
      <c r="AO529" s="316"/>
      <c r="AP529" s="316"/>
      <c r="AQ529" s="314"/>
      <c r="AR529" s="315" t="str">
        <f t="shared" si="36"/>
        <v/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INDENIZAÇÃO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197">
        <v>526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6696</v>
      </c>
      <c r="G530" s="207" t="s">
        <v>4400</v>
      </c>
      <c r="H530" s="207" t="s">
        <v>4401</v>
      </c>
      <c r="I530" s="207" t="s">
        <v>4402</v>
      </c>
      <c r="J530" s="215" t="s">
        <v>6697</v>
      </c>
      <c r="K530" s="215" t="s">
        <v>6698</v>
      </c>
      <c r="L530" s="215" t="s">
        <v>6699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46101</v>
      </c>
      <c r="Y530" s="202"/>
      <c r="Z530" s="202"/>
      <c r="AA530" s="215" t="s">
        <v>6697</v>
      </c>
      <c r="AB530" s="215" t="s">
        <v>6698</v>
      </c>
      <c r="AC530" s="215" t="s">
        <v>6699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207">
        <v>527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6700</v>
      </c>
      <c r="G531" s="207" t="s">
        <v>4400</v>
      </c>
      <c r="H531" s="207" t="s">
        <v>4401</v>
      </c>
      <c r="I531" s="207" t="s">
        <v>4402</v>
      </c>
      <c r="J531" s="215" t="s">
        <v>6701</v>
      </c>
      <c r="K531" s="215" t="s">
        <v>6702</v>
      </c>
      <c r="L531" s="215" t="s">
        <v>6703</v>
      </c>
      <c r="M531" s="207" t="s">
        <v>4405</v>
      </c>
      <c r="N531" s="207" t="s">
        <v>4406</v>
      </c>
      <c r="O531" s="166">
        <v>46090</v>
      </c>
      <c r="P531" s="203" t="s">
        <v>4407</v>
      </c>
      <c r="Q531" s="202">
        <v>46090</v>
      </c>
      <c r="R531" s="202">
        <v>46099</v>
      </c>
      <c r="S531" s="202">
        <v>46101</v>
      </c>
      <c r="T531" s="202">
        <v>46118</v>
      </c>
      <c r="U531" s="202" t="s">
        <v>4408</v>
      </c>
      <c r="V531" s="202" t="s">
        <v>4408</v>
      </c>
      <c r="W531" s="202">
        <v>46118</v>
      </c>
      <c r="X531" s="202">
        <v>46149</v>
      </c>
      <c r="Y531" s="202"/>
      <c r="Z531" s="202"/>
      <c r="AA531" s="215" t="s">
        <v>6701</v>
      </c>
      <c r="AB531" s="215" t="s">
        <v>6702</v>
      </c>
      <c r="AC531" s="215" t="s">
        <v>6703</v>
      </c>
      <c r="AD531" s="217" t="s">
        <v>4402</v>
      </c>
      <c r="AE531" s="207" t="s">
        <v>4405</v>
      </c>
      <c r="AF531" s="218" t="s">
        <v>4409</v>
      </c>
      <c r="AG531" s="218" t="s">
        <v>4409</v>
      </c>
      <c r="AH531" s="207" t="s">
        <v>4410</v>
      </c>
      <c r="AI531" s="214" t="s">
        <v>4411</v>
      </c>
      <c r="AJ531" s="207"/>
      <c r="AK531" s="316">
        <v>46086</v>
      </c>
      <c r="AL531" s="316">
        <v>46086</v>
      </c>
      <c r="AM531" s="316">
        <v>46086</v>
      </c>
      <c r="AN531" s="316">
        <v>46086</v>
      </c>
      <c r="AO531" s="316">
        <v>46086</v>
      </c>
      <c r="AP531" s="316">
        <v>46086</v>
      </c>
      <c r="AQ531" s="314"/>
      <c r="AR531" s="315" t="str">
        <f t="shared" si="36"/>
        <v>FINALIZADO</v>
      </c>
      <c r="AS531" s="207"/>
      <c r="AT531" s="219"/>
      <c r="AU531" s="220"/>
      <c r="AV531" s="161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AA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207">
        <v>528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6704</v>
      </c>
      <c r="G532" s="207" t="s">
        <v>4400</v>
      </c>
      <c r="H532" s="207" t="s">
        <v>4401</v>
      </c>
      <c r="I532" s="207" t="s">
        <v>4402</v>
      </c>
      <c r="J532" s="215" t="s">
        <v>6705</v>
      </c>
      <c r="K532" s="215" t="s">
        <v>6706</v>
      </c>
      <c r="L532" s="215" t="s">
        <v>6707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6705</v>
      </c>
      <c r="AB532" s="215" t="s">
        <v>6706</v>
      </c>
      <c r="AC532" s="215" t="s">
        <v>6707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529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6708</v>
      </c>
      <c r="G533" s="207" t="s">
        <v>4400</v>
      </c>
      <c r="H533" s="207" t="s">
        <v>4401</v>
      </c>
      <c r="I533" s="207" t="s">
        <v>4402</v>
      </c>
      <c r="J533" s="215" t="s">
        <v>6709</v>
      </c>
      <c r="K533" s="215" t="s">
        <v>6710</v>
      </c>
      <c r="L533" s="215" t="s">
        <v>6711</v>
      </c>
      <c r="M533" s="207" t="s">
        <v>4405</v>
      </c>
      <c r="N533" s="207" t="s">
        <v>4406</v>
      </c>
      <c r="O533" s="202">
        <v>46126</v>
      </c>
      <c r="P533" s="202" t="s">
        <v>4407</v>
      </c>
      <c r="Q533" s="203">
        <v>46126</v>
      </c>
      <c r="R533" s="203">
        <v>46126</v>
      </c>
      <c r="S533" s="203">
        <v>46136</v>
      </c>
      <c r="T533" s="203">
        <v>46140</v>
      </c>
      <c r="U533" s="203" t="s">
        <v>4408</v>
      </c>
      <c r="V533" s="203" t="s">
        <v>4408</v>
      </c>
      <c r="W533" s="202">
        <v>46153</v>
      </c>
      <c r="X533" s="203">
        <v>46154</v>
      </c>
      <c r="Y533" s="203"/>
      <c r="Z533" s="219"/>
      <c r="AA533" s="215" t="s">
        <v>6709</v>
      </c>
      <c r="AB533" s="215" t="s">
        <v>6710</v>
      </c>
      <c r="AC533" s="215" t="s">
        <v>6711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7">
        <v>46134</v>
      </c>
      <c r="AL533" s="317">
        <v>46134</v>
      </c>
      <c r="AM533" s="317">
        <v>46134</v>
      </c>
      <c r="AN533" s="317">
        <v>46134</v>
      </c>
      <c r="AO533" s="317">
        <v>46134</v>
      </c>
      <c r="AP533" s="317">
        <v>46134</v>
      </c>
      <c r="AQ533" s="314"/>
      <c r="AR533" s="315" t="str">
        <f t="shared" si="36"/>
        <v>FINALIZADO</v>
      </c>
      <c r="AS533" s="207"/>
      <c r="AT533" s="219"/>
      <c r="AU533" s="220"/>
      <c r="AV533" s="219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hidden="1" customHeight="1">
      <c r="A534" s="197">
        <v>530</v>
      </c>
      <c r="B534" s="197" t="s">
        <v>4396</v>
      </c>
      <c r="C534" s="207" t="s">
        <v>4427</v>
      </c>
      <c r="D534" s="207">
        <v>1</v>
      </c>
      <c r="E534" s="207" t="s">
        <v>4398</v>
      </c>
      <c r="F534" s="214" t="s">
        <v>6712</v>
      </c>
      <c r="G534" s="207" t="s">
        <v>4400</v>
      </c>
      <c r="H534" s="207" t="s">
        <v>4401</v>
      </c>
      <c r="I534" s="217" t="s">
        <v>4402</v>
      </c>
      <c r="J534" s="215" t="s">
        <v>6713</v>
      </c>
      <c r="K534" s="215" t="s">
        <v>6714</v>
      </c>
      <c r="L534" s="215" t="s">
        <v>6715</v>
      </c>
      <c r="M534" s="207" t="s">
        <v>4405</v>
      </c>
      <c r="N534" s="207" t="s">
        <v>4442</v>
      </c>
      <c r="O534" s="202" t="s">
        <v>4409</v>
      </c>
      <c r="P534" s="202" t="s">
        <v>4409</v>
      </c>
      <c r="Q534" s="202" t="s">
        <v>4409</v>
      </c>
      <c r="R534" s="202" t="s">
        <v>4409</v>
      </c>
      <c r="S534" s="202" t="s">
        <v>4409</v>
      </c>
      <c r="T534" s="202" t="s">
        <v>4409</v>
      </c>
      <c r="U534" s="202" t="s">
        <v>4409</v>
      </c>
      <c r="V534" s="202" t="s">
        <v>4409</v>
      </c>
      <c r="W534" s="202" t="s">
        <v>4409</v>
      </c>
      <c r="X534" s="202" t="s">
        <v>4409</v>
      </c>
      <c r="Y534" s="202"/>
      <c r="Z534" s="202"/>
      <c r="AA534" s="215" t="s">
        <v>6713</v>
      </c>
      <c r="AB534" s="215" t="s">
        <v>6714</v>
      </c>
      <c r="AC534" s="215" t="s">
        <v>6715</v>
      </c>
      <c r="AD534" s="207" t="s">
        <v>4402</v>
      </c>
      <c r="AE534" s="219" t="s">
        <v>4405</v>
      </c>
      <c r="AF534" s="218">
        <v>61026.98</v>
      </c>
      <c r="AG534" s="218">
        <v>61026.98</v>
      </c>
      <c r="AH534" s="207" t="s">
        <v>4433</v>
      </c>
      <c r="AI534" s="214" t="s">
        <v>4411</v>
      </c>
      <c r="AJ534" s="207">
        <v>146668756</v>
      </c>
      <c r="AK534" s="316">
        <v>45980</v>
      </c>
      <c r="AL534" s="316">
        <v>45980</v>
      </c>
      <c r="AM534" s="316">
        <v>45980</v>
      </c>
      <c r="AN534" s="316">
        <v>45980</v>
      </c>
      <c r="AO534" s="316">
        <v>45980</v>
      </c>
      <c r="AP534" s="316">
        <v>45980</v>
      </c>
      <c r="AQ534" s="314"/>
      <c r="AR534" s="315" t="str">
        <f t="shared" si="36"/>
        <v>FINALIZADO</v>
      </c>
      <c r="AS534" s="207" t="s">
        <v>4423</v>
      </c>
      <c r="AT534" s="219"/>
      <c r="AU534" s="220" t="s">
        <v>6716</v>
      </c>
      <c r="AV534" s="207" t="s">
        <v>4425</v>
      </c>
      <c r="AW534" s="207" t="s">
        <v>4425</v>
      </c>
      <c r="AX534" s="207" t="s">
        <v>4425</v>
      </c>
      <c r="AY534" s="207" t="s">
        <v>4425</v>
      </c>
      <c r="AZ534" s="203">
        <v>46024</v>
      </c>
      <c r="BA534" s="219" t="s">
        <v>4425</v>
      </c>
      <c r="BB534" s="207" t="s">
        <v>4425</v>
      </c>
      <c r="BC534" s="208">
        <v>46038</v>
      </c>
      <c r="BD534" s="226">
        <v>46038</v>
      </c>
      <c r="BE534" s="227" t="s">
        <v>4435</v>
      </c>
      <c r="BF534" s="228" t="s">
        <v>4436</v>
      </c>
      <c r="BG534" s="229" t="s">
        <v>4425</v>
      </c>
      <c r="BH534" s="321">
        <f t="shared" si="37"/>
        <v>58</v>
      </c>
      <c r="BI534" s="98" t="str">
        <f t="shared" si="38"/>
        <v>INDENIZAÇÃO</v>
      </c>
      <c r="BJ534" s="98" t="str">
        <f t="shared" si="39"/>
        <v>NÃO</v>
      </c>
      <c r="BK534" s="230" t="s">
        <v>4437</v>
      </c>
      <c r="BL534" s="230" t="s">
        <v>4437</v>
      </c>
      <c r="BM534" s="230" t="s">
        <v>4437</v>
      </c>
      <c r="BN534" s="265" t="s">
        <v>5732</v>
      </c>
      <c r="BO534" s="265"/>
      <c r="BP534" s="265"/>
      <c r="BQ534" s="265"/>
      <c r="BR534" s="23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1"/>
      <c r="CC534" s="161"/>
      <c r="CD534" s="161"/>
      <c r="CE534" s="161"/>
      <c r="CF534" s="161"/>
      <c r="CG534" s="161"/>
      <c r="CH534" s="161"/>
      <c r="CI534" s="161"/>
      <c r="CJ534" s="161"/>
      <c r="CK534" s="161"/>
      <c r="CL534" s="161"/>
      <c r="CM534" s="161"/>
      <c r="CN534" s="161"/>
      <c r="CO534" s="161"/>
      <c r="CP534" s="161"/>
      <c r="CQ534" s="161"/>
      <c r="CR534" s="161"/>
      <c r="CS534" s="161"/>
      <c r="CT534" s="161"/>
      <c r="CU534" s="161"/>
      <c r="CV534" s="161"/>
      <c r="CW534" s="161"/>
      <c r="CX534" s="161"/>
      <c r="CY534" s="161"/>
      <c r="CZ534" s="161"/>
      <c r="DA534" s="161"/>
      <c r="DB534" s="161"/>
      <c r="DC534" s="161"/>
      <c r="DD534" s="161"/>
      <c r="DE534" s="161"/>
      <c r="DF534" s="161"/>
      <c r="DG534" s="161"/>
      <c r="DH534" s="161"/>
    </row>
    <row r="535" spans="1:112" s="240" customFormat="1" ht="27" customHeight="1">
      <c r="A535" s="197">
        <v>531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6712</v>
      </c>
      <c r="G535" s="207" t="s">
        <v>4400</v>
      </c>
      <c r="H535" s="207" t="s">
        <v>4401</v>
      </c>
      <c r="I535" s="207" t="s">
        <v>4402</v>
      </c>
      <c r="J535" s="215" t="s">
        <v>6717</v>
      </c>
      <c r="K535" s="215" t="s">
        <v>6718</v>
      </c>
      <c r="L535" s="215" t="s">
        <v>6719</v>
      </c>
      <c r="M535" s="207" t="s">
        <v>4405</v>
      </c>
      <c r="N535" s="207" t="s">
        <v>4406</v>
      </c>
      <c r="O535" s="203">
        <v>46090</v>
      </c>
      <c r="P535" s="203" t="s">
        <v>4407</v>
      </c>
      <c r="Q535" s="202">
        <v>46090</v>
      </c>
      <c r="R535" s="202">
        <v>46099</v>
      </c>
      <c r="S535" s="202">
        <v>46101</v>
      </c>
      <c r="T535" s="202">
        <v>46118</v>
      </c>
      <c r="U535" s="202" t="s">
        <v>4408</v>
      </c>
      <c r="V535" s="202" t="s">
        <v>4408</v>
      </c>
      <c r="W535" s="202">
        <v>46118</v>
      </c>
      <c r="X535" s="202">
        <v>46118</v>
      </c>
      <c r="Y535" s="202"/>
      <c r="Z535" s="202"/>
      <c r="AA535" s="215" t="s">
        <v>6717</v>
      </c>
      <c r="AB535" s="215" t="s">
        <v>6718</v>
      </c>
      <c r="AC535" s="215" t="s">
        <v>6719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6">
        <v>46086</v>
      </c>
      <c r="AL535" s="316">
        <v>46086</v>
      </c>
      <c r="AM535" s="316">
        <v>46086</v>
      </c>
      <c r="AN535" s="316">
        <v>46086</v>
      </c>
      <c r="AO535" s="316">
        <v>46086</v>
      </c>
      <c r="AP535" s="316">
        <v>46086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>
      <c r="A536" s="207">
        <v>532</v>
      </c>
      <c r="B536" s="197" t="s">
        <v>4396</v>
      </c>
      <c r="C536" s="207" t="s">
        <v>4427</v>
      </c>
      <c r="D536" s="207">
        <v>1</v>
      </c>
      <c r="E536" s="207" t="s">
        <v>4398</v>
      </c>
      <c r="F536" s="214" t="s">
        <v>6720</v>
      </c>
      <c r="G536" s="207" t="s">
        <v>4400</v>
      </c>
      <c r="H536" s="207" t="s">
        <v>4401</v>
      </c>
      <c r="I536" s="217" t="s">
        <v>4402</v>
      </c>
      <c r="J536" s="215" t="s">
        <v>6721</v>
      </c>
      <c r="K536" s="215" t="s">
        <v>6722</v>
      </c>
      <c r="L536" s="215" t="s">
        <v>6723</v>
      </c>
      <c r="M536" s="207" t="s">
        <v>4405</v>
      </c>
      <c r="N536" s="207" t="s">
        <v>4406</v>
      </c>
      <c r="O536" s="202">
        <v>46002</v>
      </c>
      <c r="P536" s="202" t="s">
        <v>4407</v>
      </c>
      <c r="Q536" s="202">
        <v>45999</v>
      </c>
      <c r="R536" s="202">
        <v>46006</v>
      </c>
      <c r="S536" s="202">
        <v>46006</v>
      </c>
      <c r="T536" s="202">
        <v>46009</v>
      </c>
      <c r="U536" s="202" t="s">
        <v>4408</v>
      </c>
      <c r="V536" s="202" t="s">
        <v>4408</v>
      </c>
      <c r="W536" s="202">
        <v>46014</v>
      </c>
      <c r="X536" s="202">
        <v>46017</v>
      </c>
      <c r="Y536" s="203"/>
      <c r="Z536" s="219"/>
      <c r="AA536" s="215" t="s">
        <v>6721</v>
      </c>
      <c r="AB536" s="215" t="s">
        <v>6722</v>
      </c>
      <c r="AC536" s="215" t="s">
        <v>6723</v>
      </c>
      <c r="AD536" s="217" t="s">
        <v>4402</v>
      </c>
      <c r="AE536" s="207" t="s">
        <v>4405</v>
      </c>
      <c r="AF536" s="218" t="s">
        <v>4409</v>
      </c>
      <c r="AG536" s="218" t="s">
        <v>4409</v>
      </c>
      <c r="AH536" s="207" t="s">
        <v>4410</v>
      </c>
      <c r="AI536" s="214" t="s">
        <v>4411</v>
      </c>
      <c r="AJ536" s="207"/>
      <c r="AK536" s="316">
        <v>45996</v>
      </c>
      <c r="AL536" s="316">
        <v>45996</v>
      </c>
      <c r="AM536" s="316">
        <v>45996</v>
      </c>
      <c r="AN536" s="316">
        <v>45996</v>
      </c>
      <c r="AO536" s="316">
        <v>45996</v>
      </c>
      <c r="AP536" s="316">
        <v>45996</v>
      </c>
      <c r="AQ536" s="314"/>
      <c r="AR536" s="315" t="str">
        <f t="shared" si="36"/>
        <v>FINALIZADO</v>
      </c>
      <c r="AS536" s="207"/>
      <c r="AT536" s="219"/>
      <c r="AU536" s="220"/>
      <c r="AV536" s="219"/>
      <c r="AW536" s="219"/>
      <c r="AX536" s="219"/>
      <c r="AY536" s="219"/>
      <c r="AZ536" s="219"/>
      <c r="BA536" s="219"/>
      <c r="BB536" s="219"/>
      <c r="BC536" s="219"/>
      <c r="BD536" s="208"/>
      <c r="BE536" s="202"/>
      <c r="BF536" s="207"/>
      <c r="BG536" s="229"/>
      <c r="BH536" s="321" t="str">
        <f t="shared" si="37"/>
        <v/>
      </c>
      <c r="BI536" s="98" t="str">
        <f t="shared" si="38"/>
        <v>AA</v>
      </c>
      <c r="BJ536" s="98" t="str">
        <f t="shared" si="39"/>
        <v>NÃO</v>
      </c>
      <c r="BK536" s="230"/>
      <c r="BL536" s="230"/>
      <c r="BM536" s="230"/>
      <c r="BN536" s="230"/>
      <c r="BO536" s="230"/>
      <c r="BP536" s="230"/>
      <c r="BQ536" s="230"/>
      <c r="BR536" s="234"/>
    </row>
    <row r="537" spans="1:112" s="240" customFormat="1" ht="27" customHeight="1">
      <c r="A537" s="207">
        <v>533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6720</v>
      </c>
      <c r="G537" s="207" t="s">
        <v>4400</v>
      </c>
      <c r="H537" s="207" t="s">
        <v>4401</v>
      </c>
      <c r="I537" s="207" t="s">
        <v>4402</v>
      </c>
      <c r="J537" s="215" t="s">
        <v>4632</v>
      </c>
      <c r="K537" s="215" t="s">
        <v>4398</v>
      </c>
      <c r="L537" s="215" t="s">
        <v>4633</v>
      </c>
      <c r="M537" s="207" t="s">
        <v>4405</v>
      </c>
      <c r="N537" s="207" t="s">
        <v>4406</v>
      </c>
      <c r="O537" s="202">
        <v>46084</v>
      </c>
      <c r="P537" s="202" t="s">
        <v>4407</v>
      </c>
      <c r="Q537" s="202">
        <v>46083</v>
      </c>
      <c r="R537" s="203">
        <v>46084</v>
      </c>
      <c r="S537" s="203">
        <v>46087</v>
      </c>
      <c r="T537" s="203">
        <v>46090</v>
      </c>
      <c r="U537" s="202" t="s">
        <v>4408</v>
      </c>
      <c r="V537" s="202" t="s">
        <v>4408</v>
      </c>
      <c r="W537" s="202">
        <v>46101</v>
      </c>
      <c r="X537" s="202">
        <v>46101</v>
      </c>
      <c r="Y537" s="202"/>
      <c r="Z537" s="202"/>
      <c r="AA537" s="215" t="s">
        <v>4632</v>
      </c>
      <c r="AB537" s="215" t="s">
        <v>4398</v>
      </c>
      <c r="AC537" s="215" t="s">
        <v>4633</v>
      </c>
      <c r="AD537" s="233" t="s">
        <v>4402</v>
      </c>
      <c r="AE537" s="219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customHeight="1">
      <c r="A538" s="207">
        <v>534</v>
      </c>
      <c r="B538" s="197" t="s">
        <v>4396</v>
      </c>
      <c r="C538" s="207" t="s">
        <v>4413</v>
      </c>
      <c r="D538" s="207">
        <v>1</v>
      </c>
      <c r="E538" s="207" t="s">
        <v>4398</v>
      </c>
      <c r="F538" s="214" t="s">
        <v>6724</v>
      </c>
      <c r="G538" s="207" t="s">
        <v>4400</v>
      </c>
      <c r="H538" s="207" t="s">
        <v>4401</v>
      </c>
      <c r="I538" s="207" t="s">
        <v>4536</v>
      </c>
      <c r="J538" s="215" t="s">
        <v>6725</v>
      </c>
      <c r="K538" s="215" t="s">
        <v>6726</v>
      </c>
      <c r="L538" s="215" t="s">
        <v>6727</v>
      </c>
      <c r="M538" s="207" t="s">
        <v>4405</v>
      </c>
      <c r="N538" s="207" t="s">
        <v>4406</v>
      </c>
      <c r="O538" s="203">
        <v>46090</v>
      </c>
      <c r="P538" s="203" t="s">
        <v>4407</v>
      </c>
      <c r="Q538" s="202">
        <v>46090</v>
      </c>
      <c r="R538" s="202">
        <v>46099</v>
      </c>
      <c r="S538" s="202">
        <v>46101</v>
      </c>
      <c r="T538" s="202">
        <v>46118</v>
      </c>
      <c r="U538" s="202" t="s">
        <v>4408</v>
      </c>
      <c r="V538" s="202" t="s">
        <v>4408</v>
      </c>
      <c r="W538" s="202">
        <v>46118</v>
      </c>
      <c r="X538" s="202">
        <v>46118</v>
      </c>
      <c r="Y538" s="202"/>
      <c r="Z538" s="202"/>
      <c r="AA538" s="215" t="s">
        <v>6725</v>
      </c>
      <c r="AB538" s="215" t="s">
        <v>6726</v>
      </c>
      <c r="AC538" s="215" t="s">
        <v>6727</v>
      </c>
      <c r="AD538" s="233" t="s">
        <v>4402</v>
      </c>
      <c r="AE538" s="219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46086</v>
      </c>
      <c r="AL538" s="316">
        <v>46086</v>
      </c>
      <c r="AM538" s="316">
        <v>46086</v>
      </c>
      <c r="AN538" s="316">
        <v>46086</v>
      </c>
      <c r="AO538" s="316">
        <v>46086</v>
      </c>
      <c r="AP538" s="316">
        <v>46086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3"/>
      <c r="BF538" s="219"/>
      <c r="BG538" s="21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19"/>
      <c r="BL538" s="221"/>
      <c r="BM538" s="221"/>
      <c r="BN538" s="219"/>
      <c r="BO538" s="219"/>
      <c r="BP538" s="219"/>
      <c r="BQ538" s="219"/>
      <c r="BR538" s="222"/>
    </row>
    <row r="539" spans="1:112" s="240" customFormat="1" ht="27" hidden="1" customHeight="1">
      <c r="A539" s="197">
        <v>535</v>
      </c>
      <c r="B539" s="197" t="s">
        <v>4396</v>
      </c>
      <c r="C539" s="207" t="s">
        <v>4427</v>
      </c>
      <c r="D539" s="207">
        <v>1</v>
      </c>
      <c r="E539" s="207" t="s">
        <v>4398</v>
      </c>
      <c r="F539" s="214" t="s">
        <v>6728</v>
      </c>
      <c r="G539" s="207" t="s">
        <v>4400</v>
      </c>
      <c r="H539" s="207" t="s">
        <v>4401</v>
      </c>
      <c r="I539" s="217" t="s">
        <v>4402</v>
      </c>
      <c r="J539" s="215" t="s">
        <v>6729</v>
      </c>
      <c r="K539" s="215" t="s">
        <v>4440</v>
      </c>
      <c r="L539" s="215" t="s">
        <v>6730</v>
      </c>
      <c r="M539" s="207" t="s">
        <v>4405</v>
      </c>
      <c r="N539" s="207" t="s">
        <v>4406</v>
      </c>
      <c r="O539" s="202">
        <v>46106</v>
      </c>
      <c r="P539" s="202" t="s">
        <v>4407</v>
      </c>
      <c r="Q539" s="202">
        <v>46106</v>
      </c>
      <c r="R539" s="202">
        <v>46107</v>
      </c>
      <c r="S539" s="202">
        <v>46111</v>
      </c>
      <c r="T539" s="202">
        <v>46087</v>
      </c>
      <c r="U539" s="202" t="s">
        <v>4408</v>
      </c>
      <c r="V539" s="202" t="s">
        <v>4408</v>
      </c>
      <c r="W539" s="202">
        <v>46132</v>
      </c>
      <c r="X539" s="203">
        <v>46135</v>
      </c>
      <c r="Y539" s="203"/>
      <c r="Z539" s="219"/>
      <c r="AA539" s="215" t="s">
        <v>6729</v>
      </c>
      <c r="AB539" s="215" t="s">
        <v>4440</v>
      </c>
      <c r="AC539" s="215" t="s">
        <v>6730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46001</v>
      </c>
      <c r="AL539" s="316">
        <v>46001</v>
      </c>
      <c r="AM539" s="316">
        <v>46001</v>
      </c>
      <c r="AN539" s="316">
        <v>46001</v>
      </c>
      <c r="AO539" s="316">
        <v>46001</v>
      </c>
      <c r="AP539" s="316">
        <v>46001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197">
        <v>536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6728</v>
      </c>
      <c r="G540" s="207" t="s">
        <v>4400</v>
      </c>
      <c r="H540" s="207" t="s">
        <v>4401</v>
      </c>
      <c r="I540" s="207" t="s">
        <v>4402</v>
      </c>
      <c r="J540" s="215" t="s">
        <v>6731</v>
      </c>
      <c r="K540" s="215" t="s">
        <v>6732</v>
      </c>
      <c r="L540" s="215" t="s">
        <v>6733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6731</v>
      </c>
      <c r="AB540" s="215" t="s">
        <v>6732</v>
      </c>
      <c r="AC540" s="215" t="s">
        <v>6733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161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  <c r="BS540" s="161"/>
      <c r="BT540" s="161"/>
      <c r="BU540" s="161"/>
      <c r="BV540" s="161"/>
      <c r="BW540" s="161"/>
      <c r="BX540" s="161"/>
      <c r="BY540" s="161"/>
      <c r="BZ540" s="161"/>
      <c r="CA540" s="161"/>
      <c r="CB540" s="161"/>
      <c r="CC540" s="161"/>
      <c r="CD540" s="161"/>
      <c r="CE540" s="161"/>
      <c r="CF540" s="161"/>
      <c r="CG540" s="161"/>
      <c r="CH540" s="161"/>
      <c r="CI540" s="161"/>
      <c r="CJ540" s="161"/>
      <c r="CK540" s="161"/>
      <c r="CL540" s="161"/>
      <c r="CM540" s="161"/>
      <c r="CN540" s="161"/>
      <c r="CO540" s="161"/>
      <c r="CP540" s="161"/>
      <c r="CQ540" s="161"/>
      <c r="CR540" s="161"/>
      <c r="CS540" s="161"/>
      <c r="CT540" s="161"/>
      <c r="CU540" s="161"/>
      <c r="CV540" s="161"/>
      <c r="CW540" s="161"/>
      <c r="CX540" s="161"/>
      <c r="CY540" s="161"/>
      <c r="CZ540" s="161"/>
      <c r="DA540" s="161"/>
      <c r="DB540" s="161"/>
      <c r="DC540" s="161"/>
      <c r="DD540" s="161"/>
      <c r="DE540" s="161"/>
      <c r="DF540" s="161"/>
      <c r="DG540" s="161"/>
      <c r="DH540" s="161"/>
    </row>
    <row r="541" spans="1:112" s="240" customFormat="1" ht="27" hidden="1" customHeight="1">
      <c r="A541" s="207">
        <v>537</v>
      </c>
      <c r="B541" s="197" t="s">
        <v>4396</v>
      </c>
      <c r="C541" s="207" t="s">
        <v>4427</v>
      </c>
      <c r="D541" s="207">
        <v>1</v>
      </c>
      <c r="E541" s="207" t="s">
        <v>4398</v>
      </c>
      <c r="F541" s="214" t="s">
        <v>6734</v>
      </c>
      <c r="G541" s="207" t="s">
        <v>4400</v>
      </c>
      <c r="H541" s="207" t="s">
        <v>4401</v>
      </c>
      <c r="I541" s="217" t="s">
        <v>4402</v>
      </c>
      <c r="J541" s="215" t="s">
        <v>6735</v>
      </c>
      <c r="K541" s="215" t="s">
        <v>6736</v>
      </c>
      <c r="L541" s="215" t="s">
        <v>6737</v>
      </c>
      <c r="M541" s="207" t="s">
        <v>4405</v>
      </c>
      <c r="N541" s="207" t="s">
        <v>4442</v>
      </c>
      <c r="O541" s="202" t="s">
        <v>4409</v>
      </c>
      <c r="P541" s="202" t="s">
        <v>4409</v>
      </c>
      <c r="Q541" s="202" t="s">
        <v>4409</v>
      </c>
      <c r="R541" s="202" t="s">
        <v>4409</v>
      </c>
      <c r="S541" s="202" t="s">
        <v>4409</v>
      </c>
      <c r="T541" s="202" t="s">
        <v>4409</v>
      </c>
      <c r="U541" s="202" t="s">
        <v>4409</v>
      </c>
      <c r="V541" s="202" t="s">
        <v>4409</v>
      </c>
      <c r="W541" s="202" t="s">
        <v>4409</v>
      </c>
      <c r="X541" s="202" t="s">
        <v>4409</v>
      </c>
      <c r="Y541" s="202"/>
      <c r="Z541" s="202"/>
      <c r="AA541" s="215" t="s">
        <v>6735</v>
      </c>
      <c r="AB541" s="215" t="s">
        <v>6736</v>
      </c>
      <c r="AC541" s="215" t="s">
        <v>6737</v>
      </c>
      <c r="AD541" s="207" t="s">
        <v>4402</v>
      </c>
      <c r="AE541" s="219" t="s">
        <v>4405</v>
      </c>
      <c r="AF541" s="218">
        <v>22110.02</v>
      </c>
      <c r="AG541" s="218">
        <f>AF541+30000</f>
        <v>52110.020000000004</v>
      </c>
      <c r="AH541" s="207" t="s">
        <v>4433</v>
      </c>
      <c r="AI541" s="214" t="s">
        <v>4411</v>
      </c>
      <c r="AJ541" s="207">
        <v>148266193</v>
      </c>
      <c r="AK541" s="316">
        <v>46045</v>
      </c>
      <c r="AL541" s="316">
        <v>46045</v>
      </c>
      <c r="AM541" s="316">
        <v>46045</v>
      </c>
      <c r="AN541" s="316">
        <v>46045</v>
      </c>
      <c r="AO541" s="316">
        <v>46045</v>
      </c>
      <c r="AP541" s="316">
        <v>46045</v>
      </c>
      <c r="AQ541" s="314"/>
      <c r="AR541" s="315" t="str">
        <f t="shared" si="36"/>
        <v>FINALIZADO</v>
      </c>
      <c r="AS541" s="207" t="s">
        <v>4423</v>
      </c>
      <c r="AT541" s="219"/>
      <c r="AU541" s="220" t="s">
        <v>6738</v>
      </c>
      <c r="AV541" s="207" t="s">
        <v>4425</v>
      </c>
      <c r="AW541" s="207" t="s">
        <v>4425</v>
      </c>
      <c r="AX541" s="207" t="s">
        <v>4425</v>
      </c>
      <c r="AY541" s="207" t="s">
        <v>4425</v>
      </c>
      <c r="AZ541" s="202">
        <v>46118</v>
      </c>
      <c r="BA541" s="207" t="s">
        <v>4425</v>
      </c>
      <c r="BB541" s="207" t="s">
        <v>4425</v>
      </c>
      <c r="BC541" s="202">
        <v>46126</v>
      </c>
      <c r="BD541" s="227">
        <v>46126</v>
      </c>
      <c r="BE541" s="227" t="s">
        <v>4435</v>
      </c>
      <c r="BF541" s="245" t="s">
        <v>4436</v>
      </c>
      <c r="BG541" s="229" t="s">
        <v>4425</v>
      </c>
      <c r="BH541" s="321">
        <f t="shared" si="37"/>
        <v>81</v>
      </c>
      <c r="BI541" s="98" t="str">
        <f t="shared" si="38"/>
        <v>INDENIZAÇÃO</v>
      </c>
      <c r="BJ541" s="98" t="str">
        <f t="shared" si="39"/>
        <v>NÃO</v>
      </c>
      <c r="BK541" s="219" t="s">
        <v>4437</v>
      </c>
      <c r="BL541" s="219" t="s">
        <v>4437</v>
      </c>
      <c r="BM541" s="219" t="s">
        <v>4437</v>
      </c>
      <c r="BN541" s="257" t="s">
        <v>5732</v>
      </c>
      <c r="BO541" s="257"/>
      <c r="BP541" s="257"/>
      <c r="BQ541" s="257"/>
      <c r="BR541" s="258"/>
      <c r="BS541" s="223"/>
      <c r="BT541" s="223"/>
    </row>
    <row r="542" spans="1:112" s="240" customFormat="1" ht="27" customHeight="1">
      <c r="A542" s="207">
        <v>538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6734</v>
      </c>
      <c r="G542" s="207" t="s">
        <v>4400</v>
      </c>
      <c r="H542" s="207" t="s">
        <v>4401</v>
      </c>
      <c r="I542" s="207" t="s">
        <v>4402</v>
      </c>
      <c r="J542" s="215" t="s">
        <v>6739</v>
      </c>
      <c r="K542" s="215" t="s">
        <v>6740</v>
      </c>
      <c r="L542" s="215" t="s">
        <v>6741</v>
      </c>
      <c r="M542" s="207" t="s">
        <v>4405</v>
      </c>
      <c r="N542" s="207" t="s">
        <v>4406</v>
      </c>
      <c r="O542" s="202">
        <v>46084</v>
      </c>
      <c r="P542" s="202" t="s">
        <v>4407</v>
      </c>
      <c r="Q542" s="202">
        <v>46083</v>
      </c>
      <c r="R542" s="203">
        <v>46084</v>
      </c>
      <c r="S542" s="203">
        <v>46087</v>
      </c>
      <c r="T542" s="203">
        <v>46090</v>
      </c>
      <c r="U542" s="202" t="s">
        <v>4408</v>
      </c>
      <c r="V542" s="202" t="s">
        <v>4408</v>
      </c>
      <c r="W542" s="202">
        <v>46101</v>
      </c>
      <c r="X542" s="202">
        <v>46101</v>
      </c>
      <c r="Y542" s="202"/>
      <c r="Z542" s="202"/>
      <c r="AA542" s="215" t="s">
        <v>6739</v>
      </c>
      <c r="AB542" s="215" t="s">
        <v>6740</v>
      </c>
      <c r="AC542" s="215" t="s">
        <v>6741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219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</row>
    <row r="543" spans="1:112" s="240" customFormat="1" ht="27" customHeight="1">
      <c r="A543" s="207">
        <v>539</v>
      </c>
      <c r="B543" s="197" t="s">
        <v>4396</v>
      </c>
      <c r="C543" s="207" t="s">
        <v>4413</v>
      </c>
      <c r="D543" s="207">
        <v>1</v>
      </c>
      <c r="E543" s="207" t="s">
        <v>4398</v>
      </c>
      <c r="F543" s="214" t="s">
        <v>6742</v>
      </c>
      <c r="G543" s="207" t="s">
        <v>4400</v>
      </c>
      <c r="H543" s="207" t="s">
        <v>4401</v>
      </c>
      <c r="I543" s="207" t="s">
        <v>4402</v>
      </c>
      <c r="J543" s="215" t="s">
        <v>6743</v>
      </c>
      <c r="K543" s="215" t="s">
        <v>6744</v>
      </c>
      <c r="L543" s="215" t="s">
        <v>6745</v>
      </c>
      <c r="M543" s="207" t="s">
        <v>4405</v>
      </c>
      <c r="N543" s="207" t="s">
        <v>4406</v>
      </c>
      <c r="O543" s="203">
        <v>46090</v>
      </c>
      <c r="P543" s="203" t="s">
        <v>4407</v>
      </c>
      <c r="Q543" s="202">
        <v>46090</v>
      </c>
      <c r="R543" s="202">
        <v>46099</v>
      </c>
      <c r="S543" s="202">
        <v>46101</v>
      </c>
      <c r="T543" s="202">
        <v>46118</v>
      </c>
      <c r="U543" s="202" t="s">
        <v>4408</v>
      </c>
      <c r="V543" s="202" t="s">
        <v>4408</v>
      </c>
      <c r="W543" s="202">
        <v>46118</v>
      </c>
      <c r="X543" s="202">
        <v>46119</v>
      </c>
      <c r="Y543" s="202"/>
      <c r="Z543" s="202"/>
      <c r="AA543" s="215" t="s">
        <v>6743</v>
      </c>
      <c r="AB543" s="215" t="s">
        <v>6744</v>
      </c>
      <c r="AC543" s="215" t="s">
        <v>6745</v>
      </c>
      <c r="AD543" s="233" t="s">
        <v>4402</v>
      </c>
      <c r="AE543" s="219" t="s">
        <v>4405</v>
      </c>
      <c r="AF543" s="218" t="s">
        <v>4409</v>
      </c>
      <c r="AG543" s="218" t="s">
        <v>4409</v>
      </c>
      <c r="AH543" s="207" t="s">
        <v>4410</v>
      </c>
      <c r="AI543" s="214" t="s">
        <v>4411</v>
      </c>
      <c r="AJ543" s="207"/>
      <c r="AK543" s="316">
        <v>46086</v>
      </c>
      <c r="AL543" s="316">
        <v>46086</v>
      </c>
      <c r="AM543" s="316">
        <v>46086</v>
      </c>
      <c r="AN543" s="316">
        <v>46086</v>
      </c>
      <c r="AO543" s="316">
        <v>46086</v>
      </c>
      <c r="AP543" s="316">
        <v>46086</v>
      </c>
      <c r="AQ543" s="314"/>
      <c r="AR543" s="315" t="str">
        <f t="shared" si="36"/>
        <v>FINALIZADO</v>
      </c>
      <c r="AS543" s="207"/>
      <c r="AT543" s="219"/>
      <c r="AU543" s="220"/>
      <c r="AV543" s="219"/>
      <c r="AW543" s="219"/>
      <c r="AX543" s="219"/>
      <c r="AY543" s="219"/>
      <c r="AZ543" s="219"/>
      <c r="BA543" s="219"/>
      <c r="BB543" s="219"/>
      <c r="BC543" s="219"/>
      <c r="BD543" s="208"/>
      <c r="BE543" s="203"/>
      <c r="BF543" s="219"/>
      <c r="BG543" s="219"/>
      <c r="BH543" s="321" t="str">
        <f t="shared" si="37"/>
        <v/>
      </c>
      <c r="BI543" s="98" t="str">
        <f t="shared" si="38"/>
        <v>AA</v>
      </c>
      <c r="BJ543" s="98" t="str">
        <f t="shared" si="39"/>
        <v>NÃO</v>
      </c>
      <c r="BK543" s="219"/>
      <c r="BL543" s="221"/>
      <c r="BM543" s="221"/>
      <c r="BN543" s="219"/>
      <c r="BO543" s="219"/>
      <c r="BP543" s="219"/>
      <c r="BQ543" s="219"/>
      <c r="BR543" s="222"/>
    </row>
    <row r="544" spans="1:112" s="240" customFormat="1" ht="27" hidden="1" customHeight="1">
      <c r="A544" s="197">
        <v>540</v>
      </c>
      <c r="B544" s="197" t="s">
        <v>4396</v>
      </c>
      <c r="C544" s="207" t="s">
        <v>4427</v>
      </c>
      <c r="D544" s="207">
        <v>1</v>
      </c>
      <c r="E544" s="207" t="s">
        <v>4398</v>
      </c>
      <c r="F544" s="214" t="s">
        <v>6746</v>
      </c>
      <c r="G544" s="207" t="s">
        <v>4400</v>
      </c>
      <c r="H544" s="207" t="s">
        <v>4401</v>
      </c>
      <c r="I544" s="207" t="s">
        <v>4402</v>
      </c>
      <c r="J544" s="215" t="s">
        <v>6747</v>
      </c>
      <c r="K544" s="215" t="s">
        <v>6748</v>
      </c>
      <c r="L544" s="215" t="s">
        <v>6749</v>
      </c>
      <c r="M544" s="207" t="s">
        <v>4405</v>
      </c>
      <c r="N544" s="207" t="s">
        <v>4406</v>
      </c>
      <c r="O544" s="202">
        <v>46126</v>
      </c>
      <c r="P544" s="202" t="s">
        <v>4407</v>
      </c>
      <c r="Q544" s="203">
        <v>46126</v>
      </c>
      <c r="R544" s="203">
        <v>46126</v>
      </c>
      <c r="S544" s="203">
        <v>46136</v>
      </c>
      <c r="T544" s="203">
        <v>46140</v>
      </c>
      <c r="U544" s="203" t="s">
        <v>4408</v>
      </c>
      <c r="V544" s="203" t="s">
        <v>4408</v>
      </c>
      <c r="W544" s="202">
        <v>46153</v>
      </c>
      <c r="X544" s="202">
        <v>46163</v>
      </c>
      <c r="Y544" s="202"/>
      <c r="Z544" s="202"/>
      <c r="AA544" s="215" t="s">
        <v>6747</v>
      </c>
      <c r="AB544" s="215" t="s">
        <v>6748</v>
      </c>
      <c r="AC544" s="215" t="s">
        <v>6749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/>
      <c r="AL544" s="316"/>
      <c r="AM544" s="316"/>
      <c r="AN544" s="316"/>
      <c r="AO544" s="316"/>
      <c r="AP544" s="316"/>
      <c r="AQ544" s="314"/>
      <c r="AR544" s="315" t="str">
        <f t="shared" si="36"/>
        <v/>
      </c>
      <c r="AS544" s="160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197">
        <v>541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6746</v>
      </c>
      <c r="G545" s="207" t="s">
        <v>4400</v>
      </c>
      <c r="H545" s="207" t="s">
        <v>4401</v>
      </c>
      <c r="I545" s="207" t="s">
        <v>4402</v>
      </c>
      <c r="J545" s="215" t="s">
        <v>6750</v>
      </c>
      <c r="K545" s="215" t="s">
        <v>6751</v>
      </c>
      <c r="L545" s="215" t="s">
        <v>6752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46118</v>
      </c>
      <c r="Y545" s="202"/>
      <c r="Z545" s="202"/>
      <c r="AA545" s="215" t="s">
        <v>6750</v>
      </c>
      <c r="AB545" s="215" t="s">
        <v>6751</v>
      </c>
      <c r="AC545" s="215" t="s">
        <v>6752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160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>
      <c r="A546" s="207">
        <v>542</v>
      </c>
      <c r="B546" s="197" t="s">
        <v>4396</v>
      </c>
      <c r="C546" s="207" t="s">
        <v>4427</v>
      </c>
      <c r="D546" s="207">
        <v>1</v>
      </c>
      <c r="E546" s="207" t="s">
        <v>4398</v>
      </c>
      <c r="F546" s="214" t="s">
        <v>6753</v>
      </c>
      <c r="G546" s="207" t="s">
        <v>4400</v>
      </c>
      <c r="H546" s="207" t="s">
        <v>4401</v>
      </c>
      <c r="I546" s="217" t="s">
        <v>4402</v>
      </c>
      <c r="J546" s="215" t="s">
        <v>6754</v>
      </c>
      <c r="K546" s="215" t="s">
        <v>6755</v>
      </c>
      <c r="L546" s="215" t="s">
        <v>6756</v>
      </c>
      <c r="M546" s="219" t="s">
        <v>4405</v>
      </c>
      <c r="N546" s="207" t="s">
        <v>4406</v>
      </c>
      <c r="O546" s="203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46155</v>
      </c>
      <c r="Y546" s="202"/>
      <c r="Z546" s="202"/>
      <c r="AA546" s="215" t="s">
        <v>6754</v>
      </c>
      <c r="AB546" s="215" t="s">
        <v>6755</v>
      </c>
      <c r="AC546" s="215" t="s">
        <v>6756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207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207">
        <v>543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6753</v>
      </c>
      <c r="G547" s="207" t="s">
        <v>4400</v>
      </c>
      <c r="H547" s="207" t="s">
        <v>4401</v>
      </c>
      <c r="I547" s="207" t="s">
        <v>4402</v>
      </c>
      <c r="J547" s="215" t="s">
        <v>6757</v>
      </c>
      <c r="K547" s="215" t="s">
        <v>6758</v>
      </c>
      <c r="L547" s="215" t="s">
        <v>6759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6757</v>
      </c>
      <c r="AB547" s="215" t="s">
        <v>6758</v>
      </c>
      <c r="AC547" s="215" t="s">
        <v>6759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207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>
      <c r="A548" s="207">
        <v>544</v>
      </c>
      <c r="B548" s="197" t="s">
        <v>4396</v>
      </c>
      <c r="C548" s="207" t="s">
        <v>4427</v>
      </c>
      <c r="D548" s="207">
        <v>1</v>
      </c>
      <c r="E548" s="207" t="s">
        <v>4398</v>
      </c>
      <c r="F548" s="214" t="s">
        <v>6760</v>
      </c>
      <c r="G548" s="207" t="s">
        <v>4400</v>
      </c>
      <c r="H548" s="207" t="s">
        <v>4401</v>
      </c>
      <c r="I548" s="207" t="s">
        <v>4402</v>
      </c>
      <c r="J548" s="215" t="s">
        <v>6761</v>
      </c>
      <c r="K548" s="215" t="s">
        <v>6762</v>
      </c>
      <c r="L548" s="215" t="s">
        <v>6763</v>
      </c>
      <c r="M548" s="207" t="s">
        <v>4405</v>
      </c>
      <c r="N548" s="207" t="s">
        <v>4406</v>
      </c>
      <c r="O548" s="202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46154</v>
      </c>
      <c r="Y548" s="202"/>
      <c r="Z548" s="202"/>
      <c r="AA548" s="215" t="s">
        <v>6761</v>
      </c>
      <c r="AB548" s="215" t="s">
        <v>6762</v>
      </c>
      <c r="AC548" s="215" t="s">
        <v>6763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  <c r="BS548" s="223"/>
      <c r="BT548" s="161"/>
    </row>
    <row r="549" spans="1:112" s="240" customFormat="1" ht="27" customHeight="1">
      <c r="A549" s="197">
        <v>545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6760</v>
      </c>
      <c r="G549" s="207" t="s">
        <v>4400</v>
      </c>
      <c r="H549" s="207" t="s">
        <v>4401</v>
      </c>
      <c r="I549" s="207" t="s">
        <v>4402</v>
      </c>
      <c r="J549" s="215" t="s">
        <v>6764</v>
      </c>
      <c r="K549" s="215" t="s">
        <v>6765</v>
      </c>
      <c r="L549" s="215" t="s">
        <v>6766</v>
      </c>
      <c r="M549" s="207" t="s">
        <v>4405</v>
      </c>
      <c r="N549" s="207" t="s">
        <v>4442</v>
      </c>
      <c r="O549" s="202" t="s">
        <v>4409</v>
      </c>
      <c r="P549" s="202" t="s">
        <v>4409</v>
      </c>
      <c r="Q549" s="202" t="s">
        <v>4409</v>
      </c>
      <c r="R549" s="202" t="s">
        <v>4409</v>
      </c>
      <c r="S549" s="202" t="s">
        <v>4409</v>
      </c>
      <c r="T549" s="202" t="s">
        <v>4409</v>
      </c>
      <c r="U549" s="202" t="s">
        <v>4409</v>
      </c>
      <c r="V549" s="202" t="s">
        <v>4409</v>
      </c>
      <c r="W549" s="202" t="s">
        <v>4409</v>
      </c>
      <c r="X549" s="202" t="s">
        <v>4409</v>
      </c>
      <c r="Y549" s="202"/>
      <c r="Z549" s="216" t="s">
        <v>6767</v>
      </c>
      <c r="AA549" s="215" t="s">
        <v>6764</v>
      </c>
      <c r="AB549" s="215" t="s">
        <v>6765</v>
      </c>
      <c r="AC549" s="215" t="s">
        <v>6766</v>
      </c>
      <c r="AD549" s="207" t="s">
        <v>4402</v>
      </c>
      <c r="AE549" s="207" t="s">
        <v>4405</v>
      </c>
      <c r="AF549" s="218">
        <v>58835.11</v>
      </c>
      <c r="AG549" s="218">
        <v>60000</v>
      </c>
      <c r="AH549" s="207" t="s">
        <v>4433</v>
      </c>
      <c r="AI549" s="214" t="s">
        <v>4411</v>
      </c>
      <c r="AJ549" s="207">
        <v>158682956</v>
      </c>
      <c r="AK549" s="316">
        <v>46188</v>
      </c>
      <c r="AL549" s="316">
        <v>46188</v>
      </c>
      <c r="AM549" s="316">
        <v>46188</v>
      </c>
      <c r="AN549" s="316">
        <v>46188</v>
      </c>
      <c r="AO549" s="316">
        <v>46188</v>
      </c>
      <c r="AP549" s="316">
        <v>46188</v>
      </c>
      <c r="AQ549" s="314"/>
      <c r="AR549" s="315" t="str">
        <f t="shared" si="36"/>
        <v>FINALIZADO</v>
      </c>
      <c r="AS549" s="207" t="s">
        <v>4423</v>
      </c>
      <c r="AT549" s="219"/>
      <c r="AU549" s="220" t="s">
        <v>6768</v>
      </c>
      <c r="AV549" s="197" t="s">
        <v>4818</v>
      </c>
      <c r="AW549" s="207" t="s">
        <v>4818</v>
      </c>
      <c r="AX549" s="207" t="s">
        <v>4818</v>
      </c>
      <c r="AY549" s="207" t="s">
        <v>4818</v>
      </c>
      <c r="AZ549" s="202">
        <v>46233</v>
      </c>
      <c r="BA549" s="207" t="s">
        <v>4818</v>
      </c>
      <c r="BB549" s="207" t="s">
        <v>4818</v>
      </c>
      <c r="BC549" s="202">
        <v>46234</v>
      </c>
      <c r="BD549" s="226">
        <v>46234</v>
      </c>
      <c r="BE549" s="257" t="s">
        <v>4435</v>
      </c>
      <c r="BF549" s="257" t="s">
        <v>4436</v>
      </c>
      <c r="BG549" s="219" t="s">
        <v>4425</v>
      </c>
      <c r="BH549" s="321">
        <f t="shared" si="37"/>
        <v>46</v>
      </c>
      <c r="BI549" s="98" t="str">
        <f t="shared" si="38"/>
        <v>INDENIZAÇÃO</v>
      </c>
      <c r="BJ549" s="98" t="str">
        <f t="shared" si="39"/>
        <v>NÃO</v>
      </c>
      <c r="BK549" s="219" t="s">
        <v>4437</v>
      </c>
      <c r="BL549" s="219" t="s">
        <v>4437</v>
      </c>
      <c r="BM549" s="219" t="s">
        <v>4437</v>
      </c>
      <c r="BN549" s="257" t="s">
        <v>5732</v>
      </c>
      <c r="BO549" s="257"/>
      <c r="BP549" s="257"/>
      <c r="BQ549" s="257"/>
      <c r="BR549" s="258"/>
    </row>
    <row r="550" spans="1:112" s="240" customFormat="1" ht="27" hidden="1" customHeight="1">
      <c r="A550" s="197">
        <v>546</v>
      </c>
      <c r="B550" s="197" t="s">
        <v>4396</v>
      </c>
      <c r="C550" s="207" t="s">
        <v>4427</v>
      </c>
      <c r="D550" s="207">
        <v>1</v>
      </c>
      <c r="E550" s="207" t="s">
        <v>4398</v>
      </c>
      <c r="F550" s="214" t="s">
        <v>6769</v>
      </c>
      <c r="G550" s="207" t="s">
        <v>4400</v>
      </c>
      <c r="H550" s="207" t="s">
        <v>4401</v>
      </c>
      <c r="I550" s="207" t="s">
        <v>4402</v>
      </c>
      <c r="J550" s="215" t="s">
        <v>6770</v>
      </c>
      <c r="K550" s="215" t="s">
        <v>6771</v>
      </c>
      <c r="L550" s="215" t="s">
        <v>6772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60"/>
      <c r="AA550" s="215" t="s">
        <v>6770</v>
      </c>
      <c r="AB550" s="215" t="s">
        <v>6771</v>
      </c>
      <c r="AC550" s="215" t="s">
        <v>6772</v>
      </c>
      <c r="AD550" s="207" t="s">
        <v>4402</v>
      </c>
      <c r="AE550" s="207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</row>
    <row r="551" spans="1:112" s="240" customFormat="1" ht="27" customHeight="1">
      <c r="A551" s="207">
        <v>547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6769</v>
      </c>
      <c r="G551" s="219" t="s">
        <v>4400</v>
      </c>
      <c r="H551" s="219" t="s">
        <v>4401</v>
      </c>
      <c r="I551" s="219" t="s">
        <v>4402</v>
      </c>
      <c r="J551" s="255" t="s">
        <v>6773</v>
      </c>
      <c r="K551" s="255" t="s">
        <v>6774</v>
      </c>
      <c r="L551" s="255" t="s">
        <v>6775</v>
      </c>
      <c r="M551" s="219" t="s">
        <v>4405</v>
      </c>
      <c r="N551" s="219" t="s">
        <v>4432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02"/>
      <c r="AA551" s="255" t="s">
        <v>6773</v>
      </c>
      <c r="AB551" s="255" t="s">
        <v>6774</v>
      </c>
      <c r="AC551" s="255" t="s">
        <v>6775</v>
      </c>
      <c r="AD551" s="219" t="s">
        <v>4402</v>
      </c>
      <c r="AE551" s="219" t="s">
        <v>4405</v>
      </c>
      <c r="AF551" s="218">
        <v>39507.480000000003</v>
      </c>
      <c r="AG551" s="218">
        <v>60000</v>
      </c>
      <c r="AH551" s="207" t="s">
        <v>4433</v>
      </c>
      <c r="AI551" s="214" t="s">
        <v>4411</v>
      </c>
      <c r="AJ551" s="219">
        <v>153982402</v>
      </c>
      <c r="AK551" s="317">
        <v>46129</v>
      </c>
      <c r="AL551" s="317">
        <v>46129</v>
      </c>
      <c r="AM551" s="317">
        <v>46129</v>
      </c>
      <c r="AN551" s="317">
        <v>46129</v>
      </c>
      <c r="AO551" s="317">
        <v>46129</v>
      </c>
      <c r="AP551" s="317">
        <v>46129</v>
      </c>
      <c r="AQ551" s="314"/>
      <c r="AR551" s="315" t="str">
        <f t="shared" si="36"/>
        <v>FINALIZADO</v>
      </c>
      <c r="AS551" s="207" t="s">
        <v>4423</v>
      </c>
      <c r="AT551" s="219"/>
      <c r="AU551" s="220" t="s">
        <v>6776</v>
      </c>
      <c r="AV551" s="262" t="s">
        <v>4425</v>
      </c>
      <c r="AW551" s="219" t="s">
        <v>4425</v>
      </c>
      <c r="AX551" s="207" t="s">
        <v>4425</v>
      </c>
      <c r="AY551" s="207" t="s">
        <v>4425</v>
      </c>
      <c r="AZ551" s="202">
        <v>46226</v>
      </c>
      <c r="BA551" s="219" t="s">
        <v>4425</v>
      </c>
      <c r="BB551" s="219" t="s">
        <v>4425</v>
      </c>
      <c r="BC551" s="202">
        <v>46232</v>
      </c>
      <c r="BD551" s="226">
        <v>46232</v>
      </c>
      <c r="BE551" s="257" t="s">
        <v>4435</v>
      </c>
      <c r="BF551" s="257" t="s">
        <v>4436</v>
      </c>
      <c r="BG551" s="219" t="s">
        <v>4425</v>
      </c>
      <c r="BH551" s="321">
        <f t="shared" si="37"/>
        <v>103</v>
      </c>
      <c r="BI551" s="98" t="str">
        <f t="shared" si="38"/>
        <v>INDENIZAÇÃO</v>
      </c>
      <c r="BJ551" s="98" t="str">
        <f t="shared" si="39"/>
        <v>NÃO</v>
      </c>
      <c r="BK551" s="219" t="s">
        <v>4437</v>
      </c>
      <c r="BL551" s="219" t="s">
        <v>4437</v>
      </c>
      <c r="BM551" s="219" t="s">
        <v>4437</v>
      </c>
      <c r="BN551" s="257" t="s">
        <v>5732</v>
      </c>
      <c r="BO551" s="257"/>
      <c r="BP551" s="257"/>
      <c r="BQ551" s="257"/>
      <c r="BR551" s="258"/>
    </row>
    <row r="552" spans="1:112" s="240" customFormat="1" ht="27" customHeight="1">
      <c r="A552" s="207">
        <v>548</v>
      </c>
      <c r="B552" s="197" t="s">
        <v>4396</v>
      </c>
      <c r="C552" s="207" t="s">
        <v>4413</v>
      </c>
      <c r="D552" s="207">
        <v>1</v>
      </c>
      <c r="E552" s="207" t="s">
        <v>4398</v>
      </c>
      <c r="F552" s="214" t="s">
        <v>6777</v>
      </c>
      <c r="G552" s="207" t="s">
        <v>4400</v>
      </c>
      <c r="H552" s="207" t="s">
        <v>4401</v>
      </c>
      <c r="I552" s="207" t="s">
        <v>4402</v>
      </c>
      <c r="J552" s="215" t="s">
        <v>6778</v>
      </c>
      <c r="K552" s="215" t="s">
        <v>6779</v>
      </c>
      <c r="L552" s="215" t="s">
        <v>6780</v>
      </c>
      <c r="M552" s="207" t="s">
        <v>4405</v>
      </c>
      <c r="N552" s="207" t="s">
        <v>4406</v>
      </c>
      <c r="O552" s="203">
        <v>46090</v>
      </c>
      <c r="P552" s="203" t="s">
        <v>4407</v>
      </c>
      <c r="Q552" s="202">
        <v>46090</v>
      </c>
      <c r="R552" s="202">
        <v>46099</v>
      </c>
      <c r="S552" s="202">
        <v>46101</v>
      </c>
      <c r="T552" s="202">
        <v>46118</v>
      </c>
      <c r="U552" s="202" t="s">
        <v>4408</v>
      </c>
      <c r="V552" s="202" t="s">
        <v>4408</v>
      </c>
      <c r="W552" s="202">
        <v>46118</v>
      </c>
      <c r="X552" s="202">
        <v>46118</v>
      </c>
      <c r="Y552" s="202"/>
      <c r="Z552" s="202"/>
      <c r="AA552" s="215" t="s">
        <v>6778</v>
      </c>
      <c r="AB552" s="215" t="s">
        <v>6779</v>
      </c>
      <c r="AC552" s="215" t="s">
        <v>6780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>
        <v>46086</v>
      </c>
      <c r="AL552" s="316">
        <v>46086</v>
      </c>
      <c r="AM552" s="316">
        <v>46086</v>
      </c>
      <c r="AN552" s="316">
        <v>46086</v>
      </c>
      <c r="AO552" s="316">
        <v>46086</v>
      </c>
      <c r="AP552" s="316">
        <v>46086</v>
      </c>
      <c r="AQ552" s="314"/>
      <c r="AR552" s="315" t="str">
        <f t="shared" si="36"/>
        <v>FINALIZADO</v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161"/>
      <c r="BT552" s="161"/>
      <c r="BU552" s="161"/>
      <c r="BV552" s="161"/>
      <c r="BW552" s="161"/>
      <c r="BX552" s="161"/>
      <c r="BY552" s="161"/>
      <c r="BZ552" s="161"/>
      <c r="CA552" s="161"/>
      <c r="CB552" s="161"/>
      <c r="CC552" s="161"/>
      <c r="CD552" s="161"/>
      <c r="CE552" s="161"/>
      <c r="CF552" s="161"/>
      <c r="CG552" s="161"/>
      <c r="CH552" s="161"/>
      <c r="CI552" s="161"/>
      <c r="CJ552" s="161"/>
      <c r="CK552" s="161"/>
      <c r="CL552" s="161"/>
      <c r="CM552" s="161"/>
      <c r="CN552" s="161"/>
      <c r="CO552" s="161"/>
      <c r="CP552" s="161"/>
      <c r="CQ552" s="161"/>
      <c r="CR552" s="161"/>
      <c r="CS552" s="161"/>
      <c r="CT552" s="161"/>
      <c r="CU552" s="161"/>
      <c r="CV552" s="161"/>
      <c r="CW552" s="161"/>
      <c r="CX552" s="161"/>
      <c r="CY552" s="161"/>
      <c r="CZ552" s="161"/>
      <c r="DA552" s="161"/>
      <c r="DB552" s="161"/>
      <c r="DC552" s="161"/>
      <c r="DD552" s="161"/>
      <c r="DE552" s="161"/>
      <c r="DF552" s="161"/>
      <c r="DG552" s="161"/>
      <c r="DH552" s="161"/>
    </row>
    <row r="553" spans="1:112" s="240" customFormat="1" ht="27" hidden="1" customHeight="1">
      <c r="A553" s="207">
        <v>549</v>
      </c>
      <c r="B553" s="197" t="s">
        <v>4396</v>
      </c>
      <c r="C553" s="207" t="s">
        <v>4427</v>
      </c>
      <c r="D553" s="207">
        <v>1</v>
      </c>
      <c r="E553" s="207" t="s">
        <v>4398</v>
      </c>
      <c r="F553" s="214" t="s">
        <v>6777</v>
      </c>
      <c r="G553" s="207" t="s">
        <v>4400</v>
      </c>
      <c r="H553" s="207" t="s">
        <v>4401</v>
      </c>
      <c r="I553" s="217" t="s">
        <v>4402</v>
      </c>
      <c r="J553" s="215" t="s">
        <v>6781</v>
      </c>
      <c r="K553" s="215" t="s">
        <v>6782</v>
      </c>
      <c r="L553" s="215" t="s">
        <v>6783</v>
      </c>
      <c r="M553" s="207" t="s">
        <v>4405</v>
      </c>
      <c r="N553" s="207" t="s">
        <v>4406</v>
      </c>
      <c r="O553" s="202">
        <v>46002</v>
      </c>
      <c r="P553" s="202" t="s">
        <v>4407</v>
      </c>
      <c r="Q553" s="202">
        <v>45999</v>
      </c>
      <c r="R553" s="202">
        <v>46006</v>
      </c>
      <c r="S553" s="202">
        <v>46006</v>
      </c>
      <c r="T553" s="202">
        <v>46009</v>
      </c>
      <c r="U553" s="202" t="s">
        <v>4408</v>
      </c>
      <c r="V553" s="202" t="s">
        <v>4408</v>
      </c>
      <c r="W553" s="202">
        <v>46014</v>
      </c>
      <c r="X553" s="202">
        <v>46017</v>
      </c>
      <c r="Y553" s="202"/>
      <c r="Z553" s="207"/>
      <c r="AA553" s="215" t="s">
        <v>6781</v>
      </c>
      <c r="AB553" s="215" t="s">
        <v>6782</v>
      </c>
      <c r="AC553" s="215" t="s">
        <v>6783</v>
      </c>
      <c r="AD553" s="207" t="s">
        <v>4402</v>
      </c>
      <c r="AE553" s="207" t="s">
        <v>4405</v>
      </c>
      <c r="AF553" s="218" t="s">
        <v>4409</v>
      </c>
      <c r="AG553" s="218" t="s">
        <v>4409</v>
      </c>
      <c r="AH553" s="207" t="s">
        <v>4410</v>
      </c>
      <c r="AI553" s="214" t="s">
        <v>4411</v>
      </c>
      <c r="AJ553" s="207"/>
      <c r="AK553" s="316">
        <v>45980</v>
      </c>
      <c r="AL553" s="316">
        <v>45980</v>
      </c>
      <c r="AM553" s="316">
        <v>45980</v>
      </c>
      <c r="AN553" s="316">
        <v>45980</v>
      </c>
      <c r="AO553" s="316">
        <v>45980</v>
      </c>
      <c r="AP553" s="316">
        <v>45980</v>
      </c>
      <c r="AQ553" s="314"/>
      <c r="AR553" s="315" t="str">
        <f t="shared" si="36"/>
        <v>FINALIZADO</v>
      </c>
      <c r="AS553" s="207"/>
      <c r="AT553" s="207"/>
      <c r="AU553" s="220"/>
      <c r="AV553" s="207"/>
      <c r="AW553" s="207"/>
      <c r="AX553" s="207"/>
      <c r="AY553" s="207"/>
      <c r="AZ553" s="202"/>
      <c r="BA553" s="219"/>
      <c r="BB553" s="207"/>
      <c r="BC553" s="202"/>
      <c r="BD553" s="208"/>
      <c r="BE553" s="202"/>
      <c r="BF553" s="207"/>
      <c r="BG553" s="229"/>
      <c r="BH553" s="321" t="str">
        <f t="shared" si="37"/>
        <v/>
      </c>
      <c r="BI553" s="98" t="str">
        <f t="shared" si="38"/>
        <v>AA</v>
      </c>
      <c r="BJ553" s="98" t="str">
        <f t="shared" si="39"/>
        <v>NÃO</v>
      </c>
      <c r="BK553" s="230"/>
      <c r="BL553" s="230"/>
      <c r="BM553" s="230"/>
      <c r="BN553" s="230"/>
      <c r="BO553" s="230"/>
      <c r="BP553" s="230"/>
      <c r="BQ553" s="230"/>
      <c r="BR553" s="234"/>
    </row>
    <row r="554" spans="1:112" s="240" customFormat="1" ht="27" hidden="1" customHeight="1">
      <c r="A554" s="197">
        <v>550</v>
      </c>
      <c r="B554" s="197" t="s">
        <v>4396</v>
      </c>
      <c r="C554" s="207" t="s">
        <v>4427</v>
      </c>
      <c r="D554" s="207">
        <v>1</v>
      </c>
      <c r="E554" s="207" t="s">
        <v>4398</v>
      </c>
      <c r="F554" s="214" t="s">
        <v>6784</v>
      </c>
      <c r="G554" s="207" t="s">
        <v>4400</v>
      </c>
      <c r="H554" s="207" t="s">
        <v>4401</v>
      </c>
      <c r="I554" s="217" t="s">
        <v>4402</v>
      </c>
      <c r="J554" s="215" t="s">
        <v>6785</v>
      </c>
      <c r="K554" s="215" t="s">
        <v>6786</v>
      </c>
      <c r="L554" s="215" t="s">
        <v>6787</v>
      </c>
      <c r="M554" s="207" t="s">
        <v>4405</v>
      </c>
      <c r="N554" s="207" t="s">
        <v>4406</v>
      </c>
      <c r="O554" s="202">
        <v>45986</v>
      </c>
      <c r="P554" s="203" t="s">
        <v>4407</v>
      </c>
      <c r="Q554" s="203">
        <v>45985</v>
      </c>
      <c r="R554" s="203">
        <v>45986</v>
      </c>
      <c r="S554" s="203">
        <v>45987</v>
      </c>
      <c r="T554" s="203">
        <v>45992</v>
      </c>
      <c r="U554" s="202" t="s">
        <v>4408</v>
      </c>
      <c r="V554" s="202" t="s">
        <v>4408</v>
      </c>
      <c r="W554" s="202">
        <v>45999</v>
      </c>
      <c r="X554" s="202">
        <v>46007</v>
      </c>
      <c r="Y554" s="202"/>
      <c r="Z554" s="207"/>
      <c r="AA554" s="215" t="s">
        <v>6785</v>
      </c>
      <c r="AB554" s="215" t="s">
        <v>6786</v>
      </c>
      <c r="AC554" s="215" t="s">
        <v>6787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41" t="s">
        <v>4410</v>
      </c>
      <c r="AI554" s="214" t="s">
        <v>4411</v>
      </c>
      <c r="AJ554" s="207"/>
      <c r="AK554" s="316">
        <v>45980</v>
      </c>
      <c r="AL554" s="316">
        <v>45980</v>
      </c>
      <c r="AM554" s="316">
        <v>45980</v>
      </c>
      <c r="AN554" s="316">
        <v>45980</v>
      </c>
      <c r="AO554" s="316">
        <v>45980</v>
      </c>
      <c r="AP554" s="316">
        <v>45980</v>
      </c>
      <c r="AQ554" s="314"/>
      <c r="AR554" s="315" t="str">
        <f t="shared" si="36"/>
        <v>FINALIZADO</v>
      </c>
      <c r="AS554" s="207"/>
      <c r="AT554" s="207"/>
      <c r="AU554" s="220"/>
      <c r="AV554" s="207"/>
      <c r="AW554" s="207"/>
      <c r="AX554" s="207" t="s">
        <v>4409</v>
      </c>
      <c r="AY554" s="207" t="s">
        <v>4409</v>
      </c>
      <c r="AZ554" s="207" t="s">
        <v>4409</v>
      </c>
      <c r="BA554" s="207" t="s">
        <v>4409</v>
      </c>
      <c r="BB554" s="207"/>
      <c r="BC554" s="202"/>
      <c r="BD554" s="208"/>
      <c r="BE554" s="202"/>
      <c r="BF554" s="207"/>
      <c r="BG554" s="22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30"/>
      <c r="BL554" s="230"/>
      <c r="BM554" s="230"/>
      <c r="BN554" s="230"/>
      <c r="BO554" s="230"/>
      <c r="BP554" s="230"/>
      <c r="BQ554" s="230"/>
      <c r="BR554" s="234"/>
    </row>
    <row r="555" spans="1:112" s="240" customFormat="1" ht="27" customHeight="1">
      <c r="A555" s="197">
        <v>551</v>
      </c>
      <c r="B555" s="197" t="s">
        <v>4396</v>
      </c>
      <c r="C555" s="207" t="s">
        <v>4413</v>
      </c>
      <c r="D555" s="207">
        <v>1</v>
      </c>
      <c r="E555" s="207" t="s">
        <v>4398</v>
      </c>
      <c r="F555" s="214" t="s">
        <v>6784</v>
      </c>
      <c r="G555" s="207" t="s">
        <v>4400</v>
      </c>
      <c r="H555" s="207" t="s">
        <v>4401</v>
      </c>
      <c r="I555" s="207" t="s">
        <v>4402</v>
      </c>
      <c r="J555" s="215" t="s">
        <v>6788</v>
      </c>
      <c r="K555" s="215" t="s">
        <v>6789</v>
      </c>
      <c r="L555" s="215" t="s">
        <v>6790</v>
      </c>
      <c r="M555" s="207" t="s">
        <v>4405</v>
      </c>
      <c r="N555" s="207" t="s">
        <v>4406</v>
      </c>
      <c r="O555" s="202">
        <v>46147</v>
      </c>
      <c r="P555" s="202" t="s">
        <v>4407</v>
      </c>
      <c r="Q555" s="203">
        <v>46136</v>
      </c>
      <c r="R555" s="202">
        <v>46147</v>
      </c>
      <c r="S555" s="203">
        <v>46156</v>
      </c>
      <c r="T555" s="203">
        <v>46168</v>
      </c>
      <c r="U555" s="203" t="s">
        <v>4408</v>
      </c>
      <c r="V555" s="203" t="s">
        <v>4408</v>
      </c>
      <c r="W555" s="279">
        <v>46196</v>
      </c>
      <c r="X555" s="203">
        <v>46197</v>
      </c>
      <c r="Y555" s="203"/>
      <c r="Z555" s="219"/>
      <c r="AA555" s="215" t="s">
        <v>6788</v>
      </c>
      <c r="AB555" s="215" t="s">
        <v>6789</v>
      </c>
      <c r="AC555" s="215" t="s">
        <v>6790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197" t="s">
        <v>4410</v>
      </c>
      <c r="AI555" s="214" t="s">
        <v>4411</v>
      </c>
      <c r="AJ555" s="207"/>
      <c r="AK555" s="317">
        <v>46134</v>
      </c>
      <c r="AL555" s="317">
        <v>46134</v>
      </c>
      <c r="AM555" s="317">
        <v>46134</v>
      </c>
      <c r="AN555" s="317">
        <v>46134</v>
      </c>
      <c r="AO555" s="317">
        <v>46134</v>
      </c>
      <c r="AP555" s="317">
        <v>46134</v>
      </c>
      <c r="AQ555" s="314"/>
      <c r="AR555" s="315" t="str">
        <f t="shared" si="36"/>
        <v>FINALIZADO</v>
      </c>
      <c r="AS555" s="207"/>
      <c r="AT555" s="219"/>
      <c r="AU555" s="220"/>
      <c r="AV555" s="219"/>
      <c r="AW555" s="219"/>
      <c r="AX555" s="219"/>
      <c r="AY555" s="219"/>
      <c r="AZ555" s="219"/>
      <c r="BA555" s="219"/>
      <c r="BB555" s="219"/>
      <c r="BC555" s="219"/>
      <c r="BD555" s="208"/>
      <c r="BE555" s="203"/>
      <c r="BF555" s="219"/>
      <c r="BG555" s="21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19"/>
      <c r="BL555" s="221"/>
      <c r="BM555" s="221"/>
      <c r="BN555" s="219"/>
      <c r="BO555" s="219"/>
      <c r="BP555" s="219"/>
      <c r="BQ555" s="219"/>
      <c r="BR555" s="222"/>
    </row>
    <row r="556" spans="1:112" s="240" customFormat="1" ht="27" customHeight="1">
      <c r="A556" s="207">
        <v>552</v>
      </c>
      <c r="B556" s="197" t="s">
        <v>4396</v>
      </c>
      <c r="C556" s="207" t="s">
        <v>4413</v>
      </c>
      <c r="D556" s="207">
        <v>1</v>
      </c>
      <c r="E556" s="207" t="s">
        <v>4398</v>
      </c>
      <c r="F556" s="214" t="s">
        <v>6791</v>
      </c>
      <c r="G556" s="207" t="s">
        <v>4400</v>
      </c>
      <c r="H556" s="207" t="s">
        <v>4401</v>
      </c>
      <c r="I556" s="207" t="s">
        <v>4402</v>
      </c>
      <c r="J556" s="215" t="s">
        <v>6792</v>
      </c>
      <c r="K556" s="215" t="s">
        <v>6793</v>
      </c>
      <c r="L556" s="215" t="s">
        <v>6794</v>
      </c>
      <c r="M556" s="207" t="s">
        <v>4405</v>
      </c>
      <c r="N556" s="207" t="s">
        <v>4406</v>
      </c>
      <c r="O556" s="202">
        <v>46126</v>
      </c>
      <c r="P556" s="202" t="s">
        <v>4407</v>
      </c>
      <c r="Q556" s="203">
        <v>46126</v>
      </c>
      <c r="R556" s="203">
        <v>46126</v>
      </c>
      <c r="S556" s="203">
        <v>46136</v>
      </c>
      <c r="T556" s="203">
        <v>46140</v>
      </c>
      <c r="U556" s="203" t="s">
        <v>4408</v>
      </c>
      <c r="V556" s="203" t="s">
        <v>4408</v>
      </c>
      <c r="W556" s="202">
        <v>46153</v>
      </c>
      <c r="X556" s="203">
        <v>46156</v>
      </c>
      <c r="Y556" s="203"/>
      <c r="Z556" s="219"/>
      <c r="AA556" s="215" t="s">
        <v>6792</v>
      </c>
      <c r="AB556" s="215" t="s">
        <v>6793</v>
      </c>
      <c r="AC556" s="215" t="s">
        <v>6794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197" t="s">
        <v>4410</v>
      </c>
      <c r="AI556" s="214" t="s">
        <v>4411</v>
      </c>
      <c r="AJ556" s="207"/>
      <c r="AK556" s="317">
        <v>46134</v>
      </c>
      <c r="AL556" s="317">
        <v>46134</v>
      </c>
      <c r="AM556" s="317">
        <v>46134</v>
      </c>
      <c r="AN556" s="317">
        <v>46134</v>
      </c>
      <c r="AO556" s="317">
        <v>46134</v>
      </c>
      <c r="AP556" s="317">
        <v>46134</v>
      </c>
      <c r="AQ556" s="314"/>
      <c r="AR556" s="315" t="str">
        <f t="shared" si="36"/>
        <v>FINALIZADO</v>
      </c>
      <c r="AS556" s="207"/>
      <c r="AT556" s="219"/>
      <c r="AU556" s="220"/>
      <c r="AV556" s="161"/>
      <c r="AW556" s="219"/>
      <c r="AX556" s="219"/>
      <c r="AY556" s="219"/>
      <c r="AZ556" s="219"/>
      <c r="BA556" s="219"/>
      <c r="BB556" s="219"/>
      <c r="BC556" s="219"/>
      <c r="BD556" s="208"/>
      <c r="BE556" s="203"/>
      <c r="BF556" s="219"/>
      <c r="BG556" s="21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19"/>
      <c r="BL556" s="221"/>
      <c r="BM556" s="221"/>
      <c r="BN556" s="219"/>
      <c r="BO556" s="219"/>
      <c r="BP556" s="219"/>
      <c r="BQ556" s="219"/>
      <c r="BR556" s="222"/>
    </row>
    <row r="557" spans="1:112" s="240" customFormat="1" ht="27" customHeight="1">
      <c r="A557" s="207">
        <v>553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6796</v>
      </c>
      <c r="K557" s="215" t="s">
        <v>6797</v>
      </c>
      <c r="L557" s="215" t="s">
        <v>6798</v>
      </c>
      <c r="M557" s="207" t="s">
        <v>4405</v>
      </c>
      <c r="N557" s="207" t="s">
        <v>4406</v>
      </c>
      <c r="O557" s="202">
        <v>46084</v>
      </c>
      <c r="P557" s="202" t="s">
        <v>4407</v>
      </c>
      <c r="Q557" s="202">
        <v>46083</v>
      </c>
      <c r="R557" s="203">
        <v>46084</v>
      </c>
      <c r="S557" s="203">
        <v>46087</v>
      </c>
      <c r="T557" s="203">
        <v>46090</v>
      </c>
      <c r="U557" s="202" t="s">
        <v>4408</v>
      </c>
      <c r="V557" s="202" t="s">
        <v>4408</v>
      </c>
      <c r="W557" s="202">
        <v>46101</v>
      </c>
      <c r="X557" s="202">
        <v>46101</v>
      </c>
      <c r="Y557" s="202"/>
      <c r="Z557" s="202"/>
      <c r="AA557" s="215" t="s">
        <v>6796</v>
      </c>
      <c r="AB557" s="215" t="s">
        <v>6797</v>
      </c>
      <c r="AC557" s="215" t="s">
        <v>6798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207" t="s">
        <v>4410</v>
      </c>
      <c r="AI557" s="214" t="s">
        <v>4411</v>
      </c>
      <c r="AJ557" s="207"/>
      <c r="AK557" s="316">
        <v>46080</v>
      </c>
      <c r="AL557" s="316">
        <v>46080</v>
      </c>
      <c r="AM557" s="316">
        <v>46080</v>
      </c>
      <c r="AN557" s="316">
        <v>46080</v>
      </c>
      <c r="AO557" s="316">
        <v>46080</v>
      </c>
      <c r="AP557" s="316">
        <v>46080</v>
      </c>
      <c r="AQ557" s="314"/>
      <c r="AR557" s="315" t="str">
        <f t="shared" si="36"/>
        <v>FINALIZADO</v>
      </c>
      <c r="AS557" s="207"/>
      <c r="AT557" s="217"/>
      <c r="AU557" s="220"/>
      <c r="AV557" s="217"/>
      <c r="AW557" s="217"/>
      <c r="AX557" s="217"/>
      <c r="AY557" s="217"/>
      <c r="AZ557" s="217"/>
      <c r="BA557" s="217"/>
      <c r="BB557" s="217"/>
      <c r="BC557" s="217"/>
      <c r="BD557" s="208"/>
      <c r="BE557" s="216"/>
      <c r="BF557" s="217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  <c r="BS557" s="161"/>
      <c r="BT557" s="161"/>
      <c r="BU557" s="161"/>
      <c r="BV557" s="161"/>
      <c r="BW557" s="161"/>
      <c r="BX557" s="161"/>
      <c r="BY557" s="161"/>
      <c r="BZ557" s="161"/>
      <c r="CA557" s="161"/>
      <c r="CB557" s="161"/>
      <c r="CC557" s="161"/>
      <c r="CD557" s="161"/>
      <c r="CE557" s="161"/>
      <c r="CF557" s="161"/>
      <c r="CG557" s="161"/>
      <c r="CH557" s="161"/>
      <c r="CI557" s="161"/>
      <c r="CJ557" s="161"/>
      <c r="CK557" s="161"/>
      <c r="CL557" s="161"/>
      <c r="CM557" s="161"/>
      <c r="CN557" s="161"/>
      <c r="CO557" s="161"/>
      <c r="CP557" s="161"/>
      <c r="CQ557" s="161"/>
      <c r="CR557" s="161"/>
      <c r="CS557" s="161"/>
      <c r="CT557" s="161"/>
      <c r="CU557" s="161"/>
      <c r="CV557" s="161"/>
      <c r="CW557" s="161"/>
      <c r="CX557" s="161"/>
      <c r="CY557" s="161"/>
      <c r="CZ557" s="161"/>
      <c r="DA557" s="161"/>
      <c r="DB557" s="161"/>
      <c r="DC557" s="161"/>
      <c r="DD557" s="161"/>
      <c r="DE557" s="161"/>
      <c r="DF557" s="161"/>
      <c r="DG557" s="161"/>
      <c r="DH557" s="161"/>
    </row>
    <row r="558" spans="1:112" s="240" customFormat="1" ht="27" hidden="1" customHeight="1">
      <c r="A558" s="207">
        <v>554</v>
      </c>
      <c r="B558" s="197" t="s">
        <v>4396</v>
      </c>
      <c r="C558" s="207" t="s">
        <v>4427</v>
      </c>
      <c r="D558" s="207">
        <v>1</v>
      </c>
      <c r="E558" s="207" t="s">
        <v>4398</v>
      </c>
      <c r="F558" s="214" t="s">
        <v>6799</v>
      </c>
      <c r="G558" s="207" t="s">
        <v>4400</v>
      </c>
      <c r="H558" s="207" t="s">
        <v>4401</v>
      </c>
      <c r="I558" s="217" t="s">
        <v>4402</v>
      </c>
      <c r="J558" s="215" t="s">
        <v>6800</v>
      </c>
      <c r="K558" s="215" t="s">
        <v>6801</v>
      </c>
      <c r="L558" s="215" t="s">
        <v>6802</v>
      </c>
      <c r="M558" s="207" t="s">
        <v>4405</v>
      </c>
      <c r="N558" s="207" t="s">
        <v>4406</v>
      </c>
      <c r="O558" s="202">
        <v>45986</v>
      </c>
      <c r="P558" s="203" t="s">
        <v>4407</v>
      </c>
      <c r="Q558" s="203">
        <v>45985</v>
      </c>
      <c r="R558" s="203">
        <v>45986</v>
      </c>
      <c r="S558" s="203">
        <v>45987</v>
      </c>
      <c r="T558" s="203">
        <v>45992</v>
      </c>
      <c r="U558" s="202" t="s">
        <v>4408</v>
      </c>
      <c r="V558" s="202" t="s">
        <v>4408</v>
      </c>
      <c r="W558" s="202">
        <v>45999</v>
      </c>
      <c r="X558" s="202">
        <v>46003</v>
      </c>
      <c r="Y558" s="202"/>
      <c r="Z558" s="207"/>
      <c r="AA558" s="215" t="s">
        <v>6800</v>
      </c>
      <c r="AB558" s="215" t="s">
        <v>6801</v>
      </c>
      <c r="AC558" s="215" t="s">
        <v>6802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241" t="s">
        <v>4410</v>
      </c>
      <c r="AI558" s="214" t="s">
        <v>4411</v>
      </c>
      <c r="AJ558" s="207"/>
      <c r="AK558" s="316">
        <v>45980</v>
      </c>
      <c r="AL558" s="316">
        <v>45980</v>
      </c>
      <c r="AM558" s="316">
        <v>45980</v>
      </c>
      <c r="AN558" s="316">
        <v>45980</v>
      </c>
      <c r="AO558" s="316">
        <v>45980</v>
      </c>
      <c r="AP558" s="316">
        <v>45980</v>
      </c>
      <c r="AQ558" s="314"/>
      <c r="AR558" s="315" t="str">
        <f t="shared" si="36"/>
        <v>FINALIZADO</v>
      </c>
      <c r="AS558" s="207"/>
      <c r="AT558" s="207"/>
      <c r="AU558" s="220"/>
      <c r="AV558" s="207"/>
      <c r="AW558" s="207"/>
      <c r="AX558" s="207" t="s">
        <v>4409</v>
      </c>
      <c r="AY558" s="207" t="s">
        <v>4409</v>
      </c>
      <c r="AZ558" s="207" t="s">
        <v>4409</v>
      </c>
      <c r="BA558" s="207" t="s">
        <v>4409</v>
      </c>
      <c r="BB558" s="207"/>
      <c r="BC558" s="202"/>
      <c r="BD558" s="208"/>
      <c r="BE558" s="202"/>
      <c r="BF558" s="207"/>
      <c r="BG558" s="22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30"/>
      <c r="BL558" s="230"/>
      <c r="BM558" s="230"/>
      <c r="BN558" s="230"/>
      <c r="BO558" s="230"/>
      <c r="BP558" s="230"/>
      <c r="BQ558" s="230"/>
      <c r="BR558" s="234"/>
      <c r="BS558" s="161"/>
      <c r="BT558" s="161"/>
      <c r="BU558" s="161"/>
      <c r="BV558" s="161"/>
      <c r="BW558" s="161"/>
      <c r="BX558" s="161"/>
      <c r="BY558" s="161"/>
      <c r="BZ558" s="161"/>
      <c r="CA558" s="161"/>
      <c r="CB558" s="161"/>
      <c r="CC558" s="161"/>
      <c r="CD558" s="161"/>
      <c r="CE558" s="161"/>
      <c r="CF558" s="161"/>
      <c r="CG558" s="161"/>
      <c r="CH558" s="161"/>
      <c r="CI558" s="161"/>
      <c r="CJ558" s="161"/>
      <c r="CK558" s="161"/>
      <c r="CL558" s="161"/>
      <c r="CM558" s="161"/>
      <c r="CN558" s="161"/>
      <c r="CO558" s="161"/>
      <c r="CP558" s="161"/>
      <c r="CQ558" s="161"/>
      <c r="CR558" s="161"/>
      <c r="CS558" s="161"/>
      <c r="CT558" s="161"/>
      <c r="CU558" s="161"/>
      <c r="CV558" s="161"/>
      <c r="CW558" s="161"/>
      <c r="CX558" s="161"/>
      <c r="CY558" s="161"/>
      <c r="CZ558" s="161"/>
      <c r="DA558" s="161"/>
      <c r="DB558" s="161"/>
      <c r="DC558" s="161"/>
      <c r="DD558" s="161"/>
      <c r="DE558" s="161"/>
      <c r="DF558" s="161"/>
      <c r="DG558" s="161"/>
      <c r="DH558" s="161"/>
    </row>
    <row r="559" spans="1:112" s="240" customFormat="1" ht="27" customHeight="1">
      <c r="A559" s="197">
        <v>555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6799</v>
      </c>
      <c r="G559" s="207" t="s">
        <v>4400</v>
      </c>
      <c r="H559" s="207" t="s">
        <v>4401</v>
      </c>
      <c r="I559" s="207" t="s">
        <v>4402</v>
      </c>
      <c r="J559" s="215" t="s">
        <v>6803</v>
      </c>
      <c r="K559" s="215" t="s">
        <v>6804</v>
      </c>
      <c r="L559" s="215" t="s">
        <v>6805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6803</v>
      </c>
      <c r="AB559" s="215" t="s">
        <v>6804</v>
      </c>
      <c r="AC559" s="215" t="s">
        <v>6805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197" t="s">
        <v>4410</v>
      </c>
      <c r="AI559" s="214" t="s">
        <v>4411</v>
      </c>
      <c r="AJ559" s="207"/>
      <c r="AK559" s="316">
        <v>46086</v>
      </c>
      <c r="AL559" s="316">
        <v>46086</v>
      </c>
      <c r="AM559" s="316">
        <v>46086</v>
      </c>
      <c r="AN559" s="316">
        <v>46086</v>
      </c>
      <c r="AO559" s="316">
        <v>46086</v>
      </c>
      <c r="AP559" s="316">
        <v>46086</v>
      </c>
      <c r="AQ559" s="314"/>
      <c r="AR559" s="315" t="str">
        <f t="shared" si="36"/>
        <v>FINALIZADO</v>
      </c>
      <c r="AS559" s="207"/>
      <c r="AT559" s="219"/>
      <c r="AU559" s="220"/>
      <c r="AV559" s="219"/>
      <c r="AW559" s="219"/>
      <c r="AX559" s="219"/>
      <c r="AY559" s="219"/>
      <c r="AZ559" s="219"/>
      <c r="BA559" s="219"/>
      <c r="BB559" s="219"/>
      <c r="BC559" s="219"/>
      <c r="BD559" s="208"/>
      <c r="BE559" s="203"/>
      <c r="BF559" s="219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</row>
    <row r="560" spans="1:112" s="240" customFormat="1" ht="27" customHeight="1">
      <c r="A560" s="197">
        <v>556</v>
      </c>
      <c r="B560" s="197" t="s">
        <v>4396</v>
      </c>
      <c r="C560" s="207" t="s">
        <v>4413</v>
      </c>
      <c r="D560" s="207">
        <v>1</v>
      </c>
      <c r="E560" s="207" t="s">
        <v>4398</v>
      </c>
      <c r="F560" s="214" t="s">
        <v>6806</v>
      </c>
      <c r="G560" s="207" t="s">
        <v>4400</v>
      </c>
      <c r="H560" s="207" t="s">
        <v>4401</v>
      </c>
      <c r="I560" s="207" t="s">
        <v>4402</v>
      </c>
      <c r="J560" s="215" t="s">
        <v>6807</v>
      </c>
      <c r="K560" s="215" t="s">
        <v>6808</v>
      </c>
      <c r="L560" s="215" t="s">
        <v>6809</v>
      </c>
      <c r="M560" s="207" t="s">
        <v>4405</v>
      </c>
      <c r="N560" s="207" t="s">
        <v>4406</v>
      </c>
      <c r="O560" s="202">
        <v>46084</v>
      </c>
      <c r="P560" s="202" t="s">
        <v>4407</v>
      </c>
      <c r="Q560" s="202">
        <v>46083</v>
      </c>
      <c r="R560" s="203">
        <v>46084</v>
      </c>
      <c r="S560" s="203">
        <v>46087</v>
      </c>
      <c r="T560" s="203">
        <v>46090</v>
      </c>
      <c r="U560" s="202" t="s">
        <v>4408</v>
      </c>
      <c r="V560" s="202" t="s">
        <v>4408</v>
      </c>
      <c r="W560" s="202">
        <v>46101</v>
      </c>
      <c r="X560" s="202">
        <v>46101</v>
      </c>
      <c r="Y560" s="202"/>
      <c r="Z560" s="202"/>
      <c r="AA560" s="215" t="s">
        <v>6807</v>
      </c>
      <c r="AB560" s="215" t="s">
        <v>6808</v>
      </c>
      <c r="AC560" s="215" t="s">
        <v>6809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197" t="s">
        <v>4410</v>
      </c>
      <c r="AI560" s="214" t="s">
        <v>4411</v>
      </c>
      <c r="AJ560" s="207"/>
      <c r="AK560" s="316">
        <v>46086</v>
      </c>
      <c r="AL560" s="316">
        <v>46086</v>
      </c>
      <c r="AM560" s="316">
        <v>46086</v>
      </c>
      <c r="AN560" s="316">
        <v>46086</v>
      </c>
      <c r="AO560" s="316">
        <v>46086</v>
      </c>
      <c r="AP560" s="316">
        <v>46086</v>
      </c>
      <c r="AQ560" s="314"/>
      <c r="AR560" s="315" t="str">
        <f t="shared" si="36"/>
        <v>FINALIZADO</v>
      </c>
      <c r="AS560" s="207"/>
      <c r="AT560" s="219"/>
      <c r="AU560" s="220"/>
      <c r="AV560" s="219"/>
      <c r="AW560" s="219"/>
      <c r="AX560" s="219"/>
      <c r="AY560" s="219"/>
      <c r="AZ560" s="219"/>
      <c r="BA560" s="219"/>
      <c r="BB560" s="219"/>
      <c r="BC560" s="219"/>
      <c r="BD560" s="208"/>
      <c r="BE560" s="203"/>
      <c r="BF560" s="219"/>
      <c r="BG560" s="21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19"/>
      <c r="BL560" s="221"/>
      <c r="BM560" s="221"/>
      <c r="BN560" s="219"/>
      <c r="BO560" s="219"/>
      <c r="BP560" s="219"/>
      <c r="BQ560" s="219"/>
      <c r="BR560" s="222"/>
    </row>
    <row r="561" spans="1:112" s="240" customFormat="1" ht="27" hidden="1" customHeight="1">
      <c r="A561" s="207">
        <v>557</v>
      </c>
      <c r="B561" s="197" t="s">
        <v>4396</v>
      </c>
      <c r="C561" s="207" t="s">
        <v>4427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17" t="s">
        <v>4402</v>
      </c>
      <c r="J561" s="215" t="s">
        <v>6811</v>
      </c>
      <c r="K561" s="215" t="s">
        <v>6812</v>
      </c>
      <c r="L561" s="215" t="s">
        <v>6813</v>
      </c>
      <c r="M561" s="207" t="s">
        <v>4405</v>
      </c>
      <c r="N561" s="207" t="s">
        <v>4442</v>
      </c>
      <c r="O561" s="202" t="s">
        <v>4409</v>
      </c>
      <c r="P561" s="202" t="s">
        <v>4409</v>
      </c>
      <c r="Q561" s="202" t="s">
        <v>4409</v>
      </c>
      <c r="R561" s="202" t="s">
        <v>4409</v>
      </c>
      <c r="S561" s="202" t="s">
        <v>4409</v>
      </c>
      <c r="T561" s="202" t="s">
        <v>4409</v>
      </c>
      <c r="U561" s="202" t="s">
        <v>4409</v>
      </c>
      <c r="V561" s="202" t="s">
        <v>4409</v>
      </c>
      <c r="W561" s="202" t="s">
        <v>4409</v>
      </c>
      <c r="X561" s="202" t="s">
        <v>4409</v>
      </c>
      <c r="Y561" s="202"/>
      <c r="Z561" s="202"/>
      <c r="AA561" s="215" t="s">
        <v>6811</v>
      </c>
      <c r="AB561" s="215" t="s">
        <v>6812</v>
      </c>
      <c r="AC561" s="215" t="s">
        <v>6813</v>
      </c>
      <c r="AD561" s="207" t="s">
        <v>4402</v>
      </c>
      <c r="AE561" s="207" t="s">
        <v>4405</v>
      </c>
      <c r="AF561" s="218">
        <v>21477.18</v>
      </c>
      <c r="AG561" s="218">
        <f>AF561+30000</f>
        <v>51477.18</v>
      </c>
      <c r="AH561" s="207" t="s">
        <v>4433</v>
      </c>
      <c r="AI561" s="214" t="s">
        <v>4411</v>
      </c>
      <c r="AJ561" s="207">
        <v>146670420</v>
      </c>
      <c r="AK561" s="316">
        <v>45996</v>
      </c>
      <c r="AL561" s="316">
        <v>45996</v>
      </c>
      <c r="AM561" s="316">
        <v>45996</v>
      </c>
      <c r="AN561" s="316">
        <v>45996</v>
      </c>
      <c r="AO561" s="316">
        <v>45996</v>
      </c>
      <c r="AP561" s="316">
        <v>45996</v>
      </c>
      <c r="AQ561" s="314"/>
      <c r="AR561" s="315" t="str">
        <f t="shared" si="36"/>
        <v>FINALIZADO</v>
      </c>
      <c r="AS561" s="207" t="s">
        <v>4423</v>
      </c>
      <c r="AT561" s="219"/>
      <c r="AU561" s="220" t="s">
        <v>6814</v>
      </c>
      <c r="AV561" s="207" t="s">
        <v>4425</v>
      </c>
      <c r="AW561" s="207" t="s">
        <v>4425</v>
      </c>
      <c r="AX561" s="207" t="s">
        <v>4425</v>
      </c>
      <c r="AY561" s="207" t="s">
        <v>4425</v>
      </c>
      <c r="AZ561" s="202">
        <v>46020</v>
      </c>
      <c r="BA561" s="219" t="s">
        <v>4425</v>
      </c>
      <c r="BB561" s="207" t="s">
        <v>4425</v>
      </c>
      <c r="BC561" s="208">
        <v>46027</v>
      </c>
      <c r="BD561" s="227">
        <v>46027</v>
      </c>
      <c r="BE561" s="226" t="s">
        <v>4435</v>
      </c>
      <c r="BF561" s="228" t="s">
        <v>4436</v>
      </c>
      <c r="BG561" s="229" t="s">
        <v>4425</v>
      </c>
      <c r="BH561" s="321">
        <f t="shared" si="37"/>
        <v>31</v>
      </c>
      <c r="BI561" s="98" t="str">
        <f t="shared" si="38"/>
        <v>INDENIZAÇÃO</v>
      </c>
      <c r="BJ561" s="98" t="str">
        <f t="shared" si="39"/>
        <v>NÃO</v>
      </c>
      <c r="BK561" s="230" t="s">
        <v>4437</v>
      </c>
      <c r="BL561" s="230" t="s">
        <v>4437</v>
      </c>
      <c r="BM561" s="230" t="s">
        <v>4437</v>
      </c>
      <c r="BN561" s="265" t="s">
        <v>5732</v>
      </c>
      <c r="BO561" s="265"/>
      <c r="BP561" s="265"/>
      <c r="BQ561" s="265"/>
      <c r="BR561" s="231"/>
    </row>
    <row r="562" spans="1:112" s="240" customFormat="1" ht="27" customHeight="1">
      <c r="A562" s="207">
        <v>558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6810</v>
      </c>
      <c r="G562" s="219" t="s">
        <v>4400</v>
      </c>
      <c r="H562" s="219" t="s">
        <v>4401</v>
      </c>
      <c r="I562" s="219" t="s">
        <v>4402</v>
      </c>
      <c r="J562" s="255" t="s">
        <v>6815</v>
      </c>
      <c r="K562" s="255" t="s">
        <v>6816</v>
      </c>
      <c r="L562" s="255" t="s">
        <v>6817</v>
      </c>
      <c r="M562" s="219" t="s">
        <v>4405</v>
      </c>
      <c r="N562" s="219" t="s">
        <v>4432</v>
      </c>
      <c r="O562" s="202" t="s">
        <v>4409</v>
      </c>
      <c r="P562" s="202" t="s">
        <v>4409</v>
      </c>
      <c r="Q562" s="202" t="s">
        <v>4409</v>
      </c>
      <c r="R562" s="202" t="s">
        <v>4409</v>
      </c>
      <c r="S562" s="202" t="s">
        <v>4409</v>
      </c>
      <c r="T562" s="202" t="s">
        <v>4409</v>
      </c>
      <c r="U562" s="202" t="s">
        <v>4409</v>
      </c>
      <c r="V562" s="202" t="s">
        <v>4409</v>
      </c>
      <c r="W562" s="202" t="s">
        <v>4409</v>
      </c>
      <c r="X562" s="202" t="s">
        <v>4409</v>
      </c>
      <c r="Y562" s="202"/>
      <c r="Z562" s="202"/>
      <c r="AA562" s="255" t="s">
        <v>6815</v>
      </c>
      <c r="AB562" s="255" t="s">
        <v>6816</v>
      </c>
      <c r="AC562" s="255" t="s">
        <v>6817</v>
      </c>
      <c r="AD562" s="219" t="s">
        <v>4402</v>
      </c>
      <c r="AE562" s="219" t="s">
        <v>4405</v>
      </c>
      <c r="AF562" s="218">
        <v>16467.03</v>
      </c>
      <c r="AG562" s="218">
        <f>AF562+30000</f>
        <v>46467.03</v>
      </c>
      <c r="AH562" s="207" t="s">
        <v>4433</v>
      </c>
      <c r="AI562" s="214" t="s">
        <v>4411</v>
      </c>
      <c r="AJ562" s="207">
        <v>153982499</v>
      </c>
      <c r="AK562" s="317">
        <v>46125</v>
      </c>
      <c r="AL562" s="317">
        <v>46125</v>
      </c>
      <c r="AM562" s="317">
        <v>46125</v>
      </c>
      <c r="AN562" s="317">
        <v>46125</v>
      </c>
      <c r="AO562" s="317">
        <v>46125</v>
      </c>
      <c r="AP562" s="317">
        <v>46125</v>
      </c>
      <c r="AQ562" s="314"/>
      <c r="AR562" s="315" t="str">
        <f t="shared" si="36"/>
        <v>FINALIZADO</v>
      </c>
      <c r="AS562" s="207" t="s">
        <v>4423</v>
      </c>
      <c r="AT562" s="219"/>
      <c r="AU562" s="220" t="s">
        <v>6818</v>
      </c>
      <c r="AV562" s="262" t="s">
        <v>4425</v>
      </c>
      <c r="AW562" s="219" t="s">
        <v>4425</v>
      </c>
      <c r="AX562" s="219" t="s">
        <v>4425</v>
      </c>
      <c r="AY562" s="219" t="s">
        <v>4425</v>
      </c>
      <c r="AZ562" s="202">
        <v>46226</v>
      </c>
      <c r="BA562" s="219" t="s">
        <v>4425</v>
      </c>
      <c r="BB562" s="219" t="s">
        <v>4425</v>
      </c>
      <c r="BC562" s="202">
        <v>46232</v>
      </c>
      <c r="BD562" s="226">
        <v>46232</v>
      </c>
      <c r="BE562" s="257" t="s">
        <v>4435</v>
      </c>
      <c r="BF562" s="257" t="s">
        <v>4436</v>
      </c>
      <c r="BG562" s="219" t="s">
        <v>4425</v>
      </c>
      <c r="BH562" s="321">
        <f t="shared" si="37"/>
        <v>107</v>
      </c>
      <c r="BI562" s="98" t="str">
        <f t="shared" si="38"/>
        <v>INDENIZAÇÃO</v>
      </c>
      <c r="BJ562" s="98" t="str">
        <f t="shared" si="39"/>
        <v>NÃO</v>
      </c>
      <c r="BK562" s="219" t="s">
        <v>4437</v>
      </c>
      <c r="BL562" s="219" t="s">
        <v>4437</v>
      </c>
      <c r="BM562" s="219" t="s">
        <v>4437</v>
      </c>
      <c r="BN562" s="257" t="s">
        <v>5732</v>
      </c>
      <c r="BO562" s="257"/>
      <c r="BP562" s="257"/>
      <c r="BQ562" s="257"/>
      <c r="BR562" s="258"/>
      <c r="BS562" s="223"/>
    </row>
    <row r="563" spans="1:112" s="240" customFormat="1" ht="27" customHeight="1">
      <c r="A563" s="207">
        <v>559</v>
      </c>
      <c r="B563" s="197" t="s">
        <v>4396</v>
      </c>
      <c r="C563" s="207" t="s">
        <v>4413</v>
      </c>
      <c r="D563" s="207">
        <v>1</v>
      </c>
      <c r="E563" s="207" t="s">
        <v>4398</v>
      </c>
      <c r="F563" s="214" t="s">
        <v>6819</v>
      </c>
      <c r="G563" s="207" t="s">
        <v>4400</v>
      </c>
      <c r="H563" s="207" t="s">
        <v>4401</v>
      </c>
      <c r="I563" s="207" t="s">
        <v>4402</v>
      </c>
      <c r="J563" s="215" t="s">
        <v>6820</v>
      </c>
      <c r="K563" s="215" t="s">
        <v>6821</v>
      </c>
      <c r="L563" s="215" t="s">
        <v>6822</v>
      </c>
      <c r="M563" s="207" t="s">
        <v>4405</v>
      </c>
      <c r="N563" s="207" t="s">
        <v>4406</v>
      </c>
      <c r="O563" s="203">
        <v>46090</v>
      </c>
      <c r="P563" s="203" t="s">
        <v>4407</v>
      </c>
      <c r="Q563" s="202">
        <v>46090</v>
      </c>
      <c r="R563" s="202">
        <v>46099</v>
      </c>
      <c r="S563" s="202">
        <v>46101</v>
      </c>
      <c r="T563" s="202">
        <v>46118</v>
      </c>
      <c r="U563" s="202" t="s">
        <v>4408</v>
      </c>
      <c r="V563" s="202" t="s">
        <v>4408</v>
      </c>
      <c r="W563" s="202">
        <v>46118</v>
      </c>
      <c r="X563" s="202">
        <v>46119</v>
      </c>
      <c r="Y563" s="202"/>
      <c r="Z563" s="202"/>
      <c r="AA563" s="215" t="s">
        <v>6820</v>
      </c>
      <c r="AB563" s="215" t="s">
        <v>6821</v>
      </c>
      <c r="AC563" s="215" t="s">
        <v>6822</v>
      </c>
      <c r="AD563" s="207" t="s">
        <v>4402</v>
      </c>
      <c r="AE563" s="207" t="s">
        <v>4405</v>
      </c>
      <c r="AF563" s="218" t="s">
        <v>4409</v>
      </c>
      <c r="AG563" s="218" t="s">
        <v>4409</v>
      </c>
      <c r="AH563" s="207" t="s">
        <v>4410</v>
      </c>
      <c r="AI563" s="214" t="s">
        <v>4411</v>
      </c>
      <c r="AJ563" s="207"/>
      <c r="AK563" s="316">
        <v>46086</v>
      </c>
      <c r="AL563" s="316">
        <v>46086</v>
      </c>
      <c r="AM563" s="316">
        <v>46086</v>
      </c>
      <c r="AN563" s="316">
        <v>46086</v>
      </c>
      <c r="AO563" s="316">
        <v>46086</v>
      </c>
      <c r="AP563" s="316">
        <v>46086</v>
      </c>
      <c r="AQ563" s="314"/>
      <c r="AR563" s="315" t="str">
        <f t="shared" si="36"/>
        <v>FINALIZADO</v>
      </c>
      <c r="AS563" s="207"/>
      <c r="AT563" s="219"/>
      <c r="AU563" s="220"/>
      <c r="AV563" s="219"/>
      <c r="AW563" s="219"/>
      <c r="AX563" s="219"/>
      <c r="AY563" s="219"/>
      <c r="AZ563" s="219"/>
      <c r="BA563" s="219"/>
      <c r="BB563" s="219"/>
      <c r="BC563" s="219"/>
      <c r="BD563" s="208"/>
      <c r="BE563" s="203"/>
      <c r="BF563" s="219"/>
      <c r="BG563" s="219"/>
      <c r="BH563" s="321" t="str">
        <f t="shared" si="37"/>
        <v/>
      </c>
      <c r="BI563" s="98" t="str">
        <f t="shared" si="38"/>
        <v>AA</v>
      </c>
      <c r="BJ563" s="98" t="str">
        <f t="shared" si="39"/>
        <v>NÃO</v>
      </c>
      <c r="BK563" s="219"/>
      <c r="BL563" s="221"/>
      <c r="BM563" s="221"/>
      <c r="BN563" s="219"/>
      <c r="BO563" s="219"/>
      <c r="BP563" s="219"/>
      <c r="BQ563" s="219"/>
      <c r="BR563" s="222"/>
    </row>
    <row r="564" spans="1:112" s="240" customFormat="1" ht="27" hidden="1" customHeight="1">
      <c r="A564" s="197">
        <v>560</v>
      </c>
      <c r="B564" s="197" t="s">
        <v>4396</v>
      </c>
      <c r="C564" s="207" t="s">
        <v>4427</v>
      </c>
      <c r="D564" s="207">
        <v>1</v>
      </c>
      <c r="E564" s="207" t="s">
        <v>4398</v>
      </c>
      <c r="F564" s="214" t="s">
        <v>6819</v>
      </c>
      <c r="G564" s="207" t="s">
        <v>4400</v>
      </c>
      <c r="H564" s="207" t="s">
        <v>4401</v>
      </c>
      <c r="I564" s="217" t="s">
        <v>4402</v>
      </c>
      <c r="J564" s="215" t="s">
        <v>6823</v>
      </c>
      <c r="K564" s="215" t="s">
        <v>6824</v>
      </c>
      <c r="L564" s="215" t="s">
        <v>6825</v>
      </c>
      <c r="M564" s="207" t="s">
        <v>4405</v>
      </c>
      <c r="N564" s="207" t="s">
        <v>4406</v>
      </c>
      <c r="O564" s="202">
        <v>46002</v>
      </c>
      <c r="P564" s="202" t="s">
        <v>4407</v>
      </c>
      <c r="Q564" s="202">
        <v>45999</v>
      </c>
      <c r="R564" s="202">
        <v>46006</v>
      </c>
      <c r="S564" s="202">
        <v>46006</v>
      </c>
      <c r="T564" s="202">
        <v>46009</v>
      </c>
      <c r="U564" s="202" t="s">
        <v>4408</v>
      </c>
      <c r="V564" s="202" t="s">
        <v>4408</v>
      </c>
      <c r="W564" s="202">
        <v>46014</v>
      </c>
      <c r="X564" s="202">
        <v>46017</v>
      </c>
      <c r="Y564" s="202"/>
      <c r="Z564" s="207"/>
      <c r="AA564" s="215" t="s">
        <v>6823</v>
      </c>
      <c r="AB564" s="215" t="s">
        <v>6824</v>
      </c>
      <c r="AC564" s="215" t="s">
        <v>6825</v>
      </c>
      <c r="AD564" s="207" t="s">
        <v>4402</v>
      </c>
      <c r="AE564" s="207" t="s">
        <v>4405</v>
      </c>
      <c r="AF564" s="218" t="s">
        <v>4409</v>
      </c>
      <c r="AG564" s="218" t="s">
        <v>4409</v>
      </c>
      <c r="AH564" s="207" t="s">
        <v>4410</v>
      </c>
      <c r="AI564" s="214" t="s">
        <v>4411</v>
      </c>
      <c r="AJ564" s="207"/>
      <c r="AK564" s="316">
        <v>45996</v>
      </c>
      <c r="AL564" s="316">
        <v>45996</v>
      </c>
      <c r="AM564" s="316">
        <v>45996</v>
      </c>
      <c r="AN564" s="316">
        <v>45996</v>
      </c>
      <c r="AO564" s="316">
        <v>45996</v>
      </c>
      <c r="AP564" s="316">
        <v>45996</v>
      </c>
      <c r="AQ564" s="314"/>
      <c r="AR564" s="315" t="str">
        <f t="shared" si="36"/>
        <v>FINALIZADO</v>
      </c>
      <c r="AS564" s="207"/>
      <c r="AT564" s="207"/>
      <c r="AU564" s="220"/>
      <c r="AV564" s="160"/>
      <c r="AW564" s="207"/>
      <c r="AX564" s="207"/>
      <c r="AY564" s="207"/>
      <c r="AZ564" s="202"/>
      <c r="BA564" s="219"/>
      <c r="BB564" s="207"/>
      <c r="BC564" s="202"/>
      <c r="BD564" s="208"/>
      <c r="BE564" s="202"/>
      <c r="BF564" s="207"/>
      <c r="BG564" s="229"/>
      <c r="BH564" s="321" t="str">
        <f t="shared" si="37"/>
        <v/>
      </c>
      <c r="BI564" s="98" t="str">
        <f t="shared" si="38"/>
        <v>AA</v>
      </c>
      <c r="BJ564" s="98" t="str">
        <f t="shared" si="39"/>
        <v>NÃO</v>
      </c>
      <c r="BK564" s="230"/>
      <c r="BL564" s="230"/>
      <c r="BM564" s="230"/>
      <c r="BN564" s="230"/>
      <c r="BO564" s="230"/>
      <c r="BP564" s="230"/>
      <c r="BQ564" s="230"/>
      <c r="BR564" s="234"/>
      <c r="BS564" s="161"/>
      <c r="BT564" s="161"/>
      <c r="BU564" s="161"/>
      <c r="BV564" s="161"/>
      <c r="BW564" s="161"/>
      <c r="BX564" s="161"/>
      <c r="BY564" s="161"/>
      <c r="BZ564" s="161"/>
      <c r="CA564" s="161"/>
      <c r="CB564" s="161"/>
      <c r="CC564" s="161"/>
      <c r="CD564" s="161"/>
      <c r="CE564" s="161"/>
      <c r="CF564" s="161"/>
      <c r="CG564" s="161"/>
      <c r="CH564" s="161"/>
      <c r="CI564" s="161"/>
      <c r="CJ564" s="161"/>
      <c r="CK564" s="161"/>
      <c r="CL564" s="161"/>
      <c r="CM564" s="161"/>
      <c r="CN564" s="161"/>
      <c r="CO564" s="161"/>
      <c r="CP564" s="161"/>
      <c r="CQ564" s="161"/>
      <c r="CR564" s="161"/>
      <c r="CS564" s="161"/>
      <c r="CT564" s="161"/>
      <c r="CU564" s="161"/>
      <c r="CV564" s="161"/>
      <c r="CW564" s="161"/>
      <c r="CX564" s="161"/>
      <c r="CY564" s="161"/>
      <c r="CZ564" s="161"/>
      <c r="DA564" s="161"/>
      <c r="DB564" s="161"/>
      <c r="DC564" s="161"/>
      <c r="DD564" s="161"/>
      <c r="DE564" s="161"/>
      <c r="DF564" s="161"/>
      <c r="DG564" s="161"/>
      <c r="DH564" s="161"/>
    </row>
    <row r="565" spans="1:112" s="240" customFormat="1" ht="27" customHeight="1">
      <c r="A565" s="197">
        <v>561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6826</v>
      </c>
      <c r="G565" s="207" t="s">
        <v>4400</v>
      </c>
      <c r="H565" s="207" t="s">
        <v>4401</v>
      </c>
      <c r="I565" s="207" t="s">
        <v>4402</v>
      </c>
      <c r="J565" s="215" t="s">
        <v>6827</v>
      </c>
      <c r="K565" s="215" t="s">
        <v>6828</v>
      </c>
      <c r="L565" s="215" t="s">
        <v>6829</v>
      </c>
      <c r="M565" s="207" t="s">
        <v>4405</v>
      </c>
      <c r="N565" s="207" t="s">
        <v>4406</v>
      </c>
      <c r="O565" s="202">
        <v>46106</v>
      </c>
      <c r="P565" s="203" t="s">
        <v>4407</v>
      </c>
      <c r="Q565" s="202">
        <v>46106</v>
      </c>
      <c r="R565" s="202">
        <v>46107</v>
      </c>
      <c r="S565" s="202">
        <v>46111</v>
      </c>
      <c r="T565" s="202">
        <v>46087</v>
      </c>
      <c r="U565" s="202" t="s">
        <v>4408</v>
      </c>
      <c r="V565" s="202" t="s">
        <v>4408</v>
      </c>
      <c r="W565" s="202">
        <v>46132</v>
      </c>
      <c r="X565" s="202">
        <v>46129</v>
      </c>
      <c r="Y565" s="202"/>
      <c r="Z565" s="202"/>
      <c r="AA565" s="215" t="s">
        <v>6827</v>
      </c>
      <c r="AB565" s="215" t="s">
        <v>6828</v>
      </c>
      <c r="AC565" s="215" t="s">
        <v>6829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161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customHeight="1">
      <c r="A566" s="207">
        <v>562</v>
      </c>
      <c r="B566" s="197" t="s">
        <v>4396</v>
      </c>
      <c r="C566" s="207" t="s">
        <v>4413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07" t="s">
        <v>4402</v>
      </c>
      <c r="J566" s="215" t="s">
        <v>6831</v>
      </c>
      <c r="K566" s="215" t="s">
        <v>6832</v>
      </c>
      <c r="L566" s="215" t="s">
        <v>6833</v>
      </c>
      <c r="M566" s="207" t="s">
        <v>4405</v>
      </c>
      <c r="N566" s="207" t="s">
        <v>4406</v>
      </c>
      <c r="O566" s="202">
        <v>46084</v>
      </c>
      <c r="P566" s="202" t="s">
        <v>4407</v>
      </c>
      <c r="Q566" s="202">
        <v>46083</v>
      </c>
      <c r="R566" s="203">
        <v>46084</v>
      </c>
      <c r="S566" s="203">
        <v>46087</v>
      </c>
      <c r="T566" s="203">
        <v>46090</v>
      </c>
      <c r="U566" s="202" t="s">
        <v>4408</v>
      </c>
      <c r="V566" s="202" t="s">
        <v>4408</v>
      </c>
      <c r="W566" s="202">
        <v>46101</v>
      </c>
      <c r="X566" s="202">
        <v>46104</v>
      </c>
      <c r="Y566" s="202"/>
      <c r="Z566" s="202"/>
      <c r="AA566" s="215" t="s">
        <v>6831</v>
      </c>
      <c r="AB566" s="215" t="s">
        <v>6832</v>
      </c>
      <c r="AC566" s="215" t="s">
        <v>6833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46080</v>
      </c>
      <c r="AL566" s="316">
        <v>46080</v>
      </c>
      <c r="AM566" s="316">
        <v>46080</v>
      </c>
      <c r="AN566" s="316">
        <v>46080</v>
      </c>
      <c r="AO566" s="316">
        <v>46080</v>
      </c>
      <c r="AP566" s="316">
        <v>46080</v>
      </c>
      <c r="AQ566" s="314"/>
      <c r="AR566" s="315" t="str">
        <f t="shared" si="36"/>
        <v>FINALIZADO</v>
      </c>
      <c r="AS566" s="207"/>
      <c r="AT566" s="217"/>
      <c r="AU566" s="220"/>
      <c r="AV566" s="199"/>
      <c r="AW566" s="217"/>
      <c r="AX566" s="217"/>
      <c r="AY566" s="217"/>
      <c r="AZ566" s="217"/>
      <c r="BA566" s="217"/>
      <c r="BB566" s="217"/>
      <c r="BC566" s="217"/>
      <c r="BD566" s="208"/>
      <c r="BE566" s="216"/>
      <c r="BF566" s="217"/>
      <c r="BG566" s="21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19"/>
      <c r="BL566" s="221"/>
      <c r="BM566" s="221"/>
      <c r="BN566" s="219"/>
      <c r="BO566" s="219"/>
      <c r="BP566" s="219"/>
      <c r="BQ566" s="219"/>
      <c r="BR566" s="222"/>
    </row>
    <row r="567" spans="1:112" s="240" customFormat="1" ht="27" customHeight="1">
      <c r="A567" s="207">
        <v>563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6834</v>
      </c>
      <c r="G567" s="207" t="s">
        <v>4400</v>
      </c>
      <c r="H567" s="207" t="s">
        <v>4401</v>
      </c>
      <c r="I567" s="207" t="s">
        <v>4402</v>
      </c>
      <c r="J567" s="215" t="s">
        <v>6835</v>
      </c>
      <c r="K567" s="215" t="s">
        <v>4398</v>
      </c>
      <c r="L567" s="215" t="s">
        <v>6836</v>
      </c>
      <c r="M567" s="207" t="s">
        <v>4405</v>
      </c>
      <c r="N567" s="207" t="s">
        <v>4406</v>
      </c>
      <c r="O567" s="203">
        <v>46090</v>
      </c>
      <c r="P567" s="203" t="s">
        <v>4407</v>
      </c>
      <c r="Q567" s="202">
        <v>46090</v>
      </c>
      <c r="R567" s="202">
        <v>46099</v>
      </c>
      <c r="S567" s="202">
        <v>46101</v>
      </c>
      <c r="T567" s="202">
        <v>46118</v>
      </c>
      <c r="U567" s="202" t="s">
        <v>4408</v>
      </c>
      <c r="V567" s="202" t="s">
        <v>4408</v>
      </c>
      <c r="W567" s="202">
        <v>46118</v>
      </c>
      <c r="X567" s="202">
        <v>46118</v>
      </c>
      <c r="Y567" s="202"/>
      <c r="Z567" s="202"/>
      <c r="AA567" s="215" t="s">
        <v>6835</v>
      </c>
      <c r="AB567" s="215" t="s">
        <v>4398</v>
      </c>
      <c r="AC567" s="215" t="s">
        <v>6836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219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564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6837</v>
      </c>
      <c r="G568" s="207" t="s">
        <v>4400</v>
      </c>
      <c r="H568" s="207" t="s">
        <v>4401</v>
      </c>
      <c r="I568" s="207" t="s">
        <v>4402</v>
      </c>
      <c r="J568" s="215" t="s">
        <v>1934</v>
      </c>
      <c r="K568" s="215" t="s">
        <v>6838</v>
      </c>
      <c r="L568" s="215" t="s">
        <v>6839</v>
      </c>
      <c r="M568" s="207" t="s">
        <v>4405</v>
      </c>
      <c r="N568" s="207" t="s">
        <v>4406</v>
      </c>
      <c r="O568" s="203">
        <v>46090</v>
      </c>
      <c r="P568" s="203" t="s">
        <v>4407</v>
      </c>
      <c r="Q568" s="202">
        <v>46090</v>
      </c>
      <c r="R568" s="202">
        <v>46099</v>
      </c>
      <c r="S568" s="202">
        <v>46101</v>
      </c>
      <c r="T568" s="202">
        <v>46118</v>
      </c>
      <c r="U568" s="202" t="s">
        <v>4408</v>
      </c>
      <c r="V568" s="202" t="s">
        <v>4408</v>
      </c>
      <c r="W568" s="202">
        <v>46118</v>
      </c>
      <c r="X568" s="202">
        <v>46118</v>
      </c>
      <c r="Y568" s="202"/>
      <c r="Z568" s="202"/>
      <c r="AA568" s="215" t="s">
        <v>1934</v>
      </c>
      <c r="AB568" s="215" t="s">
        <v>6838</v>
      </c>
      <c r="AC568" s="215" t="s">
        <v>6839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46086</v>
      </c>
      <c r="AL568" s="316">
        <v>46086</v>
      </c>
      <c r="AM568" s="316">
        <v>46086</v>
      </c>
      <c r="AN568" s="316">
        <v>46086</v>
      </c>
      <c r="AO568" s="316">
        <v>46086</v>
      </c>
      <c r="AP568" s="316">
        <v>46086</v>
      </c>
      <c r="AQ568" s="314"/>
      <c r="AR568" s="315" t="str">
        <f t="shared" si="36"/>
        <v>FINALIZADO</v>
      </c>
      <c r="AS568" s="207"/>
      <c r="AT568" s="219"/>
      <c r="AU568" s="220"/>
      <c r="AV568" s="161"/>
      <c r="AW568" s="219"/>
      <c r="AX568" s="219"/>
      <c r="AY568" s="219"/>
      <c r="AZ568" s="219"/>
      <c r="BA568" s="219"/>
      <c r="BB568" s="219"/>
      <c r="BC568" s="219"/>
      <c r="BD568" s="208"/>
      <c r="BE568" s="203"/>
      <c r="BF568" s="219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ht="27" hidden="1" customHeight="1">
      <c r="A569" s="197">
        <v>565</v>
      </c>
      <c r="B569" s="197" t="s">
        <v>4396</v>
      </c>
      <c r="C569" s="207" t="s">
        <v>4427</v>
      </c>
      <c r="D569" s="207">
        <v>1</v>
      </c>
      <c r="E569" s="207" t="s">
        <v>4398</v>
      </c>
      <c r="F569" s="214" t="s">
        <v>6840</v>
      </c>
      <c r="G569" s="207" t="s">
        <v>4400</v>
      </c>
      <c r="H569" s="207" t="s">
        <v>4401</v>
      </c>
      <c r="I569" s="217" t="s">
        <v>4402</v>
      </c>
      <c r="J569" s="255" t="s">
        <v>6841</v>
      </c>
      <c r="K569" s="215" t="s">
        <v>6842</v>
      </c>
      <c r="L569" s="215" t="s">
        <v>6843</v>
      </c>
      <c r="M569" s="207" t="s">
        <v>4405</v>
      </c>
      <c r="N569" s="207" t="s">
        <v>4442</v>
      </c>
      <c r="O569" s="202" t="s">
        <v>4409</v>
      </c>
      <c r="P569" s="202" t="s">
        <v>4409</v>
      </c>
      <c r="Q569" s="202" t="s">
        <v>4409</v>
      </c>
      <c r="R569" s="202" t="s">
        <v>4409</v>
      </c>
      <c r="S569" s="202" t="s">
        <v>4409</v>
      </c>
      <c r="T569" s="202" t="s">
        <v>4409</v>
      </c>
      <c r="U569" s="202" t="s">
        <v>4409</v>
      </c>
      <c r="V569" s="202" t="s">
        <v>4409</v>
      </c>
      <c r="W569" s="202" t="s">
        <v>4409</v>
      </c>
      <c r="X569" s="202" t="s">
        <v>4409</v>
      </c>
      <c r="Y569" s="202"/>
      <c r="Z569" s="202"/>
      <c r="AA569" s="215" t="s">
        <v>6841</v>
      </c>
      <c r="AB569" s="215" t="s">
        <v>6842</v>
      </c>
      <c r="AC569" s="215" t="s">
        <v>6843</v>
      </c>
      <c r="AD569" s="207" t="s">
        <v>4402</v>
      </c>
      <c r="AE569" s="207" t="s">
        <v>4405</v>
      </c>
      <c r="AF569" s="218">
        <v>13868.89</v>
      </c>
      <c r="AG569" s="218">
        <f>AF569+30000</f>
        <v>43868.89</v>
      </c>
      <c r="AH569" s="207" t="s">
        <v>4433</v>
      </c>
      <c r="AI569" s="214" t="s">
        <v>4411</v>
      </c>
      <c r="AJ569" s="207">
        <v>150959517</v>
      </c>
      <c r="AK569" s="316">
        <v>46077</v>
      </c>
      <c r="AL569" s="316">
        <v>46077</v>
      </c>
      <c r="AM569" s="316">
        <v>46077</v>
      </c>
      <c r="AN569" s="316">
        <v>46077</v>
      </c>
      <c r="AO569" s="316">
        <v>46077</v>
      </c>
      <c r="AP569" s="316">
        <v>46077</v>
      </c>
      <c r="AQ569" s="314"/>
      <c r="AR569" s="315" t="str">
        <f t="shared" si="36"/>
        <v>FINALIZADO</v>
      </c>
      <c r="AS569" s="207" t="s">
        <v>4423</v>
      </c>
      <c r="AT569" s="207"/>
      <c r="AU569" s="220" t="s">
        <v>6844</v>
      </c>
      <c r="AV569" s="207" t="s">
        <v>4425</v>
      </c>
      <c r="AW569" s="207" t="s">
        <v>4425</v>
      </c>
      <c r="AX569" s="207" t="s">
        <v>4425</v>
      </c>
      <c r="AY569" s="207" t="s">
        <v>4425</v>
      </c>
      <c r="AZ569" s="202">
        <v>46153</v>
      </c>
      <c r="BA569" s="207" t="s">
        <v>4425</v>
      </c>
      <c r="BB569" s="207" t="s">
        <v>4425</v>
      </c>
      <c r="BC569" s="202">
        <v>46182</v>
      </c>
      <c r="BD569" s="227">
        <v>46182</v>
      </c>
      <c r="BE569" s="235" t="s">
        <v>4435</v>
      </c>
      <c r="BF569" s="236" t="s">
        <v>4436</v>
      </c>
      <c r="BG569" s="237" t="s">
        <v>4425</v>
      </c>
      <c r="BH569" s="321">
        <f t="shared" si="37"/>
        <v>105</v>
      </c>
      <c r="BI569" s="98" t="str">
        <f t="shared" si="38"/>
        <v>INDENIZAÇÃO</v>
      </c>
      <c r="BJ569" s="98" t="str">
        <f t="shared" si="39"/>
        <v>NÃO</v>
      </c>
      <c r="BK569" s="238" t="s">
        <v>4437</v>
      </c>
      <c r="BL569" s="238" t="s">
        <v>4437</v>
      </c>
      <c r="BM569" s="238" t="s">
        <v>4437</v>
      </c>
      <c r="BN569" s="273" t="s">
        <v>5732</v>
      </c>
      <c r="BO569" s="265"/>
      <c r="BP569" s="265"/>
      <c r="BQ569" s="265"/>
      <c r="BR569" s="231"/>
      <c r="BS569" s="240"/>
      <c r="BT569" s="240"/>
      <c r="BU569" s="240"/>
      <c r="BV569" s="240"/>
      <c r="BW569" s="240"/>
      <c r="BX569" s="240"/>
      <c r="BY569" s="240"/>
      <c r="BZ569" s="240"/>
      <c r="CA569" s="240"/>
      <c r="CB569" s="240"/>
      <c r="CC569" s="240"/>
      <c r="CD569" s="240"/>
      <c r="CE569" s="240"/>
      <c r="CF569" s="240"/>
      <c r="CG569" s="240"/>
      <c r="CH569" s="240"/>
      <c r="CI569" s="240"/>
      <c r="CJ569" s="240"/>
      <c r="CK569" s="240"/>
      <c r="CL569" s="240"/>
      <c r="CM569" s="240"/>
      <c r="CN569" s="240"/>
      <c r="CO569" s="240"/>
      <c r="CP569" s="240"/>
      <c r="CQ569" s="240"/>
      <c r="CR569" s="240"/>
      <c r="CS569" s="240"/>
      <c r="CT569" s="240"/>
      <c r="CU569" s="240"/>
      <c r="CV569" s="240"/>
      <c r="CW569" s="240"/>
      <c r="CX569" s="240"/>
      <c r="CY569" s="240"/>
      <c r="CZ569" s="240"/>
      <c r="DA569" s="240"/>
      <c r="DB569" s="240"/>
      <c r="DC569" s="240"/>
      <c r="DD569" s="240"/>
      <c r="DE569" s="240"/>
      <c r="DF569" s="240"/>
      <c r="DG569" s="240"/>
      <c r="DH569" s="240"/>
    </row>
    <row r="570" spans="1:112" ht="27" customHeight="1">
      <c r="A570" s="197">
        <v>566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6840</v>
      </c>
      <c r="G570" s="207" t="s">
        <v>4400</v>
      </c>
      <c r="H570" s="207" t="s">
        <v>4401</v>
      </c>
      <c r="I570" s="207" t="s">
        <v>4402</v>
      </c>
      <c r="J570" s="215" t="s">
        <v>6845</v>
      </c>
      <c r="K570" s="215" t="s">
        <v>6846</v>
      </c>
      <c r="L570" s="215" t="s">
        <v>6847</v>
      </c>
      <c r="M570" s="207" t="s">
        <v>4405</v>
      </c>
      <c r="N570" s="207" t="s">
        <v>4406</v>
      </c>
      <c r="O570" s="202">
        <v>46126</v>
      </c>
      <c r="P570" s="202" t="s">
        <v>4407</v>
      </c>
      <c r="Q570" s="203">
        <v>46126</v>
      </c>
      <c r="R570" s="203">
        <v>46126</v>
      </c>
      <c r="S570" s="203">
        <v>46136</v>
      </c>
      <c r="T570" s="203">
        <v>46140</v>
      </c>
      <c r="U570" s="203" t="s">
        <v>4408</v>
      </c>
      <c r="V570" s="203" t="s">
        <v>4408</v>
      </c>
      <c r="W570" s="202">
        <v>46153</v>
      </c>
      <c r="X570" s="203">
        <v>46154</v>
      </c>
      <c r="Y570" s="203"/>
      <c r="Z570" s="219"/>
      <c r="AA570" s="215" t="s">
        <v>6845</v>
      </c>
      <c r="AB570" s="215" t="s">
        <v>6846</v>
      </c>
      <c r="AC570" s="215" t="s">
        <v>6847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7">
        <v>46134</v>
      </c>
      <c r="AL570" s="317">
        <v>46134</v>
      </c>
      <c r="AM570" s="317">
        <v>46134</v>
      </c>
      <c r="AN570" s="317">
        <v>46134</v>
      </c>
      <c r="AO570" s="317">
        <v>46134</v>
      </c>
      <c r="AP570" s="317">
        <v>46134</v>
      </c>
      <c r="AQ570" s="314"/>
      <c r="AR570" s="315" t="str">
        <f t="shared" si="36"/>
        <v>FINALIZADO</v>
      </c>
      <c r="AS570" s="207"/>
      <c r="AT570" s="219"/>
      <c r="AU570" s="220"/>
      <c r="AV570" s="219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  <c r="BS570" s="240"/>
      <c r="BT570" s="240"/>
      <c r="BU570" s="240"/>
      <c r="BV570" s="240"/>
      <c r="BW570" s="240"/>
      <c r="BX570" s="240"/>
      <c r="BY570" s="240"/>
      <c r="BZ570" s="240"/>
      <c r="CA570" s="240"/>
      <c r="CB570" s="240"/>
      <c r="CC570" s="240"/>
      <c r="CD570" s="240"/>
      <c r="CE570" s="240"/>
      <c r="CF570" s="240"/>
      <c r="CG570" s="240"/>
      <c r="CH570" s="240"/>
      <c r="CI570" s="240"/>
      <c r="CJ570" s="240"/>
      <c r="CK570" s="240"/>
      <c r="CL570" s="240"/>
      <c r="CM570" s="240"/>
      <c r="CN570" s="240"/>
      <c r="CO570" s="240"/>
      <c r="CP570" s="240"/>
      <c r="CQ570" s="240"/>
      <c r="CR570" s="240"/>
      <c r="CS570" s="240"/>
      <c r="CT570" s="240"/>
      <c r="CU570" s="240"/>
      <c r="CV570" s="240"/>
      <c r="CW570" s="240"/>
      <c r="CX570" s="240"/>
      <c r="CY570" s="240"/>
      <c r="CZ570" s="240"/>
      <c r="DA570" s="240"/>
      <c r="DB570" s="240"/>
      <c r="DC570" s="240"/>
      <c r="DD570" s="240"/>
      <c r="DE570" s="240"/>
      <c r="DF570" s="240"/>
      <c r="DG570" s="240"/>
      <c r="DH570" s="240"/>
    </row>
    <row r="571" spans="1:112" ht="27" hidden="1" customHeight="1">
      <c r="A571" s="207">
        <v>567</v>
      </c>
      <c r="B571" s="197" t="s">
        <v>4396</v>
      </c>
      <c r="C571" s="207" t="s">
        <v>4427</v>
      </c>
      <c r="D571" s="207">
        <v>1</v>
      </c>
      <c r="E571" s="207" t="s">
        <v>4398</v>
      </c>
      <c r="F571" s="214" t="s">
        <v>6848</v>
      </c>
      <c r="G571" s="207" t="s">
        <v>4400</v>
      </c>
      <c r="H571" s="207" t="s">
        <v>4401</v>
      </c>
      <c r="I571" s="217" t="s">
        <v>4402</v>
      </c>
      <c r="J571" s="255" t="s">
        <v>6849</v>
      </c>
      <c r="K571" s="215" t="s">
        <v>4440</v>
      </c>
      <c r="L571" s="215" t="s">
        <v>6850</v>
      </c>
      <c r="M571" s="207" t="s">
        <v>4405</v>
      </c>
      <c r="N571" s="207" t="s">
        <v>4406</v>
      </c>
      <c r="O571" s="203">
        <v>46031</v>
      </c>
      <c r="P571" s="202" t="s">
        <v>4407</v>
      </c>
      <c r="Q571" s="203">
        <v>46030</v>
      </c>
      <c r="R571" s="203">
        <v>46031</v>
      </c>
      <c r="S571" s="203">
        <v>46036</v>
      </c>
      <c r="T571" s="203">
        <v>46045</v>
      </c>
      <c r="U571" s="203" t="s">
        <v>4408</v>
      </c>
      <c r="V571" s="203" t="s">
        <v>4408</v>
      </c>
      <c r="W571" s="202">
        <v>46055</v>
      </c>
      <c r="X571" s="202">
        <v>46057</v>
      </c>
      <c r="Y571" s="203"/>
      <c r="Z571" s="219"/>
      <c r="AA571" s="255" t="s">
        <v>6849</v>
      </c>
      <c r="AB571" s="215" t="s">
        <v>4440</v>
      </c>
      <c r="AC571" s="215" t="s">
        <v>6850</v>
      </c>
      <c r="AD571" s="207" t="s">
        <v>4402</v>
      </c>
      <c r="AE571" s="207" t="s">
        <v>4405</v>
      </c>
      <c r="AF571" s="218" t="s">
        <v>4409</v>
      </c>
      <c r="AG571" s="218" t="s">
        <v>4409</v>
      </c>
      <c r="AH571" s="207" t="s">
        <v>4410</v>
      </c>
      <c r="AI571" s="214" t="s">
        <v>4411</v>
      </c>
      <c r="AJ571" s="207"/>
      <c r="AK571" s="317"/>
      <c r="AL571" s="317"/>
      <c r="AM571" s="317"/>
      <c r="AN571" s="317"/>
      <c r="AO571" s="317"/>
      <c r="AP571" s="317"/>
      <c r="AQ571" s="314"/>
      <c r="AR571" s="315" t="str">
        <f t="shared" si="36"/>
        <v/>
      </c>
      <c r="AS571" s="207"/>
      <c r="AT571" s="219"/>
      <c r="AU571" s="220"/>
      <c r="AV571" s="219"/>
      <c r="AW571" s="219"/>
      <c r="AX571" s="219"/>
      <c r="AY571" s="254"/>
      <c r="AZ571" s="219"/>
      <c r="BA571" s="219"/>
      <c r="BB571" s="219"/>
      <c r="BC571" s="219"/>
      <c r="BD571" s="208"/>
      <c r="BE571" s="203"/>
      <c r="BF571" s="219"/>
      <c r="BG571" s="219"/>
      <c r="BH571" s="321" t="str">
        <f t="shared" si="37"/>
        <v/>
      </c>
      <c r="BI571" s="98" t="str">
        <f t="shared" si="38"/>
        <v>AA</v>
      </c>
      <c r="BJ571" s="98" t="str">
        <f t="shared" si="39"/>
        <v>NÃO</v>
      </c>
      <c r="BK571" s="219"/>
      <c r="BL571" s="221"/>
      <c r="BM571" s="221"/>
      <c r="BN571" s="219"/>
      <c r="BO571" s="219"/>
      <c r="BP571" s="219"/>
      <c r="BQ571" s="219"/>
      <c r="BR571" s="222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207">
        <v>568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6848</v>
      </c>
      <c r="G572" s="207" t="s">
        <v>4400</v>
      </c>
      <c r="H572" s="207" t="s">
        <v>4401</v>
      </c>
      <c r="I572" s="217" t="s">
        <v>4402</v>
      </c>
      <c r="J572" s="255" t="s">
        <v>6851</v>
      </c>
      <c r="K572" s="215" t="s">
        <v>6852</v>
      </c>
      <c r="L572" s="215" t="s">
        <v>6853</v>
      </c>
      <c r="M572" s="207" t="s">
        <v>4405</v>
      </c>
      <c r="N572" s="207" t="s">
        <v>4432</v>
      </c>
      <c r="O572" s="203"/>
      <c r="P572" s="202"/>
      <c r="Q572" s="203"/>
      <c r="R572" s="203"/>
      <c r="S572" s="203"/>
      <c r="T572" s="203"/>
      <c r="U572" s="203"/>
      <c r="V572" s="203"/>
      <c r="W572" s="202"/>
      <c r="X572" s="202"/>
      <c r="Y572" s="203"/>
      <c r="Z572" s="219"/>
      <c r="AA572" s="255" t="s">
        <v>6851</v>
      </c>
      <c r="AB572" s="215" t="s">
        <v>6852</v>
      </c>
      <c r="AC572" s="215" t="s">
        <v>6853</v>
      </c>
      <c r="AD572" s="207" t="s">
        <v>4402</v>
      </c>
      <c r="AE572" s="207" t="s">
        <v>4405</v>
      </c>
      <c r="AF572" s="218">
        <v>50226.14</v>
      </c>
      <c r="AG572" s="218">
        <v>60000</v>
      </c>
      <c r="AH572" s="207" t="s">
        <v>4433</v>
      </c>
      <c r="AI572" s="214" t="s">
        <v>4411</v>
      </c>
      <c r="AJ572" s="207">
        <v>160468708</v>
      </c>
      <c r="AK572" s="317">
        <v>46238</v>
      </c>
      <c r="AL572" s="317">
        <v>46238</v>
      </c>
      <c r="AM572" s="317">
        <v>46238</v>
      </c>
      <c r="AN572" s="317">
        <v>46238</v>
      </c>
      <c r="AO572" s="317">
        <v>46238</v>
      </c>
      <c r="AP572" s="317">
        <v>46238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54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INDENIZAÇÃO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>
      <c r="A573" s="207">
        <v>569</v>
      </c>
      <c r="B573" s="197" t="s">
        <v>4396</v>
      </c>
      <c r="C573" s="207" t="s">
        <v>4427</v>
      </c>
      <c r="D573" s="207">
        <v>1</v>
      </c>
      <c r="E573" s="207" t="s">
        <v>4398</v>
      </c>
      <c r="F573" s="214" t="s">
        <v>6854</v>
      </c>
      <c r="G573" s="207" t="s">
        <v>4400</v>
      </c>
      <c r="H573" s="207" t="s">
        <v>4401</v>
      </c>
      <c r="I573" s="217" t="s">
        <v>4402</v>
      </c>
      <c r="J573" s="215" t="s">
        <v>6855</v>
      </c>
      <c r="K573" s="215" t="s">
        <v>6856</v>
      </c>
      <c r="L573" s="215" t="s">
        <v>6857</v>
      </c>
      <c r="M573" s="207" t="s">
        <v>4405</v>
      </c>
      <c r="N573" s="207" t="s">
        <v>4442</v>
      </c>
      <c r="O573" s="202" t="s">
        <v>4409</v>
      </c>
      <c r="P573" s="202" t="s">
        <v>4409</v>
      </c>
      <c r="Q573" s="202" t="s">
        <v>4409</v>
      </c>
      <c r="R573" s="202" t="s">
        <v>4409</v>
      </c>
      <c r="S573" s="202" t="s">
        <v>4409</v>
      </c>
      <c r="T573" s="202" t="s">
        <v>4409</v>
      </c>
      <c r="U573" s="202" t="s">
        <v>4409</v>
      </c>
      <c r="V573" s="202" t="s">
        <v>4409</v>
      </c>
      <c r="W573" s="202" t="s">
        <v>4409</v>
      </c>
      <c r="X573" s="202" t="s">
        <v>4409</v>
      </c>
      <c r="Y573" s="202"/>
      <c r="Z573" s="202"/>
      <c r="AA573" s="215" t="s">
        <v>6855</v>
      </c>
      <c r="AB573" s="215" t="s">
        <v>6856</v>
      </c>
      <c r="AC573" s="215" t="s">
        <v>6857</v>
      </c>
      <c r="AD573" s="207" t="s">
        <v>4402</v>
      </c>
      <c r="AE573" s="207" t="s">
        <v>4405</v>
      </c>
      <c r="AF573" s="218">
        <v>26148.19</v>
      </c>
      <c r="AG573" s="218">
        <v>56148.19</v>
      </c>
      <c r="AH573" s="207" t="s">
        <v>4433</v>
      </c>
      <c r="AI573" s="214" t="s">
        <v>4411</v>
      </c>
      <c r="AJ573" s="207">
        <v>150959625</v>
      </c>
      <c r="AK573" s="317">
        <v>46076</v>
      </c>
      <c r="AL573" s="317">
        <v>46076</v>
      </c>
      <c r="AM573" s="317">
        <v>46076</v>
      </c>
      <c r="AN573" s="317">
        <v>46076</v>
      </c>
      <c r="AO573" s="317">
        <v>46076</v>
      </c>
      <c r="AP573" s="317">
        <v>46076</v>
      </c>
      <c r="AQ573" s="314"/>
      <c r="AR573" s="315" t="str">
        <f t="shared" si="36"/>
        <v>FINALIZADO</v>
      </c>
      <c r="AS573" s="207" t="s">
        <v>4423</v>
      </c>
      <c r="AT573" s="219"/>
      <c r="AU573" s="220" t="s">
        <v>6858</v>
      </c>
      <c r="AV573" s="207" t="s">
        <v>4425</v>
      </c>
      <c r="AW573" s="207" t="s">
        <v>4425</v>
      </c>
      <c r="AX573" s="207" t="s">
        <v>4425</v>
      </c>
      <c r="AY573" s="207" t="s">
        <v>4425</v>
      </c>
      <c r="AZ573" s="202">
        <v>46118</v>
      </c>
      <c r="BA573" s="207" t="s">
        <v>4425</v>
      </c>
      <c r="BB573" s="207" t="s">
        <v>4425</v>
      </c>
      <c r="BC573" s="202">
        <v>46126</v>
      </c>
      <c r="BD573" s="227">
        <v>46126</v>
      </c>
      <c r="BE573" s="227" t="s">
        <v>4435</v>
      </c>
      <c r="BF573" s="228" t="s">
        <v>4436</v>
      </c>
      <c r="BG573" s="229" t="s">
        <v>4425</v>
      </c>
      <c r="BH573" s="321">
        <f t="shared" si="37"/>
        <v>50</v>
      </c>
      <c r="BI573" s="98" t="str">
        <f t="shared" si="38"/>
        <v>INDENIZAÇÃO</v>
      </c>
      <c r="BJ573" s="98" t="str">
        <f t="shared" si="39"/>
        <v>NÃO</v>
      </c>
      <c r="BK573" s="219" t="s">
        <v>4437</v>
      </c>
      <c r="BL573" s="219" t="s">
        <v>4437</v>
      </c>
      <c r="BM573" s="219" t="s">
        <v>4437</v>
      </c>
      <c r="BN573" s="257" t="s">
        <v>5732</v>
      </c>
      <c r="BO573" s="257"/>
      <c r="BP573" s="257"/>
      <c r="BQ573" s="257"/>
      <c r="BR573" s="258"/>
    </row>
    <row r="574" spans="1:112" ht="27" customHeight="1">
      <c r="A574" s="197">
        <v>570</v>
      </c>
      <c r="B574" s="197" t="s">
        <v>4396</v>
      </c>
      <c r="C574" s="207" t="s">
        <v>4413</v>
      </c>
      <c r="D574" s="207">
        <v>1</v>
      </c>
      <c r="E574" s="250" t="s">
        <v>4398</v>
      </c>
      <c r="F574" s="214" t="s">
        <v>6854</v>
      </c>
      <c r="G574" s="207" t="s">
        <v>4400</v>
      </c>
      <c r="H574" s="207" t="s">
        <v>4401</v>
      </c>
      <c r="I574" s="217" t="s">
        <v>4402</v>
      </c>
      <c r="J574" s="215" t="s">
        <v>6859</v>
      </c>
      <c r="K574" s="215" t="s">
        <v>6860</v>
      </c>
      <c r="L574" s="215" t="s">
        <v>6861</v>
      </c>
      <c r="M574" s="207" t="s">
        <v>4405</v>
      </c>
      <c r="N574" s="207" t="s">
        <v>4442</v>
      </c>
      <c r="O574" s="202" t="s">
        <v>4409</v>
      </c>
      <c r="P574" s="202" t="s">
        <v>4409</v>
      </c>
      <c r="Q574" s="202" t="s">
        <v>4409</v>
      </c>
      <c r="R574" s="202" t="s">
        <v>4409</v>
      </c>
      <c r="S574" s="202" t="s">
        <v>4409</v>
      </c>
      <c r="T574" s="202" t="s">
        <v>4409</v>
      </c>
      <c r="U574" s="202" t="s">
        <v>4409</v>
      </c>
      <c r="V574" s="202" t="s">
        <v>4409</v>
      </c>
      <c r="W574" s="202" t="s">
        <v>4409</v>
      </c>
      <c r="X574" s="202" t="s">
        <v>4409</v>
      </c>
      <c r="Y574" s="202" t="s">
        <v>4409</v>
      </c>
      <c r="Z574" s="202"/>
      <c r="AA574" s="215" t="s">
        <v>6859</v>
      </c>
      <c r="AB574" s="215" t="s">
        <v>6860</v>
      </c>
      <c r="AC574" s="215" t="s">
        <v>6861</v>
      </c>
      <c r="AD574" s="207" t="s">
        <v>4402</v>
      </c>
      <c r="AE574" s="207" t="s">
        <v>4405</v>
      </c>
      <c r="AF574" s="218">
        <v>104927.75</v>
      </c>
      <c r="AG574" s="218">
        <v>104927.75</v>
      </c>
      <c r="AH574" s="207" t="s">
        <v>4433</v>
      </c>
      <c r="AI574" s="214" t="s">
        <v>4411</v>
      </c>
      <c r="AJ574" s="207">
        <v>160469000</v>
      </c>
      <c r="AK574" s="317">
        <v>46219</v>
      </c>
      <c r="AL574" s="317">
        <v>46219</v>
      </c>
      <c r="AM574" s="317">
        <v>46219</v>
      </c>
      <c r="AN574" s="317">
        <v>46219</v>
      </c>
      <c r="AO574" s="317">
        <v>46219</v>
      </c>
      <c r="AP574" s="317">
        <v>46219</v>
      </c>
      <c r="AQ574" s="314"/>
      <c r="AR574" s="315" t="str">
        <f t="shared" si="36"/>
        <v>FINALIZADO</v>
      </c>
      <c r="AS574" s="207" t="s">
        <v>4423</v>
      </c>
      <c r="AT574" s="219"/>
      <c r="AU574" s="220" t="s">
        <v>6862</v>
      </c>
      <c r="AV574" s="219" t="s">
        <v>4425</v>
      </c>
      <c r="AW574" s="207" t="s">
        <v>4425</v>
      </c>
      <c r="AX574" s="257" t="s">
        <v>4426</v>
      </c>
      <c r="AY574" s="228"/>
      <c r="AZ574" s="227"/>
      <c r="BA574" s="228"/>
      <c r="BB574" s="228"/>
      <c r="BC574" s="227"/>
      <c r="BD574" s="227"/>
      <c r="BE574" s="227"/>
      <c r="BF574" s="228" t="s">
        <v>4400</v>
      </c>
      <c r="BG574" s="22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19"/>
      <c r="BM574" s="219"/>
      <c r="BN574" s="257"/>
      <c r="BO574" s="257"/>
      <c r="BP574" s="257"/>
      <c r="BQ574" s="257"/>
      <c r="BR574" s="258"/>
    </row>
    <row r="575" spans="1:112" ht="27" hidden="1" customHeight="1">
      <c r="A575" s="197">
        <v>571</v>
      </c>
      <c r="B575" s="197" t="s">
        <v>4396</v>
      </c>
      <c r="C575" s="207" t="s">
        <v>4427</v>
      </c>
      <c r="D575" s="207">
        <v>1</v>
      </c>
      <c r="E575" s="207" t="s">
        <v>4398</v>
      </c>
      <c r="F575" s="214" t="s">
        <v>6863</v>
      </c>
      <c r="G575" s="207" t="s">
        <v>4400</v>
      </c>
      <c r="H575" s="207" t="s">
        <v>4401</v>
      </c>
      <c r="I575" s="217" t="s">
        <v>4402</v>
      </c>
      <c r="J575" s="215" t="s">
        <v>6864</v>
      </c>
      <c r="K575" s="215" t="s">
        <v>6865</v>
      </c>
      <c r="L575" s="215" t="s">
        <v>6866</v>
      </c>
      <c r="M575" s="207" t="s">
        <v>4405</v>
      </c>
      <c r="N575" s="207" t="s">
        <v>4406</v>
      </c>
      <c r="O575" s="202">
        <v>46002</v>
      </c>
      <c r="P575" s="202" t="s">
        <v>4407</v>
      </c>
      <c r="Q575" s="202">
        <v>45999</v>
      </c>
      <c r="R575" s="202">
        <v>46006</v>
      </c>
      <c r="S575" s="202">
        <v>46006</v>
      </c>
      <c r="T575" s="202">
        <v>46009</v>
      </c>
      <c r="U575" s="202" t="s">
        <v>4408</v>
      </c>
      <c r="V575" s="202" t="s">
        <v>4408</v>
      </c>
      <c r="W575" s="202">
        <v>46014</v>
      </c>
      <c r="X575" s="202">
        <v>46020</v>
      </c>
      <c r="Y575" s="202"/>
      <c r="Z575" s="207"/>
      <c r="AA575" s="215" t="s">
        <v>6864</v>
      </c>
      <c r="AB575" s="215" t="s">
        <v>6865</v>
      </c>
      <c r="AC575" s="215" t="s">
        <v>6866</v>
      </c>
      <c r="AD575" s="207" t="s">
        <v>4402</v>
      </c>
      <c r="AE575" s="207" t="s">
        <v>4405</v>
      </c>
      <c r="AF575" s="218" t="s">
        <v>4409</v>
      </c>
      <c r="AG575" s="218" t="s">
        <v>4409</v>
      </c>
      <c r="AH575" s="207" t="s">
        <v>4410</v>
      </c>
      <c r="AI575" s="214" t="s">
        <v>4411</v>
      </c>
      <c r="AJ575" s="207"/>
      <c r="AK575" s="316">
        <v>45996</v>
      </c>
      <c r="AL575" s="316">
        <v>45996</v>
      </c>
      <c r="AM575" s="316">
        <v>45996</v>
      </c>
      <c r="AN575" s="316">
        <v>45996</v>
      </c>
      <c r="AO575" s="316">
        <v>45996</v>
      </c>
      <c r="AP575" s="316">
        <v>45996</v>
      </c>
      <c r="AQ575" s="314"/>
      <c r="AR575" s="315" t="str">
        <f t="shared" si="36"/>
        <v>FINALIZADO</v>
      </c>
      <c r="AS575" s="207"/>
      <c r="AT575" s="207"/>
      <c r="AU575" s="225"/>
      <c r="AV575" s="207"/>
      <c r="AW575" s="207"/>
      <c r="AX575" s="207"/>
      <c r="AY575" s="207"/>
      <c r="AZ575" s="202"/>
      <c r="BA575" s="219"/>
      <c r="BB575" s="207"/>
      <c r="BC575" s="202"/>
      <c r="BD575" s="208"/>
      <c r="BE575" s="202"/>
      <c r="BF575" s="207"/>
      <c r="BG575" s="229"/>
      <c r="BH575" s="321" t="str">
        <f t="shared" si="37"/>
        <v/>
      </c>
      <c r="BI575" s="98" t="str">
        <f t="shared" si="38"/>
        <v>AA</v>
      </c>
      <c r="BJ575" s="98" t="str">
        <f t="shared" si="39"/>
        <v>NÃO</v>
      </c>
      <c r="BK575" s="230"/>
      <c r="BL575" s="230"/>
      <c r="BM575" s="230"/>
      <c r="BN575" s="230"/>
      <c r="BO575" s="230"/>
      <c r="BP575" s="230"/>
      <c r="BQ575" s="230"/>
      <c r="BR575" s="234"/>
      <c r="BS575" s="240"/>
      <c r="BT575" s="240"/>
      <c r="BU575" s="240"/>
      <c r="BV575" s="240"/>
      <c r="BW575" s="240"/>
      <c r="BX575" s="240"/>
      <c r="BY575" s="240"/>
      <c r="BZ575" s="240"/>
      <c r="CA575" s="240"/>
      <c r="CB575" s="240"/>
      <c r="CC575" s="240"/>
      <c r="CD575" s="240"/>
      <c r="CE575" s="240"/>
      <c r="CF575" s="240"/>
      <c r="CG575" s="240"/>
      <c r="CH575" s="240"/>
      <c r="CI575" s="240"/>
      <c r="CJ575" s="240"/>
      <c r="CK575" s="240"/>
      <c r="CL575" s="240"/>
      <c r="CM575" s="240"/>
      <c r="CN575" s="240"/>
      <c r="CO575" s="240"/>
      <c r="CP575" s="240"/>
      <c r="CQ575" s="240"/>
      <c r="CR575" s="240"/>
      <c r="CS575" s="240"/>
      <c r="CT575" s="240"/>
      <c r="CU575" s="240"/>
      <c r="CV575" s="240"/>
      <c r="CW575" s="240"/>
      <c r="CX575" s="240"/>
      <c r="CY575" s="240"/>
      <c r="CZ575" s="240"/>
      <c r="DA575" s="240"/>
      <c r="DB575" s="240"/>
      <c r="DC575" s="240"/>
      <c r="DD575" s="240"/>
      <c r="DE575" s="240"/>
      <c r="DF575" s="240"/>
      <c r="DG575" s="240"/>
      <c r="DH575" s="240"/>
    </row>
    <row r="576" spans="1:112" ht="27" hidden="1" customHeight="1">
      <c r="A576" s="207">
        <v>572</v>
      </c>
      <c r="B576" s="197" t="s">
        <v>4396</v>
      </c>
      <c r="C576" s="207" t="s">
        <v>4427</v>
      </c>
      <c r="D576" s="207">
        <v>1</v>
      </c>
      <c r="E576" s="207" t="s">
        <v>4398</v>
      </c>
      <c r="F576" s="214" t="s">
        <v>6867</v>
      </c>
      <c r="G576" s="207" t="s">
        <v>4400</v>
      </c>
      <c r="H576" s="207" t="s">
        <v>4401</v>
      </c>
      <c r="I576" s="217" t="s">
        <v>4402</v>
      </c>
      <c r="J576" s="215" t="s">
        <v>6868</v>
      </c>
      <c r="K576" s="215" t="s">
        <v>6869</v>
      </c>
      <c r="L576" s="215" t="s">
        <v>6870</v>
      </c>
      <c r="M576" s="207" t="s">
        <v>4405</v>
      </c>
      <c r="N576" s="207" t="s">
        <v>4406</v>
      </c>
      <c r="O576" s="202">
        <v>46176</v>
      </c>
      <c r="P576" s="202" t="s">
        <v>4407</v>
      </c>
      <c r="Q576" s="202">
        <v>46174</v>
      </c>
      <c r="R576" s="202">
        <v>46176</v>
      </c>
      <c r="S576" s="202">
        <v>46202</v>
      </c>
      <c r="T576" s="202">
        <v>46204</v>
      </c>
      <c r="U576" s="202" t="s">
        <v>4408</v>
      </c>
      <c r="V576" s="202" t="s">
        <v>4408</v>
      </c>
      <c r="W576" s="202">
        <v>46223</v>
      </c>
      <c r="X576" s="202"/>
      <c r="Y576" s="202"/>
      <c r="Z576" s="207"/>
      <c r="AA576" s="215"/>
      <c r="AB576" s="215"/>
      <c r="AC576" s="215"/>
      <c r="AD576" s="207"/>
      <c r="AE576" s="207"/>
      <c r="AF576" s="218"/>
      <c r="AG576" s="218"/>
      <c r="AH576" s="207"/>
      <c r="AI576" s="214" t="s">
        <v>4411</v>
      </c>
      <c r="AJ576" s="207"/>
      <c r="AK576" s="316"/>
      <c r="AL576" s="316"/>
      <c r="AM576" s="316"/>
      <c r="AN576" s="316"/>
      <c r="AO576" s="316"/>
      <c r="AP576" s="316"/>
      <c r="AQ576" s="314"/>
      <c r="AR576" s="315" t="str">
        <f t="shared" si="36"/>
        <v/>
      </c>
      <c r="AS576" s="207"/>
      <c r="AT576" s="207"/>
      <c r="AU576" s="225"/>
      <c r="AV576" s="207"/>
      <c r="AW576" s="207"/>
      <c r="AX576" s="207"/>
      <c r="AY576" s="207"/>
      <c r="AZ576" s="202"/>
      <c r="BA576" s="219"/>
      <c r="BB576" s="207"/>
      <c r="BC576" s="202"/>
      <c r="BD576" s="208"/>
      <c r="BE576" s="202"/>
      <c r="BF576" s="207"/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30"/>
      <c r="BL576" s="230"/>
      <c r="BM576" s="230"/>
      <c r="BN576" s="230"/>
      <c r="BO576" s="230"/>
      <c r="BP576" s="230"/>
      <c r="BQ576" s="230"/>
      <c r="BR576" s="234"/>
      <c r="BS576" s="240"/>
      <c r="BT576" s="240"/>
      <c r="BU576" s="240"/>
      <c r="BV576" s="240"/>
      <c r="BW576" s="240"/>
      <c r="BX576" s="240"/>
      <c r="BY576" s="240"/>
      <c r="BZ576" s="240"/>
      <c r="CA576" s="240"/>
      <c r="CB576" s="240"/>
      <c r="CC576" s="240"/>
      <c r="CD576" s="240"/>
      <c r="CE576" s="240"/>
      <c r="CF576" s="240"/>
      <c r="CG576" s="240"/>
      <c r="CH576" s="240"/>
      <c r="CI576" s="240"/>
      <c r="CJ576" s="240"/>
      <c r="CK576" s="240"/>
      <c r="CL576" s="240"/>
      <c r="CM576" s="240"/>
      <c r="CN576" s="240"/>
      <c r="CO576" s="240"/>
      <c r="CP576" s="240"/>
      <c r="CQ576" s="240"/>
      <c r="CR576" s="240"/>
      <c r="CS576" s="240"/>
      <c r="CT576" s="240"/>
      <c r="CU576" s="240"/>
      <c r="CV576" s="240"/>
      <c r="CW576" s="240"/>
      <c r="CX576" s="240"/>
      <c r="CY576" s="240"/>
      <c r="CZ576" s="240"/>
      <c r="DA576" s="240"/>
      <c r="DB576" s="240"/>
      <c r="DC576" s="240"/>
      <c r="DD576" s="240"/>
      <c r="DE576" s="240"/>
      <c r="DF576" s="240"/>
      <c r="DG576" s="240"/>
      <c r="DH576" s="240"/>
    </row>
    <row r="577" spans="1:112" ht="27" hidden="1" customHeight="1">
      <c r="A577" s="207">
        <v>573</v>
      </c>
      <c r="B577" s="197" t="s">
        <v>4396</v>
      </c>
      <c r="C577" s="207" t="s">
        <v>4427</v>
      </c>
      <c r="D577" s="207">
        <v>1</v>
      </c>
      <c r="E577" s="207" t="s">
        <v>4398</v>
      </c>
      <c r="F577" s="214" t="s">
        <v>6871</v>
      </c>
      <c r="G577" s="207" t="s">
        <v>4400</v>
      </c>
      <c r="H577" s="207" t="s">
        <v>4401</v>
      </c>
      <c r="I577" s="217" t="s">
        <v>4402</v>
      </c>
      <c r="J577" s="215" t="s">
        <v>6872</v>
      </c>
      <c r="K577" s="215" t="s">
        <v>6873</v>
      </c>
      <c r="L577" s="215" t="s">
        <v>6874</v>
      </c>
      <c r="M577" s="207" t="s">
        <v>4405</v>
      </c>
      <c r="N577" s="207" t="s">
        <v>4406</v>
      </c>
      <c r="O577" s="202">
        <v>45986</v>
      </c>
      <c r="P577" s="203" t="s">
        <v>4407</v>
      </c>
      <c r="Q577" s="203">
        <v>45985</v>
      </c>
      <c r="R577" s="203">
        <v>45986</v>
      </c>
      <c r="S577" s="203">
        <v>45987</v>
      </c>
      <c r="T577" s="203">
        <v>45992</v>
      </c>
      <c r="U577" s="202" t="s">
        <v>4408</v>
      </c>
      <c r="V577" s="202" t="s">
        <v>4408</v>
      </c>
      <c r="W577" s="202">
        <v>45999</v>
      </c>
      <c r="X577" s="202">
        <v>46000</v>
      </c>
      <c r="Y577" s="202"/>
      <c r="Z577" s="207"/>
      <c r="AA577" s="215" t="s">
        <v>6872</v>
      </c>
      <c r="AB577" s="215" t="s">
        <v>6873</v>
      </c>
      <c r="AC577" s="215" t="s">
        <v>6874</v>
      </c>
      <c r="AD577" s="207" t="s">
        <v>4402</v>
      </c>
      <c r="AE577" s="207" t="s">
        <v>4405</v>
      </c>
      <c r="AF577" s="218" t="s">
        <v>4409</v>
      </c>
      <c r="AG577" s="218" t="s">
        <v>4409</v>
      </c>
      <c r="AH577" s="241" t="s">
        <v>4410</v>
      </c>
      <c r="AI577" s="214" t="s">
        <v>4411</v>
      </c>
      <c r="AJ577" s="207"/>
      <c r="AK577" s="316">
        <v>45980</v>
      </c>
      <c r="AL577" s="316">
        <v>45980</v>
      </c>
      <c r="AM577" s="316">
        <v>45980</v>
      </c>
      <c r="AN577" s="316">
        <v>45980</v>
      </c>
      <c r="AO577" s="316">
        <v>45980</v>
      </c>
      <c r="AP577" s="316">
        <v>45980</v>
      </c>
      <c r="AQ577" s="314"/>
      <c r="AR577" s="315" t="str">
        <f t="shared" si="36"/>
        <v>FINALIZADO</v>
      </c>
      <c r="AS577" s="207"/>
      <c r="AT577" s="207"/>
      <c r="AU577" s="225"/>
      <c r="AV577" s="207"/>
      <c r="AW577" s="207"/>
      <c r="AX577" s="207" t="s">
        <v>4409</v>
      </c>
      <c r="AY577" s="207" t="s">
        <v>4409</v>
      </c>
      <c r="AZ577" s="207" t="s">
        <v>4409</v>
      </c>
      <c r="BA577" s="207" t="s">
        <v>4409</v>
      </c>
      <c r="BB577" s="207"/>
      <c r="BC577" s="202"/>
      <c r="BD577" s="208"/>
      <c r="BE577" s="202"/>
      <c r="BF577" s="207"/>
      <c r="BG577" s="229"/>
      <c r="BH577" s="321" t="str">
        <f t="shared" si="37"/>
        <v/>
      </c>
      <c r="BI577" s="98" t="str">
        <f t="shared" si="38"/>
        <v>AA</v>
      </c>
      <c r="BJ577" s="98" t="str">
        <f t="shared" si="39"/>
        <v>NÃO</v>
      </c>
      <c r="BK577" s="230"/>
      <c r="BL577" s="230"/>
      <c r="BM577" s="230"/>
      <c r="BN577" s="230"/>
      <c r="BO577" s="230"/>
      <c r="BP577" s="230"/>
      <c r="BQ577" s="230"/>
      <c r="BR577" s="234"/>
      <c r="BS577" s="240"/>
      <c r="BT577" s="240"/>
      <c r="BU577" s="240"/>
      <c r="BV577" s="240"/>
      <c r="BW577" s="240"/>
      <c r="BX577" s="240"/>
      <c r="BY577" s="240"/>
      <c r="BZ577" s="240"/>
      <c r="CA577" s="240"/>
      <c r="CB577" s="240"/>
      <c r="CC577" s="240"/>
      <c r="CD577" s="240"/>
      <c r="CE577" s="240"/>
      <c r="CF577" s="240"/>
      <c r="CG577" s="240"/>
      <c r="CH577" s="240"/>
      <c r="CI577" s="240"/>
      <c r="CJ577" s="240"/>
      <c r="CK577" s="240"/>
      <c r="CL577" s="240"/>
      <c r="CM577" s="240"/>
      <c r="CN577" s="240"/>
      <c r="CO577" s="240"/>
      <c r="CP577" s="240"/>
      <c r="CQ577" s="240"/>
      <c r="CR577" s="240"/>
      <c r="CS577" s="240"/>
      <c r="CT577" s="240"/>
      <c r="CU577" s="240"/>
      <c r="CV577" s="240"/>
      <c r="CW577" s="240"/>
      <c r="CX577" s="240"/>
      <c r="CY577" s="240"/>
      <c r="CZ577" s="240"/>
      <c r="DA577" s="240"/>
      <c r="DB577" s="240"/>
      <c r="DC577" s="240"/>
      <c r="DD577" s="240"/>
      <c r="DE577" s="240"/>
      <c r="DF577" s="240"/>
      <c r="DG577" s="240"/>
      <c r="DH577" s="240"/>
    </row>
    <row r="578" spans="1:112" ht="27" hidden="1" customHeight="1">
      <c r="A578" s="207">
        <v>574</v>
      </c>
      <c r="B578" s="197" t="s">
        <v>4396</v>
      </c>
      <c r="C578" s="207" t="s">
        <v>4427</v>
      </c>
      <c r="D578" s="207">
        <v>1</v>
      </c>
      <c r="E578" s="207" t="s">
        <v>4398</v>
      </c>
      <c r="F578" s="214" t="s">
        <v>6875</v>
      </c>
      <c r="G578" s="207" t="s">
        <v>4400</v>
      </c>
      <c r="H578" s="207" t="s">
        <v>4401</v>
      </c>
      <c r="I578" s="217" t="s">
        <v>4402</v>
      </c>
      <c r="J578" s="242" t="s">
        <v>6876</v>
      </c>
      <c r="K578" s="215" t="s">
        <v>6877</v>
      </c>
      <c r="L578" s="215" t="s">
        <v>6878</v>
      </c>
      <c r="M578" s="207" t="s">
        <v>4405</v>
      </c>
      <c r="N578" s="207" t="s">
        <v>4406</v>
      </c>
      <c r="O578" s="202">
        <v>45986</v>
      </c>
      <c r="P578" s="203" t="s">
        <v>4407</v>
      </c>
      <c r="Q578" s="203">
        <v>45985</v>
      </c>
      <c r="R578" s="203">
        <v>45986</v>
      </c>
      <c r="S578" s="203">
        <v>45987</v>
      </c>
      <c r="T578" s="203">
        <v>45992</v>
      </c>
      <c r="U578" s="202" t="s">
        <v>4408</v>
      </c>
      <c r="V578" s="202" t="s">
        <v>4408</v>
      </c>
      <c r="W578" s="202">
        <v>45999</v>
      </c>
      <c r="X578" s="202">
        <v>46000</v>
      </c>
      <c r="Y578" s="202"/>
      <c r="Z578" s="207"/>
      <c r="AA578" s="242" t="s">
        <v>6876</v>
      </c>
      <c r="AB578" s="215" t="s">
        <v>6877</v>
      </c>
      <c r="AC578" s="215" t="s">
        <v>6878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4" t="s">
        <v>4410</v>
      </c>
      <c r="AI578" s="214" t="s">
        <v>4411</v>
      </c>
      <c r="AJ578" s="207"/>
      <c r="AK578" s="316">
        <v>45980</v>
      </c>
      <c r="AL578" s="316">
        <v>45980</v>
      </c>
      <c r="AM578" s="316">
        <v>45980</v>
      </c>
      <c r="AN578" s="316">
        <v>45980</v>
      </c>
      <c r="AO578" s="316">
        <v>45980</v>
      </c>
      <c r="AP578" s="316">
        <v>45980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 t="s">
        <v>4409</v>
      </c>
      <c r="AY578" s="207" t="s">
        <v>4409</v>
      </c>
      <c r="AZ578" s="207" t="s">
        <v>4409</v>
      </c>
      <c r="BA578" s="207" t="s">
        <v>4409</v>
      </c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197">
        <v>575</v>
      </c>
      <c r="B579" s="197" t="s">
        <v>4396</v>
      </c>
      <c r="C579" s="207" t="s">
        <v>4427</v>
      </c>
      <c r="D579" s="207">
        <v>1</v>
      </c>
      <c r="E579" s="207" t="s">
        <v>4398</v>
      </c>
      <c r="F579" s="214" t="s">
        <v>6879</v>
      </c>
      <c r="G579" s="207" t="s">
        <v>4546</v>
      </c>
      <c r="H579" s="207" t="s">
        <v>6498</v>
      </c>
      <c r="I579" s="233" t="s">
        <v>4421</v>
      </c>
      <c r="J579" s="215" t="s">
        <v>6880</v>
      </c>
      <c r="K579" s="215" t="s">
        <v>6881</v>
      </c>
      <c r="L579" s="215" t="s">
        <v>6882</v>
      </c>
      <c r="M579" s="207" t="s">
        <v>4405</v>
      </c>
      <c r="N579" s="207" t="s">
        <v>4442</v>
      </c>
      <c r="O579" s="202" t="s">
        <v>4409</v>
      </c>
      <c r="P579" s="202" t="s">
        <v>4409</v>
      </c>
      <c r="Q579" s="202" t="s">
        <v>4409</v>
      </c>
      <c r="R579" s="202" t="s">
        <v>4409</v>
      </c>
      <c r="S579" s="202" t="s">
        <v>4409</v>
      </c>
      <c r="T579" s="202" t="s">
        <v>4409</v>
      </c>
      <c r="U579" s="202" t="s">
        <v>4409</v>
      </c>
      <c r="V579" s="202" t="s">
        <v>4409</v>
      </c>
      <c r="W579" s="202" t="s">
        <v>4409</v>
      </c>
      <c r="X579" s="202" t="s">
        <v>4409</v>
      </c>
      <c r="Y579" s="202"/>
      <c r="Z579" s="202"/>
      <c r="AA579" s="200" t="s">
        <v>6880</v>
      </c>
      <c r="AB579" s="200" t="s">
        <v>6881</v>
      </c>
      <c r="AC579" s="200" t="s">
        <v>6882</v>
      </c>
      <c r="AD579" s="252" t="s">
        <v>4421</v>
      </c>
      <c r="AE579" s="197" t="s">
        <v>4405</v>
      </c>
      <c r="AF579" s="243">
        <v>25687.49</v>
      </c>
      <c r="AG579" s="243">
        <v>25687.49</v>
      </c>
      <c r="AH579" s="197" t="s">
        <v>4433</v>
      </c>
      <c r="AI579" s="214" t="s">
        <v>4411</v>
      </c>
      <c r="AJ579" s="207">
        <v>150614018</v>
      </c>
      <c r="AK579" s="316">
        <v>46066</v>
      </c>
      <c r="AL579" s="316">
        <v>46066</v>
      </c>
      <c r="AM579" s="316">
        <v>46066</v>
      </c>
      <c r="AN579" s="316">
        <v>46066</v>
      </c>
      <c r="AO579" s="316">
        <v>46066</v>
      </c>
      <c r="AP579" s="316">
        <v>46066</v>
      </c>
      <c r="AQ579" s="314"/>
      <c r="AR579" s="315" t="str">
        <f t="shared" si="36"/>
        <v>FINALIZADO</v>
      </c>
      <c r="AS579" s="207" t="s">
        <v>4423</v>
      </c>
      <c r="AT579" s="207"/>
      <c r="AU579" s="225" t="s">
        <v>6883</v>
      </c>
      <c r="AV579" s="219" t="s">
        <v>4425</v>
      </c>
      <c r="AW579" s="219" t="s">
        <v>4425</v>
      </c>
      <c r="AX579" s="207" t="s">
        <v>4425</v>
      </c>
      <c r="AY579" s="207" t="s">
        <v>4425</v>
      </c>
      <c r="AZ579" s="202">
        <v>46153</v>
      </c>
      <c r="BA579" s="207" t="s">
        <v>4425</v>
      </c>
      <c r="BB579" s="207" t="s">
        <v>4425</v>
      </c>
      <c r="BC579" s="202">
        <v>46170</v>
      </c>
      <c r="BD579" s="227">
        <v>46170</v>
      </c>
      <c r="BE579" s="227" t="s">
        <v>4435</v>
      </c>
      <c r="BF579" s="236" t="s">
        <v>4436</v>
      </c>
      <c r="BG579" s="237" t="s">
        <v>4425</v>
      </c>
      <c r="BH579" s="321">
        <f t="shared" si="37"/>
        <v>104</v>
      </c>
      <c r="BI579" s="98" t="str">
        <f t="shared" si="38"/>
        <v>INDENIZAÇÃO</v>
      </c>
      <c r="BJ579" s="98" t="str">
        <f t="shared" si="39"/>
        <v>NÃO</v>
      </c>
      <c r="BK579" s="238" t="s">
        <v>4437</v>
      </c>
      <c r="BL579" s="238" t="s">
        <v>4437</v>
      </c>
      <c r="BM579" s="238" t="s">
        <v>4437</v>
      </c>
      <c r="BN579" s="273" t="s">
        <v>5732</v>
      </c>
      <c r="BO579" s="265"/>
      <c r="BP579" s="265"/>
      <c r="BQ579" s="265"/>
      <c r="BR579" s="231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hidden="1" customHeight="1">
      <c r="A580" s="197">
        <v>576</v>
      </c>
      <c r="B580" s="197" t="s">
        <v>4396</v>
      </c>
      <c r="C580" s="207" t="s">
        <v>4427</v>
      </c>
      <c r="D580" s="207">
        <v>1</v>
      </c>
      <c r="E580" s="207" t="s">
        <v>4398</v>
      </c>
      <c r="F580" s="214" t="s">
        <v>6884</v>
      </c>
      <c r="G580" s="207" t="s">
        <v>4400</v>
      </c>
      <c r="H580" s="207" t="s">
        <v>4401</v>
      </c>
      <c r="I580" s="249" t="s">
        <v>4402</v>
      </c>
      <c r="J580" s="215" t="s">
        <v>6885</v>
      </c>
      <c r="K580" s="215" t="s">
        <v>6886</v>
      </c>
      <c r="L580" s="215" t="s">
        <v>6887</v>
      </c>
      <c r="M580" s="207" t="s">
        <v>4405</v>
      </c>
      <c r="N580" s="207" t="s">
        <v>4406</v>
      </c>
      <c r="O580" s="202">
        <v>46002</v>
      </c>
      <c r="P580" s="202" t="s">
        <v>4407</v>
      </c>
      <c r="Q580" s="202">
        <v>45999</v>
      </c>
      <c r="R580" s="202">
        <v>46006</v>
      </c>
      <c r="S580" s="202">
        <v>46006</v>
      </c>
      <c r="T580" s="202">
        <v>46009</v>
      </c>
      <c r="U580" s="202" t="s">
        <v>4408</v>
      </c>
      <c r="V580" s="202" t="s">
        <v>4408</v>
      </c>
      <c r="W580" s="202">
        <v>46014</v>
      </c>
      <c r="X580" s="202">
        <v>46031</v>
      </c>
      <c r="Y580" s="202"/>
      <c r="Z580" s="207"/>
      <c r="AA580" s="215" t="s">
        <v>6885</v>
      </c>
      <c r="AB580" s="215" t="s">
        <v>6886</v>
      </c>
      <c r="AC580" s="215" t="s">
        <v>6887</v>
      </c>
      <c r="AD580" s="207" t="s">
        <v>4402</v>
      </c>
      <c r="AE580" s="207" t="s">
        <v>4405</v>
      </c>
      <c r="AF580" s="218" t="s">
        <v>4409</v>
      </c>
      <c r="AG580" s="218" t="s">
        <v>4409</v>
      </c>
      <c r="AH580" s="197" t="s">
        <v>4410</v>
      </c>
      <c r="AI580" s="214" t="s">
        <v>4411</v>
      </c>
      <c r="AJ580" s="207"/>
      <c r="AK580" s="316">
        <v>45996</v>
      </c>
      <c r="AL580" s="316">
        <v>45996</v>
      </c>
      <c r="AM580" s="316">
        <v>45996</v>
      </c>
      <c r="AN580" s="316">
        <v>45996</v>
      </c>
      <c r="AO580" s="316">
        <v>45996</v>
      </c>
      <c r="AP580" s="316">
        <v>45996</v>
      </c>
      <c r="AQ580" s="314"/>
      <c r="AR580" s="315" t="str">
        <f t="shared" si="36"/>
        <v>FINALIZADO</v>
      </c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 t="str">
        <f t="shared" si="37"/>
        <v/>
      </c>
      <c r="BI580" s="98" t="str">
        <f t="shared" si="38"/>
        <v>AA</v>
      </c>
      <c r="BJ580" s="98" t="str">
        <f t="shared" si="39"/>
        <v>NÃO</v>
      </c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207">
        <v>577</v>
      </c>
      <c r="B581" s="197" t="s">
        <v>4396</v>
      </c>
      <c r="C581" s="207" t="s">
        <v>4427</v>
      </c>
      <c r="D581" s="207">
        <v>1</v>
      </c>
      <c r="E581" s="207" t="s">
        <v>4398</v>
      </c>
      <c r="F581" s="214" t="s">
        <v>6888</v>
      </c>
      <c r="G581" s="207" t="s">
        <v>4400</v>
      </c>
      <c r="H581" s="207" t="s">
        <v>4401</v>
      </c>
      <c r="I581" s="249" t="s">
        <v>4402</v>
      </c>
      <c r="J581" s="215" t="s">
        <v>6889</v>
      </c>
      <c r="K581" s="215" t="s">
        <v>6890</v>
      </c>
      <c r="L581" s="215" t="s">
        <v>6891</v>
      </c>
      <c r="M581" s="207" t="s">
        <v>4405</v>
      </c>
      <c r="N581" s="207" t="s">
        <v>4406</v>
      </c>
      <c r="O581" s="202">
        <v>46176</v>
      </c>
      <c r="P581" s="202" t="s">
        <v>4407</v>
      </c>
      <c r="Q581" s="202">
        <v>46174</v>
      </c>
      <c r="R581" s="202">
        <v>46176</v>
      </c>
      <c r="S581" s="202">
        <v>46202</v>
      </c>
      <c r="T581" s="202">
        <v>46204</v>
      </c>
      <c r="U581" s="202" t="s">
        <v>4408</v>
      </c>
      <c r="V581" s="202" t="s">
        <v>4408</v>
      </c>
      <c r="W581" s="202">
        <v>46223</v>
      </c>
      <c r="X581" s="202"/>
      <c r="Y581" s="202"/>
      <c r="Z581" s="207"/>
      <c r="AA581" s="215"/>
      <c r="AB581" s="215"/>
      <c r="AC581" s="215"/>
      <c r="AD581" s="207"/>
      <c r="AE581" s="207"/>
      <c r="AF581" s="218"/>
      <c r="AG581" s="218"/>
      <c r="AH581" s="197"/>
      <c r="AI581" s="214" t="s">
        <v>4411</v>
      </c>
      <c r="AJ581" s="207"/>
      <c r="AK581" s="316"/>
      <c r="AL581" s="316"/>
      <c r="AM581" s="316"/>
      <c r="AN581" s="316"/>
      <c r="AO581" s="316"/>
      <c r="AP581" s="316"/>
      <c r="AQ581" s="314"/>
      <c r="AR581" s="315" t="str">
        <f t="shared" si="36"/>
        <v/>
      </c>
      <c r="AS581" s="207"/>
      <c r="AT581" s="207"/>
      <c r="AU581" s="225"/>
      <c r="AV581" s="207"/>
      <c r="AW581" s="207"/>
      <c r="AX581" s="207"/>
      <c r="AY581" s="197"/>
      <c r="AZ581" s="202"/>
      <c r="BA581" s="219"/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INDENIZAÇÃO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customHeight="1">
      <c r="A582" s="207">
        <v>578</v>
      </c>
      <c r="B582" s="197" t="s">
        <v>4396</v>
      </c>
      <c r="C582" s="207" t="s">
        <v>4413</v>
      </c>
      <c r="D582" s="207">
        <v>1</v>
      </c>
      <c r="E582" s="207" t="s">
        <v>4398</v>
      </c>
      <c r="F582" s="214" t="s">
        <v>6892</v>
      </c>
      <c r="G582" s="207" t="s">
        <v>4400</v>
      </c>
      <c r="H582" s="207" t="s">
        <v>4401</v>
      </c>
      <c r="I582" s="207" t="s">
        <v>4402</v>
      </c>
      <c r="J582" s="215" t="s">
        <v>6893</v>
      </c>
      <c r="K582" s="215" t="s">
        <v>6894</v>
      </c>
      <c r="L582" s="215" t="s">
        <v>6895</v>
      </c>
      <c r="M582" s="207" t="s">
        <v>4405</v>
      </c>
      <c r="N582" s="207" t="s">
        <v>4406</v>
      </c>
      <c r="O582" s="202">
        <v>46147</v>
      </c>
      <c r="P582" s="202" t="s">
        <v>4407</v>
      </c>
      <c r="Q582" s="203">
        <v>46136</v>
      </c>
      <c r="R582" s="202">
        <v>46147</v>
      </c>
      <c r="S582" s="203">
        <v>46156</v>
      </c>
      <c r="T582" s="203">
        <v>46168</v>
      </c>
      <c r="U582" s="203" t="s">
        <v>4408</v>
      </c>
      <c r="V582" s="203" t="s">
        <v>4408</v>
      </c>
      <c r="W582" s="279">
        <v>46196</v>
      </c>
      <c r="X582" s="203">
        <v>46210</v>
      </c>
      <c r="Y582" s="203"/>
      <c r="Z582" s="219"/>
      <c r="AA582" s="215" t="s">
        <v>6893</v>
      </c>
      <c r="AB582" s="215" t="s">
        <v>6894</v>
      </c>
      <c r="AC582" s="215" t="s">
        <v>6895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7" t="s">
        <v>4410</v>
      </c>
      <c r="AI582" s="214" t="s">
        <v>4411</v>
      </c>
      <c r="AJ582" s="207"/>
      <c r="AK582" s="317">
        <v>46134</v>
      </c>
      <c r="AL582" s="317">
        <v>46134</v>
      </c>
      <c r="AM582" s="317">
        <v>46134</v>
      </c>
      <c r="AN582" s="317">
        <v>46134</v>
      </c>
      <c r="AO582" s="317">
        <v>46134</v>
      </c>
      <c r="AP582" s="317">
        <v>46134</v>
      </c>
      <c r="AQ582" s="314"/>
      <c r="AR582" s="315" t="str">
        <f t="shared" ref="AR582" si="40">IF(AQ582="SIM","AGUARDANDO CORREÇÃO",IF(AP582&lt;&gt;"","FINALIZADO",IF(AO582&lt;&gt;"","AGUARDANDO ENVIO DTS",IF(AN582&lt;&gt;"","AGUARDANDO ASSINATURA GAB",IF(AM582&lt;&gt;"","AGUARDANDO ASSINATURA CTS",IF(AL582&lt;&gt;"","AGUARDANDO ENVIO ASSINATURA CTS",IF(AK582&lt;&gt;"","AGUARDANDO CONFERÊNCIA","")))))))</f>
        <v>FINALIZADO</v>
      </c>
      <c r="AS582" s="207"/>
      <c r="AT582" s="219"/>
      <c r="AU582" s="225"/>
      <c r="AV582" s="219"/>
      <c r="AW582" s="219"/>
      <c r="AX582" s="219"/>
      <c r="AY582" s="254"/>
      <c r="AZ582" s="219"/>
      <c r="BA582" s="219"/>
      <c r="BB582" s="219"/>
      <c r="BC582" s="219"/>
      <c r="BD582" s="208"/>
      <c r="BE582" s="203"/>
      <c r="BF582" s="219"/>
      <c r="BG582" s="21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19"/>
      <c r="BL582" s="221"/>
      <c r="BM582" s="221"/>
      <c r="BN582" s="219"/>
      <c r="BO582" s="219"/>
      <c r="BP582" s="219"/>
      <c r="BQ582" s="219"/>
      <c r="BR582" s="222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>
      <c r="A583" s="207">
        <v>579</v>
      </c>
      <c r="B583" s="197" t="s">
        <v>4396</v>
      </c>
      <c r="C583" s="207" t="s">
        <v>4427</v>
      </c>
      <c r="D583" s="207">
        <v>1</v>
      </c>
      <c r="E583" s="207" t="s">
        <v>4398</v>
      </c>
      <c r="F583" s="214" t="s">
        <v>6896</v>
      </c>
      <c r="G583" s="207" t="s">
        <v>4400</v>
      </c>
      <c r="H583" s="207" t="s">
        <v>4401</v>
      </c>
      <c r="I583" s="207" t="s">
        <v>4402</v>
      </c>
      <c r="J583" s="242" t="s">
        <v>6897</v>
      </c>
      <c r="K583" s="215" t="s">
        <v>4440</v>
      </c>
      <c r="L583" s="215" t="s">
        <v>6898</v>
      </c>
      <c r="M583" s="207" t="s">
        <v>4405</v>
      </c>
      <c r="N583" s="207" t="s">
        <v>4406</v>
      </c>
      <c r="O583" s="202">
        <v>46147</v>
      </c>
      <c r="P583" s="202" t="s">
        <v>4407</v>
      </c>
      <c r="Q583" s="203">
        <v>46136</v>
      </c>
      <c r="R583" s="202">
        <v>46147</v>
      </c>
      <c r="S583" s="203">
        <v>46156</v>
      </c>
      <c r="T583" s="203">
        <v>46168</v>
      </c>
      <c r="U583" s="203" t="s">
        <v>4408</v>
      </c>
      <c r="V583" s="203" t="s">
        <v>4408</v>
      </c>
      <c r="W583" s="279">
        <v>46196</v>
      </c>
      <c r="X583" s="203">
        <v>46209</v>
      </c>
      <c r="Y583" s="203"/>
      <c r="Z583" s="219"/>
      <c r="AA583" s="242" t="s">
        <v>6897</v>
      </c>
      <c r="AB583" s="215" t="s">
        <v>4440</v>
      </c>
      <c r="AC583" s="215" t="s">
        <v>6898</v>
      </c>
      <c r="AD583" s="207" t="s">
        <v>4402</v>
      </c>
      <c r="AE583" s="207" t="s">
        <v>4405</v>
      </c>
      <c r="AF583" s="218" t="s">
        <v>4409</v>
      </c>
      <c r="AG583" s="218" t="s">
        <v>4409</v>
      </c>
      <c r="AH583" s="207" t="s">
        <v>4410</v>
      </c>
      <c r="AI583" s="214" t="s">
        <v>4411</v>
      </c>
      <c r="AJ583" s="207"/>
      <c r="AK583" s="317">
        <v>46119</v>
      </c>
      <c r="AL583" s="317">
        <v>46119</v>
      </c>
      <c r="AM583" s="317">
        <v>46119</v>
      </c>
      <c r="AN583" s="317">
        <v>46119</v>
      </c>
      <c r="AO583" s="317">
        <v>46119</v>
      </c>
      <c r="AP583" s="317">
        <v>46119</v>
      </c>
      <c r="AQ583" s="314"/>
      <c r="AR583" s="315" t="str">
        <f t="shared" ref="AR583:AR645" si="41">IF(AQ583="SIM","AGUARDANDO CORREÇÃO",IF(AP583&lt;&gt;"","FINALIZADO",IF(AO583&lt;&gt;"","AGUARDANDO ENVIO DTS",IF(AN583&lt;&gt;"","AGUARDANDO ASSINATURA GAB",IF(AM583&lt;&gt;"","AGUARDANDO ASSINATURA CTS",IF(AL583&lt;&gt;"","AGUARDANDO ENVIO ASSINATURA CTS",IF(AK583&lt;&gt;"","AGUARDANDO CONFERÊNCIA","")))))))</f>
        <v>FINALIZADO</v>
      </c>
      <c r="AS583" s="207"/>
      <c r="AT583" s="219"/>
      <c r="AU583" s="225"/>
      <c r="AV583" s="254"/>
      <c r="AW583" s="219"/>
      <c r="AX583" s="219"/>
      <c r="AY583" s="219"/>
      <c r="AZ583" s="219"/>
      <c r="BA583" s="219"/>
      <c r="BB583" s="219"/>
      <c r="BC583" s="219"/>
      <c r="BD583" s="208"/>
      <c r="BE583" s="203"/>
      <c r="BF583" s="219"/>
      <c r="BG583" s="219"/>
      <c r="BH583" s="321" t="str">
        <f t="shared" ref="BH583:BH644" si="42">IFERROR(IF(BD583-KI583=0,"",BD583-AK583),"")</f>
        <v/>
      </c>
      <c r="BI583" s="98" t="str">
        <f t="shared" ref="BI583:BI644" si="43">IF(AND(AH583&lt;&gt;"SIM",AH583="UH"),"AA","INDENIZAÇÃO")</f>
        <v>AA</v>
      </c>
      <c r="BJ583" s="98" t="str">
        <f t="shared" ref="BJ583:BJ644" si="44">IF(AND(BD583&lt;&gt;"AGUARDANDO",BD583&lt;&gt;"",N583="AUXÍLIO ALUGUEL ATÉ INDENIZAÇÃO"),"SIM","NÃO")</f>
        <v>NÃO</v>
      </c>
      <c r="BK583" s="219"/>
      <c r="BL583" s="221"/>
      <c r="BM583" s="221"/>
      <c r="BN583" s="219"/>
      <c r="BO583" s="219"/>
      <c r="BP583" s="219"/>
      <c r="BQ583" s="219"/>
      <c r="BR583" s="222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197">
        <v>580</v>
      </c>
      <c r="B584" s="197" t="s">
        <v>4396</v>
      </c>
      <c r="C584" s="207" t="s">
        <v>4427</v>
      </c>
      <c r="D584" s="207">
        <v>1</v>
      </c>
      <c r="E584" s="207" t="s">
        <v>4398</v>
      </c>
      <c r="F584" s="214" t="s">
        <v>6899</v>
      </c>
      <c r="G584" s="207" t="s">
        <v>4400</v>
      </c>
      <c r="H584" s="207" t="s">
        <v>4401</v>
      </c>
      <c r="I584" s="207" t="s">
        <v>4402</v>
      </c>
      <c r="J584" s="242" t="s">
        <v>6900</v>
      </c>
      <c r="K584" s="215" t="s">
        <v>4440</v>
      </c>
      <c r="L584" s="215" t="s">
        <v>6901</v>
      </c>
      <c r="M584" s="207" t="s">
        <v>4405</v>
      </c>
      <c r="N584" s="207" t="s">
        <v>4406</v>
      </c>
      <c r="O584" s="202">
        <v>46147</v>
      </c>
      <c r="P584" s="202" t="s">
        <v>4407</v>
      </c>
      <c r="Q584" s="203">
        <v>46136</v>
      </c>
      <c r="R584" s="202">
        <v>46147</v>
      </c>
      <c r="S584" s="203">
        <v>46156</v>
      </c>
      <c r="T584" s="203">
        <v>46168</v>
      </c>
      <c r="U584" s="203" t="s">
        <v>4408</v>
      </c>
      <c r="V584" s="203" t="s">
        <v>4408</v>
      </c>
      <c r="W584" s="279">
        <v>46196</v>
      </c>
      <c r="X584" s="203">
        <v>46199</v>
      </c>
      <c r="Y584" s="203"/>
      <c r="Z584" s="219"/>
      <c r="AA584" s="242" t="s">
        <v>6900</v>
      </c>
      <c r="AB584" s="215" t="s">
        <v>4440</v>
      </c>
      <c r="AC584" s="215" t="s">
        <v>6901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207" t="s">
        <v>4410</v>
      </c>
      <c r="AI584" s="214" t="s">
        <v>4411</v>
      </c>
      <c r="AJ584" s="207"/>
      <c r="AK584" s="317">
        <v>46119</v>
      </c>
      <c r="AL584" s="317">
        <v>46119</v>
      </c>
      <c r="AM584" s="317">
        <v>46119</v>
      </c>
      <c r="AN584" s="317">
        <v>46119</v>
      </c>
      <c r="AO584" s="317">
        <v>46119</v>
      </c>
      <c r="AP584" s="317">
        <v>46119</v>
      </c>
      <c r="AQ584" s="314"/>
      <c r="AR584" s="315" t="str">
        <f t="shared" si="41"/>
        <v>FINALIZADO</v>
      </c>
      <c r="AS584" s="207"/>
      <c r="AT584" s="219"/>
      <c r="AU584" s="225"/>
      <c r="AV584" s="219"/>
      <c r="AW584" s="219"/>
      <c r="AX584" s="219"/>
      <c r="AY584" s="219"/>
      <c r="AZ584" s="219"/>
      <c r="BA584" s="219"/>
      <c r="BB584" s="219"/>
      <c r="BC584" s="219"/>
      <c r="BD584" s="208"/>
      <c r="BE584" s="203"/>
      <c r="BF584" s="219"/>
      <c r="BG584" s="219"/>
      <c r="BH584" s="321" t="str">
        <f t="shared" si="42"/>
        <v/>
      </c>
      <c r="BI584" s="98" t="str">
        <f t="shared" si="43"/>
        <v>AA</v>
      </c>
      <c r="BJ584" s="98" t="str">
        <f t="shared" si="44"/>
        <v>NÃO</v>
      </c>
      <c r="BK584" s="219"/>
      <c r="BL584" s="221"/>
      <c r="BM584" s="221"/>
      <c r="BN584" s="219"/>
      <c r="BO584" s="219"/>
      <c r="BP584" s="219"/>
      <c r="BQ584" s="219"/>
      <c r="BR584" s="222"/>
    </row>
    <row r="585" spans="1:112" ht="27" hidden="1" customHeight="1">
      <c r="A585" s="197">
        <v>581</v>
      </c>
      <c r="B585" s="197" t="s">
        <v>4396</v>
      </c>
      <c r="C585" s="207" t="s">
        <v>4427</v>
      </c>
      <c r="D585" s="207">
        <v>1</v>
      </c>
      <c r="E585" s="207" t="s">
        <v>4398</v>
      </c>
      <c r="F585" s="214" t="s">
        <v>6902</v>
      </c>
      <c r="G585" s="207" t="s">
        <v>4400</v>
      </c>
      <c r="H585" s="207" t="s">
        <v>4401</v>
      </c>
      <c r="I585" s="217" t="s">
        <v>4402</v>
      </c>
      <c r="J585" s="242" t="s">
        <v>6903</v>
      </c>
      <c r="K585" s="215" t="s">
        <v>6904</v>
      </c>
      <c r="L585" s="215" t="s">
        <v>6905</v>
      </c>
      <c r="M585" s="207" t="s">
        <v>4405</v>
      </c>
      <c r="N585" s="207" t="s">
        <v>4406</v>
      </c>
      <c r="O585" s="202">
        <v>46002</v>
      </c>
      <c r="P585" s="202" t="s">
        <v>4407</v>
      </c>
      <c r="Q585" s="202">
        <v>45999</v>
      </c>
      <c r="R585" s="202">
        <v>46006</v>
      </c>
      <c r="S585" s="202">
        <v>46006</v>
      </c>
      <c r="T585" s="202">
        <v>46009</v>
      </c>
      <c r="U585" s="202" t="s">
        <v>4408</v>
      </c>
      <c r="V585" s="202" t="s">
        <v>4408</v>
      </c>
      <c r="W585" s="202">
        <v>46014</v>
      </c>
      <c r="X585" s="202">
        <v>46020</v>
      </c>
      <c r="Y585" s="202"/>
      <c r="Z585" s="207"/>
      <c r="AA585" s="242" t="s">
        <v>6903</v>
      </c>
      <c r="AB585" s="215" t="s">
        <v>6904</v>
      </c>
      <c r="AC585" s="215" t="s">
        <v>6905</v>
      </c>
      <c r="AD585" s="207" t="s">
        <v>4402</v>
      </c>
      <c r="AE585" s="207" t="s">
        <v>4405</v>
      </c>
      <c r="AF585" s="218" t="s">
        <v>4409</v>
      </c>
      <c r="AG585" s="218" t="s">
        <v>4409</v>
      </c>
      <c r="AH585" s="207" t="s">
        <v>4410</v>
      </c>
      <c r="AI585" s="214" t="s">
        <v>4411</v>
      </c>
      <c r="AJ585" s="207"/>
      <c r="AK585" s="316">
        <v>45996</v>
      </c>
      <c r="AL585" s="316">
        <v>45996</v>
      </c>
      <c r="AM585" s="316">
        <v>45996</v>
      </c>
      <c r="AN585" s="316">
        <v>45996</v>
      </c>
      <c r="AO585" s="316">
        <v>45996</v>
      </c>
      <c r="AP585" s="316">
        <v>45996</v>
      </c>
      <c r="AQ585" s="314"/>
      <c r="AR585" s="315" t="str">
        <f t="shared" si="41"/>
        <v>FINALIZADO</v>
      </c>
      <c r="AS585" s="207"/>
      <c r="AT585" s="207"/>
      <c r="AU585" s="225"/>
      <c r="AV585" s="207"/>
      <c r="AW585" s="207"/>
      <c r="AX585" s="207"/>
      <c r="AY585" s="20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42"/>
        <v/>
      </c>
      <c r="BI585" s="98" t="str">
        <f t="shared" si="43"/>
        <v>AA</v>
      </c>
      <c r="BJ585" s="98" t="str">
        <f t="shared" si="44"/>
        <v>NÃO</v>
      </c>
      <c r="BK585" s="230"/>
      <c r="BL585" s="230"/>
      <c r="BM585" s="230"/>
      <c r="BN585" s="230"/>
      <c r="BO585" s="230"/>
      <c r="BP585" s="230"/>
      <c r="BQ585" s="230"/>
      <c r="BR585" s="234"/>
    </row>
    <row r="586" spans="1:112" ht="27" hidden="1" customHeight="1">
      <c r="A586" s="207">
        <v>582</v>
      </c>
      <c r="B586" s="197" t="s">
        <v>4396</v>
      </c>
      <c r="C586" s="207" t="s">
        <v>4427</v>
      </c>
      <c r="D586" s="207">
        <v>1</v>
      </c>
      <c r="E586" s="207" t="s">
        <v>4398</v>
      </c>
      <c r="F586" s="214" t="s">
        <v>6906</v>
      </c>
      <c r="G586" s="207" t="s">
        <v>4400</v>
      </c>
      <c r="H586" s="207" t="s">
        <v>4401</v>
      </c>
      <c r="I586" s="217" t="s">
        <v>4402</v>
      </c>
      <c r="J586" s="215" t="s">
        <v>6907</v>
      </c>
      <c r="K586" s="215" t="s">
        <v>6908</v>
      </c>
      <c r="L586" s="215" t="s">
        <v>6909</v>
      </c>
      <c r="M586" s="207" t="s">
        <v>4405</v>
      </c>
      <c r="N586" s="207" t="s">
        <v>4442</v>
      </c>
      <c r="O586" s="202" t="s">
        <v>4409</v>
      </c>
      <c r="P586" s="202" t="s">
        <v>4409</v>
      </c>
      <c r="Q586" s="202" t="s">
        <v>4409</v>
      </c>
      <c r="R586" s="202" t="s">
        <v>4409</v>
      </c>
      <c r="S586" s="202" t="s">
        <v>4409</v>
      </c>
      <c r="T586" s="202" t="s">
        <v>4409</v>
      </c>
      <c r="U586" s="202" t="s">
        <v>4409</v>
      </c>
      <c r="V586" s="202" t="s">
        <v>4409</v>
      </c>
      <c r="W586" s="202" t="s">
        <v>4409</v>
      </c>
      <c r="X586" s="202" t="s">
        <v>4409</v>
      </c>
      <c r="Y586" s="202"/>
      <c r="Z586" s="202"/>
      <c r="AA586" s="215" t="s">
        <v>6907</v>
      </c>
      <c r="AB586" s="215" t="s">
        <v>6908</v>
      </c>
      <c r="AC586" s="215" t="s">
        <v>6909</v>
      </c>
      <c r="AD586" s="207" t="s">
        <v>4402</v>
      </c>
      <c r="AE586" s="207" t="s">
        <v>4405</v>
      </c>
      <c r="AF586" s="218">
        <v>55469.48</v>
      </c>
      <c r="AG586" s="218">
        <v>60000</v>
      </c>
      <c r="AH586" s="207" t="s">
        <v>4433</v>
      </c>
      <c r="AI586" s="214" t="s">
        <v>4411</v>
      </c>
      <c r="AJ586" s="207">
        <v>151143591</v>
      </c>
      <c r="AK586" s="316">
        <v>46129</v>
      </c>
      <c r="AL586" s="316">
        <v>46129</v>
      </c>
      <c r="AM586" s="316">
        <v>46129</v>
      </c>
      <c r="AN586" s="316">
        <v>46129</v>
      </c>
      <c r="AO586" s="316">
        <v>46129</v>
      </c>
      <c r="AP586" s="316">
        <v>46129</v>
      </c>
      <c r="AQ586" s="314"/>
      <c r="AR586" s="315" t="str">
        <f t="shared" si="41"/>
        <v>FINALIZADO</v>
      </c>
      <c r="AS586" s="207" t="s">
        <v>4423</v>
      </c>
      <c r="AT586" s="207"/>
      <c r="AU586" s="263" t="s">
        <v>6910</v>
      </c>
      <c r="AV586" s="250" t="s">
        <v>4425</v>
      </c>
      <c r="AW586" s="207" t="s">
        <v>4425</v>
      </c>
      <c r="AX586" s="207" t="s">
        <v>4425</v>
      </c>
      <c r="AY586" s="219" t="s">
        <v>4425</v>
      </c>
      <c r="AZ586" s="202">
        <v>46226</v>
      </c>
      <c r="BA586" s="219" t="s">
        <v>4425</v>
      </c>
      <c r="BB586" s="219" t="s">
        <v>4425</v>
      </c>
      <c r="BC586" s="202">
        <v>46232</v>
      </c>
      <c r="BD586" s="226">
        <v>46232</v>
      </c>
      <c r="BE586" s="257" t="s">
        <v>4435</v>
      </c>
      <c r="BF586" s="257" t="s">
        <v>4436</v>
      </c>
      <c r="BG586" s="219" t="s">
        <v>4425</v>
      </c>
      <c r="BH586" s="321">
        <f t="shared" si="42"/>
        <v>103</v>
      </c>
      <c r="BI586" s="98" t="str">
        <f t="shared" si="43"/>
        <v>INDENIZAÇÃO</v>
      </c>
      <c r="BJ586" s="98" t="str">
        <f t="shared" si="44"/>
        <v>NÃO</v>
      </c>
      <c r="BK586" s="219" t="s">
        <v>4437</v>
      </c>
      <c r="BL586" s="219" t="s">
        <v>4437</v>
      </c>
      <c r="BM586" s="219" t="s">
        <v>4437</v>
      </c>
      <c r="BN586" s="257" t="s">
        <v>5732</v>
      </c>
      <c r="BO586" s="257"/>
      <c r="BP586" s="257"/>
      <c r="BQ586" s="257"/>
      <c r="BR586" s="258"/>
      <c r="BS586" s="223"/>
      <c r="BT586" s="240"/>
    </row>
    <row r="587" spans="1:112" ht="27" hidden="1" customHeight="1">
      <c r="A587" s="207">
        <v>583</v>
      </c>
      <c r="B587" s="197" t="s">
        <v>4396</v>
      </c>
      <c r="C587" s="207" t="s">
        <v>4427</v>
      </c>
      <c r="D587" s="207">
        <v>1</v>
      </c>
      <c r="E587" s="250" t="s">
        <v>4398</v>
      </c>
      <c r="F587" s="214" t="s">
        <v>6911</v>
      </c>
      <c r="G587" s="207" t="s">
        <v>4400</v>
      </c>
      <c r="H587" s="207" t="s">
        <v>4401</v>
      </c>
      <c r="I587" s="217" t="s">
        <v>4402</v>
      </c>
      <c r="J587" s="242" t="s">
        <v>6912</v>
      </c>
      <c r="K587" s="215" t="s">
        <v>6913</v>
      </c>
      <c r="L587" s="215" t="s">
        <v>6914</v>
      </c>
      <c r="M587" s="207" t="s">
        <v>4405</v>
      </c>
      <c r="N587" s="207" t="s">
        <v>4442</v>
      </c>
      <c r="O587" s="202" t="s">
        <v>4409</v>
      </c>
      <c r="P587" s="202" t="s">
        <v>4409</v>
      </c>
      <c r="Q587" s="202" t="s">
        <v>4409</v>
      </c>
      <c r="R587" s="202" t="s">
        <v>4409</v>
      </c>
      <c r="S587" s="202" t="s">
        <v>4409</v>
      </c>
      <c r="T587" s="202" t="s">
        <v>4409</v>
      </c>
      <c r="U587" s="202" t="s">
        <v>4409</v>
      </c>
      <c r="V587" s="202" t="s">
        <v>4409</v>
      </c>
      <c r="W587" s="202" t="s">
        <v>4409</v>
      </c>
      <c r="X587" s="202" t="s">
        <v>4409</v>
      </c>
      <c r="Y587" s="202" t="s">
        <v>4409</v>
      </c>
      <c r="Z587" s="202"/>
      <c r="AA587" s="242" t="s">
        <v>6912</v>
      </c>
      <c r="AB587" s="215" t="s">
        <v>6913</v>
      </c>
      <c r="AC587" s="215" t="s">
        <v>6914</v>
      </c>
      <c r="AD587" s="207" t="s">
        <v>4402</v>
      </c>
      <c r="AE587" s="207" t="s">
        <v>4405</v>
      </c>
      <c r="AF587" s="218">
        <v>60157.71</v>
      </c>
      <c r="AG587" s="218">
        <v>60157.71</v>
      </c>
      <c r="AH587" s="241" t="s">
        <v>4433</v>
      </c>
      <c r="AI587" s="214" t="s">
        <v>4411</v>
      </c>
      <c r="AJ587" s="207">
        <v>160469205</v>
      </c>
      <c r="AK587" s="316">
        <v>46219</v>
      </c>
      <c r="AL587" s="316">
        <v>46219</v>
      </c>
      <c r="AM587" s="316">
        <v>46219</v>
      </c>
      <c r="AN587" s="316">
        <v>46219</v>
      </c>
      <c r="AO587" s="316">
        <v>46219</v>
      </c>
      <c r="AP587" s="316">
        <v>46219</v>
      </c>
      <c r="AQ587" s="314"/>
      <c r="AR587" s="315" t="str">
        <f t="shared" si="41"/>
        <v>FINALIZADO</v>
      </c>
      <c r="AS587" s="207" t="s">
        <v>4423</v>
      </c>
      <c r="AT587" s="207"/>
      <c r="AU587" s="220" t="s">
        <v>4435</v>
      </c>
      <c r="AV587" s="219" t="s">
        <v>5487</v>
      </c>
      <c r="AW587" s="207"/>
      <c r="AX587" s="207"/>
      <c r="AY587" s="207"/>
      <c r="AZ587" s="207"/>
      <c r="BA587" s="207"/>
      <c r="BB587" s="207"/>
      <c r="BC587" s="202"/>
      <c r="BD587" s="208"/>
      <c r="BE587" s="202"/>
      <c r="BF587" s="207"/>
      <c r="BG587" s="229"/>
      <c r="BH587" s="321" t="str">
        <f t="shared" si="42"/>
        <v/>
      </c>
      <c r="BI587" s="98" t="str">
        <f t="shared" si="43"/>
        <v>INDENIZAÇÃO</v>
      </c>
      <c r="BJ587" s="98" t="str">
        <f t="shared" si="44"/>
        <v>NÃO</v>
      </c>
      <c r="BK587" s="230"/>
      <c r="BL587" s="230"/>
      <c r="BM587" s="230"/>
      <c r="BN587" s="230"/>
      <c r="BO587" s="230"/>
      <c r="BP587" s="230"/>
      <c r="BQ587" s="230"/>
      <c r="BR587" s="234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>
      <c r="A588" s="207">
        <v>584</v>
      </c>
      <c r="B588" s="197" t="s">
        <v>4396</v>
      </c>
      <c r="C588" s="207" t="s">
        <v>4427</v>
      </c>
      <c r="D588" s="207">
        <v>1</v>
      </c>
      <c r="E588" s="207" t="s">
        <v>4398</v>
      </c>
      <c r="F588" s="214" t="s">
        <v>6915</v>
      </c>
      <c r="G588" s="207" t="s">
        <v>4400</v>
      </c>
      <c r="H588" s="207" t="s">
        <v>4401</v>
      </c>
      <c r="I588" s="217" t="s">
        <v>4402</v>
      </c>
      <c r="J588" s="215" t="s">
        <v>6916</v>
      </c>
      <c r="K588" s="215" t="s">
        <v>6917</v>
      </c>
      <c r="L588" s="215" t="s">
        <v>6918</v>
      </c>
      <c r="M588" s="207" t="s">
        <v>4405</v>
      </c>
      <c r="N588" s="207" t="s">
        <v>4406</v>
      </c>
      <c r="O588" s="202">
        <v>45986</v>
      </c>
      <c r="P588" s="203" t="s">
        <v>4407</v>
      </c>
      <c r="Q588" s="203">
        <v>45985</v>
      </c>
      <c r="R588" s="203">
        <v>45986</v>
      </c>
      <c r="S588" s="203">
        <v>45987</v>
      </c>
      <c r="T588" s="203">
        <v>45992</v>
      </c>
      <c r="U588" s="202" t="s">
        <v>4408</v>
      </c>
      <c r="V588" s="202" t="s">
        <v>4408</v>
      </c>
      <c r="W588" s="202">
        <v>45999</v>
      </c>
      <c r="X588" s="202">
        <v>46000</v>
      </c>
      <c r="Y588" s="202"/>
      <c r="Z588" s="207"/>
      <c r="AA588" s="215" t="s">
        <v>6916</v>
      </c>
      <c r="AB588" s="215" t="s">
        <v>6917</v>
      </c>
      <c r="AC588" s="215" t="s">
        <v>6918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4" t="s">
        <v>4410</v>
      </c>
      <c r="AI588" s="214" t="s">
        <v>4411</v>
      </c>
      <c r="AJ588" s="207"/>
      <c r="AK588" s="316">
        <v>45980</v>
      </c>
      <c r="AL588" s="316">
        <v>45980</v>
      </c>
      <c r="AM588" s="316">
        <v>45980</v>
      </c>
      <c r="AN588" s="316">
        <v>45980</v>
      </c>
      <c r="AO588" s="316">
        <v>45980</v>
      </c>
      <c r="AP588" s="316">
        <v>45980</v>
      </c>
      <c r="AQ588" s="314"/>
      <c r="AR588" s="315" t="str">
        <f t="shared" si="41"/>
        <v>FINALIZADO</v>
      </c>
      <c r="AS588" s="207"/>
      <c r="AT588" s="207"/>
      <c r="AU588" s="225"/>
      <c r="AV588" s="207"/>
      <c r="AW588" s="207"/>
      <c r="AX588" s="207" t="s">
        <v>4409</v>
      </c>
      <c r="AY588" s="207" t="s">
        <v>4409</v>
      </c>
      <c r="AZ588" s="207" t="s">
        <v>4409</v>
      </c>
      <c r="BA588" s="207" t="s">
        <v>4409</v>
      </c>
      <c r="BB588" s="207"/>
      <c r="BC588" s="202"/>
      <c r="BD588" s="208"/>
      <c r="BE588" s="202"/>
      <c r="BF588" s="207"/>
      <c r="BG588" s="22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30"/>
      <c r="BL588" s="230"/>
      <c r="BM588" s="230"/>
      <c r="BN588" s="230"/>
      <c r="BO588" s="230"/>
      <c r="BP588" s="230"/>
      <c r="BQ588" s="230"/>
      <c r="BR588" s="234"/>
      <c r="BS588" s="240"/>
      <c r="BT588" s="240"/>
      <c r="BU588" s="240"/>
      <c r="BV588" s="240"/>
      <c r="BW588" s="240"/>
      <c r="BX588" s="240"/>
      <c r="BY588" s="240"/>
      <c r="BZ588" s="240"/>
      <c r="CA588" s="240"/>
      <c r="CB588" s="240"/>
      <c r="CC588" s="240"/>
      <c r="CD588" s="240"/>
      <c r="CE588" s="240"/>
      <c r="CF588" s="240"/>
      <c r="CG588" s="240"/>
      <c r="CH588" s="240"/>
      <c r="CI588" s="240"/>
      <c r="CJ588" s="240"/>
      <c r="CK588" s="240"/>
      <c r="CL588" s="240"/>
      <c r="CM588" s="240"/>
      <c r="CN588" s="240"/>
      <c r="CO588" s="240"/>
      <c r="CP588" s="240"/>
      <c r="CQ588" s="240"/>
      <c r="CR588" s="240"/>
      <c r="CS588" s="240"/>
      <c r="CT588" s="240"/>
      <c r="CU588" s="240"/>
      <c r="CV588" s="240"/>
      <c r="CW588" s="240"/>
      <c r="CX588" s="240"/>
      <c r="CY588" s="240"/>
      <c r="CZ588" s="240"/>
      <c r="DA588" s="240"/>
      <c r="DB588" s="240"/>
      <c r="DC588" s="240"/>
      <c r="DD588" s="240"/>
      <c r="DE588" s="240"/>
      <c r="DF588" s="240"/>
      <c r="DG588" s="240"/>
      <c r="DH588" s="240"/>
    </row>
    <row r="589" spans="1:112" ht="27" hidden="1" customHeight="1">
      <c r="A589" s="197">
        <v>585</v>
      </c>
      <c r="B589" s="197" t="s">
        <v>4396</v>
      </c>
      <c r="C589" s="207" t="s">
        <v>4427</v>
      </c>
      <c r="D589" s="207">
        <v>1</v>
      </c>
      <c r="E589" s="207" t="s">
        <v>4398</v>
      </c>
      <c r="F589" s="214" t="s">
        <v>6919</v>
      </c>
      <c r="G589" s="207" t="s">
        <v>4400</v>
      </c>
      <c r="H589" s="207" t="s">
        <v>4401</v>
      </c>
      <c r="I589" s="217" t="s">
        <v>4402</v>
      </c>
      <c r="J589" s="242" t="s">
        <v>6920</v>
      </c>
      <c r="K589" s="215" t="s">
        <v>6921</v>
      </c>
      <c r="L589" s="215" t="s">
        <v>6922</v>
      </c>
      <c r="M589" s="207" t="s">
        <v>4405</v>
      </c>
      <c r="N589" s="207" t="s">
        <v>4406</v>
      </c>
      <c r="O589" s="202">
        <v>45986</v>
      </c>
      <c r="P589" s="203" t="s">
        <v>4407</v>
      </c>
      <c r="Q589" s="203">
        <v>45985</v>
      </c>
      <c r="R589" s="203">
        <v>45986</v>
      </c>
      <c r="S589" s="203">
        <v>45987</v>
      </c>
      <c r="T589" s="203">
        <v>45992</v>
      </c>
      <c r="U589" s="202" t="s">
        <v>4408</v>
      </c>
      <c r="V589" s="202" t="s">
        <v>4408</v>
      </c>
      <c r="W589" s="202">
        <v>45999</v>
      </c>
      <c r="X589" s="202">
        <v>46000</v>
      </c>
      <c r="Y589" s="202"/>
      <c r="Z589" s="207"/>
      <c r="AA589" s="242" t="s">
        <v>6920</v>
      </c>
      <c r="AB589" s="215" t="s">
        <v>6921</v>
      </c>
      <c r="AC589" s="215" t="s">
        <v>6922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4" t="s">
        <v>4410</v>
      </c>
      <c r="AI589" s="214" t="s">
        <v>4411</v>
      </c>
      <c r="AJ589" s="207"/>
      <c r="AK589" s="316">
        <v>45980</v>
      </c>
      <c r="AL589" s="316">
        <v>45980</v>
      </c>
      <c r="AM589" s="316">
        <v>45980</v>
      </c>
      <c r="AN589" s="316">
        <v>45980</v>
      </c>
      <c r="AO589" s="316">
        <v>45980</v>
      </c>
      <c r="AP589" s="316">
        <v>45980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 t="s">
        <v>4409</v>
      </c>
      <c r="AY589" s="207" t="s">
        <v>4409</v>
      </c>
      <c r="AZ589" s="207" t="s">
        <v>4409</v>
      </c>
      <c r="BA589" s="207" t="s">
        <v>4409</v>
      </c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  <c r="BS589" s="240"/>
      <c r="BT589" s="240"/>
      <c r="BU589" s="240"/>
      <c r="BV589" s="240"/>
      <c r="BW589" s="240"/>
      <c r="BX589" s="240"/>
      <c r="BY589" s="240"/>
      <c r="BZ589" s="240"/>
      <c r="CA589" s="240"/>
      <c r="CB589" s="240"/>
      <c r="CC589" s="240"/>
      <c r="CD589" s="240"/>
      <c r="CE589" s="240"/>
      <c r="CF589" s="240"/>
      <c r="CG589" s="240"/>
      <c r="CH589" s="240"/>
      <c r="CI589" s="240"/>
      <c r="CJ589" s="240"/>
      <c r="CK589" s="240"/>
      <c r="CL589" s="240"/>
      <c r="CM589" s="240"/>
      <c r="CN589" s="240"/>
      <c r="CO589" s="240"/>
      <c r="CP589" s="240"/>
      <c r="CQ589" s="240"/>
      <c r="CR589" s="240"/>
      <c r="CS589" s="240"/>
      <c r="CT589" s="240"/>
      <c r="CU589" s="240"/>
      <c r="CV589" s="240"/>
      <c r="CW589" s="240"/>
      <c r="CX589" s="240"/>
      <c r="CY589" s="240"/>
      <c r="CZ589" s="240"/>
      <c r="DA589" s="240"/>
      <c r="DB589" s="240"/>
      <c r="DC589" s="240"/>
      <c r="DD589" s="240"/>
      <c r="DE589" s="240"/>
      <c r="DF589" s="240"/>
      <c r="DG589" s="240"/>
      <c r="DH589" s="240"/>
    </row>
    <row r="590" spans="1:112" ht="27" hidden="1" customHeight="1">
      <c r="A590" s="197">
        <v>586</v>
      </c>
      <c r="B590" s="197" t="s">
        <v>4396</v>
      </c>
      <c r="C590" s="207" t="s">
        <v>4427</v>
      </c>
      <c r="D590" s="207">
        <v>1</v>
      </c>
      <c r="E590" s="250" t="s">
        <v>4398</v>
      </c>
      <c r="F590" s="214" t="s">
        <v>6923</v>
      </c>
      <c r="G590" s="207" t="s">
        <v>4400</v>
      </c>
      <c r="H590" s="207" t="s">
        <v>4401</v>
      </c>
      <c r="I590" s="217" t="s">
        <v>4402</v>
      </c>
      <c r="J590" s="242" t="s">
        <v>6924</v>
      </c>
      <c r="K590" s="215" t="s">
        <v>6925</v>
      </c>
      <c r="L590" s="215" t="s">
        <v>6926</v>
      </c>
      <c r="M590" s="207" t="s">
        <v>4405</v>
      </c>
      <c r="N590" s="207" t="s">
        <v>4432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AA590" s="242" t="s">
        <v>6924</v>
      </c>
      <c r="AB590" s="215" t="s">
        <v>6925</v>
      </c>
      <c r="AC590" s="215" t="s">
        <v>6926</v>
      </c>
      <c r="AD590" s="217" t="s">
        <v>4402</v>
      </c>
      <c r="AE590" s="207" t="s">
        <v>4405</v>
      </c>
      <c r="AF590" s="218">
        <v>43711.360000000001</v>
      </c>
      <c r="AG590" s="218">
        <v>60000</v>
      </c>
      <c r="AH590" s="204" t="s">
        <v>4433</v>
      </c>
      <c r="AI590" s="214" t="s">
        <v>4411</v>
      </c>
      <c r="AJ590" s="207">
        <v>160469314</v>
      </c>
      <c r="AK590" s="316">
        <v>46230</v>
      </c>
      <c r="AL590" s="316">
        <v>46230</v>
      </c>
      <c r="AM590" s="316">
        <v>46230</v>
      </c>
      <c r="AN590" s="316">
        <v>46230</v>
      </c>
      <c r="AO590" s="316">
        <v>46230</v>
      </c>
      <c r="AP590" s="316">
        <v>46230</v>
      </c>
      <c r="AQ590" s="314"/>
      <c r="AR590" s="315" t="str">
        <f t="shared" si="41"/>
        <v>FINALIZADO</v>
      </c>
      <c r="AS590" s="207" t="s">
        <v>4423</v>
      </c>
      <c r="AT590" s="207"/>
      <c r="AU590" s="220" t="s">
        <v>4435</v>
      </c>
      <c r="AV590" s="219" t="s">
        <v>5487</v>
      </c>
      <c r="AW590" s="207"/>
      <c r="AX590" s="207"/>
      <c r="AY590" s="207"/>
      <c r="AZ590" s="207"/>
      <c r="BA590" s="207"/>
      <c r="BB590" s="207"/>
      <c r="BC590" s="202"/>
      <c r="BD590" s="208"/>
      <c r="BE590" s="202"/>
      <c r="BF590" s="207"/>
      <c r="BG590" s="229"/>
      <c r="BH590" s="321" t="str">
        <f t="shared" si="42"/>
        <v/>
      </c>
      <c r="BI590" s="98" t="str">
        <f t="shared" si="43"/>
        <v>INDENIZAÇÃO</v>
      </c>
      <c r="BJ590" s="98" t="str">
        <f t="shared" si="44"/>
        <v>NÃO</v>
      </c>
      <c r="BK590" s="230"/>
      <c r="BL590" s="230"/>
      <c r="BM590" s="230"/>
      <c r="BN590" s="230"/>
      <c r="BO590" s="230"/>
      <c r="BP590" s="230"/>
      <c r="BQ590" s="230"/>
      <c r="BR590" s="234"/>
      <c r="BS590" s="240"/>
      <c r="BT590" s="240"/>
      <c r="BU590" s="240"/>
      <c r="BV590" s="240"/>
      <c r="BW590" s="240"/>
      <c r="BX590" s="240"/>
      <c r="BY590" s="240"/>
      <c r="BZ590" s="240"/>
      <c r="CA590" s="240"/>
      <c r="CB590" s="240"/>
      <c r="CC590" s="240"/>
      <c r="CD590" s="240"/>
      <c r="CE590" s="240"/>
      <c r="CF590" s="240"/>
      <c r="CG590" s="240"/>
      <c r="CH590" s="240"/>
      <c r="CI590" s="240"/>
      <c r="CJ590" s="240"/>
      <c r="CK590" s="240"/>
      <c r="CL590" s="240"/>
      <c r="CM590" s="240"/>
      <c r="CN590" s="240"/>
      <c r="CO590" s="240"/>
      <c r="CP590" s="240"/>
      <c r="CQ590" s="240"/>
      <c r="CR590" s="240"/>
      <c r="CS590" s="240"/>
      <c r="CT590" s="240"/>
      <c r="CU590" s="240"/>
      <c r="CV590" s="240"/>
      <c r="CW590" s="240"/>
      <c r="CX590" s="240"/>
      <c r="CY590" s="240"/>
      <c r="CZ590" s="240"/>
      <c r="DA590" s="240"/>
      <c r="DB590" s="240"/>
      <c r="DC590" s="240"/>
      <c r="DD590" s="240"/>
      <c r="DE590" s="240"/>
      <c r="DF590" s="240"/>
      <c r="DG590" s="240"/>
      <c r="DH590" s="240"/>
    </row>
    <row r="591" spans="1:112" ht="27" hidden="1" customHeight="1">
      <c r="A591" s="207">
        <v>587</v>
      </c>
      <c r="B591" s="197" t="s">
        <v>4396</v>
      </c>
      <c r="C591" s="207" t="s">
        <v>4427</v>
      </c>
      <c r="D591" s="207">
        <v>1</v>
      </c>
      <c r="E591" s="207" t="s">
        <v>4398</v>
      </c>
      <c r="F591" s="214" t="s">
        <v>6927</v>
      </c>
      <c r="G591" s="207" t="s">
        <v>4400</v>
      </c>
      <c r="H591" s="207" t="s">
        <v>4401</v>
      </c>
      <c r="I591" s="217" t="s">
        <v>4402</v>
      </c>
      <c r="J591" s="242" t="s">
        <v>6928</v>
      </c>
      <c r="K591" s="215" t="s">
        <v>6929</v>
      </c>
      <c r="L591" s="215" t="s">
        <v>6930</v>
      </c>
      <c r="M591" s="207" t="s">
        <v>4405</v>
      </c>
      <c r="N591" s="207" t="s">
        <v>4432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6931</v>
      </c>
      <c r="AA591" s="242" t="s">
        <v>6928</v>
      </c>
      <c r="AB591" s="215" t="s">
        <v>6929</v>
      </c>
      <c r="AC591" s="215" t="s">
        <v>6930</v>
      </c>
      <c r="AD591" s="217" t="s">
        <v>4402</v>
      </c>
      <c r="AE591" s="207" t="s">
        <v>4405</v>
      </c>
      <c r="AF591" s="218">
        <v>47337.59</v>
      </c>
      <c r="AG591" s="218">
        <v>60000</v>
      </c>
      <c r="AH591" s="204" t="s">
        <v>4433</v>
      </c>
      <c r="AI591" s="214" t="s">
        <v>4411</v>
      </c>
      <c r="AJ591" s="207"/>
      <c r="AK591" s="316">
        <v>46238</v>
      </c>
      <c r="AL591" s="316">
        <v>46238</v>
      </c>
      <c r="AM591" s="316">
        <v>46238</v>
      </c>
      <c r="AN591" s="316">
        <v>46238</v>
      </c>
      <c r="AO591" s="316">
        <v>46238</v>
      </c>
      <c r="AP591" s="316">
        <v>46238</v>
      </c>
      <c r="AQ591" s="314"/>
      <c r="AR591" s="315" t="str">
        <f t="shared" si="41"/>
        <v>FINALIZADO</v>
      </c>
      <c r="AS591" s="207"/>
      <c r="AT591" s="207"/>
      <c r="AU591" s="225"/>
      <c r="AV591" s="207"/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588</v>
      </c>
      <c r="B592" s="197" t="s">
        <v>4396</v>
      </c>
      <c r="C592" s="207" t="s">
        <v>4427</v>
      </c>
      <c r="D592" s="207">
        <v>1</v>
      </c>
      <c r="E592" s="207" t="s">
        <v>4398</v>
      </c>
      <c r="F592" s="214" t="s">
        <v>6932</v>
      </c>
      <c r="G592" s="207" t="s">
        <v>4400</v>
      </c>
      <c r="H592" s="207" t="s">
        <v>4401</v>
      </c>
      <c r="I592" s="217" t="s">
        <v>4402</v>
      </c>
      <c r="J592" s="242" t="s">
        <v>6933</v>
      </c>
      <c r="K592" s="215"/>
      <c r="L592" s="215" t="s">
        <v>6934</v>
      </c>
      <c r="M592" s="207" t="s">
        <v>4405</v>
      </c>
      <c r="N592" s="207" t="s">
        <v>4406</v>
      </c>
      <c r="O592" s="202">
        <v>46176</v>
      </c>
      <c r="P592" s="202" t="s">
        <v>4407</v>
      </c>
      <c r="Q592" s="202">
        <v>46174</v>
      </c>
      <c r="R592" s="202">
        <v>46176</v>
      </c>
      <c r="S592" s="202">
        <v>46202</v>
      </c>
      <c r="T592" s="202">
        <v>46204</v>
      </c>
      <c r="U592" s="202" t="s">
        <v>4408</v>
      </c>
      <c r="V592" s="202" t="s">
        <v>4408</v>
      </c>
      <c r="W592" s="202">
        <v>46223</v>
      </c>
      <c r="X592" s="202"/>
      <c r="Y592" s="202"/>
      <c r="Z592" s="207"/>
      <c r="AA592" s="242"/>
      <c r="AB592" s="215"/>
      <c r="AC592" s="215"/>
      <c r="AD592" s="207"/>
      <c r="AE592" s="207"/>
      <c r="AF592" s="218"/>
      <c r="AG592" s="218"/>
      <c r="AH592" s="204"/>
      <c r="AI592" s="214" t="s">
        <v>4411</v>
      </c>
      <c r="AJ592" s="207"/>
      <c r="AK592" s="316"/>
      <c r="AL592" s="316"/>
      <c r="AM592" s="316"/>
      <c r="AN592" s="316"/>
      <c r="AO592" s="316"/>
      <c r="AP592" s="316"/>
      <c r="AQ592" s="314"/>
      <c r="AR592" s="315" t="str">
        <f t="shared" si="41"/>
        <v/>
      </c>
      <c r="AS592" s="207"/>
      <c r="AT592" s="207"/>
      <c r="AU592" s="225"/>
      <c r="AV592" s="207"/>
      <c r="AW592" s="207"/>
      <c r="AX592" s="207"/>
      <c r="AY592" s="207"/>
      <c r="AZ592" s="207"/>
      <c r="BA592" s="207"/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INDENIZAÇÃO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207">
        <v>589</v>
      </c>
      <c r="B593" s="197" t="s">
        <v>4396</v>
      </c>
      <c r="C593" s="207" t="s">
        <v>4427</v>
      </c>
      <c r="D593" s="207">
        <v>1</v>
      </c>
      <c r="E593" s="207" t="s">
        <v>4398</v>
      </c>
      <c r="F593" s="214" t="s">
        <v>6935</v>
      </c>
      <c r="G593" s="207" t="s">
        <v>4400</v>
      </c>
      <c r="H593" s="207" t="s">
        <v>4401</v>
      </c>
      <c r="I593" s="217" t="s">
        <v>4402</v>
      </c>
      <c r="J593" s="215" t="s">
        <v>6936</v>
      </c>
      <c r="K593" s="215" t="s">
        <v>6937</v>
      </c>
      <c r="L593" s="215" t="s">
        <v>6938</v>
      </c>
      <c r="M593" s="207" t="s">
        <v>4405</v>
      </c>
      <c r="N593" s="207" t="s">
        <v>4406</v>
      </c>
      <c r="O593" s="202">
        <v>46002</v>
      </c>
      <c r="P593" s="202" t="s">
        <v>4407</v>
      </c>
      <c r="Q593" s="202">
        <v>45999</v>
      </c>
      <c r="R593" s="202">
        <v>46006</v>
      </c>
      <c r="S593" s="202">
        <v>46006</v>
      </c>
      <c r="T593" s="202">
        <v>46009</v>
      </c>
      <c r="U593" s="202" t="s">
        <v>4408</v>
      </c>
      <c r="V593" s="202" t="s">
        <v>4408</v>
      </c>
      <c r="W593" s="202">
        <v>46014</v>
      </c>
      <c r="X593" s="202">
        <v>46015</v>
      </c>
      <c r="Y593" s="202"/>
      <c r="Z593" s="207"/>
      <c r="AA593" s="215" t="s">
        <v>6936</v>
      </c>
      <c r="AB593" s="215" t="s">
        <v>6937</v>
      </c>
      <c r="AC593" s="215" t="s">
        <v>6938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197" t="s">
        <v>4410</v>
      </c>
      <c r="AI593" s="214" t="s">
        <v>4411</v>
      </c>
      <c r="AJ593" s="207"/>
      <c r="AK593" s="316">
        <v>45996</v>
      </c>
      <c r="AL593" s="316">
        <v>45996</v>
      </c>
      <c r="AM593" s="316">
        <v>45996</v>
      </c>
      <c r="AN593" s="316">
        <v>45996</v>
      </c>
      <c r="AO593" s="316">
        <v>45996</v>
      </c>
      <c r="AP593" s="316">
        <v>45996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/>
      <c r="AY593" s="207"/>
      <c r="AZ593" s="202"/>
      <c r="BA593" s="219"/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197">
        <v>590</v>
      </c>
      <c r="B594" s="197" t="s">
        <v>4396</v>
      </c>
      <c r="C594" s="207" t="s">
        <v>4427</v>
      </c>
      <c r="D594" s="207">
        <v>1</v>
      </c>
      <c r="E594" s="207" t="s">
        <v>4398</v>
      </c>
      <c r="F594" s="214" t="s">
        <v>6939</v>
      </c>
      <c r="G594" s="207" t="s">
        <v>4400</v>
      </c>
      <c r="H594" s="207" t="s">
        <v>4401</v>
      </c>
      <c r="I594" s="217" t="s">
        <v>4402</v>
      </c>
      <c r="J594" s="215" t="s">
        <v>6940</v>
      </c>
      <c r="K594" s="215" t="s">
        <v>6941</v>
      </c>
      <c r="L594" s="215" t="s">
        <v>6942</v>
      </c>
      <c r="M594" s="207" t="s">
        <v>4405</v>
      </c>
      <c r="N594" s="207" t="s">
        <v>4442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Z594" s="202"/>
      <c r="AA594" s="200" t="s">
        <v>6940</v>
      </c>
      <c r="AB594" s="200" t="s">
        <v>6941</v>
      </c>
      <c r="AC594" s="200" t="s">
        <v>6942</v>
      </c>
      <c r="AD594" s="199" t="s">
        <v>4402</v>
      </c>
      <c r="AE594" s="197" t="s">
        <v>4405</v>
      </c>
      <c r="AF594" s="243">
        <v>17507.61</v>
      </c>
      <c r="AG594" s="243">
        <v>47507.61</v>
      </c>
      <c r="AH594" s="197" t="s">
        <v>4433</v>
      </c>
      <c r="AI594" s="214" t="s">
        <v>4411</v>
      </c>
      <c r="AJ594" s="207">
        <v>153982636</v>
      </c>
      <c r="AK594" s="316">
        <v>46129</v>
      </c>
      <c r="AL594" s="316">
        <v>46129</v>
      </c>
      <c r="AM594" s="316">
        <v>46129</v>
      </c>
      <c r="AN594" s="316">
        <v>46129</v>
      </c>
      <c r="AO594" s="316">
        <v>46129</v>
      </c>
      <c r="AP594" s="316">
        <v>46129</v>
      </c>
      <c r="AQ594" s="314"/>
      <c r="AR594" s="315" t="str">
        <f t="shared" si="41"/>
        <v>FINALIZADO</v>
      </c>
      <c r="AS594" s="207" t="s">
        <v>4423</v>
      </c>
      <c r="AT594" s="207"/>
      <c r="AU594" s="225" t="s">
        <v>6943</v>
      </c>
      <c r="AV594" s="250" t="s">
        <v>4425</v>
      </c>
      <c r="AW594" s="207" t="s">
        <v>4425</v>
      </c>
      <c r="AX594" s="207" t="s">
        <v>4818</v>
      </c>
      <c r="AY594" s="207" t="s">
        <v>4818</v>
      </c>
      <c r="AZ594" s="202">
        <v>46233</v>
      </c>
      <c r="BA594" s="207" t="s">
        <v>4818</v>
      </c>
      <c r="BB594" s="207" t="s">
        <v>4818</v>
      </c>
      <c r="BC594" s="202">
        <v>46251</v>
      </c>
      <c r="BD594" s="227">
        <v>46251</v>
      </c>
      <c r="BE594" s="226" t="s">
        <v>4435</v>
      </c>
      <c r="BF594" s="228" t="s">
        <v>4436</v>
      </c>
      <c r="BG594" s="219" t="s">
        <v>4425</v>
      </c>
      <c r="BH594" s="321">
        <f t="shared" si="42"/>
        <v>122</v>
      </c>
      <c r="BI594" s="98" t="str">
        <f t="shared" si="43"/>
        <v>INDENIZAÇÃO</v>
      </c>
      <c r="BJ594" s="98" t="str">
        <f t="shared" si="44"/>
        <v>NÃO</v>
      </c>
      <c r="BK594" s="219" t="s">
        <v>4437</v>
      </c>
      <c r="BL594" s="219" t="s">
        <v>4437</v>
      </c>
      <c r="BM594" s="219" t="s">
        <v>4437</v>
      </c>
      <c r="BN594" s="257" t="s">
        <v>5732</v>
      </c>
      <c r="BO594" s="257"/>
      <c r="BP594" s="257"/>
      <c r="BQ594" s="257"/>
      <c r="BR594" s="258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197">
        <v>591</v>
      </c>
      <c r="B595" s="197" t="s">
        <v>4396</v>
      </c>
      <c r="C595" s="207" t="s">
        <v>4427</v>
      </c>
      <c r="D595" s="207">
        <v>1</v>
      </c>
      <c r="E595" s="207" t="s">
        <v>4398</v>
      </c>
      <c r="F595" s="214" t="s">
        <v>6944</v>
      </c>
      <c r="G595" s="207" t="s">
        <v>4400</v>
      </c>
      <c r="H595" s="207" t="s">
        <v>4401</v>
      </c>
      <c r="I595" s="217" t="s">
        <v>4402</v>
      </c>
      <c r="J595" s="215" t="s">
        <v>6945</v>
      </c>
      <c r="K595" s="215" t="s">
        <v>6946</v>
      </c>
      <c r="L595" s="215" t="s">
        <v>6947</v>
      </c>
      <c r="M595" s="207" t="s">
        <v>4405</v>
      </c>
      <c r="N595" s="207" t="s">
        <v>4406</v>
      </c>
      <c r="O595" s="203">
        <v>46031</v>
      </c>
      <c r="P595" s="202" t="s">
        <v>4407</v>
      </c>
      <c r="Q595" s="203">
        <v>46030</v>
      </c>
      <c r="R595" s="203">
        <v>46031</v>
      </c>
      <c r="S595" s="203">
        <v>46036</v>
      </c>
      <c r="T595" s="203">
        <v>46045</v>
      </c>
      <c r="U595" s="203" t="s">
        <v>4408</v>
      </c>
      <c r="V595" s="203" t="s">
        <v>4408</v>
      </c>
      <c r="W595" s="202">
        <v>46055</v>
      </c>
      <c r="X595" s="202">
        <v>46056</v>
      </c>
      <c r="Y595" s="202"/>
      <c r="Z595" s="207"/>
      <c r="AA595" s="215" t="s">
        <v>6945</v>
      </c>
      <c r="AB595" s="215" t="s">
        <v>6946</v>
      </c>
      <c r="AC595" s="215" t="s">
        <v>6947</v>
      </c>
      <c r="AD595" s="207" t="s">
        <v>4402</v>
      </c>
      <c r="AE595" s="207" t="s">
        <v>4405</v>
      </c>
      <c r="AF595" s="218" t="s">
        <v>4409</v>
      </c>
      <c r="AG595" s="218" t="s">
        <v>4409</v>
      </c>
      <c r="AH595" s="207" t="s">
        <v>4410</v>
      </c>
      <c r="AI595" s="214" t="s">
        <v>4411</v>
      </c>
      <c r="AJ595" s="207"/>
      <c r="AK595" s="316">
        <v>45994</v>
      </c>
      <c r="AL595" s="316">
        <v>45994</v>
      </c>
      <c r="AM595" s="316">
        <v>45994</v>
      </c>
      <c r="AN595" s="316">
        <v>45994</v>
      </c>
      <c r="AO595" s="316">
        <v>45994</v>
      </c>
      <c r="AP595" s="316">
        <v>45994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2"/>
      <c r="BA595" s="219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AA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207">
        <v>592</v>
      </c>
      <c r="B596" s="197" t="s">
        <v>4396</v>
      </c>
      <c r="C596" s="207" t="s">
        <v>4427</v>
      </c>
      <c r="D596" s="207">
        <v>1</v>
      </c>
      <c r="E596" s="207" t="s">
        <v>4398</v>
      </c>
      <c r="F596" s="214" t="s">
        <v>6948</v>
      </c>
      <c r="G596" s="207" t="s">
        <v>4400</v>
      </c>
      <c r="H596" s="207" t="s">
        <v>4401</v>
      </c>
      <c r="I596" s="217" t="s">
        <v>4402</v>
      </c>
      <c r="J596" s="215" t="s">
        <v>6949</v>
      </c>
      <c r="K596" s="215" t="s">
        <v>6950</v>
      </c>
      <c r="L596" s="215" t="s">
        <v>6951</v>
      </c>
      <c r="M596" s="207" t="s">
        <v>4405</v>
      </c>
      <c r="N596" s="207" t="s">
        <v>4442</v>
      </c>
      <c r="O596" s="202" t="s">
        <v>4409</v>
      </c>
      <c r="P596" s="202" t="s">
        <v>4409</v>
      </c>
      <c r="Q596" s="202" t="s">
        <v>4409</v>
      </c>
      <c r="R596" s="202" t="s">
        <v>4409</v>
      </c>
      <c r="S596" s="202" t="s">
        <v>4409</v>
      </c>
      <c r="T596" s="202" t="s">
        <v>4409</v>
      </c>
      <c r="U596" s="202" t="s">
        <v>4409</v>
      </c>
      <c r="V596" s="202" t="s">
        <v>4409</v>
      </c>
      <c r="W596" s="202" t="s">
        <v>4409</v>
      </c>
      <c r="X596" s="202" t="s">
        <v>4409</v>
      </c>
      <c r="Y596" s="202"/>
      <c r="Z596" s="202"/>
      <c r="AA596" s="215" t="s">
        <v>6949</v>
      </c>
      <c r="AB596" s="215" t="s">
        <v>6950</v>
      </c>
      <c r="AC596" s="215" t="s">
        <v>6951</v>
      </c>
      <c r="AD596" s="207" t="s">
        <v>4402</v>
      </c>
      <c r="AE596" s="207" t="s">
        <v>4405</v>
      </c>
      <c r="AF596" s="218">
        <v>28530.17</v>
      </c>
      <c r="AG596" s="218">
        <f>AF596+30000</f>
        <v>58530.17</v>
      </c>
      <c r="AH596" s="207" t="s">
        <v>4433</v>
      </c>
      <c r="AI596" s="214" t="s">
        <v>4411</v>
      </c>
      <c r="AJ596" s="207">
        <v>146670504</v>
      </c>
      <c r="AK596" s="316">
        <v>46001</v>
      </c>
      <c r="AL596" s="316">
        <v>46001</v>
      </c>
      <c r="AM596" s="316">
        <v>46001</v>
      </c>
      <c r="AN596" s="316">
        <v>46001</v>
      </c>
      <c r="AO596" s="316">
        <v>46001</v>
      </c>
      <c r="AP596" s="316">
        <v>46001</v>
      </c>
      <c r="AQ596" s="314"/>
      <c r="AR596" s="315" t="str">
        <f t="shared" si="41"/>
        <v>FINALIZADO</v>
      </c>
      <c r="AS596" s="207" t="s">
        <v>4423</v>
      </c>
      <c r="AT596" s="219"/>
      <c r="AU596" s="225" t="s">
        <v>6952</v>
      </c>
      <c r="AV596" s="160" t="s">
        <v>4425</v>
      </c>
      <c r="AW596" s="207" t="s">
        <v>4425</v>
      </c>
      <c r="AX596" s="207" t="s">
        <v>4425</v>
      </c>
      <c r="AY596" s="207" t="s">
        <v>4425</v>
      </c>
      <c r="AZ596" s="203">
        <v>46017</v>
      </c>
      <c r="BA596" s="219" t="s">
        <v>4425</v>
      </c>
      <c r="BB596" s="207" t="s">
        <v>4425</v>
      </c>
      <c r="BC596" s="208">
        <v>46024</v>
      </c>
      <c r="BD596" s="227">
        <v>46024</v>
      </c>
      <c r="BE596" s="226" t="s">
        <v>4435</v>
      </c>
      <c r="BF596" s="228" t="s">
        <v>4436</v>
      </c>
      <c r="BG596" s="229" t="s">
        <v>4425</v>
      </c>
      <c r="BH596" s="321">
        <f t="shared" si="42"/>
        <v>23</v>
      </c>
      <c r="BI596" s="98" t="str">
        <f t="shared" si="43"/>
        <v>INDENIZAÇÃO</v>
      </c>
      <c r="BJ596" s="98" t="str">
        <f t="shared" si="44"/>
        <v>NÃO</v>
      </c>
      <c r="BK596" s="230" t="s">
        <v>4437</v>
      </c>
      <c r="BL596" s="230" t="s">
        <v>4437</v>
      </c>
      <c r="BM596" s="230" t="s">
        <v>4437</v>
      </c>
      <c r="BN596" s="265" t="s">
        <v>5732</v>
      </c>
      <c r="BO596" s="265"/>
      <c r="BP596" s="265"/>
      <c r="BQ596" s="265"/>
      <c r="BR596" s="231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593</v>
      </c>
      <c r="B597" s="197" t="s">
        <v>4396</v>
      </c>
      <c r="C597" s="207" t="s">
        <v>4427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5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46031</v>
      </c>
      <c r="P597" s="202" t="s">
        <v>4407</v>
      </c>
      <c r="Q597" s="202">
        <v>46023</v>
      </c>
      <c r="R597" s="202">
        <v>46023</v>
      </c>
      <c r="S597" s="202">
        <v>46036</v>
      </c>
      <c r="T597" s="202">
        <v>46045</v>
      </c>
      <c r="U597" s="202" t="s">
        <v>4408</v>
      </c>
      <c r="V597" s="202" t="s">
        <v>4408</v>
      </c>
      <c r="W597" s="202">
        <v>46055</v>
      </c>
      <c r="X597" s="202">
        <v>46056</v>
      </c>
      <c r="Y597" s="203"/>
      <c r="Z597" s="219"/>
      <c r="AA597" s="25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207" t="s">
        <v>4410</v>
      </c>
      <c r="AI597" s="214" t="s">
        <v>4411</v>
      </c>
      <c r="AJ597" s="207"/>
      <c r="AK597" s="317"/>
      <c r="AL597" s="317"/>
      <c r="AM597" s="317"/>
      <c r="AN597" s="317"/>
      <c r="AO597" s="317"/>
      <c r="AP597" s="317"/>
      <c r="AQ597" s="314"/>
      <c r="AR597" s="315" t="str">
        <f t="shared" si="41"/>
        <v/>
      </c>
      <c r="AS597" s="207"/>
      <c r="AT597" s="219"/>
      <c r="AU597" s="225"/>
      <c r="AV597" s="219"/>
      <c r="AW597" s="219"/>
      <c r="AX597" s="219"/>
      <c r="AY597" s="219"/>
      <c r="AZ597" s="219"/>
      <c r="BA597" s="219"/>
      <c r="BB597" s="219"/>
      <c r="BC597" s="219"/>
      <c r="BD597" s="208"/>
      <c r="BE597" s="203"/>
      <c r="BF597" s="219"/>
      <c r="BG597" s="21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19"/>
      <c r="BL597" s="221"/>
      <c r="BM597" s="221"/>
      <c r="BN597" s="219"/>
      <c r="BO597" s="219"/>
      <c r="BP597" s="219"/>
      <c r="BQ597" s="219"/>
      <c r="BR597" s="222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207">
        <v>594</v>
      </c>
      <c r="B598" s="197" t="s">
        <v>4396</v>
      </c>
      <c r="C598" s="207" t="s">
        <v>4427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42" t="s">
        <v>6958</v>
      </c>
      <c r="K598" s="215" t="s">
        <v>6959</v>
      </c>
      <c r="L598" s="215" t="s">
        <v>6960</v>
      </c>
      <c r="M598" s="207" t="s">
        <v>4405</v>
      </c>
      <c r="N598" s="207" t="s">
        <v>4406</v>
      </c>
      <c r="O598" s="203">
        <v>46090</v>
      </c>
      <c r="P598" s="202" t="s">
        <v>4407</v>
      </c>
      <c r="Q598" s="202">
        <v>46090</v>
      </c>
      <c r="R598" s="202">
        <v>46099</v>
      </c>
      <c r="S598" s="202">
        <v>46101</v>
      </c>
      <c r="T598" s="202">
        <v>46118</v>
      </c>
      <c r="U598" s="202" t="s">
        <v>4408</v>
      </c>
      <c r="V598" s="202" t="s">
        <v>4408</v>
      </c>
      <c r="W598" s="202">
        <v>46118</v>
      </c>
      <c r="X598" s="202">
        <v>46118</v>
      </c>
      <c r="Y598" s="202"/>
      <c r="Z598" s="207"/>
      <c r="AA598" s="242" t="s">
        <v>6958</v>
      </c>
      <c r="AB598" s="215" t="s">
        <v>6959</v>
      </c>
      <c r="AC598" s="215" t="s">
        <v>6960</v>
      </c>
      <c r="AD598" s="207" t="s">
        <v>4402</v>
      </c>
      <c r="AE598" s="207" t="s">
        <v>4405</v>
      </c>
      <c r="AF598" s="218" t="s">
        <v>4409</v>
      </c>
      <c r="AG598" s="218" t="s">
        <v>4409</v>
      </c>
      <c r="AH598" s="207" t="s">
        <v>4410</v>
      </c>
      <c r="AI598" s="214" t="s">
        <v>4411</v>
      </c>
      <c r="AJ598" s="207"/>
      <c r="AK598" s="316">
        <v>46091</v>
      </c>
      <c r="AL598" s="316">
        <v>46091</v>
      </c>
      <c r="AM598" s="316">
        <v>46091</v>
      </c>
      <c r="AN598" s="316">
        <v>46091</v>
      </c>
      <c r="AO598" s="316">
        <v>46091</v>
      </c>
      <c r="AP598" s="316">
        <v>46091</v>
      </c>
      <c r="AQ598" s="314"/>
      <c r="AR598" s="315" t="str">
        <f t="shared" si="41"/>
        <v>FINALIZADO</v>
      </c>
      <c r="AS598" s="207"/>
      <c r="AT598" s="207"/>
      <c r="AU598" s="225"/>
      <c r="AV598" s="207"/>
      <c r="AW598" s="207"/>
      <c r="AX598" s="207"/>
      <c r="AY598" s="207"/>
      <c r="AZ598" s="202"/>
      <c r="BA598" s="207"/>
      <c r="BB598" s="207"/>
      <c r="BC598" s="202"/>
      <c r="BD598" s="208"/>
      <c r="BE598" s="202"/>
      <c r="BF598" s="207"/>
      <c r="BG598" s="229"/>
      <c r="BH598" s="321" t="str">
        <f t="shared" si="42"/>
        <v/>
      </c>
      <c r="BI598" s="98" t="str">
        <f t="shared" si="43"/>
        <v>AA</v>
      </c>
      <c r="BJ598" s="98" t="str">
        <f t="shared" si="44"/>
        <v>NÃO</v>
      </c>
      <c r="BK598" s="230"/>
      <c r="BL598" s="230"/>
      <c r="BM598" s="230"/>
      <c r="BN598" s="230"/>
      <c r="BO598" s="230"/>
      <c r="BP598" s="230"/>
      <c r="BQ598" s="230"/>
      <c r="BR598" s="234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197">
        <v>595</v>
      </c>
      <c r="B599" s="197" t="s">
        <v>4396</v>
      </c>
      <c r="C599" s="207" t="s">
        <v>4427</v>
      </c>
      <c r="D599" s="207">
        <v>1</v>
      </c>
      <c r="E599" s="207" t="s">
        <v>4398</v>
      </c>
      <c r="F599" s="214" t="s">
        <v>6961</v>
      </c>
      <c r="G599" s="207" t="s">
        <v>4400</v>
      </c>
      <c r="H599" s="207" t="s">
        <v>4401</v>
      </c>
      <c r="I599" s="217" t="s">
        <v>4402</v>
      </c>
      <c r="J599" s="215" t="s">
        <v>6962</v>
      </c>
      <c r="K599" s="215" t="s">
        <v>6963</v>
      </c>
      <c r="L599" s="215" t="s">
        <v>6964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46057</v>
      </c>
      <c r="Y599" s="202"/>
      <c r="Z599" s="207"/>
      <c r="AA599" s="215" t="s">
        <v>6962</v>
      </c>
      <c r="AB599" s="215" t="s">
        <v>6963</v>
      </c>
      <c r="AC599" s="215" t="s">
        <v>6964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45996</v>
      </c>
      <c r="AL599" s="316">
        <v>45996</v>
      </c>
      <c r="AM599" s="316">
        <v>45996</v>
      </c>
      <c r="AN599" s="316">
        <v>45996</v>
      </c>
      <c r="AO599" s="316">
        <v>45996</v>
      </c>
      <c r="AP599" s="316">
        <v>45996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197">
        <v>596</v>
      </c>
      <c r="B600" s="197" t="s">
        <v>4396</v>
      </c>
      <c r="C600" s="207" t="s">
        <v>4427</v>
      </c>
      <c r="D600" s="207">
        <v>1</v>
      </c>
      <c r="E600" s="207" t="s">
        <v>4398</v>
      </c>
      <c r="F600" s="214" t="s">
        <v>6965</v>
      </c>
      <c r="G600" s="207" t="s">
        <v>4400</v>
      </c>
      <c r="H600" s="207" t="s">
        <v>4401</v>
      </c>
      <c r="I600" s="217" t="s">
        <v>4402</v>
      </c>
      <c r="J600" s="215" t="s">
        <v>6966</v>
      </c>
      <c r="K600" s="215" t="s">
        <v>6967</v>
      </c>
      <c r="L600" s="215" t="s">
        <v>6968</v>
      </c>
      <c r="M600" s="207" t="s">
        <v>4405</v>
      </c>
      <c r="N600" s="207" t="s">
        <v>4406</v>
      </c>
      <c r="O600" s="202">
        <v>45986</v>
      </c>
      <c r="P600" s="203" t="s">
        <v>4407</v>
      </c>
      <c r="Q600" s="203">
        <v>45985</v>
      </c>
      <c r="R600" s="203">
        <v>45986</v>
      </c>
      <c r="S600" s="203">
        <v>45987</v>
      </c>
      <c r="T600" s="203">
        <v>45992</v>
      </c>
      <c r="U600" s="202" t="s">
        <v>4408</v>
      </c>
      <c r="V600" s="202" t="s">
        <v>4408</v>
      </c>
      <c r="W600" s="202">
        <v>45999</v>
      </c>
      <c r="X600" s="202">
        <v>46000</v>
      </c>
      <c r="Y600" s="202"/>
      <c r="Z600" s="207"/>
      <c r="AA600" s="215" t="s">
        <v>6966</v>
      </c>
      <c r="AB600" s="215" t="s">
        <v>6967</v>
      </c>
      <c r="AC600" s="215" t="s">
        <v>6968</v>
      </c>
      <c r="AD600" s="207" t="s">
        <v>4402</v>
      </c>
      <c r="AE600" s="207" t="s">
        <v>4405</v>
      </c>
      <c r="AF600" s="218" t="s">
        <v>4409</v>
      </c>
      <c r="AG600" s="218" t="s">
        <v>4409</v>
      </c>
      <c r="AH600" s="241" t="s">
        <v>4410</v>
      </c>
      <c r="AI600" s="214" t="s">
        <v>4411</v>
      </c>
      <c r="AJ600" s="207"/>
      <c r="AK600" s="316">
        <v>45980</v>
      </c>
      <c r="AL600" s="316">
        <v>45980</v>
      </c>
      <c r="AM600" s="316">
        <v>45980</v>
      </c>
      <c r="AN600" s="316">
        <v>45980</v>
      </c>
      <c r="AO600" s="316">
        <v>45980</v>
      </c>
      <c r="AP600" s="316">
        <v>45980</v>
      </c>
      <c r="AQ600" s="314"/>
      <c r="AR600" s="315" t="str">
        <f t="shared" si="41"/>
        <v>FINALIZADO</v>
      </c>
      <c r="AS600" s="207"/>
      <c r="AT600" s="207"/>
      <c r="AU600" s="225"/>
      <c r="AV600" s="160"/>
      <c r="AW600" s="207"/>
      <c r="AX600" s="207" t="s">
        <v>4409</v>
      </c>
      <c r="AY600" s="207" t="s">
        <v>4409</v>
      </c>
      <c r="AZ600" s="207" t="s">
        <v>4409</v>
      </c>
      <c r="BA600" s="207" t="s">
        <v>4409</v>
      </c>
      <c r="BB600" s="207"/>
      <c r="BC600" s="202"/>
      <c r="BD600" s="208"/>
      <c r="BE600" s="202"/>
      <c r="BF600" s="207"/>
      <c r="BG600" s="229"/>
      <c r="BH600" s="321" t="str">
        <f t="shared" si="42"/>
        <v/>
      </c>
      <c r="BI600" s="98" t="str">
        <f t="shared" si="43"/>
        <v>AA</v>
      </c>
      <c r="BJ600" s="98" t="str">
        <f t="shared" si="44"/>
        <v>NÃO</v>
      </c>
      <c r="BK600" s="230"/>
      <c r="BL600" s="230"/>
      <c r="BM600" s="230"/>
      <c r="BN600" s="230"/>
      <c r="BO600" s="230"/>
      <c r="BP600" s="230"/>
      <c r="BQ600" s="230"/>
      <c r="BR600" s="234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207">
        <v>597</v>
      </c>
      <c r="B601" s="197" t="s">
        <v>4396</v>
      </c>
      <c r="C601" s="207" t="s">
        <v>4427</v>
      </c>
      <c r="D601" s="207">
        <v>1</v>
      </c>
      <c r="E601" s="207" t="s">
        <v>4398</v>
      </c>
      <c r="F601" s="214" t="s">
        <v>6969</v>
      </c>
      <c r="G601" s="207" t="s">
        <v>4400</v>
      </c>
      <c r="H601" s="207" t="s">
        <v>4401</v>
      </c>
      <c r="I601" s="217" t="s">
        <v>4402</v>
      </c>
      <c r="J601" s="215" t="s">
        <v>6970</v>
      </c>
      <c r="K601" s="215" t="s">
        <v>6971</v>
      </c>
      <c r="L601" s="215" t="s">
        <v>6972</v>
      </c>
      <c r="M601" s="207" t="s">
        <v>4405</v>
      </c>
      <c r="N601" s="207" t="s">
        <v>4406</v>
      </c>
      <c r="O601" s="202">
        <v>46002</v>
      </c>
      <c r="P601" s="202" t="s">
        <v>4407</v>
      </c>
      <c r="Q601" s="202">
        <v>45999</v>
      </c>
      <c r="R601" s="202">
        <v>46006</v>
      </c>
      <c r="S601" s="202">
        <v>46006</v>
      </c>
      <c r="T601" s="202">
        <v>46009</v>
      </c>
      <c r="U601" s="202" t="s">
        <v>4408</v>
      </c>
      <c r="V601" s="202" t="s">
        <v>4408</v>
      </c>
      <c r="W601" s="202">
        <v>46014</v>
      </c>
      <c r="X601" s="202">
        <v>46014</v>
      </c>
      <c r="Y601" s="202"/>
      <c r="Z601" s="207"/>
      <c r="AA601" s="215" t="s">
        <v>6970</v>
      </c>
      <c r="AB601" s="215" t="s">
        <v>6971</v>
      </c>
      <c r="AC601" s="215" t="s">
        <v>6972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197" t="s">
        <v>4410</v>
      </c>
      <c r="AI601" s="214" t="s">
        <v>4411</v>
      </c>
      <c r="AJ601" s="207"/>
      <c r="AK601" s="316">
        <v>45996</v>
      </c>
      <c r="AL601" s="316">
        <v>45996</v>
      </c>
      <c r="AM601" s="316">
        <v>45996</v>
      </c>
      <c r="AN601" s="316">
        <v>45996</v>
      </c>
      <c r="AO601" s="316">
        <v>45996</v>
      </c>
      <c r="AP601" s="316">
        <v>45996</v>
      </c>
      <c r="AQ601" s="314"/>
      <c r="AR601" s="315" t="str">
        <f t="shared" si="41"/>
        <v>FINALIZADO</v>
      </c>
      <c r="AS601" s="207"/>
      <c r="AT601" s="207"/>
      <c r="AU601" s="225"/>
      <c r="AV601" s="207"/>
      <c r="AW601" s="207"/>
      <c r="AX601" s="207"/>
      <c r="AY601" s="207"/>
      <c r="AZ601" s="202"/>
      <c r="BA601" s="219"/>
      <c r="BB601" s="207"/>
      <c r="BC601" s="202"/>
      <c r="BD601" s="208"/>
      <c r="BE601" s="202"/>
      <c r="BF601" s="207"/>
      <c r="BG601" s="22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30"/>
      <c r="BL601" s="230"/>
      <c r="BM601" s="230"/>
      <c r="BN601" s="230"/>
      <c r="BO601" s="230"/>
      <c r="BP601" s="230"/>
      <c r="BQ601" s="230"/>
      <c r="BR601" s="234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598</v>
      </c>
      <c r="B602" s="197" t="s">
        <v>4396</v>
      </c>
      <c r="C602" s="207" t="s">
        <v>4427</v>
      </c>
      <c r="D602" s="207">
        <v>1</v>
      </c>
      <c r="E602" s="207" t="s">
        <v>4398</v>
      </c>
      <c r="F602" s="214" t="s">
        <v>6973</v>
      </c>
      <c r="G602" s="207" t="s">
        <v>4400</v>
      </c>
      <c r="H602" s="207" t="s">
        <v>4401</v>
      </c>
      <c r="I602" s="217" t="s">
        <v>4402</v>
      </c>
      <c r="J602" s="215" t="s">
        <v>6974</v>
      </c>
      <c r="K602" s="215" t="s">
        <v>6975</v>
      </c>
      <c r="L602" s="215" t="s">
        <v>6976</v>
      </c>
      <c r="M602" s="207" t="s">
        <v>4405</v>
      </c>
      <c r="N602" s="207" t="s">
        <v>4406</v>
      </c>
      <c r="O602" s="202">
        <v>45986</v>
      </c>
      <c r="P602" s="203" t="s">
        <v>4407</v>
      </c>
      <c r="Q602" s="203">
        <v>45985</v>
      </c>
      <c r="R602" s="203">
        <v>45986</v>
      </c>
      <c r="S602" s="203">
        <v>45987</v>
      </c>
      <c r="T602" s="203">
        <v>45992</v>
      </c>
      <c r="U602" s="203" t="s">
        <v>4408</v>
      </c>
      <c r="V602" s="203" t="s">
        <v>4408</v>
      </c>
      <c r="W602" s="202">
        <v>45999</v>
      </c>
      <c r="X602" s="202">
        <v>46001</v>
      </c>
      <c r="Y602" s="202"/>
      <c r="Z602" s="207"/>
      <c r="AA602" s="215" t="s">
        <v>6974</v>
      </c>
      <c r="AB602" s="215" t="s">
        <v>6975</v>
      </c>
      <c r="AC602" s="215" t="s">
        <v>6976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41" t="s">
        <v>4410</v>
      </c>
      <c r="AI602" s="214" t="s">
        <v>4411</v>
      </c>
      <c r="AJ602" s="207"/>
      <c r="AK602" s="316">
        <v>45980</v>
      </c>
      <c r="AL602" s="316">
        <v>45980</v>
      </c>
      <c r="AM602" s="316">
        <v>45980</v>
      </c>
      <c r="AN602" s="316">
        <v>45980</v>
      </c>
      <c r="AO602" s="316">
        <v>45980</v>
      </c>
      <c r="AP602" s="316">
        <v>45980</v>
      </c>
      <c r="AQ602" s="314"/>
      <c r="AR602" s="315" t="str">
        <f t="shared" si="41"/>
        <v>FINALIZADO</v>
      </c>
      <c r="AS602" s="207"/>
      <c r="AT602" s="207"/>
      <c r="AU602" s="225"/>
      <c r="AV602" s="160"/>
      <c r="AW602" s="207"/>
      <c r="AX602" s="207" t="s">
        <v>4409</v>
      </c>
      <c r="AY602" s="207" t="s">
        <v>4409</v>
      </c>
      <c r="AZ602" s="207" t="s">
        <v>4409</v>
      </c>
      <c r="BA602" s="207" t="s">
        <v>4409</v>
      </c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207">
        <v>599</v>
      </c>
      <c r="B603" s="197" t="s">
        <v>4396</v>
      </c>
      <c r="C603" s="207" t="s">
        <v>4427</v>
      </c>
      <c r="D603" s="207">
        <v>1</v>
      </c>
      <c r="E603" s="207" t="s">
        <v>4398</v>
      </c>
      <c r="F603" s="214" t="s">
        <v>6977</v>
      </c>
      <c r="G603" s="207" t="s">
        <v>4400</v>
      </c>
      <c r="H603" s="207" t="s">
        <v>4401</v>
      </c>
      <c r="I603" s="217" t="s">
        <v>4402</v>
      </c>
      <c r="J603" s="215" t="s">
        <v>6978</v>
      </c>
      <c r="K603" s="215" t="s">
        <v>6979</v>
      </c>
      <c r="L603" s="215" t="s">
        <v>6980</v>
      </c>
      <c r="M603" s="207" t="s">
        <v>4405</v>
      </c>
      <c r="N603" s="207" t="s">
        <v>4406</v>
      </c>
      <c r="O603" s="202">
        <v>46002</v>
      </c>
      <c r="P603" s="202" t="s">
        <v>4407</v>
      </c>
      <c r="Q603" s="202">
        <v>45999</v>
      </c>
      <c r="R603" s="202">
        <v>46006</v>
      </c>
      <c r="S603" s="202">
        <v>46006</v>
      </c>
      <c r="T603" s="202">
        <v>46009</v>
      </c>
      <c r="U603" s="202" t="s">
        <v>4408</v>
      </c>
      <c r="V603" s="202" t="s">
        <v>4408</v>
      </c>
      <c r="W603" s="202">
        <v>46014</v>
      </c>
      <c r="X603" s="202">
        <v>46020</v>
      </c>
      <c r="Y603" s="202"/>
      <c r="Z603" s="207"/>
      <c r="AA603" s="215" t="s">
        <v>6978</v>
      </c>
      <c r="AB603" s="215" t="s">
        <v>6979</v>
      </c>
      <c r="AC603" s="215" t="s">
        <v>6980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19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197">
        <v>600</v>
      </c>
      <c r="B604" s="197" t="s">
        <v>4396</v>
      </c>
      <c r="C604" s="207" t="s">
        <v>4427</v>
      </c>
      <c r="D604" s="207">
        <v>1</v>
      </c>
      <c r="E604" s="207" t="s">
        <v>4398</v>
      </c>
      <c r="F604" s="214" t="s">
        <v>6981</v>
      </c>
      <c r="G604" s="207" t="s">
        <v>4400</v>
      </c>
      <c r="H604" s="207" t="s">
        <v>4401</v>
      </c>
      <c r="I604" s="217" t="s">
        <v>4402</v>
      </c>
      <c r="J604" s="215" t="s">
        <v>6982</v>
      </c>
      <c r="K604" s="215" t="s">
        <v>6983</v>
      </c>
      <c r="L604" s="215" t="s">
        <v>6984</v>
      </c>
      <c r="M604" s="207" t="s">
        <v>4405</v>
      </c>
      <c r="N604" s="207" t="s">
        <v>4406</v>
      </c>
      <c r="O604" s="202">
        <v>46176</v>
      </c>
      <c r="P604" s="202" t="s">
        <v>4407</v>
      </c>
      <c r="Q604" s="202">
        <v>46174</v>
      </c>
      <c r="R604" s="202">
        <v>46176</v>
      </c>
      <c r="S604" s="202">
        <v>46202</v>
      </c>
      <c r="T604" s="202">
        <v>46204</v>
      </c>
      <c r="U604" s="202" t="s">
        <v>4408</v>
      </c>
      <c r="V604" s="202" t="s">
        <v>4408</v>
      </c>
      <c r="W604" s="202">
        <v>46223</v>
      </c>
      <c r="X604" s="202"/>
      <c r="Y604" s="202"/>
      <c r="Z604" s="207"/>
      <c r="AA604" s="215"/>
      <c r="AB604" s="215"/>
      <c r="AC604" s="215"/>
      <c r="AD604" s="207"/>
      <c r="AE604" s="207"/>
      <c r="AF604" s="218"/>
      <c r="AG604" s="218"/>
      <c r="AH604" s="197"/>
      <c r="AI604" s="214" t="s">
        <v>4411</v>
      </c>
      <c r="AJ604" s="207"/>
      <c r="AK604" s="316"/>
      <c r="AL604" s="316"/>
      <c r="AM604" s="316"/>
      <c r="AN604" s="316"/>
      <c r="AO604" s="316"/>
      <c r="AP604" s="316"/>
      <c r="AQ604" s="314"/>
      <c r="AR604" s="315" t="str">
        <f t="shared" si="41"/>
        <v/>
      </c>
      <c r="AS604" s="207"/>
      <c r="AT604" s="207"/>
      <c r="AU604" s="225"/>
      <c r="AV604" s="160"/>
      <c r="AW604" s="207"/>
      <c r="AX604" s="207"/>
      <c r="AY604" s="207"/>
      <c r="AZ604" s="202"/>
      <c r="BA604" s="219"/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INDENIZAÇÃO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197">
        <v>601</v>
      </c>
      <c r="B605" s="197" t="s">
        <v>4396</v>
      </c>
      <c r="C605" s="207" t="s">
        <v>4427</v>
      </c>
      <c r="D605" s="207">
        <v>1</v>
      </c>
      <c r="E605" s="207" t="s">
        <v>4398</v>
      </c>
      <c r="F605" s="214" t="s">
        <v>6985</v>
      </c>
      <c r="G605" s="207" t="s">
        <v>4400</v>
      </c>
      <c r="H605" s="207" t="s">
        <v>4401</v>
      </c>
      <c r="I605" s="217" t="s">
        <v>4402</v>
      </c>
      <c r="J605" s="215" t="s">
        <v>6986</v>
      </c>
      <c r="K605" s="215" t="s">
        <v>6987</v>
      </c>
      <c r="L605" s="215" t="s">
        <v>6988</v>
      </c>
      <c r="M605" s="207" t="s">
        <v>4405</v>
      </c>
      <c r="N605" s="207" t="s">
        <v>4406</v>
      </c>
      <c r="O605" s="202">
        <v>46176</v>
      </c>
      <c r="P605" s="202" t="s">
        <v>4407</v>
      </c>
      <c r="Q605" s="202">
        <v>46174</v>
      </c>
      <c r="R605" s="202">
        <v>46176</v>
      </c>
      <c r="S605" s="202">
        <v>46202</v>
      </c>
      <c r="T605" s="202">
        <v>46204</v>
      </c>
      <c r="U605" s="202" t="s">
        <v>4408</v>
      </c>
      <c r="V605" s="202" t="s">
        <v>4408</v>
      </c>
      <c r="W605" s="202">
        <v>46223</v>
      </c>
      <c r="X605" s="202"/>
      <c r="Y605" s="202"/>
      <c r="Z605" s="207"/>
      <c r="AA605" s="215"/>
      <c r="AB605" s="215"/>
      <c r="AC605" s="215"/>
      <c r="AD605" s="207"/>
      <c r="AE605" s="207"/>
      <c r="AF605" s="218"/>
      <c r="AG605" s="218"/>
      <c r="AH605" s="197"/>
      <c r="AI605" s="214" t="s">
        <v>4411</v>
      </c>
      <c r="AJ605" s="207"/>
      <c r="AK605" s="316"/>
      <c r="AL605" s="316"/>
      <c r="AM605" s="316"/>
      <c r="AN605" s="316"/>
      <c r="AO605" s="316"/>
      <c r="AP605" s="316"/>
      <c r="AQ605" s="314"/>
      <c r="AR605" s="315" t="str">
        <f t="shared" si="41"/>
        <v/>
      </c>
      <c r="AS605" s="207"/>
      <c r="AT605" s="207"/>
      <c r="AU605" s="225"/>
      <c r="AV605" s="160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INDENIZAÇÃO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207">
        <v>602</v>
      </c>
      <c r="B606" s="197" t="s">
        <v>4396</v>
      </c>
      <c r="C606" s="207" t="s">
        <v>4427</v>
      </c>
      <c r="D606" s="207">
        <v>1</v>
      </c>
      <c r="E606" s="207" t="s">
        <v>4398</v>
      </c>
      <c r="F606" s="214" t="s">
        <v>6989</v>
      </c>
      <c r="G606" s="207" t="s">
        <v>4400</v>
      </c>
      <c r="H606" s="207" t="s">
        <v>4401</v>
      </c>
      <c r="I606" s="217" t="s">
        <v>4402</v>
      </c>
      <c r="J606" s="215" t="s">
        <v>6990</v>
      </c>
      <c r="K606" s="215" t="s">
        <v>6991</v>
      </c>
      <c r="L606" s="215" t="s">
        <v>6992</v>
      </c>
      <c r="M606" s="207" t="s">
        <v>4405</v>
      </c>
      <c r="N606" s="207" t="s">
        <v>4406</v>
      </c>
      <c r="O606" s="202">
        <v>46106</v>
      </c>
      <c r="P606" s="202" t="s">
        <v>4407</v>
      </c>
      <c r="Q606" s="202">
        <v>46106</v>
      </c>
      <c r="R606" s="202">
        <v>46107</v>
      </c>
      <c r="S606" s="202">
        <v>46111</v>
      </c>
      <c r="T606" s="202">
        <v>46087</v>
      </c>
      <c r="U606" s="202" t="s">
        <v>4408</v>
      </c>
      <c r="V606" s="202" t="s">
        <v>4408</v>
      </c>
      <c r="W606" s="202">
        <v>46132</v>
      </c>
      <c r="X606" s="203">
        <v>46135</v>
      </c>
      <c r="Y606" s="202"/>
      <c r="Z606" s="202"/>
      <c r="AA606" s="215" t="s">
        <v>6990</v>
      </c>
      <c r="AB606" s="215" t="s">
        <v>6991</v>
      </c>
      <c r="AC606" s="215" t="s">
        <v>6992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07" t="s">
        <v>4410</v>
      </c>
      <c r="AI606" s="214" t="s">
        <v>4411</v>
      </c>
      <c r="AJ606" s="207"/>
      <c r="AK606" s="316">
        <v>45996</v>
      </c>
      <c r="AL606" s="316">
        <v>45996</v>
      </c>
      <c r="AM606" s="316">
        <v>45996</v>
      </c>
      <c r="AN606" s="316">
        <v>45996</v>
      </c>
      <c r="AO606" s="316">
        <v>45996</v>
      </c>
      <c r="AP606" s="316">
        <v>45996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/>
      <c r="AY606" s="207"/>
      <c r="AZ606" s="202"/>
      <c r="BA606" s="219"/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603</v>
      </c>
      <c r="B607" s="197" t="s">
        <v>4396</v>
      </c>
      <c r="C607" s="207" t="s">
        <v>4427</v>
      </c>
      <c r="D607" s="207">
        <v>1</v>
      </c>
      <c r="E607" s="207" t="s">
        <v>4398</v>
      </c>
      <c r="F607" s="214" t="s">
        <v>6993</v>
      </c>
      <c r="G607" s="207" t="s">
        <v>4400</v>
      </c>
      <c r="H607" s="207" t="s">
        <v>4401</v>
      </c>
      <c r="I607" s="217" t="s">
        <v>4402</v>
      </c>
      <c r="J607" s="215" t="s">
        <v>6994</v>
      </c>
      <c r="K607" s="215" t="s">
        <v>6995</v>
      </c>
      <c r="L607" s="215" t="s">
        <v>6996</v>
      </c>
      <c r="M607" s="207" t="s">
        <v>4405</v>
      </c>
      <c r="N607" s="207" t="s">
        <v>4406</v>
      </c>
      <c r="O607" s="202">
        <v>46176</v>
      </c>
      <c r="P607" s="202" t="s">
        <v>4407</v>
      </c>
      <c r="Q607" s="202">
        <v>46174</v>
      </c>
      <c r="R607" s="202">
        <v>46176</v>
      </c>
      <c r="S607" s="202">
        <v>46202</v>
      </c>
      <c r="T607" s="202">
        <v>46204</v>
      </c>
      <c r="U607" s="202" t="s">
        <v>4408</v>
      </c>
      <c r="V607" s="202" t="s">
        <v>4408</v>
      </c>
      <c r="W607" s="202">
        <v>46223</v>
      </c>
      <c r="X607" s="203"/>
      <c r="Y607" s="202"/>
      <c r="Z607" s="202"/>
      <c r="AA607" s="215"/>
      <c r="AB607" s="215"/>
      <c r="AC607" s="215"/>
      <c r="AD607" s="207"/>
      <c r="AE607" s="207"/>
      <c r="AF607" s="218"/>
      <c r="AG607" s="218"/>
      <c r="AH607" s="207"/>
      <c r="AI607" s="214" t="s">
        <v>4411</v>
      </c>
      <c r="AJ607" s="207"/>
      <c r="AK607" s="316"/>
      <c r="AL607" s="316"/>
      <c r="AM607" s="316"/>
      <c r="AN607" s="316"/>
      <c r="AO607" s="316"/>
      <c r="AP607" s="316"/>
      <c r="AQ607" s="314"/>
      <c r="AR607" s="315" t="str">
        <f t="shared" si="41"/>
        <v/>
      </c>
      <c r="AS607" s="207"/>
      <c r="AT607" s="207"/>
      <c r="AU607" s="225"/>
      <c r="AV607" s="160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INDENIZAÇÃO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207">
        <v>604</v>
      </c>
      <c r="B608" s="197" t="s">
        <v>4396</v>
      </c>
      <c r="C608" s="207" t="s">
        <v>4427</v>
      </c>
      <c r="D608" s="207">
        <v>1</v>
      </c>
      <c r="E608" s="207" t="s">
        <v>4398</v>
      </c>
      <c r="F608" s="214" t="s">
        <v>6997</v>
      </c>
      <c r="G608" s="219" t="s">
        <v>4545</v>
      </c>
      <c r="H608" s="207" t="s">
        <v>6498</v>
      </c>
      <c r="I608" s="233" t="s">
        <v>4421</v>
      </c>
      <c r="J608" s="215" t="s">
        <v>6998</v>
      </c>
      <c r="K608" s="215" t="s">
        <v>6999</v>
      </c>
      <c r="L608" s="215" t="s">
        <v>7000</v>
      </c>
      <c r="M608" s="207" t="s">
        <v>4405</v>
      </c>
      <c r="N608" s="207" t="s">
        <v>4442</v>
      </c>
      <c r="O608" s="202" t="s">
        <v>4409</v>
      </c>
      <c r="P608" s="202" t="s">
        <v>4409</v>
      </c>
      <c r="Q608" s="202" t="s">
        <v>4409</v>
      </c>
      <c r="R608" s="202" t="s">
        <v>4409</v>
      </c>
      <c r="S608" s="202" t="s">
        <v>4409</v>
      </c>
      <c r="T608" s="202" t="s">
        <v>4409</v>
      </c>
      <c r="U608" s="202" t="s">
        <v>4409</v>
      </c>
      <c r="V608" s="202" t="s">
        <v>4409</v>
      </c>
      <c r="W608" s="202" t="s">
        <v>4409</v>
      </c>
      <c r="X608" s="202" t="s">
        <v>4409</v>
      </c>
      <c r="Y608" s="202"/>
      <c r="Z608" s="202"/>
      <c r="AA608" s="215" t="s">
        <v>6998</v>
      </c>
      <c r="AB608" s="215" t="s">
        <v>6999</v>
      </c>
      <c r="AC608" s="215" t="s">
        <v>7000</v>
      </c>
      <c r="AD608" s="233" t="s">
        <v>4421</v>
      </c>
      <c r="AE608" s="207" t="s">
        <v>4405</v>
      </c>
      <c r="AF608" s="218">
        <v>23244.14</v>
      </c>
      <c r="AG608" s="218">
        <f>AF608+30000</f>
        <v>53244.14</v>
      </c>
      <c r="AH608" s="207" t="s">
        <v>4433</v>
      </c>
      <c r="AI608" s="214" t="s">
        <v>4411</v>
      </c>
      <c r="AJ608" s="207">
        <v>146670595</v>
      </c>
      <c r="AK608" s="316">
        <v>46045</v>
      </c>
      <c r="AL608" s="316">
        <v>46045</v>
      </c>
      <c r="AM608" s="316">
        <v>46045</v>
      </c>
      <c r="AN608" s="316">
        <v>46045</v>
      </c>
      <c r="AO608" s="316">
        <v>46045</v>
      </c>
      <c r="AP608" s="316">
        <v>46045</v>
      </c>
      <c r="AQ608" s="314"/>
      <c r="AR608" s="315" t="str">
        <f t="shared" si="41"/>
        <v>FINALIZADO</v>
      </c>
      <c r="AS608" s="207" t="s">
        <v>4423</v>
      </c>
      <c r="AT608" s="207"/>
      <c r="AU608" s="225" t="s">
        <v>7001</v>
      </c>
      <c r="AV608" s="197" t="s">
        <v>4425</v>
      </c>
      <c r="AW608" s="207" t="s">
        <v>4425</v>
      </c>
      <c r="AX608" s="207" t="s">
        <v>4425</v>
      </c>
      <c r="AY608" s="207" t="s">
        <v>4425</v>
      </c>
      <c r="AZ608" s="202">
        <v>46127</v>
      </c>
      <c r="BA608" s="207" t="s">
        <v>4425</v>
      </c>
      <c r="BB608" s="207" t="s">
        <v>4425</v>
      </c>
      <c r="BC608" s="202">
        <v>46139</v>
      </c>
      <c r="BD608" s="227">
        <v>46139</v>
      </c>
      <c r="BE608" s="227" t="s">
        <v>4435</v>
      </c>
      <c r="BF608" s="228" t="s">
        <v>4436</v>
      </c>
      <c r="BG608" s="229" t="s">
        <v>4425</v>
      </c>
      <c r="BH608" s="321">
        <f t="shared" si="42"/>
        <v>94</v>
      </c>
      <c r="BI608" s="98" t="str">
        <f t="shared" si="43"/>
        <v>INDENIZAÇÃO</v>
      </c>
      <c r="BJ608" s="98" t="str">
        <f t="shared" si="44"/>
        <v>NÃO</v>
      </c>
      <c r="BK608" s="230" t="s">
        <v>4437</v>
      </c>
      <c r="BL608" s="230" t="s">
        <v>4437</v>
      </c>
      <c r="BM608" s="230" t="s">
        <v>4437</v>
      </c>
      <c r="BN608" s="265" t="s">
        <v>5732</v>
      </c>
      <c r="BO608" s="265"/>
      <c r="BP608" s="265"/>
      <c r="BQ608" s="265"/>
      <c r="BR608" s="231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197">
        <v>605</v>
      </c>
      <c r="B609" s="197" t="s">
        <v>4396</v>
      </c>
      <c r="C609" s="207" t="s">
        <v>4427</v>
      </c>
      <c r="D609" s="207">
        <v>1</v>
      </c>
      <c r="E609" s="207" t="s">
        <v>4398</v>
      </c>
      <c r="F609" s="214" t="s">
        <v>7002</v>
      </c>
      <c r="G609" s="160" t="s">
        <v>4400</v>
      </c>
      <c r="H609" s="207" t="s">
        <v>4401</v>
      </c>
      <c r="I609" s="249" t="s">
        <v>4402</v>
      </c>
      <c r="J609" s="215" t="s">
        <v>7003</v>
      </c>
      <c r="K609" s="215" t="s">
        <v>7004</v>
      </c>
      <c r="L609" s="215" t="s">
        <v>7005</v>
      </c>
      <c r="M609" s="207" t="s">
        <v>4405</v>
      </c>
      <c r="N609" s="207" t="s">
        <v>4442</v>
      </c>
      <c r="O609" s="202" t="s">
        <v>4409</v>
      </c>
      <c r="P609" s="202" t="s">
        <v>4409</v>
      </c>
      <c r="Q609" s="202" t="s">
        <v>4409</v>
      </c>
      <c r="R609" s="202" t="s">
        <v>4409</v>
      </c>
      <c r="S609" s="202" t="s">
        <v>4409</v>
      </c>
      <c r="T609" s="202" t="s">
        <v>4409</v>
      </c>
      <c r="U609" s="202" t="s">
        <v>4409</v>
      </c>
      <c r="V609" s="202" t="s">
        <v>4409</v>
      </c>
      <c r="W609" s="202" t="s">
        <v>4409</v>
      </c>
      <c r="X609" s="202" t="s">
        <v>4409</v>
      </c>
      <c r="Y609" s="202"/>
      <c r="Z609" s="202"/>
      <c r="AA609" s="215" t="s">
        <v>7003</v>
      </c>
      <c r="AB609" s="215" t="s">
        <v>7004</v>
      </c>
      <c r="AC609" s="215" t="s">
        <v>7005</v>
      </c>
      <c r="AD609" s="207" t="s">
        <v>4402</v>
      </c>
      <c r="AE609" s="207" t="s">
        <v>4405</v>
      </c>
      <c r="AF609" s="218">
        <v>59568.93</v>
      </c>
      <c r="AG609" s="218">
        <v>60000</v>
      </c>
      <c r="AH609" s="207" t="s">
        <v>4433</v>
      </c>
      <c r="AI609" s="214" t="s">
        <v>4411</v>
      </c>
      <c r="AJ609" s="207">
        <v>146041017</v>
      </c>
      <c r="AK609" s="316">
        <v>46045</v>
      </c>
      <c r="AL609" s="316">
        <v>46045</v>
      </c>
      <c r="AM609" s="316">
        <v>46045</v>
      </c>
      <c r="AN609" s="316">
        <v>46045</v>
      </c>
      <c r="AO609" s="316">
        <v>46045</v>
      </c>
      <c r="AP609" s="316">
        <v>46045</v>
      </c>
      <c r="AQ609" s="314"/>
      <c r="AR609" s="315" t="str">
        <f t="shared" si="41"/>
        <v>FINALIZADO</v>
      </c>
      <c r="AS609" s="207" t="s">
        <v>4423</v>
      </c>
      <c r="AT609" s="207"/>
      <c r="AU609" s="225" t="s">
        <v>7006</v>
      </c>
      <c r="AV609" s="197" t="s">
        <v>4425</v>
      </c>
      <c r="AW609" s="207" t="s">
        <v>4425</v>
      </c>
      <c r="AX609" s="207" t="s">
        <v>4425</v>
      </c>
      <c r="AY609" s="207" t="s">
        <v>4425</v>
      </c>
      <c r="AZ609" s="202">
        <v>46084</v>
      </c>
      <c r="BA609" s="219" t="s">
        <v>4425</v>
      </c>
      <c r="BB609" s="219" t="s">
        <v>4425</v>
      </c>
      <c r="BC609" s="239">
        <v>46092</v>
      </c>
      <c r="BD609" s="227">
        <v>46092</v>
      </c>
      <c r="BE609" s="226" t="s">
        <v>4435</v>
      </c>
      <c r="BF609" s="228" t="s">
        <v>4436</v>
      </c>
      <c r="BG609" s="229" t="s">
        <v>4425</v>
      </c>
      <c r="BH609" s="321">
        <f t="shared" si="42"/>
        <v>47</v>
      </c>
      <c r="BI609" s="98" t="str">
        <f t="shared" si="43"/>
        <v>INDENIZAÇÃO</v>
      </c>
      <c r="BJ609" s="98" t="str">
        <f t="shared" si="44"/>
        <v>NÃO</v>
      </c>
      <c r="BK609" s="230" t="s">
        <v>4437</v>
      </c>
      <c r="BL609" s="230" t="s">
        <v>4437</v>
      </c>
      <c r="BM609" s="230" t="s">
        <v>4437</v>
      </c>
      <c r="BN609" s="265" t="s">
        <v>5732</v>
      </c>
      <c r="BO609" s="265"/>
      <c r="BP609" s="265"/>
      <c r="BQ609" s="265"/>
      <c r="BR609" s="231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197">
        <v>606</v>
      </c>
      <c r="B610" s="197" t="s">
        <v>4396</v>
      </c>
      <c r="C610" s="207" t="s">
        <v>4427</v>
      </c>
      <c r="D610" s="207">
        <v>1</v>
      </c>
      <c r="E610" s="207" t="s">
        <v>4398</v>
      </c>
      <c r="F610" s="214" t="s">
        <v>7007</v>
      </c>
      <c r="G610" s="219" t="s">
        <v>4545</v>
      </c>
      <c r="H610" s="207" t="s">
        <v>6498</v>
      </c>
      <c r="I610" s="233" t="s">
        <v>4421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4442</v>
      </c>
      <c r="O610" s="202" t="s">
        <v>4409</v>
      </c>
      <c r="P610" s="202" t="s">
        <v>4409</v>
      </c>
      <c r="Q610" s="202" t="s">
        <v>4409</v>
      </c>
      <c r="R610" s="202" t="s">
        <v>4409</v>
      </c>
      <c r="S610" s="202" t="s">
        <v>4409</v>
      </c>
      <c r="T610" s="202" t="s">
        <v>4409</v>
      </c>
      <c r="U610" s="202" t="s">
        <v>4409</v>
      </c>
      <c r="V610" s="202" t="s">
        <v>4409</v>
      </c>
      <c r="W610" s="202" t="s">
        <v>4409</v>
      </c>
      <c r="X610" s="202" t="s">
        <v>4409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33" t="s">
        <v>4421</v>
      </c>
      <c r="AE610" s="207" t="s">
        <v>4405</v>
      </c>
      <c r="AF610" s="218">
        <v>23021.02</v>
      </c>
      <c r="AG610" s="218">
        <v>23021.02</v>
      </c>
      <c r="AH610" s="207" t="s">
        <v>4433</v>
      </c>
      <c r="AI610" s="214" t="s">
        <v>4411</v>
      </c>
      <c r="AJ610">
        <v>148267124</v>
      </c>
      <c r="AK610" s="316">
        <v>46051</v>
      </c>
      <c r="AL610" s="316">
        <v>46051</v>
      </c>
      <c r="AM610" s="316">
        <v>46051</v>
      </c>
      <c r="AN610" s="316">
        <v>46051</v>
      </c>
      <c r="AO610" s="316">
        <v>46051</v>
      </c>
      <c r="AP610" s="316">
        <v>46051</v>
      </c>
      <c r="AQ610" s="314"/>
      <c r="AR610" s="315" t="str">
        <f t="shared" si="41"/>
        <v>FINALIZADO</v>
      </c>
      <c r="AS610" s="207" t="s">
        <v>4423</v>
      </c>
      <c r="AT610" s="207"/>
      <c r="AU610" s="225" t="s">
        <v>7011</v>
      </c>
      <c r="AV610" s="197" t="s">
        <v>4425</v>
      </c>
      <c r="AW610" s="207" t="s">
        <v>4425</v>
      </c>
      <c r="AX610" s="207" t="s">
        <v>4425</v>
      </c>
      <c r="AY610" s="207" t="s">
        <v>4425</v>
      </c>
      <c r="AZ610" s="202">
        <v>46153</v>
      </c>
      <c r="BA610" s="207" t="s">
        <v>4425</v>
      </c>
      <c r="BB610" s="207" t="s">
        <v>4425</v>
      </c>
      <c r="BC610" s="202">
        <v>46157</v>
      </c>
      <c r="BD610" s="227">
        <v>46157</v>
      </c>
      <c r="BE610" s="227" t="s">
        <v>4435</v>
      </c>
      <c r="BF610" s="228" t="s">
        <v>4436</v>
      </c>
      <c r="BG610" s="229" t="s">
        <v>4425</v>
      </c>
      <c r="BH610" s="321">
        <f t="shared" si="42"/>
        <v>106</v>
      </c>
      <c r="BI610" s="98" t="str">
        <f t="shared" si="43"/>
        <v>INDENIZAÇÃO</v>
      </c>
      <c r="BJ610" s="98" t="str">
        <f t="shared" si="44"/>
        <v>NÃO</v>
      </c>
      <c r="BK610" s="230" t="s">
        <v>4437</v>
      </c>
      <c r="BL610" s="230" t="s">
        <v>4437</v>
      </c>
      <c r="BM610" s="230" t="s">
        <v>4437</v>
      </c>
      <c r="BN610" s="265" t="s">
        <v>5732</v>
      </c>
      <c r="BO610" s="265"/>
      <c r="BP610" s="265"/>
      <c r="BQ610" s="265"/>
      <c r="BR610" s="231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207">
        <v>607</v>
      </c>
      <c r="B611" s="197" t="s">
        <v>4396</v>
      </c>
      <c r="C611" s="207" t="s">
        <v>4427</v>
      </c>
      <c r="D611" s="207">
        <v>1</v>
      </c>
      <c r="E611" s="207" t="s">
        <v>4398</v>
      </c>
      <c r="F611" s="214" t="s">
        <v>7012</v>
      </c>
      <c r="G611" s="160" t="s">
        <v>4400</v>
      </c>
      <c r="H611" s="207" t="s">
        <v>4401</v>
      </c>
      <c r="I611" s="249" t="s">
        <v>4402</v>
      </c>
      <c r="J611" s="215" t="s">
        <v>7013</v>
      </c>
      <c r="K611" s="215" t="s">
        <v>7014</v>
      </c>
      <c r="L611" s="215" t="s">
        <v>7015</v>
      </c>
      <c r="M611" s="207" t="s">
        <v>4405</v>
      </c>
      <c r="N611" s="207" t="s">
        <v>4442</v>
      </c>
      <c r="O611" s="202" t="s">
        <v>4409</v>
      </c>
      <c r="P611" s="202" t="s">
        <v>4409</v>
      </c>
      <c r="Q611" s="202" t="s">
        <v>4409</v>
      </c>
      <c r="R611" s="202" t="s">
        <v>4409</v>
      </c>
      <c r="S611" s="202" t="s">
        <v>4409</v>
      </c>
      <c r="T611" s="202" t="s">
        <v>4409</v>
      </c>
      <c r="U611" s="202" t="s">
        <v>4409</v>
      </c>
      <c r="V611" s="202" t="s">
        <v>4409</v>
      </c>
      <c r="W611" s="202" t="s">
        <v>4409</v>
      </c>
      <c r="X611" s="202" t="s">
        <v>4409</v>
      </c>
      <c r="Y611" s="202"/>
      <c r="Z611" s="202"/>
      <c r="AA611" s="215" t="s">
        <v>7013</v>
      </c>
      <c r="AB611" s="215" t="s">
        <v>7014</v>
      </c>
      <c r="AC611" s="215" t="s">
        <v>7015</v>
      </c>
      <c r="AD611" s="207" t="s">
        <v>4402</v>
      </c>
      <c r="AE611" s="207" t="s">
        <v>4405</v>
      </c>
      <c r="AF611" s="218">
        <v>26293.73</v>
      </c>
      <c r="AG611" s="218">
        <v>56293.73</v>
      </c>
      <c r="AH611" s="207" t="s">
        <v>4433</v>
      </c>
      <c r="AI611" s="214" t="s">
        <v>4411</v>
      </c>
      <c r="AJ611" s="207">
        <v>150614301</v>
      </c>
      <c r="AK611" s="316">
        <v>46064</v>
      </c>
      <c r="AL611" s="316">
        <v>46064</v>
      </c>
      <c r="AM611" s="316">
        <v>46064</v>
      </c>
      <c r="AN611" s="316">
        <v>46064</v>
      </c>
      <c r="AO611" s="316">
        <v>46064</v>
      </c>
      <c r="AP611" s="316">
        <v>46064</v>
      </c>
      <c r="AQ611" s="314"/>
      <c r="AR611" s="315" t="str">
        <f t="shared" si="41"/>
        <v>FINALIZADO</v>
      </c>
      <c r="AS611" s="207" t="s">
        <v>4423</v>
      </c>
      <c r="AT611" s="207"/>
      <c r="AU611" s="225" t="s">
        <v>7016</v>
      </c>
      <c r="AV611" s="207" t="s">
        <v>4425</v>
      </c>
      <c r="AW611" s="207" t="s">
        <v>4425</v>
      </c>
      <c r="AX611" s="207" t="s">
        <v>4425</v>
      </c>
      <c r="AY611" s="197" t="s">
        <v>4425</v>
      </c>
      <c r="AZ611" s="202">
        <v>46127</v>
      </c>
      <c r="BA611" s="207" t="s">
        <v>4425</v>
      </c>
      <c r="BB611" s="197" t="s">
        <v>4425</v>
      </c>
      <c r="BC611" s="202">
        <v>46139</v>
      </c>
      <c r="BD611" s="227">
        <v>46139</v>
      </c>
      <c r="BE611" s="227" t="s">
        <v>4435</v>
      </c>
      <c r="BF611" s="228" t="s">
        <v>4436</v>
      </c>
      <c r="BG611" s="229" t="s">
        <v>4425</v>
      </c>
      <c r="BH611" s="321">
        <f t="shared" si="42"/>
        <v>75</v>
      </c>
      <c r="BI611" s="98" t="str">
        <f t="shared" si="43"/>
        <v>INDENIZAÇÃO</v>
      </c>
      <c r="BJ611" s="98" t="str">
        <f t="shared" si="44"/>
        <v>NÃO</v>
      </c>
      <c r="BK611" s="219" t="s">
        <v>4437</v>
      </c>
      <c r="BL611" s="219" t="s">
        <v>4437</v>
      </c>
      <c r="BM611" s="219" t="s">
        <v>4437</v>
      </c>
      <c r="BN611" s="257" t="s">
        <v>5732</v>
      </c>
      <c r="BO611" s="257"/>
      <c r="BP611" s="257"/>
      <c r="BQ611" s="257"/>
      <c r="BR611" s="258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608</v>
      </c>
      <c r="B612" s="197" t="s">
        <v>4396</v>
      </c>
      <c r="C612" s="207" t="s">
        <v>4427</v>
      </c>
      <c r="D612" s="207">
        <v>1</v>
      </c>
      <c r="E612" s="207" t="s">
        <v>4398</v>
      </c>
      <c r="F612" s="214" t="s">
        <v>7017</v>
      </c>
      <c r="G612" s="207" t="s">
        <v>4400</v>
      </c>
      <c r="H612" s="207" t="s">
        <v>4401</v>
      </c>
      <c r="I612" s="217" t="s">
        <v>4402</v>
      </c>
      <c r="J612" s="215" t="s">
        <v>7018</v>
      </c>
      <c r="K612" s="215" t="s">
        <v>7019</v>
      </c>
      <c r="L612" s="215" t="s">
        <v>7020</v>
      </c>
      <c r="M612" s="207" t="s">
        <v>4405</v>
      </c>
      <c r="N612" s="207" t="s">
        <v>4406</v>
      </c>
      <c r="O612" s="202">
        <v>46002</v>
      </c>
      <c r="P612" s="202" t="s">
        <v>4407</v>
      </c>
      <c r="Q612" s="202">
        <v>45999</v>
      </c>
      <c r="R612" s="202">
        <v>46006</v>
      </c>
      <c r="S612" s="202">
        <v>46006</v>
      </c>
      <c r="T612" s="202">
        <v>46009</v>
      </c>
      <c r="U612" s="202" t="s">
        <v>4408</v>
      </c>
      <c r="V612" s="202" t="s">
        <v>4408</v>
      </c>
      <c r="W612" s="202">
        <v>46014</v>
      </c>
      <c r="X612" s="202">
        <v>46017</v>
      </c>
      <c r="Y612" s="202"/>
      <c r="Z612" s="207"/>
      <c r="AA612" s="215" t="s">
        <v>7018</v>
      </c>
      <c r="AB612" s="215" t="s">
        <v>7019</v>
      </c>
      <c r="AC612" s="215" t="s">
        <v>7020</v>
      </c>
      <c r="AD612" s="207" t="s">
        <v>4402</v>
      </c>
      <c r="AE612" s="207" t="s">
        <v>4405</v>
      </c>
      <c r="AF612" s="218" t="s">
        <v>4409</v>
      </c>
      <c r="AG612" s="218" t="s">
        <v>4409</v>
      </c>
      <c r="AH612" s="207" t="s">
        <v>4410</v>
      </c>
      <c r="AI612" s="214" t="s">
        <v>4411</v>
      </c>
      <c r="AJ612" s="207"/>
      <c r="AK612" s="316">
        <v>45996</v>
      </c>
      <c r="AL612" s="316">
        <v>45996</v>
      </c>
      <c r="AM612" s="316">
        <v>45996</v>
      </c>
      <c r="AN612" s="316">
        <v>45996</v>
      </c>
      <c r="AO612" s="316">
        <v>45996</v>
      </c>
      <c r="AP612" s="316">
        <v>45996</v>
      </c>
      <c r="AQ612" s="314"/>
      <c r="AR612" s="315" t="str">
        <f t="shared" si="41"/>
        <v>FINALIZADO</v>
      </c>
      <c r="AS612" s="207"/>
      <c r="AT612" s="207"/>
      <c r="AU612" s="225"/>
      <c r="AV612" s="207"/>
      <c r="AW612" s="207"/>
      <c r="AX612" s="207"/>
      <c r="AY612" s="207"/>
      <c r="AZ612" s="202"/>
      <c r="BA612" s="219"/>
      <c r="BB612" s="207"/>
      <c r="BC612" s="202"/>
      <c r="BD612" s="208"/>
      <c r="BE612" s="202"/>
      <c r="BF612" s="207"/>
      <c r="BG612" s="229"/>
      <c r="BH612" s="321" t="str">
        <f t="shared" si="42"/>
        <v/>
      </c>
      <c r="BI612" s="98" t="str">
        <f t="shared" si="43"/>
        <v>AA</v>
      </c>
      <c r="BJ612" s="98" t="str">
        <f t="shared" si="44"/>
        <v>NÃO</v>
      </c>
      <c r="BK612" s="230"/>
      <c r="BL612" s="230"/>
      <c r="BM612" s="230"/>
      <c r="BN612" s="230"/>
      <c r="BO612" s="230"/>
      <c r="BP612" s="230"/>
      <c r="BQ612" s="230"/>
      <c r="BR612" s="234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207">
        <v>609</v>
      </c>
      <c r="B613" s="197" t="s">
        <v>4396</v>
      </c>
      <c r="C613" s="207" t="s">
        <v>4427</v>
      </c>
      <c r="D613" s="207">
        <v>1</v>
      </c>
      <c r="E613" s="207" t="s">
        <v>4398</v>
      </c>
      <c r="F613" s="214" t="s">
        <v>7021</v>
      </c>
      <c r="G613" s="207" t="s">
        <v>4400</v>
      </c>
      <c r="H613" s="207" t="s">
        <v>4401</v>
      </c>
      <c r="I613" s="217" t="s">
        <v>7022</v>
      </c>
      <c r="J613" s="215" t="s">
        <v>7023</v>
      </c>
      <c r="K613" s="215" t="s">
        <v>7024</v>
      </c>
      <c r="L613" s="215" t="s">
        <v>7025</v>
      </c>
      <c r="M613" s="207" t="s">
        <v>4405</v>
      </c>
      <c r="N613" s="207" t="s">
        <v>4406</v>
      </c>
      <c r="O613" s="202">
        <v>45986</v>
      </c>
      <c r="P613" s="203" t="s">
        <v>4407</v>
      </c>
      <c r="Q613" s="203">
        <v>45985</v>
      </c>
      <c r="R613" s="203">
        <v>45986</v>
      </c>
      <c r="S613" s="203">
        <v>45987</v>
      </c>
      <c r="T613" s="203">
        <v>45992</v>
      </c>
      <c r="U613" s="202" t="s">
        <v>4408</v>
      </c>
      <c r="V613" s="202" t="s">
        <v>4408</v>
      </c>
      <c r="W613" s="202">
        <v>45999</v>
      </c>
      <c r="X613" s="202">
        <v>46002</v>
      </c>
      <c r="Y613" s="202"/>
      <c r="Z613" s="207"/>
      <c r="AA613" s="215" t="s">
        <v>7023</v>
      </c>
      <c r="AB613" s="215" t="s">
        <v>7024</v>
      </c>
      <c r="AC613" s="215" t="s">
        <v>7025</v>
      </c>
      <c r="AD613" s="207" t="s">
        <v>4402</v>
      </c>
      <c r="AE613" s="207" t="s">
        <v>4405</v>
      </c>
      <c r="AF613" s="218" t="s">
        <v>4409</v>
      </c>
      <c r="AG613" s="218" t="s">
        <v>4409</v>
      </c>
      <c r="AH613" s="241" t="s">
        <v>4410</v>
      </c>
      <c r="AI613" s="214" t="s">
        <v>4411</v>
      </c>
      <c r="AJ613" s="207"/>
      <c r="AK613" s="316">
        <v>45980</v>
      </c>
      <c r="AL613" s="316">
        <v>45980</v>
      </c>
      <c r="AM613" s="316">
        <v>45980</v>
      </c>
      <c r="AN613" s="316">
        <v>45980</v>
      </c>
      <c r="AO613" s="316">
        <v>45980</v>
      </c>
      <c r="AP613" s="316">
        <v>45980</v>
      </c>
      <c r="AQ613" s="314"/>
      <c r="AR613" s="315" t="str">
        <f t="shared" si="41"/>
        <v>FINALIZADO</v>
      </c>
      <c r="AS613" s="207"/>
      <c r="AT613" s="207"/>
      <c r="AU613" s="225"/>
      <c r="AV613" s="207"/>
      <c r="AW613" s="207"/>
      <c r="AX613" s="207" t="s">
        <v>4409</v>
      </c>
      <c r="AY613" s="207" t="s">
        <v>4409</v>
      </c>
      <c r="AZ613" s="207" t="s">
        <v>4409</v>
      </c>
      <c r="BA613" s="207" t="s">
        <v>4409</v>
      </c>
      <c r="BB613" s="207"/>
      <c r="BC613" s="202"/>
      <c r="BD613" s="208"/>
      <c r="BE613" s="202"/>
      <c r="BF613" s="207"/>
      <c r="BG613" s="229"/>
      <c r="BH613" s="321" t="str">
        <f t="shared" si="42"/>
        <v/>
      </c>
      <c r="BI613" s="98" t="str">
        <f t="shared" si="43"/>
        <v>AA</v>
      </c>
      <c r="BJ613" s="98" t="str">
        <f t="shared" si="44"/>
        <v>NÃO</v>
      </c>
      <c r="BK613" s="230"/>
      <c r="BL613" s="230"/>
      <c r="BM613" s="230"/>
      <c r="BN613" s="230"/>
      <c r="BO613" s="230"/>
      <c r="BP613" s="230"/>
      <c r="BQ613" s="230"/>
      <c r="BR613" s="234"/>
    </row>
    <row r="614" spans="1:112" ht="27" hidden="1" customHeight="1">
      <c r="A614" s="197">
        <v>610</v>
      </c>
      <c r="B614" s="197" t="s">
        <v>4396</v>
      </c>
      <c r="C614" s="207" t="s">
        <v>4427</v>
      </c>
      <c r="D614" s="207">
        <v>1</v>
      </c>
      <c r="E614" s="207" t="s">
        <v>4398</v>
      </c>
      <c r="F614" s="214" t="s">
        <v>7026</v>
      </c>
      <c r="G614" s="207" t="s">
        <v>4400</v>
      </c>
      <c r="H614" s="207" t="s">
        <v>4401</v>
      </c>
      <c r="I614" s="217" t="s">
        <v>4402</v>
      </c>
      <c r="J614" s="215" t="s">
        <v>7027</v>
      </c>
      <c r="K614" s="215" t="s">
        <v>7028</v>
      </c>
      <c r="L614" s="215" t="s">
        <v>7029</v>
      </c>
      <c r="M614" s="207" t="s">
        <v>4405</v>
      </c>
      <c r="N614" s="207" t="s">
        <v>4406</v>
      </c>
      <c r="O614" s="202">
        <v>45986</v>
      </c>
      <c r="P614" s="203" t="s">
        <v>4407</v>
      </c>
      <c r="Q614" s="203">
        <v>45985</v>
      </c>
      <c r="R614" s="203">
        <v>45986</v>
      </c>
      <c r="S614" s="203">
        <v>45987</v>
      </c>
      <c r="T614" s="203">
        <v>45992</v>
      </c>
      <c r="U614" s="203" t="s">
        <v>4408</v>
      </c>
      <c r="V614" s="203" t="s">
        <v>4408</v>
      </c>
      <c r="W614" s="202">
        <v>45999</v>
      </c>
      <c r="X614" s="202">
        <v>46000</v>
      </c>
      <c r="Y614" s="202"/>
      <c r="Z614" s="207"/>
      <c r="AA614" s="215" t="s">
        <v>7027</v>
      </c>
      <c r="AB614" s="215" t="s">
        <v>7028</v>
      </c>
      <c r="AC614" s="215" t="s">
        <v>7029</v>
      </c>
      <c r="AD614" s="207" t="s">
        <v>4402</v>
      </c>
      <c r="AE614" s="207" t="s">
        <v>4405</v>
      </c>
      <c r="AF614" s="218" t="s">
        <v>4409</v>
      </c>
      <c r="AG614" s="218" t="s">
        <v>4409</v>
      </c>
      <c r="AH614" s="204" t="s">
        <v>4410</v>
      </c>
      <c r="AI614" s="214" t="s">
        <v>4411</v>
      </c>
      <c r="AJ614" s="207"/>
      <c r="AK614" s="316">
        <v>45980</v>
      </c>
      <c r="AL614" s="316">
        <v>45980</v>
      </c>
      <c r="AM614" s="316">
        <v>45980</v>
      </c>
      <c r="AN614" s="316">
        <v>45980</v>
      </c>
      <c r="AO614" s="316">
        <v>45980</v>
      </c>
      <c r="AP614" s="316">
        <v>45980</v>
      </c>
      <c r="AQ614" s="314"/>
      <c r="AR614" s="315" t="str">
        <f t="shared" si="41"/>
        <v>FINALIZADO</v>
      </c>
      <c r="AS614" s="207"/>
      <c r="AT614" s="207"/>
      <c r="AU614" s="225"/>
      <c r="AV614" s="207"/>
      <c r="AW614" s="207"/>
      <c r="AX614" s="207" t="s">
        <v>4409</v>
      </c>
      <c r="AY614" s="207" t="s">
        <v>4409</v>
      </c>
      <c r="AZ614" s="207" t="s">
        <v>4409</v>
      </c>
      <c r="BA614" s="207" t="s">
        <v>4409</v>
      </c>
      <c r="BB614" s="207"/>
      <c r="BC614" s="202"/>
      <c r="BD614" s="208"/>
      <c r="BE614" s="202"/>
      <c r="BF614" s="207"/>
      <c r="BG614" s="229"/>
      <c r="BH614" s="321" t="str">
        <f t="shared" si="42"/>
        <v/>
      </c>
      <c r="BI614" s="98" t="str">
        <f t="shared" si="43"/>
        <v>AA</v>
      </c>
      <c r="BJ614" s="98" t="str">
        <f t="shared" si="44"/>
        <v>NÃO</v>
      </c>
      <c r="BK614" s="230"/>
      <c r="BL614" s="230"/>
      <c r="BM614" s="230"/>
      <c r="BN614" s="230"/>
      <c r="BO614" s="230"/>
      <c r="BP614" s="230"/>
      <c r="BQ614" s="230"/>
      <c r="BR614" s="234"/>
    </row>
    <row r="615" spans="1:112" ht="27" hidden="1" customHeight="1">
      <c r="A615" s="197">
        <v>611</v>
      </c>
      <c r="B615" s="197" t="s">
        <v>4396</v>
      </c>
      <c r="C615" s="207" t="s">
        <v>4427</v>
      </c>
      <c r="D615" s="207">
        <v>1</v>
      </c>
      <c r="E615" s="207" t="s">
        <v>4398</v>
      </c>
      <c r="F615" s="214" t="s">
        <v>7030</v>
      </c>
      <c r="G615" s="207" t="s">
        <v>4400</v>
      </c>
      <c r="H615" s="207" t="s">
        <v>4401</v>
      </c>
      <c r="I615" s="217" t="s">
        <v>7022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4406</v>
      </c>
      <c r="O615" s="202">
        <v>45986</v>
      </c>
      <c r="P615" s="203" t="s">
        <v>4407</v>
      </c>
      <c r="Q615" s="203">
        <v>45985</v>
      </c>
      <c r="R615" s="203">
        <v>45986</v>
      </c>
      <c r="S615" s="203">
        <v>45987</v>
      </c>
      <c r="T615" s="203">
        <v>45992</v>
      </c>
      <c r="U615" s="202" t="s">
        <v>4408</v>
      </c>
      <c r="V615" s="202" t="s">
        <v>4408</v>
      </c>
      <c r="W615" s="202">
        <v>45999</v>
      </c>
      <c r="X615" s="202">
        <v>46000</v>
      </c>
      <c r="Y615" s="203"/>
      <c r="Z615" s="219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 t="s">
        <v>4409</v>
      </c>
      <c r="AG615" s="218" t="s">
        <v>4409</v>
      </c>
      <c r="AH615" s="204" t="s">
        <v>4410</v>
      </c>
      <c r="AI615" s="214" t="s">
        <v>4411</v>
      </c>
      <c r="AJ615" s="207"/>
      <c r="AK615" s="316">
        <v>45980</v>
      </c>
      <c r="AL615" s="316">
        <v>45980</v>
      </c>
      <c r="AM615" s="316">
        <v>45980</v>
      </c>
      <c r="AN615" s="316">
        <v>45980</v>
      </c>
      <c r="AO615" s="316">
        <v>45980</v>
      </c>
      <c r="AP615" s="316">
        <v>45980</v>
      </c>
      <c r="AQ615" s="314"/>
      <c r="AR615" s="315" t="str">
        <f t="shared" si="41"/>
        <v>FINALIZADO</v>
      </c>
      <c r="AS615" s="207"/>
      <c r="AT615" s="219"/>
      <c r="AU615" s="225"/>
      <c r="AV615" s="207"/>
      <c r="AW615" s="207"/>
      <c r="AX615" s="207" t="s">
        <v>4409</v>
      </c>
      <c r="AY615" s="207" t="s">
        <v>4409</v>
      </c>
      <c r="AZ615" s="207" t="s">
        <v>4409</v>
      </c>
      <c r="BA615" s="207" t="s">
        <v>4409</v>
      </c>
      <c r="BB615" s="219"/>
      <c r="BC615" s="219"/>
      <c r="BD615" s="208"/>
      <c r="BE615" s="202"/>
      <c r="BF615" s="207"/>
      <c r="BG615" s="229"/>
      <c r="BH615" s="321" t="str">
        <f t="shared" si="42"/>
        <v/>
      </c>
      <c r="BI615" s="98" t="str">
        <f t="shared" si="43"/>
        <v>AA</v>
      </c>
      <c r="BJ615" s="98" t="str">
        <f t="shared" si="44"/>
        <v>NÃO</v>
      </c>
      <c r="BK615" s="230"/>
      <c r="BL615" s="230"/>
      <c r="BM615" s="230"/>
      <c r="BN615" s="230"/>
      <c r="BO615" s="230"/>
      <c r="BP615" s="230"/>
      <c r="BQ615" s="230"/>
      <c r="BR615" s="234"/>
    </row>
    <row r="616" spans="1:112" ht="27" hidden="1" customHeight="1">
      <c r="A616" s="207">
        <v>612</v>
      </c>
      <c r="B616" s="197" t="s">
        <v>4396</v>
      </c>
      <c r="C616" s="207" t="s">
        <v>4427</v>
      </c>
      <c r="D616" s="207">
        <v>1</v>
      </c>
      <c r="E616" s="207" t="s">
        <v>4398</v>
      </c>
      <c r="F616" s="214" t="s">
        <v>7034</v>
      </c>
      <c r="G616" s="207" t="s">
        <v>4400</v>
      </c>
      <c r="H616" s="207" t="s">
        <v>4401</v>
      </c>
      <c r="I616" s="217" t="s">
        <v>4402</v>
      </c>
      <c r="J616" s="215" t="s">
        <v>7035</v>
      </c>
      <c r="K616" s="215" t="s">
        <v>7036</v>
      </c>
      <c r="L616" s="215" t="s">
        <v>7037</v>
      </c>
      <c r="M616" s="207" t="s">
        <v>4405</v>
      </c>
      <c r="N616" s="207" t="s">
        <v>4442</v>
      </c>
      <c r="O616" s="202" t="s">
        <v>4409</v>
      </c>
      <c r="P616" s="202" t="s">
        <v>4409</v>
      </c>
      <c r="Q616" s="202" t="s">
        <v>4409</v>
      </c>
      <c r="R616" s="202" t="s">
        <v>4409</v>
      </c>
      <c r="S616" s="202" t="s">
        <v>4409</v>
      </c>
      <c r="T616" s="202" t="s">
        <v>4409</v>
      </c>
      <c r="U616" s="202" t="s">
        <v>4409</v>
      </c>
      <c r="V616" s="202" t="s">
        <v>4409</v>
      </c>
      <c r="W616" s="202" t="s">
        <v>4409</v>
      </c>
      <c r="X616" s="202" t="s">
        <v>4409</v>
      </c>
      <c r="Y616" s="202"/>
      <c r="Z616" s="202"/>
      <c r="AA616" s="200" t="s">
        <v>7035</v>
      </c>
      <c r="AB616" s="200" t="s">
        <v>7036</v>
      </c>
      <c r="AC616" s="200" t="s">
        <v>7037</v>
      </c>
      <c r="AD616" s="197" t="s">
        <v>4402</v>
      </c>
      <c r="AE616" s="197" t="s">
        <v>4405</v>
      </c>
      <c r="AF616" s="243">
        <v>30282.02</v>
      </c>
      <c r="AG616" s="243">
        <v>60000</v>
      </c>
      <c r="AH616" s="197" t="s">
        <v>4433</v>
      </c>
      <c r="AI616" s="214" t="s">
        <v>4411</v>
      </c>
      <c r="AJ616" s="207">
        <v>146670767</v>
      </c>
      <c r="AK616" s="316">
        <v>45980</v>
      </c>
      <c r="AL616" s="316">
        <v>45980</v>
      </c>
      <c r="AM616" s="316">
        <v>45980</v>
      </c>
      <c r="AN616" s="316">
        <v>45980</v>
      </c>
      <c r="AO616" s="316">
        <v>45980</v>
      </c>
      <c r="AP616" s="316">
        <v>45980</v>
      </c>
      <c r="AQ616" s="314"/>
      <c r="AR616" s="315" t="str">
        <f t="shared" si="41"/>
        <v>FINALIZADO</v>
      </c>
      <c r="AS616" s="207" t="s">
        <v>4423</v>
      </c>
      <c r="AT616" s="219"/>
      <c r="AU616" s="225" t="s">
        <v>7038</v>
      </c>
      <c r="AV616" s="207" t="s">
        <v>4425</v>
      </c>
      <c r="AW616" s="207" t="s">
        <v>4425</v>
      </c>
      <c r="AX616" s="207" t="s">
        <v>4425</v>
      </c>
      <c r="AY616" s="207" t="s">
        <v>4425</v>
      </c>
      <c r="AZ616" s="202">
        <v>46020</v>
      </c>
      <c r="BA616" s="219" t="s">
        <v>4425</v>
      </c>
      <c r="BB616" s="207" t="s">
        <v>4425</v>
      </c>
      <c r="BC616" s="208">
        <v>46024</v>
      </c>
      <c r="BD616" s="226">
        <v>46024</v>
      </c>
      <c r="BE616" s="226" t="s">
        <v>4435</v>
      </c>
      <c r="BF616" s="228" t="s">
        <v>4436</v>
      </c>
      <c r="BG616" s="229" t="s">
        <v>4425</v>
      </c>
      <c r="BH616" s="321">
        <f t="shared" si="42"/>
        <v>44</v>
      </c>
      <c r="BI616" s="98" t="str">
        <f t="shared" si="43"/>
        <v>INDENIZAÇÃO</v>
      </c>
      <c r="BJ616" s="98" t="str">
        <f t="shared" si="44"/>
        <v>NÃO</v>
      </c>
      <c r="BK616" s="230" t="s">
        <v>4437</v>
      </c>
      <c r="BL616" s="230" t="s">
        <v>4437</v>
      </c>
      <c r="BM616" s="230" t="s">
        <v>4437</v>
      </c>
      <c r="BN616" s="265" t="s">
        <v>5732</v>
      </c>
      <c r="BO616" s="265"/>
      <c r="BP616" s="265"/>
      <c r="BQ616" s="265"/>
      <c r="BR616" s="231"/>
    </row>
    <row r="617" spans="1:112" ht="27" hidden="1" customHeight="1">
      <c r="A617" s="207">
        <v>613</v>
      </c>
      <c r="B617" s="197" t="s">
        <v>4396</v>
      </c>
      <c r="C617" s="207" t="s">
        <v>4427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4402</v>
      </c>
      <c r="J617" s="215" t="s">
        <v>7040</v>
      </c>
      <c r="K617" s="215" t="s">
        <v>7041</v>
      </c>
      <c r="L617" s="215" t="s">
        <v>7042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3" t="s">
        <v>4408</v>
      </c>
      <c r="V617" s="203" t="s">
        <v>4408</v>
      </c>
      <c r="W617" s="202">
        <v>45999</v>
      </c>
      <c r="X617" s="202">
        <v>46003</v>
      </c>
      <c r="Y617" s="202"/>
      <c r="Z617" s="207"/>
      <c r="AA617" s="215" t="s">
        <v>7040</v>
      </c>
      <c r="AB617" s="215" t="s">
        <v>7041</v>
      </c>
      <c r="AC617" s="215" t="s">
        <v>7042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  <c r="BS617" s="240"/>
    </row>
    <row r="618" spans="1:112" ht="27" hidden="1" customHeight="1">
      <c r="A618" s="207">
        <v>614</v>
      </c>
      <c r="B618" s="197" t="s">
        <v>4396</v>
      </c>
      <c r="C618" s="207" t="s">
        <v>4427</v>
      </c>
      <c r="D618" s="207">
        <v>1</v>
      </c>
      <c r="E618" s="207" t="s">
        <v>4398</v>
      </c>
      <c r="F618" s="214" t="s">
        <v>7043</v>
      </c>
      <c r="G618" s="207" t="s">
        <v>4400</v>
      </c>
      <c r="H618" s="207" t="s">
        <v>4401</v>
      </c>
      <c r="I618" s="217" t="s">
        <v>4402</v>
      </c>
      <c r="J618" s="242" t="s">
        <v>7044</v>
      </c>
      <c r="K618" s="215" t="s">
        <v>7045</v>
      </c>
      <c r="L618" s="215" t="s">
        <v>7046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2" t="s">
        <v>4408</v>
      </c>
      <c r="V618" s="202" t="s">
        <v>4408</v>
      </c>
      <c r="W618" s="202">
        <v>45999</v>
      </c>
      <c r="X618" s="202">
        <v>46000</v>
      </c>
      <c r="Y618" s="202"/>
      <c r="Z618" s="207"/>
      <c r="AA618" s="242" t="s">
        <v>7044</v>
      </c>
      <c r="AB618" s="215" t="s">
        <v>7045</v>
      </c>
      <c r="AC618" s="215" t="s">
        <v>7046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615</v>
      </c>
      <c r="B619" s="197" t="s">
        <v>4396</v>
      </c>
      <c r="C619" s="207" t="s">
        <v>4427</v>
      </c>
      <c r="D619" s="207">
        <v>1</v>
      </c>
      <c r="E619" s="250" t="s">
        <v>4398</v>
      </c>
      <c r="F619" s="214" t="s">
        <v>7047</v>
      </c>
      <c r="G619" s="207" t="s">
        <v>4546</v>
      </c>
      <c r="H619" s="207" t="s">
        <v>4546</v>
      </c>
      <c r="I619" s="233" t="s">
        <v>4421</v>
      </c>
      <c r="J619" s="215" t="s">
        <v>7048</v>
      </c>
      <c r="K619" s="215" t="s">
        <v>7049</v>
      </c>
      <c r="L619" s="215" t="s">
        <v>7050</v>
      </c>
      <c r="M619" s="207" t="s">
        <v>4405</v>
      </c>
      <c r="N619" s="207" t="s">
        <v>4442</v>
      </c>
      <c r="O619" s="202" t="s">
        <v>4409</v>
      </c>
      <c r="P619" s="202" t="s">
        <v>4409</v>
      </c>
      <c r="Q619" s="202" t="s">
        <v>4409</v>
      </c>
      <c r="R619" s="202" t="s">
        <v>4409</v>
      </c>
      <c r="S619" s="202" t="s">
        <v>4409</v>
      </c>
      <c r="T619" s="202" t="s">
        <v>4409</v>
      </c>
      <c r="U619" s="202" t="s">
        <v>4409</v>
      </c>
      <c r="V619" s="202" t="s">
        <v>4409</v>
      </c>
      <c r="W619" s="202" t="s">
        <v>4409</v>
      </c>
      <c r="X619" s="202" t="s">
        <v>4409</v>
      </c>
      <c r="Y619" s="202"/>
      <c r="Z619" s="202"/>
      <c r="AA619" s="200" t="s">
        <v>7048</v>
      </c>
      <c r="AB619" s="200" t="s">
        <v>7049</v>
      </c>
      <c r="AC619" s="200" t="s">
        <v>7050</v>
      </c>
      <c r="AD619" s="252" t="s">
        <v>4421</v>
      </c>
      <c r="AE619" s="197" t="s">
        <v>4405</v>
      </c>
      <c r="AF619" s="243">
        <v>3662.81</v>
      </c>
      <c r="AG619" s="243">
        <v>3662.81</v>
      </c>
      <c r="AH619" s="197" t="s">
        <v>4433</v>
      </c>
      <c r="AI619" s="214" t="s">
        <v>4411</v>
      </c>
      <c r="AJ619" s="207">
        <v>151380319</v>
      </c>
      <c r="AK619" s="316">
        <v>46206</v>
      </c>
      <c r="AL619" s="316">
        <v>46206</v>
      </c>
      <c r="AM619" s="316">
        <v>46206</v>
      </c>
      <c r="AN619" s="316">
        <v>46206</v>
      </c>
      <c r="AO619" s="316">
        <v>46206</v>
      </c>
      <c r="AP619" s="316">
        <v>46206</v>
      </c>
      <c r="AQ619" s="314"/>
      <c r="AR619" s="315" t="str">
        <f t="shared" si="41"/>
        <v>FINALIZADO</v>
      </c>
      <c r="AS619" s="207" t="s">
        <v>4423</v>
      </c>
      <c r="AT619" s="207"/>
      <c r="AU619" s="220" t="s">
        <v>4435</v>
      </c>
      <c r="AV619" s="219" t="s">
        <v>5487</v>
      </c>
      <c r="AW619" s="207"/>
      <c r="AX619" s="207"/>
      <c r="AY619" s="207"/>
      <c r="AZ619" s="202"/>
      <c r="BA619" s="219"/>
      <c r="BB619" s="207"/>
      <c r="BC619" s="202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INDENIZAÇÃO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197">
        <v>616</v>
      </c>
      <c r="B620" s="197" t="s">
        <v>4396</v>
      </c>
      <c r="C620" s="207" t="s">
        <v>4427</v>
      </c>
      <c r="D620" s="207">
        <v>1</v>
      </c>
      <c r="E620" s="207" t="s">
        <v>4398</v>
      </c>
      <c r="F620" s="214" t="s">
        <v>7051</v>
      </c>
      <c r="G620" s="207" t="s">
        <v>4400</v>
      </c>
      <c r="H620" s="207" t="s">
        <v>4401</v>
      </c>
      <c r="I620" s="249" t="s">
        <v>4402</v>
      </c>
      <c r="J620" s="215" t="s">
        <v>7052</v>
      </c>
      <c r="K620" s="215" t="s">
        <v>4440</v>
      </c>
      <c r="L620" s="215" t="s">
        <v>7053</v>
      </c>
      <c r="M620" s="207" t="s">
        <v>4405</v>
      </c>
      <c r="N620" s="207" t="s">
        <v>4406</v>
      </c>
      <c r="O620" s="202">
        <v>46065</v>
      </c>
      <c r="P620" s="203" t="s">
        <v>4407</v>
      </c>
      <c r="Q620" s="202">
        <v>46072</v>
      </c>
      <c r="R620" s="203">
        <v>46072</v>
      </c>
      <c r="S620" s="203">
        <v>46080</v>
      </c>
      <c r="T620" s="202">
        <v>46083</v>
      </c>
      <c r="U620" s="202" t="s">
        <v>4408</v>
      </c>
      <c r="V620" s="202" t="s">
        <v>4408</v>
      </c>
      <c r="W620" s="203">
        <v>46055</v>
      </c>
      <c r="X620" s="203">
        <v>46091</v>
      </c>
      <c r="Y620" s="202"/>
      <c r="Z620" s="207"/>
      <c r="AA620" s="215" t="s">
        <v>7052</v>
      </c>
      <c r="AB620" s="215" t="s">
        <v>4440</v>
      </c>
      <c r="AC620" s="215" t="s">
        <v>7053</v>
      </c>
      <c r="AD620" s="207" t="s">
        <v>4402</v>
      </c>
      <c r="AE620" s="207" t="s">
        <v>4405</v>
      </c>
      <c r="AF620" s="218" t="s">
        <v>4409</v>
      </c>
      <c r="AG620" s="218" t="s">
        <v>4409</v>
      </c>
      <c r="AH620" s="294" t="s">
        <v>4410</v>
      </c>
      <c r="AI620" s="214" t="s">
        <v>4411</v>
      </c>
      <c r="AJ620" s="218"/>
      <c r="AK620" s="316">
        <v>45996</v>
      </c>
      <c r="AL620" s="316">
        <v>45996</v>
      </c>
      <c r="AM620" s="316">
        <v>45996</v>
      </c>
      <c r="AN620" s="316">
        <v>45996</v>
      </c>
      <c r="AO620" s="316">
        <v>45996</v>
      </c>
      <c r="AP620" s="316">
        <v>45996</v>
      </c>
      <c r="AQ620" s="314"/>
      <c r="AR620" s="315" t="str">
        <f t="shared" si="41"/>
        <v>FINALIZADO</v>
      </c>
      <c r="AS620" s="218"/>
      <c r="AT620" s="218"/>
      <c r="AU620" s="225"/>
      <c r="AV620" s="207"/>
      <c r="AW620" s="207"/>
      <c r="AX620" s="207"/>
      <c r="AY620" s="207"/>
      <c r="AZ620" s="202"/>
      <c r="BA620" s="219"/>
      <c r="BB620" s="207"/>
      <c r="BC620" s="202"/>
      <c r="BD620" s="208"/>
      <c r="BE620" s="202"/>
      <c r="BF620" s="207"/>
      <c r="BG620" s="229"/>
      <c r="BH620" s="321" t="str">
        <f t="shared" si="42"/>
        <v/>
      </c>
      <c r="BI620" s="98" t="str">
        <f t="shared" si="43"/>
        <v>AA</v>
      </c>
      <c r="BJ620" s="98" t="str">
        <f t="shared" si="44"/>
        <v>NÃO</v>
      </c>
      <c r="BK620" s="230"/>
      <c r="BL620" s="230"/>
      <c r="BM620" s="230"/>
      <c r="BN620" s="230"/>
      <c r="BO620" s="230"/>
      <c r="BP620" s="230"/>
      <c r="BQ620" s="230"/>
      <c r="BR620" s="234"/>
    </row>
    <row r="621" spans="1:112" ht="27" hidden="1" customHeight="1">
      <c r="A621" s="207">
        <v>617</v>
      </c>
      <c r="B621" s="197" t="s">
        <v>4396</v>
      </c>
      <c r="C621" s="207" t="s">
        <v>4427</v>
      </c>
      <c r="D621" s="207">
        <v>1</v>
      </c>
      <c r="E621" s="207" t="s">
        <v>4398</v>
      </c>
      <c r="F621" s="214" t="s">
        <v>7054</v>
      </c>
      <c r="G621" s="207" t="s">
        <v>4400</v>
      </c>
      <c r="H621" s="207" t="s">
        <v>4401</v>
      </c>
      <c r="I621" s="217" t="s">
        <v>4402</v>
      </c>
      <c r="J621" s="215" t="s">
        <v>7055</v>
      </c>
      <c r="K621" s="215" t="s">
        <v>7056</v>
      </c>
      <c r="L621" s="215" t="s">
        <v>7057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2" t="s">
        <v>4408</v>
      </c>
      <c r="V621" s="202" t="s">
        <v>4408</v>
      </c>
      <c r="W621" s="202">
        <v>45999</v>
      </c>
      <c r="X621" s="202">
        <v>46000</v>
      </c>
      <c r="Y621" s="202"/>
      <c r="Z621" s="207"/>
      <c r="AA621" s="215" t="s">
        <v>7055</v>
      </c>
      <c r="AB621" s="215" t="s">
        <v>7056</v>
      </c>
      <c r="AC621" s="215" t="s">
        <v>7057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57"/>
      <c r="BC621" s="257"/>
      <c r="BD621" s="208"/>
      <c r="BE621" s="227"/>
      <c r="BF621" s="228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</row>
    <row r="622" spans="1:112" ht="27" hidden="1" customHeight="1">
      <c r="A622" s="207">
        <v>618</v>
      </c>
      <c r="B622" s="197" t="s">
        <v>4396</v>
      </c>
      <c r="C622" s="207" t="s">
        <v>4427</v>
      </c>
      <c r="D622" s="207">
        <v>1</v>
      </c>
      <c r="E622" s="207" t="s">
        <v>4398</v>
      </c>
      <c r="F622" s="214" t="s">
        <v>7058</v>
      </c>
      <c r="G622" s="207" t="s">
        <v>4400</v>
      </c>
      <c r="H622" s="207" t="s">
        <v>4401</v>
      </c>
      <c r="I622" s="217" t="s">
        <v>4402</v>
      </c>
      <c r="J622" s="215" t="s">
        <v>7059</v>
      </c>
      <c r="K622" s="215" t="s">
        <v>7060</v>
      </c>
      <c r="L622" s="215" t="s">
        <v>7061</v>
      </c>
      <c r="M622" s="207" t="s">
        <v>4405</v>
      </c>
      <c r="N622" s="207" t="s">
        <v>4442</v>
      </c>
      <c r="O622" s="202" t="s">
        <v>4409</v>
      </c>
      <c r="P622" s="202" t="s">
        <v>4409</v>
      </c>
      <c r="Q622" s="202" t="s">
        <v>4409</v>
      </c>
      <c r="R622" s="202" t="s">
        <v>4409</v>
      </c>
      <c r="S622" s="202" t="s">
        <v>4409</v>
      </c>
      <c r="T622" s="202" t="s">
        <v>4409</v>
      </c>
      <c r="U622" s="202" t="s">
        <v>4409</v>
      </c>
      <c r="V622" s="202" t="s">
        <v>4409</v>
      </c>
      <c r="W622" s="202" t="s">
        <v>4409</v>
      </c>
      <c r="X622" s="202" t="s">
        <v>4409</v>
      </c>
      <c r="Y622" s="202"/>
      <c r="Z622" s="202"/>
      <c r="AA622" s="200" t="s">
        <v>7059</v>
      </c>
      <c r="AB622" s="200" t="s">
        <v>7060</v>
      </c>
      <c r="AC622" s="200" t="s">
        <v>7061</v>
      </c>
      <c r="AD622" s="197" t="s">
        <v>4402</v>
      </c>
      <c r="AE622" s="197" t="s">
        <v>4405</v>
      </c>
      <c r="AF622" s="243">
        <v>22842.9</v>
      </c>
      <c r="AG622" s="243">
        <f>AF622+30000</f>
        <v>52842.9</v>
      </c>
      <c r="AH622" s="197" t="s">
        <v>4433</v>
      </c>
      <c r="AI622" s="214" t="s">
        <v>4411</v>
      </c>
      <c r="AJ622" s="207">
        <v>146671194</v>
      </c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 t="s">
        <v>4423</v>
      </c>
      <c r="AT622" s="219"/>
      <c r="AU622" s="225" t="s">
        <v>7062</v>
      </c>
      <c r="AV622" s="207" t="s">
        <v>4425</v>
      </c>
      <c r="AW622" s="207" t="s">
        <v>4425</v>
      </c>
      <c r="AX622" s="207" t="s">
        <v>4425</v>
      </c>
      <c r="AY622" s="207" t="s">
        <v>4425</v>
      </c>
      <c r="AZ622" s="202">
        <v>46009</v>
      </c>
      <c r="BA622" s="219" t="s">
        <v>4425</v>
      </c>
      <c r="BB622" s="207" t="s">
        <v>4425</v>
      </c>
      <c r="BC622" s="239">
        <v>46021</v>
      </c>
      <c r="BD622" s="227">
        <v>46021</v>
      </c>
      <c r="BE622" s="226" t="s">
        <v>4435</v>
      </c>
      <c r="BF622" s="228" t="s">
        <v>4436</v>
      </c>
      <c r="BG622" s="229" t="s">
        <v>4425</v>
      </c>
      <c r="BH622" s="321">
        <f t="shared" si="42"/>
        <v>41</v>
      </c>
      <c r="BI622" s="98" t="str">
        <f t="shared" si="43"/>
        <v>INDENIZAÇÃO</v>
      </c>
      <c r="BJ622" s="98" t="str">
        <f t="shared" si="44"/>
        <v>NÃO</v>
      </c>
      <c r="BK622" s="230" t="s">
        <v>4437</v>
      </c>
      <c r="BL622" s="230" t="s">
        <v>4437</v>
      </c>
      <c r="BM622" s="230" t="s">
        <v>4437</v>
      </c>
      <c r="BN622" s="207" t="s">
        <v>4425</v>
      </c>
      <c r="BO622" s="207" t="s">
        <v>4425</v>
      </c>
      <c r="BP622" s="202">
        <v>46205</v>
      </c>
      <c r="BQ622" s="207" t="s">
        <v>4425</v>
      </c>
      <c r="BR622" s="232" t="s">
        <v>4435</v>
      </c>
    </row>
    <row r="623" spans="1:112" ht="27" hidden="1" customHeight="1">
      <c r="A623" s="207">
        <v>619</v>
      </c>
      <c r="B623" s="197" t="s">
        <v>4396</v>
      </c>
      <c r="C623" s="207" t="s">
        <v>4427</v>
      </c>
      <c r="D623" s="207">
        <v>1</v>
      </c>
      <c r="E623" s="207" t="s">
        <v>4398</v>
      </c>
      <c r="F623" s="214" t="s">
        <v>7063</v>
      </c>
      <c r="G623" s="207" t="s">
        <v>4400</v>
      </c>
      <c r="H623" s="207" t="s">
        <v>4583</v>
      </c>
      <c r="I623" s="217" t="s">
        <v>4402</v>
      </c>
      <c r="J623" s="215" t="s">
        <v>7064</v>
      </c>
      <c r="K623" s="215" t="s">
        <v>4440</v>
      </c>
      <c r="L623" s="215" t="s">
        <v>7065</v>
      </c>
      <c r="M623" s="207" t="s">
        <v>4405</v>
      </c>
      <c r="N623" s="207" t="s">
        <v>4406</v>
      </c>
      <c r="O623" s="202">
        <v>46065</v>
      </c>
      <c r="P623" s="203" t="s">
        <v>4407</v>
      </c>
      <c r="Q623" s="202">
        <v>46072</v>
      </c>
      <c r="R623" s="203">
        <v>46072</v>
      </c>
      <c r="S623" s="203">
        <v>46080</v>
      </c>
      <c r="T623" s="202">
        <v>46083</v>
      </c>
      <c r="U623" s="202" t="s">
        <v>4408</v>
      </c>
      <c r="V623" s="202" t="s">
        <v>4408</v>
      </c>
      <c r="W623" s="203">
        <v>46055</v>
      </c>
      <c r="X623" s="203">
        <v>46091</v>
      </c>
      <c r="Y623" s="202"/>
      <c r="Z623" s="207"/>
      <c r="AA623" s="215" t="s">
        <v>7064</v>
      </c>
      <c r="AB623" s="215" t="s">
        <v>4440</v>
      </c>
      <c r="AC623" s="215" t="s">
        <v>7065</v>
      </c>
      <c r="AD623" s="207" t="s">
        <v>4402</v>
      </c>
      <c r="AE623" s="207" t="s">
        <v>4405</v>
      </c>
      <c r="AF623" s="218" t="s">
        <v>4409</v>
      </c>
      <c r="AG623" s="218" t="s">
        <v>4409</v>
      </c>
      <c r="AH623" s="207" t="s">
        <v>4410</v>
      </c>
      <c r="AI623" s="214" t="s">
        <v>4411</v>
      </c>
      <c r="AJ623" s="207"/>
      <c r="AK623" s="316"/>
      <c r="AL623" s="316"/>
      <c r="AM623" s="316"/>
      <c r="AN623" s="316"/>
      <c r="AO623" s="316"/>
      <c r="AP623" s="316"/>
      <c r="AQ623" s="314"/>
      <c r="AR623" s="315" t="str">
        <f t="shared" si="41"/>
        <v/>
      </c>
      <c r="AS623" s="207"/>
      <c r="AT623" s="219"/>
      <c r="AU623" s="225"/>
      <c r="AV623" s="207"/>
      <c r="AW623" s="207"/>
      <c r="AX623" s="207"/>
      <c r="AY623" s="207"/>
      <c r="AZ623" s="202"/>
      <c r="BA623" s="219"/>
      <c r="BB623" s="207"/>
      <c r="BC623" s="239"/>
      <c r="BD623" s="208"/>
      <c r="BE623" s="226"/>
      <c r="BF623" s="228"/>
      <c r="BG623" s="229"/>
      <c r="BH623" s="321" t="str">
        <f t="shared" si="42"/>
        <v/>
      </c>
      <c r="BI623" s="98" t="str">
        <f t="shared" si="43"/>
        <v>AA</v>
      </c>
      <c r="BJ623" s="98" t="str">
        <f t="shared" si="44"/>
        <v>NÃO</v>
      </c>
      <c r="BK623" s="230"/>
      <c r="BL623" s="230"/>
      <c r="BM623" s="230"/>
      <c r="BN623" s="265"/>
      <c r="BO623" s="265"/>
      <c r="BP623" s="265"/>
      <c r="BQ623" s="265"/>
      <c r="BR623" s="231"/>
      <c r="BS623" s="240"/>
    </row>
    <row r="624" spans="1:112" ht="27" hidden="1" customHeight="1">
      <c r="A624" s="197">
        <v>620</v>
      </c>
      <c r="B624" s="197" t="s">
        <v>4396</v>
      </c>
      <c r="C624" s="207" t="s">
        <v>4427</v>
      </c>
      <c r="D624" s="207">
        <v>1</v>
      </c>
      <c r="E624" s="207" t="s">
        <v>4398</v>
      </c>
      <c r="F624" s="214" t="s">
        <v>7066</v>
      </c>
      <c r="G624" s="207" t="s">
        <v>4400</v>
      </c>
      <c r="H624" s="207" t="s">
        <v>4401</v>
      </c>
      <c r="I624" s="217" t="s">
        <v>4402</v>
      </c>
      <c r="J624" s="215" t="s">
        <v>7067</v>
      </c>
      <c r="K624" s="215" t="s">
        <v>7068</v>
      </c>
      <c r="L624" s="215" t="s">
        <v>7069</v>
      </c>
      <c r="M624" s="207" t="s">
        <v>4405</v>
      </c>
      <c r="N624" s="207" t="s">
        <v>4442</v>
      </c>
      <c r="O624" s="202" t="s">
        <v>4409</v>
      </c>
      <c r="P624" s="202" t="s">
        <v>4409</v>
      </c>
      <c r="Q624" s="202" t="s">
        <v>4409</v>
      </c>
      <c r="R624" s="202" t="s">
        <v>4409</v>
      </c>
      <c r="S624" s="202" t="s">
        <v>4409</v>
      </c>
      <c r="T624" s="202" t="s">
        <v>4409</v>
      </c>
      <c r="U624" s="202" t="s">
        <v>4409</v>
      </c>
      <c r="V624" s="202" t="s">
        <v>4409</v>
      </c>
      <c r="W624" s="202" t="s">
        <v>4409</v>
      </c>
      <c r="X624" s="202" t="s">
        <v>4409</v>
      </c>
      <c r="Y624" s="202"/>
      <c r="Z624" s="202"/>
      <c r="AA624" s="215" t="s">
        <v>7067</v>
      </c>
      <c r="AB624" s="215" t="s">
        <v>7068</v>
      </c>
      <c r="AC624" s="215" t="s">
        <v>7069</v>
      </c>
      <c r="AD624" s="207" t="s">
        <v>4402</v>
      </c>
      <c r="AE624" s="207" t="s">
        <v>4405</v>
      </c>
      <c r="AF624" s="218">
        <v>23178.12</v>
      </c>
      <c r="AG624" s="218">
        <f>AF624+30000</f>
        <v>53178.119999999995</v>
      </c>
      <c r="AH624" s="207" t="s">
        <v>4433</v>
      </c>
      <c r="AI624" s="214" t="s">
        <v>4411</v>
      </c>
      <c r="AJ624" s="207">
        <v>146671460</v>
      </c>
      <c r="AK624" s="316">
        <v>45980</v>
      </c>
      <c r="AL624" s="316">
        <v>45980</v>
      </c>
      <c r="AM624" s="316">
        <v>45980</v>
      </c>
      <c r="AN624" s="316">
        <v>45980</v>
      </c>
      <c r="AO624" s="316">
        <v>45980</v>
      </c>
      <c r="AP624" s="316">
        <v>45980</v>
      </c>
      <c r="AQ624" s="314"/>
      <c r="AR624" s="315" t="str">
        <f t="shared" si="41"/>
        <v>FINALIZADO</v>
      </c>
      <c r="AS624" s="207" t="s">
        <v>4423</v>
      </c>
      <c r="AT624" s="219"/>
      <c r="AU624" s="225" t="s">
        <v>7070</v>
      </c>
      <c r="AV624" s="207" t="s">
        <v>4425</v>
      </c>
      <c r="AW624" s="207" t="s">
        <v>4425</v>
      </c>
      <c r="AX624" s="207" t="s">
        <v>4425</v>
      </c>
      <c r="AY624" s="207" t="s">
        <v>4425</v>
      </c>
      <c r="AZ624" s="203">
        <v>46017</v>
      </c>
      <c r="BA624" s="219" t="s">
        <v>4425</v>
      </c>
      <c r="BB624" s="207" t="s">
        <v>4425</v>
      </c>
      <c r="BC624" s="208">
        <v>46024</v>
      </c>
      <c r="BD624" s="227">
        <v>46024</v>
      </c>
      <c r="BE624" s="226" t="s">
        <v>4435</v>
      </c>
      <c r="BF624" s="228" t="s">
        <v>4436</v>
      </c>
      <c r="BG624" s="229" t="s">
        <v>4425</v>
      </c>
      <c r="BH624" s="321">
        <f t="shared" si="42"/>
        <v>44</v>
      </c>
      <c r="BI624" s="98" t="str">
        <f t="shared" si="43"/>
        <v>INDENIZAÇÃO</v>
      </c>
      <c r="BJ624" s="98" t="str">
        <f t="shared" si="44"/>
        <v>NÃO</v>
      </c>
      <c r="BK624" s="230" t="s">
        <v>4437</v>
      </c>
      <c r="BL624" s="230" t="s">
        <v>4437</v>
      </c>
      <c r="BM624" s="230" t="s">
        <v>4437</v>
      </c>
      <c r="BN624" s="265" t="s">
        <v>5732</v>
      </c>
      <c r="BO624" s="265"/>
      <c r="BP624" s="265"/>
      <c r="BQ624" s="265"/>
      <c r="BR624" s="231"/>
      <c r="BS624" s="240"/>
    </row>
    <row r="625" spans="1:72" ht="27" hidden="1" customHeight="1">
      <c r="A625" s="197">
        <v>621</v>
      </c>
      <c r="B625" s="197" t="s">
        <v>4396</v>
      </c>
      <c r="C625" s="207" t="s">
        <v>4427</v>
      </c>
      <c r="D625" s="207">
        <v>1</v>
      </c>
      <c r="E625" s="207" t="s">
        <v>4398</v>
      </c>
      <c r="F625" s="214" t="s">
        <v>7071</v>
      </c>
      <c r="G625" s="207" t="s">
        <v>4400</v>
      </c>
      <c r="H625" s="207" t="s">
        <v>4401</v>
      </c>
      <c r="I625" s="217" t="s">
        <v>4402</v>
      </c>
      <c r="J625" s="215" t="s">
        <v>7072</v>
      </c>
      <c r="K625" s="215" t="s">
        <v>7073</v>
      </c>
      <c r="L625" s="215" t="s">
        <v>7074</v>
      </c>
      <c r="M625" s="207" t="s">
        <v>4405</v>
      </c>
      <c r="N625" s="207" t="s">
        <v>4406</v>
      </c>
      <c r="O625" s="202">
        <v>46002</v>
      </c>
      <c r="P625" s="202" t="s">
        <v>4407</v>
      </c>
      <c r="Q625" s="202">
        <v>45999</v>
      </c>
      <c r="R625" s="202">
        <v>46006</v>
      </c>
      <c r="S625" s="202">
        <v>46006</v>
      </c>
      <c r="T625" s="202">
        <v>46009</v>
      </c>
      <c r="U625" s="202" t="s">
        <v>4408</v>
      </c>
      <c r="V625" s="202" t="s">
        <v>4408</v>
      </c>
      <c r="W625" s="202">
        <v>46014</v>
      </c>
      <c r="X625" s="202">
        <v>46020</v>
      </c>
      <c r="Y625" s="202"/>
      <c r="Z625" s="207"/>
      <c r="AA625" s="215" t="s">
        <v>7072</v>
      </c>
      <c r="AB625" s="215" t="s">
        <v>7073</v>
      </c>
      <c r="AC625" s="215" t="s">
        <v>7074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07" t="s">
        <v>4410</v>
      </c>
      <c r="AI625" s="214" t="s">
        <v>4411</v>
      </c>
      <c r="AJ625" s="207"/>
      <c r="AK625" s="316">
        <v>45986</v>
      </c>
      <c r="AL625" s="316">
        <v>45986</v>
      </c>
      <c r="AM625" s="316">
        <v>45986</v>
      </c>
      <c r="AN625" s="316">
        <v>45986</v>
      </c>
      <c r="AO625" s="316">
        <v>45986</v>
      </c>
      <c r="AP625" s="316">
        <v>45986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/>
      <c r="AY625" s="207"/>
      <c r="AZ625" s="202"/>
      <c r="BA625" s="219"/>
      <c r="BB625" s="207"/>
      <c r="BC625" s="202"/>
      <c r="BD625" s="208"/>
      <c r="BE625" s="202"/>
      <c r="BF625" s="207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  <c r="BS625" s="240"/>
    </row>
    <row r="626" spans="1:72" ht="27" hidden="1" customHeight="1">
      <c r="A626" s="207">
        <v>622</v>
      </c>
      <c r="B626" s="197" t="s">
        <v>4396</v>
      </c>
      <c r="C626" s="207" t="s">
        <v>4427</v>
      </c>
      <c r="D626" s="207">
        <v>1</v>
      </c>
      <c r="E626" s="207" t="s">
        <v>4398</v>
      </c>
      <c r="F626" s="214" t="s">
        <v>7075</v>
      </c>
      <c r="G626" s="207" t="s">
        <v>4400</v>
      </c>
      <c r="H626" s="207" t="s">
        <v>4401</v>
      </c>
      <c r="I626" s="217" t="s">
        <v>4402</v>
      </c>
      <c r="J626" s="242" t="s">
        <v>7076</v>
      </c>
      <c r="K626" s="215" t="s">
        <v>7077</v>
      </c>
      <c r="L626" s="215" t="s">
        <v>7078</v>
      </c>
      <c r="M626" s="207" t="s">
        <v>4405</v>
      </c>
      <c r="N626" s="207" t="s">
        <v>4406</v>
      </c>
      <c r="O626" s="202">
        <v>46002</v>
      </c>
      <c r="P626" s="202" t="s">
        <v>4407</v>
      </c>
      <c r="Q626" s="202">
        <v>45999</v>
      </c>
      <c r="R626" s="202">
        <v>46006</v>
      </c>
      <c r="S626" s="202">
        <v>46006</v>
      </c>
      <c r="T626" s="202">
        <v>46009</v>
      </c>
      <c r="U626" s="202" t="s">
        <v>4408</v>
      </c>
      <c r="V626" s="202" t="s">
        <v>4408</v>
      </c>
      <c r="W626" s="202">
        <v>46014</v>
      </c>
      <c r="X626" s="202">
        <v>46020</v>
      </c>
      <c r="Y626" s="202"/>
      <c r="Z626" s="207"/>
      <c r="AA626" s="242" t="s">
        <v>7076</v>
      </c>
      <c r="AB626" s="215" t="s">
        <v>7077</v>
      </c>
      <c r="AC626" s="215" t="s">
        <v>7078</v>
      </c>
      <c r="AD626" s="207" t="s">
        <v>4402</v>
      </c>
      <c r="AE626" s="207" t="s">
        <v>4405</v>
      </c>
      <c r="AF626" s="218" t="s">
        <v>4409</v>
      </c>
      <c r="AG626" s="218" t="s">
        <v>4409</v>
      </c>
      <c r="AH626" s="207" t="s">
        <v>4410</v>
      </c>
      <c r="AI626" s="214" t="s">
        <v>4411</v>
      </c>
      <c r="AJ626" s="207"/>
      <c r="AK626" s="316">
        <v>45996</v>
      </c>
      <c r="AL626" s="316">
        <v>45996</v>
      </c>
      <c r="AM626" s="316">
        <v>45996</v>
      </c>
      <c r="AN626" s="316">
        <v>45996</v>
      </c>
      <c r="AO626" s="316">
        <v>45996</v>
      </c>
      <c r="AP626" s="316">
        <v>45996</v>
      </c>
      <c r="AQ626" s="314"/>
      <c r="AR626" s="315" t="str">
        <f t="shared" si="41"/>
        <v>FINALIZADO</v>
      </c>
      <c r="AS626" s="207"/>
      <c r="AT626" s="207"/>
      <c r="AU626" s="225"/>
      <c r="AV626" s="207"/>
      <c r="AW626" s="207"/>
      <c r="AX626" s="207"/>
      <c r="AY626" s="207"/>
      <c r="AZ626" s="202"/>
      <c r="BA626" s="219"/>
      <c r="BB626" s="207"/>
      <c r="BC626" s="202"/>
      <c r="BD626" s="208"/>
      <c r="BE626" s="202"/>
      <c r="BF626" s="207"/>
      <c r="BG626" s="229"/>
      <c r="BH626" s="321" t="str">
        <f t="shared" si="42"/>
        <v/>
      </c>
      <c r="BI626" s="98" t="str">
        <f t="shared" si="43"/>
        <v>AA</v>
      </c>
      <c r="BJ626" s="98" t="str">
        <f t="shared" si="44"/>
        <v>NÃO</v>
      </c>
      <c r="BK626" s="230"/>
      <c r="BL626" s="230"/>
      <c r="BM626" s="230"/>
      <c r="BN626" s="230"/>
      <c r="BO626" s="230"/>
      <c r="BP626" s="230"/>
      <c r="BQ626" s="230"/>
      <c r="BR626" s="234"/>
    </row>
    <row r="627" spans="1:72" ht="27" hidden="1" customHeight="1">
      <c r="A627" s="207">
        <v>623</v>
      </c>
      <c r="B627" s="197" t="s">
        <v>4396</v>
      </c>
      <c r="C627" s="207" t="s">
        <v>4427</v>
      </c>
      <c r="D627" s="207">
        <v>1</v>
      </c>
      <c r="E627" s="207" t="s">
        <v>4398</v>
      </c>
      <c r="F627" s="214" t="s">
        <v>7079</v>
      </c>
      <c r="G627" s="207" t="s">
        <v>4400</v>
      </c>
      <c r="H627" s="207" t="s">
        <v>4401</v>
      </c>
      <c r="I627" s="217" t="s">
        <v>4402</v>
      </c>
      <c r="J627" s="242" t="s">
        <v>7080</v>
      </c>
      <c r="K627" s="215" t="s">
        <v>4440</v>
      </c>
      <c r="L627" s="215" t="s">
        <v>7081</v>
      </c>
      <c r="M627" s="207" t="s">
        <v>4405</v>
      </c>
      <c r="N627" s="207" t="s">
        <v>4406</v>
      </c>
      <c r="O627" s="203">
        <v>46044</v>
      </c>
      <c r="P627" s="203" t="s">
        <v>4407</v>
      </c>
      <c r="Q627" s="203">
        <v>46043</v>
      </c>
      <c r="R627" s="203">
        <v>46044</v>
      </c>
      <c r="S627" s="203">
        <v>46045</v>
      </c>
      <c r="T627" s="203">
        <v>46155</v>
      </c>
      <c r="U627" s="202" t="s">
        <v>4408</v>
      </c>
      <c r="V627" s="202" t="s">
        <v>4408</v>
      </c>
      <c r="W627" s="202">
        <v>46055</v>
      </c>
      <c r="X627" s="202">
        <v>46062</v>
      </c>
      <c r="Y627" s="202"/>
      <c r="Z627" s="207"/>
      <c r="AA627" s="242" t="s">
        <v>7080</v>
      </c>
      <c r="AB627" s="215" t="s">
        <v>4440</v>
      </c>
      <c r="AC627" s="215" t="s">
        <v>7081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>
        <v>46041</v>
      </c>
      <c r="AL627" s="316">
        <v>46041</v>
      </c>
      <c r="AM627" s="316">
        <v>46041</v>
      </c>
      <c r="AN627" s="316">
        <v>46041</v>
      </c>
      <c r="AO627" s="316">
        <v>46041</v>
      </c>
      <c r="AP627" s="316">
        <v>46041</v>
      </c>
      <c r="AQ627" s="314"/>
      <c r="AR627" s="315" t="str">
        <f t="shared" si="41"/>
        <v>FINALIZADO</v>
      </c>
      <c r="AS627" s="207"/>
      <c r="AT627" s="207"/>
      <c r="AU627" s="225"/>
      <c r="AV627" s="207"/>
      <c r="AW627" s="207"/>
      <c r="AX627" s="207"/>
      <c r="AY627" s="207"/>
      <c r="AZ627" s="202"/>
      <c r="BA627" s="219"/>
      <c r="BB627" s="207"/>
      <c r="BC627" s="202"/>
      <c r="BD627" s="208"/>
      <c r="BE627" s="202"/>
      <c r="BF627" s="207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30"/>
      <c r="BO627" s="230"/>
      <c r="BP627" s="230"/>
      <c r="BQ627" s="230"/>
      <c r="BR627" s="234"/>
    </row>
    <row r="628" spans="1:72" ht="27" hidden="1" customHeight="1">
      <c r="A628" s="207">
        <v>624</v>
      </c>
      <c r="B628" s="197" t="s">
        <v>4396</v>
      </c>
      <c r="C628" s="207" t="s">
        <v>4427</v>
      </c>
      <c r="D628" s="207">
        <v>1</v>
      </c>
      <c r="E628" s="207" t="s">
        <v>4398</v>
      </c>
      <c r="F628" s="214" t="s">
        <v>7082</v>
      </c>
      <c r="G628" s="207" t="s">
        <v>4400</v>
      </c>
      <c r="H628" s="207" t="s">
        <v>4401</v>
      </c>
      <c r="I628" s="217" t="s">
        <v>4414</v>
      </c>
      <c r="J628" s="242" t="s">
        <v>7083</v>
      </c>
      <c r="K628" s="215" t="s">
        <v>7084</v>
      </c>
      <c r="L628" s="215" t="s">
        <v>7085</v>
      </c>
      <c r="M628" s="207" t="s">
        <v>4405</v>
      </c>
      <c r="N628" s="207" t="s">
        <v>4406</v>
      </c>
      <c r="O628" s="202">
        <v>45986</v>
      </c>
      <c r="P628" s="203" t="s">
        <v>4407</v>
      </c>
      <c r="Q628" s="203">
        <v>45985</v>
      </c>
      <c r="R628" s="203">
        <v>45986</v>
      </c>
      <c r="S628" s="203">
        <v>45987</v>
      </c>
      <c r="T628" s="203">
        <v>45992</v>
      </c>
      <c r="U628" s="202" t="s">
        <v>4408</v>
      </c>
      <c r="V628" s="202" t="s">
        <v>4408</v>
      </c>
      <c r="W628" s="202">
        <v>45999</v>
      </c>
      <c r="X628" s="202">
        <v>46002</v>
      </c>
      <c r="Y628" s="202"/>
      <c r="Z628" s="207"/>
      <c r="AA628" s="215" t="s">
        <v>7086</v>
      </c>
      <c r="AB628" s="215" t="s">
        <v>4398</v>
      </c>
      <c r="AC628" s="215" t="s">
        <v>7087</v>
      </c>
      <c r="AD628" s="217" t="s">
        <v>4421</v>
      </c>
      <c r="AE628" s="207" t="s">
        <v>4405</v>
      </c>
      <c r="AF628" s="218">
        <v>6316.23</v>
      </c>
      <c r="AG628" s="218">
        <v>6316.23</v>
      </c>
      <c r="AH628" s="207" t="s">
        <v>4433</v>
      </c>
      <c r="AI628" s="214" t="s">
        <v>4411</v>
      </c>
      <c r="AJ628" s="207">
        <v>146671536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4423</v>
      </c>
      <c r="AT628" s="219"/>
      <c r="AU628" s="225" t="s">
        <v>7088</v>
      </c>
      <c r="AV628" s="207" t="s">
        <v>4425</v>
      </c>
      <c r="AW628" s="207" t="s">
        <v>4425</v>
      </c>
      <c r="AX628" s="207" t="s">
        <v>4425</v>
      </c>
      <c r="AY628" s="207" t="s">
        <v>4425</v>
      </c>
      <c r="AZ628" s="203">
        <v>46017</v>
      </c>
      <c r="BA628" s="219" t="s">
        <v>4425</v>
      </c>
      <c r="BB628" s="207" t="s">
        <v>4425</v>
      </c>
      <c r="BC628" s="208">
        <v>46024</v>
      </c>
      <c r="BD628" s="227">
        <v>46024</v>
      </c>
      <c r="BE628" s="226" t="s">
        <v>4435</v>
      </c>
      <c r="BF628" s="228" t="s">
        <v>4436</v>
      </c>
      <c r="BG628" s="229" t="s">
        <v>4425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4437</v>
      </c>
      <c r="BL628" s="230" t="s">
        <v>4437</v>
      </c>
      <c r="BM628" s="230" t="s">
        <v>4437</v>
      </c>
      <c r="BN628" s="265" t="s">
        <v>5732</v>
      </c>
      <c r="BO628" s="265"/>
      <c r="BP628" s="265"/>
      <c r="BQ628" s="265"/>
      <c r="BR628" s="231"/>
    </row>
    <row r="629" spans="1:72" ht="27" hidden="1" customHeight="1">
      <c r="A629" s="197">
        <v>625</v>
      </c>
      <c r="B629" s="197" t="s">
        <v>4396</v>
      </c>
      <c r="C629" s="207" t="s">
        <v>4427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45986</v>
      </c>
      <c r="P629" s="203" t="s">
        <v>4407</v>
      </c>
      <c r="Q629" s="203">
        <v>45985</v>
      </c>
      <c r="R629" s="203">
        <v>45986</v>
      </c>
      <c r="S629" s="203">
        <v>45987</v>
      </c>
      <c r="T629" s="203">
        <v>45992</v>
      </c>
      <c r="U629" s="203" t="s">
        <v>4408</v>
      </c>
      <c r="V629" s="203" t="s">
        <v>4408</v>
      </c>
      <c r="W629" s="202">
        <v>45999</v>
      </c>
      <c r="X629" s="202">
        <v>46000</v>
      </c>
      <c r="Y629" s="203"/>
      <c r="Z629" s="219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41" t="s">
        <v>4410</v>
      </c>
      <c r="AI629" s="214" t="s">
        <v>4411</v>
      </c>
      <c r="AJ629" s="207"/>
      <c r="AK629" s="316">
        <v>45980</v>
      </c>
      <c r="AL629" s="316">
        <v>45980</v>
      </c>
      <c r="AM629" s="316">
        <v>45980</v>
      </c>
      <c r="AN629" s="316">
        <v>45980</v>
      </c>
      <c r="AO629" s="316">
        <v>45980</v>
      </c>
      <c r="AP629" s="316">
        <v>45980</v>
      </c>
      <c r="AQ629" s="314"/>
      <c r="AR629" s="315" t="str">
        <f t="shared" si="41"/>
        <v>FINALIZADO</v>
      </c>
      <c r="AS629" s="207"/>
      <c r="AT629" s="219"/>
      <c r="AU629" s="225"/>
      <c r="AV629" s="207"/>
      <c r="AW629" s="207"/>
      <c r="AX629" s="207" t="s">
        <v>4409</v>
      </c>
      <c r="AY629" s="207" t="s">
        <v>4409</v>
      </c>
      <c r="AZ629" s="207" t="s">
        <v>4409</v>
      </c>
      <c r="BA629" s="207" t="s">
        <v>4409</v>
      </c>
      <c r="BB629" s="219"/>
      <c r="BC629" s="219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2" ht="27" hidden="1" customHeight="1">
      <c r="A630" s="197">
        <v>626</v>
      </c>
      <c r="B630" s="197" t="s">
        <v>4396</v>
      </c>
      <c r="C630" s="207" t="s">
        <v>4427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15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45986</v>
      </c>
      <c r="P630" s="203" t="s">
        <v>4407</v>
      </c>
      <c r="Q630" s="203">
        <v>45985</v>
      </c>
      <c r="R630" s="203">
        <v>45986</v>
      </c>
      <c r="S630" s="203">
        <v>45987</v>
      </c>
      <c r="T630" s="203">
        <v>45992</v>
      </c>
      <c r="U630" s="202" t="s">
        <v>4408</v>
      </c>
      <c r="V630" s="202" t="s">
        <v>4408</v>
      </c>
      <c r="W630" s="202">
        <v>45999</v>
      </c>
      <c r="X630" s="202">
        <v>46006</v>
      </c>
      <c r="Y630" s="202"/>
      <c r="Z630" s="207"/>
      <c r="AA630" s="215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4" t="s">
        <v>4410</v>
      </c>
      <c r="AI630" s="214" t="s">
        <v>4411</v>
      </c>
      <c r="AJ630" s="207"/>
      <c r="AK630" s="316">
        <v>45980</v>
      </c>
      <c r="AL630" s="316">
        <v>45980</v>
      </c>
      <c r="AM630" s="316">
        <v>45980</v>
      </c>
      <c r="AN630" s="316">
        <v>45980</v>
      </c>
      <c r="AO630" s="316">
        <v>45980</v>
      </c>
      <c r="AP630" s="316">
        <v>45980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 t="s">
        <v>4409</v>
      </c>
      <c r="AY630" s="207" t="s">
        <v>4409</v>
      </c>
      <c r="AZ630" s="207" t="s">
        <v>4409</v>
      </c>
      <c r="BA630" s="207" t="s">
        <v>4409</v>
      </c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2" ht="27" hidden="1" customHeight="1">
      <c r="A631" s="207">
        <v>627</v>
      </c>
      <c r="B631" s="197" t="s">
        <v>4396</v>
      </c>
      <c r="C631" s="207" t="s">
        <v>4427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15" t="s">
        <v>7098</v>
      </c>
      <c r="K631" s="215" t="s">
        <v>7099</v>
      </c>
      <c r="L631" s="215" t="s">
        <v>7100</v>
      </c>
      <c r="M631" s="207" t="s">
        <v>4405</v>
      </c>
      <c r="N631" s="207" t="s">
        <v>4442</v>
      </c>
      <c r="O631" s="202" t="s">
        <v>4409</v>
      </c>
      <c r="P631" s="202" t="s">
        <v>4409</v>
      </c>
      <c r="Q631" s="202" t="s">
        <v>4409</v>
      </c>
      <c r="R631" s="202" t="s">
        <v>4409</v>
      </c>
      <c r="S631" s="202" t="s">
        <v>4409</v>
      </c>
      <c r="T631" s="202" t="s">
        <v>4409</v>
      </c>
      <c r="U631" s="202" t="s">
        <v>4409</v>
      </c>
      <c r="V631" s="202" t="s">
        <v>4409</v>
      </c>
      <c r="W631" s="202" t="s">
        <v>4409</v>
      </c>
      <c r="X631" s="202" t="s">
        <v>4409</v>
      </c>
      <c r="Y631" s="202"/>
      <c r="Z631" s="202"/>
      <c r="AA631" s="200" t="s">
        <v>7098</v>
      </c>
      <c r="AB631" s="200" t="s">
        <v>7099</v>
      </c>
      <c r="AC631" s="200" t="s">
        <v>7100</v>
      </c>
      <c r="AD631" s="197" t="s">
        <v>4402</v>
      </c>
      <c r="AE631" s="197" t="s">
        <v>4405</v>
      </c>
      <c r="AF631" s="243">
        <v>41025.519999999997</v>
      </c>
      <c r="AG631" s="243">
        <v>60000</v>
      </c>
      <c r="AH631" s="197" t="s">
        <v>4433</v>
      </c>
      <c r="AI631" s="214" t="s">
        <v>4411</v>
      </c>
      <c r="AJ631" s="207">
        <v>146671616</v>
      </c>
      <c r="AK631" s="316">
        <v>46001</v>
      </c>
      <c r="AL631" s="316">
        <v>46001</v>
      </c>
      <c r="AM631" s="316">
        <v>46001</v>
      </c>
      <c r="AN631" s="316">
        <v>46001</v>
      </c>
      <c r="AO631" s="316">
        <v>46001</v>
      </c>
      <c r="AP631" s="316">
        <v>46001</v>
      </c>
      <c r="AQ631" s="314"/>
      <c r="AR631" s="315" t="str">
        <f t="shared" si="41"/>
        <v>FINALIZADO</v>
      </c>
      <c r="AS631" s="207" t="s">
        <v>4423</v>
      </c>
      <c r="AT631" s="295"/>
      <c r="AU631" s="225" t="s">
        <v>7101</v>
      </c>
      <c r="AV631" s="207" t="s">
        <v>4425</v>
      </c>
      <c r="AW631" s="207" t="s">
        <v>4425</v>
      </c>
      <c r="AX631" s="207" t="s">
        <v>4425</v>
      </c>
      <c r="AY631" s="207" t="s">
        <v>4425</v>
      </c>
      <c r="AZ631" s="203">
        <v>46024</v>
      </c>
      <c r="BA631" s="219" t="s">
        <v>4425</v>
      </c>
      <c r="BB631" s="207" t="s">
        <v>4425</v>
      </c>
      <c r="BC631" s="208">
        <v>46038</v>
      </c>
      <c r="BD631" s="226">
        <v>46038</v>
      </c>
      <c r="BE631" s="226" t="s">
        <v>4435</v>
      </c>
      <c r="BF631" s="228" t="s">
        <v>4436</v>
      </c>
      <c r="BG631" s="229" t="s">
        <v>4425</v>
      </c>
      <c r="BH631" s="321">
        <f t="shared" si="42"/>
        <v>37</v>
      </c>
      <c r="BI631" s="98" t="str">
        <f t="shared" si="43"/>
        <v>INDENIZAÇÃO</v>
      </c>
      <c r="BJ631" s="98" t="str">
        <f t="shared" si="44"/>
        <v>NÃO</v>
      </c>
      <c r="BK631" s="230" t="s">
        <v>4437</v>
      </c>
      <c r="BL631" s="230" t="s">
        <v>4437</v>
      </c>
      <c r="BM631" s="230" t="s">
        <v>4437</v>
      </c>
      <c r="BN631" s="265" t="s">
        <v>5732</v>
      </c>
      <c r="BO631" s="265"/>
      <c r="BP631" s="265"/>
      <c r="BQ631" s="265"/>
      <c r="BR631" s="231"/>
    </row>
    <row r="632" spans="1:72" ht="27" hidden="1" customHeight="1">
      <c r="A632" s="207">
        <v>628</v>
      </c>
      <c r="B632" s="197" t="s">
        <v>4396</v>
      </c>
      <c r="C632" s="207" t="s">
        <v>4427</v>
      </c>
      <c r="D632" s="207">
        <v>1</v>
      </c>
      <c r="E632" s="207" t="s">
        <v>4398</v>
      </c>
      <c r="F632" s="214" t="s">
        <v>7102</v>
      </c>
      <c r="G632" s="207" t="s">
        <v>4400</v>
      </c>
      <c r="H632" s="207" t="s">
        <v>4401</v>
      </c>
      <c r="I632" s="217" t="s">
        <v>4402</v>
      </c>
      <c r="J632" s="215" t="s">
        <v>7103</v>
      </c>
      <c r="K632" s="215" t="s">
        <v>7104</v>
      </c>
      <c r="L632" s="215" t="s">
        <v>7105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46003</v>
      </c>
      <c r="Y632" s="203"/>
      <c r="Z632" s="219"/>
      <c r="AA632" s="215" t="s">
        <v>7103</v>
      </c>
      <c r="AB632" s="215" t="s">
        <v>7104</v>
      </c>
      <c r="AC632" s="215" t="s">
        <v>7105</v>
      </c>
      <c r="AD632" s="207" t="s">
        <v>4402</v>
      </c>
      <c r="AE632" s="207" t="s">
        <v>4405</v>
      </c>
      <c r="AF632" s="218" t="s">
        <v>4409</v>
      </c>
      <c r="AG632" s="218" t="s">
        <v>4409</v>
      </c>
      <c r="AH632" s="241" t="s">
        <v>4410</v>
      </c>
      <c r="AI632" s="214" t="s">
        <v>4411</v>
      </c>
      <c r="AJ632" s="207"/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/>
      <c r="AT632" s="219"/>
      <c r="AU632" s="225"/>
      <c r="AV632" s="207"/>
      <c r="AW632" s="207"/>
      <c r="AX632" s="207" t="s">
        <v>4409</v>
      </c>
      <c r="AY632" s="207" t="s">
        <v>4409</v>
      </c>
      <c r="AZ632" s="207" t="s">
        <v>4409</v>
      </c>
      <c r="BA632" s="207" t="s">
        <v>4409</v>
      </c>
      <c r="BB632" s="219"/>
      <c r="BC632" s="219"/>
      <c r="BD632" s="208"/>
      <c r="BE632" s="202"/>
      <c r="BF632" s="207"/>
      <c r="BG632" s="229"/>
      <c r="BH632" s="321" t="str">
        <f t="shared" si="42"/>
        <v/>
      </c>
      <c r="BI632" s="98" t="str">
        <f t="shared" si="43"/>
        <v>AA</v>
      </c>
      <c r="BJ632" s="98" t="str">
        <f t="shared" si="44"/>
        <v>NÃO</v>
      </c>
      <c r="BK632" s="230"/>
      <c r="BL632" s="230"/>
      <c r="BM632" s="230"/>
      <c r="BN632" s="230"/>
      <c r="BO632" s="230"/>
      <c r="BP632" s="230"/>
      <c r="BQ632" s="230"/>
      <c r="BR632" s="234"/>
      <c r="BS632" s="240"/>
    </row>
    <row r="633" spans="1:72" ht="27" hidden="1" customHeight="1">
      <c r="A633" s="207">
        <v>629</v>
      </c>
      <c r="B633" s="197" t="s">
        <v>4396</v>
      </c>
      <c r="C633" s="207" t="s">
        <v>4427</v>
      </c>
      <c r="D633" s="207">
        <v>1</v>
      </c>
      <c r="E633" s="207" t="s">
        <v>4398</v>
      </c>
      <c r="F633" s="214" t="s">
        <v>7106</v>
      </c>
      <c r="G633" s="207" t="s">
        <v>4400</v>
      </c>
      <c r="H633" s="207" t="s">
        <v>4401</v>
      </c>
      <c r="I633" s="217" t="s">
        <v>4402</v>
      </c>
      <c r="J633" s="242" t="s">
        <v>7107</v>
      </c>
      <c r="K633" s="215" t="s">
        <v>7108</v>
      </c>
      <c r="L633" s="215" t="s">
        <v>7109</v>
      </c>
      <c r="M633" s="207" t="s">
        <v>4405</v>
      </c>
      <c r="N633" s="207" t="s">
        <v>4406</v>
      </c>
      <c r="O633" s="202">
        <v>46002</v>
      </c>
      <c r="P633" s="202" t="s">
        <v>4407</v>
      </c>
      <c r="Q633" s="202">
        <v>45999</v>
      </c>
      <c r="R633" s="202">
        <v>46006</v>
      </c>
      <c r="S633" s="202">
        <v>46006</v>
      </c>
      <c r="T633" s="202">
        <v>46009</v>
      </c>
      <c r="U633" s="202" t="s">
        <v>4408</v>
      </c>
      <c r="V633" s="202" t="s">
        <v>4408</v>
      </c>
      <c r="W633" s="202">
        <v>46014</v>
      </c>
      <c r="X633" s="202">
        <v>46020</v>
      </c>
      <c r="Y633" s="202"/>
      <c r="Z633" s="207"/>
      <c r="AA633" s="200" t="s">
        <v>7107</v>
      </c>
      <c r="AB633" s="200" t="s">
        <v>7108</v>
      </c>
      <c r="AC633" s="200" t="s">
        <v>7109</v>
      </c>
      <c r="AD633" s="197" t="s">
        <v>4402</v>
      </c>
      <c r="AE633" s="197" t="s">
        <v>4405</v>
      </c>
      <c r="AF633" s="218" t="s">
        <v>4409</v>
      </c>
      <c r="AG633" s="218" t="s">
        <v>4409</v>
      </c>
      <c r="AH633" s="197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07"/>
      <c r="AU633" s="225"/>
      <c r="AV633" s="207"/>
      <c r="AW633" s="207"/>
      <c r="AX633" s="207"/>
      <c r="AY633" s="207"/>
      <c r="AZ633" s="202"/>
      <c r="BA633" s="219"/>
      <c r="BB633" s="207"/>
      <c r="BC633" s="202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</row>
    <row r="634" spans="1:72" ht="27" hidden="1" customHeight="1">
      <c r="A634" s="197">
        <v>630</v>
      </c>
      <c r="B634" s="197" t="s">
        <v>4396</v>
      </c>
      <c r="C634" s="207" t="s">
        <v>4427</v>
      </c>
      <c r="D634" s="207">
        <v>1</v>
      </c>
      <c r="E634" s="207" t="s">
        <v>4398</v>
      </c>
      <c r="F634" s="214" t="s">
        <v>7110</v>
      </c>
      <c r="G634" s="207" t="s">
        <v>4400</v>
      </c>
      <c r="H634" s="207" t="s">
        <v>4401</v>
      </c>
      <c r="I634" s="217" t="s">
        <v>4402</v>
      </c>
      <c r="J634" s="215" t="s">
        <v>7111</v>
      </c>
      <c r="K634" s="215" t="s">
        <v>7112</v>
      </c>
      <c r="L634" s="215" t="s">
        <v>7113</v>
      </c>
      <c r="M634" s="207" t="s">
        <v>4405</v>
      </c>
      <c r="N634" s="207" t="s">
        <v>4406</v>
      </c>
      <c r="O634" s="202">
        <v>46002</v>
      </c>
      <c r="P634" s="202" t="s">
        <v>4407</v>
      </c>
      <c r="Q634" s="202">
        <v>45999</v>
      </c>
      <c r="R634" s="202">
        <v>46006</v>
      </c>
      <c r="S634" s="202">
        <v>46006</v>
      </c>
      <c r="T634" s="202">
        <v>46009</v>
      </c>
      <c r="U634" s="202" t="s">
        <v>4408</v>
      </c>
      <c r="V634" s="202" t="s">
        <v>4408</v>
      </c>
      <c r="W634" s="202">
        <v>46014</v>
      </c>
      <c r="X634" s="202">
        <v>46020</v>
      </c>
      <c r="Y634" s="202"/>
      <c r="Z634" s="207"/>
      <c r="AA634" s="215" t="s">
        <v>7111</v>
      </c>
      <c r="AB634" s="215" t="s">
        <v>7112</v>
      </c>
      <c r="AC634" s="215" t="s">
        <v>7113</v>
      </c>
      <c r="AD634" s="197" t="s">
        <v>4402</v>
      </c>
      <c r="AE634" s="197" t="s">
        <v>4405</v>
      </c>
      <c r="AF634" s="218" t="s">
        <v>4409</v>
      </c>
      <c r="AG634" s="218" t="s">
        <v>4409</v>
      </c>
      <c r="AH634" s="207" t="s">
        <v>4410</v>
      </c>
      <c r="AI634" s="214" t="s">
        <v>4411</v>
      </c>
      <c r="AJ634" s="207"/>
      <c r="AK634" s="316">
        <v>45993</v>
      </c>
      <c r="AL634" s="316">
        <v>45993</v>
      </c>
      <c r="AM634" s="316">
        <v>45993</v>
      </c>
      <c r="AN634" s="316">
        <v>45993</v>
      </c>
      <c r="AO634" s="316">
        <v>45993</v>
      </c>
      <c r="AP634" s="316">
        <v>45993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/>
      <c r="AY634" s="207"/>
      <c r="AZ634" s="202"/>
      <c r="BA634" s="219"/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2" ht="27" hidden="1" customHeight="1">
      <c r="A635" s="197">
        <v>631</v>
      </c>
      <c r="B635" s="197" t="s">
        <v>4396</v>
      </c>
      <c r="C635" s="207" t="s">
        <v>4427</v>
      </c>
      <c r="D635" s="207">
        <v>1</v>
      </c>
      <c r="E635" s="207" t="s">
        <v>4398</v>
      </c>
      <c r="F635" s="214" t="s">
        <v>7114</v>
      </c>
      <c r="G635" s="207" t="s">
        <v>4400</v>
      </c>
      <c r="H635" s="207" t="s">
        <v>4401</v>
      </c>
      <c r="I635" s="217" t="s">
        <v>4402</v>
      </c>
      <c r="J635" s="215" t="s">
        <v>7115</v>
      </c>
      <c r="K635" s="215" t="s">
        <v>4440</v>
      </c>
      <c r="L635" s="215" t="s">
        <v>7116</v>
      </c>
      <c r="M635" s="207" t="s">
        <v>4405</v>
      </c>
      <c r="N635" s="207" t="s">
        <v>4442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15" t="s">
        <v>7115</v>
      </c>
      <c r="AB635" s="215" t="s">
        <v>4440</v>
      </c>
      <c r="AC635" s="215" t="s">
        <v>7116</v>
      </c>
      <c r="AD635" s="207" t="s">
        <v>4402</v>
      </c>
      <c r="AE635" s="207" t="s">
        <v>5045</v>
      </c>
      <c r="AF635" s="218">
        <v>19603.16</v>
      </c>
      <c r="AG635" s="218">
        <v>49603.16</v>
      </c>
      <c r="AH635" s="207" t="s">
        <v>4433</v>
      </c>
      <c r="AI635" s="214" t="s">
        <v>4411</v>
      </c>
      <c r="AJ635" s="207">
        <v>150614345</v>
      </c>
      <c r="AK635" s="316">
        <v>46064</v>
      </c>
      <c r="AL635" s="316">
        <v>46064</v>
      </c>
      <c r="AM635" s="316">
        <v>46064</v>
      </c>
      <c r="AN635" s="316">
        <v>46064</v>
      </c>
      <c r="AO635" s="316">
        <v>46064</v>
      </c>
      <c r="AP635" s="316">
        <v>46064</v>
      </c>
      <c r="AQ635" s="314"/>
      <c r="AR635" s="315" t="str">
        <f t="shared" si="41"/>
        <v>FINALIZADO</v>
      </c>
      <c r="AS635" s="207" t="s">
        <v>4423</v>
      </c>
      <c r="AT635" s="207"/>
      <c r="AU635" s="225" t="s">
        <v>7117</v>
      </c>
      <c r="AV635" s="207" t="s">
        <v>4425</v>
      </c>
      <c r="AW635" s="207" t="s">
        <v>4425</v>
      </c>
      <c r="AX635" s="207" t="s">
        <v>4425</v>
      </c>
      <c r="AY635" s="207" t="s">
        <v>4425</v>
      </c>
      <c r="AZ635" s="202">
        <v>46111</v>
      </c>
      <c r="BA635" s="207" t="s">
        <v>4425</v>
      </c>
      <c r="BB635" s="207" t="s">
        <v>4425</v>
      </c>
      <c r="BC635" s="202">
        <v>46114</v>
      </c>
      <c r="BD635" s="227">
        <v>46114</v>
      </c>
      <c r="BE635" s="227" t="s">
        <v>4435</v>
      </c>
      <c r="BF635" s="228" t="s">
        <v>4436</v>
      </c>
      <c r="BG635" s="229" t="s">
        <v>4425</v>
      </c>
      <c r="BH635" s="321">
        <f t="shared" si="42"/>
        <v>50</v>
      </c>
      <c r="BI635" s="98" t="str">
        <f t="shared" si="43"/>
        <v>INDENIZAÇÃO</v>
      </c>
      <c r="BJ635" s="98" t="str">
        <f t="shared" si="44"/>
        <v>NÃO</v>
      </c>
      <c r="BK635" s="230" t="s">
        <v>4437</v>
      </c>
      <c r="BL635" s="230" t="s">
        <v>4437</v>
      </c>
      <c r="BM635" s="230" t="s">
        <v>4437</v>
      </c>
      <c r="BN635" s="265" t="s">
        <v>5732</v>
      </c>
      <c r="BO635" s="265"/>
      <c r="BP635" s="265"/>
      <c r="BQ635" s="265"/>
      <c r="BR635" s="231"/>
    </row>
    <row r="636" spans="1:72" ht="27" hidden="1" customHeight="1">
      <c r="A636" s="207">
        <v>632</v>
      </c>
      <c r="B636" s="197" t="s">
        <v>4396</v>
      </c>
      <c r="C636" s="207" t="s">
        <v>4427</v>
      </c>
      <c r="D636" s="207">
        <v>1</v>
      </c>
      <c r="E636" s="207" t="s">
        <v>4398</v>
      </c>
      <c r="F636" s="214" t="s">
        <v>7118</v>
      </c>
      <c r="G636" s="207" t="s">
        <v>4400</v>
      </c>
      <c r="H636" s="207" t="s">
        <v>4401</v>
      </c>
      <c r="I636" s="217" t="s">
        <v>4402</v>
      </c>
      <c r="J636" s="215" t="s">
        <v>7119</v>
      </c>
      <c r="K636" s="215" t="s">
        <v>7120</v>
      </c>
      <c r="L636" s="215" t="s">
        <v>7121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46000</v>
      </c>
      <c r="Y636" s="202"/>
      <c r="Z636" s="207"/>
      <c r="AA636" s="215" t="s">
        <v>7119</v>
      </c>
      <c r="AB636" s="215" t="s">
        <v>7120</v>
      </c>
      <c r="AC636" s="215" t="s">
        <v>7121</v>
      </c>
      <c r="AD636" s="197" t="s">
        <v>4402</v>
      </c>
      <c r="AE636" s="19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07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07"/>
      <c r="BC636" s="202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</row>
    <row r="637" spans="1:72" ht="27" hidden="1" customHeight="1">
      <c r="A637" s="207">
        <v>633</v>
      </c>
      <c r="B637" s="197" t="s">
        <v>4396</v>
      </c>
      <c r="C637" s="207" t="s">
        <v>4427</v>
      </c>
      <c r="D637" s="207">
        <v>1</v>
      </c>
      <c r="E637" s="207" t="s">
        <v>4398</v>
      </c>
      <c r="F637" s="214" t="s">
        <v>7122</v>
      </c>
      <c r="G637" s="207" t="s">
        <v>4400</v>
      </c>
      <c r="H637" s="207" t="s">
        <v>4401</v>
      </c>
      <c r="I637" s="217" t="s">
        <v>4402</v>
      </c>
      <c r="J637" s="215" t="s">
        <v>7123</v>
      </c>
      <c r="K637" s="215" t="s">
        <v>7124</v>
      </c>
      <c r="L637" s="215" t="s">
        <v>7125</v>
      </c>
      <c r="M637" s="207" t="s">
        <v>4405</v>
      </c>
      <c r="N637" s="207" t="s">
        <v>4442</v>
      </c>
      <c r="O637" s="202" t="s">
        <v>4409</v>
      </c>
      <c r="P637" s="202" t="s">
        <v>4409</v>
      </c>
      <c r="Q637" s="202" t="s">
        <v>4409</v>
      </c>
      <c r="R637" s="202" t="s">
        <v>4409</v>
      </c>
      <c r="S637" s="202" t="s">
        <v>4409</v>
      </c>
      <c r="T637" s="202" t="s">
        <v>4409</v>
      </c>
      <c r="U637" s="202" t="s">
        <v>4409</v>
      </c>
      <c r="V637" s="202" t="s">
        <v>4409</v>
      </c>
      <c r="W637" s="202" t="s">
        <v>4409</v>
      </c>
      <c r="X637" s="202" t="s">
        <v>4409</v>
      </c>
      <c r="Y637" s="202"/>
      <c r="Z637" s="202"/>
      <c r="AA637" s="200" t="s">
        <v>7123</v>
      </c>
      <c r="AB637" s="200" t="s">
        <v>7124</v>
      </c>
      <c r="AC637" s="200" t="s">
        <v>7125</v>
      </c>
      <c r="AD637" s="197" t="s">
        <v>4402</v>
      </c>
      <c r="AE637" s="197" t="s">
        <v>4405</v>
      </c>
      <c r="AF637" s="243">
        <v>47877.65</v>
      </c>
      <c r="AG637" s="243">
        <v>60000</v>
      </c>
      <c r="AH637" s="197" t="s">
        <v>4433</v>
      </c>
      <c r="AI637" s="214" t="s">
        <v>4411</v>
      </c>
      <c r="AJ637" s="207">
        <v>146672002</v>
      </c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 t="s">
        <v>4423</v>
      </c>
      <c r="AT637" s="219"/>
      <c r="AU637" s="225" t="s">
        <v>7126</v>
      </c>
      <c r="AV637" s="207" t="s">
        <v>4425</v>
      </c>
      <c r="AW637" s="207" t="s">
        <v>4425</v>
      </c>
      <c r="AX637" s="207" t="s">
        <v>4425</v>
      </c>
      <c r="AY637" s="207" t="s">
        <v>4425</v>
      </c>
      <c r="AZ637" s="202">
        <v>46008</v>
      </c>
      <c r="BA637" s="219" t="s">
        <v>4425</v>
      </c>
      <c r="BB637" s="207" t="s">
        <v>4425</v>
      </c>
      <c r="BC637" s="239">
        <v>46049</v>
      </c>
      <c r="BD637" s="226">
        <v>46049</v>
      </c>
      <c r="BE637" s="226" t="s">
        <v>4435</v>
      </c>
      <c r="BF637" s="228" t="s">
        <v>4436</v>
      </c>
      <c r="BG637" s="229" t="s">
        <v>4425</v>
      </c>
      <c r="BH637" s="321">
        <f t="shared" si="42"/>
        <v>69</v>
      </c>
      <c r="BI637" s="98" t="str">
        <f t="shared" si="43"/>
        <v>INDENIZAÇÃO</v>
      </c>
      <c r="BJ637" s="98" t="str">
        <f t="shared" si="44"/>
        <v>NÃO</v>
      </c>
      <c r="BK637" s="230" t="s">
        <v>4437</v>
      </c>
      <c r="BL637" s="230" t="s">
        <v>4437</v>
      </c>
      <c r="BM637" s="230" t="s">
        <v>4437</v>
      </c>
      <c r="BN637" s="265" t="s">
        <v>5732</v>
      </c>
      <c r="BO637" s="265"/>
      <c r="BP637" s="265"/>
      <c r="BQ637" s="265"/>
      <c r="BR637" s="231"/>
    </row>
    <row r="638" spans="1:72" ht="27" hidden="1" customHeight="1">
      <c r="A638" s="207">
        <v>634</v>
      </c>
      <c r="B638" s="197" t="s">
        <v>4396</v>
      </c>
      <c r="C638" s="207" t="s">
        <v>4427</v>
      </c>
      <c r="D638" s="207">
        <v>1</v>
      </c>
      <c r="E638" s="207" t="s">
        <v>4398</v>
      </c>
      <c r="F638" s="214" t="s">
        <v>7127</v>
      </c>
      <c r="G638" s="207" t="s">
        <v>4400</v>
      </c>
      <c r="H638" s="207" t="s">
        <v>4401</v>
      </c>
      <c r="I638" s="217" t="s">
        <v>4402</v>
      </c>
      <c r="J638" s="215" t="s">
        <v>7128</v>
      </c>
      <c r="K638" s="215" t="s">
        <v>7129</v>
      </c>
      <c r="L638" s="215" t="s">
        <v>7130</v>
      </c>
      <c r="M638" s="207" t="s">
        <v>4405</v>
      </c>
      <c r="N638" s="207" t="s">
        <v>4406</v>
      </c>
      <c r="O638" s="202">
        <v>45986</v>
      </c>
      <c r="P638" s="203" t="s">
        <v>4407</v>
      </c>
      <c r="Q638" s="203">
        <v>45985</v>
      </c>
      <c r="R638" s="203">
        <v>45986</v>
      </c>
      <c r="S638" s="203">
        <v>45987</v>
      </c>
      <c r="T638" s="203">
        <v>45992</v>
      </c>
      <c r="U638" s="203" t="s">
        <v>4408</v>
      </c>
      <c r="V638" s="203" t="s">
        <v>4408</v>
      </c>
      <c r="W638" s="202">
        <v>45999</v>
      </c>
      <c r="X638" s="202">
        <v>46002</v>
      </c>
      <c r="Y638" s="203"/>
      <c r="Z638" s="219"/>
      <c r="AA638" s="215" t="s">
        <v>7128</v>
      </c>
      <c r="AB638" s="215" t="s">
        <v>7129</v>
      </c>
      <c r="AC638" s="215" t="s">
        <v>7130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41" t="s">
        <v>4410</v>
      </c>
      <c r="AI638" s="214" t="s">
        <v>4411</v>
      </c>
      <c r="AJ638" s="207"/>
      <c r="AK638" s="316">
        <v>45980</v>
      </c>
      <c r="AL638" s="316">
        <v>45980</v>
      </c>
      <c r="AM638" s="316">
        <v>45980</v>
      </c>
      <c r="AN638" s="316">
        <v>45980</v>
      </c>
      <c r="AO638" s="316">
        <v>45980</v>
      </c>
      <c r="AP638" s="316">
        <v>45980</v>
      </c>
      <c r="AQ638" s="314"/>
      <c r="AR638" s="315" t="str">
        <f t="shared" si="41"/>
        <v>FINALIZADO</v>
      </c>
      <c r="AS638" s="207"/>
      <c r="AT638" s="219"/>
      <c r="AU638" s="225"/>
      <c r="AV638" s="207"/>
      <c r="AW638" s="207"/>
      <c r="AX638" s="207" t="s">
        <v>4409</v>
      </c>
      <c r="AY638" s="207" t="s">
        <v>4409</v>
      </c>
      <c r="AZ638" s="207" t="s">
        <v>4409</v>
      </c>
      <c r="BA638" s="207" t="s">
        <v>4409</v>
      </c>
      <c r="BB638" s="219"/>
      <c r="BC638" s="219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  <c r="BS638" s="240"/>
    </row>
    <row r="639" spans="1:72" ht="27" hidden="1" customHeight="1">
      <c r="A639" s="197">
        <v>635</v>
      </c>
      <c r="B639" s="197" t="s">
        <v>4396</v>
      </c>
      <c r="C639" s="207" t="s">
        <v>4427</v>
      </c>
      <c r="D639" s="207">
        <v>1</v>
      </c>
      <c r="E639" s="207" t="s">
        <v>4398</v>
      </c>
      <c r="F639" s="214" t="s">
        <v>7131</v>
      </c>
      <c r="G639" s="207" t="s">
        <v>4400</v>
      </c>
      <c r="H639" s="207" t="s">
        <v>4401</v>
      </c>
      <c r="I639" s="217" t="s">
        <v>4414</v>
      </c>
      <c r="J639" s="242" t="s">
        <v>7132</v>
      </c>
      <c r="K639" s="215" t="s">
        <v>7133</v>
      </c>
      <c r="L639" s="215" t="s">
        <v>7134</v>
      </c>
      <c r="M639" s="207" t="s">
        <v>4405</v>
      </c>
      <c r="N639" s="207" t="s">
        <v>4406</v>
      </c>
      <c r="O639" s="202">
        <v>46002</v>
      </c>
      <c r="P639" s="202" t="s">
        <v>4407</v>
      </c>
      <c r="Q639" s="202">
        <v>45999</v>
      </c>
      <c r="R639" s="202">
        <v>46006</v>
      </c>
      <c r="S639" s="202">
        <v>46006</v>
      </c>
      <c r="T639" s="202">
        <v>46009</v>
      </c>
      <c r="U639" s="202" t="s">
        <v>4408</v>
      </c>
      <c r="V639" s="202" t="s">
        <v>4408</v>
      </c>
      <c r="W639" s="202">
        <v>46014</v>
      </c>
      <c r="X639" s="203">
        <v>46044</v>
      </c>
      <c r="Y639" s="203"/>
      <c r="Z639" s="219"/>
      <c r="AA639" s="200" t="s">
        <v>7135</v>
      </c>
      <c r="AB639" s="200" t="s">
        <v>7136</v>
      </c>
      <c r="AC639" s="200" t="s">
        <v>7137</v>
      </c>
      <c r="AD639" s="199" t="s">
        <v>4421</v>
      </c>
      <c r="AE639" s="254" t="s">
        <v>4405</v>
      </c>
      <c r="AF639" s="243">
        <v>60200.27</v>
      </c>
      <c r="AG639" s="243">
        <v>60200.27</v>
      </c>
      <c r="AH639" s="197" t="s">
        <v>4433</v>
      </c>
      <c r="AI639" s="214" t="s">
        <v>4411</v>
      </c>
      <c r="AJ639" s="207">
        <v>148267225</v>
      </c>
      <c r="AK639" s="316">
        <v>45996</v>
      </c>
      <c r="AL639" s="316">
        <v>45996</v>
      </c>
      <c r="AM639" s="316">
        <v>45996</v>
      </c>
      <c r="AN639" s="316">
        <v>45996</v>
      </c>
      <c r="AO639" s="316">
        <v>45996</v>
      </c>
      <c r="AP639" s="316">
        <v>45996</v>
      </c>
      <c r="AQ639" s="314"/>
      <c r="AR639" s="315" t="str">
        <f t="shared" si="41"/>
        <v>FINALIZADO</v>
      </c>
      <c r="AS639" s="207" t="s">
        <v>4423</v>
      </c>
      <c r="AT639" s="219"/>
      <c r="AU639" s="225" t="s">
        <v>7138</v>
      </c>
      <c r="AV639" s="207" t="s">
        <v>4425</v>
      </c>
      <c r="AW639" s="207" t="s">
        <v>4425</v>
      </c>
      <c r="AX639" s="207" t="s">
        <v>4425</v>
      </c>
      <c r="AY639" s="207" t="s">
        <v>4425</v>
      </c>
      <c r="AZ639" s="202">
        <v>46118</v>
      </c>
      <c r="BA639" s="207" t="s">
        <v>4425</v>
      </c>
      <c r="BB639" s="207" t="s">
        <v>4425</v>
      </c>
      <c r="BC639" s="202">
        <v>46126</v>
      </c>
      <c r="BD639" s="227">
        <v>46126</v>
      </c>
      <c r="BE639" s="227" t="s">
        <v>4435</v>
      </c>
      <c r="BF639" s="228" t="s">
        <v>4436</v>
      </c>
      <c r="BG639" s="229" t="s">
        <v>4425</v>
      </c>
      <c r="BH639" s="321">
        <f t="shared" si="42"/>
        <v>130</v>
      </c>
      <c r="BI639" s="98" t="str">
        <f t="shared" si="43"/>
        <v>INDENIZAÇÃO</v>
      </c>
      <c r="BJ639" s="98" t="str">
        <f t="shared" si="44"/>
        <v>NÃO</v>
      </c>
      <c r="BK639" s="219" t="s">
        <v>4437</v>
      </c>
      <c r="BL639" s="219" t="s">
        <v>4437</v>
      </c>
      <c r="BM639" s="219" t="s">
        <v>4437</v>
      </c>
      <c r="BN639" s="257" t="s">
        <v>5732</v>
      </c>
      <c r="BO639" s="257"/>
      <c r="BP639" s="257"/>
      <c r="BQ639" s="257"/>
      <c r="BR639" s="258"/>
    </row>
    <row r="640" spans="1:72" ht="27" hidden="1" customHeight="1">
      <c r="A640" s="197">
        <v>636</v>
      </c>
      <c r="B640" s="197" t="s">
        <v>4396</v>
      </c>
      <c r="C640" s="207" t="s">
        <v>4427</v>
      </c>
      <c r="D640" s="207">
        <v>1</v>
      </c>
      <c r="E640" s="207" t="s">
        <v>4398</v>
      </c>
      <c r="F640" s="214" t="s">
        <v>7139</v>
      </c>
      <c r="G640" s="207" t="s">
        <v>4400</v>
      </c>
      <c r="H640" s="207" t="s">
        <v>4401</v>
      </c>
      <c r="I640" s="217" t="s">
        <v>4402</v>
      </c>
      <c r="J640" s="242" t="s">
        <v>7140</v>
      </c>
      <c r="K640" s="215" t="s">
        <v>7141</v>
      </c>
      <c r="L640" s="215" t="s">
        <v>7142</v>
      </c>
      <c r="M640" s="207" t="s">
        <v>4405</v>
      </c>
      <c r="N640" s="207" t="s">
        <v>4442</v>
      </c>
      <c r="O640" s="202" t="s">
        <v>4409</v>
      </c>
      <c r="P640" s="202" t="s">
        <v>4409</v>
      </c>
      <c r="Q640" s="202" t="s">
        <v>4409</v>
      </c>
      <c r="R640" s="202" t="s">
        <v>4409</v>
      </c>
      <c r="S640" s="202" t="s">
        <v>4409</v>
      </c>
      <c r="T640" s="202" t="s">
        <v>4409</v>
      </c>
      <c r="U640" s="202" t="s">
        <v>4409</v>
      </c>
      <c r="V640" s="202" t="s">
        <v>4409</v>
      </c>
      <c r="W640" s="202" t="s">
        <v>4409</v>
      </c>
      <c r="X640" s="202" t="s">
        <v>4409</v>
      </c>
      <c r="Y640" s="202"/>
      <c r="Z640" s="202"/>
      <c r="AA640" s="215" t="s">
        <v>7140</v>
      </c>
      <c r="AB640" s="215" t="s">
        <v>7141</v>
      </c>
      <c r="AC640" s="215" t="s">
        <v>7142</v>
      </c>
      <c r="AD640" s="207" t="s">
        <v>4402</v>
      </c>
      <c r="AE640" s="207" t="s">
        <v>4405</v>
      </c>
      <c r="AF640" s="218">
        <v>34520.269999999997</v>
      </c>
      <c r="AG640" s="218">
        <v>60000</v>
      </c>
      <c r="AH640" s="207" t="s">
        <v>4433</v>
      </c>
      <c r="AI640" s="214" t="s">
        <v>4411</v>
      </c>
      <c r="AJ640" s="207">
        <v>146672083</v>
      </c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 t="s">
        <v>4423</v>
      </c>
      <c r="AT640" s="219"/>
      <c r="AU640" s="225" t="s">
        <v>7143</v>
      </c>
      <c r="AV640" s="207" t="s">
        <v>4425</v>
      </c>
      <c r="AW640" s="207" t="s">
        <v>4425</v>
      </c>
      <c r="AX640" s="207" t="s">
        <v>4425</v>
      </c>
      <c r="AY640" s="207" t="s">
        <v>4425</v>
      </c>
      <c r="AZ640" s="203">
        <v>46017</v>
      </c>
      <c r="BA640" s="219" t="s">
        <v>4425</v>
      </c>
      <c r="BB640" s="207" t="s">
        <v>4425</v>
      </c>
      <c r="BC640" s="208">
        <v>46024</v>
      </c>
      <c r="BD640" s="226">
        <v>46024</v>
      </c>
      <c r="BE640" s="226" t="s">
        <v>4435</v>
      </c>
      <c r="BF640" s="245" t="s">
        <v>4436</v>
      </c>
      <c r="BG640" s="229" t="s">
        <v>4425</v>
      </c>
      <c r="BH640" s="321">
        <f t="shared" si="42"/>
        <v>44</v>
      </c>
      <c r="BI640" s="98" t="str">
        <f t="shared" si="43"/>
        <v>INDENIZAÇÃO</v>
      </c>
      <c r="BJ640" s="98" t="str">
        <f t="shared" si="44"/>
        <v>NÃO</v>
      </c>
      <c r="BK640" s="230" t="s">
        <v>4437</v>
      </c>
      <c r="BL640" s="230" t="s">
        <v>4437</v>
      </c>
      <c r="BM640" s="230" t="s">
        <v>4437</v>
      </c>
      <c r="BN640" s="265" t="s">
        <v>5732</v>
      </c>
      <c r="BO640" s="265"/>
      <c r="BP640" s="265"/>
      <c r="BQ640" s="265"/>
      <c r="BR640" s="231"/>
      <c r="BS640" s="223"/>
      <c r="BT640" s="223"/>
    </row>
    <row r="641" spans="1:71" ht="27" hidden="1" customHeight="1">
      <c r="A641" s="207">
        <v>637</v>
      </c>
      <c r="B641" s="197" t="s">
        <v>4396</v>
      </c>
      <c r="C641" s="207" t="s">
        <v>4427</v>
      </c>
      <c r="D641" s="207">
        <v>1</v>
      </c>
      <c r="E641" s="207" t="s">
        <v>4398</v>
      </c>
      <c r="F641" s="214" t="s">
        <v>7144</v>
      </c>
      <c r="G641" s="207" t="s">
        <v>4400</v>
      </c>
      <c r="H641" s="207" t="s">
        <v>4401</v>
      </c>
      <c r="I641" s="217" t="s">
        <v>4402</v>
      </c>
      <c r="J641" s="215" t="s">
        <v>7145</v>
      </c>
      <c r="K641" s="215" t="s">
        <v>7146</v>
      </c>
      <c r="L641" s="215" t="s">
        <v>7147</v>
      </c>
      <c r="M641" s="207" t="s">
        <v>4405</v>
      </c>
      <c r="N641" s="207" t="s">
        <v>4442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15" t="s">
        <v>7145</v>
      </c>
      <c r="AB641" s="215" t="s">
        <v>7146</v>
      </c>
      <c r="AC641" s="215" t="s">
        <v>7147</v>
      </c>
      <c r="AD641" s="207" t="s">
        <v>4402</v>
      </c>
      <c r="AE641" s="207" t="s">
        <v>4405</v>
      </c>
      <c r="AF641" s="218">
        <v>106038.77</v>
      </c>
      <c r="AG641" s="218">
        <v>106038.77</v>
      </c>
      <c r="AH641" s="207" t="s">
        <v>4433</v>
      </c>
      <c r="AI641" s="214" t="s">
        <v>4411</v>
      </c>
      <c r="AJ641" s="207">
        <v>147998553</v>
      </c>
      <c r="AK641" s="316">
        <v>46001</v>
      </c>
      <c r="AL641" s="316">
        <v>46001</v>
      </c>
      <c r="AM641" s="316">
        <v>46001</v>
      </c>
      <c r="AN641" s="316">
        <v>46001</v>
      </c>
      <c r="AO641" s="316">
        <v>46001</v>
      </c>
      <c r="AP641" s="316">
        <v>46001</v>
      </c>
      <c r="AQ641" s="314"/>
      <c r="AR641" s="315" t="str">
        <f t="shared" si="41"/>
        <v>FINALIZADO</v>
      </c>
      <c r="AS641" s="207" t="s">
        <v>4423</v>
      </c>
      <c r="AT641" s="207"/>
      <c r="AU641" s="225" t="s">
        <v>7148</v>
      </c>
      <c r="AV641" s="207" t="s">
        <v>4425</v>
      </c>
      <c r="AW641" s="207" t="s">
        <v>4425</v>
      </c>
      <c r="AX641" s="207" t="s">
        <v>4425</v>
      </c>
      <c r="AY641" s="207" t="s">
        <v>4425</v>
      </c>
      <c r="AZ641" s="202">
        <v>46021</v>
      </c>
      <c r="BA641" s="207" t="s">
        <v>4425</v>
      </c>
      <c r="BB641" s="207" t="s">
        <v>4425</v>
      </c>
      <c r="BC641" s="202">
        <v>46105</v>
      </c>
      <c r="BD641" s="226">
        <v>46105</v>
      </c>
      <c r="BE641" s="226" t="s">
        <v>4435</v>
      </c>
      <c r="BF641" s="245" t="s">
        <v>4436</v>
      </c>
      <c r="BG641" s="229" t="s">
        <v>4425</v>
      </c>
      <c r="BH641" s="321">
        <f t="shared" si="42"/>
        <v>104</v>
      </c>
      <c r="BI641" s="98" t="str">
        <f t="shared" si="43"/>
        <v>INDENIZAÇÃO</v>
      </c>
      <c r="BJ641" s="98" t="str">
        <f t="shared" si="44"/>
        <v>NÃO</v>
      </c>
      <c r="BK641" s="230" t="s">
        <v>4437</v>
      </c>
      <c r="BL641" s="230" t="s">
        <v>4437</v>
      </c>
      <c r="BM641" s="230" t="s">
        <v>4437</v>
      </c>
      <c r="BN641" s="265" t="s">
        <v>5732</v>
      </c>
      <c r="BO641" s="265"/>
      <c r="BP641" s="265"/>
      <c r="BQ641" s="265"/>
      <c r="BR641" s="231"/>
      <c r="BS641" s="223"/>
    </row>
    <row r="642" spans="1:71" ht="27" hidden="1" customHeight="1">
      <c r="A642" s="207">
        <v>638</v>
      </c>
      <c r="B642" s="197" t="s">
        <v>4396</v>
      </c>
      <c r="C642" s="207" t="s">
        <v>4427</v>
      </c>
      <c r="D642" s="207">
        <v>1</v>
      </c>
      <c r="E642" s="207" t="s">
        <v>4398</v>
      </c>
      <c r="F642" s="214" t="s">
        <v>7149</v>
      </c>
      <c r="G642" s="207" t="s">
        <v>4400</v>
      </c>
      <c r="H642" s="207" t="s">
        <v>4401</v>
      </c>
      <c r="I642" s="217" t="s">
        <v>4402</v>
      </c>
      <c r="J642" s="215" t="s">
        <v>7150</v>
      </c>
      <c r="K642" s="215" t="s">
        <v>7151</v>
      </c>
      <c r="L642" s="215" t="s">
        <v>7152</v>
      </c>
      <c r="M642" s="207" t="s">
        <v>4405</v>
      </c>
      <c r="N642" s="207" t="s">
        <v>4442</v>
      </c>
      <c r="O642" s="202" t="s">
        <v>4409</v>
      </c>
      <c r="P642" s="202" t="s">
        <v>4409</v>
      </c>
      <c r="Q642" s="202" t="s">
        <v>4409</v>
      </c>
      <c r="R642" s="202" t="s">
        <v>4409</v>
      </c>
      <c r="S642" s="202" t="s">
        <v>4409</v>
      </c>
      <c r="T642" s="202" t="s">
        <v>4409</v>
      </c>
      <c r="U642" s="202" t="s">
        <v>4409</v>
      </c>
      <c r="V642" s="202" t="s">
        <v>4409</v>
      </c>
      <c r="W642" s="202" t="s">
        <v>4409</v>
      </c>
      <c r="X642" s="202" t="s">
        <v>4409</v>
      </c>
      <c r="Y642" s="202"/>
      <c r="Z642" s="202"/>
      <c r="AA642" s="215" t="s">
        <v>7150</v>
      </c>
      <c r="AB642" s="215" t="s">
        <v>7151</v>
      </c>
      <c r="AC642" s="215" t="s">
        <v>7152</v>
      </c>
      <c r="AD642" s="207" t="s">
        <v>4402</v>
      </c>
      <c r="AE642" s="207" t="s">
        <v>4405</v>
      </c>
      <c r="AF642" s="218">
        <v>50410.89</v>
      </c>
      <c r="AG642" s="218">
        <v>60000</v>
      </c>
      <c r="AH642" s="207" t="s">
        <v>4433</v>
      </c>
      <c r="AI642" s="214" t="s">
        <v>4411</v>
      </c>
      <c r="AJ642" s="207">
        <v>147998835</v>
      </c>
      <c r="AK642" s="316">
        <v>46001</v>
      </c>
      <c r="AL642" s="316">
        <v>46001</v>
      </c>
      <c r="AM642" s="316">
        <v>46001</v>
      </c>
      <c r="AN642" s="316">
        <v>46001</v>
      </c>
      <c r="AO642" s="316">
        <v>46001</v>
      </c>
      <c r="AP642" s="316">
        <v>46001</v>
      </c>
      <c r="AQ642" s="314"/>
      <c r="AR642" s="315" t="str">
        <f t="shared" si="41"/>
        <v>FINALIZADO</v>
      </c>
      <c r="AS642" s="207" t="s">
        <v>4423</v>
      </c>
      <c r="AT642" s="207"/>
      <c r="AU642" s="225" t="s">
        <v>7153</v>
      </c>
      <c r="AV642" s="207" t="s">
        <v>4425</v>
      </c>
      <c r="AW642" s="207" t="s">
        <v>4425</v>
      </c>
      <c r="AX642" s="207" t="s">
        <v>4425</v>
      </c>
      <c r="AY642" s="207" t="s">
        <v>4425</v>
      </c>
      <c r="AZ642" s="202">
        <v>46021</v>
      </c>
      <c r="BA642" s="219" t="s">
        <v>4425</v>
      </c>
      <c r="BB642" s="207" t="s">
        <v>4425</v>
      </c>
      <c r="BC642" s="239">
        <v>46041</v>
      </c>
      <c r="BD642" s="226">
        <v>46041</v>
      </c>
      <c r="BE642" s="226" t="s">
        <v>4435</v>
      </c>
      <c r="BF642" s="245" t="s">
        <v>4436</v>
      </c>
      <c r="BG642" s="229" t="s">
        <v>4425</v>
      </c>
      <c r="BH642" s="321">
        <f t="shared" si="42"/>
        <v>40</v>
      </c>
      <c r="BI642" s="98" t="str">
        <f t="shared" si="43"/>
        <v>INDENIZAÇÃO</v>
      </c>
      <c r="BJ642" s="98" t="str">
        <f t="shared" si="44"/>
        <v>NÃO</v>
      </c>
      <c r="BK642" s="230" t="s">
        <v>4437</v>
      </c>
      <c r="BL642" s="230" t="s">
        <v>4437</v>
      </c>
      <c r="BM642" s="230" t="s">
        <v>4437</v>
      </c>
      <c r="BN642" s="265" t="s">
        <v>5732</v>
      </c>
      <c r="BO642" s="265"/>
      <c r="BP642" s="265"/>
      <c r="BQ642" s="265"/>
      <c r="BR642" s="231"/>
      <c r="BS642" s="223"/>
    </row>
    <row r="643" spans="1:71" ht="27" hidden="1" customHeight="1">
      <c r="A643" s="207">
        <v>639</v>
      </c>
      <c r="B643" s="197" t="s">
        <v>4396</v>
      </c>
      <c r="C643" s="207" t="s">
        <v>4427</v>
      </c>
      <c r="D643" s="207">
        <v>1</v>
      </c>
      <c r="E643" s="207" t="s">
        <v>4398</v>
      </c>
      <c r="F643" s="214" t="s">
        <v>7154</v>
      </c>
      <c r="G643" s="207" t="s">
        <v>4400</v>
      </c>
      <c r="H643" s="207" t="s">
        <v>4401</v>
      </c>
      <c r="I643" s="217" t="s">
        <v>4402</v>
      </c>
      <c r="J643" s="215" t="s">
        <v>7155</v>
      </c>
      <c r="K643" s="215" t="s">
        <v>7156</v>
      </c>
      <c r="L643" s="215" t="s">
        <v>7157</v>
      </c>
      <c r="M643" s="207" t="s">
        <v>4405</v>
      </c>
      <c r="N643" s="207" t="s">
        <v>4406</v>
      </c>
      <c r="O643" s="202">
        <v>46031</v>
      </c>
      <c r="P643" s="202" t="s">
        <v>4407</v>
      </c>
      <c r="Q643" s="202">
        <v>46023</v>
      </c>
      <c r="R643" s="202">
        <v>46023</v>
      </c>
      <c r="S643" s="202">
        <v>46036</v>
      </c>
      <c r="T643" s="202">
        <v>46045</v>
      </c>
      <c r="U643" s="202" t="s">
        <v>4408</v>
      </c>
      <c r="V643" s="202" t="s">
        <v>4408</v>
      </c>
      <c r="W643" s="202">
        <v>46055</v>
      </c>
      <c r="X643" s="202">
        <v>46057</v>
      </c>
      <c r="Y643" s="202"/>
      <c r="Z643" s="207"/>
      <c r="AA643" s="215" t="s">
        <v>7155</v>
      </c>
      <c r="AB643" s="215" t="s">
        <v>7156</v>
      </c>
      <c r="AC643" s="215" t="s">
        <v>7157</v>
      </c>
      <c r="AD643" s="197" t="s">
        <v>4402</v>
      </c>
      <c r="AE643" s="197" t="s">
        <v>4405</v>
      </c>
      <c r="AF643" s="218" t="s">
        <v>4409</v>
      </c>
      <c r="AG643" s="218" t="s">
        <v>4409</v>
      </c>
      <c r="AH643" s="207" t="s">
        <v>4410</v>
      </c>
      <c r="AI643" s="214" t="s">
        <v>4411</v>
      </c>
      <c r="AJ643" s="207"/>
      <c r="AK643" s="316">
        <v>46007</v>
      </c>
      <c r="AL643" s="316">
        <v>46007</v>
      </c>
      <c r="AM643" s="316">
        <v>46007</v>
      </c>
      <c r="AN643" s="316">
        <v>46007</v>
      </c>
      <c r="AO643" s="316">
        <v>46007</v>
      </c>
      <c r="AP643" s="316">
        <v>46007</v>
      </c>
      <c r="AQ643" s="314"/>
      <c r="AR643" s="315" t="str">
        <f t="shared" si="41"/>
        <v>FINALIZADO</v>
      </c>
      <c r="AS643" s="207"/>
      <c r="AT643" s="207"/>
      <c r="AU643" s="225"/>
      <c r="AV643" s="207"/>
      <c r="AW643" s="207"/>
      <c r="AX643" s="207"/>
      <c r="AY643" s="207"/>
      <c r="AZ643" s="202"/>
      <c r="BA643" s="219"/>
      <c r="BB643" s="207"/>
      <c r="BC643" s="202"/>
      <c r="BD643" s="208"/>
      <c r="BE643" s="202"/>
      <c r="BF643" s="207"/>
      <c r="BG643" s="229"/>
      <c r="BH643" s="321" t="str">
        <f t="shared" si="42"/>
        <v/>
      </c>
      <c r="BI643" s="98" t="str">
        <f t="shared" si="43"/>
        <v>AA</v>
      </c>
      <c r="BJ643" s="98" t="str">
        <f t="shared" si="44"/>
        <v>NÃO</v>
      </c>
      <c r="BK643" s="230"/>
      <c r="BL643" s="230"/>
      <c r="BM643" s="230"/>
      <c r="BN643" s="230"/>
      <c r="BO643" s="230"/>
      <c r="BP643" s="230"/>
      <c r="BQ643" s="230"/>
      <c r="BR643" s="234"/>
      <c r="BS643" s="240"/>
    </row>
    <row r="644" spans="1:71" ht="27" hidden="1" customHeight="1">
      <c r="A644" s="197">
        <v>640</v>
      </c>
      <c r="B644" s="197" t="s">
        <v>4396</v>
      </c>
      <c r="C644" s="207" t="s">
        <v>4427</v>
      </c>
      <c r="D644" s="207">
        <v>1</v>
      </c>
      <c r="E644" s="207" t="s">
        <v>4398</v>
      </c>
      <c r="F644" s="214" t="s">
        <v>7158</v>
      </c>
      <c r="G644" s="207" t="s">
        <v>4400</v>
      </c>
      <c r="H644" s="207" t="s">
        <v>4401</v>
      </c>
      <c r="I644" s="217" t="s">
        <v>4402</v>
      </c>
      <c r="J644" s="215" t="s">
        <v>7159</v>
      </c>
      <c r="K644" s="215" t="s">
        <v>7160</v>
      </c>
      <c r="L644" s="215" t="s">
        <v>7161</v>
      </c>
      <c r="M644" s="207" t="s">
        <v>4405</v>
      </c>
      <c r="N644" s="207" t="s">
        <v>4406</v>
      </c>
      <c r="O644" s="203">
        <v>46031</v>
      </c>
      <c r="P644" s="202" t="s">
        <v>4407</v>
      </c>
      <c r="Q644" s="203">
        <v>46030</v>
      </c>
      <c r="R644" s="203">
        <v>46031</v>
      </c>
      <c r="S644" s="203">
        <v>46036</v>
      </c>
      <c r="T644" s="203">
        <v>46045</v>
      </c>
      <c r="U644" s="203" t="s">
        <v>4408</v>
      </c>
      <c r="V644" s="203" t="s">
        <v>4408</v>
      </c>
      <c r="W644" s="202">
        <v>46055</v>
      </c>
      <c r="X644" s="202">
        <v>46057</v>
      </c>
      <c r="Y644" s="203"/>
      <c r="Z644" s="219"/>
      <c r="AA644" s="215" t="s">
        <v>7159</v>
      </c>
      <c r="AB644" s="215" t="s">
        <v>7160</v>
      </c>
      <c r="AC644" s="215" t="s">
        <v>7161</v>
      </c>
      <c r="AD644" s="197" t="s">
        <v>4402</v>
      </c>
      <c r="AE644" s="197" t="s">
        <v>4405</v>
      </c>
      <c r="AF644" s="218" t="s">
        <v>4409</v>
      </c>
      <c r="AG644" s="218" t="s">
        <v>4409</v>
      </c>
      <c r="AH644" s="207" t="s">
        <v>4410</v>
      </c>
      <c r="AI644" s="214" t="s">
        <v>4411</v>
      </c>
      <c r="AJ644" s="207"/>
      <c r="AK644" s="317">
        <v>46007</v>
      </c>
      <c r="AL644" s="317">
        <v>46007</v>
      </c>
      <c r="AM644" s="317">
        <v>46007</v>
      </c>
      <c r="AN644" s="317">
        <v>46007</v>
      </c>
      <c r="AO644" s="317">
        <v>46007</v>
      </c>
      <c r="AP644" s="317">
        <v>46007</v>
      </c>
      <c r="AQ644" s="314"/>
      <c r="AR644" s="315" t="str">
        <f t="shared" si="41"/>
        <v>FINALIZADO</v>
      </c>
      <c r="AS644" s="207"/>
      <c r="AT644" s="219"/>
      <c r="AU644" s="225"/>
      <c r="AV644" s="219"/>
      <c r="AW644" s="219"/>
      <c r="AX644" s="219"/>
      <c r="AY644" s="219"/>
      <c r="AZ644" s="219"/>
      <c r="BA644" s="219"/>
      <c r="BB644" s="219"/>
      <c r="BC644" s="219"/>
      <c r="BD644" s="208"/>
      <c r="BE644" s="203"/>
      <c r="BF644" s="219"/>
      <c r="BG644" s="219"/>
      <c r="BH644" s="321" t="str">
        <f t="shared" si="42"/>
        <v/>
      </c>
      <c r="BI644" s="98" t="str">
        <f t="shared" si="43"/>
        <v>AA</v>
      </c>
      <c r="BJ644" s="98" t="str">
        <f t="shared" si="44"/>
        <v>NÃO</v>
      </c>
      <c r="BK644" s="219"/>
      <c r="BL644" s="221"/>
      <c r="BM644" s="221"/>
      <c r="BN644" s="219"/>
      <c r="BO644" s="219"/>
      <c r="BP644" s="219"/>
      <c r="BQ644" s="219"/>
      <c r="BR644" s="222"/>
    </row>
    <row r="645" spans="1:71" ht="27" hidden="1" customHeight="1">
      <c r="A645" s="197">
        <v>641</v>
      </c>
      <c r="B645" s="197" t="s">
        <v>4396</v>
      </c>
      <c r="C645" s="207" t="s">
        <v>4427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4406</v>
      </c>
      <c r="O645" s="202">
        <v>46002</v>
      </c>
      <c r="P645" s="202" t="s">
        <v>4407</v>
      </c>
      <c r="Q645" s="202">
        <v>45999</v>
      </c>
      <c r="R645" s="202">
        <v>46006</v>
      </c>
      <c r="S645" s="202">
        <v>46006</v>
      </c>
      <c r="T645" s="202">
        <v>46009</v>
      </c>
      <c r="U645" s="202" t="s">
        <v>4408</v>
      </c>
      <c r="V645" s="202" t="s">
        <v>4408</v>
      </c>
      <c r="W645" s="202">
        <v>46014</v>
      </c>
      <c r="X645" s="202">
        <v>46020</v>
      </c>
      <c r="Y645" s="202"/>
      <c r="Z645" s="207"/>
      <c r="AA645" s="215" t="s">
        <v>7163</v>
      </c>
      <c r="AB645" s="215" t="s">
        <v>7164</v>
      </c>
      <c r="AC645" s="215" t="s">
        <v>7165</v>
      </c>
      <c r="AD645" s="197" t="s">
        <v>4402</v>
      </c>
      <c r="AE645" s="197" t="s">
        <v>4405</v>
      </c>
      <c r="AF645" s="218" t="s">
        <v>4409</v>
      </c>
      <c r="AG645" s="218" t="s">
        <v>4409</v>
      </c>
      <c r="AH645" s="207" t="s">
        <v>4410</v>
      </c>
      <c r="AI645" s="214" t="s">
        <v>4411</v>
      </c>
      <c r="AJ645" s="207"/>
      <c r="AK645" s="316">
        <v>45996</v>
      </c>
      <c r="AL645" s="316">
        <v>45996</v>
      </c>
      <c r="AM645" s="316">
        <v>45996</v>
      </c>
      <c r="AN645" s="316">
        <v>45996</v>
      </c>
      <c r="AO645" s="316">
        <v>45996</v>
      </c>
      <c r="AP645" s="316">
        <v>45996</v>
      </c>
      <c r="AQ645" s="314"/>
      <c r="AR645" s="315" t="str">
        <f t="shared" si="41"/>
        <v>FINALIZADO</v>
      </c>
      <c r="AS645" s="207"/>
      <c r="AT645" s="207"/>
      <c r="AU645" s="225"/>
      <c r="AV645" s="207"/>
      <c r="AW645" s="207"/>
      <c r="AX645" s="207"/>
      <c r="AY645" s="207"/>
      <c r="AZ645" s="202"/>
      <c r="BA645" s="219"/>
      <c r="BB645" s="207"/>
      <c r="BC645" s="202"/>
      <c r="BD645" s="208"/>
      <c r="BE645" s="202"/>
      <c r="BF645" s="207"/>
      <c r="BG645" s="229"/>
      <c r="BH645" s="321" t="str">
        <f t="shared" ref="BH645:BH708" si="45">IFERROR(IF(BD645-KI645=0,"",BD645-AK645),"")</f>
        <v/>
      </c>
      <c r="BI645" s="98" t="str">
        <f t="shared" ref="BI645:BI708" si="46">IF(AND(AH645&lt;&gt;"SIM",AH645="UH"),"AA","INDENIZAÇÃO")</f>
        <v>AA</v>
      </c>
      <c r="BJ645" s="98" t="str">
        <f t="shared" ref="BJ645:BJ708" si="47">IF(AND(BD645&lt;&gt;"AGUARDANDO",BD645&lt;&gt;"",N645="AUXÍLIO ALUGUEL ATÉ INDENIZAÇÃO"),"SIM","NÃO")</f>
        <v>NÃO</v>
      </c>
      <c r="BK645" s="230"/>
      <c r="BL645" s="230"/>
      <c r="BM645" s="230"/>
      <c r="BN645" s="230"/>
      <c r="BO645" s="230"/>
      <c r="BP645" s="230"/>
      <c r="BQ645" s="230"/>
      <c r="BR645" s="234"/>
    </row>
    <row r="646" spans="1:71" ht="27" hidden="1" customHeight="1">
      <c r="A646" s="207">
        <v>642</v>
      </c>
      <c r="B646" s="197" t="s">
        <v>4396</v>
      </c>
      <c r="C646" s="207" t="s">
        <v>4427</v>
      </c>
      <c r="D646" s="207">
        <v>1</v>
      </c>
      <c r="E646" s="207" t="s">
        <v>4398</v>
      </c>
      <c r="F646" s="214" t="s">
        <v>7166</v>
      </c>
      <c r="G646" s="207" t="s">
        <v>4400</v>
      </c>
      <c r="H646" s="207" t="s">
        <v>4401</v>
      </c>
      <c r="I646" s="217" t="s">
        <v>4402</v>
      </c>
      <c r="J646" s="215" t="s">
        <v>7167</v>
      </c>
      <c r="K646" s="215" t="s">
        <v>7168</v>
      </c>
      <c r="L646" s="215" t="s">
        <v>7169</v>
      </c>
      <c r="M646" s="207" t="s">
        <v>4405</v>
      </c>
      <c r="N646" s="207" t="s">
        <v>4406</v>
      </c>
      <c r="O646" s="202">
        <v>46002</v>
      </c>
      <c r="P646" s="202" t="s">
        <v>4407</v>
      </c>
      <c r="Q646" s="202">
        <v>45999</v>
      </c>
      <c r="R646" s="202">
        <v>46006</v>
      </c>
      <c r="S646" s="202">
        <v>46006</v>
      </c>
      <c r="T646" s="202">
        <v>46009</v>
      </c>
      <c r="U646" s="202" t="s">
        <v>4408</v>
      </c>
      <c r="V646" s="202" t="s">
        <v>4408</v>
      </c>
      <c r="W646" s="202">
        <v>46014</v>
      </c>
      <c r="X646" s="202">
        <v>46020</v>
      </c>
      <c r="Y646" s="202"/>
      <c r="Z646" s="207"/>
      <c r="AA646" s="215" t="s">
        <v>7167</v>
      </c>
      <c r="AB646" s="215" t="s">
        <v>7168</v>
      </c>
      <c r="AC646" s="215" t="s">
        <v>7169</v>
      </c>
      <c r="AD646" s="197" t="s">
        <v>4402</v>
      </c>
      <c r="AE646" s="197" t="s">
        <v>4405</v>
      </c>
      <c r="AF646" s="218" t="s">
        <v>4409</v>
      </c>
      <c r="AG646" s="218" t="s">
        <v>4409</v>
      </c>
      <c r="AH646" s="207" t="s">
        <v>4410</v>
      </c>
      <c r="AI646" s="214" t="s">
        <v>4411</v>
      </c>
      <c r="AJ646" s="207"/>
      <c r="AK646" s="316">
        <v>45986</v>
      </c>
      <c r="AL646" s="316">
        <v>45986</v>
      </c>
      <c r="AM646" s="316">
        <v>45986</v>
      </c>
      <c r="AN646" s="316">
        <v>45986</v>
      </c>
      <c r="AO646" s="316">
        <v>45986</v>
      </c>
      <c r="AP646" s="316">
        <v>45986</v>
      </c>
      <c r="AQ646" s="314"/>
      <c r="AR646" s="315" t="str">
        <f t="shared" ref="AR646:AR709" si="48">IF(AQ646="SIM","AGUARDANDO CORREÇÃO",IF(AP646&lt;&gt;"","FINALIZADO",IF(AO646&lt;&gt;"","AGUARDANDO ENVIO DTS",IF(AN646&lt;&gt;"","AGUARDANDO ASSINATURA GAB",IF(AM646&lt;&gt;"","AGUARDANDO ASSINATURA CTS",IF(AL646&lt;&gt;"","AGUARDANDO ENVIO ASSINATURA CTS",IF(AK646&lt;&gt;"","AGUARDANDO CONFERÊNCIA","")))))))</f>
        <v>FINALIZADO</v>
      </c>
      <c r="AS646" s="207"/>
      <c r="AT646" s="207"/>
      <c r="AU646" s="225"/>
      <c r="AV646" s="207"/>
      <c r="AW646" s="207"/>
      <c r="AX646" s="207"/>
      <c r="AY646" s="207"/>
      <c r="AZ646" s="202"/>
      <c r="BA646" s="219"/>
      <c r="BB646" s="207"/>
      <c r="BC646" s="202"/>
      <c r="BD646" s="208"/>
      <c r="BE646" s="202"/>
      <c r="BF646" s="207"/>
      <c r="BG646" s="229"/>
      <c r="BH646" s="321" t="str">
        <f t="shared" si="45"/>
        <v/>
      </c>
      <c r="BI646" s="98" t="str">
        <f t="shared" si="46"/>
        <v>AA</v>
      </c>
      <c r="BJ646" s="98" t="str">
        <f t="shared" si="47"/>
        <v>NÃO</v>
      </c>
      <c r="BK646" s="230"/>
      <c r="BL646" s="230"/>
      <c r="BM646" s="230"/>
      <c r="BN646" s="230"/>
      <c r="BO646" s="230"/>
      <c r="BP646" s="230"/>
      <c r="BQ646" s="230"/>
      <c r="BR646" s="234"/>
    </row>
    <row r="647" spans="1:71" ht="27" hidden="1" customHeight="1">
      <c r="A647" s="207">
        <v>643</v>
      </c>
      <c r="B647" s="197" t="s">
        <v>4396</v>
      </c>
      <c r="C647" s="207" t="s">
        <v>4427</v>
      </c>
      <c r="D647" s="207">
        <v>1</v>
      </c>
      <c r="E647" s="207" t="s">
        <v>4398</v>
      </c>
      <c r="F647" s="214" t="s">
        <v>7170</v>
      </c>
      <c r="G647" s="207" t="s">
        <v>4400</v>
      </c>
      <c r="H647" s="207" t="s">
        <v>4401</v>
      </c>
      <c r="I647" s="217" t="s">
        <v>4402</v>
      </c>
      <c r="J647" s="215" t="s">
        <v>7171</v>
      </c>
      <c r="K647" s="215" t="s">
        <v>7172</v>
      </c>
      <c r="L647" s="215" t="s">
        <v>7173</v>
      </c>
      <c r="M647" s="207" t="s">
        <v>4405</v>
      </c>
      <c r="N647" s="207" t="s">
        <v>4406</v>
      </c>
      <c r="O647" s="202">
        <v>46065</v>
      </c>
      <c r="P647" s="203" t="s">
        <v>4407</v>
      </c>
      <c r="Q647" s="202">
        <v>46072</v>
      </c>
      <c r="R647" s="203">
        <v>46072</v>
      </c>
      <c r="S647" s="203">
        <v>46080</v>
      </c>
      <c r="T647" s="202">
        <v>46083</v>
      </c>
      <c r="U647" s="202" t="s">
        <v>4408</v>
      </c>
      <c r="V647" s="202" t="s">
        <v>4408</v>
      </c>
      <c r="W647" s="203">
        <v>46055</v>
      </c>
      <c r="X647" s="203">
        <v>46091</v>
      </c>
      <c r="Y647" s="202"/>
      <c r="Z647" s="207"/>
      <c r="AA647" s="215" t="s">
        <v>7171</v>
      </c>
      <c r="AB647" s="215" t="s">
        <v>7172</v>
      </c>
      <c r="AC647" s="215" t="s">
        <v>7173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45988</v>
      </c>
      <c r="AL647" s="316">
        <v>45988</v>
      </c>
      <c r="AM647" s="316">
        <v>45988</v>
      </c>
      <c r="AN647" s="316">
        <v>45988</v>
      </c>
      <c r="AO647" s="316">
        <v>45988</v>
      </c>
      <c r="AP647" s="316">
        <v>45988</v>
      </c>
      <c r="AQ647" s="314"/>
      <c r="AR647" s="315" t="str">
        <f t="shared" si="48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5"/>
        <v/>
      </c>
      <c r="BI647" s="98" t="str">
        <f t="shared" si="46"/>
        <v>AA</v>
      </c>
      <c r="BJ647" s="98" t="str">
        <f t="shared" si="47"/>
        <v>NÃO</v>
      </c>
      <c r="BK647" s="230"/>
      <c r="BL647" s="230"/>
      <c r="BM647" s="230"/>
      <c r="BN647" s="230"/>
      <c r="BO647" s="230"/>
      <c r="BP647" s="230"/>
      <c r="BQ647" s="230"/>
      <c r="BR647" s="234"/>
    </row>
    <row r="648" spans="1:71" ht="27" hidden="1" customHeight="1">
      <c r="A648" s="207">
        <v>644</v>
      </c>
      <c r="B648" s="197" t="s">
        <v>4396</v>
      </c>
      <c r="C648" s="207" t="s">
        <v>4427</v>
      </c>
      <c r="D648" s="207">
        <v>1</v>
      </c>
      <c r="E648" s="207" t="s">
        <v>4398</v>
      </c>
      <c r="F648" s="214" t="s">
        <v>7174</v>
      </c>
      <c r="G648" s="207" t="s">
        <v>4400</v>
      </c>
      <c r="H648" s="207" t="s">
        <v>4401</v>
      </c>
      <c r="I648" s="217" t="s">
        <v>4402</v>
      </c>
      <c r="J648" s="215" t="s">
        <v>7175</v>
      </c>
      <c r="K648" s="215" t="s">
        <v>7176</v>
      </c>
      <c r="L648" s="215" t="s">
        <v>7177</v>
      </c>
      <c r="M648" s="207" t="s">
        <v>4405</v>
      </c>
      <c r="N648" s="207" t="s">
        <v>4406</v>
      </c>
      <c r="O648" s="202">
        <v>46002</v>
      </c>
      <c r="P648" s="202" t="s">
        <v>4407</v>
      </c>
      <c r="Q648" s="202">
        <v>45999</v>
      </c>
      <c r="R648" s="202">
        <v>46006</v>
      </c>
      <c r="S648" s="202">
        <v>46006</v>
      </c>
      <c r="T648" s="202">
        <v>46009</v>
      </c>
      <c r="U648" s="202" t="s">
        <v>4408</v>
      </c>
      <c r="V648" s="202" t="s">
        <v>4408</v>
      </c>
      <c r="W648" s="202">
        <v>46014</v>
      </c>
      <c r="X648" s="202">
        <v>46020</v>
      </c>
      <c r="Y648" s="202"/>
      <c r="Z648" s="207"/>
      <c r="AA648" s="215" t="s">
        <v>7175</v>
      </c>
      <c r="AB648" s="215" t="s">
        <v>7176</v>
      </c>
      <c r="AC648" s="215" t="s">
        <v>7177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6">
        <v>45996</v>
      </c>
      <c r="AL648" s="316">
        <v>45996</v>
      </c>
      <c r="AM648" s="316">
        <v>45996</v>
      </c>
      <c r="AN648" s="316">
        <v>45996</v>
      </c>
      <c r="AO648" s="316">
        <v>45996</v>
      </c>
      <c r="AP648" s="316">
        <v>45996</v>
      </c>
      <c r="AQ648" s="314"/>
      <c r="AR648" s="315" t="str">
        <f t="shared" si="48"/>
        <v>FINALIZADO</v>
      </c>
      <c r="AS648" s="207"/>
      <c r="AT648" s="207"/>
      <c r="AU648" s="225"/>
      <c r="AV648" s="160"/>
      <c r="AW648" s="207"/>
      <c r="AX648" s="207"/>
      <c r="AY648" s="207"/>
      <c r="AZ648" s="202"/>
      <c r="BA648" s="219"/>
      <c r="BB648" s="207"/>
      <c r="BC648" s="202"/>
      <c r="BD648" s="208"/>
      <c r="BE648" s="202"/>
      <c r="BF648" s="207"/>
      <c r="BG648" s="229"/>
      <c r="BH648" s="321" t="str">
        <f t="shared" si="45"/>
        <v/>
      </c>
      <c r="BI648" s="98" t="str">
        <f t="shared" si="46"/>
        <v>AA</v>
      </c>
      <c r="BJ648" s="98" t="str">
        <f t="shared" si="47"/>
        <v>NÃO</v>
      </c>
      <c r="BK648" s="230"/>
      <c r="BL648" s="230"/>
      <c r="BM648" s="230"/>
      <c r="BN648" s="230"/>
      <c r="BO648" s="230"/>
      <c r="BP648" s="230"/>
      <c r="BQ648" s="230"/>
      <c r="BR648" s="234"/>
    </row>
    <row r="649" spans="1:71" ht="27" hidden="1" customHeight="1">
      <c r="A649" s="197">
        <v>645</v>
      </c>
      <c r="B649" s="197" t="s">
        <v>4396</v>
      </c>
      <c r="C649" s="207" t="s">
        <v>4427</v>
      </c>
      <c r="D649" s="207">
        <v>1</v>
      </c>
      <c r="E649" s="207" t="s">
        <v>4398</v>
      </c>
      <c r="F649" s="214" t="s">
        <v>7178</v>
      </c>
      <c r="G649" s="219" t="s">
        <v>4545</v>
      </c>
      <c r="H649" s="207" t="s">
        <v>4546</v>
      </c>
      <c r="I649" s="233" t="s">
        <v>4421</v>
      </c>
      <c r="J649" s="215" t="s">
        <v>7179</v>
      </c>
      <c r="K649" s="215" t="s">
        <v>7180</v>
      </c>
      <c r="L649" s="215" t="s">
        <v>7181</v>
      </c>
      <c r="M649" s="207" t="s">
        <v>4405</v>
      </c>
      <c r="N649" s="207" t="s">
        <v>4442</v>
      </c>
      <c r="O649" s="202" t="s">
        <v>4409</v>
      </c>
      <c r="P649" s="202" t="s">
        <v>4409</v>
      </c>
      <c r="Q649" s="202" t="s">
        <v>4409</v>
      </c>
      <c r="R649" s="202" t="s">
        <v>4409</v>
      </c>
      <c r="S649" s="202" t="s">
        <v>4409</v>
      </c>
      <c r="T649" s="202" t="s">
        <v>4409</v>
      </c>
      <c r="U649" s="202" t="s">
        <v>4409</v>
      </c>
      <c r="V649" s="202" t="s">
        <v>4409</v>
      </c>
      <c r="W649" s="202" t="s">
        <v>4409</v>
      </c>
      <c r="X649" s="202" t="s">
        <v>4409</v>
      </c>
      <c r="Y649" s="202"/>
      <c r="Z649" s="202"/>
      <c r="AA649" s="215" t="s">
        <v>7179</v>
      </c>
      <c r="AB649" s="215" t="s">
        <v>7180</v>
      </c>
      <c r="AC649" s="215" t="s">
        <v>7181</v>
      </c>
      <c r="AD649" s="233" t="s">
        <v>4421</v>
      </c>
      <c r="AE649" s="207" t="s">
        <v>4405</v>
      </c>
      <c r="AF649" s="218">
        <v>9923.85</v>
      </c>
      <c r="AG649" s="218">
        <v>9923.85</v>
      </c>
      <c r="AH649" s="207" t="s">
        <v>4433</v>
      </c>
      <c r="AI649" s="214" t="s">
        <v>4411</v>
      </c>
      <c r="AJ649" s="207">
        <v>151380424</v>
      </c>
      <c r="AK649" s="316">
        <v>46106</v>
      </c>
      <c r="AL649" s="316">
        <v>46106</v>
      </c>
      <c r="AM649" s="316">
        <v>46106</v>
      </c>
      <c r="AN649" s="316">
        <v>46106</v>
      </c>
      <c r="AO649" s="316">
        <v>46106</v>
      </c>
      <c r="AP649" s="316">
        <v>46106</v>
      </c>
      <c r="AQ649" s="314"/>
      <c r="AR649" s="315" t="str">
        <f t="shared" si="48"/>
        <v>FINALIZADO</v>
      </c>
      <c r="AS649" s="207" t="s">
        <v>4423</v>
      </c>
      <c r="AT649" s="207"/>
      <c r="AU649" s="225" t="s">
        <v>7182</v>
      </c>
      <c r="AV649" s="270" t="s">
        <v>4425</v>
      </c>
      <c r="AW649" s="250" t="s">
        <v>4425</v>
      </c>
      <c r="AX649" s="207" t="s">
        <v>4425</v>
      </c>
      <c r="AY649" s="207" t="s">
        <v>4425</v>
      </c>
      <c r="AZ649" s="202">
        <v>46150</v>
      </c>
      <c r="BA649" s="207" t="s">
        <v>4425</v>
      </c>
      <c r="BB649" s="207" t="s">
        <v>4425</v>
      </c>
      <c r="BC649" s="202">
        <v>46157</v>
      </c>
      <c r="BD649" s="227">
        <v>46157</v>
      </c>
      <c r="BE649" s="227" t="s">
        <v>4435</v>
      </c>
      <c r="BF649" s="245" t="s">
        <v>4436</v>
      </c>
      <c r="BG649" s="229" t="s">
        <v>4425</v>
      </c>
      <c r="BH649" s="321">
        <f t="shared" si="45"/>
        <v>51</v>
      </c>
      <c r="BI649" s="98" t="str">
        <f t="shared" si="46"/>
        <v>INDENIZAÇÃO</v>
      </c>
      <c r="BJ649" s="98" t="str">
        <f t="shared" si="47"/>
        <v>NÃO</v>
      </c>
      <c r="BK649" s="230" t="s">
        <v>4437</v>
      </c>
      <c r="BL649" s="230" t="s">
        <v>4437</v>
      </c>
      <c r="BM649" s="230" t="s">
        <v>4437</v>
      </c>
      <c r="BN649" s="265" t="s">
        <v>5732</v>
      </c>
      <c r="BO649" s="265"/>
      <c r="BP649" s="265"/>
      <c r="BQ649" s="265"/>
      <c r="BR649" s="231"/>
      <c r="BS649" s="223"/>
    </row>
    <row r="650" spans="1:71" ht="27" hidden="1" customHeight="1">
      <c r="A650" s="197">
        <v>646</v>
      </c>
      <c r="B650" s="197" t="s">
        <v>4396</v>
      </c>
      <c r="C650" s="207" t="s">
        <v>4427</v>
      </c>
      <c r="D650" s="207">
        <v>1</v>
      </c>
      <c r="E650" s="207" t="s">
        <v>4398</v>
      </c>
      <c r="F650" s="214" t="s">
        <v>7183</v>
      </c>
      <c r="G650" s="160" t="s">
        <v>4400</v>
      </c>
      <c r="H650" s="207" t="s">
        <v>4401</v>
      </c>
      <c r="I650" s="249" t="s">
        <v>4402</v>
      </c>
      <c r="J650" s="215" t="s">
        <v>7184</v>
      </c>
      <c r="K650" s="215" t="s">
        <v>7185</v>
      </c>
      <c r="L650" s="215" t="s">
        <v>7186</v>
      </c>
      <c r="M650" s="207" t="s">
        <v>4405</v>
      </c>
      <c r="N650" s="207" t="s">
        <v>4406</v>
      </c>
      <c r="O650" s="203">
        <v>46044</v>
      </c>
      <c r="P650" s="203" t="s">
        <v>4407</v>
      </c>
      <c r="Q650" s="203">
        <v>46043</v>
      </c>
      <c r="R650" s="203">
        <v>46044</v>
      </c>
      <c r="S650" s="203">
        <v>46045</v>
      </c>
      <c r="T650" s="203">
        <v>46155</v>
      </c>
      <c r="U650" s="202" t="s">
        <v>4408</v>
      </c>
      <c r="V650" s="202" t="s">
        <v>4408</v>
      </c>
      <c r="W650" s="202">
        <v>46055</v>
      </c>
      <c r="X650" s="202">
        <v>46087</v>
      </c>
      <c r="Y650" s="202"/>
      <c r="Z650" s="207"/>
      <c r="AA650" s="215" t="s">
        <v>7184</v>
      </c>
      <c r="AB650" s="215" t="s">
        <v>7185</v>
      </c>
      <c r="AC650" s="215" t="s">
        <v>7186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46041</v>
      </c>
      <c r="AL650" s="316">
        <v>46041</v>
      </c>
      <c r="AM650" s="316">
        <v>46041</v>
      </c>
      <c r="AN650" s="316">
        <v>46041</v>
      </c>
      <c r="AO650" s="316">
        <v>46041</v>
      </c>
      <c r="AP650" s="316">
        <v>46041</v>
      </c>
      <c r="AQ650" s="314"/>
      <c r="AR650" s="315" t="str">
        <f t="shared" si="48"/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1" ht="27" hidden="1" customHeight="1">
      <c r="A651" s="207">
        <v>647</v>
      </c>
      <c r="B651" s="197" t="s">
        <v>4396</v>
      </c>
      <c r="C651" s="207" t="s">
        <v>4427</v>
      </c>
      <c r="D651" s="207">
        <v>1</v>
      </c>
      <c r="E651" s="207" t="s">
        <v>4398</v>
      </c>
      <c r="F651" s="214" t="s">
        <v>7187</v>
      </c>
      <c r="G651" s="207" t="s">
        <v>4400</v>
      </c>
      <c r="H651" s="207" t="s">
        <v>4401</v>
      </c>
      <c r="I651" s="217" t="s">
        <v>4402</v>
      </c>
      <c r="J651" s="215" t="s">
        <v>7188</v>
      </c>
      <c r="K651" s="215" t="s">
        <v>7189</v>
      </c>
      <c r="L651" s="215" t="s">
        <v>7190</v>
      </c>
      <c r="M651" s="207" t="s">
        <v>4405</v>
      </c>
      <c r="N651" s="207" t="s">
        <v>4406</v>
      </c>
      <c r="O651" s="202">
        <v>45986</v>
      </c>
      <c r="P651" s="203" t="s">
        <v>4407</v>
      </c>
      <c r="Q651" s="203">
        <v>45985</v>
      </c>
      <c r="R651" s="203">
        <v>45986</v>
      </c>
      <c r="S651" s="203">
        <v>45987</v>
      </c>
      <c r="T651" s="203">
        <v>45992</v>
      </c>
      <c r="U651" s="202" t="s">
        <v>4408</v>
      </c>
      <c r="V651" s="202" t="s">
        <v>4408</v>
      </c>
      <c r="W651" s="202">
        <v>45999</v>
      </c>
      <c r="X651" s="202">
        <v>46001</v>
      </c>
      <c r="Y651" s="202"/>
      <c r="Z651" s="207"/>
      <c r="AA651" s="215" t="s">
        <v>7188</v>
      </c>
      <c r="AB651" s="215" t="s">
        <v>7189</v>
      </c>
      <c r="AC651" s="215" t="s">
        <v>7190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41" t="s">
        <v>4410</v>
      </c>
      <c r="AI651" s="214" t="s">
        <v>4411</v>
      </c>
      <c r="AJ651" s="207"/>
      <c r="AK651" s="316">
        <v>45980</v>
      </c>
      <c r="AL651" s="316">
        <v>45980</v>
      </c>
      <c r="AM651" s="316">
        <v>45980</v>
      </c>
      <c r="AN651" s="316">
        <v>45980</v>
      </c>
      <c r="AO651" s="316">
        <v>45980</v>
      </c>
      <c r="AP651" s="316">
        <v>45980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 t="s">
        <v>4409</v>
      </c>
      <c r="AY651" s="207" t="s">
        <v>4409</v>
      </c>
      <c r="AZ651" s="207" t="s">
        <v>4409</v>
      </c>
      <c r="BA651" s="207" t="s">
        <v>4409</v>
      </c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1" ht="27" hidden="1" customHeight="1">
      <c r="A652" s="207">
        <v>648</v>
      </c>
      <c r="B652" s="197" t="s">
        <v>4396</v>
      </c>
      <c r="C652" s="207" t="s">
        <v>4427</v>
      </c>
      <c r="D652" s="207">
        <v>1</v>
      </c>
      <c r="E652" s="207" t="s">
        <v>4398</v>
      </c>
      <c r="F652" s="214" t="s">
        <v>7191</v>
      </c>
      <c r="G652" s="207" t="s">
        <v>4400</v>
      </c>
      <c r="H652" s="207" t="s">
        <v>4401</v>
      </c>
      <c r="I652" s="217" t="s">
        <v>7022</v>
      </c>
      <c r="J652" s="215" t="s">
        <v>7192</v>
      </c>
      <c r="K652" s="215" t="s">
        <v>7193</v>
      </c>
      <c r="L652" s="215" t="s">
        <v>7194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46024</v>
      </c>
      <c r="Y652" s="202"/>
      <c r="Z652" s="207"/>
      <c r="AA652" s="215" t="s">
        <v>7192</v>
      </c>
      <c r="AB652" s="215" t="s">
        <v>7193</v>
      </c>
      <c r="AC652" s="215" t="s">
        <v>7194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197" t="s">
        <v>4410</v>
      </c>
      <c r="AI652" s="214" t="s">
        <v>4411</v>
      </c>
      <c r="AJ652" s="207"/>
      <c r="AK652" s="316">
        <v>45980</v>
      </c>
      <c r="AL652" s="316">
        <v>45980</v>
      </c>
      <c r="AM652" s="316">
        <v>45980</v>
      </c>
      <c r="AN652" s="316">
        <v>45980</v>
      </c>
      <c r="AO652" s="316">
        <v>45980</v>
      </c>
      <c r="AP652" s="316">
        <v>45980</v>
      </c>
      <c r="AQ652" s="314"/>
      <c r="AR652" s="315" t="str">
        <f t="shared" si="48"/>
        <v>FINALIZADO</v>
      </c>
      <c r="AS652" s="207"/>
      <c r="AT652" s="207"/>
      <c r="AU652" s="225"/>
      <c r="AV652" s="207"/>
      <c r="AW652" s="207"/>
      <c r="AX652" s="207"/>
      <c r="AY652" s="207"/>
      <c r="AZ652" s="202"/>
      <c r="BA652" s="219"/>
      <c r="BB652" s="160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1" ht="27" hidden="1" customHeight="1">
      <c r="A653" s="207">
        <v>649</v>
      </c>
      <c r="B653" s="197" t="s">
        <v>4396</v>
      </c>
      <c r="C653" s="207" t="s">
        <v>4427</v>
      </c>
      <c r="D653" s="207">
        <v>1</v>
      </c>
      <c r="E653" s="207" t="s">
        <v>4398</v>
      </c>
      <c r="F653" s="214" t="s">
        <v>7195</v>
      </c>
      <c r="G653" s="207" t="s">
        <v>4400</v>
      </c>
      <c r="H653" s="207" t="s">
        <v>4401</v>
      </c>
      <c r="I653" s="217" t="s">
        <v>4414</v>
      </c>
      <c r="J653" s="215" t="s">
        <v>7196</v>
      </c>
      <c r="K653" s="215" t="s">
        <v>7197</v>
      </c>
      <c r="L653" s="215" t="s">
        <v>7198</v>
      </c>
      <c r="M653" s="207" t="s">
        <v>4405</v>
      </c>
      <c r="N653" s="207" t="s">
        <v>4406</v>
      </c>
      <c r="O653" s="202">
        <v>46217</v>
      </c>
      <c r="P653" s="202"/>
      <c r="Q653" s="202"/>
      <c r="R653" s="202"/>
      <c r="S653" s="202"/>
      <c r="T653" s="202"/>
      <c r="U653" s="202"/>
      <c r="V653" s="202"/>
      <c r="W653" s="202"/>
      <c r="X653" s="202"/>
      <c r="Y653" s="202"/>
      <c r="Z653" s="202"/>
      <c r="AA653" s="215" t="s">
        <v>7199</v>
      </c>
      <c r="AB653" s="215" t="s">
        <v>7200</v>
      </c>
      <c r="AC653" s="215" t="s">
        <v>7201</v>
      </c>
      <c r="AD653" s="217" t="s">
        <v>4421</v>
      </c>
      <c r="AE653" s="217" t="s">
        <v>4402</v>
      </c>
      <c r="AF653" s="218">
        <v>117246.92</v>
      </c>
      <c r="AG653" s="218">
        <v>117246.92</v>
      </c>
      <c r="AH653" s="207" t="s">
        <v>4422</v>
      </c>
      <c r="AI653" s="214" t="s">
        <v>4411</v>
      </c>
      <c r="AJ653" s="207">
        <v>151553351</v>
      </c>
      <c r="AK653" s="316">
        <v>46094</v>
      </c>
      <c r="AL653" s="316">
        <v>46094</v>
      </c>
      <c r="AM653" s="316">
        <v>46094</v>
      </c>
      <c r="AN653" s="316">
        <v>46094</v>
      </c>
      <c r="AO653" s="316">
        <v>46094</v>
      </c>
      <c r="AP653" s="316">
        <v>46094</v>
      </c>
      <c r="AQ653" s="314"/>
      <c r="AR653" s="315" t="str">
        <f t="shared" si="48"/>
        <v>FINALIZADO</v>
      </c>
      <c r="AS653" s="207" t="s">
        <v>4423</v>
      </c>
      <c r="AT653" s="219"/>
      <c r="AU653" s="225" t="s">
        <v>7202</v>
      </c>
      <c r="AV653" s="207" t="s">
        <v>4425</v>
      </c>
      <c r="AW653" s="207" t="s">
        <v>4425</v>
      </c>
      <c r="AX653" s="207" t="s">
        <v>4425</v>
      </c>
      <c r="AY653" s="207" t="s">
        <v>4425</v>
      </c>
      <c r="AZ653" s="202">
        <v>46170</v>
      </c>
      <c r="BA653" s="207" t="s">
        <v>4425</v>
      </c>
      <c r="BB653" s="207" t="s">
        <v>4425</v>
      </c>
      <c r="BC653" s="202">
        <v>46182</v>
      </c>
      <c r="BD653" s="227">
        <v>46179</v>
      </c>
      <c r="BE653" s="227" t="s">
        <v>4435</v>
      </c>
      <c r="BF653" s="228" t="s">
        <v>4436</v>
      </c>
      <c r="BG653" s="219" t="s">
        <v>4425</v>
      </c>
      <c r="BH653" s="321">
        <f t="shared" si="45"/>
        <v>85</v>
      </c>
      <c r="BI653" s="98" t="str">
        <f t="shared" si="46"/>
        <v>INDENIZAÇÃO</v>
      </c>
      <c r="BJ653" s="98" t="str">
        <f t="shared" si="47"/>
        <v>NÃO</v>
      </c>
      <c r="BK653" s="219" t="s">
        <v>4437</v>
      </c>
      <c r="BL653" s="219" t="s">
        <v>4437</v>
      </c>
      <c r="BM653" s="219" t="s">
        <v>4437</v>
      </c>
      <c r="BN653" s="265" t="s">
        <v>5732</v>
      </c>
      <c r="BO653" s="257"/>
      <c r="BP653" s="257"/>
      <c r="BQ653" s="257"/>
      <c r="BR653" s="258"/>
    </row>
    <row r="654" spans="1:71" ht="27" hidden="1" customHeight="1">
      <c r="A654" s="197">
        <v>650</v>
      </c>
      <c r="B654" s="197" t="s">
        <v>4396</v>
      </c>
      <c r="C654" s="207" t="s">
        <v>4427</v>
      </c>
      <c r="D654" s="207">
        <v>1</v>
      </c>
      <c r="E654" s="207" t="s">
        <v>4398</v>
      </c>
      <c r="F654" s="214" t="s">
        <v>7203</v>
      </c>
      <c r="G654" s="207" t="s">
        <v>4400</v>
      </c>
      <c r="H654" s="207" t="s">
        <v>4401</v>
      </c>
      <c r="I654" s="217" t="s">
        <v>4402</v>
      </c>
      <c r="J654" s="215" t="s">
        <v>7204</v>
      </c>
      <c r="K654" s="215" t="s">
        <v>7205</v>
      </c>
      <c r="L654" s="215" t="s">
        <v>7206</v>
      </c>
      <c r="M654" s="207" t="s">
        <v>4405</v>
      </c>
      <c r="N654" s="207" t="s">
        <v>4442</v>
      </c>
      <c r="O654" s="202" t="s">
        <v>4409</v>
      </c>
      <c r="P654" s="202" t="s">
        <v>4409</v>
      </c>
      <c r="Q654" s="202" t="s">
        <v>4409</v>
      </c>
      <c r="R654" s="202" t="s">
        <v>4409</v>
      </c>
      <c r="S654" s="202" t="s">
        <v>4409</v>
      </c>
      <c r="T654" s="202" t="s">
        <v>4409</v>
      </c>
      <c r="U654" s="202" t="s">
        <v>4409</v>
      </c>
      <c r="V654" s="202" t="s">
        <v>4409</v>
      </c>
      <c r="W654" s="202" t="s">
        <v>4409</v>
      </c>
      <c r="X654" s="202" t="s">
        <v>4409</v>
      </c>
      <c r="Y654" s="202"/>
      <c r="Z654" s="202"/>
      <c r="AA654" s="215" t="s">
        <v>7204</v>
      </c>
      <c r="AB654" s="215" t="s">
        <v>7205</v>
      </c>
      <c r="AC654" s="215" t="s">
        <v>7206</v>
      </c>
      <c r="AD654" s="197" t="s">
        <v>4402</v>
      </c>
      <c r="AE654" s="197" t="s">
        <v>4405</v>
      </c>
      <c r="AF654" s="243">
        <v>208913.76</v>
      </c>
      <c r="AG654" s="243">
        <v>208913.76</v>
      </c>
      <c r="AH654" s="197" t="s">
        <v>4422</v>
      </c>
      <c r="AI654" s="214" t="s">
        <v>4411</v>
      </c>
      <c r="AJ654" s="207">
        <v>153362453</v>
      </c>
      <c r="AK654" s="316">
        <v>46106</v>
      </c>
      <c r="AL654" s="316">
        <v>46106</v>
      </c>
      <c r="AM654" s="316">
        <v>46106</v>
      </c>
      <c r="AN654" s="316">
        <v>46106</v>
      </c>
      <c r="AO654" s="316">
        <v>46106</v>
      </c>
      <c r="AP654" s="316">
        <v>46106</v>
      </c>
      <c r="AQ654" s="314"/>
      <c r="AR654" s="315" t="str">
        <f t="shared" si="48"/>
        <v>FINALIZADO</v>
      </c>
      <c r="AS654" s="207" t="s">
        <v>4423</v>
      </c>
      <c r="AT654" s="207"/>
      <c r="AU654" s="225" t="s">
        <v>7207</v>
      </c>
      <c r="AV654" s="207" t="s">
        <v>4425</v>
      </c>
      <c r="AW654" s="207" t="s">
        <v>4425</v>
      </c>
      <c r="AX654" s="207" t="s">
        <v>4425</v>
      </c>
      <c r="AY654" s="207" t="s">
        <v>4425</v>
      </c>
      <c r="AZ654" s="202">
        <v>46153</v>
      </c>
      <c r="BA654" s="207" t="s">
        <v>4425</v>
      </c>
      <c r="BB654" s="207" t="s">
        <v>4425</v>
      </c>
      <c r="BC654" s="202">
        <v>46157</v>
      </c>
      <c r="BD654" s="227">
        <v>46157</v>
      </c>
      <c r="BE654" s="227" t="s">
        <v>4435</v>
      </c>
      <c r="BF654" s="245" t="s">
        <v>4436</v>
      </c>
      <c r="BG654" s="229" t="s">
        <v>4425</v>
      </c>
      <c r="BH654" s="321">
        <f t="shared" si="45"/>
        <v>51</v>
      </c>
      <c r="BI654" s="98" t="str">
        <f t="shared" si="46"/>
        <v>INDENIZAÇÃO</v>
      </c>
      <c r="BJ654" s="98" t="str">
        <f t="shared" si="47"/>
        <v>NÃO</v>
      </c>
      <c r="BK654" s="230" t="s">
        <v>4437</v>
      </c>
      <c r="BL654" s="230" t="s">
        <v>4437</v>
      </c>
      <c r="BM654" s="230" t="s">
        <v>4437</v>
      </c>
      <c r="BN654" s="265" t="s">
        <v>5732</v>
      </c>
      <c r="BO654" s="265"/>
      <c r="BP654" s="265"/>
      <c r="BQ654" s="265"/>
      <c r="BR654" s="231"/>
      <c r="BS654" s="223"/>
    </row>
    <row r="655" spans="1:71" ht="27" hidden="1" customHeight="1">
      <c r="A655" s="197">
        <v>651</v>
      </c>
      <c r="B655" s="197" t="s">
        <v>4396</v>
      </c>
      <c r="C655" s="207" t="s">
        <v>4427</v>
      </c>
      <c r="D655" s="207">
        <v>1</v>
      </c>
      <c r="E655" s="207" t="s">
        <v>4398</v>
      </c>
      <c r="F655" s="214" t="s">
        <v>7208</v>
      </c>
      <c r="G655" s="207" t="s">
        <v>4400</v>
      </c>
      <c r="H655" s="207" t="s">
        <v>4401</v>
      </c>
      <c r="I655" s="217" t="s">
        <v>4402</v>
      </c>
      <c r="J655" s="215" t="s">
        <v>7209</v>
      </c>
      <c r="K655" s="215" t="s">
        <v>7210</v>
      </c>
      <c r="L655" s="215" t="s">
        <v>7211</v>
      </c>
      <c r="M655" s="207" t="s">
        <v>4405</v>
      </c>
      <c r="N655" s="207" t="s">
        <v>4406</v>
      </c>
      <c r="O655" s="202">
        <v>46002</v>
      </c>
      <c r="P655" s="202" t="s">
        <v>4407</v>
      </c>
      <c r="Q655" s="202">
        <v>45999</v>
      </c>
      <c r="R655" s="202">
        <v>46006</v>
      </c>
      <c r="S655" s="202">
        <v>46006</v>
      </c>
      <c r="T655" s="202">
        <v>46009</v>
      </c>
      <c r="U655" s="202" t="s">
        <v>4408</v>
      </c>
      <c r="V655" s="202" t="s">
        <v>4408</v>
      </c>
      <c r="W655" s="202">
        <v>46014</v>
      </c>
      <c r="X655" s="202">
        <v>46020</v>
      </c>
      <c r="Y655" s="202"/>
      <c r="Z655" s="207"/>
      <c r="AA655" s="215" t="s">
        <v>7209</v>
      </c>
      <c r="AB655" s="215" t="s">
        <v>7210</v>
      </c>
      <c r="AC655" s="215" t="s">
        <v>7211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197" t="s">
        <v>4410</v>
      </c>
      <c r="AI655" s="214" t="s">
        <v>4411</v>
      </c>
      <c r="AJ655" s="207"/>
      <c r="AK655" s="316">
        <v>45996</v>
      </c>
      <c r="AL655" s="316">
        <v>45996</v>
      </c>
      <c r="AM655" s="316">
        <v>45996</v>
      </c>
      <c r="AN655" s="316">
        <v>45996</v>
      </c>
      <c r="AO655" s="316">
        <v>45996</v>
      </c>
      <c r="AP655" s="316">
        <v>45996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/>
      <c r="AY655" s="207"/>
      <c r="AZ655" s="202"/>
      <c r="BA655" s="219"/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1" ht="27" hidden="1" customHeight="1">
      <c r="A656" s="207">
        <v>652</v>
      </c>
      <c r="B656" s="197" t="s">
        <v>4396</v>
      </c>
      <c r="C656" s="207" t="s">
        <v>4427</v>
      </c>
      <c r="D656" s="207">
        <v>1</v>
      </c>
      <c r="E656" s="207" t="s">
        <v>4398</v>
      </c>
      <c r="F656" s="214" t="s">
        <v>7212</v>
      </c>
      <c r="G656" s="207" t="s">
        <v>4400</v>
      </c>
      <c r="H656" s="207" t="s">
        <v>4401</v>
      </c>
      <c r="I656" s="217" t="s">
        <v>4414</v>
      </c>
      <c r="J656" s="215" t="s">
        <v>7213</v>
      </c>
      <c r="K656" s="215" t="s">
        <v>6591</v>
      </c>
      <c r="L656" s="215" t="s">
        <v>7214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46020</v>
      </c>
      <c r="Y656" s="202"/>
      <c r="Z656" s="207"/>
      <c r="AA656" s="215" t="s">
        <v>7215</v>
      </c>
      <c r="AB656" s="215" t="s">
        <v>7216</v>
      </c>
      <c r="AC656" s="215" t="s">
        <v>7217</v>
      </c>
      <c r="AD656" s="217" t="s">
        <v>4421</v>
      </c>
      <c r="AE656" s="207" t="s">
        <v>4405</v>
      </c>
      <c r="AF656" s="218">
        <v>24631.83</v>
      </c>
      <c r="AG656" s="218">
        <v>24631.83</v>
      </c>
      <c r="AH656" s="207" t="s">
        <v>4433</v>
      </c>
      <c r="AI656" s="214" t="s">
        <v>4411</v>
      </c>
      <c r="AJ656" s="207">
        <v>150959722</v>
      </c>
      <c r="AK656" s="316">
        <v>46079</v>
      </c>
      <c r="AL656" s="316">
        <v>46079</v>
      </c>
      <c r="AM656" s="316">
        <v>46079</v>
      </c>
      <c r="AN656" s="316">
        <v>46079</v>
      </c>
      <c r="AO656" s="316">
        <v>46079</v>
      </c>
      <c r="AP656" s="316">
        <v>46079</v>
      </c>
      <c r="AQ656" s="314"/>
      <c r="AR656" s="315" t="str">
        <f t="shared" si="48"/>
        <v>FINALIZADO</v>
      </c>
      <c r="AS656" s="207" t="s">
        <v>4423</v>
      </c>
      <c r="AT656" s="207"/>
      <c r="AU656" s="225" t="s">
        <v>7218</v>
      </c>
      <c r="AV656" s="207" t="s">
        <v>4425</v>
      </c>
      <c r="AW656" s="207" t="s">
        <v>4425</v>
      </c>
      <c r="AX656" s="207" t="s">
        <v>4425</v>
      </c>
      <c r="AY656" s="207" t="s">
        <v>4425</v>
      </c>
      <c r="AZ656" s="202">
        <v>46170</v>
      </c>
      <c r="BA656" s="207" t="s">
        <v>4425</v>
      </c>
      <c r="BB656" s="207" t="s">
        <v>4425</v>
      </c>
      <c r="BC656" s="202">
        <v>46210</v>
      </c>
      <c r="BD656" s="227">
        <v>46210</v>
      </c>
      <c r="BE656" s="266" t="s">
        <v>4435</v>
      </c>
      <c r="BF656" s="228" t="s">
        <v>4436</v>
      </c>
      <c r="BG656" s="229" t="s">
        <v>4425</v>
      </c>
      <c r="BH656" s="321">
        <f t="shared" si="45"/>
        <v>131</v>
      </c>
      <c r="BI656" s="98" t="str">
        <f t="shared" si="46"/>
        <v>INDENIZAÇÃO</v>
      </c>
      <c r="BJ656" s="98" t="str">
        <f t="shared" si="47"/>
        <v>NÃO</v>
      </c>
      <c r="BK656" s="230" t="s">
        <v>4437</v>
      </c>
      <c r="BL656" s="230" t="s">
        <v>4437</v>
      </c>
      <c r="BM656" s="230" t="s">
        <v>4437</v>
      </c>
      <c r="BN656" s="265" t="s">
        <v>5732</v>
      </c>
      <c r="BO656" s="265"/>
      <c r="BP656" s="265"/>
      <c r="BQ656" s="265"/>
      <c r="BR656" s="231"/>
    </row>
    <row r="657" spans="1:74" ht="27" hidden="1" customHeight="1">
      <c r="A657" s="207">
        <v>653</v>
      </c>
      <c r="B657" s="197" t="s">
        <v>4396</v>
      </c>
      <c r="C657" s="207" t="s">
        <v>4427</v>
      </c>
      <c r="D657" s="207">
        <v>1</v>
      </c>
      <c r="E657" s="207" t="s">
        <v>4398</v>
      </c>
      <c r="F657" s="214" t="s">
        <v>7219</v>
      </c>
      <c r="G657" s="207" t="s">
        <v>4400</v>
      </c>
      <c r="H657" s="207" t="s">
        <v>4401</v>
      </c>
      <c r="I657" s="217" t="s">
        <v>4402</v>
      </c>
      <c r="J657" s="215" t="s">
        <v>7220</v>
      </c>
      <c r="K657" s="215" t="s">
        <v>7221</v>
      </c>
      <c r="L657" s="215" t="s">
        <v>7222</v>
      </c>
      <c r="M657" s="207" t="s">
        <v>4405</v>
      </c>
      <c r="N657" s="207" t="s">
        <v>4442</v>
      </c>
      <c r="O657" s="202" t="s">
        <v>4409</v>
      </c>
      <c r="P657" s="202" t="s">
        <v>4409</v>
      </c>
      <c r="Q657" s="202" t="s">
        <v>4409</v>
      </c>
      <c r="R657" s="202" t="s">
        <v>4409</v>
      </c>
      <c r="S657" s="202" t="s">
        <v>4409</v>
      </c>
      <c r="T657" s="202" t="s">
        <v>4409</v>
      </c>
      <c r="U657" s="202" t="s">
        <v>4409</v>
      </c>
      <c r="V657" s="202" t="s">
        <v>4409</v>
      </c>
      <c r="W657" s="202" t="s">
        <v>4409</v>
      </c>
      <c r="X657" s="202" t="s">
        <v>4409</v>
      </c>
      <c r="Y657" s="202"/>
      <c r="Z657" s="202"/>
      <c r="AA657" s="215" t="s">
        <v>7220</v>
      </c>
      <c r="AB657" s="215" t="s">
        <v>7221</v>
      </c>
      <c r="AC657" s="215" t="s">
        <v>7222</v>
      </c>
      <c r="AD657" s="207" t="s">
        <v>4402</v>
      </c>
      <c r="AE657" s="207" t="s">
        <v>4405</v>
      </c>
      <c r="AF657" s="218"/>
      <c r="AG657" s="218"/>
      <c r="AH657" s="207"/>
      <c r="AI657" s="214" t="s">
        <v>4411</v>
      </c>
      <c r="AJ657" s="207"/>
      <c r="AK657" s="316">
        <v>45996</v>
      </c>
      <c r="AL657" s="316">
        <v>45996</v>
      </c>
      <c r="AM657" s="316">
        <v>45996</v>
      </c>
      <c r="AN657" s="316">
        <v>45996</v>
      </c>
      <c r="AO657" s="316">
        <v>45996</v>
      </c>
      <c r="AP657" s="316">
        <v>45996</v>
      </c>
      <c r="AQ657" s="314"/>
      <c r="AR657" s="315" t="str">
        <f t="shared" si="48"/>
        <v>FINALIZADO</v>
      </c>
      <c r="AS657" s="207"/>
      <c r="AT657" s="207"/>
      <c r="AU657" s="225"/>
      <c r="AV657" s="207"/>
      <c r="AW657" s="207"/>
      <c r="AX657" s="207"/>
      <c r="AY657" s="197"/>
      <c r="AZ657" s="202"/>
      <c r="BA657" s="219"/>
      <c r="BB657" s="197"/>
      <c r="BC657" s="202"/>
      <c r="BD657" s="208"/>
      <c r="BE657" s="202"/>
      <c r="BF657" s="207"/>
      <c r="BG657" s="229"/>
      <c r="BH657" s="321" t="str">
        <f t="shared" si="45"/>
        <v/>
      </c>
      <c r="BI657" s="98" t="str">
        <f t="shared" si="46"/>
        <v>INDENIZAÇÃO</v>
      </c>
      <c r="BJ657" s="98" t="str">
        <f t="shared" si="47"/>
        <v>NÃO</v>
      </c>
      <c r="BK657" s="230"/>
      <c r="BL657" s="230"/>
      <c r="BM657" s="230"/>
      <c r="BN657" s="230"/>
      <c r="BO657" s="230"/>
      <c r="BP657" s="230"/>
      <c r="BQ657" s="230"/>
      <c r="BR657" s="234"/>
    </row>
    <row r="658" spans="1:74" ht="27" hidden="1" customHeight="1">
      <c r="A658" s="207">
        <v>654</v>
      </c>
      <c r="B658" s="197" t="s">
        <v>4396</v>
      </c>
      <c r="C658" s="207" t="s">
        <v>4427</v>
      </c>
      <c r="D658" s="207">
        <v>1</v>
      </c>
      <c r="E658" s="207" t="s">
        <v>4398</v>
      </c>
      <c r="F658" s="214" t="s">
        <v>7223</v>
      </c>
      <c r="G658" s="207" t="s">
        <v>4400</v>
      </c>
      <c r="H658" s="207" t="s">
        <v>4401</v>
      </c>
      <c r="I658" s="217" t="s">
        <v>4402</v>
      </c>
      <c r="J658" s="215" t="s">
        <v>7224</v>
      </c>
      <c r="K658" s="215" t="s">
        <v>7225</v>
      </c>
      <c r="L658" s="215" t="s">
        <v>7226</v>
      </c>
      <c r="M658" s="207" t="s">
        <v>4405</v>
      </c>
      <c r="N658" s="207" t="s">
        <v>4442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7224</v>
      </c>
      <c r="AB658" s="215" t="s">
        <v>7225</v>
      </c>
      <c r="AC658" s="215" t="s">
        <v>7226</v>
      </c>
      <c r="AD658" s="207" t="s">
        <v>4402</v>
      </c>
      <c r="AE658" s="207" t="s">
        <v>4405</v>
      </c>
      <c r="AF658" s="218">
        <v>25529.98</v>
      </c>
      <c r="AG658" s="218">
        <f>AF658+30000</f>
        <v>55529.979999999996</v>
      </c>
      <c r="AH658" s="207" t="s">
        <v>4433</v>
      </c>
      <c r="AI658" s="214" t="s">
        <v>4411</v>
      </c>
      <c r="AJ658" s="207">
        <v>150614435</v>
      </c>
      <c r="AK658" s="316">
        <v>46002</v>
      </c>
      <c r="AL658" s="316">
        <v>46002</v>
      </c>
      <c r="AM658" s="316">
        <v>46002</v>
      </c>
      <c r="AN658" s="316">
        <v>46002</v>
      </c>
      <c r="AO658" s="316">
        <v>46002</v>
      </c>
      <c r="AP658" s="316">
        <v>46002</v>
      </c>
      <c r="AQ658" s="314"/>
      <c r="AR658" s="315" t="str">
        <f t="shared" si="48"/>
        <v>FINALIZADO</v>
      </c>
      <c r="AS658" s="207" t="s">
        <v>4423</v>
      </c>
      <c r="AT658" s="207"/>
      <c r="AU658" s="225" t="s">
        <v>7227</v>
      </c>
      <c r="AV658" s="207" t="s">
        <v>4425</v>
      </c>
      <c r="AW658" s="207" t="s">
        <v>4425</v>
      </c>
      <c r="AX658" s="207" t="s">
        <v>4425</v>
      </c>
      <c r="AY658" s="207" t="s">
        <v>4425</v>
      </c>
      <c r="AZ658" s="202">
        <v>46128</v>
      </c>
      <c r="BA658" s="207" t="s">
        <v>4425</v>
      </c>
      <c r="BB658" s="207" t="s">
        <v>4425</v>
      </c>
      <c r="BC658" s="202">
        <v>46139</v>
      </c>
      <c r="BD658" s="227">
        <v>46139</v>
      </c>
      <c r="BE658" s="227" t="s">
        <v>4435</v>
      </c>
      <c r="BF658" s="245" t="s">
        <v>4436</v>
      </c>
      <c r="BG658" s="229" t="s">
        <v>4425</v>
      </c>
      <c r="BH658" s="321">
        <f t="shared" si="45"/>
        <v>137</v>
      </c>
      <c r="BI658" s="98" t="str">
        <f t="shared" si="46"/>
        <v>INDENIZAÇÃO</v>
      </c>
      <c r="BJ658" s="98" t="str">
        <f t="shared" si="47"/>
        <v>NÃO</v>
      </c>
      <c r="BK658" s="219" t="s">
        <v>4437</v>
      </c>
      <c r="BL658" s="219" t="s">
        <v>4437</v>
      </c>
      <c r="BM658" s="219" t="s">
        <v>4437</v>
      </c>
      <c r="BN658" s="257" t="s">
        <v>5732</v>
      </c>
      <c r="BO658" s="257"/>
      <c r="BP658" s="257"/>
      <c r="BQ658" s="257"/>
      <c r="BR658" s="258"/>
      <c r="BS658" s="223"/>
    </row>
    <row r="659" spans="1:74" ht="27" hidden="1" customHeight="1">
      <c r="A659" s="197">
        <v>655</v>
      </c>
      <c r="B659" s="197" t="s">
        <v>4396</v>
      </c>
      <c r="C659" s="207" t="s">
        <v>4427</v>
      </c>
      <c r="D659" s="207">
        <v>1</v>
      </c>
      <c r="E659" s="207" t="s">
        <v>4398</v>
      </c>
      <c r="F659" s="214" t="s">
        <v>7228</v>
      </c>
      <c r="G659" s="207" t="s">
        <v>4400</v>
      </c>
      <c r="H659" s="207" t="s">
        <v>4401</v>
      </c>
      <c r="I659" s="217" t="s">
        <v>4402</v>
      </c>
      <c r="J659" s="215" t="s">
        <v>7229</v>
      </c>
      <c r="K659" s="215" t="s">
        <v>7230</v>
      </c>
      <c r="L659" s="215" t="s">
        <v>7231</v>
      </c>
      <c r="M659" s="207" t="s">
        <v>4405</v>
      </c>
      <c r="N659" s="207" t="s">
        <v>4442</v>
      </c>
      <c r="O659" s="202" t="s">
        <v>4409</v>
      </c>
      <c r="P659" s="202" t="s">
        <v>4409</v>
      </c>
      <c r="Q659" s="202" t="s">
        <v>4409</v>
      </c>
      <c r="R659" s="202" t="s">
        <v>4409</v>
      </c>
      <c r="S659" s="202" t="s">
        <v>4409</v>
      </c>
      <c r="T659" s="202" t="s">
        <v>4409</v>
      </c>
      <c r="U659" s="202" t="s">
        <v>4409</v>
      </c>
      <c r="V659" s="202" t="s">
        <v>4409</v>
      </c>
      <c r="W659" s="202" t="s">
        <v>4409</v>
      </c>
      <c r="X659" s="202" t="s">
        <v>4409</v>
      </c>
      <c r="Y659" s="202"/>
      <c r="Z659" s="202"/>
      <c r="AA659" s="215" t="s">
        <v>7229</v>
      </c>
      <c r="AB659" s="215" t="s">
        <v>7230</v>
      </c>
      <c r="AC659" s="215" t="s">
        <v>7231</v>
      </c>
      <c r="AD659" s="207" t="s">
        <v>4402</v>
      </c>
      <c r="AE659" s="207" t="s">
        <v>4405</v>
      </c>
      <c r="AF659" s="218">
        <v>1249.72</v>
      </c>
      <c r="AG659" s="218">
        <f>AF659+30000</f>
        <v>31249.72</v>
      </c>
      <c r="AH659" s="207" t="s">
        <v>4433</v>
      </c>
      <c r="AI659" s="214" t="s">
        <v>4411</v>
      </c>
      <c r="AJ659" s="207">
        <v>148267354</v>
      </c>
      <c r="AK659" s="316">
        <v>46045</v>
      </c>
      <c r="AL659" s="316">
        <v>46045</v>
      </c>
      <c r="AM659" s="316">
        <v>46045</v>
      </c>
      <c r="AN659" s="316">
        <v>46045</v>
      </c>
      <c r="AO659" s="316">
        <v>46045</v>
      </c>
      <c r="AP659" s="316">
        <v>46045</v>
      </c>
      <c r="AQ659" s="314"/>
      <c r="AR659" s="315" t="str">
        <f t="shared" si="48"/>
        <v>FINALIZADO</v>
      </c>
      <c r="AS659" s="207" t="s">
        <v>4423</v>
      </c>
      <c r="AT659" s="207"/>
      <c r="AU659" s="225" t="s">
        <v>7232</v>
      </c>
      <c r="AV659" s="207" t="s">
        <v>4425</v>
      </c>
      <c r="AW659" s="207" t="s">
        <v>4425</v>
      </c>
      <c r="AX659" s="207" t="s">
        <v>4425</v>
      </c>
      <c r="AY659" s="207" t="s">
        <v>4425</v>
      </c>
      <c r="AZ659" s="202">
        <v>46084</v>
      </c>
      <c r="BA659" s="219" t="s">
        <v>4425</v>
      </c>
      <c r="BB659" s="219" t="s">
        <v>4425</v>
      </c>
      <c r="BC659" s="239">
        <v>46092</v>
      </c>
      <c r="BD659" s="226">
        <v>46092</v>
      </c>
      <c r="BE659" s="226" t="s">
        <v>4435</v>
      </c>
      <c r="BF659" s="245" t="s">
        <v>4436</v>
      </c>
      <c r="BG659" s="229" t="s">
        <v>4425</v>
      </c>
      <c r="BH659" s="321">
        <f t="shared" si="45"/>
        <v>47</v>
      </c>
      <c r="BI659" s="98" t="str">
        <f t="shared" si="46"/>
        <v>INDENIZAÇÃO</v>
      </c>
      <c r="BJ659" s="98" t="str">
        <f t="shared" si="47"/>
        <v>NÃO</v>
      </c>
      <c r="BK659" s="230" t="s">
        <v>4437</v>
      </c>
      <c r="BL659" s="230" t="s">
        <v>4437</v>
      </c>
      <c r="BM659" s="230" t="s">
        <v>4437</v>
      </c>
      <c r="BN659" s="265" t="s">
        <v>5732</v>
      </c>
      <c r="BO659" s="265"/>
      <c r="BP659" s="265"/>
      <c r="BQ659" s="265"/>
      <c r="BR659" s="231"/>
      <c r="BS659" s="223"/>
    </row>
    <row r="660" spans="1:74" ht="27" hidden="1" customHeight="1">
      <c r="A660" s="197">
        <v>656</v>
      </c>
      <c r="B660" s="197" t="s">
        <v>4396</v>
      </c>
      <c r="C660" s="207" t="s">
        <v>4427</v>
      </c>
      <c r="D660" s="207">
        <v>1</v>
      </c>
      <c r="E660" s="207" t="s">
        <v>4398</v>
      </c>
      <c r="F660" s="214" t="s">
        <v>7233</v>
      </c>
      <c r="G660" s="207" t="s">
        <v>4400</v>
      </c>
      <c r="H660" s="207" t="s">
        <v>4401</v>
      </c>
      <c r="I660" s="217" t="s">
        <v>4402</v>
      </c>
      <c r="J660" s="242" t="s">
        <v>7234</v>
      </c>
      <c r="K660" s="215" t="s">
        <v>7235</v>
      </c>
      <c r="L660" s="215" t="s">
        <v>7236</v>
      </c>
      <c r="M660" s="207" t="s">
        <v>4405</v>
      </c>
      <c r="N660" s="207" t="s">
        <v>4406</v>
      </c>
      <c r="O660" s="203">
        <v>46090</v>
      </c>
      <c r="P660" s="202" t="s">
        <v>4407</v>
      </c>
      <c r="Q660" s="202">
        <v>46090</v>
      </c>
      <c r="R660" s="202">
        <v>46099</v>
      </c>
      <c r="S660" s="202">
        <v>46101</v>
      </c>
      <c r="T660" s="202">
        <v>46118</v>
      </c>
      <c r="U660" s="202" t="s">
        <v>4408</v>
      </c>
      <c r="V660" s="202" t="s">
        <v>4408</v>
      </c>
      <c r="W660" s="202">
        <v>46118</v>
      </c>
      <c r="X660" s="202">
        <v>46140</v>
      </c>
      <c r="Y660" s="202"/>
      <c r="Z660" s="207"/>
      <c r="AA660" s="242" t="s">
        <v>7234</v>
      </c>
      <c r="AB660" s="215" t="s">
        <v>7235</v>
      </c>
      <c r="AC660" s="215" t="s">
        <v>7236</v>
      </c>
      <c r="AD660" s="197" t="s">
        <v>4402</v>
      </c>
      <c r="AE660" s="197" t="s">
        <v>4405</v>
      </c>
      <c r="AF660" s="218" t="s">
        <v>4409</v>
      </c>
      <c r="AG660" s="218" t="s">
        <v>4409</v>
      </c>
      <c r="AH660" s="207" t="s">
        <v>4410</v>
      </c>
      <c r="AI660" s="214" t="s">
        <v>4411</v>
      </c>
      <c r="AJ660" s="207"/>
      <c r="AK660" s="316">
        <v>46091</v>
      </c>
      <c r="AL660" s="316">
        <v>46091</v>
      </c>
      <c r="AM660" s="316">
        <v>46091</v>
      </c>
      <c r="AN660" s="316">
        <v>46091</v>
      </c>
      <c r="AO660" s="316">
        <v>46091</v>
      </c>
      <c r="AP660" s="316">
        <v>46091</v>
      </c>
      <c r="AQ660" s="314"/>
      <c r="AR660" s="315" t="str">
        <f t="shared" si="48"/>
        <v>FINALIZADO</v>
      </c>
      <c r="AS660" s="207"/>
      <c r="AT660" s="207"/>
      <c r="AU660" s="225"/>
      <c r="AV660" s="207"/>
      <c r="AW660" s="207"/>
      <c r="AX660" s="207"/>
      <c r="AY660" s="207"/>
      <c r="AZ660" s="202"/>
      <c r="BA660" s="207"/>
      <c r="BB660" s="207"/>
      <c r="BC660" s="202"/>
      <c r="BD660" s="208"/>
      <c r="BE660" s="202"/>
      <c r="BF660" s="207"/>
      <c r="BG660" s="229"/>
      <c r="BH660" s="321" t="str">
        <f t="shared" si="45"/>
        <v/>
      </c>
      <c r="BI660" s="98" t="str">
        <f t="shared" si="46"/>
        <v>AA</v>
      </c>
      <c r="BJ660" s="98" t="str">
        <f t="shared" si="47"/>
        <v>NÃO</v>
      </c>
      <c r="BK660" s="230"/>
      <c r="BL660" s="230"/>
      <c r="BM660" s="230"/>
      <c r="BN660" s="230"/>
      <c r="BO660" s="230"/>
      <c r="BP660" s="230"/>
      <c r="BQ660" s="230"/>
      <c r="BR660" s="234"/>
    </row>
    <row r="661" spans="1:74" ht="27" hidden="1" customHeight="1">
      <c r="A661" s="207">
        <v>657</v>
      </c>
      <c r="B661" s="197" t="s">
        <v>4396</v>
      </c>
      <c r="C661" s="207" t="s">
        <v>4427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42" t="s">
        <v>7238</v>
      </c>
      <c r="K661" s="215" t="s">
        <v>7239</v>
      </c>
      <c r="L661" s="215" t="s">
        <v>7240</v>
      </c>
      <c r="M661" s="207" t="s">
        <v>4405</v>
      </c>
      <c r="N661" s="207" t="s">
        <v>4406</v>
      </c>
      <c r="O661" s="203">
        <v>46090</v>
      </c>
      <c r="P661" s="202" t="s">
        <v>4407</v>
      </c>
      <c r="Q661" s="202">
        <v>46090</v>
      </c>
      <c r="R661" s="202">
        <v>46099</v>
      </c>
      <c r="S661" s="202">
        <v>46101</v>
      </c>
      <c r="T661" s="202">
        <v>46118</v>
      </c>
      <c r="U661" s="202" t="s">
        <v>4408</v>
      </c>
      <c r="V661" s="202" t="s">
        <v>4408</v>
      </c>
      <c r="W661" s="202">
        <v>46118</v>
      </c>
      <c r="X661" s="202">
        <v>46140</v>
      </c>
      <c r="Y661" s="202"/>
      <c r="Z661" s="207"/>
      <c r="AA661" s="242" t="s">
        <v>7238</v>
      </c>
      <c r="AB661" s="215" t="s">
        <v>7239</v>
      </c>
      <c r="AC661" s="215" t="s">
        <v>7240</v>
      </c>
      <c r="AD661" s="197" t="s">
        <v>4402</v>
      </c>
      <c r="AE661" s="197" t="s">
        <v>4405</v>
      </c>
      <c r="AF661" s="218" t="s">
        <v>4409</v>
      </c>
      <c r="AG661" s="218" t="s">
        <v>4409</v>
      </c>
      <c r="AH661" s="207" t="s">
        <v>4410</v>
      </c>
      <c r="AI661" s="214" t="s">
        <v>4411</v>
      </c>
      <c r="AJ661" s="207"/>
      <c r="AK661" s="316">
        <v>46091</v>
      </c>
      <c r="AL661" s="316">
        <v>46091</v>
      </c>
      <c r="AM661" s="316">
        <v>46091</v>
      </c>
      <c r="AN661" s="316">
        <v>46091</v>
      </c>
      <c r="AO661" s="316">
        <v>46091</v>
      </c>
      <c r="AP661" s="316">
        <v>46091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207"/>
      <c r="AZ661" s="202"/>
      <c r="BA661" s="207"/>
      <c r="BB661" s="20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AA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658</v>
      </c>
      <c r="B662" s="197" t="s">
        <v>4396</v>
      </c>
      <c r="C662" s="207" t="s">
        <v>4427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4440</v>
      </c>
      <c r="L662" s="215" t="s">
        <v>7243</v>
      </c>
      <c r="M662" s="207" t="s">
        <v>4405</v>
      </c>
      <c r="N662" s="207" t="s">
        <v>4442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4440</v>
      </c>
      <c r="AC662" s="215" t="s">
        <v>7243</v>
      </c>
      <c r="AD662" s="207" t="s">
        <v>5217</v>
      </c>
      <c r="AE662" s="207" t="s">
        <v>4405</v>
      </c>
      <c r="AF662" s="218">
        <v>25139.25</v>
      </c>
      <c r="AG662" s="218">
        <v>55139.25</v>
      </c>
      <c r="AH662" s="207" t="s">
        <v>4433</v>
      </c>
      <c r="AI662" s="214" t="s">
        <v>4411</v>
      </c>
      <c r="AJ662" s="207">
        <v>158037926</v>
      </c>
      <c r="AK662" s="316"/>
      <c r="AL662" s="316"/>
      <c r="AM662" s="316"/>
      <c r="AN662" s="316"/>
      <c r="AO662" s="316"/>
      <c r="AP662" s="316"/>
      <c r="AQ662" s="314"/>
      <c r="AR662" s="315" t="str">
        <f t="shared" si="48"/>
        <v/>
      </c>
      <c r="AS662" s="207"/>
      <c r="AT662" s="296"/>
      <c r="AU662" s="225"/>
      <c r="AV662" s="207"/>
      <c r="AW662" s="207"/>
      <c r="AX662" s="207"/>
      <c r="AY662" s="207"/>
      <c r="AZ662" s="202"/>
      <c r="BA662" s="219"/>
      <c r="BB662" s="219"/>
      <c r="BC662" s="239"/>
      <c r="BD662" s="208"/>
      <c r="BE662" s="226"/>
      <c r="BF662" s="228"/>
      <c r="BG662" s="229"/>
      <c r="BH662" s="321" t="str">
        <f t="shared" si="45"/>
        <v/>
      </c>
      <c r="BI662" s="98" t="str">
        <f t="shared" si="46"/>
        <v>INDENIZAÇÃO</v>
      </c>
      <c r="BJ662" s="98" t="str">
        <f t="shared" si="47"/>
        <v>NÃO</v>
      </c>
      <c r="BK662" s="230"/>
      <c r="BL662" s="230"/>
      <c r="BM662" s="230"/>
      <c r="BN662" s="265"/>
      <c r="BO662" s="265"/>
      <c r="BP662" s="265"/>
      <c r="BQ662" s="265"/>
      <c r="BR662" s="231"/>
      <c r="BS662" s="240"/>
      <c r="BT662" s="240"/>
      <c r="BU662" s="240"/>
      <c r="BV662" s="240"/>
    </row>
    <row r="663" spans="1:74" ht="27" hidden="1" customHeight="1">
      <c r="A663" s="207">
        <v>659</v>
      </c>
      <c r="B663" s="197" t="s">
        <v>4396</v>
      </c>
      <c r="C663" s="207" t="s">
        <v>4427</v>
      </c>
      <c r="D663" s="207">
        <v>1</v>
      </c>
      <c r="E663" s="207" t="s">
        <v>4398</v>
      </c>
      <c r="F663" s="214" t="s">
        <v>7244</v>
      </c>
      <c r="G663" s="207" t="s">
        <v>4400</v>
      </c>
      <c r="H663" s="207" t="s">
        <v>4401</v>
      </c>
      <c r="I663" s="217" t="s">
        <v>4414</v>
      </c>
      <c r="J663" s="215" t="s">
        <v>7245</v>
      </c>
      <c r="K663" s="215" t="s">
        <v>7246</v>
      </c>
      <c r="L663" s="215" t="s">
        <v>7247</v>
      </c>
      <c r="M663" s="207" t="s">
        <v>4405</v>
      </c>
      <c r="N663" s="207" t="s">
        <v>4406</v>
      </c>
      <c r="O663" s="202">
        <v>46058</v>
      </c>
      <c r="P663" s="203" t="s">
        <v>4407</v>
      </c>
      <c r="Q663" s="202">
        <v>46058</v>
      </c>
      <c r="R663" s="202">
        <v>46058</v>
      </c>
      <c r="S663" s="202">
        <v>46059</v>
      </c>
      <c r="T663" s="202">
        <v>46063</v>
      </c>
      <c r="U663" s="202" t="s">
        <v>4408</v>
      </c>
      <c r="V663" s="202" t="s">
        <v>4408</v>
      </c>
      <c r="W663" s="203">
        <v>46073</v>
      </c>
      <c r="X663" s="202" t="s">
        <v>4440</v>
      </c>
      <c r="Y663" s="202"/>
      <c r="Z663" s="207" t="s">
        <v>6214</v>
      </c>
      <c r="AA663" s="215" t="s">
        <v>7248</v>
      </c>
      <c r="AB663" s="215" t="s">
        <v>7249</v>
      </c>
      <c r="AC663" s="215" t="s">
        <v>7250</v>
      </c>
      <c r="AD663" s="217" t="s">
        <v>4421</v>
      </c>
      <c r="AE663" s="207" t="s">
        <v>4405</v>
      </c>
      <c r="AF663" s="218">
        <v>12254.75</v>
      </c>
      <c r="AG663" s="218">
        <v>12254.75</v>
      </c>
      <c r="AH663" s="207" t="s">
        <v>4433</v>
      </c>
      <c r="AI663" s="214" t="s">
        <v>4411</v>
      </c>
      <c r="AJ663" s="207">
        <v>154260453</v>
      </c>
      <c r="AK663" s="316">
        <v>46093</v>
      </c>
      <c r="AL663" s="316">
        <v>46093</v>
      </c>
      <c r="AM663" s="316">
        <v>46093</v>
      </c>
      <c r="AN663" s="316">
        <v>46093</v>
      </c>
      <c r="AO663" s="316">
        <v>46093</v>
      </c>
      <c r="AP663" s="316">
        <v>46093</v>
      </c>
      <c r="AQ663" s="314"/>
      <c r="AR663" s="315" t="str">
        <f t="shared" si="48"/>
        <v>FINALIZADO</v>
      </c>
      <c r="AS663" s="207" t="s">
        <v>4423</v>
      </c>
      <c r="AT663" s="207"/>
      <c r="AU663" s="225" t="s">
        <v>7251</v>
      </c>
      <c r="AV663" s="207" t="s">
        <v>4425</v>
      </c>
      <c r="AW663" s="207" t="s">
        <v>4425</v>
      </c>
      <c r="AX663" s="207" t="s">
        <v>4425</v>
      </c>
      <c r="AY663" s="207" t="s">
        <v>4425</v>
      </c>
      <c r="AZ663" s="202">
        <v>46170</v>
      </c>
      <c r="BA663" s="207" t="s">
        <v>4425</v>
      </c>
      <c r="BB663" s="207" t="s">
        <v>4425</v>
      </c>
      <c r="BC663" s="202">
        <v>46182</v>
      </c>
      <c r="BD663" s="227">
        <v>46182</v>
      </c>
      <c r="BE663" s="227" t="s">
        <v>4435</v>
      </c>
      <c r="BF663" s="228" t="s">
        <v>4436</v>
      </c>
      <c r="BG663" s="229" t="s">
        <v>4425</v>
      </c>
      <c r="BH663" s="321">
        <f t="shared" si="45"/>
        <v>89</v>
      </c>
      <c r="BI663" s="98" t="str">
        <f t="shared" si="46"/>
        <v>INDENIZAÇÃO</v>
      </c>
      <c r="BJ663" s="98" t="str">
        <f t="shared" si="47"/>
        <v>NÃO</v>
      </c>
      <c r="BK663" s="230" t="s">
        <v>4437</v>
      </c>
      <c r="BL663" s="230" t="s">
        <v>4437</v>
      </c>
      <c r="BM663" s="230" t="s">
        <v>4437</v>
      </c>
      <c r="BN663" s="265" t="s">
        <v>5732</v>
      </c>
      <c r="BO663" s="265"/>
      <c r="BP663" s="265"/>
      <c r="BQ663" s="265"/>
      <c r="BR663" s="231"/>
      <c r="BS663" s="240"/>
      <c r="BT663" s="240"/>
      <c r="BU663" s="240"/>
      <c r="BV663" s="240"/>
    </row>
    <row r="664" spans="1:74" ht="27" hidden="1" customHeight="1">
      <c r="A664" s="197">
        <v>660</v>
      </c>
      <c r="B664" s="197" t="s">
        <v>4396</v>
      </c>
      <c r="C664" s="207" t="s">
        <v>4427</v>
      </c>
      <c r="D664" s="207">
        <v>1</v>
      </c>
      <c r="E664" s="207" t="s">
        <v>4398</v>
      </c>
      <c r="F664" s="214" t="s">
        <v>7252</v>
      </c>
      <c r="G664" s="207" t="s">
        <v>4400</v>
      </c>
      <c r="H664" s="207" t="s">
        <v>4401</v>
      </c>
      <c r="I664" s="217" t="s">
        <v>4402</v>
      </c>
      <c r="J664" s="215" t="s">
        <v>7253</v>
      </c>
      <c r="K664" s="215" t="s">
        <v>7254</v>
      </c>
      <c r="L664" s="215" t="s">
        <v>7255</v>
      </c>
      <c r="M664" s="207" t="s">
        <v>4405</v>
      </c>
      <c r="N664" s="207" t="s">
        <v>4406</v>
      </c>
      <c r="O664" s="202">
        <v>45986</v>
      </c>
      <c r="P664" s="203" t="s">
        <v>4407</v>
      </c>
      <c r="Q664" s="203">
        <v>45985</v>
      </c>
      <c r="R664" s="203">
        <v>45986</v>
      </c>
      <c r="S664" s="203">
        <v>45987</v>
      </c>
      <c r="T664" s="203">
        <v>45992</v>
      </c>
      <c r="U664" s="202" t="s">
        <v>4408</v>
      </c>
      <c r="V664" s="202" t="s">
        <v>4408</v>
      </c>
      <c r="W664" s="202">
        <v>45999</v>
      </c>
      <c r="X664" s="202">
        <v>46000</v>
      </c>
      <c r="Y664" s="202"/>
      <c r="Z664" s="207"/>
      <c r="AA664" s="215" t="s">
        <v>7253</v>
      </c>
      <c r="AB664" s="215" t="s">
        <v>7254</v>
      </c>
      <c r="AC664" s="215" t="s">
        <v>7255</v>
      </c>
      <c r="AD664" s="207" t="s">
        <v>4402</v>
      </c>
      <c r="AE664" s="207" t="s">
        <v>4405</v>
      </c>
      <c r="AF664" s="218" t="s">
        <v>4409</v>
      </c>
      <c r="AG664" s="218" t="s">
        <v>4409</v>
      </c>
      <c r="AH664" s="241" t="s">
        <v>4410</v>
      </c>
      <c r="AI664" s="214" t="s">
        <v>4411</v>
      </c>
      <c r="AJ664" s="207"/>
      <c r="AK664" s="316">
        <v>45980</v>
      </c>
      <c r="AL664" s="316">
        <v>45980</v>
      </c>
      <c r="AM664" s="316">
        <v>45980</v>
      </c>
      <c r="AN664" s="316">
        <v>45980</v>
      </c>
      <c r="AO664" s="316">
        <v>45980</v>
      </c>
      <c r="AP664" s="316">
        <v>45980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 t="s">
        <v>4409</v>
      </c>
      <c r="AY664" s="207" t="s">
        <v>4409</v>
      </c>
      <c r="AZ664" s="207" t="s">
        <v>4409</v>
      </c>
      <c r="BA664" s="207" t="s">
        <v>4409</v>
      </c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197">
        <v>661</v>
      </c>
      <c r="B665" s="197" t="s">
        <v>4396</v>
      </c>
      <c r="C665" s="207" t="s">
        <v>4427</v>
      </c>
      <c r="D665" s="207">
        <v>1</v>
      </c>
      <c r="E665" s="207" t="s">
        <v>4398</v>
      </c>
      <c r="F665" s="214" t="s">
        <v>7256</v>
      </c>
      <c r="G665" s="207" t="s">
        <v>4400</v>
      </c>
      <c r="H665" s="207" t="s">
        <v>4401</v>
      </c>
      <c r="I665" s="217" t="s">
        <v>4402</v>
      </c>
      <c r="J665" s="215" t="s">
        <v>7257</v>
      </c>
      <c r="K665" s="215" t="s">
        <v>7258</v>
      </c>
      <c r="L665" s="215" t="s">
        <v>7259</v>
      </c>
      <c r="M665" s="207" t="s">
        <v>4405</v>
      </c>
      <c r="N665" s="207" t="s">
        <v>4406</v>
      </c>
      <c r="O665" s="202">
        <v>46002</v>
      </c>
      <c r="P665" s="202" t="s">
        <v>4407</v>
      </c>
      <c r="Q665" s="202">
        <v>45999</v>
      </c>
      <c r="R665" s="202">
        <v>46006</v>
      </c>
      <c r="S665" s="202">
        <v>46006</v>
      </c>
      <c r="T665" s="202">
        <v>46009</v>
      </c>
      <c r="U665" s="202" t="s">
        <v>4408</v>
      </c>
      <c r="V665" s="202" t="s">
        <v>4408</v>
      </c>
      <c r="W665" s="202">
        <v>46014</v>
      </c>
      <c r="X665" s="202">
        <v>46020</v>
      </c>
      <c r="Y665" s="202"/>
      <c r="Z665" s="207"/>
      <c r="AA665" s="215" t="s">
        <v>7257</v>
      </c>
      <c r="AB665" s="215" t="s">
        <v>7258</v>
      </c>
      <c r="AC665" s="215" t="s">
        <v>7259</v>
      </c>
      <c r="AD665" s="207" t="s">
        <v>4402</v>
      </c>
      <c r="AE665" s="207" t="s">
        <v>4405</v>
      </c>
      <c r="AF665" s="218" t="s">
        <v>4409</v>
      </c>
      <c r="AG665" s="218" t="s">
        <v>4409</v>
      </c>
      <c r="AH665" s="197" t="s">
        <v>4410</v>
      </c>
      <c r="AI665" s="214" t="s">
        <v>4411</v>
      </c>
      <c r="AJ665" s="207"/>
      <c r="AK665" s="316">
        <v>45988</v>
      </c>
      <c r="AL665" s="316">
        <v>45988</v>
      </c>
      <c r="AM665" s="316">
        <v>45988</v>
      </c>
      <c r="AN665" s="316">
        <v>45988</v>
      </c>
      <c r="AO665" s="316">
        <v>45988</v>
      </c>
      <c r="AP665" s="316">
        <v>45988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19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662</v>
      </c>
      <c r="B666" s="197" t="s">
        <v>4396</v>
      </c>
      <c r="C666" s="207" t="s">
        <v>4427</v>
      </c>
      <c r="D666" s="207">
        <v>1</v>
      </c>
      <c r="E666" s="207" t="s">
        <v>4398</v>
      </c>
      <c r="F666" s="214" t="s">
        <v>7260</v>
      </c>
      <c r="G666" s="207" t="s">
        <v>4400</v>
      </c>
      <c r="H666" s="207" t="s">
        <v>4401</v>
      </c>
      <c r="I666" s="217" t="s">
        <v>4402</v>
      </c>
      <c r="J666" s="215" t="s">
        <v>7261</v>
      </c>
      <c r="K666" s="215" t="s">
        <v>7262</v>
      </c>
      <c r="L666" s="215" t="s">
        <v>7263</v>
      </c>
      <c r="M666" s="207" t="s">
        <v>4405</v>
      </c>
      <c r="N666" s="207" t="s">
        <v>4406</v>
      </c>
      <c r="O666" s="202">
        <v>46065</v>
      </c>
      <c r="P666" s="203" t="s">
        <v>4407</v>
      </c>
      <c r="Q666" s="202">
        <v>46072</v>
      </c>
      <c r="R666" s="203">
        <v>46072</v>
      </c>
      <c r="S666" s="203">
        <v>46080</v>
      </c>
      <c r="T666" s="202">
        <v>46083</v>
      </c>
      <c r="U666" s="202" t="s">
        <v>4408</v>
      </c>
      <c r="V666" s="202" t="s">
        <v>4408</v>
      </c>
      <c r="W666" s="203">
        <v>46055</v>
      </c>
      <c r="X666" s="203">
        <v>46156</v>
      </c>
      <c r="Y666" s="202"/>
      <c r="Z666" s="217" t="s">
        <v>7264</v>
      </c>
      <c r="AA666" s="215" t="s">
        <v>7261</v>
      </c>
      <c r="AB666" s="215" t="s">
        <v>7262</v>
      </c>
      <c r="AC666" s="215" t="s">
        <v>7263</v>
      </c>
      <c r="AD666" s="207" t="s">
        <v>4402</v>
      </c>
      <c r="AE666" s="207" t="s">
        <v>4405</v>
      </c>
      <c r="AF666" s="218" t="s">
        <v>4409</v>
      </c>
      <c r="AG666" s="218" t="s">
        <v>4409</v>
      </c>
      <c r="AH666" s="207" t="s">
        <v>4410</v>
      </c>
      <c r="AI666" s="214" t="s">
        <v>4411</v>
      </c>
      <c r="AJ666" s="207"/>
      <c r="AK666" s="316">
        <v>45996</v>
      </c>
      <c r="AL666" s="316">
        <v>45996</v>
      </c>
      <c r="AM666" s="316">
        <v>45996</v>
      </c>
      <c r="AN666" s="316">
        <v>45996</v>
      </c>
      <c r="AO666" s="316">
        <v>45996</v>
      </c>
      <c r="AP666" s="316">
        <v>45996</v>
      </c>
      <c r="AQ666" s="314"/>
      <c r="AR666" s="315" t="str">
        <f t="shared" si="48"/>
        <v>FINALIZADO</v>
      </c>
      <c r="AS666" s="207"/>
      <c r="AT666" s="207"/>
      <c r="AU666" s="225"/>
      <c r="AV666" s="207"/>
      <c r="AW666" s="207"/>
      <c r="AX666" s="207"/>
      <c r="AY666" s="207"/>
      <c r="AZ666" s="202"/>
      <c r="BA666" s="219"/>
      <c r="BB666" s="207"/>
      <c r="BC666" s="202"/>
      <c r="BD666" s="208"/>
      <c r="BE666" s="202"/>
      <c r="BF666" s="207"/>
      <c r="BG666" s="229"/>
      <c r="BH666" s="321" t="str">
        <f t="shared" si="45"/>
        <v/>
      </c>
      <c r="BI666" s="98" t="str">
        <f t="shared" si="46"/>
        <v>AA</v>
      </c>
      <c r="BJ666" s="98" t="str">
        <f t="shared" si="47"/>
        <v>NÃO</v>
      </c>
      <c r="BK666" s="230"/>
      <c r="BL666" s="230"/>
      <c r="BM666" s="230"/>
      <c r="BN666" s="230"/>
      <c r="BO666" s="230"/>
      <c r="BP666" s="230"/>
      <c r="BQ666" s="230"/>
      <c r="BR666" s="234"/>
    </row>
    <row r="667" spans="1:74" ht="27" hidden="1" customHeight="1">
      <c r="A667" s="207">
        <v>663</v>
      </c>
      <c r="B667" s="197" t="s">
        <v>4396</v>
      </c>
      <c r="C667" s="207" t="s">
        <v>4427</v>
      </c>
      <c r="D667" s="207">
        <v>1</v>
      </c>
      <c r="E667" s="207" t="s">
        <v>4398</v>
      </c>
      <c r="F667" s="214" t="s">
        <v>7265</v>
      </c>
      <c r="G667" s="207" t="s">
        <v>4400</v>
      </c>
      <c r="H667" s="207" t="s">
        <v>4401</v>
      </c>
      <c r="I667" s="217" t="s">
        <v>4402</v>
      </c>
      <c r="J667" s="215" t="s">
        <v>7266</v>
      </c>
      <c r="K667" s="215" t="s">
        <v>7267</v>
      </c>
      <c r="L667" s="215" t="s">
        <v>7268</v>
      </c>
      <c r="M667" s="207" t="s">
        <v>4405</v>
      </c>
      <c r="N667" s="207" t="s">
        <v>4406</v>
      </c>
      <c r="O667" s="203">
        <v>46031</v>
      </c>
      <c r="P667" s="202" t="s">
        <v>4407</v>
      </c>
      <c r="Q667" s="203">
        <v>46030</v>
      </c>
      <c r="R667" s="203">
        <v>46031</v>
      </c>
      <c r="S667" s="203">
        <v>46036</v>
      </c>
      <c r="T667" s="203">
        <v>46045</v>
      </c>
      <c r="U667" s="203" t="s">
        <v>4408</v>
      </c>
      <c r="V667" s="203" t="s">
        <v>4408</v>
      </c>
      <c r="W667" s="202">
        <v>46055</v>
      </c>
      <c r="X667" s="202">
        <v>46079</v>
      </c>
      <c r="Y667" s="202"/>
      <c r="Z667" s="207"/>
      <c r="AA667" s="215" t="s">
        <v>7266</v>
      </c>
      <c r="AB667" s="215" t="s">
        <v>7267</v>
      </c>
      <c r="AC667" s="215" t="s">
        <v>7268</v>
      </c>
      <c r="AD667" s="207" t="s">
        <v>4402</v>
      </c>
      <c r="AE667" s="207" t="s">
        <v>4405</v>
      </c>
      <c r="AF667" s="218" t="s">
        <v>4409</v>
      </c>
      <c r="AG667" s="218" t="s">
        <v>4409</v>
      </c>
      <c r="AH667" s="207" t="s">
        <v>4410</v>
      </c>
      <c r="AI667" s="214" t="s">
        <v>4411</v>
      </c>
      <c r="AJ667" s="207"/>
      <c r="AK667" s="316">
        <v>46007</v>
      </c>
      <c r="AL667" s="316">
        <v>46007</v>
      </c>
      <c r="AM667" s="316">
        <v>46007</v>
      </c>
      <c r="AN667" s="316">
        <v>46007</v>
      </c>
      <c r="AO667" s="316">
        <v>46007</v>
      </c>
      <c r="AP667" s="316">
        <v>46007</v>
      </c>
      <c r="AQ667" s="314"/>
      <c r="AR667" s="315" t="str">
        <f t="shared" si="48"/>
        <v>FINALIZADO</v>
      </c>
      <c r="AS667" s="207"/>
      <c r="AT667" s="207"/>
      <c r="AU667" s="225"/>
      <c r="AV667" s="207"/>
      <c r="AW667" s="207"/>
      <c r="AX667" s="207"/>
      <c r="AY667" s="207"/>
      <c r="AZ667" s="202"/>
      <c r="BA667" s="219"/>
      <c r="BB667" s="207"/>
      <c r="BC667" s="202"/>
      <c r="BD667" s="208"/>
      <c r="BE667" s="202"/>
      <c r="BF667" s="207"/>
      <c r="BG667" s="229"/>
      <c r="BH667" s="321" t="str">
        <f t="shared" si="45"/>
        <v/>
      </c>
      <c r="BI667" s="98" t="str">
        <f t="shared" si="46"/>
        <v>AA</v>
      </c>
      <c r="BJ667" s="98" t="str">
        <f t="shared" si="47"/>
        <v>NÃO</v>
      </c>
      <c r="BK667" s="230"/>
      <c r="BL667" s="230"/>
      <c r="BM667" s="230"/>
      <c r="BN667" s="230"/>
      <c r="BO667" s="230"/>
      <c r="BP667" s="230"/>
      <c r="BQ667" s="230"/>
      <c r="BR667" s="234"/>
    </row>
    <row r="668" spans="1:74" ht="27" hidden="1" customHeight="1">
      <c r="A668" s="207">
        <v>664</v>
      </c>
      <c r="B668" s="197" t="s">
        <v>4396</v>
      </c>
      <c r="C668" s="207" t="s">
        <v>4427</v>
      </c>
      <c r="D668" s="207">
        <v>1</v>
      </c>
      <c r="E668" s="207" t="s">
        <v>4398</v>
      </c>
      <c r="F668" s="214" t="s">
        <v>7269</v>
      </c>
      <c r="G668" s="207" t="s">
        <v>4400</v>
      </c>
      <c r="H668" s="207" t="s">
        <v>4401</v>
      </c>
      <c r="I668" s="217" t="s">
        <v>4402</v>
      </c>
      <c r="J668" s="215" t="s">
        <v>7270</v>
      </c>
      <c r="K668" s="215" t="s">
        <v>4440</v>
      </c>
      <c r="L668" s="215" t="s">
        <v>7271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7270</v>
      </c>
      <c r="AB668" s="215" t="s">
        <v>4440</v>
      </c>
      <c r="AC668" s="215" t="s">
        <v>7271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665</v>
      </c>
      <c r="B669" s="197" t="s">
        <v>4396</v>
      </c>
      <c r="C669" s="207" t="s">
        <v>4427</v>
      </c>
      <c r="D669" s="207">
        <v>1</v>
      </c>
      <c r="E669" s="207" t="s">
        <v>4398</v>
      </c>
      <c r="F669" s="214" t="s">
        <v>7272</v>
      </c>
      <c r="G669" s="207" t="s">
        <v>4400</v>
      </c>
      <c r="H669" s="207" t="s">
        <v>4401</v>
      </c>
      <c r="I669" s="217" t="s">
        <v>4402</v>
      </c>
      <c r="J669" s="215" t="s">
        <v>7273</v>
      </c>
      <c r="K669" s="215" t="s">
        <v>7274</v>
      </c>
      <c r="L669" s="215" t="s">
        <v>7275</v>
      </c>
      <c r="M669" s="207" t="s">
        <v>4405</v>
      </c>
      <c r="N669" s="207" t="s">
        <v>4550</v>
      </c>
      <c r="O669" s="202">
        <v>45986</v>
      </c>
      <c r="P669" s="203" t="s">
        <v>4407</v>
      </c>
      <c r="Q669" s="203">
        <v>45985</v>
      </c>
      <c r="R669" s="203">
        <v>45986</v>
      </c>
      <c r="S669" s="203">
        <v>45987</v>
      </c>
      <c r="T669" s="203">
        <v>45992</v>
      </c>
      <c r="U669" s="202" t="s">
        <v>4408</v>
      </c>
      <c r="V669" s="202" t="s">
        <v>4408</v>
      </c>
      <c r="W669" s="202">
        <v>45999</v>
      </c>
      <c r="X669" s="280" t="s">
        <v>4440</v>
      </c>
      <c r="Y669" s="202"/>
      <c r="Z669" s="217" t="s">
        <v>7276</v>
      </c>
      <c r="AA669" s="215" t="s">
        <v>7273</v>
      </c>
      <c r="AB669" s="215" t="s">
        <v>7274</v>
      </c>
      <c r="AC669" s="215" t="s">
        <v>7275</v>
      </c>
      <c r="AD669" s="297" t="s">
        <v>4409</v>
      </c>
      <c r="AE669" s="297" t="s">
        <v>4409</v>
      </c>
      <c r="AF669" s="205" t="s">
        <v>4398</v>
      </c>
      <c r="AG669" s="205" t="s">
        <v>4398</v>
      </c>
      <c r="AH669" s="205" t="s">
        <v>4410</v>
      </c>
      <c r="AI669" s="214" t="s">
        <v>4411</v>
      </c>
      <c r="AJ669" s="207"/>
      <c r="AK669" s="316">
        <v>45980</v>
      </c>
      <c r="AL669" s="316">
        <v>45980</v>
      </c>
      <c r="AM669" s="316">
        <v>45980</v>
      </c>
      <c r="AN669" s="316">
        <v>45980</v>
      </c>
      <c r="AO669" s="316">
        <v>45980</v>
      </c>
      <c r="AP669" s="316">
        <v>45980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 t="s">
        <v>4409</v>
      </c>
      <c r="AY669" s="207" t="s">
        <v>4409</v>
      </c>
      <c r="AZ669" s="207" t="s">
        <v>4409</v>
      </c>
      <c r="BA669" s="207" t="s">
        <v>4409</v>
      </c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197">
        <v>666</v>
      </c>
      <c r="B670" s="197" t="s">
        <v>4396</v>
      </c>
      <c r="C670" s="207" t="s">
        <v>4427</v>
      </c>
      <c r="D670" s="207">
        <v>1</v>
      </c>
      <c r="E670" s="207" t="s">
        <v>4398</v>
      </c>
      <c r="F670" s="214" t="s">
        <v>7277</v>
      </c>
      <c r="G670" s="207" t="s">
        <v>4400</v>
      </c>
      <c r="H670" s="207" t="s">
        <v>4401</v>
      </c>
      <c r="I670" s="217" t="s">
        <v>4402</v>
      </c>
      <c r="J670" s="215" t="s">
        <v>7278</v>
      </c>
      <c r="K670" s="215" t="s">
        <v>7279</v>
      </c>
      <c r="L670" s="215" t="s">
        <v>7280</v>
      </c>
      <c r="M670" s="207" t="s">
        <v>4405</v>
      </c>
      <c r="N670" s="207" t="s">
        <v>4406</v>
      </c>
      <c r="O670" s="202">
        <v>45986</v>
      </c>
      <c r="P670" s="203" t="s">
        <v>4407</v>
      </c>
      <c r="Q670" s="203">
        <v>45985</v>
      </c>
      <c r="R670" s="203">
        <v>45986</v>
      </c>
      <c r="S670" s="203">
        <v>45987</v>
      </c>
      <c r="T670" s="203">
        <v>45992</v>
      </c>
      <c r="U670" s="202" t="s">
        <v>4408</v>
      </c>
      <c r="V670" s="202" t="s">
        <v>4408</v>
      </c>
      <c r="W670" s="202">
        <v>45999</v>
      </c>
      <c r="X670" s="202">
        <v>46000</v>
      </c>
      <c r="Y670" s="202"/>
      <c r="Z670" s="207"/>
      <c r="AA670" s="215" t="s">
        <v>7278</v>
      </c>
      <c r="AB670" s="215" t="s">
        <v>7279</v>
      </c>
      <c r="AC670" s="215" t="s">
        <v>7280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4" t="s">
        <v>4410</v>
      </c>
      <c r="AI670" s="214" t="s">
        <v>4411</v>
      </c>
      <c r="AJ670" s="207"/>
      <c r="AK670" s="316">
        <v>45980</v>
      </c>
      <c r="AL670" s="316">
        <v>45980</v>
      </c>
      <c r="AM670" s="316">
        <v>45980</v>
      </c>
      <c r="AN670" s="316">
        <v>45980</v>
      </c>
      <c r="AO670" s="316">
        <v>45980</v>
      </c>
      <c r="AP670" s="316">
        <v>45980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 t="s">
        <v>4409</v>
      </c>
      <c r="AY670" s="207" t="s">
        <v>4409</v>
      </c>
      <c r="AZ670" s="207" t="s">
        <v>4409</v>
      </c>
      <c r="BA670" s="207" t="s">
        <v>4409</v>
      </c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667</v>
      </c>
      <c r="B671" s="197" t="s">
        <v>4396</v>
      </c>
      <c r="C671" s="207" t="s">
        <v>4427</v>
      </c>
      <c r="D671" s="207">
        <v>1</v>
      </c>
      <c r="E671" s="207" t="s">
        <v>4398</v>
      </c>
      <c r="F671" s="214" t="s">
        <v>7281</v>
      </c>
      <c r="G671" s="207" t="s">
        <v>4400</v>
      </c>
      <c r="H671" s="207" t="s">
        <v>4401</v>
      </c>
      <c r="I671" s="207" t="s">
        <v>4402</v>
      </c>
      <c r="J671" s="215" t="s">
        <v>7282</v>
      </c>
      <c r="K671" s="298" t="s">
        <v>6591</v>
      </c>
      <c r="L671" s="215" t="s">
        <v>7283</v>
      </c>
      <c r="M671" s="207" t="s">
        <v>4405</v>
      </c>
      <c r="N671" s="207" t="s">
        <v>4442</v>
      </c>
      <c r="O671" s="202" t="s">
        <v>4409</v>
      </c>
      <c r="P671" s="202" t="s">
        <v>4409</v>
      </c>
      <c r="Q671" s="202" t="s">
        <v>4409</v>
      </c>
      <c r="R671" s="202" t="s">
        <v>4409</v>
      </c>
      <c r="S671" s="202" t="s">
        <v>4409</v>
      </c>
      <c r="T671" s="202" t="s">
        <v>4409</v>
      </c>
      <c r="U671" s="202" t="s">
        <v>4409</v>
      </c>
      <c r="V671" s="202" t="s">
        <v>4409</v>
      </c>
      <c r="W671" s="202" t="s">
        <v>4409</v>
      </c>
      <c r="X671" s="202" t="s">
        <v>4409</v>
      </c>
      <c r="Y671" s="202"/>
      <c r="Z671" s="202"/>
      <c r="AA671" s="200" t="s">
        <v>7282</v>
      </c>
      <c r="AB671" s="299" t="s">
        <v>6591</v>
      </c>
      <c r="AC671" s="200" t="s">
        <v>7283</v>
      </c>
      <c r="AD671" s="197" t="s">
        <v>4402</v>
      </c>
      <c r="AE671" s="197" t="s">
        <v>4405</v>
      </c>
      <c r="AF671" s="243">
        <v>9643.0400000000009</v>
      </c>
      <c r="AG671" s="243">
        <v>39643.040000000001</v>
      </c>
      <c r="AH671" s="197" t="s">
        <v>4422</v>
      </c>
      <c r="AI671" s="214" t="s">
        <v>4411</v>
      </c>
      <c r="AJ671" s="207">
        <v>151553826</v>
      </c>
      <c r="AK671" s="316">
        <v>46093</v>
      </c>
      <c r="AL671" s="316">
        <v>46093</v>
      </c>
      <c r="AM671" s="316">
        <v>46093</v>
      </c>
      <c r="AN671" s="316">
        <v>46093</v>
      </c>
      <c r="AO671" s="316">
        <v>46093</v>
      </c>
      <c r="AP671" s="316">
        <v>46093</v>
      </c>
      <c r="AQ671" s="314"/>
      <c r="AR671" s="315" t="str">
        <f t="shared" si="48"/>
        <v>FINALIZADO</v>
      </c>
      <c r="AS671" s="207" t="s">
        <v>4423</v>
      </c>
      <c r="AT671" s="219"/>
      <c r="AU671" s="225" t="s">
        <v>7284</v>
      </c>
      <c r="AV671" s="207" t="s">
        <v>4425</v>
      </c>
      <c r="AW671" s="207" t="s">
        <v>4425</v>
      </c>
      <c r="AX671" s="207" t="s">
        <v>4425</v>
      </c>
      <c r="AY671" s="207" t="s">
        <v>4425</v>
      </c>
      <c r="AZ671" s="202">
        <v>46150</v>
      </c>
      <c r="BA671" s="207" t="s">
        <v>4425</v>
      </c>
      <c r="BB671" s="207" t="s">
        <v>4425</v>
      </c>
      <c r="BC671" s="202">
        <v>46157</v>
      </c>
      <c r="BD671" s="227">
        <v>46157</v>
      </c>
      <c r="BE671" s="227" t="s">
        <v>4435</v>
      </c>
      <c r="BF671" s="228" t="s">
        <v>4436</v>
      </c>
      <c r="BG671" s="229" t="s">
        <v>4425</v>
      </c>
      <c r="BH671" s="321">
        <f t="shared" si="45"/>
        <v>64</v>
      </c>
      <c r="BI671" s="98" t="str">
        <f t="shared" si="46"/>
        <v>INDENIZAÇÃO</v>
      </c>
      <c r="BJ671" s="98" t="str">
        <f t="shared" si="47"/>
        <v>NÃO</v>
      </c>
      <c r="BK671" s="230" t="s">
        <v>4437</v>
      </c>
      <c r="BL671" s="230" t="s">
        <v>4437</v>
      </c>
      <c r="BM671" s="230" t="s">
        <v>4437</v>
      </c>
      <c r="BN671" s="265" t="s">
        <v>5732</v>
      </c>
      <c r="BO671" s="265"/>
      <c r="BP671" s="265"/>
      <c r="BQ671" s="265"/>
      <c r="BR671" s="231"/>
    </row>
    <row r="672" spans="1:74" ht="27" hidden="1" customHeight="1">
      <c r="A672" s="207">
        <v>668</v>
      </c>
      <c r="B672" s="197" t="s">
        <v>4396</v>
      </c>
      <c r="C672" s="207" t="s">
        <v>4427</v>
      </c>
      <c r="D672" s="207">
        <v>1</v>
      </c>
      <c r="E672" s="207" t="s">
        <v>4398</v>
      </c>
      <c r="F672" s="214" t="s">
        <v>7285</v>
      </c>
      <c r="G672" s="207" t="s">
        <v>4400</v>
      </c>
      <c r="H672" s="207" t="s">
        <v>4401</v>
      </c>
      <c r="I672" s="217" t="s">
        <v>4402</v>
      </c>
      <c r="J672" s="215" t="s">
        <v>7286</v>
      </c>
      <c r="K672" s="215" t="s">
        <v>7287</v>
      </c>
      <c r="L672" s="215" t="s">
        <v>7288</v>
      </c>
      <c r="M672" s="207" t="s">
        <v>4405</v>
      </c>
      <c r="N672" s="207" t="s">
        <v>4406</v>
      </c>
      <c r="O672" s="203">
        <v>46044</v>
      </c>
      <c r="P672" s="203" t="s">
        <v>4407</v>
      </c>
      <c r="Q672" s="203">
        <v>46043</v>
      </c>
      <c r="R672" s="203">
        <v>46044</v>
      </c>
      <c r="S672" s="203">
        <v>46045</v>
      </c>
      <c r="T672" s="203">
        <v>46155</v>
      </c>
      <c r="U672" s="202" t="s">
        <v>4408</v>
      </c>
      <c r="V672" s="202" t="s">
        <v>4408</v>
      </c>
      <c r="W672" s="202">
        <v>46055</v>
      </c>
      <c r="X672" s="202">
        <v>46056</v>
      </c>
      <c r="Y672" s="202"/>
      <c r="Z672" s="207"/>
      <c r="AA672" s="215" t="s">
        <v>7286</v>
      </c>
      <c r="AB672" s="215" t="s">
        <v>7287</v>
      </c>
      <c r="AC672" s="215" t="s">
        <v>7288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07" t="s">
        <v>4410</v>
      </c>
      <c r="AI672" s="214" t="s">
        <v>4411</v>
      </c>
      <c r="AJ672" s="207"/>
      <c r="AK672" s="316">
        <v>46041</v>
      </c>
      <c r="AL672" s="316">
        <v>46041</v>
      </c>
      <c r="AM672" s="316">
        <v>46041</v>
      </c>
      <c r="AN672" s="316">
        <v>46041</v>
      </c>
      <c r="AO672" s="316">
        <v>46041</v>
      </c>
      <c r="AP672" s="316">
        <v>46041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/>
      <c r="AY672" s="207"/>
      <c r="AZ672" s="202"/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207">
        <v>669</v>
      </c>
      <c r="B673" s="197" t="s">
        <v>4396</v>
      </c>
      <c r="C673" s="207" t="s">
        <v>4427</v>
      </c>
      <c r="D673" s="207">
        <v>1</v>
      </c>
      <c r="E673" s="207" t="s">
        <v>4398</v>
      </c>
      <c r="F673" s="214" t="s">
        <v>7289</v>
      </c>
      <c r="G673" s="207" t="s">
        <v>4400</v>
      </c>
      <c r="H673" s="207" t="s">
        <v>4401</v>
      </c>
      <c r="I673" s="217" t="s">
        <v>4402</v>
      </c>
      <c r="J673" s="215" t="s">
        <v>7290</v>
      </c>
      <c r="K673" s="215" t="s">
        <v>7291</v>
      </c>
      <c r="L673" s="215" t="s">
        <v>7292</v>
      </c>
      <c r="M673" s="207" t="s">
        <v>4405</v>
      </c>
      <c r="N673" s="207" t="s">
        <v>4406</v>
      </c>
      <c r="O673" s="202">
        <v>46084</v>
      </c>
      <c r="P673" s="202" t="s">
        <v>4407</v>
      </c>
      <c r="Q673" s="202">
        <v>46083</v>
      </c>
      <c r="R673" s="203">
        <v>46084</v>
      </c>
      <c r="S673" s="203">
        <v>46087</v>
      </c>
      <c r="T673" s="203">
        <v>46090</v>
      </c>
      <c r="U673" s="202" t="s">
        <v>4408</v>
      </c>
      <c r="V673" s="202" t="s">
        <v>4408</v>
      </c>
      <c r="W673" s="202">
        <v>46101</v>
      </c>
      <c r="X673" s="202">
        <v>46101</v>
      </c>
      <c r="Y673" s="202"/>
      <c r="Z673" s="202"/>
      <c r="AA673" s="215" t="s">
        <v>7290</v>
      </c>
      <c r="AB673" s="215" t="s">
        <v>7291</v>
      </c>
      <c r="AC673" s="215" t="s">
        <v>7292</v>
      </c>
      <c r="AD673" s="207" t="s">
        <v>4402</v>
      </c>
      <c r="AE673" s="207" t="s">
        <v>4405</v>
      </c>
      <c r="AF673" s="218" t="s">
        <v>4409</v>
      </c>
      <c r="AG673" s="218" t="s">
        <v>4409</v>
      </c>
      <c r="AH673" s="207" t="s">
        <v>4410</v>
      </c>
      <c r="AI673" s="214" t="s">
        <v>4411</v>
      </c>
      <c r="AJ673" s="207"/>
      <c r="AK673" s="316">
        <v>46041</v>
      </c>
      <c r="AL673" s="316">
        <v>46041</v>
      </c>
      <c r="AM673" s="316">
        <v>46041</v>
      </c>
      <c r="AN673" s="316">
        <v>46041</v>
      </c>
      <c r="AO673" s="316">
        <v>46041</v>
      </c>
      <c r="AP673" s="316">
        <v>46041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/>
      <c r="AY673" s="207"/>
      <c r="AZ673" s="202"/>
      <c r="BA673" s="219"/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670</v>
      </c>
      <c r="B674" s="197" t="s">
        <v>4396</v>
      </c>
      <c r="C674" s="207" t="s">
        <v>4427</v>
      </c>
      <c r="D674" s="207">
        <v>1</v>
      </c>
      <c r="E674" s="207" t="s">
        <v>4398</v>
      </c>
      <c r="F674" s="214" t="s">
        <v>7293</v>
      </c>
      <c r="G674" s="207" t="s">
        <v>4400</v>
      </c>
      <c r="H674" s="207" t="s">
        <v>4401</v>
      </c>
      <c r="I674" s="217" t="s">
        <v>4402</v>
      </c>
      <c r="J674" s="255" t="s">
        <v>7294</v>
      </c>
      <c r="K674" s="215" t="s">
        <v>7295</v>
      </c>
      <c r="L674" s="215" t="s">
        <v>7296</v>
      </c>
      <c r="M674" s="207" t="s">
        <v>4405</v>
      </c>
      <c r="N674" s="207" t="s">
        <v>4406</v>
      </c>
      <c r="O674" s="203">
        <v>46044</v>
      </c>
      <c r="P674" s="203" t="s">
        <v>4407</v>
      </c>
      <c r="Q674" s="203">
        <v>46043</v>
      </c>
      <c r="R674" s="203">
        <v>46044</v>
      </c>
      <c r="S674" s="203">
        <v>46045</v>
      </c>
      <c r="T674" s="203">
        <v>46155</v>
      </c>
      <c r="U674" s="202" t="s">
        <v>4408</v>
      </c>
      <c r="V674" s="202" t="s">
        <v>4408</v>
      </c>
      <c r="W674" s="202">
        <v>46055</v>
      </c>
      <c r="X674" s="202">
        <v>46056</v>
      </c>
      <c r="Y674" s="202"/>
      <c r="Z674" s="207"/>
      <c r="AA674" s="255" t="s">
        <v>7294</v>
      </c>
      <c r="AB674" s="215" t="s">
        <v>7295</v>
      </c>
      <c r="AC674" s="215" t="s">
        <v>7296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7" t="s">
        <v>4410</v>
      </c>
      <c r="AI674" s="214" t="s">
        <v>4411</v>
      </c>
      <c r="AJ674" s="207"/>
      <c r="AK674" s="316">
        <v>46041</v>
      </c>
      <c r="AL674" s="316">
        <v>46041</v>
      </c>
      <c r="AM674" s="316">
        <v>46041</v>
      </c>
      <c r="AN674" s="316">
        <v>46041</v>
      </c>
      <c r="AO674" s="316">
        <v>46041</v>
      </c>
      <c r="AP674" s="316">
        <v>46041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/>
      <c r="AY674" s="207"/>
      <c r="AZ674" s="202"/>
      <c r="BA674" s="219"/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197">
        <v>671</v>
      </c>
      <c r="B675" s="197" t="s">
        <v>4396</v>
      </c>
      <c r="C675" s="207" t="s">
        <v>4427</v>
      </c>
      <c r="D675" s="207">
        <v>1</v>
      </c>
      <c r="E675" s="207" t="s">
        <v>4398</v>
      </c>
      <c r="F675" s="214" t="s">
        <v>7297</v>
      </c>
      <c r="G675" s="207" t="s">
        <v>4400</v>
      </c>
      <c r="H675" s="207" t="s">
        <v>4401</v>
      </c>
      <c r="I675" s="217" t="s">
        <v>4402</v>
      </c>
      <c r="J675" s="255" t="s">
        <v>7298</v>
      </c>
      <c r="K675" s="215" t="s">
        <v>7299</v>
      </c>
      <c r="L675" s="215" t="s">
        <v>7300</v>
      </c>
      <c r="M675" s="207" t="s">
        <v>4405</v>
      </c>
      <c r="N675" s="207" t="s">
        <v>4406</v>
      </c>
      <c r="O675" s="203">
        <v>46044</v>
      </c>
      <c r="P675" s="203" t="s">
        <v>4407</v>
      </c>
      <c r="Q675" s="203">
        <v>46043</v>
      </c>
      <c r="R675" s="203">
        <v>46044</v>
      </c>
      <c r="S675" s="203">
        <v>46045</v>
      </c>
      <c r="T675" s="203">
        <v>46155</v>
      </c>
      <c r="U675" s="202" t="s">
        <v>4408</v>
      </c>
      <c r="V675" s="202" t="s">
        <v>4408</v>
      </c>
      <c r="W675" s="202">
        <v>46055</v>
      </c>
      <c r="X675" s="202">
        <v>46059</v>
      </c>
      <c r="Y675" s="202"/>
      <c r="Z675" s="207"/>
      <c r="AA675" s="255" t="s">
        <v>7298</v>
      </c>
      <c r="AB675" s="215" t="s">
        <v>7299</v>
      </c>
      <c r="AC675" s="215" t="s">
        <v>7300</v>
      </c>
      <c r="AD675" s="207" t="s">
        <v>4402</v>
      </c>
      <c r="AE675" s="207" t="s">
        <v>4405</v>
      </c>
      <c r="AF675" s="218" t="s">
        <v>4409</v>
      </c>
      <c r="AG675" s="218" t="s">
        <v>4409</v>
      </c>
      <c r="AH675" s="207" t="s">
        <v>4410</v>
      </c>
      <c r="AI675" s="214" t="s">
        <v>4411</v>
      </c>
      <c r="AJ675" s="207"/>
      <c r="AK675" s="316">
        <v>46041</v>
      </c>
      <c r="AL675" s="316">
        <v>46041</v>
      </c>
      <c r="AM675" s="316">
        <v>46041</v>
      </c>
      <c r="AN675" s="316">
        <v>46041</v>
      </c>
      <c r="AO675" s="316">
        <v>46041</v>
      </c>
      <c r="AP675" s="316">
        <v>46041</v>
      </c>
      <c r="AQ675" s="314"/>
      <c r="AR675" s="315" t="str">
        <f t="shared" si="48"/>
        <v>FINALIZADO</v>
      </c>
      <c r="AS675" s="207"/>
      <c r="AT675" s="207"/>
      <c r="AU675" s="225"/>
      <c r="AV675" s="207"/>
      <c r="AW675" s="207"/>
      <c r="AX675" s="207"/>
      <c r="AY675" s="207"/>
      <c r="AZ675" s="202"/>
      <c r="BA675" s="219"/>
      <c r="BB675" s="207"/>
      <c r="BC675" s="202"/>
      <c r="BD675" s="208"/>
      <c r="BE675" s="202"/>
      <c r="BF675" s="207"/>
      <c r="BG675" s="229"/>
      <c r="BH675" s="321" t="str">
        <f t="shared" si="45"/>
        <v/>
      </c>
      <c r="BI675" s="98" t="str">
        <f t="shared" si="46"/>
        <v>AA</v>
      </c>
      <c r="BJ675" s="98" t="str">
        <f t="shared" si="47"/>
        <v>NÃO</v>
      </c>
      <c r="BK675" s="230"/>
      <c r="BL675" s="230"/>
      <c r="BM675" s="230"/>
      <c r="BN675" s="230"/>
      <c r="BO675" s="230"/>
      <c r="BP675" s="230"/>
      <c r="BQ675" s="230"/>
      <c r="BR675" s="234"/>
    </row>
    <row r="676" spans="1:71" ht="27" hidden="1" customHeight="1">
      <c r="A676" s="207">
        <v>672</v>
      </c>
      <c r="B676" s="197" t="s">
        <v>4396</v>
      </c>
      <c r="C676" s="207" t="s">
        <v>4427</v>
      </c>
      <c r="D676" s="207">
        <v>1</v>
      </c>
      <c r="E676" s="207" t="s">
        <v>4398</v>
      </c>
      <c r="F676" s="214" t="s">
        <v>7301</v>
      </c>
      <c r="G676" s="207" t="s">
        <v>4400</v>
      </c>
      <c r="H676" s="207" t="s">
        <v>4401</v>
      </c>
      <c r="I676" s="217" t="s">
        <v>4402</v>
      </c>
      <c r="J676" s="255" t="s">
        <v>7302</v>
      </c>
      <c r="K676" s="215" t="s">
        <v>4440</v>
      </c>
      <c r="L676" s="215" t="s">
        <v>7303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55" t="s">
        <v>7302</v>
      </c>
      <c r="AB676" s="215" t="s">
        <v>4440</v>
      </c>
      <c r="AC676" s="215" t="s">
        <v>7303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A676" s="219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673</v>
      </c>
      <c r="B677" s="197" t="s">
        <v>4396</v>
      </c>
      <c r="C677" s="207" t="s">
        <v>4427</v>
      </c>
      <c r="D677" s="207">
        <v>1</v>
      </c>
      <c r="E677" s="207" t="s">
        <v>4398</v>
      </c>
      <c r="F677" s="214" t="s">
        <v>7304</v>
      </c>
      <c r="G677" s="207" t="s">
        <v>4400</v>
      </c>
      <c r="H677" s="207" t="s">
        <v>4401</v>
      </c>
      <c r="I677" s="217" t="s">
        <v>4402</v>
      </c>
      <c r="J677" s="255" t="s">
        <v>7305</v>
      </c>
      <c r="K677" s="215" t="s">
        <v>7306</v>
      </c>
      <c r="L677" s="215" t="s">
        <v>7307</v>
      </c>
      <c r="M677" s="207" t="s">
        <v>4405</v>
      </c>
      <c r="N677" s="207" t="s">
        <v>4406</v>
      </c>
      <c r="O677" s="203">
        <v>46044</v>
      </c>
      <c r="P677" s="203" t="s">
        <v>4407</v>
      </c>
      <c r="Q677" s="203">
        <v>46043</v>
      </c>
      <c r="R677" s="203">
        <v>46044</v>
      </c>
      <c r="S677" s="203">
        <v>46045</v>
      </c>
      <c r="T677" s="203">
        <v>46155</v>
      </c>
      <c r="U677" s="202" t="s">
        <v>4408</v>
      </c>
      <c r="V677" s="202" t="s">
        <v>4408</v>
      </c>
      <c r="W677" s="202">
        <v>46055</v>
      </c>
      <c r="X677" s="202">
        <v>46056</v>
      </c>
      <c r="Y677" s="202"/>
      <c r="Z677" s="207"/>
      <c r="AA677" s="255" t="s">
        <v>7305</v>
      </c>
      <c r="AB677" s="215" t="s">
        <v>7306</v>
      </c>
      <c r="AC677" s="215" t="s">
        <v>7307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/>
      <c r="AL677" s="316"/>
      <c r="AM677" s="316"/>
      <c r="AN677" s="316"/>
      <c r="AO677" s="316"/>
      <c r="AP677" s="316"/>
      <c r="AQ677" s="314"/>
      <c r="AR677" s="315" t="str">
        <f t="shared" si="48"/>
        <v/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207">
        <v>674</v>
      </c>
      <c r="B678" s="197" t="s">
        <v>4396</v>
      </c>
      <c r="C678" s="207" t="s">
        <v>4427</v>
      </c>
      <c r="D678" s="207">
        <v>1</v>
      </c>
      <c r="E678" s="207" t="s">
        <v>4398</v>
      </c>
      <c r="F678" s="214" t="s">
        <v>7308</v>
      </c>
      <c r="G678" s="207" t="s">
        <v>4400</v>
      </c>
      <c r="H678" s="207" t="s">
        <v>4401</v>
      </c>
      <c r="I678" s="217" t="s">
        <v>4402</v>
      </c>
      <c r="J678" s="255" t="s">
        <v>7309</v>
      </c>
      <c r="K678" s="215" t="s">
        <v>7310</v>
      </c>
      <c r="L678" s="215" t="s">
        <v>7311</v>
      </c>
      <c r="M678" s="207" t="s">
        <v>4405</v>
      </c>
      <c r="N678" s="207" t="s">
        <v>4406</v>
      </c>
      <c r="O678" s="203">
        <v>46031</v>
      </c>
      <c r="P678" s="202" t="s">
        <v>4407</v>
      </c>
      <c r="Q678" s="203">
        <v>46030</v>
      </c>
      <c r="R678" s="203">
        <v>46031</v>
      </c>
      <c r="S678" s="203">
        <v>46036</v>
      </c>
      <c r="T678" s="203">
        <v>46045</v>
      </c>
      <c r="U678" s="203" t="s">
        <v>4408</v>
      </c>
      <c r="V678" s="203" t="s">
        <v>4408</v>
      </c>
      <c r="W678" s="202">
        <v>46055</v>
      </c>
      <c r="X678" s="202">
        <v>46056</v>
      </c>
      <c r="Y678" s="203"/>
      <c r="Z678" s="219"/>
      <c r="AA678" s="255" t="s">
        <v>7309</v>
      </c>
      <c r="AB678" s="215" t="s">
        <v>7310</v>
      </c>
      <c r="AC678" s="215" t="s">
        <v>7311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7"/>
      <c r="AL678" s="317"/>
      <c r="AM678" s="317"/>
      <c r="AN678" s="317"/>
      <c r="AO678" s="317"/>
      <c r="AP678" s="317"/>
      <c r="AQ678" s="314"/>
      <c r="AR678" s="315" t="str">
        <f t="shared" si="48"/>
        <v/>
      </c>
      <c r="AS678" s="207"/>
      <c r="AT678" s="219"/>
      <c r="AU678" s="225"/>
      <c r="AV678" s="219"/>
      <c r="AW678" s="219"/>
      <c r="AX678" s="219"/>
      <c r="AY678" s="219"/>
      <c r="AZ678" s="219"/>
      <c r="BA678" s="219"/>
      <c r="BB678" s="219"/>
      <c r="BC678" s="219"/>
      <c r="BD678" s="208"/>
      <c r="BE678" s="203"/>
      <c r="BF678" s="219"/>
      <c r="BG678" s="21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19"/>
      <c r="BL678" s="221"/>
      <c r="BM678" s="221"/>
      <c r="BN678" s="219"/>
      <c r="BO678" s="219"/>
      <c r="BP678" s="219"/>
      <c r="BQ678" s="219"/>
      <c r="BR678" s="222"/>
    </row>
    <row r="679" spans="1:71" ht="27" hidden="1" customHeight="1">
      <c r="A679" s="197">
        <v>675</v>
      </c>
      <c r="B679" s="197" t="s">
        <v>4396</v>
      </c>
      <c r="C679" s="207" t="s">
        <v>4427</v>
      </c>
      <c r="D679" s="207">
        <v>1</v>
      </c>
      <c r="E679" s="207" t="s">
        <v>4398</v>
      </c>
      <c r="F679" s="214" t="s">
        <v>7312</v>
      </c>
      <c r="G679" s="207" t="s">
        <v>4400</v>
      </c>
      <c r="H679" s="207" t="s">
        <v>4583</v>
      </c>
      <c r="I679" s="217" t="s">
        <v>4402</v>
      </c>
      <c r="J679" s="215" t="s">
        <v>7313</v>
      </c>
      <c r="K679" s="215" t="s">
        <v>7314</v>
      </c>
      <c r="L679" s="215" t="s">
        <v>7315</v>
      </c>
      <c r="M679" s="207" t="s">
        <v>4405</v>
      </c>
      <c r="N679" s="207" t="s">
        <v>4442</v>
      </c>
      <c r="O679" s="202" t="s">
        <v>4409</v>
      </c>
      <c r="P679" s="202" t="s">
        <v>4409</v>
      </c>
      <c r="Q679" s="202" t="s">
        <v>4409</v>
      </c>
      <c r="R679" s="202" t="s">
        <v>4409</v>
      </c>
      <c r="S679" s="202" t="s">
        <v>4409</v>
      </c>
      <c r="T679" s="202" t="s">
        <v>4409</v>
      </c>
      <c r="U679" s="202" t="s">
        <v>4409</v>
      </c>
      <c r="V679" s="202" t="s">
        <v>4409</v>
      </c>
      <c r="W679" s="202" t="s">
        <v>4409</v>
      </c>
      <c r="X679" s="202" t="s">
        <v>4409</v>
      </c>
      <c r="Y679" s="202"/>
      <c r="Z679" s="202"/>
      <c r="AA679" s="215" t="s">
        <v>7313</v>
      </c>
      <c r="AB679" s="215" t="s">
        <v>7314</v>
      </c>
      <c r="AC679" s="215" t="s">
        <v>7315</v>
      </c>
      <c r="AD679" s="207" t="s">
        <v>4402</v>
      </c>
      <c r="AE679" s="207" t="s">
        <v>4405</v>
      </c>
      <c r="AF679" s="218">
        <v>46615.76</v>
      </c>
      <c r="AG679" s="218">
        <v>60000</v>
      </c>
      <c r="AH679" s="207" t="s">
        <v>4433</v>
      </c>
      <c r="AI679" s="214" t="s">
        <v>4411</v>
      </c>
      <c r="AJ679" s="207">
        <v>146672713</v>
      </c>
      <c r="AK679" s="316">
        <v>45980</v>
      </c>
      <c r="AL679" s="316">
        <v>45980</v>
      </c>
      <c r="AM679" s="316">
        <v>45980</v>
      </c>
      <c r="AN679" s="316">
        <v>45980</v>
      </c>
      <c r="AO679" s="316">
        <v>45980</v>
      </c>
      <c r="AP679" s="316">
        <v>45980</v>
      </c>
      <c r="AQ679" s="314"/>
      <c r="AR679" s="315" t="str">
        <f t="shared" si="48"/>
        <v>FINALIZADO</v>
      </c>
      <c r="AS679" s="207" t="s">
        <v>4423</v>
      </c>
      <c r="AT679" s="219"/>
      <c r="AU679" s="225" t="s">
        <v>7316</v>
      </c>
      <c r="AV679" s="207" t="s">
        <v>4425</v>
      </c>
      <c r="AW679" s="207" t="s">
        <v>4425</v>
      </c>
      <c r="AX679" s="207" t="s">
        <v>4425</v>
      </c>
      <c r="AY679" s="207" t="s">
        <v>4425</v>
      </c>
      <c r="AZ679" s="202">
        <v>46021</v>
      </c>
      <c r="BA679" s="219" t="s">
        <v>4425</v>
      </c>
      <c r="BB679" s="207" t="s">
        <v>4425</v>
      </c>
      <c r="BC679" s="239">
        <v>46041</v>
      </c>
      <c r="BD679" s="226">
        <v>46041</v>
      </c>
      <c r="BE679" s="226" t="s">
        <v>4435</v>
      </c>
      <c r="BF679" s="245" t="s">
        <v>4436</v>
      </c>
      <c r="BG679" s="229" t="s">
        <v>4425</v>
      </c>
      <c r="BH679" s="321">
        <f t="shared" si="45"/>
        <v>61</v>
      </c>
      <c r="BI679" s="98" t="str">
        <f t="shared" si="46"/>
        <v>INDENIZAÇÃO</v>
      </c>
      <c r="BJ679" s="98" t="str">
        <f t="shared" si="47"/>
        <v>NÃO</v>
      </c>
      <c r="BK679" s="230" t="s">
        <v>4437</v>
      </c>
      <c r="BL679" s="230" t="s">
        <v>4437</v>
      </c>
      <c r="BM679" s="230" t="s">
        <v>4437</v>
      </c>
      <c r="BN679" s="265" t="s">
        <v>5732</v>
      </c>
      <c r="BO679" s="265"/>
      <c r="BP679" s="265"/>
      <c r="BQ679" s="265"/>
      <c r="BR679" s="231"/>
      <c r="BS679" s="223"/>
    </row>
    <row r="680" spans="1:71" ht="27" hidden="1" customHeight="1">
      <c r="A680" s="197">
        <v>676</v>
      </c>
      <c r="B680" s="197" t="s">
        <v>4396</v>
      </c>
      <c r="C680" s="207" t="s">
        <v>4427</v>
      </c>
      <c r="D680" s="207">
        <v>1</v>
      </c>
      <c r="E680" s="207" t="s">
        <v>4398</v>
      </c>
      <c r="F680" s="214" t="s">
        <v>7317</v>
      </c>
      <c r="G680" s="207" t="s">
        <v>4400</v>
      </c>
      <c r="H680" s="207" t="s">
        <v>4401</v>
      </c>
      <c r="I680" s="217" t="s">
        <v>4402</v>
      </c>
      <c r="J680" s="215" t="s">
        <v>7318</v>
      </c>
      <c r="K680" s="215" t="s">
        <v>7319</v>
      </c>
      <c r="L680" s="215" t="s">
        <v>7320</v>
      </c>
      <c r="M680" s="207" t="s">
        <v>4405</v>
      </c>
      <c r="N680" s="207" t="s">
        <v>4442</v>
      </c>
      <c r="O680" s="202" t="s">
        <v>4409</v>
      </c>
      <c r="P680" s="202" t="s">
        <v>4409</v>
      </c>
      <c r="Q680" s="202" t="s">
        <v>4409</v>
      </c>
      <c r="R680" s="202" t="s">
        <v>4409</v>
      </c>
      <c r="S680" s="202" t="s">
        <v>4409</v>
      </c>
      <c r="T680" s="202" t="s">
        <v>4409</v>
      </c>
      <c r="U680" s="202" t="s">
        <v>4409</v>
      </c>
      <c r="V680" s="202" t="s">
        <v>4409</v>
      </c>
      <c r="W680" s="202" t="s">
        <v>4409</v>
      </c>
      <c r="X680" s="202" t="s">
        <v>4409</v>
      </c>
      <c r="Y680" s="202"/>
      <c r="Z680" s="202"/>
      <c r="AA680" s="215" t="s">
        <v>7321</v>
      </c>
      <c r="AB680" s="215" t="s">
        <v>7319</v>
      </c>
      <c r="AC680" s="215" t="s">
        <v>7320</v>
      </c>
      <c r="AD680" s="207" t="s">
        <v>4402</v>
      </c>
      <c r="AE680" s="207" t="s">
        <v>4405</v>
      </c>
      <c r="AF680" s="218">
        <v>31783.47</v>
      </c>
      <c r="AG680" s="218">
        <v>60000</v>
      </c>
      <c r="AH680" s="207" t="s">
        <v>4433</v>
      </c>
      <c r="AI680" s="214" t="s">
        <v>4411</v>
      </c>
      <c r="AJ680" s="207">
        <v>146672782</v>
      </c>
      <c r="AK680" s="316">
        <v>46001</v>
      </c>
      <c r="AL680" s="316">
        <v>46001</v>
      </c>
      <c r="AM680" s="316">
        <v>46001</v>
      </c>
      <c r="AN680" s="316">
        <v>46001</v>
      </c>
      <c r="AO680" s="316">
        <v>46001</v>
      </c>
      <c r="AP680" s="316">
        <v>46001</v>
      </c>
      <c r="AQ680" s="314"/>
      <c r="AR680" s="315" t="str">
        <f t="shared" si="48"/>
        <v>FINALIZADO</v>
      </c>
      <c r="AS680" s="207" t="s">
        <v>4423</v>
      </c>
      <c r="AT680" s="219"/>
      <c r="AU680" s="225" t="s">
        <v>7322</v>
      </c>
      <c r="AV680" s="207" t="s">
        <v>4425</v>
      </c>
      <c r="AW680" s="207" t="s">
        <v>4425</v>
      </c>
      <c r="AX680" s="207" t="s">
        <v>4425</v>
      </c>
      <c r="AY680" s="207" t="s">
        <v>4425</v>
      </c>
      <c r="AZ680" s="203">
        <v>46024</v>
      </c>
      <c r="BA680" s="219" t="s">
        <v>4425</v>
      </c>
      <c r="BB680" s="207" t="s">
        <v>4425</v>
      </c>
      <c r="BC680" s="208">
        <v>46038</v>
      </c>
      <c r="BD680" s="226">
        <v>46038</v>
      </c>
      <c r="BE680" s="226" t="s">
        <v>4435</v>
      </c>
      <c r="BF680" s="228" t="s">
        <v>4436</v>
      </c>
      <c r="BG680" s="229" t="s">
        <v>4425</v>
      </c>
      <c r="BH680" s="321">
        <f t="shared" si="45"/>
        <v>37</v>
      </c>
      <c r="BI680" s="98" t="str">
        <f t="shared" si="46"/>
        <v>INDENIZAÇÃO</v>
      </c>
      <c r="BJ680" s="98" t="str">
        <f t="shared" si="47"/>
        <v>NÃO</v>
      </c>
      <c r="BK680" s="230" t="s">
        <v>4437</v>
      </c>
      <c r="BL680" s="230" t="s">
        <v>4437</v>
      </c>
      <c r="BM680" s="230" t="s">
        <v>4437</v>
      </c>
      <c r="BN680" s="265" t="s">
        <v>5732</v>
      </c>
      <c r="BO680" s="265"/>
      <c r="BP680" s="265"/>
      <c r="BQ680" s="265"/>
      <c r="BR680" s="231"/>
      <c r="BS680" s="223"/>
    </row>
    <row r="681" spans="1:71" ht="27" hidden="1" customHeight="1">
      <c r="A681" s="207">
        <v>677</v>
      </c>
      <c r="B681" s="197" t="s">
        <v>4396</v>
      </c>
      <c r="C681" s="207" t="s">
        <v>4427</v>
      </c>
      <c r="D681" s="207">
        <v>1</v>
      </c>
      <c r="E681" s="207" t="s">
        <v>4398</v>
      </c>
      <c r="F681" s="214" t="s">
        <v>7323</v>
      </c>
      <c r="G681" s="207" t="s">
        <v>4400</v>
      </c>
      <c r="H681" s="207" t="s">
        <v>4401</v>
      </c>
      <c r="I681" s="217" t="s">
        <v>4402</v>
      </c>
      <c r="J681" s="215" t="s">
        <v>7324</v>
      </c>
      <c r="K681" s="215" t="s">
        <v>7325</v>
      </c>
      <c r="L681" s="215" t="s">
        <v>7326</v>
      </c>
      <c r="M681" s="207" t="s">
        <v>4405</v>
      </c>
      <c r="N681" s="207" t="s">
        <v>4406</v>
      </c>
      <c r="O681" s="202">
        <v>45986</v>
      </c>
      <c r="P681" s="203" t="s">
        <v>4407</v>
      </c>
      <c r="Q681" s="203">
        <v>45985</v>
      </c>
      <c r="R681" s="203">
        <v>45986</v>
      </c>
      <c r="S681" s="203">
        <v>45987</v>
      </c>
      <c r="T681" s="203">
        <v>45992</v>
      </c>
      <c r="U681" s="202" t="s">
        <v>4408</v>
      </c>
      <c r="V681" s="202" t="s">
        <v>4408</v>
      </c>
      <c r="W681" s="202">
        <v>45999</v>
      </c>
      <c r="X681" s="202">
        <v>46002</v>
      </c>
      <c r="Y681" s="202"/>
      <c r="Z681" s="207"/>
      <c r="AA681" s="215" t="s">
        <v>7324</v>
      </c>
      <c r="AB681" s="215" t="s">
        <v>7325</v>
      </c>
      <c r="AC681" s="215" t="s">
        <v>7326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41" t="s">
        <v>4410</v>
      </c>
      <c r="AI681" s="214" t="s">
        <v>4411</v>
      </c>
      <c r="AJ681" s="207"/>
      <c r="AK681" s="316">
        <v>45980</v>
      </c>
      <c r="AL681" s="316">
        <v>45980</v>
      </c>
      <c r="AM681" s="316">
        <v>45980</v>
      </c>
      <c r="AN681" s="316">
        <v>45980</v>
      </c>
      <c r="AO681" s="316">
        <v>45980</v>
      </c>
      <c r="AP681" s="316">
        <v>45980</v>
      </c>
      <c r="AQ681" s="314"/>
      <c r="AR681" s="315" t="str">
        <f t="shared" si="48"/>
        <v>FINALIZADO</v>
      </c>
      <c r="AS681" s="207"/>
      <c r="AT681" s="207"/>
      <c r="AU681" s="225"/>
      <c r="AV681" s="207"/>
      <c r="AW681" s="207"/>
      <c r="AX681" s="207" t="s">
        <v>4409</v>
      </c>
      <c r="AY681" s="207" t="s">
        <v>4409</v>
      </c>
      <c r="AZ681" s="207" t="s">
        <v>4409</v>
      </c>
      <c r="BA681" s="207" t="s">
        <v>4409</v>
      </c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  <c r="BS681" s="240"/>
    </row>
    <row r="682" spans="1:71" ht="27" hidden="1" customHeight="1">
      <c r="A682" s="207">
        <v>678</v>
      </c>
      <c r="B682" s="197" t="s">
        <v>4396</v>
      </c>
      <c r="C682" s="207" t="s">
        <v>4427</v>
      </c>
      <c r="D682" s="207">
        <v>1</v>
      </c>
      <c r="E682" s="207" t="s">
        <v>4398</v>
      </c>
      <c r="F682" s="214" t="s">
        <v>7327</v>
      </c>
      <c r="G682" s="207" t="s">
        <v>4400</v>
      </c>
      <c r="H682" s="207" t="s">
        <v>4401</v>
      </c>
      <c r="I682" s="217" t="s">
        <v>4402</v>
      </c>
      <c r="J682" s="215" t="s">
        <v>7321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2">
        <v>46002</v>
      </c>
      <c r="P682" s="202" t="s">
        <v>4407</v>
      </c>
      <c r="Q682" s="202">
        <v>45999</v>
      </c>
      <c r="R682" s="202">
        <v>46006</v>
      </c>
      <c r="S682" s="202">
        <v>46006</v>
      </c>
      <c r="T682" s="202">
        <v>46009</v>
      </c>
      <c r="U682" s="202" t="s">
        <v>4408</v>
      </c>
      <c r="V682" s="202" t="s">
        <v>4408</v>
      </c>
      <c r="W682" s="202">
        <v>46014</v>
      </c>
      <c r="X682" s="202">
        <v>46029</v>
      </c>
      <c r="Y682" s="202"/>
      <c r="Z682" s="207"/>
      <c r="AA682" s="215" t="s">
        <v>7321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197" t="s">
        <v>4410</v>
      </c>
      <c r="AI682" s="214" t="s">
        <v>4411</v>
      </c>
      <c r="AJ682" s="207"/>
      <c r="AK682" s="316">
        <v>45980</v>
      </c>
      <c r="AL682" s="316">
        <v>45980</v>
      </c>
      <c r="AM682" s="316">
        <v>45980</v>
      </c>
      <c r="AN682" s="316">
        <v>45980</v>
      </c>
      <c r="AO682" s="316">
        <v>45980</v>
      </c>
      <c r="AP682" s="316">
        <v>45980</v>
      </c>
      <c r="AQ682" s="314"/>
      <c r="AR682" s="315" t="str">
        <f t="shared" si="48"/>
        <v>FINALIZADO</v>
      </c>
      <c r="AS682" s="207"/>
      <c r="AT682" s="207"/>
      <c r="AU682" s="225"/>
      <c r="AV682" s="207"/>
      <c r="AW682" s="207"/>
      <c r="AX682" s="207"/>
      <c r="AY682" s="207"/>
      <c r="AZ682" s="202"/>
      <c r="BA682" s="219"/>
      <c r="BB682" s="207"/>
      <c r="BC682" s="202"/>
      <c r="BD682" s="208"/>
      <c r="BE682" s="202"/>
      <c r="BF682" s="207"/>
      <c r="BG682" s="22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30"/>
      <c r="BL682" s="230"/>
      <c r="BM682" s="230"/>
      <c r="BN682" s="230"/>
      <c r="BO682" s="230"/>
      <c r="BP682" s="230"/>
      <c r="BQ682" s="230"/>
      <c r="BR682" s="234"/>
    </row>
    <row r="683" spans="1:71" ht="27" hidden="1" customHeight="1">
      <c r="A683" s="207">
        <v>679</v>
      </c>
      <c r="B683" s="197" t="s">
        <v>4396</v>
      </c>
      <c r="C683" s="207" t="s">
        <v>4427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4401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4406</v>
      </c>
      <c r="O683" s="202">
        <v>45986</v>
      </c>
      <c r="P683" s="203" t="s">
        <v>4407</v>
      </c>
      <c r="Q683" s="203">
        <v>45985</v>
      </c>
      <c r="R683" s="203">
        <v>45986</v>
      </c>
      <c r="S683" s="203">
        <v>45987</v>
      </c>
      <c r="T683" s="203">
        <v>45992</v>
      </c>
      <c r="U683" s="202" t="s">
        <v>4408</v>
      </c>
      <c r="V683" s="202" t="s">
        <v>4408</v>
      </c>
      <c r="W683" s="202">
        <v>45999</v>
      </c>
      <c r="X683" s="202">
        <v>46001</v>
      </c>
      <c r="Y683" s="202"/>
      <c r="Z683" s="207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 t="s">
        <v>4409</v>
      </c>
      <c r="AG683" s="218" t="s">
        <v>4409</v>
      </c>
      <c r="AH683" s="241" t="s">
        <v>4410</v>
      </c>
      <c r="AI683" s="214" t="s">
        <v>4411</v>
      </c>
      <c r="AJ683" s="207"/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/>
      <c r="AT683" s="207"/>
      <c r="AU683" s="225"/>
      <c r="AV683" s="207"/>
      <c r="AW683" s="207"/>
      <c r="AX683" s="207" t="s">
        <v>4409</v>
      </c>
      <c r="AY683" s="207" t="s">
        <v>4409</v>
      </c>
      <c r="AZ683" s="207" t="s">
        <v>4409</v>
      </c>
      <c r="BA683" s="207" t="s">
        <v>4409</v>
      </c>
      <c r="BB683" s="207"/>
      <c r="BC683" s="202"/>
      <c r="BD683" s="208"/>
      <c r="BE683" s="202"/>
      <c r="BF683" s="207"/>
      <c r="BG683" s="229"/>
      <c r="BH683" s="321" t="str">
        <f t="shared" si="45"/>
        <v/>
      </c>
      <c r="BI683" s="98" t="str">
        <f t="shared" si="46"/>
        <v>AA</v>
      </c>
      <c r="BJ683" s="98" t="str">
        <f t="shared" si="47"/>
        <v>NÃO</v>
      </c>
      <c r="BK683" s="230"/>
      <c r="BL683" s="230"/>
      <c r="BM683" s="230"/>
      <c r="BN683" s="230"/>
      <c r="BO683" s="230"/>
      <c r="BP683" s="230"/>
      <c r="BQ683" s="230"/>
      <c r="BR683" s="234"/>
    </row>
    <row r="684" spans="1:71" ht="27" hidden="1" customHeight="1">
      <c r="A684" s="197">
        <v>680</v>
      </c>
      <c r="B684" s="197" t="s">
        <v>4396</v>
      </c>
      <c r="C684" s="207" t="s">
        <v>4427</v>
      </c>
      <c r="D684" s="207">
        <v>1</v>
      </c>
      <c r="E684" s="207" t="s">
        <v>4398</v>
      </c>
      <c r="F684" s="214" t="s">
        <v>7334</v>
      </c>
      <c r="G684" s="207" t="s">
        <v>4400</v>
      </c>
      <c r="H684" s="207" t="s">
        <v>4401</v>
      </c>
      <c r="I684" s="217" t="s">
        <v>7022</v>
      </c>
      <c r="J684" s="215" t="s">
        <v>7335</v>
      </c>
      <c r="K684" s="215" t="s">
        <v>7336</v>
      </c>
      <c r="L684" s="215" t="s">
        <v>7337</v>
      </c>
      <c r="M684" s="207" t="s">
        <v>4405</v>
      </c>
      <c r="N684" s="207" t="s">
        <v>4406</v>
      </c>
      <c r="O684" s="202">
        <v>45986</v>
      </c>
      <c r="P684" s="203" t="s">
        <v>4407</v>
      </c>
      <c r="Q684" s="203">
        <v>45985</v>
      </c>
      <c r="R684" s="203">
        <v>45986</v>
      </c>
      <c r="S684" s="203">
        <v>45987</v>
      </c>
      <c r="T684" s="203">
        <v>45992</v>
      </c>
      <c r="U684" s="202" t="s">
        <v>4408</v>
      </c>
      <c r="V684" s="202" t="s">
        <v>4408</v>
      </c>
      <c r="W684" s="202">
        <v>45999</v>
      </c>
      <c r="X684" s="202">
        <v>46001</v>
      </c>
      <c r="Y684" s="202"/>
      <c r="Z684" s="207"/>
      <c r="AA684" s="215" t="s">
        <v>7335</v>
      </c>
      <c r="AB684" s="215" t="s">
        <v>7336</v>
      </c>
      <c r="AC684" s="215" t="s">
        <v>7337</v>
      </c>
      <c r="AD684" s="207" t="s">
        <v>4402</v>
      </c>
      <c r="AE684" s="207" t="s">
        <v>4405</v>
      </c>
      <c r="AF684" s="218" t="s">
        <v>4409</v>
      </c>
      <c r="AG684" s="218" t="s">
        <v>4409</v>
      </c>
      <c r="AH684" s="204" t="s">
        <v>4410</v>
      </c>
      <c r="AI684" s="214" t="s">
        <v>4411</v>
      </c>
      <c r="AJ684" s="207"/>
      <c r="AK684" s="316">
        <v>45980</v>
      </c>
      <c r="AL684" s="316">
        <v>45980</v>
      </c>
      <c r="AM684" s="316">
        <v>45980</v>
      </c>
      <c r="AN684" s="316">
        <v>45980</v>
      </c>
      <c r="AO684" s="316">
        <v>45980</v>
      </c>
      <c r="AP684" s="316">
        <v>45980</v>
      </c>
      <c r="AQ684" s="314"/>
      <c r="AR684" s="315" t="str">
        <f t="shared" si="48"/>
        <v>FINALIZADO</v>
      </c>
      <c r="AS684" s="207"/>
      <c r="AT684" s="207"/>
      <c r="AU684" s="225"/>
      <c r="AV684" s="207"/>
      <c r="AW684" s="207"/>
      <c r="AX684" s="207" t="s">
        <v>4409</v>
      </c>
      <c r="AY684" s="207" t="s">
        <v>4409</v>
      </c>
      <c r="AZ684" s="207" t="s">
        <v>4409</v>
      </c>
      <c r="BA684" s="207" t="s">
        <v>4409</v>
      </c>
      <c r="BB684" s="207"/>
      <c r="BC684" s="202"/>
      <c r="BD684" s="208"/>
      <c r="BE684" s="202"/>
      <c r="BF684" s="207"/>
      <c r="BG684" s="229"/>
      <c r="BH684" s="321" t="str">
        <f t="shared" si="45"/>
        <v/>
      </c>
      <c r="BI684" s="98" t="str">
        <f t="shared" si="46"/>
        <v>AA</v>
      </c>
      <c r="BJ684" s="98" t="str">
        <f t="shared" si="47"/>
        <v>NÃO</v>
      </c>
      <c r="BK684" s="230"/>
      <c r="BL684" s="230"/>
      <c r="BM684" s="230"/>
      <c r="BN684" s="230"/>
      <c r="BO684" s="230"/>
      <c r="BP684" s="230"/>
      <c r="BQ684" s="230"/>
      <c r="BR684" s="234"/>
    </row>
    <row r="685" spans="1:71" ht="27" hidden="1" customHeight="1">
      <c r="A685" s="197">
        <v>681</v>
      </c>
      <c r="B685" s="197" t="s">
        <v>4396</v>
      </c>
      <c r="C685" s="207" t="s">
        <v>4427</v>
      </c>
      <c r="D685" s="207">
        <v>1</v>
      </c>
      <c r="E685" s="207" t="s">
        <v>4398</v>
      </c>
      <c r="F685" s="214" t="s">
        <v>7338</v>
      </c>
      <c r="G685" s="207" t="s">
        <v>4400</v>
      </c>
      <c r="H685" s="207" t="s">
        <v>4401</v>
      </c>
      <c r="I685" s="217" t="s">
        <v>4402</v>
      </c>
      <c r="J685" s="215" t="s">
        <v>7339</v>
      </c>
      <c r="K685" s="215" t="s">
        <v>7340</v>
      </c>
      <c r="L685" s="215" t="s">
        <v>7341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3" t="s">
        <v>4408</v>
      </c>
      <c r="V685" s="203" t="s">
        <v>4408</v>
      </c>
      <c r="W685" s="202">
        <v>45999</v>
      </c>
      <c r="X685" s="202">
        <v>46001</v>
      </c>
      <c r="Y685" s="202"/>
      <c r="Z685" s="207"/>
      <c r="AA685" s="215" t="s">
        <v>7339</v>
      </c>
      <c r="AB685" s="215" t="s">
        <v>7340</v>
      </c>
      <c r="AC685" s="215" t="s">
        <v>7341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04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</row>
    <row r="686" spans="1:71" ht="27" hidden="1" customHeight="1">
      <c r="A686" s="207">
        <v>682</v>
      </c>
      <c r="B686" s="197" t="s">
        <v>4396</v>
      </c>
      <c r="C686" s="207" t="s">
        <v>4427</v>
      </c>
      <c r="D686" s="207">
        <v>1</v>
      </c>
      <c r="E686" s="207" t="s">
        <v>4398</v>
      </c>
      <c r="F686" s="214" t="s">
        <v>7342</v>
      </c>
      <c r="G686" s="207" t="s">
        <v>4400</v>
      </c>
      <c r="H686" s="207" t="s">
        <v>4401</v>
      </c>
      <c r="I686" s="217" t="s">
        <v>4402</v>
      </c>
      <c r="J686" s="215" t="s">
        <v>7343</v>
      </c>
      <c r="K686" s="215" t="s">
        <v>7344</v>
      </c>
      <c r="L686" s="215" t="s">
        <v>7345</v>
      </c>
      <c r="M686" s="207" t="s">
        <v>4405</v>
      </c>
      <c r="N686" s="207" t="s">
        <v>4406</v>
      </c>
      <c r="O686" s="202">
        <v>45986</v>
      </c>
      <c r="P686" s="203" t="s">
        <v>4407</v>
      </c>
      <c r="Q686" s="203">
        <v>45985</v>
      </c>
      <c r="R686" s="203">
        <v>45986</v>
      </c>
      <c r="S686" s="203">
        <v>45987</v>
      </c>
      <c r="T686" s="203">
        <v>45992</v>
      </c>
      <c r="U686" s="202" t="s">
        <v>4408</v>
      </c>
      <c r="V686" s="202" t="s">
        <v>4408</v>
      </c>
      <c r="W686" s="202">
        <v>45999</v>
      </c>
      <c r="X686" s="202">
        <v>46009</v>
      </c>
      <c r="Y686" s="203"/>
      <c r="Z686" s="219"/>
      <c r="AA686" s="215" t="s">
        <v>7343</v>
      </c>
      <c r="AB686" s="215" t="s">
        <v>7344</v>
      </c>
      <c r="AC686" s="215" t="s">
        <v>7345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204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19"/>
      <c r="AU686" s="225"/>
      <c r="AV686" s="207"/>
      <c r="AW686" s="207"/>
      <c r="AX686" s="207" t="s">
        <v>4409</v>
      </c>
      <c r="AY686" s="207" t="s">
        <v>4409</v>
      </c>
      <c r="AZ686" s="207" t="s">
        <v>4409</v>
      </c>
      <c r="BA686" s="207" t="s">
        <v>4409</v>
      </c>
      <c r="BB686" s="219"/>
      <c r="BC686" s="219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683</v>
      </c>
      <c r="B687" s="197" t="s">
        <v>4396</v>
      </c>
      <c r="C687" s="207" t="s">
        <v>4427</v>
      </c>
      <c r="D687" s="207">
        <v>1</v>
      </c>
      <c r="E687" s="207" t="s">
        <v>4398</v>
      </c>
      <c r="F687" s="214" t="s">
        <v>7346</v>
      </c>
      <c r="G687" s="207" t="s">
        <v>4400</v>
      </c>
      <c r="H687" s="207" t="s">
        <v>4401</v>
      </c>
      <c r="I687" s="217" t="s">
        <v>4402</v>
      </c>
      <c r="J687" s="215" t="s">
        <v>7347</v>
      </c>
      <c r="K687" s="215" t="s">
        <v>7348</v>
      </c>
      <c r="L687" s="215" t="s">
        <v>7349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7347</v>
      </c>
      <c r="AB687" s="215" t="s">
        <v>7348</v>
      </c>
      <c r="AC687" s="215" t="s">
        <v>7349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04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207">
        <v>684</v>
      </c>
      <c r="B688" s="197" t="s">
        <v>4396</v>
      </c>
      <c r="C688" s="207" t="s">
        <v>4427</v>
      </c>
      <c r="D688" s="207">
        <v>1</v>
      </c>
      <c r="E688" s="207" t="s">
        <v>4398</v>
      </c>
      <c r="F688" s="214" t="s">
        <v>7350</v>
      </c>
      <c r="G688" s="207" t="s">
        <v>4400</v>
      </c>
      <c r="H688" s="207" t="s">
        <v>4401</v>
      </c>
      <c r="I688" s="217" t="s">
        <v>4402</v>
      </c>
      <c r="J688" s="215" t="s">
        <v>7351</v>
      </c>
      <c r="K688" s="215" t="s">
        <v>7352</v>
      </c>
      <c r="L688" s="215" t="s">
        <v>7353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46000</v>
      </c>
      <c r="Y688" s="202"/>
      <c r="Z688" s="207"/>
      <c r="AA688" s="215" t="s">
        <v>7351</v>
      </c>
      <c r="AB688" s="215" t="s">
        <v>7352</v>
      </c>
      <c r="AC688" s="215" t="s">
        <v>7353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685</v>
      </c>
      <c r="B689" s="197" t="s">
        <v>4396</v>
      </c>
      <c r="C689" s="207" t="s">
        <v>4427</v>
      </c>
      <c r="D689" s="207">
        <v>1</v>
      </c>
      <c r="E689" s="207" t="s">
        <v>4398</v>
      </c>
      <c r="F689" s="214" t="s">
        <v>7354</v>
      </c>
      <c r="G689" s="207" t="s">
        <v>4400</v>
      </c>
      <c r="H689" s="207" t="s">
        <v>4401</v>
      </c>
      <c r="I689" s="217" t="s">
        <v>4402</v>
      </c>
      <c r="J689" s="242" t="s">
        <v>7355</v>
      </c>
      <c r="K689" s="215" t="s">
        <v>7356</v>
      </c>
      <c r="L689" s="215" t="s">
        <v>7357</v>
      </c>
      <c r="M689" s="207" t="s">
        <v>4405</v>
      </c>
      <c r="N689" s="207" t="s">
        <v>4406</v>
      </c>
      <c r="O689" s="202">
        <v>46002</v>
      </c>
      <c r="P689" s="202" t="s">
        <v>4407</v>
      </c>
      <c r="Q689" s="202">
        <v>45999</v>
      </c>
      <c r="R689" s="202">
        <v>46006</v>
      </c>
      <c r="S689" s="202">
        <v>46006</v>
      </c>
      <c r="T689" s="202">
        <v>46009</v>
      </c>
      <c r="U689" s="202" t="s">
        <v>4408</v>
      </c>
      <c r="V689" s="202" t="s">
        <v>4408</v>
      </c>
      <c r="W689" s="202">
        <v>46014</v>
      </c>
      <c r="X689" s="202">
        <v>46020</v>
      </c>
      <c r="Y689" s="202"/>
      <c r="Z689" s="207"/>
      <c r="AA689" s="242" t="s">
        <v>7355</v>
      </c>
      <c r="AB689" s="215" t="s">
        <v>7356</v>
      </c>
      <c r="AC689" s="215" t="s">
        <v>7357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197" t="s">
        <v>4410</v>
      </c>
      <c r="AI689" s="214" t="s">
        <v>4411</v>
      </c>
      <c r="AJ689" s="207"/>
      <c r="AK689" s="316">
        <v>45996</v>
      </c>
      <c r="AL689" s="316">
        <v>45996</v>
      </c>
      <c r="AM689" s="316">
        <v>45996</v>
      </c>
      <c r="AN689" s="316">
        <v>45996</v>
      </c>
      <c r="AO689" s="316">
        <v>45996</v>
      </c>
      <c r="AP689" s="316">
        <v>45996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/>
      <c r="AY689" s="207"/>
      <c r="AZ689" s="202"/>
      <c r="BA689" s="219"/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197">
        <v>686</v>
      </c>
      <c r="B690" s="197" t="s">
        <v>4396</v>
      </c>
      <c r="C690" s="207" t="s">
        <v>4427</v>
      </c>
      <c r="D690" s="207">
        <v>1</v>
      </c>
      <c r="E690" s="207" t="s">
        <v>4398</v>
      </c>
      <c r="F690" s="214" t="s">
        <v>7358</v>
      </c>
      <c r="G690" s="207" t="s">
        <v>4400</v>
      </c>
      <c r="H690" s="207" t="s">
        <v>4401</v>
      </c>
      <c r="I690" s="217" t="s">
        <v>4402</v>
      </c>
      <c r="J690" s="242" t="s">
        <v>7359</v>
      </c>
      <c r="K690" s="215" t="s">
        <v>7360</v>
      </c>
      <c r="L690" s="215" t="s">
        <v>7361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46002</v>
      </c>
      <c r="Y690" s="202"/>
      <c r="Z690" s="207"/>
      <c r="AA690" s="242" t="s">
        <v>7359</v>
      </c>
      <c r="AB690" s="215" t="s">
        <v>7360</v>
      </c>
      <c r="AC690" s="215" t="s">
        <v>7361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41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07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07"/>
      <c r="BC690" s="202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687</v>
      </c>
      <c r="B691" s="197" t="s">
        <v>4396</v>
      </c>
      <c r="C691" s="207" t="s">
        <v>4427</v>
      </c>
      <c r="D691" s="207">
        <v>1</v>
      </c>
      <c r="E691" s="207" t="s">
        <v>4398</v>
      </c>
      <c r="F691" s="214" t="s">
        <v>7362</v>
      </c>
      <c r="G691" s="207" t="s">
        <v>4400</v>
      </c>
      <c r="H691" s="207" t="s">
        <v>4401</v>
      </c>
      <c r="I691" s="217" t="s">
        <v>4402</v>
      </c>
      <c r="J691" s="215" t="s">
        <v>7363</v>
      </c>
      <c r="K691" s="215" t="s">
        <v>7364</v>
      </c>
      <c r="L691" s="215" t="s">
        <v>7365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3" t="s">
        <v>4408</v>
      </c>
      <c r="V691" s="203" t="s">
        <v>4408</v>
      </c>
      <c r="W691" s="202">
        <v>45999</v>
      </c>
      <c r="X691" s="202">
        <v>46000</v>
      </c>
      <c r="Y691" s="203"/>
      <c r="Z691" s="219"/>
      <c r="AA691" s="215" t="s">
        <v>7363</v>
      </c>
      <c r="AB691" s="215" t="s">
        <v>7364</v>
      </c>
      <c r="AC691" s="215" t="s">
        <v>7365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19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19"/>
      <c r="BC691" s="219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688</v>
      </c>
      <c r="B692" s="197" t="s">
        <v>4396</v>
      </c>
      <c r="C692" s="207" t="s">
        <v>4427</v>
      </c>
      <c r="D692" s="207">
        <v>1</v>
      </c>
      <c r="E692" s="207" t="s">
        <v>4398</v>
      </c>
      <c r="F692" s="214" t="s">
        <v>7366</v>
      </c>
      <c r="G692" s="207" t="s">
        <v>4400</v>
      </c>
      <c r="H692" s="207" t="s">
        <v>4401</v>
      </c>
      <c r="I692" s="217" t="s">
        <v>4402</v>
      </c>
      <c r="J692" s="215" t="s">
        <v>7367</v>
      </c>
      <c r="K692" s="215" t="s">
        <v>7368</v>
      </c>
      <c r="L692" s="215" t="s">
        <v>7369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3">
        <v>46034</v>
      </c>
      <c r="Y692" s="203"/>
      <c r="Z692" s="219"/>
      <c r="AA692" s="215" t="s">
        <v>7367</v>
      </c>
      <c r="AB692" s="215" t="s">
        <v>7368</v>
      </c>
      <c r="AC692" s="215" t="s">
        <v>7369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19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19"/>
      <c r="BC692" s="219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207">
        <v>689</v>
      </c>
      <c r="B693" s="197" t="s">
        <v>4396</v>
      </c>
      <c r="C693" s="207" t="s">
        <v>4427</v>
      </c>
      <c r="D693" s="207">
        <v>1</v>
      </c>
      <c r="E693" s="207" t="s">
        <v>4398</v>
      </c>
      <c r="F693" s="214" t="s">
        <v>7370</v>
      </c>
      <c r="G693" s="207" t="s">
        <v>4400</v>
      </c>
      <c r="H693" s="207" t="s">
        <v>4401</v>
      </c>
      <c r="I693" s="217" t="s">
        <v>4402</v>
      </c>
      <c r="J693" s="215" t="s">
        <v>7371</v>
      </c>
      <c r="K693" s="215" t="s">
        <v>7372</v>
      </c>
      <c r="L693" s="215" t="s">
        <v>7373</v>
      </c>
      <c r="M693" s="207" t="s">
        <v>4405</v>
      </c>
      <c r="N693" s="207" t="s">
        <v>4406</v>
      </c>
      <c r="O693" s="202">
        <v>45986</v>
      </c>
      <c r="P693" s="203" t="s">
        <v>4407</v>
      </c>
      <c r="Q693" s="203">
        <v>45985</v>
      </c>
      <c r="R693" s="203">
        <v>45986</v>
      </c>
      <c r="S693" s="203">
        <v>45987</v>
      </c>
      <c r="T693" s="203">
        <v>45992</v>
      </c>
      <c r="U693" s="202" t="s">
        <v>4408</v>
      </c>
      <c r="V693" s="202" t="s">
        <v>4408</v>
      </c>
      <c r="W693" s="202">
        <v>45999</v>
      </c>
      <c r="X693" s="202">
        <v>46001</v>
      </c>
      <c r="Y693" s="203"/>
      <c r="Z693" s="219"/>
      <c r="AA693" s="215" t="s">
        <v>7371</v>
      </c>
      <c r="AB693" s="215" t="s">
        <v>7372</v>
      </c>
      <c r="AC693" s="215" t="s">
        <v>7373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204" t="s">
        <v>4410</v>
      </c>
      <c r="AI693" s="214" t="s">
        <v>4411</v>
      </c>
      <c r="AJ693" s="207"/>
      <c r="AK693" s="316">
        <v>45980</v>
      </c>
      <c r="AL693" s="316">
        <v>45980</v>
      </c>
      <c r="AM693" s="316">
        <v>45980</v>
      </c>
      <c r="AN693" s="316">
        <v>45980</v>
      </c>
      <c r="AO693" s="316">
        <v>45980</v>
      </c>
      <c r="AP693" s="316">
        <v>45980</v>
      </c>
      <c r="AQ693" s="314"/>
      <c r="AR693" s="315" t="str">
        <f t="shared" si="48"/>
        <v>FINALIZADO</v>
      </c>
      <c r="AS693" s="207"/>
      <c r="AT693" s="219"/>
      <c r="AU693" s="225"/>
      <c r="AV693" s="207"/>
      <c r="AW693" s="207"/>
      <c r="AX693" s="207" t="s">
        <v>4409</v>
      </c>
      <c r="AY693" s="207" t="s">
        <v>4409</v>
      </c>
      <c r="AZ693" s="207" t="s">
        <v>4409</v>
      </c>
      <c r="BA693" s="207" t="s">
        <v>4409</v>
      </c>
      <c r="BB693" s="219"/>
      <c r="BC693" s="219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690</v>
      </c>
      <c r="B694" s="197" t="s">
        <v>4396</v>
      </c>
      <c r="C694" s="207" t="s">
        <v>4427</v>
      </c>
      <c r="D694" s="207">
        <v>1</v>
      </c>
      <c r="E694" s="207" t="s">
        <v>4398</v>
      </c>
      <c r="F694" s="214" t="s">
        <v>7374</v>
      </c>
      <c r="G694" s="207" t="s">
        <v>4400</v>
      </c>
      <c r="H694" s="207" t="s">
        <v>4401</v>
      </c>
      <c r="I694" s="217" t="s">
        <v>4402</v>
      </c>
      <c r="J694" s="215" t="s">
        <v>7375</v>
      </c>
      <c r="K694" s="215" t="s">
        <v>7376</v>
      </c>
      <c r="L694" s="215" t="s">
        <v>7377</v>
      </c>
      <c r="M694" s="207" t="s">
        <v>4405</v>
      </c>
      <c r="N694" s="207" t="s">
        <v>4406</v>
      </c>
      <c r="O694" s="203">
        <v>46044</v>
      </c>
      <c r="P694" s="203" t="s">
        <v>4407</v>
      </c>
      <c r="Q694" s="203">
        <v>46043</v>
      </c>
      <c r="R694" s="203">
        <v>46044</v>
      </c>
      <c r="S694" s="203">
        <v>46045</v>
      </c>
      <c r="T694" s="203">
        <v>46155</v>
      </c>
      <c r="U694" s="202" t="s">
        <v>4408</v>
      </c>
      <c r="V694" s="202" t="s">
        <v>4408</v>
      </c>
      <c r="W694" s="202">
        <v>46055</v>
      </c>
      <c r="X694" s="202">
        <v>46056</v>
      </c>
      <c r="Y694" s="203"/>
      <c r="Z694" s="219"/>
      <c r="AA694" s="215" t="s">
        <v>7375</v>
      </c>
      <c r="AB694" s="215" t="s">
        <v>7376</v>
      </c>
      <c r="AC694" s="215" t="s">
        <v>7377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197" t="s">
        <v>4410</v>
      </c>
      <c r="AI694" s="214" t="s">
        <v>4411</v>
      </c>
      <c r="AJ694" s="207"/>
      <c r="AK694" s="316">
        <v>46041</v>
      </c>
      <c r="AL694" s="316">
        <v>46041</v>
      </c>
      <c r="AM694" s="316">
        <v>46041</v>
      </c>
      <c r="AN694" s="316">
        <v>46041</v>
      </c>
      <c r="AO694" s="316">
        <v>46041</v>
      </c>
      <c r="AP694" s="316">
        <v>46041</v>
      </c>
      <c r="AQ694" s="314"/>
      <c r="AR694" s="315" t="str">
        <f t="shared" si="48"/>
        <v>FINALIZADO</v>
      </c>
      <c r="AS694" s="207"/>
      <c r="AT694" s="219"/>
      <c r="AU694" s="225"/>
      <c r="AV694" s="219"/>
      <c r="AW694" s="219"/>
      <c r="AX694" s="219"/>
      <c r="AY694" s="219"/>
      <c r="AZ694" s="219"/>
      <c r="BA694" s="219"/>
      <c r="BB694" s="219"/>
      <c r="BC694" s="219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197">
        <v>691</v>
      </c>
      <c r="B695" s="197" t="s">
        <v>4396</v>
      </c>
      <c r="C695" s="207" t="s">
        <v>4427</v>
      </c>
      <c r="D695" s="207">
        <v>1</v>
      </c>
      <c r="E695" s="207" t="s">
        <v>4398</v>
      </c>
      <c r="F695" s="214" t="s">
        <v>7378</v>
      </c>
      <c r="G695" s="207" t="s">
        <v>4400</v>
      </c>
      <c r="H695" s="207" t="s">
        <v>4401</v>
      </c>
      <c r="I695" s="217" t="s">
        <v>4402</v>
      </c>
      <c r="J695" s="215" t="s">
        <v>7379</v>
      </c>
      <c r="K695" s="215" t="s">
        <v>4440</v>
      </c>
      <c r="L695" s="215" t="s">
        <v>7380</v>
      </c>
      <c r="M695" s="207" t="s">
        <v>4405</v>
      </c>
      <c r="N695" s="207" t="s">
        <v>4406</v>
      </c>
      <c r="O695" s="202">
        <v>46065</v>
      </c>
      <c r="P695" s="203" t="s">
        <v>4407</v>
      </c>
      <c r="Q695" s="202">
        <v>46072</v>
      </c>
      <c r="R695" s="203">
        <v>46072</v>
      </c>
      <c r="S695" s="203">
        <v>46080</v>
      </c>
      <c r="T695" s="202">
        <v>46083</v>
      </c>
      <c r="U695" s="202" t="s">
        <v>4408</v>
      </c>
      <c r="V695" s="202" t="s">
        <v>4408</v>
      </c>
      <c r="W695" s="203">
        <v>46055</v>
      </c>
      <c r="X695" s="203">
        <v>46091</v>
      </c>
      <c r="Y695" s="203"/>
      <c r="Z695" s="219"/>
      <c r="AA695" s="215" t="s">
        <v>7379</v>
      </c>
      <c r="AB695" s="215" t="s">
        <v>4440</v>
      </c>
      <c r="AC695" s="215" t="s">
        <v>7380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7" t="s">
        <v>4410</v>
      </c>
      <c r="AI695" s="214" t="s">
        <v>4411</v>
      </c>
      <c r="AJ695" s="207"/>
      <c r="AK695" s="316"/>
      <c r="AL695" s="316"/>
      <c r="AM695" s="316"/>
      <c r="AN695" s="316"/>
      <c r="AO695" s="316"/>
      <c r="AP695" s="316"/>
      <c r="AQ695" s="314"/>
      <c r="AR695" s="315" t="str">
        <f t="shared" si="48"/>
        <v/>
      </c>
      <c r="AS695" s="207"/>
      <c r="AT695" s="219"/>
      <c r="AU695" s="225"/>
      <c r="AV695" s="219"/>
      <c r="AW695" s="219"/>
      <c r="AX695" s="219"/>
      <c r="AY695" s="219"/>
      <c r="AZ695" s="219"/>
      <c r="BA695" s="219"/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692</v>
      </c>
      <c r="B696" s="197" t="s">
        <v>4396</v>
      </c>
      <c r="C696" s="207" t="s">
        <v>4427</v>
      </c>
      <c r="D696" s="207">
        <v>1</v>
      </c>
      <c r="E696" s="207" t="s">
        <v>4398</v>
      </c>
      <c r="F696" s="214" t="s">
        <v>7381</v>
      </c>
      <c r="G696" s="207" t="s">
        <v>4400</v>
      </c>
      <c r="H696" s="207" t="s">
        <v>4401</v>
      </c>
      <c r="I696" s="217" t="s">
        <v>4402</v>
      </c>
      <c r="J696" s="215" t="s">
        <v>7382</v>
      </c>
      <c r="K696" s="215" t="s">
        <v>7383</v>
      </c>
      <c r="L696" s="215" t="s">
        <v>7384</v>
      </c>
      <c r="M696" s="207" t="s">
        <v>4405</v>
      </c>
      <c r="N696" s="207" t="s">
        <v>4442</v>
      </c>
      <c r="O696" s="202" t="s">
        <v>4409</v>
      </c>
      <c r="P696" s="202" t="s">
        <v>4409</v>
      </c>
      <c r="Q696" s="202" t="s">
        <v>4409</v>
      </c>
      <c r="R696" s="202" t="s">
        <v>4409</v>
      </c>
      <c r="S696" s="202" t="s">
        <v>4409</v>
      </c>
      <c r="T696" s="202" t="s">
        <v>4409</v>
      </c>
      <c r="U696" s="202" t="s">
        <v>4409</v>
      </c>
      <c r="V696" s="202" t="s">
        <v>4409</v>
      </c>
      <c r="W696" s="202" t="s">
        <v>4409</v>
      </c>
      <c r="X696" s="202" t="s">
        <v>4409</v>
      </c>
      <c r="Y696" s="202"/>
      <c r="Z696" s="202"/>
      <c r="AA696" s="215" t="s">
        <v>7385</v>
      </c>
      <c r="AB696" s="215" t="s">
        <v>7383</v>
      </c>
      <c r="AC696" s="215" t="s">
        <v>7384</v>
      </c>
      <c r="AD696" s="207" t="s">
        <v>4402</v>
      </c>
      <c r="AE696" s="207" t="s">
        <v>4405</v>
      </c>
      <c r="AF696" s="218">
        <v>2812.4</v>
      </c>
      <c r="AG696" s="218">
        <f>AF696+30000</f>
        <v>32812.400000000001</v>
      </c>
      <c r="AH696" s="207" t="s">
        <v>4433</v>
      </c>
      <c r="AI696" s="214" t="s">
        <v>4411</v>
      </c>
      <c r="AJ696" s="207">
        <v>150959865</v>
      </c>
      <c r="AK696" s="316">
        <v>46077</v>
      </c>
      <c r="AL696" s="316">
        <v>46077</v>
      </c>
      <c r="AM696" s="316">
        <v>46077</v>
      </c>
      <c r="AN696" s="316">
        <v>46077</v>
      </c>
      <c r="AO696" s="316">
        <v>46077</v>
      </c>
      <c r="AP696" s="316">
        <v>46077</v>
      </c>
      <c r="AQ696" s="314"/>
      <c r="AR696" s="315" t="str">
        <f t="shared" si="48"/>
        <v>FINALIZADO</v>
      </c>
      <c r="AS696" s="207" t="s">
        <v>4423</v>
      </c>
      <c r="AT696" s="219"/>
      <c r="AU696" s="225" t="s">
        <v>7386</v>
      </c>
      <c r="AV696" s="207" t="s">
        <v>4425</v>
      </c>
      <c r="AW696" s="207" t="s">
        <v>4425</v>
      </c>
      <c r="AX696" s="207" t="s">
        <v>4425</v>
      </c>
      <c r="AY696" s="207" t="s">
        <v>4425</v>
      </c>
      <c r="AZ696" s="202">
        <v>46127</v>
      </c>
      <c r="BA696" s="207" t="s">
        <v>4425</v>
      </c>
      <c r="BB696" s="207" t="s">
        <v>4425</v>
      </c>
      <c r="BC696" s="202">
        <v>46139</v>
      </c>
      <c r="BD696" s="227">
        <v>46139</v>
      </c>
      <c r="BE696" s="227" t="s">
        <v>4435</v>
      </c>
      <c r="BF696" s="245" t="s">
        <v>4436</v>
      </c>
      <c r="BG696" s="229" t="s">
        <v>4425</v>
      </c>
      <c r="BH696" s="321">
        <f t="shared" si="45"/>
        <v>62</v>
      </c>
      <c r="BI696" s="98" t="str">
        <f t="shared" si="46"/>
        <v>INDENIZAÇÃO</v>
      </c>
      <c r="BJ696" s="98" t="str">
        <f t="shared" si="47"/>
        <v>NÃO</v>
      </c>
      <c r="BK696" s="219" t="s">
        <v>4437</v>
      </c>
      <c r="BL696" s="219" t="s">
        <v>4437</v>
      </c>
      <c r="BM696" s="219" t="s">
        <v>4437</v>
      </c>
      <c r="BN696" s="257" t="s">
        <v>5732</v>
      </c>
      <c r="BO696" s="257"/>
      <c r="BP696" s="257"/>
      <c r="BQ696" s="257"/>
      <c r="BR696" s="258"/>
      <c r="BS696" s="223"/>
    </row>
    <row r="697" spans="1:71" ht="27" hidden="1" customHeight="1">
      <c r="A697" s="207">
        <v>693</v>
      </c>
      <c r="B697" s="197" t="s">
        <v>4396</v>
      </c>
      <c r="C697" s="207" t="s">
        <v>4427</v>
      </c>
      <c r="D697" s="207">
        <v>1</v>
      </c>
      <c r="E697" s="207" t="s">
        <v>4398</v>
      </c>
      <c r="F697" s="214" t="s">
        <v>7387</v>
      </c>
      <c r="G697" s="207" t="s">
        <v>4400</v>
      </c>
      <c r="H697" s="207" t="s">
        <v>4401</v>
      </c>
      <c r="I697" s="217" t="s">
        <v>4402</v>
      </c>
      <c r="J697" s="215" t="s">
        <v>7388</v>
      </c>
      <c r="K697" s="215" t="s">
        <v>7389</v>
      </c>
      <c r="L697" s="215" t="s">
        <v>7390</v>
      </c>
      <c r="M697" s="207" t="s">
        <v>4405</v>
      </c>
      <c r="N697" s="207" t="s">
        <v>4406</v>
      </c>
      <c r="O697" s="203">
        <v>46084</v>
      </c>
      <c r="P697" s="202" t="s">
        <v>4407</v>
      </c>
      <c r="Q697" s="202">
        <v>46083</v>
      </c>
      <c r="R697" s="203">
        <v>46084</v>
      </c>
      <c r="S697" s="203">
        <v>46087</v>
      </c>
      <c r="T697" s="203">
        <v>46090</v>
      </c>
      <c r="U697" s="202" t="s">
        <v>4408</v>
      </c>
      <c r="V697" s="202" t="s">
        <v>4408</v>
      </c>
      <c r="W697" s="202">
        <v>46101</v>
      </c>
      <c r="X697" s="202">
        <v>46101</v>
      </c>
      <c r="Y697" s="203"/>
      <c r="Z697" s="219"/>
      <c r="AA697" s="215" t="s">
        <v>7388</v>
      </c>
      <c r="AB697" s="215" t="s">
        <v>7389</v>
      </c>
      <c r="AC697" s="215" t="s">
        <v>7390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7" t="s">
        <v>4410</v>
      </c>
      <c r="AI697" s="214" t="s">
        <v>4411</v>
      </c>
      <c r="AJ697" s="207"/>
      <c r="AK697" s="316"/>
      <c r="AL697" s="316"/>
      <c r="AM697" s="316"/>
      <c r="AN697" s="316"/>
      <c r="AO697" s="316"/>
      <c r="AP697" s="316"/>
      <c r="AQ697" s="314"/>
      <c r="AR697" s="315" t="str">
        <f t="shared" si="48"/>
        <v/>
      </c>
      <c r="AS697" s="207"/>
      <c r="AT697" s="219"/>
      <c r="AU697" s="225"/>
      <c r="AV697" s="207"/>
      <c r="AW697" s="207"/>
      <c r="AX697" s="207"/>
      <c r="AY697" s="207"/>
      <c r="AZ697" s="202"/>
      <c r="BA697" s="207"/>
      <c r="BB697" s="228"/>
      <c r="BC697" s="227"/>
      <c r="BD697" s="208"/>
      <c r="BE697" s="227"/>
      <c r="BF697" s="228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207">
        <v>694</v>
      </c>
      <c r="B698" s="197" t="s">
        <v>4396</v>
      </c>
      <c r="C698" s="207" t="s">
        <v>4427</v>
      </c>
      <c r="D698" s="207">
        <v>1</v>
      </c>
      <c r="E698" s="207" t="s">
        <v>4398</v>
      </c>
      <c r="F698" s="214" t="s">
        <v>7391</v>
      </c>
      <c r="G698" s="207" t="s">
        <v>4400</v>
      </c>
      <c r="H698" s="207" t="s">
        <v>4401</v>
      </c>
      <c r="I698" s="217" t="s">
        <v>4402</v>
      </c>
      <c r="J698" s="215" t="s">
        <v>7392</v>
      </c>
      <c r="K698" s="215" t="s">
        <v>4440</v>
      </c>
      <c r="L698" s="215" t="s">
        <v>7393</v>
      </c>
      <c r="M698" s="207" t="s">
        <v>4405</v>
      </c>
      <c r="N698" s="207" t="s">
        <v>4406</v>
      </c>
      <c r="O698" s="202">
        <v>46058</v>
      </c>
      <c r="P698" s="203" t="s">
        <v>4407</v>
      </c>
      <c r="Q698" s="202">
        <v>46058</v>
      </c>
      <c r="R698" s="202">
        <v>46058</v>
      </c>
      <c r="S698" s="202">
        <v>46059</v>
      </c>
      <c r="T698" s="202">
        <v>46063</v>
      </c>
      <c r="U698" s="202" t="s">
        <v>4408</v>
      </c>
      <c r="V698" s="202" t="s">
        <v>4408</v>
      </c>
      <c r="W698" s="203">
        <v>46073</v>
      </c>
      <c r="X698" s="202">
        <v>46078</v>
      </c>
      <c r="Y698" s="202"/>
      <c r="Z698" s="219"/>
      <c r="AA698" s="215" t="s">
        <v>7392</v>
      </c>
      <c r="AB698" s="215" t="s">
        <v>4440</v>
      </c>
      <c r="AC698" s="215" t="s">
        <v>7393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207" t="s">
        <v>4410</v>
      </c>
      <c r="AI698" s="214" t="s">
        <v>4411</v>
      </c>
      <c r="AJ698" s="207"/>
      <c r="AK698" s="316">
        <v>46055</v>
      </c>
      <c r="AL698" s="316">
        <v>46055</v>
      </c>
      <c r="AM698" s="316">
        <v>46055</v>
      </c>
      <c r="AN698" s="316">
        <v>46055</v>
      </c>
      <c r="AO698" s="316">
        <v>46055</v>
      </c>
      <c r="AP698" s="316">
        <v>46055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695</v>
      </c>
      <c r="B699" s="197" t="s">
        <v>4396</v>
      </c>
      <c r="C699" s="207" t="s">
        <v>4427</v>
      </c>
      <c r="D699" s="207">
        <v>1</v>
      </c>
      <c r="E699" s="207" t="s">
        <v>4398</v>
      </c>
      <c r="F699" s="214" t="s">
        <v>7394</v>
      </c>
      <c r="G699" s="207" t="s">
        <v>4400</v>
      </c>
      <c r="H699" s="207" t="s">
        <v>4401</v>
      </c>
      <c r="I699" s="217" t="s">
        <v>4402</v>
      </c>
      <c r="J699" s="215" t="s">
        <v>7395</v>
      </c>
      <c r="K699" s="215" t="s">
        <v>7396</v>
      </c>
      <c r="L699" s="215">
        <v>41217591842</v>
      </c>
      <c r="M699" s="207" t="s">
        <v>4405</v>
      </c>
      <c r="N699" s="207" t="s">
        <v>4406</v>
      </c>
      <c r="O699" s="202">
        <v>46058</v>
      </c>
      <c r="P699" s="203" t="s">
        <v>4407</v>
      </c>
      <c r="Q699" s="202">
        <v>46058</v>
      </c>
      <c r="R699" s="202">
        <v>46058</v>
      </c>
      <c r="S699" s="202">
        <v>46059</v>
      </c>
      <c r="T699" s="202">
        <v>46063</v>
      </c>
      <c r="U699" s="202" t="s">
        <v>4408</v>
      </c>
      <c r="V699" s="202" t="s">
        <v>4408</v>
      </c>
      <c r="W699" s="203">
        <v>46073</v>
      </c>
      <c r="X699" s="202">
        <v>46078</v>
      </c>
      <c r="Y699" s="202"/>
      <c r="Z699" s="219"/>
      <c r="AA699" s="215" t="s">
        <v>7395</v>
      </c>
      <c r="AB699" s="215" t="s">
        <v>7396</v>
      </c>
      <c r="AC699" s="215">
        <v>41217591842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>
        <v>46055</v>
      </c>
      <c r="AL699" s="316">
        <v>46055</v>
      </c>
      <c r="AM699" s="316">
        <v>46055</v>
      </c>
      <c r="AN699" s="316">
        <v>46055</v>
      </c>
      <c r="AO699" s="316">
        <v>46055</v>
      </c>
      <c r="AP699" s="316">
        <v>46055</v>
      </c>
      <c r="AQ699" s="314"/>
      <c r="AR699" s="315" t="str">
        <f t="shared" si="48"/>
        <v>FINALIZADO</v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197">
        <v>696</v>
      </c>
      <c r="B700" s="197" t="s">
        <v>4396</v>
      </c>
      <c r="C700" s="207" t="s">
        <v>4427</v>
      </c>
      <c r="D700" s="207">
        <v>1</v>
      </c>
      <c r="E700" s="207" t="s">
        <v>4398</v>
      </c>
      <c r="F700" s="214" t="s">
        <v>7397</v>
      </c>
      <c r="G700" s="207" t="s">
        <v>4400</v>
      </c>
      <c r="H700" s="207" t="s">
        <v>4401</v>
      </c>
      <c r="I700" s="217" t="s">
        <v>4402</v>
      </c>
      <c r="J700" s="215" t="s">
        <v>7398</v>
      </c>
      <c r="K700" s="215" t="s">
        <v>4440</v>
      </c>
      <c r="L700" s="215" t="s">
        <v>7399</v>
      </c>
      <c r="M700" s="207" t="s">
        <v>4405</v>
      </c>
      <c r="N700" s="207" t="s">
        <v>4406</v>
      </c>
      <c r="O700" s="202">
        <v>46065</v>
      </c>
      <c r="P700" s="203" t="s">
        <v>4407</v>
      </c>
      <c r="Q700" s="202">
        <v>46072</v>
      </c>
      <c r="R700" s="203">
        <v>46072</v>
      </c>
      <c r="S700" s="203">
        <v>46080</v>
      </c>
      <c r="T700" s="202">
        <v>46083</v>
      </c>
      <c r="U700" s="202" t="s">
        <v>4408</v>
      </c>
      <c r="V700" s="202" t="s">
        <v>4408</v>
      </c>
      <c r="W700" s="203">
        <v>46055</v>
      </c>
      <c r="X700" s="203">
        <v>46093</v>
      </c>
      <c r="Y700" s="202"/>
      <c r="Z700" s="219"/>
      <c r="AA700" s="215" t="s">
        <v>7398</v>
      </c>
      <c r="AB700" s="215" t="s">
        <v>4440</v>
      </c>
      <c r="AC700" s="215" t="s">
        <v>7399</v>
      </c>
      <c r="AD700" s="207" t="s">
        <v>4402</v>
      </c>
      <c r="AE700" s="207" t="s">
        <v>4405</v>
      </c>
      <c r="AF700" s="218" t="s">
        <v>4409</v>
      </c>
      <c r="AG700" s="218" t="s">
        <v>4409</v>
      </c>
      <c r="AH700" s="207" t="s">
        <v>4410</v>
      </c>
      <c r="AI700" s="214" t="s">
        <v>4411</v>
      </c>
      <c r="AJ700" s="207"/>
      <c r="AK700" s="316">
        <v>46041</v>
      </c>
      <c r="AL700" s="316">
        <v>46041</v>
      </c>
      <c r="AM700" s="316">
        <v>46041</v>
      </c>
      <c r="AN700" s="316">
        <v>46041</v>
      </c>
      <c r="AO700" s="316">
        <v>46041</v>
      </c>
      <c r="AP700" s="316">
        <v>46041</v>
      </c>
      <c r="AQ700" s="314"/>
      <c r="AR700" s="315" t="str">
        <f t="shared" si="48"/>
        <v>FINALIZADO</v>
      </c>
      <c r="AS700" s="207"/>
      <c r="AT700" s="219"/>
      <c r="AU700" s="225"/>
      <c r="AV700" s="219"/>
      <c r="AW700" s="219"/>
      <c r="AX700" s="219"/>
      <c r="AY700" s="219"/>
      <c r="AZ700" s="219"/>
      <c r="BA700" s="219"/>
      <c r="BB700" s="219"/>
      <c r="BC700" s="219"/>
      <c r="BD700" s="208"/>
      <c r="BE700" s="203"/>
      <c r="BF700" s="219"/>
      <c r="BG700" s="219"/>
      <c r="BH700" s="321" t="str">
        <f t="shared" si="45"/>
        <v/>
      </c>
      <c r="BI700" s="98" t="str">
        <f t="shared" si="46"/>
        <v>AA</v>
      </c>
      <c r="BJ700" s="98" t="str">
        <f t="shared" si="47"/>
        <v>NÃO</v>
      </c>
      <c r="BK700" s="219"/>
      <c r="BL700" s="221"/>
      <c r="BM700" s="221"/>
      <c r="BN700" s="219"/>
      <c r="BO700" s="219"/>
      <c r="BP700" s="219"/>
      <c r="BQ700" s="219"/>
      <c r="BR700" s="222"/>
    </row>
    <row r="701" spans="1:71" ht="27" hidden="1" customHeight="1">
      <c r="A701" s="207">
        <v>697</v>
      </c>
      <c r="B701" s="197" t="s">
        <v>4396</v>
      </c>
      <c r="C701" s="207" t="s">
        <v>4427</v>
      </c>
      <c r="D701" s="207">
        <v>1</v>
      </c>
      <c r="E701" s="207" t="s">
        <v>4398</v>
      </c>
      <c r="F701" s="214" t="s">
        <v>7400</v>
      </c>
      <c r="G701" s="207" t="s">
        <v>4400</v>
      </c>
      <c r="H701" s="207" t="s">
        <v>4401</v>
      </c>
      <c r="I701" s="217" t="s">
        <v>4402</v>
      </c>
      <c r="J701" s="215" t="s">
        <v>7401</v>
      </c>
      <c r="K701" s="215" t="s">
        <v>7402</v>
      </c>
      <c r="L701" s="215" t="s">
        <v>7403</v>
      </c>
      <c r="M701" s="207" t="s">
        <v>4405</v>
      </c>
      <c r="N701" s="207" t="s">
        <v>4406</v>
      </c>
      <c r="O701" s="202">
        <v>45986</v>
      </c>
      <c r="P701" s="203" t="s">
        <v>4407</v>
      </c>
      <c r="Q701" s="203">
        <v>45985</v>
      </c>
      <c r="R701" s="203">
        <v>45986</v>
      </c>
      <c r="S701" s="203">
        <v>45987</v>
      </c>
      <c r="T701" s="203">
        <v>45992</v>
      </c>
      <c r="U701" s="203" t="s">
        <v>4408</v>
      </c>
      <c r="V701" s="203" t="s">
        <v>4408</v>
      </c>
      <c r="W701" s="202">
        <v>45999</v>
      </c>
      <c r="X701" s="202">
        <v>46001</v>
      </c>
      <c r="Y701" s="202"/>
      <c r="Z701" s="207"/>
      <c r="AA701" s="215" t="s">
        <v>7401</v>
      </c>
      <c r="AB701" s="215" t="s">
        <v>7402</v>
      </c>
      <c r="AC701" s="215" t="s">
        <v>7403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41" t="s">
        <v>4410</v>
      </c>
      <c r="AI701" s="214" t="s">
        <v>4411</v>
      </c>
      <c r="AJ701" s="207"/>
      <c r="AK701" s="316">
        <v>45980</v>
      </c>
      <c r="AL701" s="316">
        <v>45980</v>
      </c>
      <c r="AM701" s="316">
        <v>45980</v>
      </c>
      <c r="AN701" s="316">
        <v>45980</v>
      </c>
      <c r="AO701" s="316">
        <v>45980</v>
      </c>
      <c r="AP701" s="316">
        <v>45980</v>
      </c>
      <c r="AQ701" s="314"/>
      <c r="AR701" s="315" t="str">
        <f t="shared" si="48"/>
        <v>FINALIZADO</v>
      </c>
      <c r="AS701" s="207"/>
      <c r="AT701" s="207"/>
      <c r="AU701" s="225"/>
      <c r="AV701" s="207"/>
      <c r="AW701" s="207"/>
      <c r="AX701" s="207" t="s">
        <v>4409</v>
      </c>
      <c r="AY701" s="207" t="s">
        <v>4409</v>
      </c>
      <c r="AZ701" s="207" t="s">
        <v>4409</v>
      </c>
      <c r="BA701" s="207" t="s">
        <v>4409</v>
      </c>
      <c r="BB701" s="207"/>
      <c r="BC701" s="202"/>
      <c r="BD701" s="208"/>
      <c r="BE701" s="202"/>
      <c r="BF701" s="207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698</v>
      </c>
      <c r="B702" s="197" t="s">
        <v>4396</v>
      </c>
      <c r="C702" s="207" t="s">
        <v>4427</v>
      </c>
      <c r="D702" s="207">
        <v>1</v>
      </c>
      <c r="E702" s="207" t="s">
        <v>4398</v>
      </c>
      <c r="F702" s="214" t="s">
        <v>7404</v>
      </c>
      <c r="G702" s="207" t="s">
        <v>4400</v>
      </c>
      <c r="H702" s="207" t="s">
        <v>4401</v>
      </c>
      <c r="I702" s="217" t="s">
        <v>4402</v>
      </c>
      <c r="J702" s="215" t="s">
        <v>7405</v>
      </c>
      <c r="K702" s="215" t="s">
        <v>4440</v>
      </c>
      <c r="L702" s="215" t="s">
        <v>7406</v>
      </c>
      <c r="M702" s="207" t="s">
        <v>4405</v>
      </c>
      <c r="N702" s="207" t="s">
        <v>4406</v>
      </c>
      <c r="O702" s="202">
        <v>45986</v>
      </c>
      <c r="P702" s="203" t="s">
        <v>4407</v>
      </c>
      <c r="Q702" s="203">
        <v>45985</v>
      </c>
      <c r="R702" s="203">
        <v>45986</v>
      </c>
      <c r="S702" s="203">
        <v>45987</v>
      </c>
      <c r="T702" s="203">
        <v>45992</v>
      </c>
      <c r="U702" s="202" t="s">
        <v>4408</v>
      </c>
      <c r="V702" s="202" t="s">
        <v>4408</v>
      </c>
      <c r="W702" s="202">
        <v>45999</v>
      </c>
      <c r="X702" s="202">
        <v>46001</v>
      </c>
      <c r="Y702" s="203"/>
      <c r="Z702" s="219"/>
      <c r="AA702" s="215" t="s">
        <v>7405</v>
      </c>
      <c r="AB702" s="215" t="s">
        <v>4440</v>
      </c>
      <c r="AC702" s="215" t="s">
        <v>7406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4" t="s">
        <v>4410</v>
      </c>
      <c r="AI702" s="214" t="s">
        <v>4411</v>
      </c>
      <c r="AJ702" s="207"/>
      <c r="AK702" s="316">
        <v>45980</v>
      </c>
      <c r="AL702" s="316">
        <v>45980</v>
      </c>
      <c r="AM702" s="316">
        <v>45980</v>
      </c>
      <c r="AN702" s="316">
        <v>45980</v>
      </c>
      <c r="AO702" s="316">
        <v>45980</v>
      </c>
      <c r="AP702" s="316">
        <v>45980</v>
      </c>
      <c r="AQ702" s="314"/>
      <c r="AR702" s="315" t="str">
        <f t="shared" si="48"/>
        <v>FINALIZADO</v>
      </c>
      <c r="AS702" s="207"/>
      <c r="AT702" s="219"/>
      <c r="AU702" s="225"/>
      <c r="AV702" s="207"/>
      <c r="AW702" s="207"/>
      <c r="AX702" s="207" t="s">
        <v>4409</v>
      </c>
      <c r="AY702" s="207" t="s">
        <v>4409</v>
      </c>
      <c r="AZ702" s="207" t="s">
        <v>4409</v>
      </c>
      <c r="BA702" s="207" t="s">
        <v>4409</v>
      </c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207">
        <v>699</v>
      </c>
      <c r="B703" s="197" t="s">
        <v>4396</v>
      </c>
      <c r="C703" s="207" t="s">
        <v>4427</v>
      </c>
      <c r="D703" s="207">
        <v>1</v>
      </c>
      <c r="E703" s="207" t="s">
        <v>4398</v>
      </c>
      <c r="F703" s="214" t="s">
        <v>7407</v>
      </c>
      <c r="G703" s="207" t="s">
        <v>4400</v>
      </c>
      <c r="H703" s="207" t="s">
        <v>4401</v>
      </c>
      <c r="I703" s="217" t="s">
        <v>4402</v>
      </c>
      <c r="J703" s="215" t="s">
        <v>7408</v>
      </c>
      <c r="K703" s="215" t="s">
        <v>7409</v>
      </c>
      <c r="L703" s="215" t="s">
        <v>7410</v>
      </c>
      <c r="M703" s="207" t="s">
        <v>4405</v>
      </c>
      <c r="N703" s="207" t="s">
        <v>4406</v>
      </c>
      <c r="O703" s="202">
        <v>45986</v>
      </c>
      <c r="P703" s="203" t="s">
        <v>4407</v>
      </c>
      <c r="Q703" s="203">
        <v>45985</v>
      </c>
      <c r="R703" s="203">
        <v>45986</v>
      </c>
      <c r="S703" s="203">
        <v>45987</v>
      </c>
      <c r="T703" s="203">
        <v>45992</v>
      </c>
      <c r="U703" s="202" t="s">
        <v>4408</v>
      </c>
      <c r="V703" s="202" t="s">
        <v>4408</v>
      </c>
      <c r="W703" s="202">
        <v>45999</v>
      </c>
      <c r="X703" s="202">
        <v>46002</v>
      </c>
      <c r="Y703" s="202"/>
      <c r="Z703" s="207"/>
      <c r="AA703" s="215" t="s">
        <v>7408</v>
      </c>
      <c r="AB703" s="215" t="s">
        <v>7409</v>
      </c>
      <c r="AC703" s="215" t="s">
        <v>7410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4" t="s">
        <v>4410</v>
      </c>
      <c r="AI703" s="214" t="s">
        <v>4411</v>
      </c>
      <c r="AJ703" s="207"/>
      <c r="AK703" s="316">
        <v>45980</v>
      </c>
      <c r="AL703" s="316">
        <v>45980</v>
      </c>
      <c r="AM703" s="316">
        <v>45980</v>
      </c>
      <c r="AN703" s="316">
        <v>45980</v>
      </c>
      <c r="AO703" s="316">
        <v>45980</v>
      </c>
      <c r="AP703" s="316">
        <v>45980</v>
      </c>
      <c r="AQ703" s="314"/>
      <c r="AR703" s="315" t="str">
        <f t="shared" si="48"/>
        <v>FINALIZADO</v>
      </c>
      <c r="AS703" s="207"/>
      <c r="AT703" s="207"/>
      <c r="AU703" s="225"/>
      <c r="AV703" s="207"/>
      <c r="AW703" s="207"/>
      <c r="AX703" s="207" t="s">
        <v>4409</v>
      </c>
      <c r="AY703" s="207" t="s">
        <v>4409</v>
      </c>
      <c r="AZ703" s="207" t="s">
        <v>4409</v>
      </c>
      <c r="BA703" s="207" t="s">
        <v>4409</v>
      </c>
      <c r="BB703" s="207"/>
      <c r="BC703" s="202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700</v>
      </c>
      <c r="B704" s="197" t="s">
        <v>4396</v>
      </c>
      <c r="C704" s="207" t="s">
        <v>4427</v>
      </c>
      <c r="D704" s="207">
        <v>1</v>
      </c>
      <c r="E704" s="207" t="s">
        <v>4398</v>
      </c>
      <c r="F704" s="214" t="s">
        <v>7411</v>
      </c>
      <c r="G704" s="207" t="s">
        <v>4400</v>
      </c>
      <c r="H704" s="207" t="s">
        <v>4401</v>
      </c>
      <c r="I704" s="217" t="s">
        <v>4402</v>
      </c>
      <c r="J704" s="215" t="s">
        <v>7412</v>
      </c>
      <c r="K704" s="215" t="s">
        <v>7413</v>
      </c>
      <c r="L704" s="215" t="s">
        <v>7414</v>
      </c>
      <c r="M704" s="207" t="s">
        <v>4405</v>
      </c>
      <c r="N704" s="207" t="s">
        <v>4406</v>
      </c>
      <c r="O704" s="202">
        <v>46002</v>
      </c>
      <c r="P704" s="202" t="s">
        <v>4407</v>
      </c>
      <c r="Q704" s="202">
        <v>45999</v>
      </c>
      <c r="R704" s="202">
        <v>46006</v>
      </c>
      <c r="S704" s="202">
        <v>46006</v>
      </c>
      <c r="T704" s="202">
        <v>46009</v>
      </c>
      <c r="U704" s="202" t="s">
        <v>4408</v>
      </c>
      <c r="V704" s="202" t="s">
        <v>4408</v>
      </c>
      <c r="W704" s="202">
        <v>46014</v>
      </c>
      <c r="X704" s="202">
        <v>46020</v>
      </c>
      <c r="Y704" s="203"/>
      <c r="Z704" s="219"/>
      <c r="AA704" s="215" t="s">
        <v>7412</v>
      </c>
      <c r="AB704" s="215" t="s">
        <v>7413</v>
      </c>
      <c r="AC704" s="215" t="s">
        <v>7414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197" t="s">
        <v>4410</v>
      </c>
      <c r="AI704" s="214" t="s">
        <v>4411</v>
      </c>
      <c r="AJ704" s="207"/>
      <c r="AK704" s="316">
        <v>45980</v>
      </c>
      <c r="AL704" s="316">
        <v>45980</v>
      </c>
      <c r="AM704" s="316">
        <v>45980</v>
      </c>
      <c r="AN704" s="316">
        <v>45980</v>
      </c>
      <c r="AO704" s="316">
        <v>45980</v>
      </c>
      <c r="AP704" s="316">
        <v>45980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2"/>
      <c r="BF704" s="207"/>
      <c r="BG704" s="22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30"/>
      <c r="BL704" s="230"/>
      <c r="BM704" s="230"/>
      <c r="BN704" s="230"/>
      <c r="BO704" s="230"/>
      <c r="BP704" s="230"/>
      <c r="BQ704" s="230"/>
      <c r="BR704" s="234"/>
    </row>
    <row r="705" spans="1:74" ht="27" hidden="1" customHeight="1">
      <c r="A705" s="197">
        <v>701</v>
      </c>
      <c r="B705" s="197" t="s">
        <v>4396</v>
      </c>
      <c r="C705" s="207" t="s">
        <v>4427</v>
      </c>
      <c r="D705" s="207">
        <v>1</v>
      </c>
      <c r="E705" s="207" t="s">
        <v>4398</v>
      </c>
      <c r="F705" s="214" t="s">
        <v>7415</v>
      </c>
      <c r="G705" s="207" t="s">
        <v>4400</v>
      </c>
      <c r="H705" s="207" t="s">
        <v>4401</v>
      </c>
      <c r="I705" s="217" t="s">
        <v>4402</v>
      </c>
      <c r="J705" s="215" t="s">
        <v>7416</v>
      </c>
      <c r="K705" s="215" t="s">
        <v>7417</v>
      </c>
      <c r="L705" s="215" t="s">
        <v>7418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2" t="s">
        <v>4408</v>
      </c>
      <c r="V705" s="202" t="s">
        <v>4408</v>
      </c>
      <c r="W705" s="202">
        <v>45999</v>
      </c>
      <c r="X705" s="202">
        <v>46001</v>
      </c>
      <c r="Y705" s="203"/>
      <c r="Z705" s="219"/>
      <c r="AA705" s="215" t="s">
        <v>7416</v>
      </c>
      <c r="AB705" s="215" t="s">
        <v>7417</v>
      </c>
      <c r="AC705" s="215" t="s">
        <v>7418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19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19"/>
      <c r="BC705" s="219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702</v>
      </c>
      <c r="B706" s="197" t="s">
        <v>4396</v>
      </c>
      <c r="C706" s="207" t="s">
        <v>4427</v>
      </c>
      <c r="D706" s="207">
        <v>1</v>
      </c>
      <c r="E706" s="207" t="s">
        <v>4398</v>
      </c>
      <c r="F706" s="214" t="s">
        <v>7419</v>
      </c>
      <c r="G706" s="207" t="s">
        <v>4400</v>
      </c>
      <c r="H706" s="207" t="s">
        <v>4401</v>
      </c>
      <c r="I706" s="217" t="s">
        <v>4402</v>
      </c>
      <c r="J706" s="215" t="s">
        <v>7420</v>
      </c>
      <c r="K706" s="215" t="s">
        <v>7421</v>
      </c>
      <c r="L706" s="215" t="s">
        <v>7422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46002</v>
      </c>
      <c r="Y706" s="203"/>
      <c r="Z706" s="219"/>
      <c r="AA706" s="215" t="s">
        <v>7420</v>
      </c>
      <c r="AB706" s="215" t="s">
        <v>7421</v>
      </c>
      <c r="AC706" s="215" t="s">
        <v>7422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7">
        <v>45993</v>
      </c>
      <c r="AL706" s="317">
        <v>45993</v>
      </c>
      <c r="AM706" s="317">
        <v>45993</v>
      </c>
      <c r="AN706" s="317">
        <v>45993</v>
      </c>
      <c r="AO706" s="317">
        <v>45993</v>
      </c>
      <c r="AP706" s="317">
        <v>45993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703</v>
      </c>
      <c r="B707" s="197" t="s">
        <v>4396</v>
      </c>
      <c r="C707" s="207" t="s">
        <v>4427</v>
      </c>
      <c r="D707" s="207">
        <v>1</v>
      </c>
      <c r="E707" s="207" t="s">
        <v>4398</v>
      </c>
      <c r="F707" s="214" t="s">
        <v>7423</v>
      </c>
      <c r="G707" s="207" t="s">
        <v>4400</v>
      </c>
      <c r="H707" s="207" t="s">
        <v>4401</v>
      </c>
      <c r="I707" s="217" t="s">
        <v>4402</v>
      </c>
      <c r="J707" s="215" t="s">
        <v>7424</v>
      </c>
      <c r="K707" s="215" t="s">
        <v>7425</v>
      </c>
      <c r="L707" s="215" t="s">
        <v>7426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3" t="s">
        <v>4408</v>
      </c>
      <c r="V707" s="203" t="s">
        <v>4408</v>
      </c>
      <c r="W707" s="202">
        <v>45999</v>
      </c>
      <c r="X707" s="202">
        <v>46002</v>
      </c>
      <c r="Y707" s="203"/>
      <c r="Z707" s="219"/>
      <c r="AA707" s="215" t="s">
        <v>7424</v>
      </c>
      <c r="AB707" s="215" t="s">
        <v>7425</v>
      </c>
      <c r="AC707" s="215" t="s">
        <v>7426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19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19"/>
      <c r="BC707" s="219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207">
        <v>704</v>
      </c>
      <c r="B708" s="197" t="s">
        <v>4396</v>
      </c>
      <c r="C708" s="207" t="s">
        <v>4427</v>
      </c>
      <c r="D708" s="207">
        <v>1</v>
      </c>
      <c r="E708" s="207" t="s">
        <v>4398</v>
      </c>
      <c r="F708" s="214" t="s">
        <v>7427</v>
      </c>
      <c r="G708" s="207" t="s">
        <v>4400</v>
      </c>
      <c r="H708" s="207" t="s">
        <v>4401</v>
      </c>
      <c r="I708" s="217" t="s">
        <v>4402</v>
      </c>
      <c r="J708" s="215" t="s">
        <v>7428</v>
      </c>
      <c r="K708" s="215" t="s">
        <v>7429</v>
      </c>
      <c r="L708" s="215" t="s">
        <v>7430</v>
      </c>
      <c r="M708" s="207" t="s">
        <v>4405</v>
      </c>
      <c r="N708" s="207" t="s">
        <v>4406</v>
      </c>
      <c r="O708" s="202">
        <v>45986</v>
      </c>
      <c r="P708" s="203" t="s">
        <v>4407</v>
      </c>
      <c r="Q708" s="203">
        <v>45985</v>
      </c>
      <c r="R708" s="203">
        <v>45986</v>
      </c>
      <c r="S708" s="203">
        <v>45987</v>
      </c>
      <c r="T708" s="203">
        <v>45992</v>
      </c>
      <c r="U708" s="202" t="s">
        <v>4408</v>
      </c>
      <c r="V708" s="202" t="s">
        <v>4408</v>
      </c>
      <c r="W708" s="202">
        <v>45999</v>
      </c>
      <c r="X708" s="202">
        <v>46000</v>
      </c>
      <c r="Y708" s="203"/>
      <c r="Z708" s="219"/>
      <c r="AA708" s="215" t="s">
        <v>7428</v>
      </c>
      <c r="AB708" s="215" t="s">
        <v>7429</v>
      </c>
      <c r="AC708" s="215" t="s">
        <v>7430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204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07"/>
      <c r="AW708" s="207"/>
      <c r="AX708" s="207" t="s">
        <v>4409</v>
      </c>
      <c r="AY708" s="207" t="s">
        <v>4409</v>
      </c>
      <c r="AZ708" s="207" t="s">
        <v>4409</v>
      </c>
      <c r="BA708" s="207" t="s">
        <v>4409</v>
      </c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705</v>
      </c>
      <c r="B709" s="197" t="s">
        <v>4396</v>
      </c>
      <c r="C709" s="207" t="s">
        <v>4427</v>
      </c>
      <c r="D709" s="207">
        <v>1</v>
      </c>
      <c r="E709" s="207" t="s">
        <v>4398</v>
      </c>
      <c r="F709" s="214" t="s">
        <v>7431</v>
      </c>
      <c r="G709" s="207" t="s">
        <v>4400</v>
      </c>
      <c r="H709" s="207" t="s">
        <v>4401</v>
      </c>
      <c r="I709" s="217" t="s">
        <v>4402</v>
      </c>
      <c r="J709" s="215" t="s">
        <v>7432</v>
      </c>
      <c r="K709" s="215" t="s">
        <v>7433</v>
      </c>
      <c r="L709" s="215" t="s">
        <v>7434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2"/>
      <c r="Z709" s="207"/>
      <c r="AA709" s="215" t="s">
        <v>7432</v>
      </c>
      <c r="AB709" s="215" t="s">
        <v>7433</v>
      </c>
      <c r="AC709" s="215" t="s">
        <v>7434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04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07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07"/>
      <c r="BC709" s="202"/>
      <c r="BD709" s="208"/>
      <c r="BE709" s="202"/>
      <c r="BF709" s="207"/>
      <c r="BG709" s="229"/>
      <c r="BH709" s="321" t="str">
        <f t="shared" ref="BH709:BH772" si="49">IFERROR(IF(BD709-KI709=0,"",BD709-AK709),"")</f>
        <v/>
      </c>
      <c r="BI709" s="98" t="str">
        <f t="shared" ref="BI709:BI772" si="50">IF(AND(AH709&lt;&gt;"SIM",AH709="UH"),"AA","INDENIZAÇÃO")</f>
        <v>AA</v>
      </c>
      <c r="BJ709" s="98" t="str">
        <f t="shared" ref="BJ709:BJ772" si="51">IF(AND(BD709&lt;&gt;"AGUARDANDO",BD709&lt;&gt;"",N709="AUXÍLIO ALUGUEL ATÉ INDENIZAÇÃO"),"SIM","NÃO")</f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197">
        <v>706</v>
      </c>
      <c r="B710" s="197" t="s">
        <v>4396</v>
      </c>
      <c r="C710" s="207" t="s">
        <v>4427</v>
      </c>
      <c r="D710" s="207">
        <v>1</v>
      </c>
      <c r="E710" s="207" t="s">
        <v>4398</v>
      </c>
      <c r="F710" s="214" t="s">
        <v>7435</v>
      </c>
      <c r="G710" s="207" t="s">
        <v>4400</v>
      </c>
      <c r="H710" s="207" t="s">
        <v>4401</v>
      </c>
      <c r="I710" s="217" t="s">
        <v>4402</v>
      </c>
      <c r="J710" s="215" t="s">
        <v>7436</v>
      </c>
      <c r="K710" s="215" t="s">
        <v>7437</v>
      </c>
      <c r="L710" s="215" t="s">
        <v>7438</v>
      </c>
      <c r="M710" s="207" t="s">
        <v>4405</v>
      </c>
      <c r="N710" s="207" t="s">
        <v>4406</v>
      </c>
      <c r="O710" s="202">
        <v>45986</v>
      </c>
      <c r="P710" s="230" t="s">
        <v>4407</v>
      </c>
      <c r="Q710" s="202">
        <v>45985</v>
      </c>
      <c r="R710" s="202">
        <v>45986</v>
      </c>
      <c r="S710" s="202">
        <v>45987</v>
      </c>
      <c r="T710" s="202">
        <v>45992</v>
      </c>
      <c r="U710" s="230" t="s">
        <v>4408</v>
      </c>
      <c r="V710" s="230" t="s">
        <v>4408</v>
      </c>
      <c r="W710" s="202">
        <v>45999</v>
      </c>
      <c r="X710" s="202">
        <v>46001</v>
      </c>
      <c r="Y710" s="202"/>
      <c r="Z710" s="207"/>
      <c r="AA710" s="215" t="s">
        <v>7436</v>
      </c>
      <c r="AB710" s="215" t="s">
        <v>7437</v>
      </c>
      <c r="AC710" s="215" t="s">
        <v>7438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6">
        <v>45980</v>
      </c>
      <c r="AL710" s="316">
        <v>45980</v>
      </c>
      <c r="AM710" s="316">
        <v>45980</v>
      </c>
      <c r="AN710" s="316">
        <v>45980</v>
      </c>
      <c r="AO710" s="316">
        <v>45980</v>
      </c>
      <c r="AP710" s="316">
        <v>45980</v>
      </c>
      <c r="AQ710" s="314"/>
      <c r="AR710" s="315" t="str">
        <f t="shared" ref="AR710:AR773" si="52">IF(AQ710="SIM","AGUARDANDO CORREÇÃO",IF(AP710&lt;&gt;"","FINALIZADO",IF(AO710&lt;&gt;"","AGUARDANDO ENVIO DTS",IF(AN710&lt;&gt;"","AGUARDANDO ASSINATURA GAB",IF(AM710&lt;&gt;"","AGUARDANDO ASSINATURA CTS",IF(AL710&lt;&gt;"","AGUARDANDO ENVIO ASSINATURA CTS",IF(AK710&lt;&gt;"","AGUARDANDO CONFERÊNCIA","")))))))</f>
        <v>FINALIZADO</v>
      </c>
      <c r="AS710" s="207"/>
      <c r="AT710" s="207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07"/>
      <c r="BC710" s="202"/>
      <c r="BD710" s="208"/>
      <c r="BE710" s="202"/>
      <c r="BF710" s="207"/>
      <c r="BG710" s="229"/>
      <c r="BH710" s="321" t="str">
        <f t="shared" si="49"/>
        <v/>
      </c>
      <c r="BI710" s="98" t="str">
        <f t="shared" si="50"/>
        <v>AA</v>
      </c>
      <c r="BJ710" s="98" t="str">
        <f t="shared" si="51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707</v>
      </c>
      <c r="B711" s="197" t="s">
        <v>4396</v>
      </c>
      <c r="C711" s="207" t="s">
        <v>4427</v>
      </c>
      <c r="D711" s="207">
        <v>1</v>
      </c>
      <c r="E711" s="207" t="s">
        <v>4398</v>
      </c>
      <c r="F711" s="214" t="s">
        <v>7439</v>
      </c>
      <c r="G711" s="207" t="s">
        <v>4400</v>
      </c>
      <c r="H711" s="207" t="s">
        <v>4401</v>
      </c>
      <c r="I711" s="217" t="s">
        <v>4402</v>
      </c>
      <c r="J711" s="215" t="s">
        <v>7440</v>
      </c>
      <c r="K711" s="215" t="s">
        <v>4440</v>
      </c>
      <c r="L711" s="215" t="s">
        <v>7441</v>
      </c>
      <c r="M711" s="207" t="s">
        <v>4405</v>
      </c>
      <c r="N711" s="207" t="s">
        <v>4406</v>
      </c>
      <c r="O711" s="202">
        <v>46031</v>
      </c>
      <c r="P711" s="202" t="s">
        <v>4407</v>
      </c>
      <c r="Q711" s="202">
        <v>46023</v>
      </c>
      <c r="R711" s="202">
        <v>46023</v>
      </c>
      <c r="S711" s="202">
        <v>46036</v>
      </c>
      <c r="T711" s="202">
        <v>46045</v>
      </c>
      <c r="U711" s="202" t="s">
        <v>4408</v>
      </c>
      <c r="V711" s="202" t="s">
        <v>4408</v>
      </c>
      <c r="W711" s="202">
        <v>46055</v>
      </c>
      <c r="X711" s="202">
        <v>46056</v>
      </c>
      <c r="Y711" s="202"/>
      <c r="Z711" s="207"/>
      <c r="AA711" s="215" t="s">
        <v>7440</v>
      </c>
      <c r="AB711" s="215" t="s">
        <v>4440</v>
      </c>
      <c r="AC711" s="215" t="s">
        <v>7441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197" t="s">
        <v>4410</v>
      </c>
      <c r="AI711" s="214" t="s">
        <v>4411</v>
      </c>
      <c r="AJ711" s="207"/>
      <c r="AK711" s="316"/>
      <c r="AL711" s="316"/>
      <c r="AM711" s="316"/>
      <c r="AN711" s="316"/>
      <c r="AO711" s="316"/>
      <c r="AP711" s="316"/>
      <c r="AQ711" s="314"/>
      <c r="AR711" s="315" t="str">
        <f t="shared" si="52"/>
        <v/>
      </c>
      <c r="AS711" s="207"/>
      <c r="AT711" s="207"/>
      <c r="AU711" s="225"/>
      <c r="AV711" s="207"/>
      <c r="AW711" s="207"/>
      <c r="AX711" s="207"/>
      <c r="AY711" s="207"/>
      <c r="AZ711" s="202"/>
      <c r="BA711" s="219"/>
      <c r="BB711" s="207"/>
      <c r="BC711" s="202"/>
      <c r="BD711" s="208"/>
      <c r="BE711" s="202"/>
      <c r="BF711" s="207"/>
      <c r="BG711" s="229"/>
      <c r="BH711" s="321" t="str">
        <f t="shared" si="49"/>
        <v/>
      </c>
      <c r="BI711" s="98" t="str">
        <f t="shared" si="50"/>
        <v>AA</v>
      </c>
      <c r="BJ711" s="98" t="str">
        <f t="shared" si="51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708</v>
      </c>
      <c r="B712" s="197" t="s">
        <v>4396</v>
      </c>
      <c r="C712" s="207" t="s">
        <v>4427</v>
      </c>
      <c r="D712" s="207">
        <v>1</v>
      </c>
      <c r="E712" s="207" t="s">
        <v>4398</v>
      </c>
      <c r="F712" s="214" t="s">
        <v>7442</v>
      </c>
      <c r="G712" s="207" t="s">
        <v>4400</v>
      </c>
      <c r="H712" s="207" t="s">
        <v>4401</v>
      </c>
      <c r="I712" s="217" t="s">
        <v>4402</v>
      </c>
      <c r="J712" s="215" t="s">
        <v>7443</v>
      </c>
      <c r="K712" s="215" t="s">
        <v>7444</v>
      </c>
      <c r="L712" s="215" t="s">
        <v>7445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3" t="s">
        <v>4408</v>
      </c>
      <c r="V712" s="203" t="s">
        <v>4408</v>
      </c>
      <c r="W712" s="202">
        <v>45999</v>
      </c>
      <c r="X712" s="202">
        <v>46001</v>
      </c>
      <c r="Y712" s="203"/>
      <c r="Z712" s="219"/>
      <c r="AA712" s="215" t="s">
        <v>7443</v>
      </c>
      <c r="AB712" s="215" t="s">
        <v>7444</v>
      </c>
      <c r="AC712" s="215" t="s">
        <v>7445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41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52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9"/>
        <v/>
      </c>
      <c r="BI712" s="98" t="str">
        <f t="shared" si="50"/>
        <v>AA</v>
      </c>
      <c r="BJ712" s="98" t="str">
        <f t="shared" si="51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207">
        <v>709</v>
      </c>
      <c r="B713" s="197" t="s">
        <v>4396</v>
      </c>
      <c r="C713" s="207" t="s">
        <v>4427</v>
      </c>
      <c r="D713" s="207">
        <v>1</v>
      </c>
      <c r="E713" s="207" t="s">
        <v>4398</v>
      </c>
      <c r="F713" s="214" t="s">
        <v>7446</v>
      </c>
      <c r="G713" s="207" t="s">
        <v>4400</v>
      </c>
      <c r="H713" s="207" t="s">
        <v>4401</v>
      </c>
      <c r="I713" s="217" t="s">
        <v>4402</v>
      </c>
      <c r="J713" s="215" t="s">
        <v>7447</v>
      </c>
      <c r="K713" s="215" t="s">
        <v>7448</v>
      </c>
      <c r="L713" s="215" t="s">
        <v>7449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7447</v>
      </c>
      <c r="AB713" s="215" t="s">
        <v>7448</v>
      </c>
      <c r="AC713" s="215" t="s">
        <v>7449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52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si="49"/>
        <v/>
      </c>
      <c r="BI713" s="98" t="str">
        <f t="shared" si="50"/>
        <v>AA</v>
      </c>
      <c r="BJ713" s="98" t="str">
        <f t="shared" si="51"/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710</v>
      </c>
      <c r="B714" s="197" t="s">
        <v>4396</v>
      </c>
      <c r="C714" s="207" t="s">
        <v>4427</v>
      </c>
      <c r="D714" s="207">
        <v>1</v>
      </c>
      <c r="E714" s="207" t="s">
        <v>4398</v>
      </c>
      <c r="F714" s="214" t="s">
        <v>7450</v>
      </c>
      <c r="G714" s="207" t="s">
        <v>4400</v>
      </c>
      <c r="H714" s="207" t="s">
        <v>4401</v>
      </c>
      <c r="I714" s="217" t="s">
        <v>4402</v>
      </c>
      <c r="J714" s="255" t="s">
        <v>7451</v>
      </c>
      <c r="K714" s="215" t="s">
        <v>7452</v>
      </c>
      <c r="L714" s="215" t="s">
        <v>7453</v>
      </c>
      <c r="M714" s="207" t="s">
        <v>4405</v>
      </c>
      <c r="N714" s="207" t="s">
        <v>4406</v>
      </c>
      <c r="O714" s="203">
        <v>46031</v>
      </c>
      <c r="P714" s="202" t="s">
        <v>4407</v>
      </c>
      <c r="Q714" s="203">
        <v>46030</v>
      </c>
      <c r="R714" s="203">
        <v>46031</v>
      </c>
      <c r="S714" s="203">
        <v>46036</v>
      </c>
      <c r="T714" s="203">
        <v>46045</v>
      </c>
      <c r="U714" s="203" t="s">
        <v>4408</v>
      </c>
      <c r="V714" s="203" t="s">
        <v>4408</v>
      </c>
      <c r="W714" s="202">
        <v>46055</v>
      </c>
      <c r="X714" s="203">
        <v>46058</v>
      </c>
      <c r="Y714" s="203"/>
      <c r="Z714" s="219"/>
      <c r="AA714" s="255" t="s">
        <v>7451</v>
      </c>
      <c r="AB714" s="215" t="s">
        <v>7452</v>
      </c>
      <c r="AC714" s="215" t="s">
        <v>7453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197" t="s">
        <v>4410</v>
      </c>
      <c r="AI714" s="214" t="s">
        <v>4411</v>
      </c>
      <c r="AJ714" s="207"/>
      <c r="AK714" s="317"/>
      <c r="AL714" s="317"/>
      <c r="AM714" s="317"/>
      <c r="AN714" s="317"/>
      <c r="AO714" s="317"/>
      <c r="AP714" s="317"/>
      <c r="AQ714" s="314"/>
      <c r="AR714" s="315" t="str">
        <f t="shared" si="52"/>
        <v/>
      </c>
      <c r="AS714" s="207"/>
      <c r="AT714" s="219"/>
      <c r="AU714" s="225"/>
      <c r="AV714" s="219"/>
      <c r="AW714" s="219"/>
      <c r="AX714" s="219"/>
      <c r="AY714" s="219"/>
      <c r="AZ714" s="219"/>
      <c r="BA714" s="219"/>
      <c r="BB714" s="219"/>
      <c r="BC714" s="219"/>
      <c r="BD714" s="208"/>
      <c r="BE714" s="203"/>
      <c r="BF714" s="219"/>
      <c r="BG714" s="21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19"/>
      <c r="BL714" s="221"/>
      <c r="BM714" s="221"/>
      <c r="BN714" s="219"/>
      <c r="BO714" s="219"/>
      <c r="BP714" s="219"/>
      <c r="BQ714" s="219"/>
      <c r="BR714" s="222"/>
    </row>
    <row r="715" spans="1:74" ht="27" hidden="1" customHeight="1">
      <c r="A715" s="197">
        <v>711</v>
      </c>
      <c r="B715" s="197" t="s">
        <v>4396</v>
      </c>
      <c r="C715" s="207" t="s">
        <v>4427</v>
      </c>
      <c r="D715" s="207">
        <v>1</v>
      </c>
      <c r="E715" s="207" t="s">
        <v>4398</v>
      </c>
      <c r="F715" s="214" t="s">
        <v>7454</v>
      </c>
      <c r="G715" s="207" t="s">
        <v>4400</v>
      </c>
      <c r="H715" s="207" t="s">
        <v>4401</v>
      </c>
      <c r="I715" s="217" t="s">
        <v>4402</v>
      </c>
      <c r="J715" s="242" t="s">
        <v>7455</v>
      </c>
      <c r="K715" s="215" t="s">
        <v>7456</v>
      </c>
      <c r="L715" s="215" t="s">
        <v>7457</v>
      </c>
      <c r="M715" s="207" t="s">
        <v>4405</v>
      </c>
      <c r="N715" s="207" t="s">
        <v>4442</v>
      </c>
      <c r="O715" s="202" t="s">
        <v>4409</v>
      </c>
      <c r="P715" s="202" t="s">
        <v>4409</v>
      </c>
      <c r="Q715" s="202" t="s">
        <v>4409</v>
      </c>
      <c r="R715" s="202" t="s">
        <v>4409</v>
      </c>
      <c r="S715" s="202" t="s">
        <v>4409</v>
      </c>
      <c r="T715" s="202" t="s">
        <v>4409</v>
      </c>
      <c r="U715" s="202" t="s">
        <v>4409</v>
      </c>
      <c r="V715" s="202" t="s">
        <v>4409</v>
      </c>
      <c r="W715" s="202" t="s">
        <v>4409</v>
      </c>
      <c r="X715" s="202" t="s">
        <v>4409</v>
      </c>
      <c r="Y715" s="202"/>
      <c r="Z715" s="202"/>
      <c r="AA715" s="242" t="s">
        <v>7455</v>
      </c>
      <c r="AB715" s="215" t="s">
        <v>7456</v>
      </c>
      <c r="AC715" s="215" t="s">
        <v>7457</v>
      </c>
      <c r="AD715" s="207" t="s">
        <v>4402</v>
      </c>
      <c r="AE715" s="207" t="s">
        <v>4405</v>
      </c>
      <c r="AF715" s="218">
        <v>4137.6400000000003</v>
      </c>
      <c r="AG715" s="218">
        <f>AF715+30000</f>
        <v>34137.64</v>
      </c>
      <c r="AH715" s="207" t="s">
        <v>4433</v>
      </c>
      <c r="AI715" s="214" t="s">
        <v>4411</v>
      </c>
      <c r="AJ715" s="207">
        <v>148267454</v>
      </c>
      <c r="AK715" s="316">
        <v>46038</v>
      </c>
      <c r="AL715" s="316">
        <v>46038</v>
      </c>
      <c r="AM715" s="316">
        <v>46038</v>
      </c>
      <c r="AN715" s="316">
        <v>46038</v>
      </c>
      <c r="AO715" s="316">
        <v>46038</v>
      </c>
      <c r="AP715" s="316">
        <v>46038</v>
      </c>
      <c r="AQ715" s="314"/>
      <c r="AR715" s="315" t="str">
        <f t="shared" si="52"/>
        <v>FINALIZADO</v>
      </c>
      <c r="AS715" s="207" t="s">
        <v>4423</v>
      </c>
      <c r="AT715" s="207"/>
      <c r="AU715" s="225" t="s">
        <v>7458</v>
      </c>
      <c r="AV715" s="207" t="s">
        <v>4425</v>
      </c>
      <c r="AW715" s="207" t="s">
        <v>4425</v>
      </c>
      <c r="AX715" s="207" t="s">
        <v>4425</v>
      </c>
      <c r="AY715" s="207" t="s">
        <v>4425</v>
      </c>
      <c r="AZ715" s="202">
        <v>46084</v>
      </c>
      <c r="BA715" s="219" t="s">
        <v>4425</v>
      </c>
      <c r="BB715" s="219" t="s">
        <v>4425</v>
      </c>
      <c r="BC715" s="239">
        <v>46092</v>
      </c>
      <c r="BD715" s="226">
        <v>46092</v>
      </c>
      <c r="BE715" s="226" t="s">
        <v>4435</v>
      </c>
      <c r="BF715" s="228" t="s">
        <v>4436</v>
      </c>
      <c r="BG715" s="229" t="s">
        <v>4425</v>
      </c>
      <c r="BH715" s="321">
        <f t="shared" si="49"/>
        <v>54</v>
      </c>
      <c r="BI715" s="98" t="str">
        <f t="shared" si="50"/>
        <v>INDENIZAÇÃO</v>
      </c>
      <c r="BJ715" s="98" t="str">
        <f t="shared" si="51"/>
        <v>NÃO</v>
      </c>
      <c r="BK715" s="230" t="s">
        <v>4437</v>
      </c>
      <c r="BL715" s="230" t="s">
        <v>4437</v>
      </c>
      <c r="BM715" s="230" t="s">
        <v>4437</v>
      </c>
      <c r="BN715" s="265" t="s">
        <v>5732</v>
      </c>
      <c r="BO715" s="265"/>
      <c r="BP715" s="265"/>
      <c r="BQ715" s="265"/>
      <c r="BR715" s="231"/>
      <c r="BS715" s="223"/>
    </row>
    <row r="716" spans="1:74" ht="27" hidden="1" customHeight="1">
      <c r="A716" s="207">
        <v>712</v>
      </c>
      <c r="B716" s="197" t="s">
        <v>4396</v>
      </c>
      <c r="C716" s="207" t="s">
        <v>4427</v>
      </c>
      <c r="D716" s="207">
        <v>1</v>
      </c>
      <c r="E716" s="207" t="s">
        <v>4398</v>
      </c>
      <c r="F716" s="214" t="s">
        <v>7459</v>
      </c>
      <c r="G716" s="207" t="s">
        <v>4400</v>
      </c>
      <c r="H716" s="207" t="s">
        <v>4401</v>
      </c>
      <c r="I716" s="217" t="s">
        <v>4402</v>
      </c>
      <c r="J716" s="215" t="s">
        <v>7460</v>
      </c>
      <c r="K716" s="215" t="s">
        <v>7461</v>
      </c>
      <c r="L716" s="215" t="s">
        <v>7462</v>
      </c>
      <c r="M716" s="207" t="s">
        <v>4405</v>
      </c>
      <c r="N716" s="207" t="s">
        <v>4442</v>
      </c>
      <c r="O716" s="202" t="s">
        <v>4409</v>
      </c>
      <c r="P716" s="202" t="s">
        <v>4409</v>
      </c>
      <c r="Q716" s="202" t="s">
        <v>4409</v>
      </c>
      <c r="R716" s="202" t="s">
        <v>4409</v>
      </c>
      <c r="S716" s="202" t="s">
        <v>4409</v>
      </c>
      <c r="T716" s="202" t="s">
        <v>4409</v>
      </c>
      <c r="U716" s="202" t="s">
        <v>4409</v>
      </c>
      <c r="V716" s="202" t="s">
        <v>4409</v>
      </c>
      <c r="W716" s="202" t="s">
        <v>4409</v>
      </c>
      <c r="X716" s="202" t="s">
        <v>4409</v>
      </c>
      <c r="Y716" s="202"/>
      <c r="Z716" s="202"/>
      <c r="AA716" s="215" t="s">
        <v>7463</v>
      </c>
      <c r="AB716" s="215" t="s">
        <v>7461</v>
      </c>
      <c r="AC716" s="215" t="s">
        <v>7462</v>
      </c>
      <c r="AD716" s="207" t="s">
        <v>4402</v>
      </c>
      <c r="AE716" s="207" t="s">
        <v>4405</v>
      </c>
      <c r="AF716" s="218">
        <v>882.38</v>
      </c>
      <c r="AG716" s="218">
        <f>AF716+30000</f>
        <v>30882.38</v>
      </c>
      <c r="AH716" s="207" t="s">
        <v>4422</v>
      </c>
      <c r="AI716" s="214" t="s">
        <v>4411</v>
      </c>
      <c r="AJ716" s="207">
        <v>150959925</v>
      </c>
      <c r="AK716" s="316">
        <v>46086</v>
      </c>
      <c r="AL716" s="316">
        <v>46086</v>
      </c>
      <c r="AM716" s="316">
        <v>46086</v>
      </c>
      <c r="AN716" s="316">
        <v>46086</v>
      </c>
      <c r="AO716" s="316">
        <v>46086</v>
      </c>
      <c r="AP716" s="316">
        <v>46086</v>
      </c>
      <c r="AQ716" s="314"/>
      <c r="AR716" s="315" t="str">
        <f t="shared" si="52"/>
        <v>FINALIZADO</v>
      </c>
      <c r="AS716" s="207" t="s">
        <v>4423</v>
      </c>
      <c r="AT716" s="219"/>
      <c r="AU716" s="225" t="s">
        <v>7464</v>
      </c>
      <c r="AV716" s="207" t="s">
        <v>4425</v>
      </c>
      <c r="AW716" s="207" t="s">
        <v>4425</v>
      </c>
      <c r="AX716" s="207" t="s">
        <v>4425</v>
      </c>
      <c r="AY716" s="207" t="s">
        <v>4425</v>
      </c>
      <c r="AZ716" s="202">
        <v>46153</v>
      </c>
      <c r="BA716" s="207" t="s">
        <v>4425</v>
      </c>
      <c r="BB716" s="207" t="s">
        <v>4425</v>
      </c>
      <c r="BC716" s="202">
        <v>46157</v>
      </c>
      <c r="BD716" s="227">
        <v>46157</v>
      </c>
      <c r="BE716" s="227" t="s">
        <v>4435</v>
      </c>
      <c r="BF716" s="245" t="s">
        <v>4436</v>
      </c>
      <c r="BG716" s="229" t="s">
        <v>4425</v>
      </c>
      <c r="BH716" s="321">
        <f t="shared" si="49"/>
        <v>71</v>
      </c>
      <c r="BI716" s="98" t="str">
        <f t="shared" si="50"/>
        <v>INDENIZAÇÃO</v>
      </c>
      <c r="BJ716" s="98" t="str">
        <f t="shared" si="51"/>
        <v>NÃO</v>
      </c>
      <c r="BK716" s="230" t="s">
        <v>4437</v>
      </c>
      <c r="BL716" s="230" t="s">
        <v>4437</v>
      </c>
      <c r="BM716" s="230" t="s">
        <v>4437</v>
      </c>
      <c r="BN716" s="265" t="s">
        <v>5732</v>
      </c>
      <c r="BO716" s="265"/>
      <c r="BP716" s="265"/>
      <c r="BQ716" s="265"/>
      <c r="BR716" s="231"/>
      <c r="BS716" s="223"/>
      <c r="BT716" s="240"/>
      <c r="BU716" s="240"/>
      <c r="BV716" s="240"/>
    </row>
    <row r="717" spans="1:74" ht="27" hidden="1" customHeight="1">
      <c r="A717" s="207">
        <v>713</v>
      </c>
      <c r="B717" s="197" t="s">
        <v>4396</v>
      </c>
      <c r="C717" s="207" t="s">
        <v>4427</v>
      </c>
      <c r="D717" s="207">
        <v>1</v>
      </c>
      <c r="E717" s="207" t="s">
        <v>4398</v>
      </c>
      <c r="F717" s="214" t="s">
        <v>7465</v>
      </c>
      <c r="G717" s="207" t="s">
        <v>4400</v>
      </c>
      <c r="H717" s="207" t="s">
        <v>4401</v>
      </c>
      <c r="I717" s="217" t="s">
        <v>4402</v>
      </c>
      <c r="J717" s="242" t="s">
        <v>7466</v>
      </c>
      <c r="K717" s="215" t="s">
        <v>7467</v>
      </c>
      <c r="L717" s="215" t="s">
        <v>7468</v>
      </c>
      <c r="M717" s="207" t="s">
        <v>4405</v>
      </c>
      <c r="N717" s="207" t="s">
        <v>4442</v>
      </c>
      <c r="O717" s="202" t="s">
        <v>4409</v>
      </c>
      <c r="P717" s="202" t="s">
        <v>4409</v>
      </c>
      <c r="Q717" s="202" t="s">
        <v>4409</v>
      </c>
      <c r="R717" s="202" t="s">
        <v>4409</v>
      </c>
      <c r="S717" s="202" t="s">
        <v>4409</v>
      </c>
      <c r="T717" s="202" t="s">
        <v>4409</v>
      </c>
      <c r="U717" s="202" t="s">
        <v>4409</v>
      </c>
      <c r="V717" s="202" t="s">
        <v>4409</v>
      </c>
      <c r="W717" s="202" t="s">
        <v>4409</v>
      </c>
      <c r="X717" s="202" t="s">
        <v>4409</v>
      </c>
      <c r="Y717" s="202"/>
      <c r="Z717" s="202"/>
      <c r="AA717" s="215" t="s">
        <v>7469</v>
      </c>
      <c r="AB717" s="215" t="s">
        <v>7467</v>
      </c>
      <c r="AC717" s="215" t="s">
        <v>7468</v>
      </c>
      <c r="AD717" s="207" t="s">
        <v>4402</v>
      </c>
      <c r="AE717" s="207" t="s">
        <v>4405</v>
      </c>
      <c r="AF717" s="218">
        <v>4668.95</v>
      </c>
      <c r="AG717" s="218">
        <f>AF717+30000</f>
        <v>34668.949999999997</v>
      </c>
      <c r="AH717" s="207" t="s">
        <v>4433</v>
      </c>
      <c r="AI717" s="214" t="s">
        <v>4411</v>
      </c>
      <c r="AJ717" s="207">
        <v>146672839</v>
      </c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 t="s">
        <v>4423</v>
      </c>
      <c r="AT717" s="219"/>
      <c r="AU717" s="225" t="s">
        <v>7470</v>
      </c>
      <c r="AV717" s="207" t="s">
        <v>4425</v>
      </c>
      <c r="AW717" s="207" t="s">
        <v>4425</v>
      </c>
      <c r="AX717" s="207" t="s">
        <v>4425</v>
      </c>
      <c r="AY717" s="197" t="s">
        <v>4425</v>
      </c>
      <c r="AZ717" s="202">
        <v>46008</v>
      </c>
      <c r="BA717" s="219" t="s">
        <v>4425</v>
      </c>
      <c r="BB717" s="207" t="s">
        <v>4425</v>
      </c>
      <c r="BC717" s="239">
        <v>46021</v>
      </c>
      <c r="BD717" s="227">
        <v>46021</v>
      </c>
      <c r="BE717" s="226" t="s">
        <v>4435</v>
      </c>
      <c r="BF717" s="245" t="s">
        <v>4436</v>
      </c>
      <c r="BG717" s="229" t="s">
        <v>4425</v>
      </c>
      <c r="BH717" s="321">
        <f t="shared" si="49"/>
        <v>41</v>
      </c>
      <c r="BI717" s="98" t="str">
        <f t="shared" si="50"/>
        <v>INDENIZAÇÃO</v>
      </c>
      <c r="BJ717" s="98" t="str">
        <f t="shared" si="51"/>
        <v>NÃO</v>
      </c>
      <c r="BK717" s="230" t="s">
        <v>4437</v>
      </c>
      <c r="BL717" s="230" t="s">
        <v>4437</v>
      </c>
      <c r="BM717" s="230" t="s">
        <v>4437</v>
      </c>
      <c r="BN717" s="207" t="s">
        <v>4425</v>
      </c>
      <c r="BO717" s="207" t="s">
        <v>4425</v>
      </c>
      <c r="BP717" s="202">
        <v>46205</v>
      </c>
      <c r="BQ717" s="207" t="s">
        <v>4425</v>
      </c>
      <c r="BR717" s="232" t="s">
        <v>4435</v>
      </c>
      <c r="BS717" s="223"/>
      <c r="BT717" s="240"/>
    </row>
    <row r="718" spans="1:74" ht="27" hidden="1" customHeight="1">
      <c r="A718" s="207">
        <v>714</v>
      </c>
      <c r="B718" s="197" t="s">
        <v>4396</v>
      </c>
      <c r="C718" s="207" t="s">
        <v>4427</v>
      </c>
      <c r="D718" s="207">
        <v>1</v>
      </c>
      <c r="E718" s="207" t="s">
        <v>4398</v>
      </c>
      <c r="F718" s="214" t="s">
        <v>7471</v>
      </c>
      <c r="G718" s="207" t="s">
        <v>4400</v>
      </c>
      <c r="H718" s="207" t="s">
        <v>4401</v>
      </c>
      <c r="I718" s="217" t="s">
        <v>4402</v>
      </c>
      <c r="J718" s="215" t="s">
        <v>7472</v>
      </c>
      <c r="K718" s="215" t="s">
        <v>7473</v>
      </c>
      <c r="L718" s="215" t="s">
        <v>7474</v>
      </c>
      <c r="M718" s="207" t="s">
        <v>4405</v>
      </c>
      <c r="N718" s="207" t="s">
        <v>4406</v>
      </c>
      <c r="O718" s="202">
        <v>46058</v>
      </c>
      <c r="P718" s="203" t="s">
        <v>4407</v>
      </c>
      <c r="Q718" s="202">
        <v>46058</v>
      </c>
      <c r="R718" s="202">
        <v>46058</v>
      </c>
      <c r="S718" s="202">
        <v>46059</v>
      </c>
      <c r="T718" s="202">
        <v>46063</v>
      </c>
      <c r="U718" s="202" t="s">
        <v>4408</v>
      </c>
      <c r="V718" s="202" t="s">
        <v>4408</v>
      </c>
      <c r="W718" s="203">
        <v>46073</v>
      </c>
      <c r="X718" s="202">
        <v>46083</v>
      </c>
      <c r="Y718" s="202"/>
      <c r="Z718" s="207"/>
      <c r="AA718" s="215" t="s">
        <v>7472</v>
      </c>
      <c r="AB718" s="215" t="s">
        <v>7473</v>
      </c>
      <c r="AC718" s="215" t="s">
        <v>7474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207" t="s">
        <v>4410</v>
      </c>
      <c r="AI718" s="214" t="s">
        <v>4411</v>
      </c>
      <c r="AJ718" s="207"/>
      <c r="AK718" s="320"/>
      <c r="AL718" s="320"/>
      <c r="AM718" s="320"/>
      <c r="AN718" s="320"/>
      <c r="AO718" s="320"/>
      <c r="AP718" s="320"/>
      <c r="AQ718" s="314"/>
      <c r="AR718" s="315" t="str">
        <f t="shared" si="52"/>
        <v/>
      </c>
      <c r="AS718" s="207"/>
      <c r="AT718" s="207"/>
      <c r="AU718" s="225"/>
      <c r="AV718" s="207"/>
      <c r="AW718" s="207"/>
      <c r="AX718" s="207"/>
      <c r="AY718" s="207"/>
      <c r="AZ718" s="202"/>
      <c r="BA718" s="219"/>
      <c r="BB718" s="207"/>
      <c r="BC718" s="202"/>
      <c r="BD718" s="208"/>
      <c r="BE718" s="202"/>
      <c r="BF718" s="207"/>
      <c r="BG718" s="22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30"/>
      <c r="BL718" s="230"/>
      <c r="BM718" s="230"/>
      <c r="BN718" s="230"/>
      <c r="BO718" s="230"/>
      <c r="BP718" s="230"/>
      <c r="BQ718" s="230"/>
      <c r="BR718" s="234"/>
      <c r="BS718" s="240"/>
    </row>
    <row r="719" spans="1:74" ht="27" hidden="1" customHeight="1">
      <c r="A719" s="197">
        <v>715</v>
      </c>
      <c r="B719" s="197" t="s">
        <v>4396</v>
      </c>
      <c r="C719" s="207" t="s">
        <v>4427</v>
      </c>
      <c r="D719" s="207">
        <v>1</v>
      </c>
      <c r="E719" s="207" t="s">
        <v>4398</v>
      </c>
      <c r="F719" s="214" t="s">
        <v>7475</v>
      </c>
      <c r="G719" s="207" t="s">
        <v>4400</v>
      </c>
      <c r="H719" s="207" t="s">
        <v>4401</v>
      </c>
      <c r="I719" s="217" t="s">
        <v>4402</v>
      </c>
      <c r="J719" s="215" t="s">
        <v>7463</v>
      </c>
      <c r="K719" s="215" t="s">
        <v>7476</v>
      </c>
      <c r="L719" s="215" t="s">
        <v>7477</v>
      </c>
      <c r="M719" s="207" t="s">
        <v>4405</v>
      </c>
      <c r="N719" s="207" t="s">
        <v>4406</v>
      </c>
      <c r="O719" s="202">
        <v>46002</v>
      </c>
      <c r="P719" s="202" t="s">
        <v>4407</v>
      </c>
      <c r="Q719" s="202">
        <v>45999</v>
      </c>
      <c r="R719" s="202">
        <v>46006</v>
      </c>
      <c r="S719" s="202">
        <v>46006</v>
      </c>
      <c r="T719" s="202">
        <v>46009</v>
      </c>
      <c r="U719" s="202" t="s">
        <v>4408</v>
      </c>
      <c r="V719" s="202" t="s">
        <v>4408</v>
      </c>
      <c r="W719" s="202">
        <v>46014</v>
      </c>
      <c r="X719" s="202">
        <v>46027</v>
      </c>
      <c r="Y719" s="202"/>
      <c r="Z719" s="207"/>
      <c r="AA719" s="215" t="s">
        <v>7463</v>
      </c>
      <c r="AB719" s="215" t="s">
        <v>7476</v>
      </c>
      <c r="AC719" s="215" t="s">
        <v>7477</v>
      </c>
      <c r="AD719" s="207" t="s">
        <v>4402</v>
      </c>
      <c r="AE719" s="207" t="s">
        <v>4405</v>
      </c>
      <c r="AF719" s="218" t="s">
        <v>4409</v>
      </c>
      <c r="AG719" s="218" t="s">
        <v>4409</v>
      </c>
      <c r="AH719" s="207" t="s">
        <v>4410</v>
      </c>
      <c r="AI719" s="214" t="s">
        <v>4411</v>
      </c>
      <c r="AJ719" s="207"/>
      <c r="AK719" s="316">
        <v>45996</v>
      </c>
      <c r="AL719" s="316">
        <v>45996</v>
      </c>
      <c r="AM719" s="316">
        <v>45996</v>
      </c>
      <c r="AN719" s="316">
        <v>45996</v>
      </c>
      <c r="AO719" s="316">
        <v>45996</v>
      </c>
      <c r="AP719" s="316">
        <v>45996</v>
      </c>
      <c r="AQ719" s="314"/>
      <c r="AR719" s="315" t="str">
        <f t="shared" si="52"/>
        <v>FINALIZADO</v>
      </c>
      <c r="AS719" s="207"/>
      <c r="AT719" s="207"/>
      <c r="AU719" s="225"/>
      <c r="AV719" s="207"/>
      <c r="AW719" s="207"/>
      <c r="AX719" s="207"/>
      <c r="AY719" s="207"/>
      <c r="AZ719" s="202"/>
      <c r="BA719" s="219"/>
      <c r="BB719" s="207"/>
      <c r="BC719" s="202"/>
      <c r="BD719" s="208"/>
      <c r="BE719" s="202"/>
      <c r="BF719" s="207"/>
      <c r="BG719" s="229"/>
      <c r="BH719" s="321" t="str">
        <f t="shared" si="49"/>
        <v/>
      </c>
      <c r="BI719" s="98" t="str">
        <f t="shared" si="50"/>
        <v>AA</v>
      </c>
      <c r="BJ719" s="98" t="str">
        <f t="shared" si="51"/>
        <v>NÃO</v>
      </c>
      <c r="BK719" s="230"/>
      <c r="BL719" s="230"/>
      <c r="BM719" s="230"/>
      <c r="BN719" s="230"/>
      <c r="BO719" s="230"/>
      <c r="BP719" s="230"/>
      <c r="BQ719" s="230"/>
      <c r="BR719" s="234"/>
    </row>
    <row r="720" spans="1:74" ht="27" hidden="1" customHeight="1">
      <c r="A720" s="197">
        <v>716</v>
      </c>
      <c r="B720" s="197" t="s">
        <v>4396</v>
      </c>
      <c r="C720" s="207" t="s">
        <v>4427</v>
      </c>
      <c r="D720" s="207">
        <v>1</v>
      </c>
      <c r="E720" s="207" t="s">
        <v>4398</v>
      </c>
      <c r="F720" s="214" t="s">
        <v>7478</v>
      </c>
      <c r="G720" s="207" t="s">
        <v>4400</v>
      </c>
      <c r="H720" s="207" t="s">
        <v>4401</v>
      </c>
      <c r="I720" s="217" t="s">
        <v>4402</v>
      </c>
      <c r="J720" s="215" t="s">
        <v>7469</v>
      </c>
      <c r="K720" s="215" t="s">
        <v>7479</v>
      </c>
      <c r="L720" s="215" t="s">
        <v>7480</v>
      </c>
      <c r="M720" s="207" t="s">
        <v>4405</v>
      </c>
      <c r="N720" s="207" t="s">
        <v>4406</v>
      </c>
      <c r="O720" s="202">
        <v>46084</v>
      </c>
      <c r="P720" s="202" t="s">
        <v>4407</v>
      </c>
      <c r="Q720" s="202">
        <v>46083</v>
      </c>
      <c r="R720" s="203">
        <v>46084</v>
      </c>
      <c r="S720" s="203">
        <v>46087</v>
      </c>
      <c r="T720" s="203">
        <v>46090</v>
      </c>
      <c r="U720" s="202" t="s">
        <v>4408</v>
      </c>
      <c r="V720" s="202" t="s">
        <v>4408</v>
      </c>
      <c r="W720" s="202">
        <v>46101</v>
      </c>
      <c r="X720" s="202">
        <v>46101</v>
      </c>
      <c r="Y720" s="202"/>
      <c r="Z720" s="202"/>
      <c r="AA720" s="215" t="s">
        <v>7469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 t="s">
        <v>4409</v>
      </c>
      <c r="AG720" s="218" t="s">
        <v>4409</v>
      </c>
      <c r="AH720" s="207" t="s">
        <v>4410</v>
      </c>
      <c r="AI720" s="214" t="s">
        <v>4411</v>
      </c>
      <c r="AJ720" s="207"/>
      <c r="AK720" s="316">
        <v>45996</v>
      </c>
      <c r="AL720" s="316">
        <v>45996</v>
      </c>
      <c r="AM720" s="316">
        <v>45996</v>
      </c>
      <c r="AN720" s="316">
        <v>45996</v>
      </c>
      <c r="AO720" s="316">
        <v>45996</v>
      </c>
      <c r="AP720" s="316">
        <v>45996</v>
      </c>
      <c r="AQ720" s="314"/>
      <c r="AR720" s="315" t="str">
        <f t="shared" si="52"/>
        <v>FINALIZADO</v>
      </c>
      <c r="AS720" s="207"/>
      <c r="AT720" s="207"/>
      <c r="AU720" s="225"/>
      <c r="AV720" s="207"/>
      <c r="AW720" s="207"/>
      <c r="AX720" s="207"/>
      <c r="AY720" s="207"/>
      <c r="AZ720" s="202"/>
      <c r="BA720" s="219"/>
      <c r="BB720" s="207"/>
      <c r="BC720" s="202"/>
      <c r="BD720" s="208"/>
      <c r="BE720" s="202"/>
      <c r="BF720" s="207"/>
      <c r="BG720" s="229"/>
      <c r="BH720" s="321" t="str">
        <f t="shared" si="49"/>
        <v/>
      </c>
      <c r="BI720" s="98" t="str">
        <f t="shared" si="50"/>
        <v>AA</v>
      </c>
      <c r="BJ720" s="98" t="str">
        <f t="shared" si="51"/>
        <v>NÃO</v>
      </c>
      <c r="BK720" s="230"/>
      <c r="BL720" s="230"/>
      <c r="BM720" s="230"/>
      <c r="BN720" s="230"/>
      <c r="BO720" s="230"/>
      <c r="BP720" s="230"/>
      <c r="BQ720" s="230"/>
      <c r="BR720" s="234"/>
    </row>
    <row r="721" spans="1:74" ht="27" hidden="1" customHeight="1">
      <c r="A721" s="207">
        <v>717</v>
      </c>
      <c r="B721" s="197" t="s">
        <v>4396</v>
      </c>
      <c r="C721" s="207" t="s">
        <v>4427</v>
      </c>
      <c r="D721" s="207">
        <v>1</v>
      </c>
      <c r="E721" s="207" t="s">
        <v>4398</v>
      </c>
      <c r="F721" s="214" t="s">
        <v>7481</v>
      </c>
      <c r="G721" s="207" t="s">
        <v>4400</v>
      </c>
      <c r="H721" s="207" t="s">
        <v>4401</v>
      </c>
      <c r="I721" s="217" t="s">
        <v>4402</v>
      </c>
      <c r="J721" s="215" t="s">
        <v>7482</v>
      </c>
      <c r="K721" s="215" t="s">
        <v>7483</v>
      </c>
      <c r="L721" s="215" t="s">
        <v>7484</v>
      </c>
      <c r="M721" s="207" t="s">
        <v>4405</v>
      </c>
      <c r="N721" s="207" t="s">
        <v>4406</v>
      </c>
      <c r="O721" s="202">
        <v>45986</v>
      </c>
      <c r="P721" s="203" t="s">
        <v>4407</v>
      </c>
      <c r="Q721" s="203">
        <v>45985</v>
      </c>
      <c r="R721" s="203">
        <v>45986</v>
      </c>
      <c r="S721" s="203">
        <v>45987</v>
      </c>
      <c r="T721" s="203">
        <v>45992</v>
      </c>
      <c r="U721" s="202" t="s">
        <v>4408</v>
      </c>
      <c r="V721" s="202" t="s">
        <v>4408</v>
      </c>
      <c r="W721" s="202">
        <v>45999</v>
      </c>
      <c r="X721" s="202">
        <v>46001</v>
      </c>
      <c r="Y721" s="202"/>
      <c r="Z721" s="207"/>
      <c r="AA721" s="215" t="s">
        <v>7482</v>
      </c>
      <c r="AB721" s="215" t="s">
        <v>7483</v>
      </c>
      <c r="AC721" s="215" t="s">
        <v>7484</v>
      </c>
      <c r="AD721" s="207" t="s">
        <v>4402</v>
      </c>
      <c r="AE721" s="207" t="s">
        <v>4405</v>
      </c>
      <c r="AF721" s="218" t="s">
        <v>4409</v>
      </c>
      <c r="AG721" s="218" t="s">
        <v>4409</v>
      </c>
      <c r="AH721" s="241" t="s">
        <v>4410</v>
      </c>
      <c r="AI721" s="214" t="s">
        <v>4411</v>
      </c>
      <c r="AJ721" s="207"/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/>
      <c r="AT721" s="207"/>
      <c r="AU721" s="225"/>
      <c r="AV721" s="207"/>
      <c r="AW721" s="207"/>
      <c r="AX721" s="207" t="s">
        <v>4409</v>
      </c>
      <c r="AY721" s="207" t="s">
        <v>4409</v>
      </c>
      <c r="AZ721" s="207" t="s">
        <v>4409</v>
      </c>
      <c r="BA721" s="207" t="s">
        <v>4409</v>
      </c>
      <c r="BB721" s="207"/>
      <c r="BC721" s="202"/>
      <c r="BD721" s="208"/>
      <c r="BE721" s="202"/>
      <c r="BF721" s="207"/>
      <c r="BG721" s="229"/>
      <c r="BH721" s="321" t="str">
        <f t="shared" si="49"/>
        <v/>
      </c>
      <c r="BI721" s="98" t="str">
        <f t="shared" si="50"/>
        <v>AA</v>
      </c>
      <c r="BJ721" s="98" t="str">
        <f t="shared" si="51"/>
        <v>NÃO</v>
      </c>
      <c r="BK721" s="230"/>
      <c r="BL721" s="230"/>
      <c r="BM721" s="230"/>
      <c r="BN721" s="230"/>
      <c r="BO721" s="230"/>
      <c r="BP721" s="230"/>
      <c r="BQ721" s="230"/>
      <c r="BR721" s="234"/>
    </row>
    <row r="722" spans="1:74" ht="27" hidden="1" customHeight="1">
      <c r="A722" s="207">
        <v>718</v>
      </c>
      <c r="B722" s="197" t="s">
        <v>4396</v>
      </c>
      <c r="C722" s="207" t="s">
        <v>4427</v>
      </c>
      <c r="D722" s="207">
        <v>1</v>
      </c>
      <c r="E722" s="207" t="s">
        <v>4398</v>
      </c>
      <c r="F722" s="214" t="s">
        <v>7485</v>
      </c>
      <c r="G722" s="207" t="s">
        <v>4400</v>
      </c>
      <c r="H722" s="207" t="s">
        <v>4401</v>
      </c>
      <c r="I722" s="217" t="s">
        <v>4402</v>
      </c>
      <c r="J722" s="242" t="s">
        <v>7486</v>
      </c>
      <c r="K722" s="215" t="s">
        <v>7487</v>
      </c>
      <c r="L722" s="215" t="s">
        <v>7488</v>
      </c>
      <c r="M722" s="207" t="s">
        <v>4405</v>
      </c>
      <c r="N722" s="207" t="s">
        <v>4406</v>
      </c>
      <c r="O722" s="202">
        <v>45986</v>
      </c>
      <c r="P722" s="203" t="s">
        <v>4407</v>
      </c>
      <c r="Q722" s="203">
        <v>45985</v>
      </c>
      <c r="R722" s="203">
        <v>45986</v>
      </c>
      <c r="S722" s="203">
        <v>45987</v>
      </c>
      <c r="T722" s="203">
        <v>45992</v>
      </c>
      <c r="U722" s="202" t="s">
        <v>4408</v>
      </c>
      <c r="V722" s="202" t="s">
        <v>4408</v>
      </c>
      <c r="W722" s="202">
        <v>45999</v>
      </c>
      <c r="X722" s="202">
        <v>46001</v>
      </c>
      <c r="Y722" s="202"/>
      <c r="Z722" s="207"/>
      <c r="AA722" s="242" t="s">
        <v>7486</v>
      </c>
      <c r="AB722" s="215" t="s">
        <v>7487</v>
      </c>
      <c r="AC722" s="215" t="s">
        <v>7488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4" t="s">
        <v>4410</v>
      </c>
      <c r="AI722" s="214" t="s">
        <v>4411</v>
      </c>
      <c r="AJ722" s="207"/>
      <c r="AK722" s="316">
        <v>45980</v>
      </c>
      <c r="AL722" s="316">
        <v>45980</v>
      </c>
      <c r="AM722" s="316">
        <v>45980</v>
      </c>
      <c r="AN722" s="316">
        <v>45980</v>
      </c>
      <c r="AO722" s="316">
        <v>45980</v>
      </c>
      <c r="AP722" s="316">
        <v>45980</v>
      </c>
      <c r="AQ722" s="314"/>
      <c r="AR722" s="315" t="str">
        <f t="shared" si="52"/>
        <v>FINALIZADO</v>
      </c>
      <c r="AS722" s="207"/>
      <c r="AT722" s="207"/>
      <c r="AU722" s="225"/>
      <c r="AV722" s="207"/>
      <c r="AW722" s="207"/>
      <c r="AX722" s="207" t="s">
        <v>4409</v>
      </c>
      <c r="AY722" s="207" t="s">
        <v>4409</v>
      </c>
      <c r="AZ722" s="207" t="s">
        <v>4409</v>
      </c>
      <c r="BA722" s="207" t="s">
        <v>4409</v>
      </c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</row>
    <row r="723" spans="1:74" ht="27" hidden="1" customHeight="1">
      <c r="A723" s="207">
        <v>719</v>
      </c>
      <c r="B723" s="197" t="s">
        <v>4396</v>
      </c>
      <c r="C723" s="207" t="s">
        <v>4427</v>
      </c>
      <c r="D723" s="207">
        <v>1</v>
      </c>
      <c r="E723" s="207" t="s">
        <v>4398</v>
      </c>
      <c r="F723" s="214" t="s">
        <v>7489</v>
      </c>
      <c r="G723" s="207" t="s">
        <v>4400</v>
      </c>
      <c r="H723" s="207" t="s">
        <v>4401</v>
      </c>
      <c r="I723" s="217" t="s">
        <v>4402</v>
      </c>
      <c r="J723" s="215" t="s">
        <v>7490</v>
      </c>
      <c r="K723" s="215" t="s">
        <v>7491</v>
      </c>
      <c r="L723" s="215" t="s">
        <v>7492</v>
      </c>
      <c r="M723" s="207" t="s">
        <v>4405</v>
      </c>
      <c r="N723" s="207" t="s">
        <v>4442</v>
      </c>
      <c r="O723" s="202" t="s">
        <v>4409</v>
      </c>
      <c r="P723" s="202" t="s">
        <v>4409</v>
      </c>
      <c r="Q723" s="202" t="s">
        <v>4409</v>
      </c>
      <c r="R723" s="202" t="s">
        <v>4409</v>
      </c>
      <c r="S723" s="202" t="s">
        <v>4409</v>
      </c>
      <c r="T723" s="202" t="s">
        <v>4409</v>
      </c>
      <c r="U723" s="202" t="s">
        <v>4409</v>
      </c>
      <c r="V723" s="202" t="s">
        <v>4409</v>
      </c>
      <c r="W723" s="202" t="s">
        <v>4409</v>
      </c>
      <c r="X723" s="202" t="s">
        <v>4409</v>
      </c>
      <c r="Y723" s="202"/>
      <c r="Z723" s="202"/>
      <c r="AA723" s="200" t="s">
        <v>7490</v>
      </c>
      <c r="AB723" s="200" t="s">
        <v>7491</v>
      </c>
      <c r="AC723" s="200" t="s">
        <v>7492</v>
      </c>
      <c r="AD723" s="197" t="s">
        <v>4402</v>
      </c>
      <c r="AE723" s="197" t="s">
        <v>4405</v>
      </c>
      <c r="AF723" s="243">
        <v>42176.160000000003</v>
      </c>
      <c r="AG723" s="243">
        <v>60000</v>
      </c>
      <c r="AH723" s="197" t="s">
        <v>4433</v>
      </c>
      <c r="AI723" s="214" t="s">
        <v>4411</v>
      </c>
      <c r="AJ723" s="207">
        <v>146672914</v>
      </c>
      <c r="AK723" s="316">
        <v>45980</v>
      </c>
      <c r="AL723" s="316">
        <v>45980</v>
      </c>
      <c r="AM723" s="316">
        <v>45980</v>
      </c>
      <c r="AN723" s="316">
        <v>45980</v>
      </c>
      <c r="AO723" s="316">
        <v>45980</v>
      </c>
      <c r="AP723" s="316">
        <v>45980</v>
      </c>
      <c r="AQ723" s="314"/>
      <c r="AR723" s="315" t="str">
        <f t="shared" si="52"/>
        <v>FINALIZADO</v>
      </c>
      <c r="AS723" s="207" t="s">
        <v>4423</v>
      </c>
      <c r="AT723" s="219"/>
      <c r="AU723" s="225" t="s">
        <v>7493</v>
      </c>
      <c r="AV723" s="207" t="s">
        <v>4425</v>
      </c>
      <c r="AW723" s="207" t="s">
        <v>4425</v>
      </c>
      <c r="AX723" s="207" t="s">
        <v>4425</v>
      </c>
      <c r="AY723" s="207" t="s">
        <v>4425</v>
      </c>
      <c r="AZ723" s="202">
        <v>46056</v>
      </c>
      <c r="BA723" s="219" t="s">
        <v>4425</v>
      </c>
      <c r="BB723" s="207" t="s">
        <v>4425</v>
      </c>
      <c r="BC723" s="239">
        <v>46065</v>
      </c>
      <c r="BD723" s="226">
        <v>46065</v>
      </c>
      <c r="BE723" s="226" t="s">
        <v>4435</v>
      </c>
      <c r="BF723" s="245" t="s">
        <v>4436</v>
      </c>
      <c r="BG723" s="229" t="s">
        <v>4425</v>
      </c>
      <c r="BH723" s="321">
        <f t="shared" si="49"/>
        <v>85</v>
      </c>
      <c r="BI723" s="98" t="str">
        <f t="shared" si="50"/>
        <v>INDENIZAÇÃO</v>
      </c>
      <c r="BJ723" s="98" t="str">
        <f t="shared" si="51"/>
        <v>NÃO</v>
      </c>
      <c r="BK723" s="230" t="s">
        <v>4437</v>
      </c>
      <c r="BL723" s="230" t="s">
        <v>4437</v>
      </c>
      <c r="BM723" s="230" t="s">
        <v>4437</v>
      </c>
      <c r="BN723" s="265" t="s">
        <v>5732</v>
      </c>
      <c r="BO723" s="265"/>
      <c r="BP723" s="265"/>
      <c r="BQ723" s="265"/>
      <c r="BR723" s="231"/>
      <c r="BS723" s="223"/>
      <c r="BT723" s="240"/>
    </row>
    <row r="724" spans="1:74" ht="27" hidden="1" customHeight="1">
      <c r="A724" s="197">
        <v>720</v>
      </c>
      <c r="B724" s="197" t="s">
        <v>4396</v>
      </c>
      <c r="C724" s="207" t="s">
        <v>4427</v>
      </c>
      <c r="D724" s="207">
        <v>1</v>
      </c>
      <c r="E724" s="207" t="s">
        <v>4398</v>
      </c>
      <c r="F724" s="214" t="s">
        <v>7494</v>
      </c>
      <c r="G724" s="207" t="s">
        <v>4400</v>
      </c>
      <c r="H724" s="207" t="s">
        <v>4401</v>
      </c>
      <c r="I724" s="217" t="s">
        <v>4402</v>
      </c>
      <c r="J724" s="215" t="s">
        <v>7495</v>
      </c>
      <c r="K724" s="215" t="s">
        <v>7496</v>
      </c>
      <c r="L724" s="215" t="s">
        <v>7497</v>
      </c>
      <c r="M724" s="207" t="s">
        <v>4405</v>
      </c>
      <c r="N724" s="207" t="s">
        <v>4406</v>
      </c>
      <c r="O724" s="202">
        <v>45986</v>
      </c>
      <c r="P724" s="203" t="s">
        <v>4407</v>
      </c>
      <c r="Q724" s="203">
        <v>45985</v>
      </c>
      <c r="R724" s="203">
        <v>45986</v>
      </c>
      <c r="S724" s="203">
        <v>45987</v>
      </c>
      <c r="T724" s="203">
        <v>45992</v>
      </c>
      <c r="U724" s="202" t="s">
        <v>4408</v>
      </c>
      <c r="V724" s="202" t="s">
        <v>4408</v>
      </c>
      <c r="W724" s="202">
        <v>45999</v>
      </c>
      <c r="X724" s="202">
        <v>46001</v>
      </c>
      <c r="Y724" s="202"/>
      <c r="Z724" s="207"/>
      <c r="AA724" s="215" t="s">
        <v>7495</v>
      </c>
      <c r="AB724" s="215" t="s">
        <v>7496</v>
      </c>
      <c r="AC724" s="215" t="s">
        <v>7497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41" t="s">
        <v>4410</v>
      </c>
      <c r="AI724" s="214" t="s">
        <v>4411</v>
      </c>
      <c r="AJ724" s="207"/>
      <c r="AK724" s="316">
        <v>45980</v>
      </c>
      <c r="AL724" s="316">
        <v>45980</v>
      </c>
      <c r="AM724" s="316">
        <v>45980</v>
      </c>
      <c r="AN724" s="316">
        <v>45980</v>
      </c>
      <c r="AO724" s="316">
        <v>45980</v>
      </c>
      <c r="AP724" s="316">
        <v>45980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 t="s">
        <v>4409</v>
      </c>
      <c r="AY724" s="207" t="s">
        <v>4409</v>
      </c>
      <c r="AZ724" s="207" t="s">
        <v>4409</v>
      </c>
      <c r="BA724" s="207" t="s">
        <v>4409</v>
      </c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  <c r="BS724" s="240"/>
      <c r="BT724" s="240"/>
      <c r="BU724" s="240"/>
      <c r="BV724" s="240"/>
    </row>
    <row r="725" spans="1:74" ht="27" hidden="1" customHeight="1">
      <c r="A725" s="197">
        <v>721</v>
      </c>
      <c r="B725" s="197" t="s">
        <v>4396</v>
      </c>
      <c r="C725" s="207" t="s">
        <v>4427</v>
      </c>
      <c r="D725" s="207">
        <v>1</v>
      </c>
      <c r="E725" s="207" t="s">
        <v>4398</v>
      </c>
      <c r="F725" s="214" t="s">
        <v>7498</v>
      </c>
      <c r="G725" s="207" t="s">
        <v>4400</v>
      </c>
      <c r="H725" s="207" t="s">
        <v>4401</v>
      </c>
      <c r="I725" s="217" t="s">
        <v>4402</v>
      </c>
      <c r="J725" s="215" t="s">
        <v>7499</v>
      </c>
      <c r="K725" s="215" t="s">
        <v>7500</v>
      </c>
      <c r="L725" s="215" t="s">
        <v>7501</v>
      </c>
      <c r="M725" s="207" t="s">
        <v>4405</v>
      </c>
      <c r="N725" s="207" t="s">
        <v>4442</v>
      </c>
      <c r="O725" s="202" t="s">
        <v>4409</v>
      </c>
      <c r="P725" s="202" t="s">
        <v>4409</v>
      </c>
      <c r="Q725" s="202" t="s">
        <v>4409</v>
      </c>
      <c r="R725" s="202" t="s">
        <v>4409</v>
      </c>
      <c r="S725" s="202" t="s">
        <v>4409</v>
      </c>
      <c r="T725" s="202" t="s">
        <v>4409</v>
      </c>
      <c r="U725" s="202" t="s">
        <v>4409</v>
      </c>
      <c r="V725" s="202" t="s">
        <v>4409</v>
      </c>
      <c r="W725" s="202" t="s">
        <v>4409</v>
      </c>
      <c r="X725" s="202" t="s">
        <v>4409</v>
      </c>
      <c r="Y725" s="202"/>
      <c r="Z725" s="202"/>
      <c r="AA725" s="200" t="s">
        <v>7499</v>
      </c>
      <c r="AB725" s="200" t="s">
        <v>7500</v>
      </c>
      <c r="AC725" s="200" t="s">
        <v>7501</v>
      </c>
      <c r="AD725" s="197" t="s">
        <v>4402</v>
      </c>
      <c r="AE725" s="197" t="s">
        <v>4405</v>
      </c>
      <c r="AF725" s="243">
        <v>33820.92</v>
      </c>
      <c r="AG725" s="243">
        <v>60000</v>
      </c>
      <c r="AH725" s="197" t="s">
        <v>4433</v>
      </c>
      <c r="AI725" s="214" t="s">
        <v>4411</v>
      </c>
      <c r="AJ725" s="207">
        <v>146686404</v>
      </c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 t="s">
        <v>4423</v>
      </c>
      <c r="AT725" s="219"/>
      <c r="AU725" s="225" t="s">
        <v>7502</v>
      </c>
      <c r="AV725" s="207" t="s">
        <v>4425</v>
      </c>
      <c r="AW725" s="207" t="s">
        <v>4425</v>
      </c>
      <c r="AX725" s="207" t="s">
        <v>4425</v>
      </c>
      <c r="AY725" s="207" t="s">
        <v>4425</v>
      </c>
      <c r="AZ725" s="202">
        <v>46021</v>
      </c>
      <c r="BA725" s="219" t="s">
        <v>4425</v>
      </c>
      <c r="BB725" s="207" t="s">
        <v>4425</v>
      </c>
      <c r="BC725" s="300">
        <v>46041</v>
      </c>
      <c r="BD725" s="226">
        <v>46041</v>
      </c>
      <c r="BE725" s="226" t="s">
        <v>4435</v>
      </c>
      <c r="BF725" s="228" t="s">
        <v>4436</v>
      </c>
      <c r="BG725" s="229" t="s">
        <v>4425</v>
      </c>
      <c r="BH725" s="321">
        <f t="shared" si="49"/>
        <v>61</v>
      </c>
      <c r="BI725" s="98" t="str">
        <f t="shared" si="50"/>
        <v>INDENIZAÇÃO</v>
      </c>
      <c r="BJ725" s="98" t="str">
        <f t="shared" si="51"/>
        <v>NÃO</v>
      </c>
      <c r="BK725" s="230" t="s">
        <v>4437</v>
      </c>
      <c r="BL725" s="230" t="s">
        <v>4437</v>
      </c>
      <c r="BM725" s="230" t="s">
        <v>4437</v>
      </c>
      <c r="BN725" s="265" t="s">
        <v>5732</v>
      </c>
      <c r="BO725" s="265"/>
      <c r="BP725" s="265"/>
      <c r="BQ725" s="265"/>
      <c r="BR725" s="231"/>
    </row>
    <row r="726" spans="1:74" ht="27" hidden="1" customHeight="1">
      <c r="A726" s="207">
        <v>722</v>
      </c>
      <c r="B726" s="197" t="s">
        <v>4396</v>
      </c>
      <c r="C726" s="207" t="s">
        <v>4427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15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46002</v>
      </c>
      <c r="P726" s="202" t="s">
        <v>4407</v>
      </c>
      <c r="Q726" s="202">
        <v>45999</v>
      </c>
      <c r="R726" s="202">
        <v>46006</v>
      </c>
      <c r="S726" s="202">
        <v>46006</v>
      </c>
      <c r="T726" s="202">
        <v>46009</v>
      </c>
      <c r="U726" s="202" t="s">
        <v>4408</v>
      </c>
      <c r="V726" s="202" t="s">
        <v>4408</v>
      </c>
      <c r="W726" s="202">
        <v>46014</v>
      </c>
      <c r="X726" s="202">
        <v>46020</v>
      </c>
      <c r="Y726" s="202"/>
      <c r="Z726" s="207"/>
      <c r="AA726" s="215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41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/>
      <c r="AY726" s="207"/>
      <c r="AZ726" s="202"/>
      <c r="BA726" s="219"/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  <c r="BS726" s="240"/>
    </row>
    <row r="727" spans="1:74" ht="27" hidden="1" customHeight="1">
      <c r="A727" s="207">
        <v>723</v>
      </c>
      <c r="B727" s="197" t="s">
        <v>4396</v>
      </c>
      <c r="C727" s="207" t="s">
        <v>4427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42" t="s">
        <v>7508</v>
      </c>
      <c r="K727" s="215" t="s">
        <v>7509</v>
      </c>
      <c r="L727" s="215" t="s">
        <v>7510</v>
      </c>
      <c r="M727" s="207" t="s">
        <v>4405</v>
      </c>
      <c r="N727" s="207" t="s">
        <v>4406</v>
      </c>
      <c r="O727" s="202">
        <v>45986</v>
      </c>
      <c r="P727" s="203" t="s">
        <v>4407</v>
      </c>
      <c r="Q727" s="203">
        <v>45985</v>
      </c>
      <c r="R727" s="203">
        <v>45986</v>
      </c>
      <c r="S727" s="203">
        <v>45987</v>
      </c>
      <c r="T727" s="203">
        <v>45992</v>
      </c>
      <c r="U727" s="202" t="s">
        <v>4408</v>
      </c>
      <c r="V727" s="202" t="s">
        <v>4408</v>
      </c>
      <c r="W727" s="202">
        <v>45999</v>
      </c>
      <c r="X727" s="202">
        <v>46001</v>
      </c>
      <c r="Y727" s="202"/>
      <c r="Z727" s="207"/>
      <c r="AA727" s="242" t="s">
        <v>7508</v>
      </c>
      <c r="AB727" s="215" t="s">
        <v>7509</v>
      </c>
      <c r="AC727" s="215" t="s">
        <v>7510</v>
      </c>
      <c r="AD727" s="207" t="s">
        <v>4402</v>
      </c>
      <c r="AE727" s="207" t="s">
        <v>4405</v>
      </c>
      <c r="AF727" s="218" t="s">
        <v>4409</v>
      </c>
      <c r="AG727" s="218" t="s">
        <v>4409</v>
      </c>
      <c r="AH727" s="241" t="s">
        <v>4410</v>
      </c>
      <c r="AI727" s="214" t="s">
        <v>4411</v>
      </c>
      <c r="AJ727" s="207"/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/>
      <c r="AT727" s="207"/>
      <c r="AU727" s="225"/>
      <c r="AV727" s="207"/>
      <c r="AW727" s="207"/>
      <c r="AX727" s="207" t="s">
        <v>4409</v>
      </c>
      <c r="AY727" s="207" t="s">
        <v>4409</v>
      </c>
      <c r="AZ727" s="207" t="s">
        <v>4409</v>
      </c>
      <c r="BA727" s="207" t="s">
        <v>4409</v>
      </c>
      <c r="BB727" s="207"/>
      <c r="BC727" s="202"/>
      <c r="BD727" s="208"/>
      <c r="BE727" s="202"/>
      <c r="BF727" s="207"/>
      <c r="BG727" s="229"/>
      <c r="BH727" s="321" t="str">
        <f t="shared" si="49"/>
        <v/>
      </c>
      <c r="BI727" s="98" t="str">
        <f t="shared" si="50"/>
        <v>AA</v>
      </c>
      <c r="BJ727" s="98" t="str">
        <f t="shared" si="51"/>
        <v>NÃO</v>
      </c>
      <c r="BK727" s="230"/>
      <c r="BL727" s="230"/>
      <c r="BM727" s="230"/>
      <c r="BN727" s="230"/>
      <c r="BO727" s="230"/>
      <c r="BP727" s="230"/>
      <c r="BQ727" s="230"/>
      <c r="BR727" s="234"/>
    </row>
    <row r="728" spans="1:74" ht="27" hidden="1" customHeight="1">
      <c r="A728" s="207">
        <v>724</v>
      </c>
      <c r="B728" s="197" t="s">
        <v>4396</v>
      </c>
      <c r="C728" s="207" t="s">
        <v>4427</v>
      </c>
      <c r="D728" s="207">
        <v>1</v>
      </c>
      <c r="E728" s="207" t="s">
        <v>4398</v>
      </c>
      <c r="F728" s="214" t="s">
        <v>7511</v>
      </c>
      <c r="G728" s="207" t="s">
        <v>4400</v>
      </c>
      <c r="H728" s="207" t="s">
        <v>4401</v>
      </c>
      <c r="I728" s="217" t="s">
        <v>4402</v>
      </c>
      <c r="J728" s="242" t="s">
        <v>7512</v>
      </c>
      <c r="K728" s="215" t="s">
        <v>7513</v>
      </c>
      <c r="L728" s="215" t="s">
        <v>7514</v>
      </c>
      <c r="M728" s="207" t="s">
        <v>4405</v>
      </c>
      <c r="N728" s="207" t="s">
        <v>4406</v>
      </c>
      <c r="O728" s="202">
        <v>46126</v>
      </c>
      <c r="P728" s="202" t="s">
        <v>4407</v>
      </c>
      <c r="Q728" s="203">
        <v>46126</v>
      </c>
      <c r="R728" s="203">
        <v>46126</v>
      </c>
      <c r="S728" s="203">
        <v>46136</v>
      </c>
      <c r="T728" s="203">
        <v>46140</v>
      </c>
      <c r="U728" s="203" t="s">
        <v>4408</v>
      </c>
      <c r="V728" s="203" t="s">
        <v>4408</v>
      </c>
      <c r="W728" s="202">
        <v>46153</v>
      </c>
      <c r="X728" s="202">
        <v>46154</v>
      </c>
      <c r="Y728" s="202"/>
      <c r="Z728" s="207"/>
      <c r="AA728" s="242" t="s">
        <v>7512</v>
      </c>
      <c r="AB728" s="215" t="s">
        <v>7513</v>
      </c>
      <c r="AC728" s="215" t="s">
        <v>7514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04" t="s">
        <v>4410</v>
      </c>
      <c r="AI728" s="214" t="s">
        <v>4411</v>
      </c>
      <c r="AJ728" s="207"/>
      <c r="AK728" s="316"/>
      <c r="AL728" s="316"/>
      <c r="AM728" s="316"/>
      <c r="AN728" s="316"/>
      <c r="AO728" s="316"/>
      <c r="AP728" s="316"/>
      <c r="AQ728" s="314"/>
      <c r="AR728" s="315" t="str">
        <f t="shared" si="52"/>
        <v/>
      </c>
      <c r="AS728" s="207"/>
      <c r="AT728" s="207"/>
      <c r="AU728" s="225"/>
      <c r="AV728" s="207"/>
      <c r="AW728" s="207"/>
      <c r="AX728" s="207"/>
      <c r="AY728" s="207"/>
      <c r="AZ728" s="202"/>
      <c r="BA728" s="219"/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</row>
    <row r="729" spans="1:74" ht="27" hidden="1" customHeight="1">
      <c r="A729" s="197">
        <v>725</v>
      </c>
      <c r="B729" s="197" t="s">
        <v>4396</v>
      </c>
      <c r="C729" s="207" t="s">
        <v>4427</v>
      </c>
      <c r="D729" s="207">
        <v>1</v>
      </c>
      <c r="E729" s="207" t="s">
        <v>4398</v>
      </c>
      <c r="F729" s="214" t="s">
        <v>7515</v>
      </c>
      <c r="G729" s="207" t="s">
        <v>4400</v>
      </c>
      <c r="H729" s="207" t="s">
        <v>4401</v>
      </c>
      <c r="I729" s="217" t="s">
        <v>4402</v>
      </c>
      <c r="J729" s="242" t="s">
        <v>7516</v>
      </c>
      <c r="K729" s="215" t="s">
        <v>7517</v>
      </c>
      <c r="L729" s="215" t="s">
        <v>7518</v>
      </c>
      <c r="M729" s="219" t="s">
        <v>4405</v>
      </c>
      <c r="N729" s="207" t="s">
        <v>4406</v>
      </c>
      <c r="O729" s="202">
        <v>46126</v>
      </c>
      <c r="P729" s="202" t="s">
        <v>4407</v>
      </c>
      <c r="Q729" s="203">
        <v>46126</v>
      </c>
      <c r="R729" s="203">
        <v>46126</v>
      </c>
      <c r="S729" s="203">
        <v>46136</v>
      </c>
      <c r="T729" s="203">
        <v>46140</v>
      </c>
      <c r="U729" s="203" t="s">
        <v>4408</v>
      </c>
      <c r="V729" s="203" t="s">
        <v>4408</v>
      </c>
      <c r="W729" s="202">
        <v>46153</v>
      </c>
      <c r="X729" s="202">
        <v>46154</v>
      </c>
      <c r="Y729" s="202"/>
      <c r="Z729" s="207"/>
      <c r="AA729" s="242" t="s">
        <v>7516</v>
      </c>
      <c r="AB729" s="215" t="s">
        <v>7517</v>
      </c>
      <c r="AC729" s="215" t="s">
        <v>7518</v>
      </c>
      <c r="AD729" s="207" t="s">
        <v>4402</v>
      </c>
      <c r="AE729" s="207" t="s">
        <v>4405</v>
      </c>
      <c r="AF729" s="218" t="s">
        <v>4409</v>
      </c>
      <c r="AG729" s="218" t="s">
        <v>4409</v>
      </c>
      <c r="AH729" s="204" t="s">
        <v>4410</v>
      </c>
      <c r="AI729" s="214" t="s">
        <v>4411</v>
      </c>
      <c r="AJ729" s="207"/>
      <c r="AK729" s="316"/>
      <c r="AL729" s="316"/>
      <c r="AM729" s="316"/>
      <c r="AN729" s="316"/>
      <c r="AO729" s="316"/>
      <c r="AP729" s="316"/>
      <c r="AQ729" s="314"/>
      <c r="AR729" s="315" t="str">
        <f t="shared" si="52"/>
        <v/>
      </c>
      <c r="AS729" s="207"/>
      <c r="AT729" s="207"/>
      <c r="AU729" s="225"/>
      <c r="AV729" s="207"/>
      <c r="AW729" s="207"/>
      <c r="AX729" s="207"/>
      <c r="AY729" s="207"/>
      <c r="AZ729" s="202"/>
      <c r="BA729" s="219"/>
      <c r="BB729" s="207"/>
      <c r="BC729" s="202"/>
      <c r="BD729" s="208"/>
      <c r="BE729" s="202"/>
      <c r="BF729" s="207"/>
      <c r="BG729" s="229"/>
      <c r="BH729" s="321" t="str">
        <f t="shared" si="49"/>
        <v/>
      </c>
      <c r="BI729" s="98" t="str">
        <f t="shared" si="50"/>
        <v>AA</v>
      </c>
      <c r="BJ729" s="98" t="str">
        <f t="shared" si="51"/>
        <v>NÃO</v>
      </c>
      <c r="BK729" s="230"/>
      <c r="BL729" s="230"/>
      <c r="BM729" s="230"/>
      <c r="BN729" s="230"/>
      <c r="BO729" s="230"/>
      <c r="BP729" s="230"/>
      <c r="BQ729" s="230"/>
      <c r="BR729" s="234"/>
    </row>
    <row r="730" spans="1:74" ht="27" hidden="1" customHeight="1">
      <c r="A730" s="197">
        <v>726</v>
      </c>
      <c r="B730" s="197" t="s">
        <v>4396</v>
      </c>
      <c r="C730" s="207" t="s">
        <v>4427</v>
      </c>
      <c r="D730" s="207">
        <v>1</v>
      </c>
      <c r="E730" s="207" t="s">
        <v>4398</v>
      </c>
      <c r="F730" s="214" t="s">
        <v>7519</v>
      </c>
      <c r="G730" s="207" t="s">
        <v>4400</v>
      </c>
      <c r="H730" s="207" t="s">
        <v>4401</v>
      </c>
      <c r="I730" s="217" t="s">
        <v>4402</v>
      </c>
      <c r="J730" s="242" t="s">
        <v>7520</v>
      </c>
      <c r="K730" s="215" t="s">
        <v>7521</v>
      </c>
      <c r="L730" s="215" t="s">
        <v>7522</v>
      </c>
      <c r="M730" s="219" t="s">
        <v>4405</v>
      </c>
      <c r="N730" s="207" t="s">
        <v>4406</v>
      </c>
      <c r="O730" s="202">
        <v>46126</v>
      </c>
      <c r="P730" s="202" t="s">
        <v>4407</v>
      </c>
      <c r="Q730" s="203">
        <v>46126</v>
      </c>
      <c r="R730" s="203">
        <v>46126</v>
      </c>
      <c r="S730" s="203">
        <v>46136</v>
      </c>
      <c r="T730" s="203">
        <v>46140</v>
      </c>
      <c r="U730" s="203" t="s">
        <v>4408</v>
      </c>
      <c r="V730" s="203" t="s">
        <v>4408</v>
      </c>
      <c r="W730" s="202">
        <v>46153</v>
      </c>
      <c r="X730" s="202">
        <v>46154</v>
      </c>
      <c r="Y730" s="202"/>
      <c r="Z730" s="207"/>
      <c r="AA730" s="242" t="s">
        <v>7520</v>
      </c>
      <c r="AB730" s="215" t="s">
        <v>7521</v>
      </c>
      <c r="AC730" s="215" t="s">
        <v>7523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04" t="s">
        <v>4410</v>
      </c>
      <c r="AI730" s="214" t="s">
        <v>4411</v>
      </c>
      <c r="AJ730" s="207"/>
      <c r="AK730" s="316"/>
      <c r="AL730" s="316"/>
      <c r="AM730" s="316"/>
      <c r="AN730" s="316"/>
      <c r="AO730" s="316"/>
      <c r="AP730" s="316"/>
      <c r="AQ730" s="314"/>
      <c r="AR730" s="315" t="str">
        <f t="shared" si="52"/>
        <v/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</row>
    <row r="731" spans="1:74" ht="27" hidden="1" customHeight="1">
      <c r="A731" s="207">
        <v>727</v>
      </c>
      <c r="B731" s="197" t="s">
        <v>4396</v>
      </c>
      <c r="C731" s="207" t="s">
        <v>4427</v>
      </c>
      <c r="D731" s="207">
        <v>1</v>
      </c>
      <c r="E731" s="207" t="s">
        <v>4398</v>
      </c>
      <c r="F731" s="214" t="s">
        <v>7524</v>
      </c>
      <c r="G731" s="207" t="s">
        <v>4400</v>
      </c>
      <c r="H731" s="207" t="s">
        <v>4401</v>
      </c>
      <c r="I731" s="217" t="s">
        <v>4402</v>
      </c>
      <c r="J731" s="242" t="s">
        <v>7525</v>
      </c>
      <c r="K731" s="215" t="s">
        <v>7526</v>
      </c>
      <c r="L731" s="215" t="s">
        <v>7527</v>
      </c>
      <c r="M731" s="219" t="s">
        <v>4405</v>
      </c>
      <c r="N731" s="207" t="s">
        <v>4406</v>
      </c>
      <c r="O731" s="202">
        <v>46126</v>
      </c>
      <c r="P731" s="202" t="s">
        <v>4407</v>
      </c>
      <c r="Q731" s="203">
        <v>46126</v>
      </c>
      <c r="R731" s="203">
        <v>46126</v>
      </c>
      <c r="S731" s="203">
        <v>46136</v>
      </c>
      <c r="T731" s="203">
        <v>46140</v>
      </c>
      <c r="U731" s="203" t="s">
        <v>4408</v>
      </c>
      <c r="V731" s="203" t="s">
        <v>4408</v>
      </c>
      <c r="W731" s="202">
        <v>46153</v>
      </c>
      <c r="X731" s="202">
        <v>46154</v>
      </c>
      <c r="Y731" s="202"/>
      <c r="Z731" s="207"/>
      <c r="AA731" s="242" t="s">
        <v>7525</v>
      </c>
      <c r="AB731" s="215" t="s">
        <v>7526</v>
      </c>
      <c r="AC731" s="215" t="s">
        <v>7527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04" t="s">
        <v>4410</v>
      </c>
      <c r="AI731" s="214" t="s">
        <v>4411</v>
      </c>
      <c r="AJ731" s="207"/>
      <c r="AK731" s="316"/>
      <c r="AL731" s="316"/>
      <c r="AM731" s="316"/>
      <c r="AN731" s="316"/>
      <c r="AO731" s="316"/>
      <c r="AP731" s="316"/>
      <c r="AQ731" s="314"/>
      <c r="AR731" s="315" t="str">
        <f t="shared" si="52"/>
        <v/>
      </c>
      <c r="AS731" s="207"/>
      <c r="AT731" s="207"/>
      <c r="AU731" s="225"/>
      <c r="AV731" s="207"/>
      <c r="AW731" s="207"/>
      <c r="AX731" s="207"/>
      <c r="AY731" s="207"/>
      <c r="AZ731" s="202"/>
      <c r="BA731" s="219"/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728</v>
      </c>
      <c r="B732" s="197" t="s">
        <v>4396</v>
      </c>
      <c r="C732" s="207" t="s">
        <v>4427</v>
      </c>
      <c r="D732" s="207">
        <v>1</v>
      </c>
      <c r="E732" s="207" t="s">
        <v>4398</v>
      </c>
      <c r="F732" s="214" t="s">
        <v>7528</v>
      </c>
      <c r="G732" s="207" t="s">
        <v>4400</v>
      </c>
      <c r="H732" s="207" t="s">
        <v>4401</v>
      </c>
      <c r="I732" s="217" t="s">
        <v>4402</v>
      </c>
      <c r="J732" s="242" t="s">
        <v>7529</v>
      </c>
      <c r="K732" s="215" t="s">
        <v>7530</v>
      </c>
      <c r="L732" s="215" t="s">
        <v>7531</v>
      </c>
      <c r="M732" s="219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7529</v>
      </c>
      <c r="AB732" s="215" t="s">
        <v>7530</v>
      </c>
      <c r="AC732" s="215" t="s">
        <v>7531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207">
        <v>729</v>
      </c>
      <c r="B733" s="197" t="s">
        <v>4396</v>
      </c>
      <c r="C733" s="207" t="s">
        <v>4427</v>
      </c>
      <c r="D733" s="207">
        <v>1</v>
      </c>
      <c r="E733" s="207" t="s">
        <v>4398</v>
      </c>
      <c r="F733" s="214" t="s">
        <v>7532</v>
      </c>
      <c r="G733" s="207" t="s">
        <v>4400</v>
      </c>
      <c r="H733" s="207" t="s">
        <v>4401</v>
      </c>
      <c r="I733" s="217" t="s">
        <v>4402</v>
      </c>
      <c r="J733" s="215" t="s">
        <v>7533</v>
      </c>
      <c r="K733" s="215" t="s">
        <v>7534</v>
      </c>
      <c r="L733" s="215" t="s">
        <v>7535</v>
      </c>
      <c r="M733" s="207" t="s">
        <v>4405</v>
      </c>
      <c r="N733" s="207" t="s">
        <v>4406</v>
      </c>
      <c r="O733" s="202">
        <v>45986</v>
      </c>
      <c r="P733" s="203" t="s">
        <v>4407</v>
      </c>
      <c r="Q733" s="203">
        <v>45985</v>
      </c>
      <c r="R733" s="203">
        <v>45986</v>
      </c>
      <c r="S733" s="203">
        <v>45987</v>
      </c>
      <c r="T733" s="203">
        <v>45992</v>
      </c>
      <c r="U733" s="202" t="s">
        <v>4408</v>
      </c>
      <c r="V733" s="202" t="s">
        <v>4408</v>
      </c>
      <c r="W733" s="202">
        <v>45999</v>
      </c>
      <c r="X733" s="202">
        <v>46002</v>
      </c>
      <c r="Y733" s="203"/>
      <c r="Z733" s="219"/>
      <c r="AA733" s="215" t="s">
        <v>7533</v>
      </c>
      <c r="AB733" s="215" t="s">
        <v>7534</v>
      </c>
      <c r="AC733" s="215" t="s">
        <v>7535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>
        <v>45980</v>
      </c>
      <c r="AL733" s="316">
        <v>45980</v>
      </c>
      <c r="AM733" s="316">
        <v>45980</v>
      </c>
      <c r="AN733" s="316">
        <v>45980</v>
      </c>
      <c r="AO733" s="316">
        <v>45980</v>
      </c>
      <c r="AP733" s="316">
        <v>45980</v>
      </c>
      <c r="AQ733" s="314"/>
      <c r="AR733" s="315" t="str">
        <f t="shared" si="52"/>
        <v>FINALIZADO</v>
      </c>
      <c r="AS733" s="207"/>
      <c r="AT733" s="219"/>
      <c r="AU733" s="225"/>
      <c r="AV733" s="207"/>
      <c r="AW733" s="207"/>
      <c r="AX733" s="207" t="s">
        <v>4409</v>
      </c>
      <c r="AY733" s="207" t="s">
        <v>4409</v>
      </c>
      <c r="AZ733" s="207" t="s">
        <v>4409</v>
      </c>
      <c r="BA733" s="207" t="s">
        <v>4409</v>
      </c>
      <c r="BB733" s="219"/>
      <c r="BC733" s="219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730</v>
      </c>
      <c r="B734" s="197" t="s">
        <v>4396</v>
      </c>
      <c r="C734" s="207" t="s">
        <v>4427</v>
      </c>
      <c r="D734" s="207">
        <v>1</v>
      </c>
      <c r="E734" s="207" t="s">
        <v>4398</v>
      </c>
      <c r="F734" s="214" t="s">
        <v>7536</v>
      </c>
      <c r="G734" s="207" t="s">
        <v>4400</v>
      </c>
      <c r="H734" s="207" t="s">
        <v>4401</v>
      </c>
      <c r="I734" s="217" t="s">
        <v>4402</v>
      </c>
      <c r="J734" s="242" t="s">
        <v>7537</v>
      </c>
      <c r="K734" s="215" t="s">
        <v>7538</v>
      </c>
      <c r="L734" s="215" t="s">
        <v>7539</v>
      </c>
      <c r="M734" s="207" t="s">
        <v>4405</v>
      </c>
      <c r="N734" s="207" t="s">
        <v>4406</v>
      </c>
      <c r="O734" s="202">
        <v>45986</v>
      </c>
      <c r="P734" s="202" t="s">
        <v>4407</v>
      </c>
      <c r="Q734" s="202">
        <v>45985</v>
      </c>
      <c r="R734" s="202">
        <v>45986</v>
      </c>
      <c r="S734" s="202">
        <v>45987</v>
      </c>
      <c r="T734" s="202">
        <v>45992</v>
      </c>
      <c r="U734" s="202" t="s">
        <v>4408</v>
      </c>
      <c r="V734" s="202" t="s">
        <v>4408</v>
      </c>
      <c r="W734" s="202">
        <v>45999</v>
      </c>
      <c r="X734" s="202">
        <v>46001</v>
      </c>
      <c r="Y734" s="202"/>
      <c r="Z734" s="207"/>
      <c r="AA734" s="242" t="s">
        <v>7537</v>
      </c>
      <c r="AB734" s="215" t="s">
        <v>7538</v>
      </c>
      <c r="AC734" s="215" t="s">
        <v>7539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>
        <v>45980</v>
      </c>
      <c r="AL734" s="316">
        <v>45980</v>
      </c>
      <c r="AM734" s="316">
        <v>45980</v>
      </c>
      <c r="AN734" s="316">
        <v>45980</v>
      </c>
      <c r="AO734" s="316">
        <v>45980</v>
      </c>
      <c r="AP734" s="316">
        <v>45980</v>
      </c>
      <c r="AQ734" s="314"/>
      <c r="AR734" s="315" t="str">
        <f t="shared" si="52"/>
        <v>FINALIZADO</v>
      </c>
      <c r="AS734" s="207"/>
      <c r="AT734" s="207"/>
      <c r="AU734" s="225"/>
      <c r="AV734" s="207"/>
      <c r="AW734" s="207"/>
      <c r="AX734" s="207" t="s">
        <v>4409</v>
      </c>
      <c r="AY734" s="207" t="s">
        <v>4409</v>
      </c>
      <c r="AZ734" s="207" t="s">
        <v>4409</v>
      </c>
      <c r="BA734" s="207" t="s">
        <v>4409</v>
      </c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197">
        <v>731</v>
      </c>
      <c r="B735" s="197" t="s">
        <v>4396</v>
      </c>
      <c r="C735" s="207" t="s">
        <v>4427</v>
      </c>
      <c r="D735" s="207">
        <v>1</v>
      </c>
      <c r="E735" s="207" t="s">
        <v>4398</v>
      </c>
      <c r="F735" s="214" t="s">
        <v>7540</v>
      </c>
      <c r="G735" s="207" t="s">
        <v>4400</v>
      </c>
      <c r="H735" s="207" t="s">
        <v>4401</v>
      </c>
      <c r="I735" s="217" t="s">
        <v>4402</v>
      </c>
      <c r="J735" s="215" t="s">
        <v>7541</v>
      </c>
      <c r="K735" s="215" t="s">
        <v>4440</v>
      </c>
      <c r="L735" s="215" t="s">
        <v>7542</v>
      </c>
      <c r="M735" s="207" t="s">
        <v>4405</v>
      </c>
      <c r="N735" s="207" t="s">
        <v>4406</v>
      </c>
      <c r="O735" s="202">
        <v>45986</v>
      </c>
      <c r="P735" s="203" t="s">
        <v>4407</v>
      </c>
      <c r="Q735" s="203">
        <v>45985</v>
      </c>
      <c r="R735" s="203">
        <v>45986</v>
      </c>
      <c r="S735" s="203">
        <v>45987</v>
      </c>
      <c r="T735" s="203">
        <v>45992</v>
      </c>
      <c r="U735" s="202" t="s">
        <v>4408</v>
      </c>
      <c r="V735" s="202" t="s">
        <v>4408</v>
      </c>
      <c r="W735" s="202">
        <v>45999</v>
      </c>
      <c r="X735" s="202">
        <v>46001</v>
      </c>
      <c r="Y735" s="203"/>
      <c r="Z735" s="219"/>
      <c r="AA735" s="215" t="s">
        <v>7541</v>
      </c>
      <c r="AB735" s="215" t="s">
        <v>4440</v>
      </c>
      <c r="AC735" s="215" t="s">
        <v>7542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>
        <v>45980</v>
      </c>
      <c r="AL735" s="316">
        <v>45980</v>
      </c>
      <c r="AM735" s="316">
        <v>45980</v>
      </c>
      <c r="AN735" s="316">
        <v>45980</v>
      </c>
      <c r="AO735" s="316">
        <v>45980</v>
      </c>
      <c r="AP735" s="316">
        <v>45980</v>
      </c>
      <c r="AQ735" s="314"/>
      <c r="AR735" s="315" t="str">
        <f t="shared" si="52"/>
        <v>FINALIZADO</v>
      </c>
      <c r="AS735" s="207"/>
      <c r="AT735" s="219"/>
      <c r="AU735" s="225"/>
      <c r="AV735" s="207"/>
      <c r="AW735" s="207"/>
      <c r="AX735" s="207" t="s">
        <v>4409</v>
      </c>
      <c r="AY735" s="207" t="s">
        <v>4409</v>
      </c>
      <c r="AZ735" s="207" t="s">
        <v>4409</v>
      </c>
      <c r="BA735" s="207" t="s">
        <v>4409</v>
      </c>
      <c r="BB735" s="219"/>
      <c r="BC735" s="219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732</v>
      </c>
      <c r="B736" s="197" t="s">
        <v>4396</v>
      </c>
      <c r="C736" s="207" t="s">
        <v>4427</v>
      </c>
      <c r="D736" s="207">
        <v>1</v>
      </c>
      <c r="E736" s="207" t="s">
        <v>4398</v>
      </c>
      <c r="F736" s="214" t="s">
        <v>7543</v>
      </c>
      <c r="G736" s="207" t="s">
        <v>4400</v>
      </c>
      <c r="H736" s="207" t="s">
        <v>4401</v>
      </c>
      <c r="I736" s="217" t="s">
        <v>4402</v>
      </c>
      <c r="J736" s="215" t="s">
        <v>7544</v>
      </c>
      <c r="K736" s="215" t="s">
        <v>7545</v>
      </c>
      <c r="L736" s="215" t="s">
        <v>7546</v>
      </c>
      <c r="M736" s="207" t="s">
        <v>4405</v>
      </c>
      <c r="N736" s="207" t="s">
        <v>4406</v>
      </c>
      <c r="O736" s="202">
        <v>46002</v>
      </c>
      <c r="P736" s="202" t="s">
        <v>4407</v>
      </c>
      <c r="Q736" s="202">
        <v>45999</v>
      </c>
      <c r="R736" s="202">
        <v>46006</v>
      </c>
      <c r="S736" s="202">
        <v>46006</v>
      </c>
      <c r="T736" s="202">
        <v>46009</v>
      </c>
      <c r="U736" s="202" t="s">
        <v>4408</v>
      </c>
      <c r="V736" s="202" t="s">
        <v>4408</v>
      </c>
      <c r="W736" s="202">
        <v>46014</v>
      </c>
      <c r="X736" s="202">
        <v>46020</v>
      </c>
      <c r="Y736" s="203"/>
      <c r="Z736" s="219"/>
      <c r="AA736" s="215" t="s">
        <v>7544</v>
      </c>
      <c r="AB736" s="215" t="s">
        <v>7545</v>
      </c>
      <c r="AC736" s="215" t="s">
        <v>7546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197" t="s">
        <v>4410</v>
      </c>
      <c r="AI736" s="214" t="s">
        <v>4411</v>
      </c>
      <c r="AJ736" s="207"/>
      <c r="AK736" s="316">
        <v>45996</v>
      </c>
      <c r="AL736" s="316">
        <v>45996</v>
      </c>
      <c r="AM736" s="316">
        <v>45996</v>
      </c>
      <c r="AN736" s="316">
        <v>45996</v>
      </c>
      <c r="AO736" s="316">
        <v>45996</v>
      </c>
      <c r="AP736" s="316">
        <v>45996</v>
      </c>
      <c r="AQ736" s="314"/>
      <c r="AR736" s="315" t="str">
        <f t="shared" si="52"/>
        <v>FINALIZADO</v>
      </c>
      <c r="AS736" s="207"/>
      <c r="AT736" s="219"/>
      <c r="AU736" s="225"/>
      <c r="AV736" s="219"/>
      <c r="AW736" s="219"/>
      <c r="AX736" s="219"/>
      <c r="AY736" s="219"/>
      <c r="AZ736" s="219"/>
      <c r="BA736" s="219"/>
      <c r="BB736" s="219"/>
      <c r="BC736" s="219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733</v>
      </c>
      <c r="B737" s="197" t="s">
        <v>4396</v>
      </c>
      <c r="C737" s="207" t="s">
        <v>4427</v>
      </c>
      <c r="D737" s="207">
        <v>1</v>
      </c>
      <c r="E737" s="207" t="s">
        <v>4398</v>
      </c>
      <c r="F737" s="214" t="s">
        <v>7547</v>
      </c>
      <c r="G737" s="207" t="s">
        <v>4400</v>
      </c>
      <c r="H737" s="207" t="s">
        <v>4401</v>
      </c>
      <c r="I737" s="217" t="s">
        <v>4402</v>
      </c>
      <c r="J737" s="215" t="s">
        <v>7548</v>
      </c>
      <c r="K737" s="215" t="s">
        <v>7549</v>
      </c>
      <c r="L737" s="215" t="s">
        <v>7550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2"/>
      <c r="Z737" s="207"/>
      <c r="AA737" s="215" t="s">
        <v>7548</v>
      </c>
      <c r="AB737" s="215" t="s">
        <v>7549</v>
      </c>
      <c r="AC737" s="215" t="s">
        <v>7550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41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07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07"/>
      <c r="BC737" s="202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207">
        <v>734</v>
      </c>
      <c r="B738" s="197" t="s">
        <v>4396</v>
      </c>
      <c r="C738" s="207" t="s">
        <v>4427</v>
      </c>
      <c r="D738" s="207">
        <v>1</v>
      </c>
      <c r="E738" s="207" t="s">
        <v>4398</v>
      </c>
      <c r="F738" s="214" t="s">
        <v>7551</v>
      </c>
      <c r="G738" s="207" t="s">
        <v>4400</v>
      </c>
      <c r="H738" s="207" t="s">
        <v>4401</v>
      </c>
      <c r="I738" s="217" t="s">
        <v>4402</v>
      </c>
      <c r="J738" s="242" t="s">
        <v>7552</v>
      </c>
      <c r="K738" s="215" t="s">
        <v>7553</v>
      </c>
      <c r="L738" s="215" t="s">
        <v>7554</v>
      </c>
      <c r="M738" s="207" t="s">
        <v>4405</v>
      </c>
      <c r="N738" s="207" t="s">
        <v>4406</v>
      </c>
      <c r="O738" s="202">
        <v>45986</v>
      </c>
      <c r="P738" s="203" t="s">
        <v>4407</v>
      </c>
      <c r="Q738" s="203">
        <v>45985</v>
      </c>
      <c r="R738" s="203">
        <v>45986</v>
      </c>
      <c r="S738" s="203">
        <v>45987</v>
      </c>
      <c r="T738" s="203">
        <v>45992</v>
      </c>
      <c r="U738" s="202" t="s">
        <v>4408</v>
      </c>
      <c r="V738" s="202" t="s">
        <v>4408</v>
      </c>
      <c r="W738" s="202">
        <v>45999</v>
      </c>
      <c r="X738" s="202">
        <v>46002</v>
      </c>
      <c r="Y738" s="202"/>
      <c r="Z738" s="207"/>
      <c r="AA738" s="242" t="s">
        <v>7552</v>
      </c>
      <c r="AB738" s="215" t="s">
        <v>7553</v>
      </c>
      <c r="AC738" s="215" t="s">
        <v>7554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735</v>
      </c>
      <c r="B739" s="197" t="s">
        <v>4396</v>
      </c>
      <c r="C739" s="207" t="s">
        <v>4427</v>
      </c>
      <c r="D739" s="207">
        <v>1</v>
      </c>
      <c r="E739" s="207" t="s">
        <v>4398</v>
      </c>
      <c r="F739" s="214" t="s">
        <v>7555</v>
      </c>
      <c r="G739" s="207" t="s">
        <v>4400</v>
      </c>
      <c r="H739" s="207" t="s">
        <v>4401</v>
      </c>
      <c r="I739" s="217" t="s">
        <v>4402</v>
      </c>
      <c r="J739" s="215" t="s">
        <v>7556</v>
      </c>
      <c r="K739" s="215" t="s">
        <v>7557</v>
      </c>
      <c r="L739" s="215" t="s">
        <v>7558</v>
      </c>
      <c r="M739" s="207" t="s">
        <v>4405</v>
      </c>
      <c r="N739" s="207" t="s">
        <v>4406</v>
      </c>
      <c r="O739" s="202">
        <v>46002</v>
      </c>
      <c r="P739" s="202" t="s">
        <v>4407</v>
      </c>
      <c r="Q739" s="202">
        <v>45999</v>
      </c>
      <c r="R739" s="202">
        <v>46006</v>
      </c>
      <c r="S739" s="202">
        <v>46006</v>
      </c>
      <c r="T739" s="202">
        <v>46009</v>
      </c>
      <c r="U739" s="202" t="s">
        <v>4408</v>
      </c>
      <c r="V739" s="202" t="s">
        <v>4408</v>
      </c>
      <c r="W739" s="202">
        <v>46014</v>
      </c>
      <c r="X739" s="202">
        <v>46020</v>
      </c>
      <c r="Y739" s="203"/>
      <c r="Z739" s="219"/>
      <c r="AA739" s="215" t="s">
        <v>7556</v>
      </c>
      <c r="AB739" s="215" t="s">
        <v>7557</v>
      </c>
      <c r="AC739" s="215" t="s">
        <v>7558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197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19"/>
      <c r="AW739" s="219"/>
      <c r="AX739" s="219"/>
      <c r="AY739" s="219"/>
      <c r="AZ739" s="219"/>
      <c r="BA739" s="219"/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197">
        <v>736</v>
      </c>
      <c r="B740" s="197" t="s">
        <v>4396</v>
      </c>
      <c r="C740" s="207" t="s">
        <v>4427</v>
      </c>
      <c r="D740" s="207">
        <v>1</v>
      </c>
      <c r="E740" s="207" t="s">
        <v>4398</v>
      </c>
      <c r="F740" s="214" t="s">
        <v>7559</v>
      </c>
      <c r="G740" s="207" t="s">
        <v>4400</v>
      </c>
      <c r="H740" s="207" t="s">
        <v>4401</v>
      </c>
      <c r="I740" s="217" t="s">
        <v>4402</v>
      </c>
      <c r="J740" s="215" t="s">
        <v>7560</v>
      </c>
      <c r="K740" s="215" t="s">
        <v>7561</v>
      </c>
      <c r="L740" s="215" t="s">
        <v>7562</v>
      </c>
      <c r="M740" s="207" t="s">
        <v>4405</v>
      </c>
      <c r="N740" s="207" t="s">
        <v>4406</v>
      </c>
      <c r="O740" s="202">
        <v>45986</v>
      </c>
      <c r="P740" s="203" t="s">
        <v>4407</v>
      </c>
      <c r="Q740" s="203">
        <v>45985</v>
      </c>
      <c r="R740" s="203">
        <v>45986</v>
      </c>
      <c r="S740" s="203">
        <v>45987</v>
      </c>
      <c r="T740" s="203">
        <v>45992</v>
      </c>
      <c r="U740" s="202" t="s">
        <v>4408</v>
      </c>
      <c r="V740" s="202" t="s">
        <v>4408</v>
      </c>
      <c r="W740" s="202">
        <v>45999</v>
      </c>
      <c r="X740" s="202">
        <v>46001</v>
      </c>
      <c r="Y740" s="202"/>
      <c r="Z740" s="207"/>
      <c r="AA740" s="215" t="s">
        <v>7560</v>
      </c>
      <c r="AB740" s="215" t="s">
        <v>7561</v>
      </c>
      <c r="AC740" s="215" t="s">
        <v>7562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241" t="s">
        <v>4410</v>
      </c>
      <c r="AI740" s="214" t="s">
        <v>4411</v>
      </c>
      <c r="AJ740" s="207"/>
      <c r="AK740" s="316">
        <v>45980</v>
      </c>
      <c r="AL740" s="316">
        <v>45980</v>
      </c>
      <c r="AM740" s="316">
        <v>45980</v>
      </c>
      <c r="AN740" s="316">
        <v>45980</v>
      </c>
      <c r="AO740" s="316">
        <v>45980</v>
      </c>
      <c r="AP740" s="316">
        <v>45980</v>
      </c>
      <c r="AQ740" s="314"/>
      <c r="AR740" s="315" t="str">
        <f t="shared" si="52"/>
        <v>FINALIZADO</v>
      </c>
      <c r="AS740" s="207"/>
      <c r="AT740" s="207"/>
      <c r="AU740" s="225"/>
      <c r="AV740" s="207"/>
      <c r="AW740" s="207"/>
      <c r="AX740" s="207" t="s">
        <v>4409</v>
      </c>
      <c r="AY740" s="207" t="s">
        <v>4409</v>
      </c>
      <c r="AZ740" s="207" t="s">
        <v>4409</v>
      </c>
      <c r="BA740" s="207" t="s">
        <v>4409</v>
      </c>
      <c r="BB740" s="207"/>
      <c r="BC740" s="202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737</v>
      </c>
      <c r="B741" s="197" t="s">
        <v>4396</v>
      </c>
      <c r="C741" s="207" t="s">
        <v>4427</v>
      </c>
      <c r="D741" s="207">
        <v>1</v>
      </c>
      <c r="E741" s="207" t="s">
        <v>4398</v>
      </c>
      <c r="F741" s="214" t="s">
        <v>7563</v>
      </c>
      <c r="G741" s="207" t="s">
        <v>4400</v>
      </c>
      <c r="H741" s="207" t="s">
        <v>4401</v>
      </c>
      <c r="I741" s="217" t="s">
        <v>4402</v>
      </c>
      <c r="J741" s="215" t="s">
        <v>7564</v>
      </c>
      <c r="K741" s="215" t="s">
        <v>7565</v>
      </c>
      <c r="L741" s="215" t="s">
        <v>7566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3" t="s">
        <v>4408</v>
      </c>
      <c r="V741" s="203" t="s">
        <v>4408</v>
      </c>
      <c r="W741" s="202">
        <v>45999</v>
      </c>
      <c r="X741" s="202">
        <v>46001</v>
      </c>
      <c r="Y741" s="203"/>
      <c r="Z741" s="219"/>
      <c r="AA741" s="215" t="s">
        <v>7564</v>
      </c>
      <c r="AB741" s="215" t="s">
        <v>7565</v>
      </c>
      <c r="AC741" s="215" t="s">
        <v>7566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04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19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19"/>
      <c r="BC741" s="219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738</v>
      </c>
      <c r="B742" s="197" t="s">
        <v>4396</v>
      </c>
      <c r="C742" s="207" t="s">
        <v>4427</v>
      </c>
      <c r="D742" s="207">
        <v>1</v>
      </c>
      <c r="E742" s="207" t="s">
        <v>4398</v>
      </c>
      <c r="F742" s="214" t="s">
        <v>7567</v>
      </c>
      <c r="G742" s="207" t="s">
        <v>4400</v>
      </c>
      <c r="H742" s="207" t="s">
        <v>4401</v>
      </c>
      <c r="I742" s="217" t="s">
        <v>4402</v>
      </c>
      <c r="J742" s="215" t="s">
        <v>7568</v>
      </c>
      <c r="K742" s="215" t="s">
        <v>7569</v>
      </c>
      <c r="L742" s="215" t="s">
        <v>7570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46001</v>
      </c>
      <c r="Y742" s="202"/>
      <c r="Z742" s="207"/>
      <c r="AA742" s="215" t="s">
        <v>7568</v>
      </c>
      <c r="AB742" s="215" t="s">
        <v>7569</v>
      </c>
      <c r="AC742" s="215" t="s">
        <v>7570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207">
        <v>739</v>
      </c>
      <c r="B743" s="197" t="s">
        <v>4396</v>
      </c>
      <c r="C743" s="207" t="s">
        <v>4427</v>
      </c>
      <c r="D743" s="207">
        <v>1</v>
      </c>
      <c r="E743" s="207" t="s">
        <v>4398</v>
      </c>
      <c r="F743" s="214" t="s">
        <v>7571</v>
      </c>
      <c r="G743" s="207" t="s">
        <v>4400</v>
      </c>
      <c r="H743" s="207" t="s">
        <v>4401</v>
      </c>
      <c r="I743" s="217" t="s">
        <v>4402</v>
      </c>
      <c r="J743" s="242" t="s">
        <v>7572</v>
      </c>
      <c r="K743" s="215" t="s">
        <v>7573</v>
      </c>
      <c r="L743" s="215" t="s">
        <v>7574</v>
      </c>
      <c r="M743" s="207" t="s">
        <v>4405</v>
      </c>
      <c r="N743" s="207" t="s">
        <v>4406</v>
      </c>
      <c r="O743" s="202">
        <v>45986</v>
      </c>
      <c r="P743" s="203" t="s">
        <v>4407</v>
      </c>
      <c r="Q743" s="203">
        <v>45985</v>
      </c>
      <c r="R743" s="203">
        <v>45986</v>
      </c>
      <c r="S743" s="203">
        <v>45987</v>
      </c>
      <c r="T743" s="203">
        <v>45992</v>
      </c>
      <c r="U743" s="203" t="s">
        <v>4408</v>
      </c>
      <c r="V743" s="203" t="s">
        <v>4408</v>
      </c>
      <c r="W743" s="202">
        <v>45999</v>
      </c>
      <c r="X743" s="202">
        <v>46006</v>
      </c>
      <c r="Y743" s="202"/>
      <c r="Z743" s="207"/>
      <c r="AA743" s="242" t="s">
        <v>7572</v>
      </c>
      <c r="AB743" s="215" t="s">
        <v>7573</v>
      </c>
      <c r="AC743" s="215" t="s">
        <v>7574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204" t="s">
        <v>4410</v>
      </c>
      <c r="AI743" s="214" t="s">
        <v>4411</v>
      </c>
      <c r="AJ743" s="207"/>
      <c r="AK743" s="316"/>
      <c r="AL743" s="316"/>
      <c r="AM743" s="316"/>
      <c r="AN743" s="316"/>
      <c r="AO743" s="316"/>
      <c r="AP743" s="316"/>
      <c r="AQ743" s="314"/>
      <c r="AR743" s="315" t="str">
        <f t="shared" si="52"/>
        <v/>
      </c>
      <c r="AS743" s="207"/>
      <c r="AT743" s="207"/>
      <c r="AU743" s="225"/>
      <c r="AV743" s="207"/>
      <c r="AW743" s="207"/>
      <c r="AX743" s="207" t="s">
        <v>4409</v>
      </c>
      <c r="AY743" s="207" t="s">
        <v>4409</v>
      </c>
      <c r="AZ743" s="207" t="s">
        <v>4409</v>
      </c>
      <c r="BA743" s="207" t="s">
        <v>4409</v>
      </c>
      <c r="BB743" s="207"/>
      <c r="BC743" s="202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740</v>
      </c>
      <c r="B744" s="197" t="s">
        <v>4396</v>
      </c>
      <c r="C744" s="207" t="s">
        <v>4427</v>
      </c>
      <c r="D744" s="207">
        <v>1</v>
      </c>
      <c r="E744" s="207" t="s">
        <v>4398</v>
      </c>
      <c r="F744" s="214" t="s">
        <v>7575</v>
      </c>
      <c r="G744" s="207" t="s">
        <v>4400</v>
      </c>
      <c r="H744" s="207" t="s">
        <v>4401</v>
      </c>
      <c r="I744" s="217" t="s">
        <v>4402</v>
      </c>
      <c r="J744" s="215" t="s">
        <v>7576</v>
      </c>
      <c r="K744" s="215" t="s">
        <v>7577</v>
      </c>
      <c r="L744" s="215" t="s">
        <v>7578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7576</v>
      </c>
      <c r="AB744" s="215" t="s">
        <v>7577</v>
      </c>
      <c r="AC744" s="215" t="s">
        <v>7578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04" t="s">
        <v>4410</v>
      </c>
      <c r="AI744" s="214" t="s">
        <v>4411</v>
      </c>
      <c r="AJ744" s="207"/>
      <c r="AK744" s="316">
        <v>45996</v>
      </c>
      <c r="AL744" s="316">
        <v>45996</v>
      </c>
      <c r="AM744" s="316">
        <v>45996</v>
      </c>
      <c r="AN744" s="316">
        <v>45996</v>
      </c>
      <c r="AO744" s="316">
        <v>45996</v>
      </c>
      <c r="AP744" s="316">
        <v>45996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197">
        <v>741</v>
      </c>
      <c r="B745" s="197" t="s">
        <v>4396</v>
      </c>
      <c r="C745" s="207" t="s">
        <v>4427</v>
      </c>
      <c r="D745" s="207">
        <v>1</v>
      </c>
      <c r="E745" s="207" t="s">
        <v>4398</v>
      </c>
      <c r="F745" s="214" t="s">
        <v>7579</v>
      </c>
      <c r="G745" s="207" t="s">
        <v>4400</v>
      </c>
      <c r="H745" s="207" t="s">
        <v>4401</v>
      </c>
      <c r="I745" s="217" t="s">
        <v>4402</v>
      </c>
      <c r="J745" s="215" t="s">
        <v>7580</v>
      </c>
      <c r="K745" s="215" t="s">
        <v>7581</v>
      </c>
      <c r="L745" s="215" t="s">
        <v>7582</v>
      </c>
      <c r="M745" s="207" t="s">
        <v>4405</v>
      </c>
      <c r="N745" s="207" t="s">
        <v>4406</v>
      </c>
      <c r="O745" s="202">
        <v>46002</v>
      </c>
      <c r="P745" s="202" t="s">
        <v>4407</v>
      </c>
      <c r="Q745" s="202">
        <v>45999</v>
      </c>
      <c r="R745" s="202">
        <v>46006</v>
      </c>
      <c r="S745" s="202">
        <v>46006</v>
      </c>
      <c r="T745" s="202">
        <v>46009</v>
      </c>
      <c r="U745" s="202" t="s">
        <v>4408</v>
      </c>
      <c r="V745" s="202" t="s">
        <v>4408</v>
      </c>
      <c r="W745" s="202">
        <v>46014</v>
      </c>
      <c r="X745" s="202">
        <v>46020</v>
      </c>
      <c r="Y745" s="202"/>
      <c r="Z745" s="207"/>
      <c r="AA745" s="215" t="s">
        <v>7580</v>
      </c>
      <c r="AB745" s="215" t="s">
        <v>7581</v>
      </c>
      <c r="AC745" s="215" t="s">
        <v>7582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197" t="s">
        <v>4410</v>
      </c>
      <c r="AI745" s="214" t="s">
        <v>4411</v>
      </c>
      <c r="AJ745" s="207"/>
      <c r="AK745" s="316">
        <v>45996</v>
      </c>
      <c r="AL745" s="316">
        <v>45996</v>
      </c>
      <c r="AM745" s="316">
        <v>45996</v>
      </c>
      <c r="AN745" s="316">
        <v>45996</v>
      </c>
      <c r="AO745" s="316">
        <v>45996</v>
      </c>
      <c r="AP745" s="316">
        <v>45996</v>
      </c>
      <c r="AQ745" s="314"/>
      <c r="AR745" s="315" t="str">
        <f t="shared" si="52"/>
        <v>FINALIZADO</v>
      </c>
      <c r="AS745" s="207"/>
      <c r="AT745" s="207"/>
      <c r="AU745" s="225"/>
      <c r="AV745" s="207"/>
      <c r="AW745" s="207"/>
      <c r="AX745" s="207"/>
      <c r="AY745" s="207"/>
      <c r="AZ745" s="202"/>
      <c r="BA745" s="219"/>
      <c r="BB745" s="207"/>
      <c r="BC745" s="202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742</v>
      </c>
      <c r="B746" s="197" t="s">
        <v>4396</v>
      </c>
      <c r="C746" s="207" t="s">
        <v>4427</v>
      </c>
      <c r="D746" s="207">
        <v>1</v>
      </c>
      <c r="E746" s="207" t="s">
        <v>4398</v>
      </c>
      <c r="F746" s="214" t="s">
        <v>7583</v>
      </c>
      <c r="G746" s="207" t="s">
        <v>4400</v>
      </c>
      <c r="H746" s="207" t="s">
        <v>4401</v>
      </c>
      <c r="I746" s="217" t="s">
        <v>4402</v>
      </c>
      <c r="J746" s="215" t="s">
        <v>7584</v>
      </c>
      <c r="K746" s="215" t="s">
        <v>7585</v>
      </c>
      <c r="L746" s="215" t="s">
        <v>7586</v>
      </c>
      <c r="M746" s="207" t="s">
        <v>4405</v>
      </c>
      <c r="N746" s="207" t="s">
        <v>4406</v>
      </c>
      <c r="O746" s="202">
        <v>46002</v>
      </c>
      <c r="P746" s="202" t="s">
        <v>4407</v>
      </c>
      <c r="Q746" s="202">
        <v>45999</v>
      </c>
      <c r="R746" s="202">
        <v>46006</v>
      </c>
      <c r="S746" s="202">
        <v>46006</v>
      </c>
      <c r="T746" s="202">
        <v>46009</v>
      </c>
      <c r="U746" s="202" t="s">
        <v>4408</v>
      </c>
      <c r="V746" s="202" t="s">
        <v>4408</v>
      </c>
      <c r="W746" s="202">
        <v>46014</v>
      </c>
      <c r="X746" s="280" t="s">
        <v>4440</v>
      </c>
      <c r="Y746" s="202"/>
      <c r="Z746" s="217" t="s">
        <v>7587</v>
      </c>
      <c r="AA746" s="215" t="s">
        <v>7584</v>
      </c>
      <c r="AB746" s="215" t="s">
        <v>7585</v>
      </c>
      <c r="AC746" s="215" t="s">
        <v>7586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7" t="s">
        <v>4410</v>
      </c>
      <c r="AI746" s="214" t="s">
        <v>4411</v>
      </c>
      <c r="AJ746" s="207"/>
      <c r="AK746" s="316">
        <v>45996</v>
      </c>
      <c r="AL746" s="316">
        <v>45996</v>
      </c>
      <c r="AM746" s="316">
        <v>45996</v>
      </c>
      <c r="AN746" s="316">
        <v>45996</v>
      </c>
      <c r="AO746" s="316">
        <v>45996</v>
      </c>
      <c r="AP746" s="316">
        <v>45996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/>
      <c r="AY746" s="207"/>
      <c r="AZ746" s="202"/>
      <c r="BA746" s="219"/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743</v>
      </c>
      <c r="B747" s="197" t="s">
        <v>4396</v>
      </c>
      <c r="C747" s="207" t="s">
        <v>4427</v>
      </c>
      <c r="D747" s="207">
        <v>1</v>
      </c>
      <c r="E747" s="207" t="s">
        <v>4398</v>
      </c>
      <c r="F747" s="214" t="s">
        <v>7588</v>
      </c>
      <c r="G747" s="207" t="s">
        <v>4400</v>
      </c>
      <c r="H747" s="207" t="s">
        <v>4401</v>
      </c>
      <c r="I747" s="217" t="s">
        <v>4402</v>
      </c>
      <c r="J747" s="215" t="s">
        <v>7589</v>
      </c>
      <c r="K747" s="215" t="s">
        <v>7590</v>
      </c>
      <c r="L747" s="215" t="s">
        <v>7591</v>
      </c>
      <c r="M747" s="207" t="s">
        <v>4405</v>
      </c>
      <c r="N747" s="207" t="s">
        <v>4406</v>
      </c>
      <c r="O747" s="202">
        <v>46002</v>
      </c>
      <c r="P747" s="202" t="s">
        <v>4407</v>
      </c>
      <c r="Q747" s="202">
        <v>45999</v>
      </c>
      <c r="R747" s="202">
        <v>46006</v>
      </c>
      <c r="S747" s="202">
        <v>46006</v>
      </c>
      <c r="T747" s="202">
        <v>46009</v>
      </c>
      <c r="U747" s="202" t="s">
        <v>4408</v>
      </c>
      <c r="V747" s="202" t="s">
        <v>4408</v>
      </c>
      <c r="W747" s="202">
        <v>46014</v>
      </c>
      <c r="X747" s="202">
        <v>46020</v>
      </c>
      <c r="Y747" s="202"/>
      <c r="Z747" s="207"/>
      <c r="AA747" s="215" t="s">
        <v>7589</v>
      </c>
      <c r="AB747" s="215" t="s">
        <v>7590</v>
      </c>
      <c r="AC747" s="215" t="s">
        <v>7591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7" t="s">
        <v>4410</v>
      </c>
      <c r="AI747" s="214" t="s">
        <v>4411</v>
      </c>
      <c r="AJ747" s="207"/>
      <c r="AK747" s="316">
        <v>45996</v>
      </c>
      <c r="AL747" s="316">
        <v>45996</v>
      </c>
      <c r="AM747" s="316">
        <v>45996</v>
      </c>
      <c r="AN747" s="316">
        <v>45996</v>
      </c>
      <c r="AO747" s="316">
        <v>45996</v>
      </c>
      <c r="AP747" s="316">
        <v>45996</v>
      </c>
      <c r="AQ747" s="314"/>
      <c r="AR747" s="315" t="str">
        <f t="shared" si="52"/>
        <v>FINALIZADO</v>
      </c>
      <c r="AS747" s="207"/>
      <c r="AT747" s="207"/>
      <c r="AU747" s="225"/>
      <c r="AV747" s="207"/>
      <c r="AW747" s="207"/>
      <c r="AX747" s="207"/>
      <c r="AY747" s="207"/>
      <c r="AZ747" s="202"/>
      <c r="BA747" s="219"/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207">
        <v>744</v>
      </c>
      <c r="B748" s="197" t="s">
        <v>4396</v>
      </c>
      <c r="C748" s="207" t="s">
        <v>4427</v>
      </c>
      <c r="D748" s="207">
        <v>1</v>
      </c>
      <c r="E748" s="207" t="s">
        <v>4398</v>
      </c>
      <c r="F748" s="214" t="s">
        <v>7592</v>
      </c>
      <c r="G748" s="207" t="s">
        <v>4400</v>
      </c>
      <c r="H748" s="207" t="s">
        <v>4401</v>
      </c>
      <c r="I748" s="217" t="s">
        <v>4402</v>
      </c>
      <c r="J748" s="215" t="s">
        <v>7593</v>
      </c>
      <c r="K748" s="215" t="s">
        <v>7594</v>
      </c>
      <c r="L748" s="215" t="s">
        <v>7595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7593</v>
      </c>
      <c r="AB748" s="215" t="s">
        <v>7594</v>
      </c>
      <c r="AC748" s="215" t="s">
        <v>7595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41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745</v>
      </c>
      <c r="B749" s="197" t="s">
        <v>4396</v>
      </c>
      <c r="C749" s="207" t="s">
        <v>4427</v>
      </c>
      <c r="D749" s="207">
        <v>1</v>
      </c>
      <c r="E749" s="207" t="s">
        <v>4398</v>
      </c>
      <c r="F749" s="214" t="s">
        <v>7596</v>
      </c>
      <c r="G749" s="207" t="s">
        <v>4400</v>
      </c>
      <c r="H749" s="207" t="s">
        <v>4401</v>
      </c>
      <c r="I749" s="217" t="s">
        <v>4402</v>
      </c>
      <c r="J749" s="242" t="s">
        <v>7597</v>
      </c>
      <c r="K749" s="215" t="s">
        <v>7598</v>
      </c>
      <c r="L749" s="215" t="s">
        <v>7599</v>
      </c>
      <c r="M749" s="207" t="s">
        <v>4405</v>
      </c>
      <c r="N749" s="207" t="s">
        <v>4406</v>
      </c>
      <c r="O749" s="202">
        <v>45986</v>
      </c>
      <c r="P749" s="203" t="s">
        <v>4407</v>
      </c>
      <c r="Q749" s="203">
        <v>45985</v>
      </c>
      <c r="R749" s="203">
        <v>45986</v>
      </c>
      <c r="S749" s="203">
        <v>45987</v>
      </c>
      <c r="T749" s="203">
        <v>45992</v>
      </c>
      <c r="U749" s="203" t="s">
        <v>4408</v>
      </c>
      <c r="V749" s="203" t="s">
        <v>4408</v>
      </c>
      <c r="W749" s="202">
        <v>45999</v>
      </c>
      <c r="X749" s="202">
        <v>46001</v>
      </c>
      <c r="Y749" s="202"/>
      <c r="Z749" s="207"/>
      <c r="AA749" s="242" t="s">
        <v>7597</v>
      </c>
      <c r="AB749" s="215" t="s">
        <v>7598</v>
      </c>
      <c r="AC749" s="215" t="s">
        <v>7599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204" t="s">
        <v>4410</v>
      </c>
      <c r="AI749" s="214" t="s">
        <v>4411</v>
      </c>
      <c r="AJ749" s="207"/>
      <c r="AK749" s="316"/>
      <c r="AL749" s="316"/>
      <c r="AM749" s="316"/>
      <c r="AN749" s="316"/>
      <c r="AO749" s="316"/>
      <c r="AP749" s="316"/>
      <c r="AQ749" s="314"/>
      <c r="AR749" s="315" t="str">
        <f t="shared" si="52"/>
        <v/>
      </c>
      <c r="AS749" s="207"/>
      <c r="AT749" s="207"/>
      <c r="AU749" s="225"/>
      <c r="AV749" s="207"/>
      <c r="AW749" s="207"/>
      <c r="AX749" s="207" t="s">
        <v>4409</v>
      </c>
      <c r="AY749" s="207" t="s">
        <v>4409</v>
      </c>
      <c r="AZ749" s="207" t="s">
        <v>4409</v>
      </c>
      <c r="BA749" s="207" t="s">
        <v>4409</v>
      </c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197">
        <v>746</v>
      </c>
      <c r="B750" s="197" t="s">
        <v>4396</v>
      </c>
      <c r="C750" s="207" t="s">
        <v>4427</v>
      </c>
      <c r="D750" s="207">
        <v>1</v>
      </c>
      <c r="E750" s="207" t="s">
        <v>4398</v>
      </c>
      <c r="F750" s="214" t="s">
        <v>7600</v>
      </c>
      <c r="G750" s="207" t="s">
        <v>4400</v>
      </c>
      <c r="H750" s="207" t="s">
        <v>4401</v>
      </c>
      <c r="I750" s="217" t="s">
        <v>4402</v>
      </c>
      <c r="J750" s="242" t="s">
        <v>7601</v>
      </c>
      <c r="K750" s="215" t="s">
        <v>7602</v>
      </c>
      <c r="L750" s="215" t="s">
        <v>7603</v>
      </c>
      <c r="M750" s="207" t="s">
        <v>4405</v>
      </c>
      <c r="N750" s="207" t="s">
        <v>4406</v>
      </c>
      <c r="O750" s="202">
        <v>45986</v>
      </c>
      <c r="P750" s="203" t="s">
        <v>4407</v>
      </c>
      <c r="Q750" s="203">
        <v>45985</v>
      </c>
      <c r="R750" s="203">
        <v>45986</v>
      </c>
      <c r="S750" s="203">
        <v>45987</v>
      </c>
      <c r="T750" s="203">
        <v>45992</v>
      </c>
      <c r="U750" s="202" t="s">
        <v>4408</v>
      </c>
      <c r="V750" s="202" t="s">
        <v>4408</v>
      </c>
      <c r="W750" s="202">
        <v>45999</v>
      </c>
      <c r="X750" s="202">
        <v>46006</v>
      </c>
      <c r="Y750" s="202"/>
      <c r="Z750" s="207"/>
      <c r="AA750" s="242" t="s">
        <v>7601</v>
      </c>
      <c r="AB750" s="215" t="s">
        <v>7602</v>
      </c>
      <c r="AC750" s="215" t="s">
        <v>7603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4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 t="s">
        <v>4409</v>
      </c>
      <c r="AY750" s="207" t="s">
        <v>4409</v>
      </c>
      <c r="AZ750" s="207" t="s">
        <v>4409</v>
      </c>
      <c r="BA750" s="207" t="s">
        <v>4409</v>
      </c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747</v>
      </c>
      <c r="B751" s="197" t="s">
        <v>4396</v>
      </c>
      <c r="C751" s="207" t="s">
        <v>4427</v>
      </c>
      <c r="D751" s="207">
        <v>1</v>
      </c>
      <c r="E751" s="207" t="s">
        <v>4398</v>
      </c>
      <c r="F751" s="214" t="s">
        <v>7604</v>
      </c>
      <c r="G751" s="207" t="s">
        <v>4400</v>
      </c>
      <c r="H751" s="207" t="s">
        <v>4401</v>
      </c>
      <c r="I751" s="217" t="s">
        <v>7022</v>
      </c>
      <c r="J751" s="215" t="s">
        <v>7605</v>
      </c>
      <c r="K751" s="215" t="s">
        <v>4440</v>
      </c>
      <c r="L751" s="215" t="s">
        <v>7606</v>
      </c>
      <c r="M751" s="207" t="s">
        <v>4405</v>
      </c>
      <c r="N751" s="207" t="s">
        <v>4406</v>
      </c>
      <c r="O751" s="202">
        <v>45986</v>
      </c>
      <c r="P751" s="203" t="s">
        <v>4407</v>
      </c>
      <c r="Q751" s="203">
        <v>45985</v>
      </c>
      <c r="R751" s="203">
        <v>45986</v>
      </c>
      <c r="S751" s="203">
        <v>45987</v>
      </c>
      <c r="T751" s="203">
        <v>45992</v>
      </c>
      <c r="U751" s="202" t="s">
        <v>4408</v>
      </c>
      <c r="V751" s="202" t="s">
        <v>4408</v>
      </c>
      <c r="W751" s="202">
        <v>45999</v>
      </c>
      <c r="X751" s="202">
        <v>46001</v>
      </c>
      <c r="Y751" s="202"/>
      <c r="Z751" s="202"/>
      <c r="AA751" s="215" t="s">
        <v>7605</v>
      </c>
      <c r="AB751" s="215" t="s">
        <v>4440</v>
      </c>
      <c r="AC751" s="215" t="s">
        <v>7606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4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 t="s">
        <v>4409</v>
      </c>
      <c r="AY751" s="207" t="s">
        <v>4409</v>
      </c>
      <c r="AZ751" s="207" t="s">
        <v>4409</v>
      </c>
      <c r="BA751" s="207" t="s">
        <v>4409</v>
      </c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748</v>
      </c>
      <c r="B752" s="197" t="s">
        <v>4396</v>
      </c>
      <c r="C752" s="207" t="s">
        <v>4427</v>
      </c>
      <c r="D752" s="207">
        <v>1</v>
      </c>
      <c r="E752" s="207" t="s">
        <v>4398</v>
      </c>
      <c r="F752" s="214" t="s">
        <v>7607</v>
      </c>
      <c r="G752" s="207" t="s">
        <v>4400</v>
      </c>
      <c r="H752" s="207" t="s">
        <v>4401</v>
      </c>
      <c r="I752" s="217" t="s">
        <v>4402</v>
      </c>
      <c r="J752" s="215" t="s">
        <v>7608</v>
      </c>
      <c r="K752" s="215" t="s">
        <v>7609</v>
      </c>
      <c r="L752" s="215" t="s">
        <v>7610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2"/>
      <c r="AA752" s="215" t="s">
        <v>7608</v>
      </c>
      <c r="AB752" s="215" t="s">
        <v>7609</v>
      </c>
      <c r="AC752" s="215" t="s">
        <v>7610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04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1" ht="27" hidden="1" customHeight="1">
      <c r="A753" s="207">
        <v>749</v>
      </c>
      <c r="B753" s="197" t="s">
        <v>4396</v>
      </c>
      <c r="C753" s="207" t="s">
        <v>4427</v>
      </c>
      <c r="D753" s="207">
        <v>1</v>
      </c>
      <c r="E753" s="207" t="s">
        <v>4398</v>
      </c>
      <c r="F753" s="214" t="s">
        <v>7611</v>
      </c>
      <c r="G753" s="207" t="s">
        <v>4400</v>
      </c>
      <c r="H753" s="207" t="s">
        <v>4401</v>
      </c>
      <c r="I753" s="217" t="s">
        <v>4402</v>
      </c>
      <c r="J753" s="215" t="s">
        <v>7612</v>
      </c>
      <c r="K753" s="215" t="s">
        <v>7613</v>
      </c>
      <c r="L753" s="215" t="s">
        <v>7614</v>
      </c>
      <c r="M753" s="207" t="s">
        <v>4405</v>
      </c>
      <c r="N753" s="207" t="s">
        <v>4406</v>
      </c>
      <c r="O753" s="202">
        <v>46002</v>
      </c>
      <c r="P753" s="202" t="s">
        <v>4407</v>
      </c>
      <c r="Q753" s="202">
        <v>45999</v>
      </c>
      <c r="R753" s="202">
        <v>46006</v>
      </c>
      <c r="S753" s="202">
        <v>46006</v>
      </c>
      <c r="T753" s="202">
        <v>46009</v>
      </c>
      <c r="U753" s="202" t="s">
        <v>4408</v>
      </c>
      <c r="V753" s="202" t="s">
        <v>4408</v>
      </c>
      <c r="W753" s="202">
        <v>46014</v>
      </c>
      <c r="X753" s="202">
        <v>46020</v>
      </c>
      <c r="Y753" s="202"/>
      <c r="Z753" s="202"/>
      <c r="AA753" s="215" t="s">
        <v>7612</v>
      </c>
      <c r="AB753" s="215" t="s">
        <v>7613</v>
      </c>
      <c r="AC753" s="215" t="s">
        <v>7614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197" t="s">
        <v>4410</v>
      </c>
      <c r="AI753" s="214" t="s">
        <v>4411</v>
      </c>
      <c r="AJ753" s="207"/>
      <c r="AK753" s="316">
        <v>45996</v>
      </c>
      <c r="AL753" s="316">
        <v>45996</v>
      </c>
      <c r="AM753" s="316">
        <v>45996</v>
      </c>
      <c r="AN753" s="316">
        <v>45996</v>
      </c>
      <c r="AO753" s="316">
        <v>45996</v>
      </c>
      <c r="AP753" s="316">
        <v>45996</v>
      </c>
      <c r="AQ753" s="314"/>
      <c r="AR753" s="315" t="str">
        <f t="shared" si="52"/>
        <v>FINALIZADO</v>
      </c>
      <c r="AS753" s="207"/>
      <c r="AT753" s="207"/>
      <c r="AU753" s="225"/>
      <c r="AV753" s="207"/>
      <c r="AW753" s="207"/>
      <c r="AX753" s="207"/>
      <c r="AY753" s="207"/>
      <c r="AZ753" s="202"/>
      <c r="BA753" s="219"/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1" ht="27" hidden="1" customHeight="1">
      <c r="A754" s="197">
        <v>750</v>
      </c>
      <c r="B754" s="197" t="s">
        <v>4396</v>
      </c>
      <c r="C754" s="207" t="s">
        <v>4427</v>
      </c>
      <c r="D754" s="207">
        <v>1</v>
      </c>
      <c r="E754" s="207" t="s">
        <v>4398</v>
      </c>
      <c r="F754" s="214" t="s">
        <v>7615</v>
      </c>
      <c r="G754" s="207" t="s">
        <v>4400</v>
      </c>
      <c r="H754" s="207" t="s">
        <v>4401</v>
      </c>
      <c r="I754" s="217" t="s">
        <v>4402</v>
      </c>
      <c r="J754" s="215" t="s">
        <v>7616</v>
      </c>
      <c r="K754" s="215" t="s">
        <v>7617</v>
      </c>
      <c r="L754" s="215" t="s">
        <v>7618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46017</v>
      </c>
      <c r="Y754" s="202"/>
      <c r="Z754" s="202"/>
      <c r="AA754" s="215" t="s">
        <v>7616</v>
      </c>
      <c r="AB754" s="215" t="s">
        <v>7617</v>
      </c>
      <c r="AC754" s="215" t="s">
        <v>7618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41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1" ht="27" hidden="1" customHeight="1">
      <c r="A755" s="197">
        <v>751</v>
      </c>
      <c r="B755" s="197" t="s">
        <v>4396</v>
      </c>
      <c r="C755" s="207" t="s">
        <v>4427</v>
      </c>
      <c r="D755" s="207">
        <v>1</v>
      </c>
      <c r="E755" s="207" t="s">
        <v>4398</v>
      </c>
      <c r="F755" s="214" t="s">
        <v>7619</v>
      </c>
      <c r="G755" s="207" t="s">
        <v>4400</v>
      </c>
      <c r="H755" s="207" t="s">
        <v>4401</v>
      </c>
      <c r="I755" s="217" t="s">
        <v>4402</v>
      </c>
      <c r="J755" s="215" t="s">
        <v>7620</v>
      </c>
      <c r="K755" s="215" t="s">
        <v>7621</v>
      </c>
      <c r="L755" s="215" t="s">
        <v>7622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7620</v>
      </c>
      <c r="AB755" s="215" t="s">
        <v>7621</v>
      </c>
      <c r="AC755" s="215" t="s">
        <v>7622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1" ht="27" hidden="1" customHeight="1">
      <c r="A756" s="207">
        <v>752</v>
      </c>
      <c r="B756" s="197" t="s">
        <v>4396</v>
      </c>
      <c r="C756" s="207" t="s">
        <v>4427</v>
      </c>
      <c r="D756" s="207">
        <v>1</v>
      </c>
      <c r="E756" s="207" t="s">
        <v>4398</v>
      </c>
      <c r="F756" s="214" t="s">
        <v>7623</v>
      </c>
      <c r="G756" s="207" t="s">
        <v>4400</v>
      </c>
      <c r="H756" s="207" t="s">
        <v>4401</v>
      </c>
      <c r="I756" s="217" t="s">
        <v>4402</v>
      </c>
      <c r="J756" s="215" t="s">
        <v>7624</v>
      </c>
      <c r="K756" s="215" t="s">
        <v>7625</v>
      </c>
      <c r="L756" s="215" t="s">
        <v>7626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3" t="s">
        <v>4408</v>
      </c>
      <c r="V756" s="203" t="s">
        <v>4408</v>
      </c>
      <c r="W756" s="202">
        <v>45999</v>
      </c>
      <c r="X756" s="202">
        <v>46001</v>
      </c>
      <c r="Y756" s="202"/>
      <c r="Z756" s="202"/>
      <c r="AA756" s="215" t="s">
        <v>7624</v>
      </c>
      <c r="AB756" s="215" t="s">
        <v>7625</v>
      </c>
      <c r="AC756" s="215" t="s">
        <v>7626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/>
      <c r="AL756" s="316"/>
      <c r="AM756" s="316"/>
      <c r="AN756" s="316"/>
      <c r="AO756" s="316"/>
      <c r="AP756" s="316"/>
      <c r="AQ756" s="314"/>
      <c r="AR756" s="315" t="str">
        <f t="shared" si="52"/>
        <v/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1" ht="27" hidden="1" customHeight="1">
      <c r="A757" s="207">
        <v>753</v>
      </c>
      <c r="B757" s="197" t="s">
        <v>4396</v>
      </c>
      <c r="C757" s="207" t="s">
        <v>4427</v>
      </c>
      <c r="D757" s="207">
        <v>1</v>
      </c>
      <c r="E757" s="207" t="s">
        <v>4398</v>
      </c>
      <c r="F757" s="214" t="s">
        <v>7627</v>
      </c>
      <c r="G757" s="207" t="s">
        <v>4400</v>
      </c>
      <c r="H757" s="207" t="s">
        <v>4401</v>
      </c>
      <c r="I757" s="217" t="s">
        <v>4402</v>
      </c>
      <c r="J757" s="215" t="s">
        <v>7628</v>
      </c>
      <c r="K757" s="215" t="s">
        <v>7629</v>
      </c>
      <c r="L757" s="215" t="s">
        <v>7630</v>
      </c>
      <c r="M757" s="207" t="s">
        <v>4405</v>
      </c>
      <c r="N757" s="207" t="s">
        <v>4406</v>
      </c>
      <c r="O757" s="202">
        <v>45986</v>
      </c>
      <c r="P757" s="203" t="s">
        <v>4407</v>
      </c>
      <c r="Q757" s="203">
        <v>45985</v>
      </c>
      <c r="R757" s="203">
        <v>45986</v>
      </c>
      <c r="S757" s="203">
        <v>45987</v>
      </c>
      <c r="T757" s="203">
        <v>45992</v>
      </c>
      <c r="U757" s="203" t="s">
        <v>4408</v>
      </c>
      <c r="V757" s="203" t="s">
        <v>4408</v>
      </c>
      <c r="W757" s="202">
        <v>45999</v>
      </c>
      <c r="X757" s="202">
        <v>46001</v>
      </c>
      <c r="Y757" s="202"/>
      <c r="Z757" s="202"/>
      <c r="AA757" s="215" t="s">
        <v>7628</v>
      </c>
      <c r="AB757" s="215" t="s">
        <v>7629</v>
      </c>
      <c r="AC757" s="215" t="s">
        <v>7630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204" t="s">
        <v>4410</v>
      </c>
      <c r="AI757" s="214" t="s">
        <v>4411</v>
      </c>
      <c r="AJ757" s="207"/>
      <c r="AK757" s="316"/>
      <c r="AL757" s="316"/>
      <c r="AM757" s="316"/>
      <c r="AN757" s="316"/>
      <c r="AO757" s="316"/>
      <c r="AP757" s="316"/>
      <c r="AQ757" s="314"/>
      <c r="AR757" s="315" t="str">
        <f t="shared" si="52"/>
        <v/>
      </c>
      <c r="AS757" s="207"/>
      <c r="AT757" s="219"/>
      <c r="AU757" s="225"/>
      <c r="AV757" s="207"/>
      <c r="AW757" s="207"/>
      <c r="AX757" s="207" t="s">
        <v>4409</v>
      </c>
      <c r="AY757" s="207" t="s">
        <v>4409</v>
      </c>
      <c r="AZ757" s="207" t="s">
        <v>4409</v>
      </c>
      <c r="BA757" s="207" t="s">
        <v>4409</v>
      </c>
      <c r="BB757" s="219"/>
      <c r="BC757" s="219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1" ht="27" hidden="1" customHeight="1">
      <c r="A758" s="207">
        <v>754</v>
      </c>
      <c r="B758" s="197" t="s">
        <v>4396</v>
      </c>
      <c r="C758" s="207" t="s">
        <v>4427</v>
      </c>
      <c r="D758" s="207">
        <v>1</v>
      </c>
      <c r="E758" s="207" t="s">
        <v>4398</v>
      </c>
      <c r="F758" s="214" t="s">
        <v>7631</v>
      </c>
      <c r="G758" s="207" t="s">
        <v>4400</v>
      </c>
      <c r="H758" s="207" t="s">
        <v>4401</v>
      </c>
      <c r="I758" s="217" t="s">
        <v>4402</v>
      </c>
      <c r="J758" s="215" t="s">
        <v>7632</v>
      </c>
      <c r="K758" s="215" t="s">
        <v>7633</v>
      </c>
      <c r="L758" s="215" t="s">
        <v>7634</v>
      </c>
      <c r="M758" s="207" t="s">
        <v>4405</v>
      </c>
      <c r="N758" s="207" t="s">
        <v>4406</v>
      </c>
      <c r="O758" s="202">
        <v>46002</v>
      </c>
      <c r="P758" s="202" t="s">
        <v>4407</v>
      </c>
      <c r="Q758" s="202">
        <v>45999</v>
      </c>
      <c r="R758" s="202">
        <v>46006</v>
      </c>
      <c r="S758" s="202">
        <v>46006</v>
      </c>
      <c r="T758" s="202">
        <v>46009</v>
      </c>
      <c r="U758" s="202" t="s">
        <v>4408</v>
      </c>
      <c r="V758" s="202" t="s">
        <v>4408</v>
      </c>
      <c r="W758" s="202">
        <v>46014</v>
      </c>
      <c r="X758" s="202">
        <v>46020</v>
      </c>
      <c r="Y758" s="202"/>
      <c r="Z758" s="202"/>
      <c r="AA758" s="215" t="s">
        <v>7632</v>
      </c>
      <c r="AB758" s="215" t="s">
        <v>7633</v>
      </c>
      <c r="AC758" s="215" t="s">
        <v>7634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197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19"/>
      <c r="AU758" s="225"/>
      <c r="AV758" s="219"/>
      <c r="AW758" s="219"/>
      <c r="AX758" s="219"/>
      <c r="AY758" s="219"/>
      <c r="AZ758" s="219"/>
      <c r="BA758" s="219"/>
      <c r="BB758" s="219"/>
      <c r="BC758" s="219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1" ht="27" hidden="1" customHeight="1">
      <c r="A759" s="197">
        <v>755</v>
      </c>
      <c r="B759" s="197" t="s">
        <v>4396</v>
      </c>
      <c r="C759" s="207" t="s">
        <v>4427</v>
      </c>
      <c r="D759" s="207">
        <v>1</v>
      </c>
      <c r="E759" s="207" t="s">
        <v>4398</v>
      </c>
      <c r="F759" s="214" t="s">
        <v>7635</v>
      </c>
      <c r="G759" s="207" t="s">
        <v>4400</v>
      </c>
      <c r="H759" s="207" t="s">
        <v>4401</v>
      </c>
      <c r="I759" s="217" t="s">
        <v>4402</v>
      </c>
      <c r="J759" s="215" t="s">
        <v>7636</v>
      </c>
      <c r="K759" s="215" t="s">
        <v>7637</v>
      </c>
      <c r="L759" s="215" t="s">
        <v>7638</v>
      </c>
      <c r="M759" s="207" t="s">
        <v>4405</v>
      </c>
      <c r="N759" s="207" t="s">
        <v>4406</v>
      </c>
      <c r="O759" s="202">
        <v>46002</v>
      </c>
      <c r="P759" s="202" t="s">
        <v>4407</v>
      </c>
      <c r="Q759" s="202">
        <v>45999</v>
      </c>
      <c r="R759" s="202">
        <v>46006</v>
      </c>
      <c r="S759" s="202">
        <v>46006</v>
      </c>
      <c r="T759" s="202">
        <v>46009</v>
      </c>
      <c r="U759" s="202" t="s">
        <v>4408</v>
      </c>
      <c r="V759" s="202" t="s">
        <v>4408</v>
      </c>
      <c r="W759" s="202">
        <v>46014</v>
      </c>
      <c r="X759" s="202">
        <v>46020</v>
      </c>
      <c r="Y759" s="202"/>
      <c r="Z759" s="202"/>
      <c r="AA759" s="215" t="s">
        <v>7636</v>
      </c>
      <c r="AB759" s="215" t="s">
        <v>7637</v>
      </c>
      <c r="AC759" s="215" t="s">
        <v>7638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7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19"/>
      <c r="AU759" s="225"/>
      <c r="AV759" s="219"/>
      <c r="AW759" s="219"/>
      <c r="AX759" s="219"/>
      <c r="AY759" s="219"/>
      <c r="AZ759" s="219"/>
      <c r="BA759" s="219"/>
      <c r="BB759" s="219"/>
      <c r="BC759" s="219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1" ht="27" hidden="1" customHeight="1">
      <c r="A760" s="197">
        <v>756</v>
      </c>
      <c r="B760" s="197" t="s">
        <v>4396</v>
      </c>
      <c r="C760" s="207" t="s">
        <v>4427</v>
      </c>
      <c r="D760" s="207">
        <v>1</v>
      </c>
      <c r="E760" s="207" t="s">
        <v>4398</v>
      </c>
      <c r="F760" s="214" t="s">
        <v>7639</v>
      </c>
      <c r="G760" s="207" t="s">
        <v>4400</v>
      </c>
      <c r="H760" s="207" t="s">
        <v>4401</v>
      </c>
      <c r="I760" s="217" t="s">
        <v>4402</v>
      </c>
      <c r="J760" s="215" t="s">
        <v>7640</v>
      </c>
      <c r="K760" s="215" t="s">
        <v>7641</v>
      </c>
      <c r="L760" s="215" t="s">
        <v>7642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46058</v>
      </c>
      <c r="Y760" s="202"/>
      <c r="Z760" s="202"/>
      <c r="AA760" s="215" t="s">
        <v>7640</v>
      </c>
      <c r="AB760" s="215" t="s">
        <v>7641</v>
      </c>
      <c r="AC760" s="215" t="s">
        <v>7642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41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19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19"/>
      <c r="BC760" s="219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1" ht="27" hidden="1" customHeight="1">
      <c r="A761" s="207">
        <v>757</v>
      </c>
      <c r="B761" s="197" t="s">
        <v>4396</v>
      </c>
      <c r="C761" s="207" t="s">
        <v>4427</v>
      </c>
      <c r="D761" s="207">
        <v>1</v>
      </c>
      <c r="E761" s="207" t="s">
        <v>4398</v>
      </c>
      <c r="F761" s="214" t="s">
        <v>7643</v>
      </c>
      <c r="G761" s="207" t="s">
        <v>4400</v>
      </c>
      <c r="H761" s="207" t="s">
        <v>4401</v>
      </c>
      <c r="I761" s="217" t="s">
        <v>4402</v>
      </c>
      <c r="J761" s="215" t="s">
        <v>7644</v>
      </c>
      <c r="K761" s="215" t="s">
        <v>7645</v>
      </c>
      <c r="L761" s="215" t="s">
        <v>7646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2" t="s">
        <v>4408</v>
      </c>
      <c r="V761" s="202" t="s">
        <v>4408</v>
      </c>
      <c r="W761" s="202">
        <v>45999</v>
      </c>
      <c r="X761" s="202">
        <v>46001</v>
      </c>
      <c r="Y761" s="202"/>
      <c r="Z761" s="202"/>
      <c r="AA761" s="215" t="s">
        <v>7644</v>
      </c>
      <c r="AB761" s="215" t="s">
        <v>7645</v>
      </c>
      <c r="AC761" s="215" t="s">
        <v>7646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>
        <v>45996</v>
      </c>
      <c r="AL761" s="316">
        <v>45996</v>
      </c>
      <c r="AM761" s="316">
        <v>45996</v>
      </c>
      <c r="AN761" s="316">
        <v>45996</v>
      </c>
      <c r="AO761" s="316">
        <v>45996</v>
      </c>
      <c r="AP761" s="316">
        <v>45996</v>
      </c>
      <c r="AQ761" s="314"/>
      <c r="AR761" s="315" t="str">
        <f t="shared" si="52"/>
        <v>FINALIZADO</v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1" ht="27" hidden="1" customHeight="1">
      <c r="A762" s="207">
        <v>758</v>
      </c>
      <c r="B762" s="197" t="s">
        <v>4396</v>
      </c>
      <c r="C762" s="207" t="s">
        <v>4427</v>
      </c>
      <c r="D762" s="207">
        <v>1</v>
      </c>
      <c r="E762" s="207" t="s">
        <v>4398</v>
      </c>
      <c r="F762" s="214" t="s">
        <v>7647</v>
      </c>
      <c r="G762" s="207" t="s">
        <v>4400</v>
      </c>
      <c r="H762" s="207" t="s">
        <v>4401</v>
      </c>
      <c r="I762" s="217" t="s">
        <v>4402</v>
      </c>
      <c r="J762" s="242" t="s">
        <v>7648</v>
      </c>
      <c r="K762" s="215" t="s">
        <v>7649</v>
      </c>
      <c r="L762" s="215" t="s">
        <v>7650</v>
      </c>
      <c r="M762" s="207" t="s">
        <v>4405</v>
      </c>
      <c r="N762" s="207" t="s">
        <v>4406</v>
      </c>
      <c r="O762" s="202">
        <v>45986</v>
      </c>
      <c r="P762" s="203" t="s">
        <v>4407</v>
      </c>
      <c r="Q762" s="203">
        <v>45985</v>
      </c>
      <c r="R762" s="203">
        <v>45986</v>
      </c>
      <c r="S762" s="203">
        <v>45987</v>
      </c>
      <c r="T762" s="203">
        <v>45992</v>
      </c>
      <c r="U762" s="203" t="s">
        <v>4408</v>
      </c>
      <c r="V762" s="203" t="s">
        <v>4408</v>
      </c>
      <c r="W762" s="202">
        <v>45999</v>
      </c>
      <c r="X762" s="202">
        <v>46001</v>
      </c>
      <c r="Y762" s="202"/>
      <c r="Z762" s="202"/>
      <c r="AA762" s="242" t="s">
        <v>7648</v>
      </c>
      <c r="AB762" s="215" t="s">
        <v>7649</v>
      </c>
      <c r="AC762" s="215" t="s">
        <v>7650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204" t="s">
        <v>4410</v>
      </c>
      <c r="AI762" s="214" t="s">
        <v>4411</v>
      </c>
      <c r="AJ762" s="207"/>
      <c r="AK762" s="316"/>
      <c r="AL762" s="316"/>
      <c r="AM762" s="316"/>
      <c r="AN762" s="316"/>
      <c r="AO762" s="316"/>
      <c r="AP762" s="316"/>
      <c r="AQ762" s="314"/>
      <c r="AR762" s="315" t="str">
        <f t="shared" si="52"/>
        <v/>
      </c>
      <c r="AS762" s="207"/>
      <c r="AT762" s="207"/>
      <c r="AU762" s="225"/>
      <c r="AV762" s="207"/>
      <c r="AW762" s="207"/>
      <c r="AX762" s="207" t="s">
        <v>4409</v>
      </c>
      <c r="AY762" s="207" t="s">
        <v>4409</v>
      </c>
      <c r="AZ762" s="207" t="s">
        <v>4409</v>
      </c>
      <c r="BA762" s="207" t="s">
        <v>4409</v>
      </c>
      <c r="BB762" s="207"/>
      <c r="BC762" s="202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1" ht="27" hidden="1" customHeight="1">
      <c r="A763" s="207">
        <v>759</v>
      </c>
      <c r="B763" s="197" t="s">
        <v>4396</v>
      </c>
      <c r="C763" s="207" t="s">
        <v>4427</v>
      </c>
      <c r="D763" s="207">
        <v>1</v>
      </c>
      <c r="E763" s="207" t="s">
        <v>4398</v>
      </c>
      <c r="F763" s="214" t="s">
        <v>7651</v>
      </c>
      <c r="G763" s="207" t="s">
        <v>4400</v>
      </c>
      <c r="H763" s="207" t="s">
        <v>4401</v>
      </c>
      <c r="I763" s="217" t="s">
        <v>4402</v>
      </c>
      <c r="J763" s="215" t="s">
        <v>7652</v>
      </c>
      <c r="K763" s="215" t="s">
        <v>7653</v>
      </c>
      <c r="L763" s="215" t="s">
        <v>7654</v>
      </c>
      <c r="M763" s="207" t="s">
        <v>4405</v>
      </c>
      <c r="N763" s="207" t="s">
        <v>4406</v>
      </c>
      <c r="O763" s="202">
        <v>45986</v>
      </c>
      <c r="P763" s="203" t="s">
        <v>4407</v>
      </c>
      <c r="Q763" s="203">
        <v>45985</v>
      </c>
      <c r="R763" s="203">
        <v>45986</v>
      </c>
      <c r="S763" s="203">
        <v>45987</v>
      </c>
      <c r="T763" s="203">
        <v>45992</v>
      </c>
      <c r="U763" s="202" t="s">
        <v>4408</v>
      </c>
      <c r="V763" s="202" t="s">
        <v>4408</v>
      </c>
      <c r="W763" s="202">
        <v>45999</v>
      </c>
      <c r="X763" s="202">
        <v>46001</v>
      </c>
      <c r="Y763" s="202"/>
      <c r="Z763" s="202"/>
      <c r="AA763" s="215" t="s">
        <v>7652</v>
      </c>
      <c r="AB763" s="215" t="s">
        <v>7653</v>
      </c>
      <c r="AC763" s="215" t="s">
        <v>7654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4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07"/>
      <c r="AW763" s="207"/>
      <c r="AX763" s="207" t="s">
        <v>4409</v>
      </c>
      <c r="AY763" s="207" t="s">
        <v>4409</v>
      </c>
      <c r="AZ763" s="207" t="s">
        <v>4409</v>
      </c>
      <c r="BA763" s="207" t="s">
        <v>4409</v>
      </c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1" ht="27" hidden="1" customHeight="1">
      <c r="A764" s="197">
        <v>760</v>
      </c>
      <c r="B764" s="197" t="s">
        <v>4396</v>
      </c>
      <c r="C764" s="207" t="s">
        <v>4427</v>
      </c>
      <c r="D764" s="207">
        <v>1</v>
      </c>
      <c r="E764" s="207" t="s">
        <v>4398</v>
      </c>
      <c r="F764" s="214" t="s">
        <v>7655</v>
      </c>
      <c r="G764" s="207" t="s">
        <v>4400</v>
      </c>
      <c r="H764" s="207" t="s">
        <v>4401</v>
      </c>
      <c r="I764" s="217" t="s">
        <v>4402</v>
      </c>
      <c r="J764" s="215" t="s">
        <v>7656</v>
      </c>
      <c r="K764" s="215" t="s">
        <v>7657</v>
      </c>
      <c r="L764" s="215" t="s">
        <v>7658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2" t="s">
        <v>4408</v>
      </c>
      <c r="V764" s="202" t="s">
        <v>4408</v>
      </c>
      <c r="W764" s="202">
        <v>45999</v>
      </c>
      <c r="X764" s="202">
        <v>46001</v>
      </c>
      <c r="Y764" s="202"/>
      <c r="Z764" s="202"/>
      <c r="AA764" s="215" t="s">
        <v>7656</v>
      </c>
      <c r="AB764" s="215" t="s">
        <v>7657</v>
      </c>
      <c r="AC764" s="215" t="s">
        <v>7658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04" t="s">
        <v>4410</v>
      </c>
      <c r="AI764" s="214" t="s">
        <v>4411</v>
      </c>
      <c r="AJ764" s="207"/>
      <c r="AK764" s="316">
        <v>45996</v>
      </c>
      <c r="AL764" s="316">
        <v>45996</v>
      </c>
      <c r="AM764" s="316">
        <v>45996</v>
      </c>
      <c r="AN764" s="316">
        <v>45996</v>
      </c>
      <c r="AO764" s="316">
        <v>45996</v>
      </c>
      <c r="AP764" s="316">
        <v>45996</v>
      </c>
      <c r="AQ764" s="314"/>
      <c r="AR764" s="315" t="str">
        <f t="shared" si="52"/>
        <v>FINALIZADO</v>
      </c>
      <c r="AS764" s="207"/>
      <c r="AT764" s="207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07"/>
      <c r="BC764" s="202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1" ht="27" hidden="1" customHeight="1">
      <c r="A765" s="197">
        <v>761</v>
      </c>
      <c r="B765" s="197" t="s">
        <v>4396</v>
      </c>
      <c r="C765" s="207" t="s">
        <v>4427</v>
      </c>
      <c r="D765" s="207">
        <v>1</v>
      </c>
      <c r="E765" s="207" t="s">
        <v>4398</v>
      </c>
      <c r="F765" s="214" t="s">
        <v>7659</v>
      </c>
      <c r="G765" s="207" t="s">
        <v>4400</v>
      </c>
      <c r="H765" s="207" t="s">
        <v>4401</v>
      </c>
      <c r="I765" s="217" t="s">
        <v>4402</v>
      </c>
      <c r="J765" s="215" t="s">
        <v>7660</v>
      </c>
      <c r="K765" s="215" t="s">
        <v>7661</v>
      </c>
      <c r="L765" s="215" t="s">
        <v>7662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46002</v>
      </c>
      <c r="Y765" s="202"/>
      <c r="Z765" s="202"/>
      <c r="AA765" s="215" t="s">
        <v>7660</v>
      </c>
      <c r="AB765" s="215" t="s">
        <v>7661</v>
      </c>
      <c r="AC765" s="215" t="s">
        <v>7662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07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07"/>
      <c r="BC765" s="202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1" ht="27" hidden="1" customHeight="1">
      <c r="A766" s="207">
        <v>762</v>
      </c>
      <c r="B766" s="197" t="s">
        <v>4396</v>
      </c>
      <c r="C766" s="207" t="s">
        <v>4427</v>
      </c>
      <c r="D766" s="207">
        <v>1</v>
      </c>
      <c r="E766" s="207" t="s">
        <v>4398</v>
      </c>
      <c r="F766" s="162" t="s">
        <v>7663</v>
      </c>
      <c r="G766" s="207" t="s">
        <v>4400</v>
      </c>
      <c r="H766" s="207" t="s">
        <v>4401</v>
      </c>
      <c r="I766" s="217" t="s">
        <v>4402</v>
      </c>
      <c r="J766" s="215" t="s">
        <v>7664</v>
      </c>
      <c r="K766" s="215" t="s">
        <v>4440</v>
      </c>
      <c r="L766" s="215" t="s">
        <v>7665</v>
      </c>
      <c r="M766" s="207" t="s">
        <v>4405</v>
      </c>
      <c r="N766" s="207" t="s">
        <v>4442</v>
      </c>
      <c r="O766" s="202" t="s">
        <v>4409</v>
      </c>
      <c r="P766" s="202" t="s">
        <v>4409</v>
      </c>
      <c r="Q766" s="202" t="s">
        <v>4409</v>
      </c>
      <c r="R766" s="202" t="s">
        <v>4409</v>
      </c>
      <c r="S766" s="202" t="s">
        <v>4409</v>
      </c>
      <c r="T766" s="202" t="s">
        <v>4409</v>
      </c>
      <c r="U766" s="202" t="s">
        <v>4409</v>
      </c>
      <c r="V766" s="202" t="s">
        <v>4409</v>
      </c>
      <c r="W766" s="202" t="s">
        <v>4409</v>
      </c>
      <c r="X766" s="202" t="s">
        <v>4409</v>
      </c>
      <c r="Y766" s="202" t="s">
        <v>4409</v>
      </c>
      <c r="Z766" s="202"/>
      <c r="AA766" s="200" t="s">
        <v>7664</v>
      </c>
      <c r="AB766" s="200" t="s">
        <v>4398</v>
      </c>
      <c r="AC766" s="200" t="s">
        <v>7665</v>
      </c>
      <c r="AD766" s="197" t="s">
        <v>4402</v>
      </c>
      <c r="AE766" s="197" t="s">
        <v>4405</v>
      </c>
      <c r="AF766" s="243">
        <v>10972.32</v>
      </c>
      <c r="AG766" s="243">
        <f>AF766+30000</f>
        <v>40972.32</v>
      </c>
      <c r="AH766" s="197" t="s">
        <v>4433</v>
      </c>
      <c r="AI766" s="214" t="s">
        <v>4411</v>
      </c>
      <c r="AJ766" s="207">
        <v>146686514</v>
      </c>
      <c r="AK766" s="316">
        <v>45996</v>
      </c>
      <c r="AL766" s="316">
        <v>45996</v>
      </c>
      <c r="AM766" s="316">
        <v>45996</v>
      </c>
      <c r="AN766" s="316">
        <v>45996</v>
      </c>
      <c r="AO766" s="316">
        <v>45996</v>
      </c>
      <c r="AP766" s="316">
        <v>45996</v>
      </c>
      <c r="AQ766" s="314"/>
      <c r="AR766" s="315" t="str">
        <f t="shared" si="52"/>
        <v>FINALIZADO</v>
      </c>
      <c r="AS766" s="207" t="s">
        <v>4423</v>
      </c>
      <c r="AU766" s="225" t="s">
        <v>7666</v>
      </c>
      <c r="AV766" s="207" t="s">
        <v>4425</v>
      </c>
      <c r="AW766" s="207" t="s">
        <v>4425</v>
      </c>
      <c r="AX766" s="207" t="s">
        <v>4425</v>
      </c>
      <c r="AY766" s="207" t="s">
        <v>4425</v>
      </c>
      <c r="AZ766" s="202">
        <v>46021</v>
      </c>
      <c r="BA766" s="219" t="s">
        <v>4425</v>
      </c>
      <c r="BB766" s="160" t="s">
        <v>4425</v>
      </c>
      <c r="BC766" s="300">
        <v>46041</v>
      </c>
      <c r="BD766" s="301">
        <v>46041</v>
      </c>
      <c r="BE766" s="226" t="s">
        <v>4435</v>
      </c>
      <c r="BF766" s="228" t="s">
        <v>4436</v>
      </c>
      <c r="BG766" s="229" t="s">
        <v>4425</v>
      </c>
      <c r="BH766" s="321">
        <f t="shared" si="49"/>
        <v>45</v>
      </c>
      <c r="BI766" s="98" t="str">
        <f t="shared" si="50"/>
        <v>INDENIZAÇÃO</v>
      </c>
      <c r="BJ766" s="98" t="str">
        <f t="shared" si="51"/>
        <v>NÃO</v>
      </c>
      <c r="BK766" s="302" t="s">
        <v>4437</v>
      </c>
      <c r="BL766" s="302" t="s">
        <v>4437</v>
      </c>
      <c r="BM766" s="302" t="s">
        <v>4437</v>
      </c>
      <c r="BN766" s="303" t="s">
        <v>5732</v>
      </c>
      <c r="BO766" s="303"/>
      <c r="BP766" s="303"/>
      <c r="BQ766" s="303"/>
      <c r="BR766" s="304"/>
    </row>
    <row r="767" spans="1:71" ht="27" hidden="1" customHeight="1">
      <c r="A767" s="207">
        <v>763</v>
      </c>
      <c r="B767" s="197" t="s">
        <v>4396</v>
      </c>
      <c r="C767" s="207" t="s">
        <v>4427</v>
      </c>
      <c r="D767" s="207">
        <v>1</v>
      </c>
      <c r="E767" s="207" t="s">
        <v>4398</v>
      </c>
      <c r="F767" s="214" t="s">
        <v>7667</v>
      </c>
      <c r="G767" s="207" t="s">
        <v>4400</v>
      </c>
      <c r="H767" s="207" t="s">
        <v>4401</v>
      </c>
      <c r="I767" s="217" t="s">
        <v>4402</v>
      </c>
      <c r="J767" s="215" t="s">
        <v>7668</v>
      </c>
      <c r="K767" s="215" t="s">
        <v>4440</v>
      </c>
      <c r="L767" s="215" t="s">
        <v>7669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7668</v>
      </c>
      <c r="AB767" s="215" t="s">
        <v>4440</v>
      </c>
      <c r="AC767" s="215" t="s">
        <v>7669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41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07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07"/>
      <c r="BC767" s="202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  <c r="BS767" s="240"/>
    </row>
    <row r="768" spans="1:71" ht="27" hidden="1" customHeight="1">
      <c r="A768" s="207">
        <v>764</v>
      </c>
      <c r="B768" s="197" t="s">
        <v>4396</v>
      </c>
      <c r="C768" s="207" t="s">
        <v>4427</v>
      </c>
      <c r="D768" s="207">
        <v>1</v>
      </c>
      <c r="E768" s="207" t="s">
        <v>4398</v>
      </c>
      <c r="F768" s="214" t="s">
        <v>7670</v>
      </c>
      <c r="G768" s="207" t="s">
        <v>4400</v>
      </c>
      <c r="H768" s="207" t="s">
        <v>4401</v>
      </c>
      <c r="I768" s="217" t="s">
        <v>4402</v>
      </c>
      <c r="J768" s="215" t="s">
        <v>7671</v>
      </c>
      <c r="K768" s="215" t="s">
        <v>7672</v>
      </c>
      <c r="L768" s="215" t="s">
        <v>7673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7671</v>
      </c>
      <c r="AB768" s="215" t="s">
        <v>7672</v>
      </c>
      <c r="AC768" s="215" t="s">
        <v>7673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0" ht="27" hidden="1" customHeight="1">
      <c r="A769" s="197">
        <v>765</v>
      </c>
      <c r="B769" s="197" t="s">
        <v>4396</v>
      </c>
      <c r="C769" s="207" t="s">
        <v>4427</v>
      </c>
      <c r="D769" s="207">
        <v>1</v>
      </c>
      <c r="E769" s="207" t="s">
        <v>4398</v>
      </c>
      <c r="F769" s="214" t="s">
        <v>7674</v>
      </c>
      <c r="G769" s="207" t="s">
        <v>4400</v>
      </c>
      <c r="H769" s="207" t="s">
        <v>4401</v>
      </c>
      <c r="I769" s="217" t="s">
        <v>4402</v>
      </c>
      <c r="J769" s="215" t="s">
        <v>7675</v>
      </c>
      <c r="K769" s="215" t="s">
        <v>7676</v>
      </c>
      <c r="L769" s="215" t="s">
        <v>7677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46001</v>
      </c>
      <c r="Y769" s="202"/>
      <c r="Z769" s="202"/>
      <c r="AA769" s="215" t="s">
        <v>7675</v>
      </c>
      <c r="AB769" s="215" t="s">
        <v>7676</v>
      </c>
      <c r="AC769" s="215" t="s">
        <v>7677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7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0" ht="27" hidden="1" customHeight="1">
      <c r="A770" s="197">
        <v>766</v>
      </c>
      <c r="B770" s="197" t="s">
        <v>4396</v>
      </c>
      <c r="C770" s="207" t="s">
        <v>4427</v>
      </c>
      <c r="D770" s="207">
        <v>1</v>
      </c>
      <c r="E770" s="207" t="s">
        <v>4398</v>
      </c>
      <c r="F770" s="214" t="s">
        <v>7678</v>
      </c>
      <c r="G770" s="207" t="s">
        <v>4400</v>
      </c>
      <c r="H770" s="207" t="s">
        <v>4401</v>
      </c>
      <c r="I770" s="217" t="s">
        <v>4402</v>
      </c>
      <c r="J770" s="215" t="s">
        <v>7679</v>
      </c>
      <c r="K770" s="215" t="s">
        <v>7680</v>
      </c>
      <c r="L770" s="215" t="s">
        <v>7681</v>
      </c>
      <c r="M770" s="207" t="s">
        <v>4405</v>
      </c>
      <c r="N770" s="207" t="s">
        <v>4406</v>
      </c>
      <c r="O770" s="202">
        <v>45986</v>
      </c>
      <c r="P770" s="203" t="s">
        <v>4407</v>
      </c>
      <c r="Q770" s="203">
        <v>45985</v>
      </c>
      <c r="R770" s="203">
        <v>45986</v>
      </c>
      <c r="S770" s="203">
        <v>45987</v>
      </c>
      <c r="T770" s="203">
        <v>45992</v>
      </c>
      <c r="U770" s="202" t="s">
        <v>4408</v>
      </c>
      <c r="V770" s="202" t="s">
        <v>4408</v>
      </c>
      <c r="W770" s="202">
        <v>45999</v>
      </c>
      <c r="X770" s="202">
        <v>46002</v>
      </c>
      <c r="Y770" s="202"/>
      <c r="Z770" s="202"/>
      <c r="AA770" s="215" t="s">
        <v>7679</v>
      </c>
      <c r="AB770" s="215" t="s">
        <v>7680</v>
      </c>
      <c r="AC770" s="215" t="s">
        <v>7681</v>
      </c>
      <c r="AD770" s="207" t="s">
        <v>4402</v>
      </c>
      <c r="AE770" s="207" t="s">
        <v>4405</v>
      </c>
      <c r="AF770" s="218" t="s">
        <v>4409</v>
      </c>
      <c r="AG770" s="218" t="s">
        <v>4409</v>
      </c>
      <c r="AH770" s="204" t="s">
        <v>4410</v>
      </c>
      <c r="AI770" s="214" t="s">
        <v>4411</v>
      </c>
      <c r="AJ770" s="207"/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/>
      <c r="AT770" s="207"/>
      <c r="AU770" s="225"/>
      <c r="AV770" s="207"/>
      <c r="AW770" s="207"/>
      <c r="AX770" s="207" t="s">
        <v>4409</v>
      </c>
      <c r="AY770" s="207" t="s">
        <v>4409</v>
      </c>
      <c r="AZ770" s="207" t="s">
        <v>4409</v>
      </c>
      <c r="BA770" s="207" t="s">
        <v>4409</v>
      </c>
      <c r="BB770" s="207"/>
      <c r="BC770" s="202"/>
      <c r="BD770" s="208"/>
      <c r="BE770" s="202"/>
      <c r="BF770" s="207"/>
      <c r="BG770" s="229"/>
      <c r="BH770" s="321" t="str">
        <f t="shared" si="49"/>
        <v/>
      </c>
      <c r="BI770" s="98" t="str">
        <f t="shared" si="50"/>
        <v>AA</v>
      </c>
      <c r="BJ770" s="98" t="str">
        <f t="shared" si="51"/>
        <v>NÃO</v>
      </c>
      <c r="BK770" s="230"/>
      <c r="BL770" s="230"/>
      <c r="BM770" s="230"/>
      <c r="BN770" s="230"/>
      <c r="BO770" s="230"/>
      <c r="BP770" s="230"/>
      <c r="BQ770" s="230"/>
      <c r="BR770" s="234"/>
    </row>
    <row r="771" spans="1:70" ht="27" hidden="1" customHeight="1">
      <c r="A771" s="207">
        <v>767</v>
      </c>
      <c r="B771" s="197" t="s">
        <v>4396</v>
      </c>
      <c r="C771" s="207" t="s">
        <v>4427</v>
      </c>
      <c r="D771" s="207">
        <v>1</v>
      </c>
      <c r="E771" s="207" t="s">
        <v>4398</v>
      </c>
      <c r="F771" s="214" t="s">
        <v>7682</v>
      </c>
      <c r="G771" s="207" t="s">
        <v>4400</v>
      </c>
      <c r="H771" s="207" t="s">
        <v>4401</v>
      </c>
      <c r="I771" s="217" t="s">
        <v>4402</v>
      </c>
      <c r="J771" s="215" t="s">
        <v>772</v>
      </c>
      <c r="K771" s="215" t="s">
        <v>7683</v>
      </c>
      <c r="L771" s="215" t="s">
        <v>7684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3" t="s">
        <v>4408</v>
      </c>
      <c r="V771" s="203" t="s">
        <v>4408</v>
      </c>
      <c r="W771" s="202">
        <v>45999</v>
      </c>
      <c r="X771" s="202">
        <v>46001</v>
      </c>
      <c r="Y771" s="202"/>
      <c r="Z771" s="202"/>
      <c r="AA771" s="215" t="s">
        <v>772</v>
      </c>
      <c r="AB771" s="215" t="s">
        <v>7683</v>
      </c>
      <c r="AC771" s="215" t="s">
        <v>7684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04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</row>
    <row r="772" spans="1:70" ht="27" hidden="1" customHeight="1">
      <c r="A772" s="207">
        <v>768</v>
      </c>
      <c r="B772" s="197" t="s">
        <v>4396</v>
      </c>
      <c r="C772" s="207" t="s">
        <v>4427</v>
      </c>
      <c r="D772" s="207">
        <v>1</v>
      </c>
      <c r="E772" s="207" t="s">
        <v>4398</v>
      </c>
      <c r="F772" s="214" t="s">
        <v>7685</v>
      </c>
      <c r="G772" s="207" t="s">
        <v>4400</v>
      </c>
      <c r="H772" s="207" t="s">
        <v>4401</v>
      </c>
      <c r="I772" s="217" t="s">
        <v>4402</v>
      </c>
      <c r="J772" s="215" t="s">
        <v>7686</v>
      </c>
      <c r="K772" s="215" t="s">
        <v>7687</v>
      </c>
      <c r="L772" s="215" t="s">
        <v>7688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46002</v>
      </c>
      <c r="Y772" s="202"/>
      <c r="Z772" s="202"/>
      <c r="AA772" s="215" t="s">
        <v>7686</v>
      </c>
      <c r="AB772" s="215" t="s">
        <v>7687</v>
      </c>
      <c r="AC772" s="215" t="s">
        <v>7688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19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19"/>
      <c r="BC772" s="219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0" ht="27" hidden="1" customHeight="1">
      <c r="A773" s="207">
        <v>769</v>
      </c>
      <c r="B773" s="197" t="s">
        <v>4396</v>
      </c>
      <c r="C773" s="207" t="s">
        <v>4427</v>
      </c>
      <c r="D773" s="207">
        <v>1</v>
      </c>
      <c r="E773" s="207" t="s">
        <v>4398</v>
      </c>
      <c r="F773" s="214" t="s">
        <v>7689</v>
      </c>
      <c r="G773" s="207" t="s">
        <v>4400</v>
      </c>
      <c r="H773" s="207" t="s">
        <v>4401</v>
      </c>
      <c r="I773" s="217" t="s">
        <v>4402</v>
      </c>
      <c r="J773" s="215" t="s">
        <v>7690</v>
      </c>
      <c r="K773" s="215" t="s">
        <v>7691</v>
      </c>
      <c r="L773" s="215" t="s">
        <v>7692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7690</v>
      </c>
      <c r="AB773" s="215" t="s">
        <v>7691</v>
      </c>
      <c r="AC773" s="215" t="s">
        <v>7692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19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19"/>
      <c r="BC773" s="219"/>
      <c r="BD773" s="208"/>
      <c r="BE773" s="202"/>
      <c r="BF773" s="207"/>
      <c r="BG773" s="229"/>
      <c r="BH773" s="321" t="str">
        <f t="shared" ref="BH773:BH836" si="53">IFERROR(IF(BD773-KI773=0,"",BD773-AK773),"")</f>
        <v/>
      </c>
      <c r="BI773" s="98" t="str">
        <f t="shared" ref="BI773:BI836" si="54">IF(AND(AH773&lt;&gt;"SIM",AH773="UH"),"AA","INDENIZAÇÃO")</f>
        <v>AA</v>
      </c>
      <c r="BJ773" s="98" t="str">
        <f t="shared" ref="BJ773:BJ836" si="55">IF(AND(BD773&lt;&gt;"AGUARDANDO",BD773&lt;&gt;"",N773="AUXÍLIO ALUGUEL ATÉ INDENIZAÇÃO"),"SIM","NÃO")</f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0" ht="27" hidden="1" customHeight="1">
      <c r="A774" s="197">
        <v>770</v>
      </c>
      <c r="B774" s="197" t="s">
        <v>4396</v>
      </c>
      <c r="C774" s="207" t="s">
        <v>4427</v>
      </c>
      <c r="D774" s="207">
        <v>1</v>
      </c>
      <c r="E774" s="207" t="s">
        <v>4398</v>
      </c>
      <c r="F774" s="214" t="s">
        <v>7693</v>
      </c>
      <c r="G774" s="207" t="s">
        <v>4400</v>
      </c>
      <c r="H774" s="207" t="s">
        <v>4401</v>
      </c>
      <c r="I774" s="217" t="s">
        <v>4402</v>
      </c>
      <c r="J774" s="215" t="s">
        <v>7694</v>
      </c>
      <c r="K774" s="215" t="s">
        <v>7695</v>
      </c>
      <c r="L774" s="215" t="s">
        <v>7696</v>
      </c>
      <c r="M774" s="207" t="s">
        <v>4405</v>
      </c>
      <c r="N774" s="207" t="s">
        <v>4406</v>
      </c>
      <c r="O774" s="202">
        <v>46002</v>
      </c>
      <c r="P774" s="202" t="s">
        <v>4407</v>
      </c>
      <c r="Q774" s="202">
        <v>45999</v>
      </c>
      <c r="R774" s="202">
        <v>46006</v>
      </c>
      <c r="S774" s="202">
        <v>46006</v>
      </c>
      <c r="T774" s="202">
        <v>46009</v>
      </c>
      <c r="U774" s="202" t="s">
        <v>4408</v>
      </c>
      <c r="V774" s="202" t="s">
        <v>4408</v>
      </c>
      <c r="W774" s="202">
        <v>46014</v>
      </c>
      <c r="X774" s="202">
        <v>46027</v>
      </c>
      <c r="Y774" s="202"/>
      <c r="Z774" s="202"/>
      <c r="AA774" s="215" t="s">
        <v>7694</v>
      </c>
      <c r="AB774" s="215" t="s">
        <v>7695</v>
      </c>
      <c r="AC774" s="215" t="s">
        <v>7696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197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ref="AR774:AR808" si="56">IF(AQ774="SIM","AGUARDANDO CORREÇÃO",IF(AP774&lt;&gt;"","FINALIZADO",IF(AO774&lt;&gt;"","AGUARDANDO ENVIO DTS",IF(AN774&lt;&gt;"","AGUARDANDO ASSINATURA GAB",IF(AM774&lt;&gt;"","AGUARDANDO ASSINATURA CTS",IF(AL774&lt;&gt;"","AGUARDANDO ENVIO ASSINATURA CTS",IF(AK774&lt;&gt;"","AGUARDANDO CONFERÊNCIA","")))))))</f>
        <v>FINALIZADO</v>
      </c>
      <c r="AS774" s="207"/>
      <c r="AT774" s="219"/>
      <c r="AU774" s="225"/>
      <c r="AV774" s="219"/>
      <c r="AW774" s="219"/>
      <c r="AX774" s="219"/>
      <c r="AY774" s="219"/>
      <c r="AZ774" s="219"/>
      <c r="BA774" s="219"/>
      <c r="BB774" s="219"/>
      <c r="BC774" s="219"/>
      <c r="BD774" s="208"/>
      <c r="BE774" s="202"/>
      <c r="BF774" s="207"/>
      <c r="BG774" s="229"/>
      <c r="BH774" s="321" t="str">
        <f t="shared" si="53"/>
        <v/>
      </c>
      <c r="BI774" s="98" t="str">
        <f t="shared" si="54"/>
        <v>AA</v>
      </c>
      <c r="BJ774" s="98" t="str">
        <f t="shared" si="55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0" ht="27" hidden="1" customHeight="1">
      <c r="A775" s="197">
        <v>771</v>
      </c>
      <c r="B775" s="197" t="s">
        <v>4396</v>
      </c>
      <c r="C775" s="207" t="s">
        <v>4427</v>
      </c>
      <c r="D775" s="207">
        <v>1</v>
      </c>
      <c r="E775" s="207" t="s">
        <v>4398</v>
      </c>
      <c r="F775" s="214" t="s">
        <v>7697</v>
      </c>
      <c r="G775" s="207" t="s">
        <v>4400</v>
      </c>
      <c r="H775" s="207" t="s">
        <v>4401</v>
      </c>
      <c r="I775" s="217" t="s">
        <v>4402</v>
      </c>
      <c r="J775" s="215" t="s">
        <v>7698</v>
      </c>
      <c r="K775" s="215" t="s">
        <v>7699</v>
      </c>
      <c r="L775" s="215" t="s">
        <v>7700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2" t="s">
        <v>4408</v>
      </c>
      <c r="V775" s="202" t="s">
        <v>4408</v>
      </c>
      <c r="W775" s="202">
        <v>45999</v>
      </c>
      <c r="X775" s="202">
        <v>46002</v>
      </c>
      <c r="Y775" s="202"/>
      <c r="Z775" s="202"/>
      <c r="AA775" s="215" t="s">
        <v>7698</v>
      </c>
      <c r="AB775" s="215" t="s">
        <v>7699</v>
      </c>
      <c r="AC775" s="215" t="s">
        <v>7700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41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6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53"/>
        <v/>
      </c>
      <c r="BI775" s="98" t="str">
        <f t="shared" si="54"/>
        <v>AA</v>
      </c>
      <c r="BJ775" s="98" t="str">
        <f t="shared" si="55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0" ht="27" hidden="1" customHeight="1">
      <c r="A776" s="207">
        <v>772</v>
      </c>
      <c r="B776" s="197" t="s">
        <v>4396</v>
      </c>
      <c r="C776" s="207" t="s">
        <v>4427</v>
      </c>
      <c r="D776" s="207">
        <v>1</v>
      </c>
      <c r="E776" s="207" t="s">
        <v>4398</v>
      </c>
      <c r="F776" s="214" t="s">
        <v>7701</v>
      </c>
      <c r="G776" s="207" t="s">
        <v>4400</v>
      </c>
      <c r="H776" s="207" t="s">
        <v>4401</v>
      </c>
      <c r="I776" s="217" t="s">
        <v>4402</v>
      </c>
      <c r="J776" s="215" t="s">
        <v>7702</v>
      </c>
      <c r="K776" s="215" t="s">
        <v>7703</v>
      </c>
      <c r="L776" s="215" t="s">
        <v>7704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46001</v>
      </c>
      <c r="Y776" s="202"/>
      <c r="Z776" s="202"/>
      <c r="AA776" s="215" t="s">
        <v>7702</v>
      </c>
      <c r="AB776" s="215" t="s">
        <v>7703</v>
      </c>
      <c r="AC776" s="215" t="s">
        <v>7704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6"/>
        <v>FINALIZADO</v>
      </c>
      <c r="AS776" s="207"/>
      <c r="AT776" s="207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07"/>
      <c r="BC776" s="202"/>
      <c r="BD776" s="208"/>
      <c r="BE776" s="202"/>
      <c r="BF776" s="207"/>
      <c r="BG776" s="229"/>
      <c r="BH776" s="321" t="str">
        <f t="shared" si="53"/>
        <v/>
      </c>
      <c r="BI776" s="98" t="str">
        <f t="shared" si="54"/>
        <v>AA</v>
      </c>
      <c r="BJ776" s="98" t="str">
        <f t="shared" si="55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0" ht="27" hidden="1" customHeight="1">
      <c r="A777" s="207">
        <v>773</v>
      </c>
      <c r="B777" s="197" t="s">
        <v>4396</v>
      </c>
      <c r="C777" s="207" t="s">
        <v>4427</v>
      </c>
      <c r="D777" s="207">
        <v>1</v>
      </c>
      <c r="E777" s="207" t="s">
        <v>4398</v>
      </c>
      <c r="F777" s="214" t="s">
        <v>7705</v>
      </c>
      <c r="G777" s="207" t="s">
        <v>4400</v>
      </c>
      <c r="H777" s="207" t="s">
        <v>4401</v>
      </c>
      <c r="I777" s="217" t="s">
        <v>4402</v>
      </c>
      <c r="J777" s="215" t="s">
        <v>7706</v>
      </c>
      <c r="K777" s="215" t="s">
        <v>7707</v>
      </c>
      <c r="L777" s="215" t="s">
        <v>7708</v>
      </c>
      <c r="M777" s="207" t="s">
        <v>4405</v>
      </c>
      <c r="N777" s="207" t="s">
        <v>4406</v>
      </c>
      <c r="O777" s="202">
        <v>46002</v>
      </c>
      <c r="P777" s="202" t="s">
        <v>4407</v>
      </c>
      <c r="Q777" s="202">
        <v>45999</v>
      </c>
      <c r="R777" s="202">
        <v>46006</v>
      </c>
      <c r="S777" s="202">
        <v>46006</v>
      </c>
      <c r="T777" s="202">
        <v>46009</v>
      </c>
      <c r="U777" s="202" t="s">
        <v>4408</v>
      </c>
      <c r="V777" s="202" t="s">
        <v>4408</v>
      </c>
      <c r="W777" s="202">
        <v>46014</v>
      </c>
      <c r="X777" s="202">
        <v>46020</v>
      </c>
      <c r="Y777" s="202"/>
      <c r="Z777" s="202"/>
      <c r="AA777" s="215" t="s">
        <v>7706</v>
      </c>
      <c r="AB777" s="215" t="s">
        <v>7707</v>
      </c>
      <c r="AC777" s="215" t="s">
        <v>7708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197" t="s">
        <v>4410</v>
      </c>
      <c r="AI777" s="214" t="s">
        <v>4411</v>
      </c>
      <c r="AJ777" s="207"/>
      <c r="AK777" s="316">
        <v>45988</v>
      </c>
      <c r="AL777" s="316">
        <v>45988</v>
      </c>
      <c r="AM777" s="316">
        <v>45988</v>
      </c>
      <c r="AN777" s="316">
        <v>45988</v>
      </c>
      <c r="AO777" s="316">
        <v>45988</v>
      </c>
      <c r="AP777" s="316">
        <v>45988</v>
      </c>
      <c r="AQ777" s="314"/>
      <c r="AR777" s="315" t="str">
        <f t="shared" si="56"/>
        <v>FINALIZADO</v>
      </c>
      <c r="AS777" s="207"/>
      <c r="AT777" s="207"/>
      <c r="AU777" s="225"/>
      <c r="AV777" s="207"/>
      <c r="AW777" s="207"/>
      <c r="AX777" s="207"/>
      <c r="AY777" s="207"/>
      <c r="AZ777" s="202"/>
      <c r="BA777" s="219"/>
      <c r="BB777" s="207"/>
      <c r="BC777" s="202"/>
      <c r="BD777" s="208"/>
      <c r="BE777" s="202"/>
      <c r="BF777" s="207"/>
      <c r="BG777" s="229"/>
      <c r="BH777" s="321" t="str">
        <f t="shared" si="53"/>
        <v/>
      </c>
      <c r="BI777" s="98" t="str">
        <f t="shared" si="54"/>
        <v>AA</v>
      </c>
      <c r="BJ777" s="98" t="str">
        <f t="shared" si="55"/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0" ht="27" hidden="1" customHeight="1">
      <c r="A778" s="207">
        <v>774</v>
      </c>
      <c r="B778" s="197" t="s">
        <v>4396</v>
      </c>
      <c r="C778" s="207" t="s">
        <v>4427</v>
      </c>
      <c r="D778" s="207">
        <v>1</v>
      </c>
      <c r="E778" s="207" t="s">
        <v>4398</v>
      </c>
      <c r="F778" s="214" t="s">
        <v>7709</v>
      </c>
      <c r="G778" s="207" t="s">
        <v>4400</v>
      </c>
      <c r="H778" s="207" t="s">
        <v>4401</v>
      </c>
      <c r="I778" s="217" t="s">
        <v>4402</v>
      </c>
      <c r="J778" s="215" t="s">
        <v>7710</v>
      </c>
      <c r="K778" s="215" t="s">
        <v>7711</v>
      </c>
      <c r="L778" s="215" t="s">
        <v>7712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46020</v>
      </c>
      <c r="Y778" s="202"/>
      <c r="Z778" s="202"/>
      <c r="AA778" s="215" t="s">
        <v>7710</v>
      </c>
      <c r="AB778" s="215" t="s">
        <v>7711</v>
      </c>
      <c r="AC778" s="215" t="s">
        <v>7712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20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si="56"/>
        <v>FINALIZADO</v>
      </c>
      <c r="AS778" s="207"/>
      <c r="AT778" s="207"/>
      <c r="AU778" s="225"/>
      <c r="AV778" s="207"/>
      <c r="AW778" s="207"/>
      <c r="AX778" s="207"/>
      <c r="AY778" s="207"/>
      <c r="AZ778" s="202"/>
      <c r="BA778" s="219"/>
      <c r="BB778" s="207"/>
      <c r="BC778" s="202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0" ht="27" hidden="1" customHeight="1">
      <c r="A779" s="197">
        <v>775</v>
      </c>
      <c r="B779" s="197" t="s">
        <v>4396</v>
      </c>
      <c r="C779" s="207" t="s">
        <v>4427</v>
      </c>
      <c r="D779" s="207">
        <v>1</v>
      </c>
      <c r="E779" s="207" t="s">
        <v>4398</v>
      </c>
      <c r="F779" s="214" t="s">
        <v>7713</v>
      </c>
      <c r="G779" s="207" t="s">
        <v>4400</v>
      </c>
      <c r="H779" s="207" t="s">
        <v>4401</v>
      </c>
      <c r="I779" s="217" t="s">
        <v>4402</v>
      </c>
      <c r="J779" s="215" t="s">
        <v>7714</v>
      </c>
      <c r="K779" s="215" t="s">
        <v>7715</v>
      </c>
      <c r="L779" s="215" t="s">
        <v>7716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7714</v>
      </c>
      <c r="AB779" s="215" t="s">
        <v>7715</v>
      </c>
      <c r="AC779" s="215" t="s">
        <v>7716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19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19"/>
      <c r="BC779" s="219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0" ht="27" hidden="1" customHeight="1">
      <c r="A780" s="197">
        <v>776</v>
      </c>
      <c r="B780" s="197" t="s">
        <v>4396</v>
      </c>
      <c r="C780" s="207" t="s">
        <v>4427</v>
      </c>
      <c r="D780" s="207">
        <v>1</v>
      </c>
      <c r="E780" s="207" t="s">
        <v>4398</v>
      </c>
      <c r="F780" s="214" t="s">
        <v>7717</v>
      </c>
      <c r="G780" s="207" t="s">
        <v>4400</v>
      </c>
      <c r="H780" s="207" t="s">
        <v>4401</v>
      </c>
      <c r="I780" s="217" t="s">
        <v>4402</v>
      </c>
      <c r="J780" s="215" t="s">
        <v>7718</v>
      </c>
      <c r="K780" s="215" t="s">
        <v>7719</v>
      </c>
      <c r="L780" s="215" t="s">
        <v>7720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7718</v>
      </c>
      <c r="AB780" s="215" t="s">
        <v>7719</v>
      </c>
      <c r="AC780" s="215" t="s">
        <v>7720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0" ht="27" hidden="1" customHeight="1">
      <c r="A781" s="207">
        <v>777</v>
      </c>
      <c r="B781" s="197" t="s">
        <v>4396</v>
      </c>
      <c r="C781" s="207" t="s">
        <v>4427</v>
      </c>
      <c r="D781" s="207">
        <v>1</v>
      </c>
      <c r="E781" s="207" t="s">
        <v>4398</v>
      </c>
      <c r="F781" s="214" t="s">
        <v>7721</v>
      </c>
      <c r="G781" s="207" t="s">
        <v>4400</v>
      </c>
      <c r="H781" s="207" t="s">
        <v>4401</v>
      </c>
      <c r="I781" s="217" t="s">
        <v>4402</v>
      </c>
      <c r="J781" s="215" t="s">
        <v>7722</v>
      </c>
      <c r="K781" s="215" t="s">
        <v>7723</v>
      </c>
      <c r="L781" s="215" t="s">
        <v>7724</v>
      </c>
      <c r="M781" s="207" t="s">
        <v>4405</v>
      </c>
      <c r="N781" s="207" t="s">
        <v>4406</v>
      </c>
      <c r="O781" s="202">
        <v>45986</v>
      </c>
      <c r="P781" s="203" t="s">
        <v>4407</v>
      </c>
      <c r="Q781" s="203">
        <v>45985</v>
      </c>
      <c r="R781" s="203">
        <v>45986</v>
      </c>
      <c r="S781" s="203">
        <v>45987</v>
      </c>
      <c r="T781" s="203">
        <v>45992</v>
      </c>
      <c r="U781" s="202" t="s">
        <v>4408</v>
      </c>
      <c r="V781" s="202" t="s">
        <v>4408</v>
      </c>
      <c r="W781" s="202">
        <v>45999</v>
      </c>
      <c r="X781" s="202">
        <v>46006</v>
      </c>
      <c r="Y781" s="202"/>
      <c r="Z781" s="202"/>
      <c r="AA781" s="215" t="s">
        <v>7722</v>
      </c>
      <c r="AB781" s="215" t="s">
        <v>7723</v>
      </c>
      <c r="AC781" s="215" t="s">
        <v>7724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204" t="s">
        <v>4410</v>
      </c>
      <c r="AI781" s="214" t="s">
        <v>4411</v>
      </c>
      <c r="AJ781" s="207"/>
      <c r="AK781" s="316">
        <v>45996</v>
      </c>
      <c r="AL781" s="316">
        <v>45996</v>
      </c>
      <c r="AM781" s="316">
        <v>45996</v>
      </c>
      <c r="AN781" s="316">
        <v>45996</v>
      </c>
      <c r="AO781" s="316">
        <v>45996</v>
      </c>
      <c r="AP781" s="316">
        <v>45996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 t="s">
        <v>4409</v>
      </c>
      <c r="AY781" s="207" t="s">
        <v>4409</v>
      </c>
      <c r="AZ781" s="207" t="s">
        <v>4409</v>
      </c>
      <c r="BA781" s="207" t="s">
        <v>4409</v>
      </c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0" ht="27" hidden="1" customHeight="1">
      <c r="A782" s="207">
        <v>778</v>
      </c>
      <c r="B782" s="197" t="s">
        <v>4396</v>
      </c>
      <c r="C782" s="207" t="s">
        <v>4427</v>
      </c>
      <c r="D782" s="207">
        <v>1</v>
      </c>
      <c r="E782" s="207" t="s">
        <v>4398</v>
      </c>
      <c r="F782" s="214" t="s">
        <v>7725</v>
      </c>
      <c r="G782" s="207" t="s">
        <v>4400</v>
      </c>
      <c r="H782" s="207" t="s">
        <v>4401</v>
      </c>
      <c r="I782" s="217" t="s">
        <v>4402</v>
      </c>
      <c r="J782" s="215" t="s">
        <v>7726</v>
      </c>
      <c r="K782" s="215" t="s">
        <v>7727</v>
      </c>
      <c r="L782" s="215" t="s">
        <v>7728</v>
      </c>
      <c r="M782" s="207" t="s">
        <v>4405</v>
      </c>
      <c r="N782" s="207" t="s">
        <v>4406</v>
      </c>
      <c r="O782" s="202">
        <v>45986</v>
      </c>
      <c r="P782" s="203" t="s">
        <v>4407</v>
      </c>
      <c r="Q782" s="203">
        <v>45985</v>
      </c>
      <c r="R782" s="203">
        <v>45986</v>
      </c>
      <c r="S782" s="203">
        <v>45987</v>
      </c>
      <c r="T782" s="203">
        <v>45992</v>
      </c>
      <c r="U782" s="202" t="s">
        <v>4408</v>
      </c>
      <c r="V782" s="202" t="s">
        <v>4408</v>
      </c>
      <c r="W782" s="202">
        <v>45999</v>
      </c>
      <c r="X782" s="202">
        <v>46000</v>
      </c>
      <c r="Y782" s="202"/>
      <c r="Z782" s="202"/>
      <c r="AA782" s="215" t="s">
        <v>7726</v>
      </c>
      <c r="AB782" s="215" t="s">
        <v>7727</v>
      </c>
      <c r="AC782" s="215" t="s">
        <v>7728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4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 t="s">
        <v>4409</v>
      </c>
      <c r="AY782" s="207" t="s">
        <v>4409</v>
      </c>
      <c r="AZ782" s="207" t="s">
        <v>4409</v>
      </c>
      <c r="BA782" s="207" t="s">
        <v>4409</v>
      </c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0" ht="27" hidden="1" customHeight="1">
      <c r="A783" s="207">
        <v>779</v>
      </c>
      <c r="B783" s="197" t="s">
        <v>4396</v>
      </c>
      <c r="C783" s="207" t="s">
        <v>4427</v>
      </c>
      <c r="D783" s="207">
        <v>1</v>
      </c>
      <c r="E783" s="207" t="s">
        <v>4398</v>
      </c>
      <c r="F783" s="214" t="s">
        <v>7729</v>
      </c>
      <c r="G783" s="207" t="s">
        <v>4400</v>
      </c>
      <c r="H783" s="207" t="s">
        <v>4401</v>
      </c>
      <c r="I783" s="217" t="s">
        <v>4402</v>
      </c>
      <c r="J783" s="215" t="s">
        <v>7730</v>
      </c>
      <c r="K783" s="215" t="s">
        <v>7731</v>
      </c>
      <c r="L783" s="215" t="s">
        <v>7732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7730</v>
      </c>
      <c r="AB783" s="215" t="s">
        <v>7731</v>
      </c>
      <c r="AC783" s="215" t="s">
        <v>7732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04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0" ht="27" hidden="1" customHeight="1">
      <c r="A784" s="197">
        <v>780</v>
      </c>
      <c r="B784" s="197" t="s">
        <v>4396</v>
      </c>
      <c r="C784" s="207" t="s">
        <v>4427</v>
      </c>
      <c r="D784" s="207">
        <v>1</v>
      </c>
      <c r="E784" s="207" t="s">
        <v>4398</v>
      </c>
      <c r="F784" s="214" t="s">
        <v>7733</v>
      </c>
      <c r="G784" s="207" t="s">
        <v>4400</v>
      </c>
      <c r="H784" s="207" t="s">
        <v>4401</v>
      </c>
      <c r="I784" s="217" t="s">
        <v>4402</v>
      </c>
      <c r="J784" s="215" t="s">
        <v>7734</v>
      </c>
      <c r="K784" s="215" t="s">
        <v>7735</v>
      </c>
      <c r="L784" s="215" t="s">
        <v>7736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7734</v>
      </c>
      <c r="AB784" s="215" t="s">
        <v>7735</v>
      </c>
      <c r="AC784" s="215" t="s">
        <v>7736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197">
        <v>781</v>
      </c>
      <c r="B785" s="197" t="s">
        <v>4396</v>
      </c>
      <c r="C785" s="207" t="s">
        <v>4427</v>
      </c>
      <c r="D785" s="207">
        <v>1</v>
      </c>
      <c r="E785" s="207" t="s">
        <v>4398</v>
      </c>
      <c r="F785" s="214" t="s">
        <v>7737</v>
      </c>
      <c r="G785" s="207" t="s">
        <v>4400</v>
      </c>
      <c r="H785" s="207" t="s">
        <v>4401</v>
      </c>
      <c r="I785" s="217" t="s">
        <v>4402</v>
      </c>
      <c r="J785" s="215" t="s">
        <v>7738</v>
      </c>
      <c r="K785" s="215" t="s">
        <v>7739</v>
      </c>
      <c r="L785" s="215" t="s">
        <v>7740</v>
      </c>
      <c r="M785" s="207" t="s">
        <v>4405</v>
      </c>
      <c r="N785" s="207" t="s">
        <v>4406</v>
      </c>
      <c r="O785" s="202">
        <v>46002</v>
      </c>
      <c r="P785" s="202" t="s">
        <v>4407</v>
      </c>
      <c r="Q785" s="202">
        <v>45999</v>
      </c>
      <c r="R785" s="202">
        <v>46006</v>
      </c>
      <c r="S785" s="202">
        <v>46006</v>
      </c>
      <c r="T785" s="202">
        <v>46009</v>
      </c>
      <c r="U785" s="202" t="s">
        <v>4408</v>
      </c>
      <c r="V785" s="202" t="s">
        <v>4408</v>
      </c>
      <c r="W785" s="202">
        <v>46014</v>
      </c>
      <c r="X785" s="202">
        <v>46035</v>
      </c>
      <c r="Y785" s="202"/>
      <c r="Z785" s="202"/>
      <c r="AA785" s="215" t="s">
        <v>7738</v>
      </c>
      <c r="AB785" s="215" t="s">
        <v>7739</v>
      </c>
      <c r="AC785" s="215" t="s">
        <v>7740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197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/>
      <c r="AY785" s="207"/>
      <c r="AZ785" s="202"/>
      <c r="BA785" s="219"/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782</v>
      </c>
      <c r="B786" s="197" t="s">
        <v>4396</v>
      </c>
      <c r="C786" s="207" t="s">
        <v>4427</v>
      </c>
      <c r="D786" s="207">
        <v>1</v>
      </c>
      <c r="E786" s="207" t="s">
        <v>4398</v>
      </c>
      <c r="F786" s="214" t="s">
        <v>7741</v>
      </c>
      <c r="G786" s="207" t="s">
        <v>4400</v>
      </c>
      <c r="H786" s="207" t="s">
        <v>4401</v>
      </c>
      <c r="I786" s="217" t="s">
        <v>4402</v>
      </c>
      <c r="J786" s="215" t="s">
        <v>7742</v>
      </c>
      <c r="K786" s="215" t="s">
        <v>7743</v>
      </c>
      <c r="L786" s="215" t="s">
        <v>7744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3" t="s">
        <v>4408</v>
      </c>
      <c r="V786" s="203" t="s">
        <v>4408</v>
      </c>
      <c r="W786" s="202">
        <v>45999</v>
      </c>
      <c r="X786" s="202">
        <v>46000</v>
      </c>
      <c r="Y786" s="203"/>
      <c r="Z786" s="219"/>
      <c r="AA786" s="215" t="s">
        <v>7742</v>
      </c>
      <c r="AB786" s="215" t="s">
        <v>7743</v>
      </c>
      <c r="AC786" s="215" t="s">
        <v>7744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41" t="s">
        <v>4410</v>
      </c>
      <c r="AI786" s="214" t="s">
        <v>4411</v>
      </c>
      <c r="AJ786" s="207"/>
      <c r="AK786" s="316">
        <v>45980</v>
      </c>
      <c r="AL786" s="316">
        <v>45980</v>
      </c>
      <c r="AM786" s="316">
        <v>45980</v>
      </c>
      <c r="AN786" s="316">
        <v>45980</v>
      </c>
      <c r="AO786" s="316">
        <v>45980</v>
      </c>
      <c r="AP786" s="316">
        <v>45980</v>
      </c>
      <c r="AQ786" s="314"/>
      <c r="AR786" s="315" t="str">
        <f t="shared" si="56"/>
        <v>FINALIZADO</v>
      </c>
      <c r="AS786" s="207"/>
      <c r="AT786" s="219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19"/>
      <c r="BC786" s="219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783</v>
      </c>
      <c r="B787" s="197" t="s">
        <v>4396</v>
      </c>
      <c r="C787" s="207" t="s">
        <v>4427</v>
      </c>
      <c r="D787" s="207">
        <v>1</v>
      </c>
      <c r="E787" s="207" t="s">
        <v>4398</v>
      </c>
      <c r="F787" s="214" t="s">
        <v>7745</v>
      </c>
      <c r="G787" s="207" t="s">
        <v>4400</v>
      </c>
      <c r="H787" s="207" t="s">
        <v>4401</v>
      </c>
      <c r="I787" s="217" t="s">
        <v>4402</v>
      </c>
      <c r="J787" s="215" t="s">
        <v>7746</v>
      </c>
      <c r="K787" s="215" t="s">
        <v>4398</v>
      </c>
      <c r="L787" s="215" t="s">
        <v>7747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46001</v>
      </c>
      <c r="Y787" s="202"/>
      <c r="Z787" s="202"/>
      <c r="AA787" s="215" t="s">
        <v>7746</v>
      </c>
      <c r="AB787" s="215" t="s">
        <v>4398</v>
      </c>
      <c r="AC787" s="215" t="s">
        <v>7747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207">
        <v>784</v>
      </c>
      <c r="B788" s="197" t="s">
        <v>4396</v>
      </c>
      <c r="C788" s="207" t="s">
        <v>4427</v>
      </c>
      <c r="D788" s="207">
        <v>1</v>
      </c>
      <c r="E788" s="207" t="s">
        <v>4398</v>
      </c>
      <c r="F788" s="214" t="s">
        <v>7748</v>
      </c>
      <c r="G788" s="207" t="s">
        <v>4400</v>
      </c>
      <c r="H788" s="207" t="s">
        <v>4401</v>
      </c>
      <c r="I788" s="217" t="s">
        <v>4402</v>
      </c>
      <c r="J788" s="215" t="s">
        <v>7749</v>
      </c>
      <c r="K788" s="215" t="s">
        <v>7750</v>
      </c>
      <c r="L788" s="215" t="s">
        <v>7751</v>
      </c>
      <c r="M788" s="207" t="s">
        <v>4405</v>
      </c>
      <c r="N788" s="207" t="s">
        <v>4442</v>
      </c>
      <c r="O788" s="202" t="s">
        <v>4409</v>
      </c>
      <c r="P788" s="202" t="s">
        <v>4409</v>
      </c>
      <c r="Q788" s="202" t="s">
        <v>4409</v>
      </c>
      <c r="R788" s="202" t="s">
        <v>4409</v>
      </c>
      <c r="S788" s="202" t="s">
        <v>4409</v>
      </c>
      <c r="T788" s="202" t="s">
        <v>4409</v>
      </c>
      <c r="U788" s="202" t="s">
        <v>4409</v>
      </c>
      <c r="V788" s="202" t="s">
        <v>4409</v>
      </c>
      <c r="W788" s="202" t="s">
        <v>4409</v>
      </c>
      <c r="X788" s="202" t="s">
        <v>4409</v>
      </c>
      <c r="Y788" s="202"/>
      <c r="Z788" s="202"/>
      <c r="AA788" s="200" t="s">
        <v>7749</v>
      </c>
      <c r="AB788" s="200" t="s">
        <v>7750</v>
      </c>
      <c r="AC788" s="200" t="s">
        <v>7751</v>
      </c>
      <c r="AD788" s="197" t="s">
        <v>4402</v>
      </c>
      <c r="AE788" s="199" t="s">
        <v>5045</v>
      </c>
      <c r="AF788" s="243">
        <v>27464.76</v>
      </c>
      <c r="AG788" s="243">
        <v>57464.76</v>
      </c>
      <c r="AH788" s="197" t="s">
        <v>4433</v>
      </c>
      <c r="AI788" s="214" t="s">
        <v>4411</v>
      </c>
      <c r="AJ788" s="207">
        <v>152697035</v>
      </c>
      <c r="AK788" s="316">
        <v>46106</v>
      </c>
      <c r="AL788" s="316">
        <v>46106</v>
      </c>
      <c r="AM788" s="316">
        <v>46106</v>
      </c>
      <c r="AN788" s="316">
        <v>46106</v>
      </c>
      <c r="AO788" s="316">
        <v>46106</v>
      </c>
      <c r="AP788" s="316">
        <v>46106</v>
      </c>
      <c r="AQ788" s="314"/>
      <c r="AR788" s="315" t="str">
        <f t="shared" si="56"/>
        <v>FINALIZADO</v>
      </c>
      <c r="AS788" s="207" t="s">
        <v>4423</v>
      </c>
      <c r="AT788" s="207"/>
      <c r="AU788" s="225" t="s">
        <v>7752</v>
      </c>
      <c r="AV788" s="250" t="s">
        <v>4425</v>
      </c>
      <c r="AW788" s="250" t="s">
        <v>4425</v>
      </c>
      <c r="AX788" s="207" t="s">
        <v>4425</v>
      </c>
      <c r="AY788" s="207" t="s">
        <v>4425</v>
      </c>
      <c r="AZ788" s="202">
        <v>46153</v>
      </c>
      <c r="BA788" s="207" t="s">
        <v>4425</v>
      </c>
      <c r="BB788" s="207" t="s">
        <v>4425</v>
      </c>
      <c r="BC788" s="202">
        <v>46157</v>
      </c>
      <c r="BD788" s="227">
        <v>46157</v>
      </c>
      <c r="BE788" s="226" t="s">
        <v>4435</v>
      </c>
      <c r="BF788" s="228" t="s">
        <v>4436</v>
      </c>
      <c r="BG788" s="229" t="s">
        <v>4425</v>
      </c>
      <c r="BH788" s="321">
        <f t="shared" si="53"/>
        <v>51</v>
      </c>
      <c r="BI788" s="98" t="str">
        <f t="shared" si="54"/>
        <v>INDENIZAÇÃO</v>
      </c>
      <c r="BJ788" s="98" t="str">
        <f t="shared" si="55"/>
        <v>NÃO</v>
      </c>
      <c r="BK788" s="230" t="s">
        <v>4437</v>
      </c>
      <c r="BL788" s="230" t="s">
        <v>4437</v>
      </c>
      <c r="BM788" s="230" t="s">
        <v>4437</v>
      </c>
      <c r="BN788" s="265" t="s">
        <v>5732</v>
      </c>
      <c r="BO788" s="265"/>
      <c r="BP788" s="265"/>
      <c r="BQ788" s="265"/>
      <c r="BR788" s="231"/>
    </row>
    <row r="789" spans="1:70" ht="27" hidden="1" customHeight="1">
      <c r="A789" s="197">
        <v>785</v>
      </c>
      <c r="B789" s="197" t="s">
        <v>4396</v>
      </c>
      <c r="C789" s="207" t="s">
        <v>4427</v>
      </c>
      <c r="D789" s="207">
        <v>1</v>
      </c>
      <c r="E789" s="207" t="s">
        <v>4398</v>
      </c>
      <c r="F789" s="214" t="s">
        <v>7753</v>
      </c>
      <c r="G789" s="207" t="s">
        <v>4400</v>
      </c>
      <c r="H789" s="207" t="s">
        <v>4401</v>
      </c>
      <c r="I789" s="217" t="s">
        <v>4402</v>
      </c>
      <c r="J789" s="255" t="s">
        <v>7754</v>
      </c>
      <c r="K789" s="255" t="s">
        <v>7755</v>
      </c>
      <c r="L789" s="255" t="s">
        <v>7756</v>
      </c>
      <c r="M789" s="219" t="s">
        <v>4405</v>
      </c>
      <c r="N789" s="207" t="s">
        <v>4406</v>
      </c>
      <c r="O789" s="202">
        <v>46065</v>
      </c>
      <c r="P789" s="203" t="s">
        <v>4407</v>
      </c>
      <c r="Q789" s="202">
        <v>46072</v>
      </c>
      <c r="R789" s="203">
        <v>46072</v>
      </c>
      <c r="S789" s="203">
        <v>46080</v>
      </c>
      <c r="T789" s="202">
        <v>46083</v>
      </c>
      <c r="U789" s="202" t="s">
        <v>4408</v>
      </c>
      <c r="V789" s="202" t="s">
        <v>4408</v>
      </c>
      <c r="W789" s="203">
        <v>46055</v>
      </c>
      <c r="X789" s="203">
        <v>46091</v>
      </c>
      <c r="Y789" s="203"/>
      <c r="Z789" s="219"/>
      <c r="AA789" s="255" t="s">
        <v>7754</v>
      </c>
      <c r="AB789" s="255" t="s">
        <v>7755</v>
      </c>
      <c r="AC789" s="255" t="s">
        <v>7756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204" t="s">
        <v>4410</v>
      </c>
      <c r="AI789" s="214" t="s">
        <v>4411</v>
      </c>
      <c r="AJ789" s="207"/>
      <c r="AK789" s="317"/>
      <c r="AL789" s="317"/>
      <c r="AM789" s="317"/>
      <c r="AN789" s="317"/>
      <c r="AO789" s="317"/>
      <c r="AP789" s="317"/>
      <c r="AQ789" s="314"/>
      <c r="AR789" s="315" t="str">
        <f t="shared" si="56"/>
        <v/>
      </c>
      <c r="AS789" s="207"/>
      <c r="AT789" s="219"/>
      <c r="AU789" s="225"/>
      <c r="AV789" s="219"/>
      <c r="AW789" s="219"/>
      <c r="AX789" s="219"/>
      <c r="AY789" s="254"/>
      <c r="AZ789" s="219"/>
      <c r="BA789" s="219"/>
      <c r="BB789" s="254"/>
      <c r="BC789" s="219"/>
      <c r="BD789" s="208"/>
      <c r="BE789" s="203"/>
      <c r="BF789" s="219"/>
      <c r="BG789" s="21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19"/>
      <c r="BL789" s="221"/>
      <c r="BM789" s="221"/>
      <c r="BN789" s="219"/>
      <c r="BO789" s="219"/>
      <c r="BP789" s="219"/>
      <c r="BQ789" s="219"/>
      <c r="BR789" s="222"/>
    </row>
    <row r="790" spans="1:70" ht="27" hidden="1" customHeight="1">
      <c r="A790" s="197">
        <v>786</v>
      </c>
      <c r="B790" s="197" t="s">
        <v>4396</v>
      </c>
      <c r="C790" s="207" t="s">
        <v>4427</v>
      </c>
      <c r="D790" s="207">
        <v>1</v>
      </c>
      <c r="E790" s="207" t="s">
        <v>4398</v>
      </c>
      <c r="F790" s="214" t="s">
        <v>7757</v>
      </c>
      <c r="G790" s="219" t="s">
        <v>4400</v>
      </c>
      <c r="H790" s="219" t="s">
        <v>4401</v>
      </c>
      <c r="I790" s="217" t="s">
        <v>4402</v>
      </c>
      <c r="J790" s="255" t="s">
        <v>7758</v>
      </c>
      <c r="K790" s="255" t="s">
        <v>7759</v>
      </c>
      <c r="L790" s="255" t="s">
        <v>7760</v>
      </c>
      <c r="M790" s="219" t="s">
        <v>4405</v>
      </c>
      <c r="N790" s="207" t="s">
        <v>4406</v>
      </c>
      <c r="O790" s="202">
        <v>46065</v>
      </c>
      <c r="P790" s="203" t="s">
        <v>4407</v>
      </c>
      <c r="Q790" s="202">
        <v>46072</v>
      </c>
      <c r="R790" s="203">
        <v>46072</v>
      </c>
      <c r="S790" s="203">
        <v>46080</v>
      </c>
      <c r="T790" s="202">
        <v>46083</v>
      </c>
      <c r="U790" s="202" t="s">
        <v>4408</v>
      </c>
      <c r="V790" s="202" t="s">
        <v>4408</v>
      </c>
      <c r="W790" s="203">
        <v>46055</v>
      </c>
      <c r="X790" s="203">
        <v>46091</v>
      </c>
      <c r="Y790" s="203"/>
      <c r="Z790" s="219"/>
      <c r="AA790" s="255" t="s">
        <v>7758</v>
      </c>
      <c r="AB790" s="255" t="s">
        <v>7759</v>
      </c>
      <c r="AC790" s="255" t="s">
        <v>7760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04" t="s">
        <v>4410</v>
      </c>
      <c r="AI790" s="214" t="s">
        <v>4411</v>
      </c>
      <c r="AJ790" s="207"/>
      <c r="AK790" s="317"/>
      <c r="AL790" s="317"/>
      <c r="AM790" s="317"/>
      <c r="AN790" s="317"/>
      <c r="AO790" s="317"/>
      <c r="AP790" s="317"/>
      <c r="AQ790" s="314"/>
      <c r="AR790" s="315" t="str">
        <f t="shared" si="56"/>
        <v/>
      </c>
      <c r="AS790" s="207"/>
      <c r="AT790" s="219"/>
      <c r="AU790" s="225"/>
      <c r="AV790" s="219"/>
      <c r="AW790" s="219"/>
      <c r="AX790" s="219"/>
      <c r="AY790" s="219"/>
      <c r="AZ790" s="219"/>
      <c r="BA790" s="219"/>
      <c r="BB790" s="219"/>
      <c r="BC790" s="219"/>
      <c r="BD790" s="208"/>
      <c r="BE790" s="203"/>
      <c r="BF790" s="219"/>
      <c r="BG790" s="21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19"/>
      <c r="BL790" s="221"/>
      <c r="BM790" s="221"/>
      <c r="BN790" s="219"/>
      <c r="BO790" s="219"/>
      <c r="BP790" s="219"/>
      <c r="BQ790" s="219"/>
      <c r="BR790" s="222"/>
    </row>
    <row r="791" spans="1:70" ht="27" hidden="1" customHeight="1">
      <c r="A791" s="207">
        <v>787</v>
      </c>
      <c r="B791" s="197" t="s">
        <v>4396</v>
      </c>
      <c r="C791" s="207" t="s">
        <v>4427</v>
      </c>
      <c r="D791" s="207">
        <v>1</v>
      </c>
      <c r="E791" s="207" t="s">
        <v>4398</v>
      </c>
      <c r="F791" s="214" t="s">
        <v>7761</v>
      </c>
      <c r="G791" s="207" t="s">
        <v>4400</v>
      </c>
      <c r="H791" s="207" t="s">
        <v>4401</v>
      </c>
      <c r="I791" s="217" t="s">
        <v>4402</v>
      </c>
      <c r="J791" s="255" t="s">
        <v>7762</v>
      </c>
      <c r="K791" s="255" t="s">
        <v>7763</v>
      </c>
      <c r="L791" s="255" t="s">
        <v>7764</v>
      </c>
      <c r="M791" s="219" t="s">
        <v>4405</v>
      </c>
      <c r="N791" s="207" t="s">
        <v>4406</v>
      </c>
      <c r="O791" s="202">
        <v>46084</v>
      </c>
      <c r="P791" s="202" t="s">
        <v>4407</v>
      </c>
      <c r="Q791" s="202">
        <v>46083</v>
      </c>
      <c r="R791" s="203">
        <v>46084</v>
      </c>
      <c r="S791" s="203">
        <v>46087</v>
      </c>
      <c r="T791" s="203">
        <v>46090</v>
      </c>
      <c r="U791" s="202" t="s">
        <v>4408</v>
      </c>
      <c r="V791" s="202" t="s">
        <v>4408</v>
      </c>
      <c r="W791" s="202">
        <v>46101</v>
      </c>
      <c r="X791" s="202">
        <v>46101</v>
      </c>
      <c r="Y791" s="203"/>
      <c r="Z791" s="219"/>
      <c r="AA791" s="255" t="s">
        <v>7762</v>
      </c>
      <c r="AB791" s="255" t="s">
        <v>7763</v>
      </c>
      <c r="AC791" s="255" t="s">
        <v>7764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7"/>
      <c r="AL791" s="317"/>
      <c r="AM791" s="317"/>
      <c r="AN791" s="317"/>
      <c r="AO791" s="317"/>
      <c r="AP791" s="317"/>
      <c r="AQ791" s="314"/>
      <c r="AR791" s="315" t="str">
        <f t="shared" si="56"/>
        <v/>
      </c>
      <c r="AS791" s="207"/>
      <c r="AT791" s="219"/>
      <c r="AU791" s="225"/>
      <c r="AV791" s="219"/>
      <c r="AW791" s="219"/>
      <c r="AX791" s="219"/>
      <c r="AY791" s="219"/>
      <c r="AZ791" s="219"/>
      <c r="BA791" s="219"/>
      <c r="BB791" s="219"/>
      <c r="BC791" s="219"/>
      <c r="BD791" s="208"/>
      <c r="BE791" s="203"/>
      <c r="BF791" s="219"/>
      <c r="BG791" s="21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19"/>
      <c r="BL791" s="221"/>
      <c r="BM791" s="221"/>
      <c r="BN791" s="219"/>
      <c r="BO791" s="219"/>
      <c r="BP791" s="219"/>
      <c r="BQ791" s="219"/>
      <c r="BR791" s="222"/>
    </row>
    <row r="792" spans="1:70" ht="27" hidden="1" customHeight="1">
      <c r="A792" s="207">
        <v>788</v>
      </c>
      <c r="B792" s="197" t="s">
        <v>4396</v>
      </c>
      <c r="C792" s="207" t="s">
        <v>4427</v>
      </c>
      <c r="D792" s="207">
        <v>1</v>
      </c>
      <c r="E792" s="207" t="s">
        <v>4398</v>
      </c>
      <c r="F792" s="214" t="s">
        <v>7765</v>
      </c>
      <c r="G792" s="219" t="s">
        <v>4400</v>
      </c>
      <c r="H792" s="219" t="s">
        <v>4401</v>
      </c>
      <c r="I792" s="217" t="s">
        <v>4402</v>
      </c>
      <c r="J792" s="255" t="s">
        <v>7766</v>
      </c>
      <c r="K792" s="255" t="s">
        <v>7767</v>
      </c>
      <c r="L792" s="255" t="s">
        <v>7768</v>
      </c>
      <c r="M792" s="219" t="s">
        <v>4405</v>
      </c>
      <c r="N792" s="207" t="s">
        <v>4406</v>
      </c>
      <c r="O792" s="202">
        <v>46065</v>
      </c>
      <c r="P792" s="203" t="s">
        <v>4407</v>
      </c>
      <c r="Q792" s="202">
        <v>46072</v>
      </c>
      <c r="R792" s="203">
        <v>46072</v>
      </c>
      <c r="S792" s="203">
        <v>46080</v>
      </c>
      <c r="T792" s="202">
        <v>46083</v>
      </c>
      <c r="U792" s="202" t="s">
        <v>4408</v>
      </c>
      <c r="V792" s="202" t="s">
        <v>4408</v>
      </c>
      <c r="W792" s="203">
        <v>46055</v>
      </c>
      <c r="X792" s="203">
        <v>46119</v>
      </c>
      <c r="Y792" s="203"/>
      <c r="Z792" s="219"/>
      <c r="AA792" s="255" t="s">
        <v>7766</v>
      </c>
      <c r="AB792" s="255" t="s">
        <v>7767</v>
      </c>
      <c r="AC792" s="255" t="s">
        <v>7768</v>
      </c>
      <c r="AD792" s="207" t="s">
        <v>4402</v>
      </c>
      <c r="AE792" s="207" t="s">
        <v>4405</v>
      </c>
      <c r="AF792" s="218" t="s">
        <v>4409</v>
      </c>
      <c r="AG792" s="218" t="s">
        <v>4409</v>
      </c>
      <c r="AH792" s="204" t="s">
        <v>4410</v>
      </c>
      <c r="AI792" s="214" t="s">
        <v>4411</v>
      </c>
      <c r="AJ792" s="207"/>
      <c r="AK792" s="317"/>
      <c r="AL792" s="317"/>
      <c r="AM792" s="317"/>
      <c r="AN792" s="317"/>
      <c r="AO792" s="317"/>
      <c r="AP792" s="317"/>
      <c r="AQ792" s="314"/>
      <c r="AR792" s="315" t="str">
        <f t="shared" si="56"/>
        <v/>
      </c>
      <c r="AS792" s="207"/>
      <c r="AT792" s="219"/>
      <c r="AU792" s="225"/>
      <c r="AV792" s="219"/>
      <c r="AW792" s="219"/>
      <c r="AX792" s="219"/>
      <c r="AY792" s="219"/>
      <c r="AZ792" s="219"/>
      <c r="BA792" s="219"/>
      <c r="BB792" s="219"/>
      <c r="BC792" s="219"/>
      <c r="BD792" s="208"/>
      <c r="BE792" s="203"/>
      <c r="BF792" s="219"/>
      <c r="BG792" s="219"/>
      <c r="BH792" s="321" t="str">
        <f t="shared" si="53"/>
        <v/>
      </c>
      <c r="BI792" s="98" t="str">
        <f t="shared" si="54"/>
        <v>AA</v>
      </c>
      <c r="BJ792" s="98" t="str">
        <f t="shared" si="55"/>
        <v>NÃO</v>
      </c>
      <c r="BK792" s="219"/>
      <c r="BL792" s="221"/>
      <c r="BM792" s="221"/>
      <c r="BN792" s="219"/>
      <c r="BO792" s="219"/>
      <c r="BP792" s="219"/>
      <c r="BQ792" s="219"/>
      <c r="BR792" s="222"/>
    </row>
    <row r="793" spans="1:70" ht="27" hidden="1" customHeight="1">
      <c r="A793" s="207">
        <v>789</v>
      </c>
      <c r="B793" s="197" t="s">
        <v>4396</v>
      </c>
      <c r="C793" s="207" t="s">
        <v>4427</v>
      </c>
      <c r="D793" s="207">
        <v>1</v>
      </c>
      <c r="E793" s="207" t="s">
        <v>4398</v>
      </c>
      <c r="F793" s="214" t="s">
        <v>7769</v>
      </c>
      <c r="G793" s="219" t="s">
        <v>4400</v>
      </c>
      <c r="H793" s="219" t="s">
        <v>4401</v>
      </c>
      <c r="I793" s="217" t="s">
        <v>4402</v>
      </c>
      <c r="J793" s="255" t="s">
        <v>7770</v>
      </c>
      <c r="K793" s="255" t="s">
        <v>7771</v>
      </c>
      <c r="L793" s="255" t="s">
        <v>7772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46114</v>
      </c>
      <c r="Y793" s="203"/>
      <c r="Z793" s="219"/>
      <c r="AA793" s="255" t="s">
        <v>7770</v>
      </c>
      <c r="AB793" s="255" t="s">
        <v>7771</v>
      </c>
      <c r="AC793" s="255" t="s">
        <v>7772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19"/>
      <c r="AZ793" s="219"/>
      <c r="BA793" s="219"/>
      <c r="BB793" s="219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790</v>
      </c>
      <c r="B794" s="197" t="s">
        <v>4396</v>
      </c>
      <c r="C794" s="207" t="s">
        <v>4427</v>
      </c>
      <c r="D794" s="207">
        <v>1</v>
      </c>
      <c r="E794" s="207" t="s">
        <v>4398</v>
      </c>
      <c r="F794" s="214" t="s">
        <v>7773</v>
      </c>
      <c r="G794" s="207" t="s">
        <v>4400</v>
      </c>
      <c r="H794" s="207" t="s">
        <v>4401</v>
      </c>
      <c r="I794" s="217" t="s">
        <v>4402</v>
      </c>
      <c r="J794" s="215" t="s">
        <v>7774</v>
      </c>
      <c r="K794" s="215" t="s">
        <v>7775</v>
      </c>
      <c r="L794" s="215" t="s">
        <v>7776</v>
      </c>
      <c r="M794" s="207" t="s">
        <v>4405</v>
      </c>
      <c r="N794" s="207" t="s">
        <v>4406</v>
      </c>
      <c r="O794" s="202">
        <v>46106</v>
      </c>
      <c r="P794" s="202" t="s">
        <v>4407</v>
      </c>
      <c r="Q794" s="202">
        <v>46106</v>
      </c>
      <c r="R794" s="202">
        <v>46107</v>
      </c>
      <c r="S794" s="202">
        <v>46111</v>
      </c>
      <c r="T794" s="202">
        <v>46087</v>
      </c>
      <c r="U794" s="202" t="s">
        <v>4408</v>
      </c>
      <c r="V794" s="202" t="s">
        <v>4408</v>
      </c>
      <c r="W794" s="202">
        <v>46132</v>
      </c>
      <c r="X794" s="203">
        <v>46056</v>
      </c>
      <c r="Y794" s="203"/>
      <c r="Z794" s="219"/>
      <c r="AA794" s="215" t="s">
        <v>7774</v>
      </c>
      <c r="AB794" s="215" t="s">
        <v>7775</v>
      </c>
      <c r="AC794" s="215" t="s">
        <v>7776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7" t="s">
        <v>4410</v>
      </c>
      <c r="AI794" s="214" t="s">
        <v>4411</v>
      </c>
      <c r="AJ794" s="207"/>
      <c r="AK794" s="316">
        <v>46037</v>
      </c>
      <c r="AL794" s="316">
        <v>46037</v>
      </c>
      <c r="AM794" s="316">
        <v>46037</v>
      </c>
      <c r="AN794" s="316">
        <v>46037</v>
      </c>
      <c r="AO794" s="316">
        <v>46037</v>
      </c>
      <c r="AP794" s="316">
        <v>46037</v>
      </c>
      <c r="AQ794" s="314"/>
      <c r="AR794" s="315" t="str">
        <f t="shared" si="56"/>
        <v>FINALIZADO</v>
      </c>
      <c r="AS794" s="207"/>
      <c r="AT794" s="219"/>
      <c r="AU794" s="225"/>
      <c r="AV794" s="219"/>
      <c r="AW794" s="219"/>
      <c r="AX794" s="251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197">
        <v>791</v>
      </c>
      <c r="B795" s="197" t="s">
        <v>4396</v>
      </c>
      <c r="C795" s="207" t="s">
        <v>4427</v>
      </c>
      <c r="D795" s="207">
        <v>1</v>
      </c>
      <c r="E795" s="207" t="s">
        <v>4398</v>
      </c>
      <c r="F795" s="214" t="s">
        <v>7777</v>
      </c>
      <c r="G795" s="207" t="s">
        <v>4400</v>
      </c>
      <c r="H795" s="207" t="s">
        <v>4401</v>
      </c>
      <c r="I795" s="217" t="s">
        <v>4402</v>
      </c>
      <c r="J795" s="255" t="s">
        <v>7778</v>
      </c>
      <c r="K795" s="255" t="s">
        <v>7779</v>
      </c>
      <c r="L795" s="255" t="s">
        <v>7780</v>
      </c>
      <c r="M795" s="219" t="s">
        <v>4405</v>
      </c>
      <c r="N795" s="207" t="s">
        <v>4406</v>
      </c>
      <c r="O795" s="202">
        <v>46065</v>
      </c>
      <c r="P795" s="203" t="s">
        <v>4407</v>
      </c>
      <c r="Q795" s="202">
        <v>46072</v>
      </c>
      <c r="R795" s="203">
        <v>46072</v>
      </c>
      <c r="S795" s="203">
        <v>46080</v>
      </c>
      <c r="T795" s="202">
        <v>46083</v>
      </c>
      <c r="U795" s="202" t="s">
        <v>4408</v>
      </c>
      <c r="V795" s="202" t="s">
        <v>4408</v>
      </c>
      <c r="W795" s="203">
        <v>46055</v>
      </c>
      <c r="X795" s="203">
        <v>46091</v>
      </c>
      <c r="Y795" s="203"/>
      <c r="Z795" s="219"/>
      <c r="AA795" s="255" t="s">
        <v>7778</v>
      </c>
      <c r="AB795" s="255" t="s">
        <v>7779</v>
      </c>
      <c r="AC795" s="255" t="s">
        <v>7780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7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792</v>
      </c>
      <c r="B796" s="197" t="s">
        <v>4396</v>
      </c>
      <c r="C796" s="207" t="s">
        <v>4427</v>
      </c>
      <c r="D796" s="207">
        <v>1</v>
      </c>
      <c r="E796" s="207" t="s">
        <v>4398</v>
      </c>
      <c r="F796" s="214" t="s">
        <v>7781</v>
      </c>
      <c r="G796" s="207" t="s">
        <v>4400</v>
      </c>
      <c r="H796" s="207" t="s">
        <v>4401</v>
      </c>
      <c r="I796" s="217" t="s">
        <v>4402</v>
      </c>
      <c r="J796" s="255" t="s">
        <v>7782</v>
      </c>
      <c r="K796" s="255" t="s">
        <v>7783</v>
      </c>
      <c r="L796" s="255" t="s">
        <v>7784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46091</v>
      </c>
      <c r="Y796" s="203"/>
      <c r="Z796" s="219"/>
      <c r="AA796" s="255" t="s">
        <v>7782</v>
      </c>
      <c r="AB796" s="255" t="s">
        <v>7783</v>
      </c>
      <c r="AC796" s="255" t="s">
        <v>7784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7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793</v>
      </c>
      <c r="B797" s="197" t="s">
        <v>4396</v>
      </c>
      <c r="C797" s="207" t="s">
        <v>4427</v>
      </c>
      <c r="D797" s="207">
        <v>1</v>
      </c>
      <c r="E797" s="207" t="s">
        <v>4398</v>
      </c>
      <c r="F797" s="214" t="s">
        <v>7785</v>
      </c>
      <c r="G797" s="219" t="s">
        <v>4400</v>
      </c>
      <c r="H797" s="219" t="s">
        <v>4401</v>
      </c>
      <c r="I797" s="217" t="s">
        <v>4402</v>
      </c>
      <c r="J797" s="255" t="s">
        <v>7786</v>
      </c>
      <c r="K797" s="255" t="s">
        <v>4440</v>
      </c>
      <c r="L797" s="255" t="s">
        <v>7787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46092</v>
      </c>
      <c r="Y797" s="203"/>
      <c r="Z797" s="219"/>
      <c r="AA797" s="255" t="s">
        <v>7786</v>
      </c>
      <c r="AB797" s="255" t="s">
        <v>4440</v>
      </c>
      <c r="AC797" s="255" t="s">
        <v>7787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7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207">
        <v>794</v>
      </c>
      <c r="B798" s="197" t="s">
        <v>4396</v>
      </c>
      <c r="C798" s="207" t="s">
        <v>4427</v>
      </c>
      <c r="D798" s="207">
        <v>1</v>
      </c>
      <c r="E798" s="207" t="s">
        <v>4398</v>
      </c>
      <c r="F798" s="214" t="s">
        <v>7788</v>
      </c>
      <c r="G798" s="207" t="s">
        <v>4400</v>
      </c>
      <c r="H798" s="207" t="s">
        <v>4401</v>
      </c>
      <c r="I798" s="217" t="s">
        <v>4402</v>
      </c>
      <c r="J798" s="255" t="s">
        <v>7789</v>
      </c>
      <c r="K798" s="255" t="s">
        <v>7790</v>
      </c>
      <c r="L798" s="255" t="s">
        <v>7791</v>
      </c>
      <c r="M798" s="219" t="s">
        <v>4405</v>
      </c>
      <c r="N798" s="207" t="s">
        <v>4406</v>
      </c>
      <c r="O798" s="202">
        <v>46065</v>
      </c>
      <c r="P798" s="203" t="s">
        <v>4407</v>
      </c>
      <c r="Q798" s="202">
        <v>46072</v>
      </c>
      <c r="R798" s="203">
        <v>46072</v>
      </c>
      <c r="S798" s="203">
        <v>46080</v>
      </c>
      <c r="T798" s="202">
        <v>46083</v>
      </c>
      <c r="U798" s="202" t="s">
        <v>4408</v>
      </c>
      <c r="V798" s="202" t="s">
        <v>4408</v>
      </c>
      <c r="W798" s="203">
        <v>46055</v>
      </c>
      <c r="X798" s="203">
        <v>46091</v>
      </c>
      <c r="Y798" s="203"/>
      <c r="Z798" s="219"/>
      <c r="AA798" s="255" t="s">
        <v>7789</v>
      </c>
      <c r="AB798" s="255" t="s">
        <v>7790</v>
      </c>
      <c r="AC798" s="255" t="s">
        <v>7791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7"/>
      <c r="AL798" s="317"/>
      <c r="AM798" s="317"/>
      <c r="AN798" s="317"/>
      <c r="AO798" s="317"/>
      <c r="AP798" s="317"/>
      <c r="AQ798" s="314"/>
      <c r="AR798" s="315" t="str">
        <f t="shared" si="56"/>
        <v/>
      </c>
      <c r="AS798" s="207"/>
      <c r="AT798" s="219"/>
      <c r="AU798" s="225"/>
      <c r="AV798" s="219"/>
      <c r="AW798" s="219"/>
      <c r="AX798" s="219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795</v>
      </c>
      <c r="B799" s="197" t="s">
        <v>4396</v>
      </c>
      <c r="C799" s="207" t="s">
        <v>4427</v>
      </c>
      <c r="D799" s="207">
        <v>1</v>
      </c>
      <c r="E799" s="207" t="s">
        <v>4398</v>
      </c>
      <c r="F799" s="214" t="s">
        <v>7792</v>
      </c>
      <c r="G799" s="207" t="s">
        <v>4400</v>
      </c>
      <c r="H799" s="207" t="s">
        <v>4401</v>
      </c>
      <c r="I799" s="217" t="s">
        <v>4402</v>
      </c>
      <c r="J799" s="255" t="s">
        <v>7793</v>
      </c>
      <c r="K799" s="255" t="s">
        <v>7794</v>
      </c>
      <c r="L799" s="255" t="s">
        <v>7795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7793</v>
      </c>
      <c r="AB799" s="255" t="s">
        <v>7794</v>
      </c>
      <c r="AC799" s="255" t="s">
        <v>7795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197">
        <v>796</v>
      </c>
      <c r="B800" s="197" t="s">
        <v>4396</v>
      </c>
      <c r="C800" s="207" t="s">
        <v>4427</v>
      </c>
      <c r="D800" s="207">
        <v>1</v>
      </c>
      <c r="E800" s="207" t="s">
        <v>4398</v>
      </c>
      <c r="F800" s="214" t="s">
        <v>7796</v>
      </c>
      <c r="G800" s="219" t="s">
        <v>4400</v>
      </c>
      <c r="H800" s="219" t="s">
        <v>4401</v>
      </c>
      <c r="I800" s="217" t="s">
        <v>4402</v>
      </c>
      <c r="J800" s="255" t="s">
        <v>7797</v>
      </c>
      <c r="K800" s="255" t="s">
        <v>7798</v>
      </c>
      <c r="L800" s="255" t="s">
        <v>7799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7797</v>
      </c>
      <c r="AB800" s="255" t="s">
        <v>7798</v>
      </c>
      <c r="AC800" s="255" t="s">
        <v>7799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797</v>
      </c>
      <c r="B801" s="197" t="s">
        <v>4396</v>
      </c>
      <c r="C801" s="207" t="s">
        <v>4427</v>
      </c>
      <c r="D801" s="207">
        <v>1</v>
      </c>
      <c r="E801" s="207" t="s">
        <v>4398</v>
      </c>
      <c r="F801" s="214" t="s">
        <v>7800</v>
      </c>
      <c r="G801" s="219" t="s">
        <v>4400</v>
      </c>
      <c r="H801" s="219" t="s">
        <v>4401</v>
      </c>
      <c r="I801" s="217" t="s">
        <v>4402</v>
      </c>
      <c r="J801" s="255" t="s">
        <v>7801</v>
      </c>
      <c r="K801" s="255" t="s">
        <v>7802</v>
      </c>
      <c r="L801" s="255" t="s">
        <v>7803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7801</v>
      </c>
      <c r="AB801" s="255" t="s">
        <v>7802</v>
      </c>
      <c r="AC801" s="255" t="s">
        <v>7803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798</v>
      </c>
      <c r="B802" s="197" t="s">
        <v>4396</v>
      </c>
      <c r="C802" s="207" t="s">
        <v>4427</v>
      </c>
      <c r="D802" s="207">
        <v>1</v>
      </c>
      <c r="E802" s="207" t="s">
        <v>4398</v>
      </c>
      <c r="F802" s="214" t="s">
        <v>7804</v>
      </c>
      <c r="G802" s="207" t="s">
        <v>4400</v>
      </c>
      <c r="H802" s="207" t="s">
        <v>4401</v>
      </c>
      <c r="I802" s="217" t="s">
        <v>4402</v>
      </c>
      <c r="J802" s="255" t="s">
        <v>7805</v>
      </c>
      <c r="K802" s="255" t="s">
        <v>7806</v>
      </c>
      <c r="L802" s="255" t="s">
        <v>7807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46092</v>
      </c>
      <c r="Y802" s="203"/>
      <c r="Z802" s="219"/>
      <c r="AA802" s="255" t="s">
        <v>7805</v>
      </c>
      <c r="AB802" s="255" t="s">
        <v>7806</v>
      </c>
      <c r="AC802" s="255" t="s">
        <v>7807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207">
        <v>799</v>
      </c>
      <c r="B803" s="197" t="s">
        <v>4396</v>
      </c>
      <c r="C803" s="207" t="s">
        <v>4427</v>
      </c>
      <c r="D803" s="207">
        <v>1</v>
      </c>
      <c r="E803" s="207" t="s">
        <v>4398</v>
      </c>
      <c r="F803" s="214" t="s">
        <v>7808</v>
      </c>
      <c r="G803" s="219" t="s">
        <v>4400</v>
      </c>
      <c r="H803" s="219" t="s">
        <v>4401</v>
      </c>
      <c r="I803" s="217" t="s">
        <v>4402</v>
      </c>
      <c r="J803" s="255" t="s">
        <v>7809</v>
      </c>
      <c r="K803" s="255" t="s">
        <v>7810</v>
      </c>
      <c r="L803" s="255" t="s">
        <v>7811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7809</v>
      </c>
      <c r="AB803" s="255" t="s">
        <v>7810</v>
      </c>
      <c r="AC803" s="255" t="s">
        <v>7811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800</v>
      </c>
      <c r="B804" s="197" t="s">
        <v>4396</v>
      </c>
      <c r="C804" s="207" t="s">
        <v>4427</v>
      </c>
      <c r="D804" s="207">
        <v>1</v>
      </c>
      <c r="E804" s="207" t="s">
        <v>4398</v>
      </c>
      <c r="F804" s="214" t="s">
        <v>7812</v>
      </c>
      <c r="G804" s="207" t="s">
        <v>4400</v>
      </c>
      <c r="H804" s="207" t="s">
        <v>4401</v>
      </c>
      <c r="I804" s="217" t="s">
        <v>4402</v>
      </c>
      <c r="J804" s="255" t="s">
        <v>7813</v>
      </c>
      <c r="K804" s="255" t="s">
        <v>7814</v>
      </c>
      <c r="L804" s="255" t="s">
        <v>7815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46101</v>
      </c>
      <c r="Y804" s="203"/>
      <c r="Z804" s="219"/>
      <c r="AA804" s="255" t="s">
        <v>7813</v>
      </c>
      <c r="AB804" s="255" t="s">
        <v>7814</v>
      </c>
      <c r="AC804" s="255" t="s">
        <v>7815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197">
        <v>801</v>
      </c>
      <c r="B805" s="197" t="s">
        <v>4396</v>
      </c>
      <c r="C805" s="207" t="s">
        <v>4427</v>
      </c>
      <c r="D805" s="207">
        <v>1</v>
      </c>
      <c r="E805" s="207" t="s">
        <v>4398</v>
      </c>
      <c r="F805" s="214" t="s">
        <v>7816</v>
      </c>
      <c r="G805" s="219" t="s">
        <v>4400</v>
      </c>
      <c r="H805" s="219" t="s">
        <v>4401</v>
      </c>
      <c r="I805" s="217" t="s">
        <v>4402</v>
      </c>
      <c r="J805" s="255" t="s">
        <v>7817</v>
      </c>
      <c r="K805" s="255" t="s">
        <v>7818</v>
      </c>
      <c r="L805" s="255" t="s">
        <v>7819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46091</v>
      </c>
      <c r="Y805" s="203"/>
      <c r="Z805" s="219"/>
      <c r="AA805" s="255" t="s">
        <v>7817</v>
      </c>
      <c r="AB805" s="255" t="s">
        <v>7818</v>
      </c>
      <c r="AC805" s="255" t="s">
        <v>7819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802</v>
      </c>
      <c r="B806" s="197" t="s">
        <v>4396</v>
      </c>
      <c r="C806" s="207" t="s">
        <v>4427</v>
      </c>
      <c r="D806" s="207">
        <v>1</v>
      </c>
      <c r="E806" s="207" t="s">
        <v>4398</v>
      </c>
      <c r="F806" s="214" t="s">
        <v>7820</v>
      </c>
      <c r="G806" s="207" t="s">
        <v>4400</v>
      </c>
      <c r="H806" s="207" t="s">
        <v>4401</v>
      </c>
      <c r="I806" s="217" t="s">
        <v>4402</v>
      </c>
      <c r="J806" s="255" t="s">
        <v>7821</v>
      </c>
      <c r="K806" s="255" t="s">
        <v>4440</v>
      </c>
      <c r="L806" s="255" t="s">
        <v>7822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46091</v>
      </c>
      <c r="Y806" s="203"/>
      <c r="Z806" s="219"/>
      <c r="AA806" s="255" t="s">
        <v>7821</v>
      </c>
      <c r="AB806" s="255" t="s">
        <v>4440</v>
      </c>
      <c r="AC806" s="255" t="s">
        <v>7822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803</v>
      </c>
      <c r="B807" s="197" t="s">
        <v>4396</v>
      </c>
      <c r="C807" s="207" t="s">
        <v>4427</v>
      </c>
      <c r="D807" s="207">
        <v>1</v>
      </c>
      <c r="E807" s="207" t="s">
        <v>4398</v>
      </c>
      <c r="F807" s="214" t="s">
        <v>7823</v>
      </c>
      <c r="G807" s="207" t="s">
        <v>4400</v>
      </c>
      <c r="H807" s="207" t="s">
        <v>4401</v>
      </c>
      <c r="I807" s="217" t="s">
        <v>4402</v>
      </c>
      <c r="J807" s="215" t="s">
        <v>7824</v>
      </c>
      <c r="K807" s="215" t="s">
        <v>4398</v>
      </c>
      <c r="L807" s="215" t="s">
        <v>7825</v>
      </c>
      <c r="M807" s="207" t="s">
        <v>4405</v>
      </c>
      <c r="N807" s="207" t="s">
        <v>4432</v>
      </c>
      <c r="O807" s="202" t="s">
        <v>4409</v>
      </c>
      <c r="P807" s="202" t="s">
        <v>4409</v>
      </c>
      <c r="Q807" s="202" t="s">
        <v>4409</v>
      </c>
      <c r="R807" s="202" t="s">
        <v>4409</v>
      </c>
      <c r="S807" s="202" t="s">
        <v>4409</v>
      </c>
      <c r="T807" s="202" t="s">
        <v>4409</v>
      </c>
      <c r="U807" s="202" t="s">
        <v>4409</v>
      </c>
      <c r="V807" s="202" t="s">
        <v>4409</v>
      </c>
      <c r="W807" s="202" t="s">
        <v>4409</v>
      </c>
      <c r="X807" s="202" t="s">
        <v>4409</v>
      </c>
      <c r="Y807" s="202"/>
      <c r="Z807" s="202"/>
      <c r="AA807" s="215" t="s">
        <v>7824</v>
      </c>
      <c r="AB807" s="215" t="s">
        <v>4398</v>
      </c>
      <c r="AC807" s="215" t="s">
        <v>7825</v>
      </c>
      <c r="AD807" s="207" t="s">
        <v>4402</v>
      </c>
      <c r="AE807" s="217" t="s">
        <v>4405</v>
      </c>
      <c r="AF807" s="218">
        <v>4763.37</v>
      </c>
      <c r="AG807" s="218">
        <v>34763.370000000003</v>
      </c>
      <c r="AH807" s="207" t="s">
        <v>4433</v>
      </c>
      <c r="AI807" s="214" t="s">
        <v>4411</v>
      </c>
      <c r="AJ807" s="207">
        <v>153982716</v>
      </c>
      <c r="AK807" s="316">
        <v>46129</v>
      </c>
      <c r="AL807" s="316">
        <v>46129</v>
      </c>
      <c r="AM807" s="316">
        <v>46129</v>
      </c>
      <c r="AN807" s="316">
        <v>46129</v>
      </c>
      <c r="AO807" s="316">
        <v>46129</v>
      </c>
      <c r="AP807" s="316">
        <v>46129</v>
      </c>
      <c r="AQ807" s="314"/>
      <c r="AR807" s="315" t="str">
        <f t="shared" si="56"/>
        <v>FINALIZADO</v>
      </c>
      <c r="AS807" s="207" t="s">
        <v>4423</v>
      </c>
      <c r="AT807" s="207"/>
      <c r="AU807" s="263" t="s">
        <v>7826</v>
      </c>
      <c r="AV807" s="250" t="s">
        <v>4425</v>
      </c>
      <c r="AW807" s="207" t="s">
        <v>4425</v>
      </c>
      <c r="AX807" s="207" t="s">
        <v>4425</v>
      </c>
      <c r="AY807" s="219" t="s">
        <v>4425</v>
      </c>
      <c r="AZ807" s="202">
        <v>46226</v>
      </c>
      <c r="BA807" s="219" t="s">
        <v>4425</v>
      </c>
      <c r="BB807" s="219" t="s">
        <v>4425</v>
      </c>
      <c r="BC807" s="202">
        <v>46232</v>
      </c>
      <c r="BD807" s="226">
        <v>46232</v>
      </c>
      <c r="BE807" s="257" t="s">
        <v>4435</v>
      </c>
      <c r="BF807" s="257" t="s">
        <v>4436</v>
      </c>
      <c r="BG807" s="219" t="s">
        <v>4425</v>
      </c>
      <c r="BH807" s="321">
        <f t="shared" si="53"/>
        <v>103</v>
      </c>
      <c r="BI807" s="98" t="str">
        <f t="shared" si="54"/>
        <v>INDENIZAÇÃO</v>
      </c>
      <c r="BJ807" s="98" t="str">
        <f t="shared" si="55"/>
        <v>NÃO</v>
      </c>
      <c r="BK807" s="219" t="s">
        <v>4437</v>
      </c>
      <c r="BL807" s="219" t="s">
        <v>4437</v>
      </c>
      <c r="BM807" s="219" t="s">
        <v>4437</v>
      </c>
      <c r="BN807" s="257" t="s">
        <v>5732</v>
      </c>
      <c r="BO807" s="257"/>
      <c r="BP807" s="257"/>
      <c r="BQ807" s="257"/>
      <c r="BR807" s="258"/>
      <c r="BS807" s="223"/>
    </row>
    <row r="808" spans="1:71" ht="27" hidden="1" customHeight="1">
      <c r="A808" s="207">
        <v>804</v>
      </c>
      <c r="B808" s="197" t="s">
        <v>4396</v>
      </c>
      <c r="C808" s="207" t="s">
        <v>4427</v>
      </c>
      <c r="D808" s="207">
        <v>1</v>
      </c>
      <c r="E808" s="207" t="s">
        <v>4398</v>
      </c>
      <c r="F808" s="214" t="s">
        <v>7827</v>
      </c>
      <c r="G808" s="219" t="s">
        <v>4400</v>
      </c>
      <c r="H808" s="219" t="s">
        <v>4401</v>
      </c>
      <c r="I808" s="217" t="s">
        <v>4402</v>
      </c>
      <c r="J808" s="255" t="s">
        <v>7828</v>
      </c>
      <c r="K808" s="220" t="s">
        <v>7829</v>
      </c>
      <c r="L808" s="220" t="s">
        <v>7830</v>
      </c>
      <c r="M808" s="219" t="s">
        <v>4405</v>
      </c>
      <c r="N808" s="219" t="s">
        <v>4432</v>
      </c>
      <c r="O808" s="202" t="s">
        <v>4409</v>
      </c>
      <c r="P808" s="202" t="s">
        <v>4409</v>
      </c>
      <c r="Q808" s="202" t="s">
        <v>4409</v>
      </c>
      <c r="R808" s="202" t="s">
        <v>4409</v>
      </c>
      <c r="S808" s="202" t="s">
        <v>4409</v>
      </c>
      <c r="T808" s="202" t="s">
        <v>4409</v>
      </c>
      <c r="U808" s="202" t="s">
        <v>4409</v>
      </c>
      <c r="V808" s="202" t="s">
        <v>4409</v>
      </c>
      <c r="W808" s="202" t="s">
        <v>4409</v>
      </c>
      <c r="X808" s="202" t="s">
        <v>4409</v>
      </c>
      <c r="Y808" s="202"/>
      <c r="Z808" s="202"/>
      <c r="AA808" s="255" t="s">
        <v>7828</v>
      </c>
      <c r="AB808" s="220" t="s">
        <v>7829</v>
      </c>
      <c r="AC808" s="220" t="s">
        <v>7830</v>
      </c>
      <c r="AD808" s="207" t="s">
        <v>4402</v>
      </c>
      <c r="AE808" s="219" t="s">
        <v>4405</v>
      </c>
      <c r="AF808" s="218">
        <v>2809.84</v>
      </c>
      <c r="AG808" s="218">
        <v>32809.839999999997</v>
      </c>
      <c r="AH808" s="207" t="s">
        <v>4433</v>
      </c>
      <c r="AI808" s="214" t="s">
        <v>4411</v>
      </c>
      <c r="AJ808" s="207">
        <v>153982826</v>
      </c>
      <c r="AK808" s="317">
        <v>46129</v>
      </c>
      <c r="AL808" s="317">
        <v>46129</v>
      </c>
      <c r="AM808" s="317">
        <v>46129</v>
      </c>
      <c r="AN808" s="317">
        <v>46129</v>
      </c>
      <c r="AO808" s="317">
        <v>46129</v>
      </c>
      <c r="AP808" s="317">
        <v>46129</v>
      </c>
      <c r="AQ808" s="314"/>
      <c r="AR808" s="315" t="str">
        <f t="shared" si="56"/>
        <v>FINALIZADO</v>
      </c>
      <c r="AS808" s="207" t="s">
        <v>4423</v>
      </c>
      <c r="AT808" s="219"/>
      <c r="AU808" s="263" t="s">
        <v>7831</v>
      </c>
      <c r="AV808" s="250" t="s">
        <v>4425</v>
      </c>
      <c r="AW808" s="207" t="s">
        <v>4425</v>
      </c>
      <c r="AX808" s="207" t="s">
        <v>4425</v>
      </c>
      <c r="AY808" s="219" t="s">
        <v>4425</v>
      </c>
      <c r="AZ808" s="202">
        <v>46226</v>
      </c>
      <c r="BA808" s="219" t="s">
        <v>4425</v>
      </c>
      <c r="BB808" s="219" t="s">
        <v>4425</v>
      </c>
      <c r="BC808" s="202">
        <v>46232</v>
      </c>
      <c r="BD808" s="226">
        <v>46232</v>
      </c>
      <c r="BE808" s="257" t="s">
        <v>4435</v>
      </c>
      <c r="BF808" s="257" t="s">
        <v>4436</v>
      </c>
      <c r="BG808" s="219" t="s">
        <v>4425</v>
      </c>
      <c r="BH808" s="321">
        <f t="shared" si="53"/>
        <v>103</v>
      </c>
      <c r="BI808" s="98" t="str">
        <f t="shared" si="54"/>
        <v>INDENIZAÇÃO</v>
      </c>
      <c r="BJ808" s="98" t="str">
        <f t="shared" si="55"/>
        <v>NÃO</v>
      </c>
      <c r="BK808" s="219" t="s">
        <v>4437</v>
      </c>
      <c r="BL808" s="219" t="s">
        <v>4437</v>
      </c>
      <c r="BM808" s="219" t="s">
        <v>4437</v>
      </c>
      <c r="BN808" s="257" t="s">
        <v>5732</v>
      </c>
      <c r="BO808" s="257"/>
      <c r="BP808" s="257"/>
      <c r="BQ808" s="257"/>
      <c r="BR808" s="258"/>
      <c r="BS808" s="223"/>
    </row>
    <row r="809" spans="1:71" ht="27" hidden="1" customHeight="1">
      <c r="A809" s="197">
        <v>805</v>
      </c>
      <c r="B809" s="197"/>
      <c r="C809" s="219"/>
      <c r="D809" s="219"/>
      <c r="E809" s="219"/>
      <c r="F809" s="214"/>
      <c r="G809" s="219"/>
      <c r="H809" s="219"/>
      <c r="I809" s="233"/>
      <c r="J809" s="255"/>
      <c r="K809" s="220"/>
      <c r="L809" s="220"/>
      <c r="M809" s="219"/>
      <c r="N809" s="219"/>
      <c r="O809" s="203"/>
      <c r="P809" s="203"/>
      <c r="Q809" s="203"/>
      <c r="R809" s="203"/>
      <c r="S809" s="203"/>
      <c r="T809" s="203"/>
      <c r="U809" s="203"/>
      <c r="V809" s="203"/>
      <c r="W809" s="279"/>
      <c r="X809" s="203"/>
      <c r="Y809" s="203"/>
      <c r="Z809" s="219"/>
      <c r="AA809" s="255"/>
      <c r="AB809" s="220"/>
      <c r="AC809" s="220"/>
      <c r="AD809" s="233"/>
      <c r="AE809" s="219"/>
      <c r="AF809" s="218"/>
      <c r="AG809" s="218"/>
      <c r="AH809" s="207"/>
      <c r="AI809" s="214" t="s">
        <v>4411</v>
      </c>
      <c r="AJ809" s="207"/>
      <c r="AK809" s="313"/>
      <c r="AL809" s="313"/>
      <c r="AM809" s="313"/>
      <c r="AN809" s="313"/>
      <c r="AO809" s="313"/>
      <c r="AP809" s="313"/>
      <c r="AQ809" s="314"/>
      <c r="AR809" s="315" t="str">
        <f t="shared" ref="AR809:AR830" si="57">IF(AQ809="SIM","AGUARDANDO CORREÇÃO",IF(AP809&lt;&gt;"","FINALIZADO",IF(AO809&lt;&gt;"","AGUARDANDO ENVIO DTS",IF(AN809&lt;&gt;"","AGUARDANDO ASSINATURA GAB",IF(AM809&lt;&gt;"","AGUARDANDO ASSINATURA CTS",IF(AL809&lt;&gt;"","AGUARDANDO ENVIO ASSINATURA CTS",IF(AK809&lt;&gt;"","AGUARDANDO CONFERÊNCIA","")))))))</f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INDENIZAÇÃO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197">
        <v>806</v>
      </c>
      <c r="B810" s="197"/>
      <c r="C810" s="219"/>
      <c r="D810" s="219"/>
      <c r="E810" s="219"/>
      <c r="F810" s="214"/>
      <c r="G810" s="219"/>
      <c r="H810" s="219"/>
      <c r="I810" s="233"/>
      <c r="J810" s="255"/>
      <c r="K810" s="220"/>
      <c r="L810" s="220"/>
      <c r="M810" s="219"/>
      <c r="N810" s="219"/>
      <c r="O810" s="203"/>
      <c r="P810" s="203"/>
      <c r="Q810" s="203"/>
      <c r="R810" s="203"/>
      <c r="S810" s="203"/>
      <c r="T810" s="203"/>
      <c r="U810" s="203"/>
      <c r="V810" s="203"/>
      <c r="W810" s="279"/>
      <c r="X810" s="203"/>
      <c r="Y810" s="203"/>
      <c r="Z810" s="219"/>
      <c r="AA810" s="255"/>
      <c r="AB810" s="220"/>
      <c r="AC810" s="220"/>
      <c r="AD810" s="233"/>
      <c r="AE810" s="219"/>
      <c r="AF810" s="218"/>
      <c r="AG810" s="218"/>
      <c r="AH810" s="207"/>
      <c r="AI810" s="214" t="s">
        <v>4411</v>
      </c>
      <c r="AJ810" s="207"/>
      <c r="AK810" s="313"/>
      <c r="AL810" s="313"/>
      <c r="AM810" s="313"/>
      <c r="AN810" s="313"/>
      <c r="AO810" s="313"/>
      <c r="AP810" s="313"/>
      <c r="AQ810" s="314"/>
      <c r="AR810" s="315" t="str">
        <f t="shared" si="57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INDENIZAÇÃO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807</v>
      </c>
      <c r="B811" s="197"/>
      <c r="C811" s="219"/>
      <c r="D811" s="219"/>
      <c r="E811" s="219"/>
      <c r="F811" s="214"/>
      <c r="G811" s="219"/>
      <c r="H811" s="219"/>
      <c r="I811" s="233"/>
      <c r="J811" s="255"/>
      <c r="K811" s="220"/>
      <c r="L811" s="220"/>
      <c r="M811" s="219"/>
      <c r="N811" s="219"/>
      <c r="O811" s="203"/>
      <c r="P811" s="203"/>
      <c r="Q811" s="203"/>
      <c r="R811" s="203"/>
      <c r="S811" s="203"/>
      <c r="T811" s="203"/>
      <c r="U811" s="203"/>
      <c r="V811" s="203"/>
      <c r="W811" s="279"/>
      <c r="X811" s="203"/>
      <c r="Y811" s="203"/>
      <c r="Z811" s="219"/>
      <c r="AA811" s="255"/>
      <c r="AB811" s="220"/>
      <c r="AC811" s="220"/>
      <c r="AD811" s="233"/>
      <c r="AE811" s="219"/>
      <c r="AF811" s="218"/>
      <c r="AG811" s="218"/>
      <c r="AH811" s="207"/>
      <c r="AI811" s="214" t="s">
        <v>4411</v>
      </c>
      <c r="AJ811" s="207"/>
      <c r="AK811" s="313"/>
      <c r="AL811" s="313"/>
      <c r="AM811" s="313"/>
      <c r="AN811" s="313"/>
      <c r="AO811" s="313"/>
      <c r="AP811" s="313"/>
      <c r="AQ811" s="314"/>
      <c r="AR811" s="315" t="str">
        <f t="shared" si="57"/>
        <v/>
      </c>
      <c r="AS811" s="207"/>
      <c r="AT811" s="219"/>
      <c r="AU811" s="225"/>
      <c r="AV811" s="219"/>
      <c r="AW811" s="219"/>
      <c r="AX811" s="219"/>
      <c r="AY811" s="219"/>
      <c r="AZ811" s="219"/>
      <c r="BA811" s="219"/>
      <c r="BB811" s="219"/>
      <c r="BC811" s="219"/>
      <c r="BD811" s="208"/>
      <c r="BE811" s="203"/>
      <c r="BF811" s="219"/>
      <c r="BG811" s="219"/>
      <c r="BH811" s="321" t="str">
        <f t="shared" si="53"/>
        <v/>
      </c>
      <c r="BI811" s="98" t="str">
        <f t="shared" si="54"/>
        <v>INDENIZAÇÃO</v>
      </c>
      <c r="BJ811" s="98" t="str">
        <f t="shared" si="55"/>
        <v>NÃO</v>
      </c>
      <c r="BK811" s="219"/>
      <c r="BL811" s="221"/>
      <c r="BM811" s="221"/>
      <c r="BN811" s="219"/>
      <c r="BO811" s="219"/>
      <c r="BP811" s="219"/>
      <c r="BQ811" s="219"/>
      <c r="BR811" s="222"/>
    </row>
    <row r="812" spans="1:71" ht="27" hidden="1" customHeight="1">
      <c r="A812" s="207">
        <v>808</v>
      </c>
      <c r="B812" s="197"/>
      <c r="C812" s="219"/>
      <c r="D812" s="219"/>
      <c r="E812" s="219"/>
      <c r="F812" s="214"/>
      <c r="G812" s="219"/>
      <c r="H812" s="219"/>
      <c r="I812" s="233"/>
      <c r="J812" s="255"/>
      <c r="K812" s="220"/>
      <c r="L812" s="220"/>
      <c r="M812" s="219"/>
      <c r="N812" s="219"/>
      <c r="O812" s="203"/>
      <c r="P812" s="203"/>
      <c r="Q812" s="203"/>
      <c r="R812" s="203"/>
      <c r="S812" s="203"/>
      <c r="T812" s="203"/>
      <c r="U812" s="203"/>
      <c r="V812" s="203"/>
      <c r="W812" s="279"/>
      <c r="X812" s="203"/>
      <c r="Y812" s="203"/>
      <c r="Z812" s="219"/>
      <c r="AA812" s="255"/>
      <c r="AB812" s="220"/>
      <c r="AC812" s="220"/>
      <c r="AD812" s="233"/>
      <c r="AE812" s="219"/>
      <c r="AF812" s="218"/>
      <c r="AG812" s="218"/>
      <c r="AH812" s="207"/>
      <c r="AI812" s="214" t="s">
        <v>4411</v>
      </c>
      <c r="AJ812" s="207"/>
      <c r="AK812" s="313"/>
      <c r="AL812" s="313"/>
      <c r="AM812" s="313"/>
      <c r="AN812" s="313"/>
      <c r="AO812" s="313"/>
      <c r="AP812" s="313"/>
      <c r="AQ812" s="314"/>
      <c r="AR812" s="315" t="str">
        <f t="shared" si="57"/>
        <v/>
      </c>
      <c r="AS812" s="207"/>
      <c r="AT812" s="219"/>
      <c r="AU812" s="225"/>
      <c r="AV812" s="219"/>
      <c r="AW812" s="219"/>
      <c r="AX812" s="219"/>
      <c r="AY812" s="219"/>
      <c r="AZ812" s="219"/>
      <c r="BA812" s="219"/>
      <c r="BB812" s="219"/>
      <c r="BC812" s="219"/>
      <c r="BD812" s="208"/>
      <c r="BE812" s="203"/>
      <c r="BF812" s="219"/>
      <c r="BG812" s="219"/>
      <c r="BH812" s="321" t="str">
        <f t="shared" si="53"/>
        <v/>
      </c>
      <c r="BI812" s="98" t="str">
        <f t="shared" si="54"/>
        <v>INDENIZAÇÃO</v>
      </c>
      <c r="BJ812" s="98" t="str">
        <f t="shared" si="55"/>
        <v>NÃO</v>
      </c>
      <c r="BK812" s="219"/>
      <c r="BL812" s="221"/>
      <c r="BM812" s="221"/>
      <c r="BN812" s="219"/>
      <c r="BO812" s="219"/>
      <c r="BP812" s="219"/>
      <c r="BQ812" s="219"/>
      <c r="BR812" s="222"/>
    </row>
    <row r="813" spans="1:71" ht="27" hidden="1" customHeight="1">
      <c r="A813" s="207">
        <v>809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si="57"/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810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197">
        <v>811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812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813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207">
        <v>814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815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197">
        <v>816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817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818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207">
        <v>819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820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197">
        <v>821</v>
      </c>
      <c r="B825" s="197"/>
      <c r="J825" s="167"/>
      <c r="Y825" s="166"/>
      <c r="AF825" s="218"/>
      <c r="AG825" s="218"/>
      <c r="AH825" s="197"/>
      <c r="AI825" s="198" t="s">
        <v>4411</v>
      </c>
      <c r="AJ825" s="19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197"/>
      <c r="AU825" s="225"/>
      <c r="BD825" s="208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</row>
    <row r="826" spans="1:70" ht="27" hidden="1" customHeight="1">
      <c r="A826" s="207">
        <v>822</v>
      </c>
      <c r="B826" s="197"/>
      <c r="J826" s="167"/>
      <c r="Y826" s="166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U826" s="225"/>
      <c r="BD826" s="208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</row>
    <row r="827" spans="1:70" ht="27" hidden="1" customHeight="1">
      <c r="A827" s="207">
        <v>823</v>
      </c>
      <c r="B827" s="197"/>
      <c r="J827" s="167"/>
      <c r="Y827" s="166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U827" s="225"/>
      <c r="BD827" s="208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</row>
    <row r="828" spans="1:70" ht="27" hidden="1" customHeight="1">
      <c r="A828" s="207">
        <v>824</v>
      </c>
      <c r="B828" s="197"/>
      <c r="J828" s="167"/>
      <c r="Y828" s="166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U828" s="225"/>
      <c r="BD828" s="208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</row>
    <row r="829" spans="1:70" ht="27" hidden="1" customHeight="1">
      <c r="A829" s="197">
        <v>825</v>
      </c>
      <c r="B829" s="197"/>
      <c r="J829" s="167"/>
      <c r="Y829" s="166"/>
      <c r="AF829" s="218"/>
      <c r="AG829" s="218"/>
      <c r="AH829" s="207"/>
      <c r="AI829" s="214" t="s">
        <v>4411</v>
      </c>
      <c r="AJ829" s="20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20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197">
        <v>826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207">
        <v>827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ref="AR831:AR894" si="58">IF(AQ831="SIM","AGUARDANDO CORREÇÃO",IF(AP831&lt;&gt;"","FINALIZADO",IF(AO831&lt;&gt;"","AGUARDANDO ENVIO DTS",IF(AN831&lt;&gt;"","AGUARDANDO ASSINATURA GAB",IF(AM831&lt;&gt;"","AGUARDANDO ASSINATURA CTS",IF(AL831&lt;&gt;"","AGUARDANDO ENVIO ASSINATURA CTS",IF(AK831&lt;&gt;"","AGUARDANDO CONFERÊNCIA","")))))))</f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828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8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207">
        <v>829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8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197">
        <v>830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8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197">
        <v>831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si="58"/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207">
        <v>832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833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ref="BH837:BH900" si="59">IFERROR(IF(BD837-KI837=0,"",BD837-AK837),"")</f>
        <v/>
      </c>
      <c r="BI837" s="98" t="str">
        <f t="shared" ref="BI837:BI900" si="60">IF(AND(AH837&lt;&gt;"SIM",AH837="UH"),"AA","INDENIZAÇÃO")</f>
        <v>INDENIZAÇÃO</v>
      </c>
      <c r="BJ837" s="98" t="str">
        <f t="shared" ref="BJ837:BJ900" si="61">IF(AND(BD837&lt;&gt;"AGUARDANDO",BD837&lt;&gt;"",N837="AUXÍLIO ALUGUEL ATÉ INDENIZAÇÃO"),"SIM","NÃO")</f>
        <v>NÃO</v>
      </c>
    </row>
    <row r="838" spans="1:62" ht="27" hidden="1" customHeight="1">
      <c r="A838" s="207">
        <v>834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9"/>
        <v/>
      </c>
      <c r="BI838" s="98" t="str">
        <f t="shared" si="60"/>
        <v>INDENIZAÇÃO</v>
      </c>
      <c r="BJ838" s="98" t="str">
        <f t="shared" si="61"/>
        <v>NÃO</v>
      </c>
    </row>
    <row r="839" spans="1:62" ht="27" hidden="1" customHeight="1">
      <c r="A839" s="197">
        <v>835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9"/>
        <v/>
      </c>
      <c r="BI839" s="98" t="str">
        <f t="shared" si="60"/>
        <v>INDENIZAÇÃO</v>
      </c>
      <c r="BJ839" s="98" t="str">
        <f t="shared" si="61"/>
        <v>NÃO</v>
      </c>
    </row>
    <row r="840" spans="1:62" ht="27" hidden="1" customHeight="1">
      <c r="A840" s="197">
        <v>836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9"/>
        <v/>
      </c>
      <c r="BI840" s="98" t="str">
        <f t="shared" si="60"/>
        <v>INDENIZAÇÃO</v>
      </c>
      <c r="BJ840" s="98" t="str">
        <f t="shared" si="61"/>
        <v>NÃO</v>
      </c>
    </row>
    <row r="841" spans="1:62" ht="27" hidden="1" customHeight="1">
      <c r="A841" s="207">
        <v>837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si="59"/>
        <v/>
      </c>
      <c r="BI841" s="98" t="str">
        <f t="shared" si="60"/>
        <v>INDENIZAÇÃO</v>
      </c>
      <c r="BJ841" s="98" t="str">
        <f t="shared" si="61"/>
        <v>NÃO</v>
      </c>
    </row>
    <row r="842" spans="1:62" ht="27" hidden="1" customHeight="1">
      <c r="A842" s="207">
        <v>838</v>
      </c>
      <c r="B842" s="197"/>
      <c r="J842" s="167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207">
        <v>839</v>
      </c>
      <c r="B843" s="197"/>
      <c r="J843" s="167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197">
        <v>840</v>
      </c>
      <c r="B844" s="197"/>
      <c r="J844" s="167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197">
        <v>841</v>
      </c>
      <c r="B845" s="197"/>
      <c r="J845" s="167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207">
        <v>842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843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207">
        <v>844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197">
        <v>845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197">
        <v>846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207">
        <v>847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848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207">
        <v>849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197">
        <v>850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197">
        <v>851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207">
        <v>852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853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207">
        <v>854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197">
        <v>855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197">
        <v>856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207">
        <v>857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858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207">
        <v>859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197">
        <v>860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197">
        <v>861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207">
        <v>862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863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207">
        <v>864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197">
        <v>865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197">
        <v>866</v>
      </c>
      <c r="B870" s="197"/>
      <c r="AF870" s="218"/>
      <c r="AG870" s="218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U870" s="225"/>
      <c r="BC870" s="308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207">
        <v>867</v>
      </c>
      <c r="B871" s="197"/>
      <c r="AF871" s="218"/>
      <c r="AG871" s="218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U871" s="225"/>
      <c r="BC871" s="308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868</v>
      </c>
      <c r="B872" s="19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U872" s="225"/>
      <c r="BC872" s="308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207">
        <v>869</v>
      </c>
      <c r="B873" s="19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U873" s="225"/>
      <c r="BC873" s="308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197">
        <v>870</v>
      </c>
      <c r="B874" s="197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197">
        <v>871</v>
      </c>
      <c r="B875" s="197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207">
        <v>872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873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207">
        <v>874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C878" s="308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197">
        <v>875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197">
        <v>876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207">
        <v>877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878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207">
        <v>879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197">
        <v>880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197">
        <v>881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207">
        <v>882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883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207">
        <v>884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197">
        <v>885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197">
        <v>886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207">
        <v>887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888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207">
        <v>889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197">
        <v>890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197">
        <v>891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ref="AR895:AR958" si="62">IF(AQ895="SIM","AGUARDANDO CORREÇÃO",IF(AP895&lt;&gt;"","FINALIZADO",IF(AO895&lt;&gt;"","AGUARDANDO ENVIO DTS",IF(AN895&lt;&gt;"","AGUARDANDO ASSINATURA GAB",IF(AM895&lt;&gt;"","AGUARDANDO ASSINATURA CTS",IF(AL895&lt;&gt;"","AGUARDANDO ENVIO ASSINATURA CTS",IF(AK895&lt;&gt;"","AGUARDANDO CONFERÊNCIA","")))))))</f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207">
        <v>892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62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893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62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207">
        <v>894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62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197">
        <v>895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si="62"/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197">
        <v>896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207">
        <v>897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ref="BH901:BH964" si="63">IFERROR(IF(BD901-KI901=0,"",BD901-AK901),"")</f>
        <v/>
      </c>
      <c r="BI901" s="98" t="str">
        <f t="shared" ref="BI901:BI964" si="64">IF(AND(AH901&lt;&gt;"SIM",AH901="UH"),"AA","INDENIZAÇÃO")</f>
        <v>INDENIZAÇÃO</v>
      </c>
      <c r="BJ901" s="98" t="str">
        <f t="shared" ref="BJ901:BJ964" si="65">IF(AND(BD901&lt;&gt;"AGUARDANDO",BD901&lt;&gt;"",N901="AUXÍLIO ALUGUEL ATÉ INDENIZAÇÃO"),"SIM","NÃO")</f>
        <v>NÃO</v>
      </c>
    </row>
    <row r="902" spans="1:62" ht="27" hidden="1" customHeight="1">
      <c r="A902" s="207">
        <v>898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63"/>
        <v/>
      </c>
      <c r="BI902" s="98" t="str">
        <f t="shared" si="64"/>
        <v>INDENIZAÇÃO</v>
      </c>
      <c r="BJ902" s="98" t="str">
        <f t="shared" si="65"/>
        <v>NÃO</v>
      </c>
    </row>
    <row r="903" spans="1:62" ht="27" hidden="1" customHeight="1">
      <c r="A903" s="207">
        <v>899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63"/>
        <v/>
      </c>
      <c r="BI903" s="98" t="str">
        <f t="shared" si="64"/>
        <v>INDENIZAÇÃO</v>
      </c>
      <c r="BJ903" s="98" t="str">
        <f t="shared" si="65"/>
        <v>NÃO</v>
      </c>
    </row>
    <row r="904" spans="1:62" ht="27" hidden="1" customHeight="1">
      <c r="A904" s="197">
        <v>900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63"/>
        <v/>
      </c>
      <c r="BI904" s="98" t="str">
        <f t="shared" si="64"/>
        <v>INDENIZAÇÃO</v>
      </c>
      <c r="BJ904" s="98" t="str">
        <f t="shared" si="65"/>
        <v>NÃO</v>
      </c>
    </row>
    <row r="905" spans="1:62" ht="27" hidden="1" customHeight="1">
      <c r="A905" s="197">
        <v>901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si="63"/>
        <v/>
      </c>
      <c r="BI905" s="98" t="str">
        <f t="shared" si="64"/>
        <v>INDENIZAÇÃO</v>
      </c>
      <c r="BJ905" s="98" t="str">
        <f t="shared" si="65"/>
        <v>NÃO</v>
      </c>
    </row>
    <row r="906" spans="1:62" ht="27" hidden="1" customHeight="1">
      <c r="A906" s="207">
        <v>902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903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207">
        <v>904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197">
        <v>905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197">
        <v>906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207">
        <v>907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908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207">
        <v>909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197">
        <v>910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197">
        <v>911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207">
        <v>912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913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207">
        <v>914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197">
        <v>915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197">
        <v>916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207">
        <v>917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918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207">
        <v>919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197">
        <v>920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197">
        <v>921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207">
        <v>922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923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207">
        <v>924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197">
        <v>925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197">
        <v>926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207">
        <v>927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928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207">
        <v>929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197">
        <v>930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197">
        <v>931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207">
        <v>932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933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207">
        <v>934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197">
        <v>935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197">
        <v>936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207">
        <v>937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938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207">
        <v>939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197">
        <v>940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197">
        <v>941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207">
        <v>942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943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207">
        <v>944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197">
        <v>945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197">
        <v>946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207">
        <v>947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948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207">
        <v>949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197">
        <v>950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197">
        <v>951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207">
        <v>952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953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207">
        <v>954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197">
        <v>955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ref="AR959:AR1022" si="66">IF(AQ959="SIM","AGUARDANDO CORREÇÃO",IF(AP959&lt;&gt;"","FINALIZADO",IF(AO959&lt;&gt;"","AGUARDANDO ENVIO DTS",IF(AN959&lt;&gt;"","AGUARDANDO ASSINATURA GAB",IF(AM959&lt;&gt;"","AGUARDANDO ASSINATURA CTS",IF(AL959&lt;&gt;"","AGUARDANDO ENVIO ASSINATURA CTS",IF(AK959&lt;&gt;"","AGUARDANDO CONFERÊNCIA","")))))))</f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197">
        <v>956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6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207">
        <v>957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6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958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6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207">
        <v>959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si="66"/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197">
        <v>960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197">
        <v>961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ref="BH965:BH1028" si="67">IFERROR(IF(BD965-KI965=0,"",BD965-AK965),"")</f>
        <v/>
      </c>
      <c r="BI965" s="98" t="str">
        <f t="shared" ref="BI965:BI1028" si="68">IF(AND(AH965&lt;&gt;"SIM",AH965="UH"),"AA","INDENIZAÇÃO")</f>
        <v>INDENIZAÇÃO</v>
      </c>
      <c r="BJ965" s="98" t="str">
        <f t="shared" ref="BJ965:BJ1028" si="69">IF(AND(BD965&lt;&gt;"AGUARDANDO",BD965&lt;&gt;"",N965="AUXÍLIO ALUGUEL ATÉ INDENIZAÇÃO"),"SIM","NÃO")</f>
        <v>NÃO</v>
      </c>
    </row>
    <row r="966" spans="1:62" ht="27" hidden="1" customHeight="1">
      <c r="A966" s="207">
        <v>962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7"/>
        <v/>
      </c>
      <c r="BI966" s="98" t="str">
        <f t="shared" si="68"/>
        <v>INDENIZAÇÃO</v>
      </c>
      <c r="BJ966" s="98" t="str">
        <f t="shared" si="69"/>
        <v>NÃO</v>
      </c>
    </row>
    <row r="967" spans="1:62" ht="27" hidden="1" customHeight="1">
      <c r="A967" s="207">
        <v>963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7"/>
        <v/>
      </c>
      <c r="BI967" s="98" t="str">
        <f t="shared" si="68"/>
        <v>INDENIZAÇÃO</v>
      </c>
      <c r="BJ967" s="98" t="str">
        <f t="shared" si="69"/>
        <v>NÃO</v>
      </c>
    </row>
    <row r="968" spans="1:62" ht="27" hidden="1" customHeight="1">
      <c r="A968" s="207">
        <v>964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7"/>
        <v/>
      </c>
      <c r="BI968" s="98" t="str">
        <f t="shared" si="68"/>
        <v>INDENIZAÇÃO</v>
      </c>
      <c r="BJ968" s="98" t="str">
        <f t="shared" si="69"/>
        <v>NÃO</v>
      </c>
    </row>
    <row r="969" spans="1:62" ht="27" hidden="1" customHeight="1">
      <c r="A969" s="197">
        <v>965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si="67"/>
        <v/>
      </c>
      <c r="BI969" s="98" t="str">
        <f t="shared" si="68"/>
        <v>INDENIZAÇÃO</v>
      </c>
      <c r="BJ969" s="98" t="str">
        <f t="shared" si="69"/>
        <v>NÃO</v>
      </c>
    </row>
    <row r="970" spans="1:62" ht="27" hidden="1" customHeight="1">
      <c r="A970" s="197">
        <v>966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207">
        <v>967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968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207">
        <v>969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197">
        <v>970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197">
        <v>971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207">
        <v>972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973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207">
        <v>974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197">
        <v>975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197">
        <v>976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207">
        <v>977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978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207">
        <v>979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197">
        <v>980</v>
      </c>
      <c r="B984" s="197"/>
      <c r="W984" s="202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197">
        <v>981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207">
        <v>982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983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207">
        <v>984</v>
      </c>
      <c r="B988" s="197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D988" s="166" t="s">
        <v>1124</v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197">
        <v>985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197">
        <v>986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207">
        <v>987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988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207">
        <v>989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197">
        <v>990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197">
        <v>991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207">
        <v>992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993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207">
        <v>994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197">
        <v>995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197">
        <v>996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207">
        <v>997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998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207">
        <v>999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197">
        <v>1000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197">
        <v>1001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207">
        <v>1002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1003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207">
        <v>1004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197">
        <v>1005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197">
        <v>1006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207">
        <v>1007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1008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207">
        <v>1009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197">
        <v>1010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197">
        <v>1011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207">
        <v>1012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1013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207">
        <v>1014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197">
        <v>1015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197">
        <v>1016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207">
        <v>1017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1018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207">
        <v>1019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ref="AR1023:AR1086" si="70">IF(AQ1023="SIM","AGUARDANDO CORREÇÃO",IF(AP1023&lt;&gt;"","FINALIZADO",IF(AO1023&lt;&gt;"","AGUARDANDO ENVIO DTS",IF(AN1023&lt;&gt;"","AGUARDANDO ASSINATURA GAB",IF(AM1023&lt;&gt;"","AGUARDANDO ASSINATURA CTS",IF(AL1023&lt;&gt;"","AGUARDANDO ENVIO ASSINATURA CTS",IF(AK1023&lt;&gt;"","AGUARDANDO CONFERÊNCIA","")))))))</f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197">
        <v>1020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70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197">
        <v>1021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70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207">
        <v>1022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70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1023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si="70"/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207">
        <v>1024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197">
        <v>1025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ref="BH1029:BH1092" si="71">IFERROR(IF(BD1029-KI1029=0,"",BD1029-AK1029),"")</f>
        <v/>
      </c>
      <c r="BI1029" s="98" t="str">
        <f t="shared" ref="BI1029:BI1092" si="72">IF(AND(AH1029&lt;&gt;"SIM",AH1029="UH"),"AA","INDENIZAÇÃO")</f>
        <v>INDENIZAÇÃO</v>
      </c>
      <c r="BJ1029" s="98" t="str">
        <f t="shared" ref="BJ1029:BJ1092" si="73">IF(AND(BD1029&lt;&gt;"AGUARDANDO",BD1029&lt;&gt;"",N1029="AUXÍLIO ALUGUEL ATÉ INDENIZAÇÃO"),"SIM","NÃO")</f>
        <v>NÃO</v>
      </c>
    </row>
    <row r="1030" spans="1:62" ht="27" hidden="1" customHeight="1">
      <c r="A1030" s="197">
        <v>1026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71"/>
        <v/>
      </c>
      <c r="BI1030" s="98" t="str">
        <f t="shared" si="72"/>
        <v>INDENIZAÇÃO</v>
      </c>
      <c r="BJ1030" s="98" t="str">
        <f t="shared" si="73"/>
        <v>NÃO</v>
      </c>
    </row>
    <row r="1031" spans="1:62" ht="27" hidden="1" customHeight="1">
      <c r="A1031" s="207">
        <v>1027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71"/>
        <v/>
      </c>
      <c r="BI1031" s="98" t="str">
        <f t="shared" si="72"/>
        <v>INDENIZAÇÃO</v>
      </c>
      <c r="BJ1031" s="98" t="str">
        <f t="shared" si="73"/>
        <v>NÃO</v>
      </c>
    </row>
    <row r="1032" spans="1:62" ht="27" hidden="1" customHeight="1">
      <c r="A1032" s="207">
        <v>1028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71"/>
        <v/>
      </c>
      <c r="BI1032" s="98" t="str">
        <f t="shared" si="72"/>
        <v>INDENIZAÇÃO</v>
      </c>
      <c r="BJ1032" s="98" t="str">
        <f t="shared" si="73"/>
        <v>NÃO</v>
      </c>
    </row>
    <row r="1033" spans="1:62" ht="27" hidden="1" customHeight="1">
      <c r="A1033" s="207">
        <v>1029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si="71"/>
        <v/>
      </c>
      <c r="BI1033" s="98" t="str">
        <f t="shared" si="72"/>
        <v>INDENIZAÇÃO</v>
      </c>
      <c r="BJ1033" s="98" t="str">
        <f t="shared" si="73"/>
        <v>NÃO</v>
      </c>
    </row>
    <row r="1034" spans="1:62" ht="27" hidden="1" customHeight="1">
      <c r="A1034" s="197">
        <v>1030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197">
        <v>1031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207">
        <v>1032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1033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207">
        <v>1034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197">
        <v>1035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197">
        <v>1036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207">
        <v>1037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1038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207">
        <v>1039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197">
        <v>1040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197">
        <v>1041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207">
        <v>1042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1043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207">
        <v>1044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197">
        <v>1045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197">
        <v>1046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207">
        <v>1047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1048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207">
        <v>1049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197">
        <v>1050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197">
        <v>1051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207">
        <v>1052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1053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207">
        <v>1054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197">
        <v>1055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197">
        <v>1056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207">
        <v>1057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1058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207">
        <v>1059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197">
        <v>1060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197">
        <v>1061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207">
        <v>1062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1063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207">
        <v>1064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197">
        <v>1065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197">
        <v>1066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207">
        <v>1067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1068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207">
        <v>1069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197">
        <v>1070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197">
        <v>1071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207">
        <v>1072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1073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207">
        <v>1074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197">
        <v>1075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197">
        <v>1076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207">
        <v>1077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1078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207">
        <v>1079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197">
        <v>1080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197">
        <v>1081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207">
        <v>1082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1083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ref="AR1087:AR1150" si="74">IF(AQ1087="SIM","AGUARDANDO CORREÇÃO",IF(AP1087&lt;&gt;"","FINALIZADO",IF(AO1087&lt;&gt;"","AGUARDANDO ENVIO DTS",IF(AN1087&lt;&gt;"","AGUARDANDO ASSINATURA GAB",IF(AM1087&lt;&gt;"","AGUARDANDO ASSINATURA CTS",IF(AL1087&lt;&gt;"","AGUARDANDO ENVIO ASSINATURA CTS",IF(AK1087&lt;&gt;"","AGUARDANDO CONFERÊNCIA","")))))))</f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207">
        <v>1084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4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197">
        <v>1085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4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30" hidden="1" customHeight="1"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4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30" hidden="1" customHeight="1"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si="74"/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30" hidden="1" customHeight="1"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30" hidden="1" customHeight="1"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ref="BH1093:BH1156" si="75">IFERROR(IF(BD1093-KI1093=0,"",BD1093-AK1093),"")</f>
        <v/>
      </c>
      <c r="BI1093" s="98" t="str">
        <f t="shared" ref="BI1093:BI1156" si="76">IF(AND(AH1093&lt;&gt;"SIM",AH1093="UH"),"AA","INDENIZAÇÃO")</f>
        <v>INDENIZAÇÃO</v>
      </c>
      <c r="BJ1093" s="98" t="str">
        <f t="shared" ref="BJ1093:BJ1156" si="77">IF(AND(BD1093&lt;&gt;"AGUARDANDO",BD1093&lt;&gt;"",N1093="AUXÍLIO ALUGUEL ATÉ INDENIZAÇÃO"),"SIM","NÃO")</f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5"/>
        <v/>
      </c>
      <c r="BI1094" s="98" t="str">
        <f t="shared" si="76"/>
        <v>INDENIZAÇÃO</v>
      </c>
      <c r="BJ1094" s="98" t="str">
        <f t="shared" si="77"/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5"/>
        <v/>
      </c>
      <c r="BI1095" s="98" t="str">
        <f t="shared" si="76"/>
        <v>INDENIZAÇÃO</v>
      </c>
      <c r="BJ1095" s="98" t="str">
        <f t="shared" si="77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5"/>
        <v/>
      </c>
      <c r="BI1096" s="98" t="str">
        <f t="shared" si="76"/>
        <v>INDENIZAÇÃO</v>
      </c>
      <c r="BJ1096" s="98" t="str">
        <f t="shared" si="77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si="75"/>
        <v/>
      </c>
      <c r="BI1097" s="98" t="str">
        <f t="shared" si="76"/>
        <v>INDENIZAÇÃO</v>
      </c>
      <c r="BJ1097" s="98" t="str">
        <f t="shared" si="77"/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ref="AR1151:AR1214" si="78">IF(AQ1151="SIM","AGUARDANDO CORREÇÃO",IF(AP1151&lt;&gt;"","FINALIZADO",IF(AO1151&lt;&gt;"","AGUARDANDO ENVIO DTS",IF(AN1151&lt;&gt;"","AGUARDANDO ASSINATURA GAB",IF(AM1151&lt;&gt;"","AGUARDANDO ASSINATURA CTS",IF(AL1151&lt;&gt;"","AGUARDANDO ENVIO ASSINATURA CTS",IF(AK1151&lt;&gt;"","AGUARDANDO CONFERÊNCIA","")))))))</f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8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8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8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si="78"/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ref="BH1157:BH1220" si="79">IFERROR(IF(BD1157-KI1157=0,"",BD1157-AK1157),"")</f>
        <v/>
      </c>
      <c r="BI1157" s="98" t="str">
        <f t="shared" ref="BI1157:BI1179" si="80">IF(AND(AH1157&lt;&gt;"SIM",AH1157="UH"),"AA","INDENIZAÇÃO")</f>
        <v>INDENIZAÇÃO</v>
      </c>
      <c r="BJ1157" s="98" t="str">
        <f t="shared" ref="BJ1157:BJ1220" si="81">IF(AND(BD1157&lt;&gt;"AGUARDANDO",BD1157&lt;&gt;"",N1157="AUXÍLIO ALUGUEL ATÉ INDENIZAÇÃO"),"SIM","NÃO")</f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9"/>
        <v/>
      </c>
      <c r="BI1158" s="98" t="str">
        <f t="shared" si="80"/>
        <v>INDENIZAÇÃO</v>
      </c>
      <c r="BJ1158" s="98" t="str">
        <f t="shared" si="81"/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9"/>
        <v/>
      </c>
      <c r="BI1159" s="98" t="str">
        <f t="shared" si="80"/>
        <v>INDENIZAÇÃO</v>
      </c>
      <c r="BJ1159" s="98" t="str">
        <f t="shared" si="81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9"/>
        <v/>
      </c>
      <c r="BI1160" s="98" t="str">
        <f t="shared" si="80"/>
        <v>INDENIZAÇÃO</v>
      </c>
      <c r="BJ1160" s="98" t="str">
        <f t="shared" si="81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si="79"/>
        <v/>
      </c>
      <c r="BI1161" s="98" t="str">
        <f t="shared" si="80"/>
        <v>INDENIZAÇÃO</v>
      </c>
      <c r="BJ1161" s="98" t="str">
        <f t="shared" si="81"/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ref="AR1215:AR1278" si="82">IF(AQ1215="SIM","AGUARDANDO CORREÇÃO",IF(AP1215&lt;&gt;"","FINALIZADO",IF(AO1215&lt;&gt;"","AGUARDANDO ENVIO DTS",IF(AN1215&lt;&gt;"","AGUARDANDO ASSINATURA GAB",IF(AM1215&lt;&gt;"","AGUARDANDO ASSINATURA CTS",IF(AL1215&lt;&gt;"","AGUARDANDO ENVIO ASSINATURA CTS",IF(AK1215&lt;&gt;"","AGUARDANDO CONFERÊNCIA","")))))))</f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82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82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82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si="82"/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ref="BH1221:BH1260" si="83">IFERROR(IF(BD1221-KI1221=0,"",BD1221-AK1221),"")</f>
        <v/>
      </c>
      <c r="BJ1221" s="98" t="str">
        <f t="shared" ref="BJ1221:BJ1284" si="84">IF(AND(BD1221&lt;&gt;"AGUARDANDO",BD1221&lt;&gt;"",N1221="AUXÍLIO ALUGUEL ATÉ INDENIZAÇÃO"),"SIM","NÃO")</f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83"/>
        <v/>
      </c>
      <c r="BJ1222" s="98" t="str">
        <f t="shared" si="84"/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83"/>
        <v/>
      </c>
      <c r="BJ1223" s="98" t="str">
        <f t="shared" si="84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83"/>
        <v/>
      </c>
      <c r="BJ1224" s="98" t="str">
        <f t="shared" si="84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si="83"/>
        <v/>
      </c>
      <c r="BJ1225" s="98" t="str">
        <f t="shared" si="84"/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ref="BH1261:BH1324" si="85">IF(BD1261-KI1261=0,"",BD1261-AK1261)</f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5"/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5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5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si="85"/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ref="AR1279:AR1342" si="86">IF(AQ1279="SIM","AGUARDANDO CORREÇÃO",IF(AP1279&lt;&gt;"","FINALIZADO",IF(AO1279&lt;&gt;"","AGUARDANDO ENVIO DTS",IF(AN1279&lt;&gt;"","AGUARDANDO ASSINATURA GAB",IF(AM1279&lt;&gt;"","AGUARDANDO ASSINATURA CTS",IF(AL1279&lt;&gt;"","AGUARDANDO ENVIO ASSINATURA CTS",IF(AK1279&lt;&gt;"","AGUARDANDO CONFERÊNCIA","")))))))</f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6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6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6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si="86"/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ref="BJ1285:BJ1291" si="87">IF(AND(BD1285&lt;&gt;"AGUARDANDO",BD1285&lt;&gt;"",N1285="AUXÍLIO ALUGUEL ATÉ INDENIZAÇÃO"),"SIM","NÃO")</f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7"/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7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7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si="87"/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ref="BH1325:BH1388" si="88">IF(BD1325-KI1325=0,"",BD1325-AK1325)</f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8"/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8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8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si="88"/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ref="AR1343:AR1406" si="89">IF(AQ1343="SIM","AGUARDANDO CORREÇÃO",IF(AP1343&lt;&gt;"","FINALIZADO",IF(AO1343&lt;&gt;"","AGUARDANDO ENVIO DTS",IF(AN1343&lt;&gt;"","AGUARDANDO ASSINATURA GAB",IF(AM1343&lt;&gt;"","AGUARDANDO ASSINATURA CTS",IF(AL1343&lt;&gt;"","AGUARDANDO ENVIO ASSINATURA CTS",IF(AK1343&lt;&gt;"","AGUARDANDO CONFERÊNCIA","")))))))</f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9"/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9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9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si="89"/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ref="BH1389:BH1452" si="90">IF(BD1389-KI1389=0,"",BD1389-AK1389)</f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90"/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90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90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si="90"/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ref="AR1407:AR1470" si="91">IF(AQ1407="SIM","AGUARDANDO CORREÇÃO",IF(AP1407&lt;&gt;"","FINALIZADO",IF(AO1407&lt;&gt;"","AGUARDANDO ENVIO DTS",IF(AN1407&lt;&gt;"","AGUARDANDO ASSINATURA GAB",IF(AM1407&lt;&gt;"","AGUARDANDO ASSINATURA CTS",IF(AL1407&lt;&gt;"","AGUARDANDO ENVIO ASSINATURA CTS",IF(AK1407&lt;&gt;"","AGUARDANDO CONFERÊNCIA","")))))))</f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91"/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91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91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si="91"/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ref="BH1453:BH1516" si="92">IF(BD1453-KI1453=0,"",BD1453-AK1453)</f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2"/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2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2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si="92"/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ref="AR1471:AR1534" si="93">IF(AQ1471="SIM","AGUARDANDO CORREÇÃO",IF(AP1471&lt;&gt;"","FINALIZADO",IF(AO1471&lt;&gt;"","AGUARDANDO ENVIO DTS",IF(AN1471&lt;&gt;"","AGUARDANDO ASSINATURA GAB",IF(AM1471&lt;&gt;"","AGUARDANDO ASSINATURA CTS",IF(AL1471&lt;&gt;"","AGUARDANDO ENVIO ASSINATURA CTS",IF(AK1471&lt;&gt;"","AGUARDANDO CONFERÊNCIA","")))))))</f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3"/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3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3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si="93"/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ref="BH1517:BH1580" si="94">IF(BD1517-KI1517=0,"",BD1517-AK1517)</f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4"/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4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4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si="94"/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ref="AR1535:AR1598" si="95">IF(AQ1535="SIM","AGUARDANDO CORREÇÃO",IF(AP1535&lt;&gt;"","FINALIZADO",IF(AO1535&lt;&gt;"","AGUARDANDO ENVIO DTS",IF(AN1535&lt;&gt;"","AGUARDANDO ASSINATURA GAB",IF(AM1535&lt;&gt;"","AGUARDANDO ASSINATURA CTS",IF(AL1535&lt;&gt;"","AGUARDANDO ENVIO ASSINATURA CTS",IF(AK1535&lt;&gt;"","AGUARDANDO CONFERÊNCIA","")))))))</f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5"/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5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5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si="95"/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ref="BH1581:BH1644" si="96">IF(BD1581-KI1581=0,"",BD1581-AK1581)</f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6"/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6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6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si="96"/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ref="AR1599:AR1662" si="97">IF(AQ1599="SIM","AGUARDANDO CORREÇÃO",IF(AP1599&lt;&gt;"","FINALIZADO",IF(AO1599&lt;&gt;"","AGUARDANDO ENVIO DTS",IF(AN1599&lt;&gt;"","AGUARDANDO ASSINATURA GAB",IF(AM1599&lt;&gt;"","AGUARDANDO ASSINATURA CTS",IF(AL1599&lt;&gt;"","AGUARDANDO ENVIO ASSINATURA CTS",IF(AK1599&lt;&gt;"","AGUARDANDO CONFERÊNCIA","")))))))</f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7"/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7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7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si="97"/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ref="BH1645:BH1708" si="98">IF(BD1645-KI1645=0,"",BD1645-AK1645)</f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8"/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8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8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si="98"/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ref="AR1663:AR1726" si="99">IF(AQ1663="SIM","AGUARDANDO CORREÇÃO",IF(AP1663&lt;&gt;"","FINALIZADO",IF(AO1663&lt;&gt;"","AGUARDANDO ENVIO DTS",IF(AN1663&lt;&gt;"","AGUARDANDO ASSINATURA GAB",IF(AM1663&lt;&gt;"","AGUARDANDO ASSINATURA CTS",IF(AL1663&lt;&gt;"","AGUARDANDO ENVIO ASSINATURA CTS",IF(AK1663&lt;&gt;"","AGUARDANDO CONFERÊNCIA","")))))))</f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9"/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9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9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si="99"/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ref="BH1709:BH1754" si="100">IF(BD1709-KI1709=0,"",BD1709-AK1709)</f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100"/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100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100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si="100"/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ref="AR1727:AR1790" si="101">IF(AQ1727="SIM","AGUARDANDO CORREÇÃO",IF(AP1727&lt;&gt;"","FINALIZADO",IF(AO1727&lt;&gt;"","AGUARDANDO ENVIO DTS",IF(AN1727&lt;&gt;"","AGUARDANDO ASSINATURA GAB",IF(AM1727&lt;&gt;"","AGUARDANDO ASSINATURA CTS",IF(AL1727&lt;&gt;"","AGUARDANDO ENVIO ASSINATURA CTS",IF(AK1727&lt;&gt;"","AGUARDANDO CONFERÊNCIA","")))))))</f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101"/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101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101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si="101"/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ref="AR1791:AR1854" si="102">IF(AQ1791="SIM","AGUARDANDO CORREÇÃO",IF(AP1791&lt;&gt;"","FINALIZADO",IF(AO1791&lt;&gt;"","AGUARDANDO ENVIO DTS",IF(AN1791&lt;&gt;"","AGUARDANDO ASSINATURA GAB",IF(AM1791&lt;&gt;"","AGUARDANDO ASSINATURA CTS",IF(AL1791&lt;&gt;"","AGUARDANDO ENVIO ASSINATURA CTS",IF(AK1791&lt;&gt;"","AGUARDANDO CONFERÊNCIA","")))))))</f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2"/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2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2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si="102"/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ref="AR1855:AR1918" si="103">IF(AQ1855="SIM","AGUARDANDO CORREÇÃO",IF(AP1855&lt;&gt;"","FINALIZADO",IF(AO1855&lt;&gt;"","AGUARDANDO ENVIO DTS",IF(AN1855&lt;&gt;"","AGUARDANDO ASSINATURA GAB",IF(AM1855&lt;&gt;"","AGUARDANDO ASSINATURA CTS",IF(AL1855&lt;&gt;"","AGUARDANDO ENVIO ASSINATURA CTS",IF(AK1855&lt;&gt;"","AGUARDANDO CONFERÊNCIA","")))))))</f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3"/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3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3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si="103"/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ref="AR1919:AR1982" si="104">IF(AQ1919="SIM","AGUARDANDO CORREÇÃO",IF(AP1919&lt;&gt;"","FINALIZADO",IF(AO1919&lt;&gt;"","AGUARDANDO ENVIO DTS",IF(AN1919&lt;&gt;"","AGUARDANDO ASSINATURA GAB",IF(AM1919&lt;&gt;"","AGUARDANDO ASSINATURA CTS",IF(AL1919&lt;&gt;"","AGUARDANDO ENVIO ASSINATURA CTS",IF(AK1919&lt;&gt;"","AGUARDANDO CONFERÊNCIA","")))))))</f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4"/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4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4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si="104"/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ref="AR1983:AR2046" si="105">IF(AQ1983="SIM","AGUARDANDO CORREÇÃO",IF(AP1983&lt;&gt;"","FINALIZADO",IF(AO1983&lt;&gt;"","AGUARDANDO ENVIO DTS",IF(AN1983&lt;&gt;"","AGUARDANDO ASSINATURA GAB",IF(AM1983&lt;&gt;"","AGUARDANDO ASSINATURA CTS",IF(AL1983&lt;&gt;"","AGUARDANDO ENVIO ASSINATURA CTS",IF(AK1983&lt;&gt;"","AGUARDANDO CONFERÊNCIA","")))))))</f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5"/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5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5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si="105"/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ref="AR2047:AR2110" si="106">IF(AQ2047="SIM","AGUARDANDO CORREÇÃO",IF(AP2047&lt;&gt;"","FINALIZADO",IF(AO2047&lt;&gt;"","AGUARDANDO ENVIO DTS",IF(AN2047&lt;&gt;"","AGUARDANDO ASSINATURA GAB",IF(AM2047&lt;&gt;"","AGUARDANDO ASSINATURA CTS",IF(AL2047&lt;&gt;"","AGUARDANDO ENVIO ASSINATURA CTS",IF(AK2047&lt;&gt;"","AGUARDANDO CONFERÊNCIA","")))))))</f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6"/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6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6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si="106"/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ref="AR2111:AR2174" si="107">IF(AQ2111="SIM","AGUARDANDO CORREÇÃO",IF(AP2111&lt;&gt;"","FINALIZADO",IF(AO2111&lt;&gt;"","AGUARDANDO ENVIO DTS",IF(AN2111&lt;&gt;"","AGUARDANDO ASSINATURA GAB",IF(AM2111&lt;&gt;"","AGUARDANDO ASSINATURA CTS",IF(AL2111&lt;&gt;"","AGUARDANDO ENVIO ASSINATURA CTS",IF(AK2111&lt;&gt;"","AGUARDANDO CONFERÊNCIA","")))))))</f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7"/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7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7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si="107"/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ref="AR2175:AR2238" si="108">IF(AQ2175="SIM","AGUARDANDO CORREÇÃO",IF(AP2175&lt;&gt;"","FINALIZADO",IF(AO2175&lt;&gt;"","AGUARDANDO ENVIO DTS",IF(AN2175&lt;&gt;"","AGUARDANDO ASSINATURA GAB",IF(AM2175&lt;&gt;"","AGUARDANDO ASSINATURA CTS",IF(AL2175&lt;&gt;"","AGUARDANDO ENVIO ASSINATURA CTS",IF(AK2175&lt;&gt;"","AGUARDANDO CONFERÊNCIA","")))))))</f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8"/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8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8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si="108"/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ref="AR2239:AR2302" si="109">IF(AQ2239="SIM","AGUARDANDO CORREÇÃO",IF(AP2239&lt;&gt;"","FINALIZADO",IF(AO2239&lt;&gt;"","AGUARDANDO ENVIO DTS",IF(AN2239&lt;&gt;"","AGUARDANDO ASSINATURA GAB",IF(AM2239&lt;&gt;"","AGUARDANDO ASSINATURA CTS",IF(AL2239&lt;&gt;"","AGUARDANDO ENVIO ASSINATURA CTS",IF(AK2239&lt;&gt;"","AGUARDANDO CONFERÊNCIA","")))))))</f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9"/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9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9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si="109"/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ref="AR2303:AR2366" si="110">IF(AQ2303="SIM","AGUARDANDO CORREÇÃO",IF(AP2303&lt;&gt;"","FINALIZADO",IF(AO2303&lt;&gt;"","AGUARDANDO ENVIO DTS",IF(AN2303&lt;&gt;"","AGUARDANDO ASSINATURA GAB",IF(AM2303&lt;&gt;"","AGUARDANDO ASSINATURA CTS",IF(AL2303&lt;&gt;"","AGUARDANDO ENVIO ASSINATURA CTS",IF(AK2303&lt;&gt;"","AGUARDANDO CONFERÊNCIA","")))))))</f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10"/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10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10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si="110"/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ref="AR2367:AR2430" si="111">IF(AQ2367="SIM","AGUARDANDO CORREÇÃO",IF(AP2367&lt;&gt;"","FINALIZADO",IF(AO2367&lt;&gt;"","AGUARDANDO ENVIO DTS",IF(AN2367&lt;&gt;"","AGUARDANDO ASSINATURA GAB",IF(AM2367&lt;&gt;"","AGUARDANDO ASSINATURA CTS",IF(AL2367&lt;&gt;"","AGUARDANDO ENVIO ASSINATURA CTS",IF(AK2367&lt;&gt;"","AGUARDANDO CONFERÊNCIA","")))))))</f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1"/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1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1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si="111"/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ref="AR2431:AR2494" si="112">IF(AQ2431="SIM","AGUARDANDO CORREÇÃO",IF(AP2431&lt;&gt;"","FINALIZADO",IF(AO2431&lt;&gt;"","AGUARDANDO ENVIO DTS",IF(AN2431&lt;&gt;"","AGUARDANDO ASSINATURA GAB",IF(AM2431&lt;&gt;"","AGUARDANDO ASSINATURA CTS",IF(AL2431&lt;&gt;"","AGUARDANDO ENVIO ASSINATURA CTS",IF(AK2431&lt;&gt;"","AGUARDANDO CONFERÊNCIA","")))))))</f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2"/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2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2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si="112"/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ref="AR2495:AR2558" si="113">IF(AQ2495="SIM","AGUARDANDO CORREÇÃO",IF(AP2495&lt;&gt;"","FINALIZADO",IF(AO2495&lt;&gt;"","AGUARDANDO ENVIO DTS",IF(AN2495&lt;&gt;"","AGUARDANDO ASSINATURA GAB",IF(AM2495&lt;&gt;"","AGUARDANDO ASSINATURA CTS",IF(AL2495&lt;&gt;"","AGUARDANDO ENVIO ASSINATURA CTS",IF(AK2495&lt;&gt;"","AGUARDANDO CONFERÊNCIA","")))))))</f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3"/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3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3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si="113"/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ref="AR2559:AR2622" si="114">IF(AQ2559="SIM","AGUARDANDO CORREÇÃO",IF(AP2559&lt;&gt;"","FINALIZADO",IF(AO2559&lt;&gt;"","AGUARDANDO ENVIO DTS",IF(AN2559&lt;&gt;"","AGUARDANDO ASSINATURA GAB",IF(AM2559&lt;&gt;"","AGUARDANDO ASSINATURA CTS",IF(AL2559&lt;&gt;"","AGUARDANDO ENVIO ASSINATURA CTS",IF(AK2559&lt;&gt;"","AGUARDANDO CONFERÊNCIA","")))))))</f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4"/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4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4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si="114"/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ref="AR2623:AR2686" si="115">IF(AQ2623="SIM","AGUARDANDO CORREÇÃO",IF(AP2623&lt;&gt;"","FINALIZADO",IF(AO2623&lt;&gt;"","AGUARDANDO ENVIO DTS",IF(AN2623&lt;&gt;"","AGUARDANDO ASSINATURA GAB",IF(AM2623&lt;&gt;"","AGUARDANDO ASSINATURA CTS",IF(AL2623&lt;&gt;"","AGUARDANDO ENVIO ASSINATURA CTS",IF(AK2623&lt;&gt;"","AGUARDANDO CONFERÊNCIA","")))))))</f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5"/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5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5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si="115"/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ref="AR2687:AR2750" si="116">IF(AQ2687="SIM","AGUARDANDO CORREÇÃO",IF(AP2687&lt;&gt;"","FINALIZADO",IF(AO2687&lt;&gt;"","AGUARDANDO ENVIO DTS",IF(AN2687&lt;&gt;"","AGUARDANDO ASSINATURA GAB",IF(AM2687&lt;&gt;"","AGUARDANDO ASSINATURA CTS",IF(AL2687&lt;&gt;"","AGUARDANDO ENVIO ASSINATURA CTS",IF(AK2687&lt;&gt;"","AGUARDANDO CONFERÊNCIA","")))))))</f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6"/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6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6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si="116"/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ref="AR2751:AR2814" si="117">IF(AQ2751="SIM","AGUARDANDO CORREÇÃO",IF(AP2751&lt;&gt;"","FINALIZADO",IF(AO2751&lt;&gt;"","AGUARDANDO ENVIO DTS",IF(AN2751&lt;&gt;"","AGUARDANDO ASSINATURA GAB",IF(AM2751&lt;&gt;"","AGUARDANDO ASSINATURA CTS",IF(AL2751&lt;&gt;"","AGUARDANDO ENVIO ASSINATURA CTS",IF(AK2751&lt;&gt;"","AGUARDANDO CONFERÊNCIA","")))))))</f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7"/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7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7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si="117"/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ref="AR2815:AR2878" si="118">IF(AQ2815="SIM","AGUARDANDO CORREÇÃO",IF(AP2815&lt;&gt;"","FINALIZADO",IF(AO2815&lt;&gt;"","AGUARDANDO ENVIO DTS",IF(AN2815&lt;&gt;"","AGUARDANDO ASSINATURA GAB",IF(AM2815&lt;&gt;"","AGUARDANDO ASSINATURA CTS",IF(AL2815&lt;&gt;"","AGUARDANDO ENVIO ASSINATURA CTS",IF(AK2815&lt;&gt;"","AGUARDANDO CONFERÊNCIA","")))))))</f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8"/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8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8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si="118"/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ref="AR2879:AR2942" si="119">IF(AQ2879="SIM","AGUARDANDO CORREÇÃO",IF(AP2879&lt;&gt;"","FINALIZADO",IF(AO2879&lt;&gt;"","AGUARDANDO ENVIO DTS",IF(AN2879&lt;&gt;"","AGUARDANDO ASSINATURA GAB",IF(AM2879&lt;&gt;"","AGUARDANDO ASSINATURA CTS",IF(AL2879&lt;&gt;"","AGUARDANDO ENVIO ASSINATURA CTS",IF(AK2879&lt;&gt;"","AGUARDANDO CONFERÊNCIA","")))))))</f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9"/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9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9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si="119"/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ref="AR2943:AR3006" si="120">IF(AQ2943="SIM","AGUARDANDO CORREÇÃO",IF(AP2943&lt;&gt;"","FINALIZADO",IF(AO2943&lt;&gt;"","AGUARDANDO ENVIO DTS",IF(AN2943&lt;&gt;"","AGUARDANDO ASSINATURA GAB",IF(AM2943&lt;&gt;"","AGUARDANDO ASSINATURA CTS",IF(AL2943&lt;&gt;"","AGUARDANDO ENVIO ASSINATURA CTS",IF(AK2943&lt;&gt;"","AGUARDANDO CONFERÊNCIA","")))))))</f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20"/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20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20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si="120"/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ref="AR3007:AR3070" si="121">IF(AQ3007="SIM","AGUARDANDO CORREÇÃO",IF(AP3007&lt;&gt;"","FINALIZADO",IF(AO3007&lt;&gt;"","AGUARDANDO ENVIO DTS",IF(AN3007&lt;&gt;"","AGUARDANDO ASSINATURA GAB",IF(AM3007&lt;&gt;"","AGUARDANDO ASSINATURA CTS",IF(AL3007&lt;&gt;"","AGUARDANDO ENVIO ASSINATURA CTS",IF(AK3007&lt;&gt;"","AGUARDANDO CONFERÊNCIA","")))))))</f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1"/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1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1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si="121"/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ref="AR3071:AR3134" si="122">IF(AQ3071="SIM","AGUARDANDO CORREÇÃO",IF(AP3071&lt;&gt;"","FINALIZADO",IF(AO3071&lt;&gt;"","AGUARDANDO ENVIO DTS",IF(AN3071&lt;&gt;"","AGUARDANDO ASSINATURA GAB",IF(AM3071&lt;&gt;"","AGUARDANDO ASSINATURA CTS",IF(AL3071&lt;&gt;"","AGUARDANDO ENVIO ASSINATURA CTS",IF(AK3071&lt;&gt;"","AGUARDANDO CONFERÊNCIA","")))))))</f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2"/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2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2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si="122"/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ref="AR3135:AR3198" si="123">IF(AQ3135="SIM","AGUARDANDO CORREÇÃO",IF(AP3135&lt;&gt;"","FINALIZADO",IF(AO3135&lt;&gt;"","AGUARDANDO ENVIO DTS",IF(AN3135&lt;&gt;"","AGUARDANDO ASSINATURA GAB",IF(AM3135&lt;&gt;"","AGUARDANDO ASSINATURA CTS",IF(AL3135&lt;&gt;"","AGUARDANDO ENVIO ASSINATURA CTS",IF(AK3135&lt;&gt;"","AGUARDANDO CONFERÊNCIA","")))))))</f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3"/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3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3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si="123"/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ref="AR3199:AR3262" si="124">IF(AQ3199="SIM","AGUARDANDO CORREÇÃO",IF(AP3199&lt;&gt;"","FINALIZADO",IF(AO3199&lt;&gt;"","AGUARDANDO ENVIO DTS",IF(AN3199&lt;&gt;"","AGUARDANDO ASSINATURA GAB",IF(AM3199&lt;&gt;"","AGUARDANDO ASSINATURA CTS",IF(AL3199&lt;&gt;"","AGUARDANDO ENVIO ASSINATURA CTS",IF(AK3199&lt;&gt;"","AGUARDANDO CONFERÊNCIA","")))))))</f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4"/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4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4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si="124"/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ref="AR3263:AR3326" si="125">IF(AQ3263="SIM","AGUARDANDO CORREÇÃO",IF(AP3263&lt;&gt;"","FINALIZADO",IF(AO3263&lt;&gt;"","AGUARDANDO ENVIO DTS",IF(AN3263&lt;&gt;"","AGUARDANDO ASSINATURA GAB",IF(AM3263&lt;&gt;"","AGUARDANDO ASSINATURA CTS",IF(AL3263&lt;&gt;"","AGUARDANDO ENVIO ASSINATURA CTS",IF(AK3263&lt;&gt;"","AGUARDANDO CONFERÊNCIA","")))))))</f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5"/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5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5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si="125"/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ref="AR3327:AR3390" si="126">IF(AQ3327="SIM","AGUARDANDO CORREÇÃO",IF(AP3327&lt;&gt;"","FINALIZADO",IF(AO3327&lt;&gt;"","AGUARDANDO ENVIO DTS",IF(AN3327&lt;&gt;"","AGUARDANDO ASSINATURA GAB",IF(AM3327&lt;&gt;"","AGUARDANDO ASSINATURA CTS",IF(AL3327&lt;&gt;"","AGUARDANDO ENVIO ASSINATURA CTS",IF(AK3327&lt;&gt;"","AGUARDANDO CONFERÊNCIA","")))))))</f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6"/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6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6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si="126"/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ref="AR3391:AR3454" si="127">IF(AQ3391="SIM","AGUARDANDO CORREÇÃO",IF(AP3391&lt;&gt;"","FINALIZADO",IF(AO3391&lt;&gt;"","AGUARDANDO ENVIO DTS",IF(AN3391&lt;&gt;"","AGUARDANDO ASSINATURA GAB",IF(AM3391&lt;&gt;"","AGUARDANDO ASSINATURA CTS",IF(AL3391&lt;&gt;"","AGUARDANDO ENVIO ASSINATURA CTS",IF(AK3391&lt;&gt;"","AGUARDANDO CONFERÊNCIA","")))))))</f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7"/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7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7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si="127"/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ref="AR3455:AR3518" si="128">IF(AQ3455="SIM","AGUARDANDO CORREÇÃO",IF(AP3455&lt;&gt;"","FINALIZADO",IF(AO3455&lt;&gt;"","AGUARDANDO ENVIO DTS",IF(AN3455&lt;&gt;"","AGUARDANDO ASSINATURA GAB",IF(AM3455&lt;&gt;"","AGUARDANDO ASSINATURA CTS",IF(AL3455&lt;&gt;"","AGUARDANDO ENVIO ASSINATURA CTS",IF(AK3455&lt;&gt;"","AGUARDANDO CONFERÊNCIA","")))))))</f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8"/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8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8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si="128"/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ref="AR3519:AR3582" si="129">IF(AQ3519="SIM","AGUARDANDO CORREÇÃO",IF(AP3519&lt;&gt;"","FINALIZADO",IF(AO3519&lt;&gt;"","AGUARDANDO ENVIO DTS",IF(AN3519&lt;&gt;"","AGUARDANDO ASSINATURA GAB",IF(AM3519&lt;&gt;"","AGUARDANDO ASSINATURA CTS",IF(AL3519&lt;&gt;"","AGUARDANDO ENVIO ASSINATURA CTS",IF(AK3519&lt;&gt;"","AGUARDANDO CONFERÊNCIA","")))))))</f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9"/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9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9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si="129"/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ref="AR3583:AR3646" si="130">IF(AQ3583="SIM","AGUARDANDO CORREÇÃO",IF(AP3583&lt;&gt;"","FINALIZADO",IF(AO3583&lt;&gt;"","AGUARDANDO ENVIO DTS",IF(AN3583&lt;&gt;"","AGUARDANDO ASSINATURA GAB",IF(AM3583&lt;&gt;"","AGUARDANDO ASSINATURA CTS",IF(AL3583&lt;&gt;"","AGUARDANDO ENVIO ASSINATURA CTS",IF(AK3583&lt;&gt;"","AGUARDANDO CONFERÊNCIA","")))))))</f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30"/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30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30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si="130"/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ref="AR3647:AR3710" si="131">IF(AQ3647="SIM","AGUARDANDO CORREÇÃO",IF(AP3647&lt;&gt;"","FINALIZADO",IF(AO3647&lt;&gt;"","AGUARDANDO ENVIO DTS",IF(AN3647&lt;&gt;"","AGUARDANDO ASSINATURA GAB",IF(AM3647&lt;&gt;"","AGUARDANDO ASSINATURA CTS",IF(AL3647&lt;&gt;"","AGUARDANDO ENVIO ASSINATURA CTS",IF(AK3647&lt;&gt;"","AGUARDANDO CONFERÊNCIA","")))))))</f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1"/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1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1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si="131"/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ref="AR3711:AR3774" si="132">IF(AQ3711="SIM","AGUARDANDO CORREÇÃO",IF(AP3711&lt;&gt;"","FINALIZADO",IF(AO3711&lt;&gt;"","AGUARDANDO ENVIO DTS",IF(AN3711&lt;&gt;"","AGUARDANDO ASSINATURA GAB",IF(AM3711&lt;&gt;"","AGUARDANDO ASSINATURA CTS",IF(AL3711&lt;&gt;"","AGUARDANDO ENVIO ASSINATURA CTS",IF(AK3711&lt;&gt;"","AGUARDANDO CONFERÊNCIA","")))))))</f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2"/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2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2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si="132"/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ref="AR3775:AR3838" si="133">IF(AQ3775="SIM","AGUARDANDO CORREÇÃO",IF(AP3775&lt;&gt;"","FINALIZADO",IF(AO3775&lt;&gt;"","AGUARDANDO ENVIO DTS",IF(AN3775&lt;&gt;"","AGUARDANDO ASSINATURA GAB",IF(AM3775&lt;&gt;"","AGUARDANDO ASSINATURA CTS",IF(AL3775&lt;&gt;"","AGUARDANDO ENVIO ASSINATURA CTS",IF(AK3775&lt;&gt;"","AGUARDANDO CONFERÊNCIA","")))))))</f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3"/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3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3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si="133"/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ref="AR3839:AR3902" si="134">IF(AQ3839="SIM","AGUARDANDO CORREÇÃO",IF(AP3839&lt;&gt;"","FINALIZADO",IF(AO3839&lt;&gt;"","AGUARDANDO ENVIO DTS",IF(AN3839&lt;&gt;"","AGUARDANDO ASSINATURA GAB",IF(AM3839&lt;&gt;"","AGUARDANDO ASSINATURA CTS",IF(AL3839&lt;&gt;"","AGUARDANDO ENVIO ASSINATURA CTS",IF(AK3839&lt;&gt;"","AGUARDANDO CONFERÊNCIA","")))))))</f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4"/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4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4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si="134"/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ref="AR3903:AR3966" si="135">IF(AQ3903="SIM","AGUARDANDO CORREÇÃO",IF(AP3903&lt;&gt;"","FINALIZADO",IF(AO3903&lt;&gt;"","AGUARDANDO ENVIO DTS",IF(AN3903&lt;&gt;"","AGUARDANDO ASSINATURA GAB",IF(AM3903&lt;&gt;"","AGUARDANDO ASSINATURA CTS",IF(AL3903&lt;&gt;"","AGUARDANDO ENVIO ASSINATURA CTS",IF(AK3903&lt;&gt;"","AGUARDANDO CONFERÊNCIA","")))))))</f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5"/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5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5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si="135"/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ref="AR3967:AR4030" si="136">IF(AQ3967="SIM","AGUARDANDO CORREÇÃO",IF(AP3967&lt;&gt;"","FINALIZADO",IF(AO3967&lt;&gt;"","AGUARDANDO ENVIO DTS",IF(AN3967&lt;&gt;"","AGUARDANDO ASSINATURA GAB",IF(AM3967&lt;&gt;"","AGUARDANDO ASSINATURA CTS",IF(AL3967&lt;&gt;"","AGUARDANDO ENVIO ASSINATURA CTS",IF(AK3967&lt;&gt;"","AGUARDANDO CONFERÊNCIA","")))))))</f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6"/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6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6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si="136"/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ref="AR4031:AR4094" si="137">IF(AQ4031="SIM","AGUARDANDO CORREÇÃO",IF(AP4031&lt;&gt;"","FINALIZADO",IF(AO4031&lt;&gt;"","AGUARDANDO ENVIO DTS",IF(AN4031&lt;&gt;"","AGUARDANDO ASSINATURA GAB",IF(AM4031&lt;&gt;"","AGUARDANDO ASSINATURA CTS",IF(AL4031&lt;&gt;"","AGUARDANDO ENVIO ASSINATURA CTS",IF(AK4031&lt;&gt;"","AGUARDANDO CONFERÊNCIA","")))))))</f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7"/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7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7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si="137"/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ref="AR4095:AR4158" si="138">IF(AQ4095="SIM","AGUARDANDO CORREÇÃO",IF(AP4095&lt;&gt;"","FINALIZADO",IF(AO4095&lt;&gt;"","AGUARDANDO ENVIO DTS",IF(AN4095&lt;&gt;"","AGUARDANDO ASSINATURA GAB",IF(AM4095&lt;&gt;"","AGUARDANDO ASSINATURA CTS",IF(AL4095&lt;&gt;"","AGUARDANDO ENVIO ASSINATURA CTS",IF(AK4095&lt;&gt;"","AGUARDANDO CONFERÊNCIA","")))))))</f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8"/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8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8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si="138"/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ref="AR4159:AR4222" si="139">IF(AQ4159="SIM","AGUARDANDO CORREÇÃO",IF(AP4159&lt;&gt;"","FINALIZADO",IF(AO4159&lt;&gt;"","AGUARDANDO ENVIO DTS",IF(AN4159&lt;&gt;"","AGUARDANDO ASSINATURA GAB",IF(AM4159&lt;&gt;"","AGUARDANDO ASSINATURA CTS",IF(AL4159&lt;&gt;"","AGUARDANDO ENVIO ASSINATURA CTS",IF(AK4159&lt;&gt;"","AGUARDANDO CONFERÊNCIA","")))))))</f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9"/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9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9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si="139"/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ref="AR4223:AR4286" si="140">IF(AQ4223="SIM","AGUARDANDO CORREÇÃO",IF(AP4223&lt;&gt;"","FINALIZADO",IF(AO4223&lt;&gt;"","AGUARDANDO ENVIO DTS",IF(AN4223&lt;&gt;"","AGUARDANDO ASSINATURA GAB",IF(AM4223&lt;&gt;"","AGUARDANDO ASSINATURA CTS",IF(AL4223&lt;&gt;"","AGUARDANDO ENVIO ASSINATURA CTS",IF(AK4223&lt;&gt;"","AGUARDANDO CONFERÊNCIA","")))))))</f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40"/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40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40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si="140"/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ref="AR4287:AR4350" si="141">IF(AQ4287="SIM","AGUARDANDO CORREÇÃO",IF(AP4287&lt;&gt;"","FINALIZADO",IF(AO4287&lt;&gt;"","AGUARDANDO ENVIO DTS",IF(AN4287&lt;&gt;"","AGUARDANDO ASSINATURA GAB",IF(AM4287&lt;&gt;"","AGUARDANDO ASSINATURA CTS",IF(AL4287&lt;&gt;"","AGUARDANDO ENVIO ASSINATURA CTS",IF(AK4287&lt;&gt;"","AGUARDANDO CONFERÊNCIA","")))))))</f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1"/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1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1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si="141"/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ref="AR4351:AR4414" si="142">IF(AQ4351="SIM","AGUARDANDO CORREÇÃO",IF(AP4351&lt;&gt;"","FINALIZADO",IF(AO4351&lt;&gt;"","AGUARDANDO ENVIO DTS",IF(AN4351&lt;&gt;"","AGUARDANDO ASSINATURA GAB",IF(AM4351&lt;&gt;"","AGUARDANDO ASSINATURA CTS",IF(AL4351&lt;&gt;"","AGUARDANDO ENVIO ASSINATURA CTS",IF(AK4351&lt;&gt;"","AGUARDANDO CONFERÊNCIA","")))))))</f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2"/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2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2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si="142"/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ref="AR4415:AR4478" si="143">IF(AQ4415="SIM","AGUARDANDO CORREÇÃO",IF(AP4415&lt;&gt;"","FINALIZADO",IF(AO4415&lt;&gt;"","AGUARDANDO ENVIO DTS",IF(AN4415&lt;&gt;"","AGUARDANDO ASSINATURA GAB",IF(AM4415&lt;&gt;"","AGUARDANDO ASSINATURA CTS",IF(AL4415&lt;&gt;"","AGUARDANDO ENVIO ASSINATURA CTS",IF(AK4415&lt;&gt;"","AGUARDANDO CONFERÊNCIA","")))))))</f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3"/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3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3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si="143"/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ref="AR4479:AR4542" si="144">IF(AQ4479="SIM","AGUARDANDO CORREÇÃO",IF(AP4479&lt;&gt;"","FINALIZADO",IF(AO4479&lt;&gt;"","AGUARDANDO ENVIO DTS",IF(AN4479&lt;&gt;"","AGUARDANDO ASSINATURA GAB",IF(AM4479&lt;&gt;"","AGUARDANDO ASSINATURA CTS",IF(AL4479&lt;&gt;"","AGUARDANDO ENVIO ASSINATURA CTS",IF(AK4479&lt;&gt;"","AGUARDANDO CONFERÊNCIA","")))))))</f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4"/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4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4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si="144"/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ref="AR4543:AR4606" si="145">IF(AQ4543="SIM","AGUARDANDO CORREÇÃO",IF(AP4543&lt;&gt;"","FINALIZADO",IF(AO4543&lt;&gt;"","AGUARDANDO ENVIO DTS",IF(AN4543&lt;&gt;"","AGUARDANDO ASSINATURA GAB",IF(AM4543&lt;&gt;"","AGUARDANDO ASSINATURA CTS",IF(AL4543&lt;&gt;"","AGUARDANDO ENVIO ASSINATURA CTS",IF(AK4543&lt;&gt;"","AGUARDANDO CONFERÊNCIA","")))))))</f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5"/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5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5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si="145"/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ref="AR4607:AR4670" si="146">IF(AQ4607="SIM","AGUARDANDO CORREÇÃO",IF(AP4607&lt;&gt;"","FINALIZADO",IF(AO4607&lt;&gt;"","AGUARDANDO ENVIO DTS",IF(AN4607&lt;&gt;"","AGUARDANDO ASSINATURA GAB",IF(AM4607&lt;&gt;"","AGUARDANDO ASSINATURA CTS",IF(AL4607&lt;&gt;"","AGUARDANDO ENVIO ASSINATURA CTS",IF(AK4607&lt;&gt;"","AGUARDANDO CONFERÊNCIA","")))))))</f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6"/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6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6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si="146"/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ref="AR4671:AR4734" si="147">IF(AQ4671="SIM","AGUARDANDO CORREÇÃO",IF(AP4671&lt;&gt;"","FINALIZADO",IF(AO4671&lt;&gt;"","AGUARDANDO ENVIO DTS",IF(AN4671&lt;&gt;"","AGUARDANDO ASSINATURA GAB",IF(AM4671&lt;&gt;"","AGUARDANDO ASSINATURA CTS",IF(AL4671&lt;&gt;"","AGUARDANDO ENVIO ASSINATURA CTS",IF(AK4671&lt;&gt;"","AGUARDANDO CONFERÊNCIA","")))))))</f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7"/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7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7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si="147"/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ref="AR4735:AR4798" si="148">IF(AQ4735="SIM","AGUARDANDO CORREÇÃO",IF(AP4735&lt;&gt;"","FINALIZADO",IF(AO4735&lt;&gt;"","AGUARDANDO ENVIO DTS",IF(AN4735&lt;&gt;"","AGUARDANDO ASSINATURA GAB",IF(AM4735&lt;&gt;"","AGUARDANDO ASSINATURA CTS",IF(AL4735&lt;&gt;"","AGUARDANDO ENVIO ASSINATURA CTS",IF(AK4735&lt;&gt;"","AGUARDANDO CONFERÊNCIA","")))))))</f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8"/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8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8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si="148"/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ref="AR4799:AR4862" si="149">IF(AQ4799="SIM","AGUARDANDO CORREÇÃO",IF(AP4799&lt;&gt;"","FINALIZADO",IF(AO4799&lt;&gt;"","AGUARDANDO ENVIO DTS",IF(AN4799&lt;&gt;"","AGUARDANDO ASSINATURA GAB",IF(AM4799&lt;&gt;"","AGUARDANDO ASSINATURA CTS",IF(AL4799&lt;&gt;"","AGUARDANDO ENVIO ASSINATURA CTS",IF(AK4799&lt;&gt;"","AGUARDANDO CONFERÊNCIA","")))))))</f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9"/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9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9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si="149"/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ref="AR4863:AR4926" si="150">IF(AQ4863="SIM","AGUARDANDO CORREÇÃO",IF(AP4863&lt;&gt;"","FINALIZADO",IF(AO4863&lt;&gt;"","AGUARDANDO ENVIO DTS",IF(AN4863&lt;&gt;"","AGUARDANDO ASSINATURA GAB",IF(AM4863&lt;&gt;"","AGUARDANDO ASSINATURA CTS",IF(AL4863&lt;&gt;"","AGUARDANDO ENVIO ASSINATURA CTS",IF(AK4863&lt;&gt;"","AGUARDANDO CONFERÊNCIA","")))))))</f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50"/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50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50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si="150"/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ref="AR4927:AR4990" si="151">IF(AQ4927="SIM","AGUARDANDO CORREÇÃO",IF(AP4927&lt;&gt;"","FINALIZADO",IF(AO4927&lt;&gt;"","AGUARDANDO ENVIO DTS",IF(AN4927&lt;&gt;"","AGUARDANDO ASSINATURA GAB",IF(AM4927&lt;&gt;"","AGUARDANDO ASSINATURA CTS",IF(AL4927&lt;&gt;"","AGUARDANDO ENVIO ASSINATURA CTS",IF(AK4927&lt;&gt;"","AGUARDANDO CONFERÊNCIA","")))))))</f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1"/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1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1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si="151"/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ref="AR4991:AR5054" si="152">IF(AQ4991="SIM","AGUARDANDO CORREÇÃO",IF(AP4991&lt;&gt;"","FINALIZADO",IF(AO4991&lt;&gt;"","AGUARDANDO ENVIO DTS",IF(AN4991&lt;&gt;"","AGUARDANDO ASSINATURA GAB",IF(AM4991&lt;&gt;"","AGUARDANDO ASSINATURA CTS",IF(AL4991&lt;&gt;"","AGUARDANDO ENVIO ASSINATURA CTS",IF(AK4991&lt;&gt;"","AGUARDANDO CONFERÊNCIA","")))))))</f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2"/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2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2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si="152"/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ref="AR5055:AR5118" si="153">IF(AQ5055="SIM","AGUARDANDO CORREÇÃO",IF(AP5055&lt;&gt;"","FINALIZADO",IF(AO5055&lt;&gt;"","AGUARDANDO ENVIO DTS",IF(AN5055&lt;&gt;"","AGUARDANDO ASSINATURA GAB",IF(AM5055&lt;&gt;"","AGUARDANDO ASSINATURA CTS",IF(AL5055&lt;&gt;"","AGUARDANDO ENVIO ASSINATURA CTS",IF(AK5055&lt;&gt;"","AGUARDANDO CONFERÊNCIA","")))))))</f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3"/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3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3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si="153"/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ref="AR5119:AR5182" si="154">IF(AQ5119="SIM","AGUARDANDO CORREÇÃO",IF(AP5119&lt;&gt;"","FINALIZADO",IF(AO5119&lt;&gt;"","AGUARDANDO ENVIO DTS",IF(AN5119&lt;&gt;"","AGUARDANDO ASSINATURA GAB",IF(AM5119&lt;&gt;"","AGUARDANDO ASSINATURA CTS",IF(AL5119&lt;&gt;"","AGUARDANDO ENVIO ASSINATURA CTS",IF(AK5119&lt;&gt;"","AGUARDANDO CONFERÊNCIA","")))))))</f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4"/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4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4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si="154"/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ref="AR5183:AR5246" si="155">IF(AQ5183="SIM","AGUARDANDO CORREÇÃO",IF(AP5183&lt;&gt;"","FINALIZADO",IF(AO5183&lt;&gt;"","AGUARDANDO ENVIO DTS",IF(AN5183&lt;&gt;"","AGUARDANDO ASSINATURA GAB",IF(AM5183&lt;&gt;"","AGUARDANDO ASSINATURA CTS",IF(AL5183&lt;&gt;"","AGUARDANDO ENVIO ASSINATURA CTS",IF(AK5183&lt;&gt;"","AGUARDANDO CONFERÊNCIA","")))))))</f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5"/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5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5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si="155"/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ref="AR5247:AR5310" si="156">IF(AQ5247="SIM","AGUARDANDO CORREÇÃO",IF(AP5247&lt;&gt;"","FINALIZADO",IF(AO5247&lt;&gt;"","AGUARDANDO ENVIO DTS",IF(AN5247&lt;&gt;"","AGUARDANDO ASSINATURA GAB",IF(AM5247&lt;&gt;"","AGUARDANDO ASSINATURA CTS",IF(AL5247&lt;&gt;"","AGUARDANDO ENVIO ASSINATURA CTS",IF(AK5247&lt;&gt;"","AGUARDANDO CONFERÊNCIA","")))))))</f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6"/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6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6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si="156"/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ref="AR5311:AR5353" si="157">IF(AQ5311="SIM","AGUARDANDO CORREÇÃO",IF(AP5311&lt;&gt;"","FINALIZADO",IF(AO5311&lt;&gt;"","AGUARDANDO ENVIO DTS",IF(AN5311&lt;&gt;"","AGUARDANDO ASSINATURA GAB",IF(AM5311&lt;&gt;"","AGUARDANDO ASSINATURA CTS",IF(AL5311&lt;&gt;"","AGUARDANDO ENVIO ASSINATURA CTS",IF(AK5311&lt;&gt;"","AGUARDANDO CONFERÊNCIA","")))))))</f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7"/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7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7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si="157"/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customHeight="1">
      <c r="AK5354" s="318"/>
      <c r="AL5354" s="318"/>
      <c r="AM5354" s="318"/>
      <c r="AN5354" s="318"/>
      <c r="AO5354" s="318"/>
      <c r="AP5354" s="318"/>
      <c r="AQ5354" s="318"/>
      <c r="AR5354" s="319"/>
    </row>
    <row r="5355" spans="37:44" ht="30" customHeight="1">
      <c r="AK5355" s="318"/>
      <c r="AL5355" s="318"/>
      <c r="AM5355" s="318"/>
      <c r="AN5355" s="318"/>
      <c r="AO5355" s="318"/>
      <c r="AP5355" s="318"/>
      <c r="AQ5355" s="318"/>
      <c r="AR5355" s="319"/>
    </row>
    <row r="5356" spans="37:44" ht="30" customHeight="1">
      <c r="AK5356" s="318"/>
      <c r="AL5356" s="318"/>
      <c r="AM5356" s="318"/>
      <c r="AN5356" s="318"/>
      <c r="AO5356" s="318"/>
      <c r="AP5356" s="318"/>
      <c r="AQ5356" s="318"/>
      <c r="AR5356" s="319"/>
    </row>
    <row r="5357" spans="37:44" ht="30" customHeight="1">
      <c r="AK5357" s="318"/>
      <c r="AL5357" s="318"/>
      <c r="AM5357" s="318"/>
      <c r="AN5357" s="318"/>
      <c r="AO5357" s="318"/>
      <c r="AP5357" s="318"/>
      <c r="AQ5357" s="318"/>
      <c r="AR5357" s="319"/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3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5:F1048576 F1:F2 F4 F716:F873">
    <cfRule type="duplicateValues" dxfId="292" priority="1619"/>
    <cfRule type="duplicateValues" dxfId="291" priority="1623"/>
  </conditionalFormatting>
  <conditionalFormatting sqref="F875:F1048576 F1:F4 F716:F873">
    <cfRule type="duplicateValues" dxfId="290" priority="1629"/>
  </conditionalFormatting>
  <conditionalFormatting sqref="F875:F1048576 F1:F873">
    <cfRule type="duplicateValues" dxfId="289" priority="1209"/>
  </conditionalFormatting>
  <conditionalFormatting sqref="F875:F1048576 F716:F873">
    <cfRule type="duplicateValues" dxfId="288" priority="1627"/>
  </conditionalFormatting>
  <conditionalFormatting sqref="J16">
    <cfRule type="duplicateValues" dxfId="287" priority="649"/>
  </conditionalFormatting>
  <conditionalFormatting sqref="J228:J229 J164">
    <cfRule type="duplicateValues" dxfId="286" priority="763"/>
  </conditionalFormatting>
  <conditionalFormatting sqref="J796:J808">
    <cfRule type="duplicateValues" dxfId="285" priority="3106"/>
  </conditionalFormatting>
  <conditionalFormatting sqref="J875:J1048576 J765 J568:J581 J1:J2 J4 J792:J793 J809:J873">
    <cfRule type="duplicateValues" dxfId="284" priority="1632"/>
  </conditionalFormatting>
  <conditionalFormatting sqref="J771:K773">
    <cfRule type="duplicateValues" dxfId="283" priority="367"/>
  </conditionalFormatting>
  <conditionalFormatting sqref="J766:L767">
    <cfRule type="duplicateValues" dxfId="282" priority="381"/>
  </conditionalFormatting>
  <conditionalFormatting sqref="J768:L768 J770:L770 J769 L769">
    <cfRule type="duplicateValues" dxfId="281" priority="375"/>
  </conditionalFormatting>
  <conditionalFormatting sqref="J794:L794">
    <cfRule type="duplicateValues" dxfId="280" priority="360"/>
  </conditionalFormatting>
  <conditionalFormatting sqref="J795:L795">
    <cfRule type="duplicateValues" dxfId="279" priority="359"/>
  </conditionalFormatting>
  <conditionalFormatting sqref="K769">
    <cfRule type="duplicateValues" dxfId="278" priority="372"/>
  </conditionalFormatting>
  <conditionalFormatting sqref="K792:L793">
    <cfRule type="duplicateValues" dxfId="277" priority="361"/>
  </conditionalFormatting>
  <conditionalFormatting sqref="K796:L796">
    <cfRule type="duplicateValues" dxfId="276" priority="357"/>
  </conditionalFormatting>
  <conditionalFormatting sqref="K797:L797">
    <cfRule type="duplicateValues" dxfId="275" priority="356"/>
  </conditionalFormatting>
  <conditionalFormatting sqref="K798:L798">
    <cfRule type="duplicateValues" dxfId="274" priority="355"/>
  </conditionalFormatting>
  <conditionalFormatting sqref="K799:L799">
    <cfRule type="duplicateValues" dxfId="273" priority="354"/>
  </conditionalFormatting>
  <conditionalFormatting sqref="K800:L800">
    <cfRule type="duplicateValues" dxfId="272" priority="353"/>
  </conditionalFormatting>
  <conditionalFormatting sqref="K801:L801">
    <cfRule type="duplicateValues" dxfId="271" priority="352"/>
  </conditionalFormatting>
  <conditionalFormatting sqref="K802:L802">
    <cfRule type="duplicateValues" dxfId="270" priority="351"/>
  </conditionalFormatting>
  <conditionalFormatting sqref="K803:L803">
    <cfRule type="duplicateValues" dxfId="269" priority="350"/>
  </conditionalFormatting>
  <conditionalFormatting sqref="K804:L804">
    <cfRule type="duplicateValues" dxfId="268" priority="349"/>
  </conditionalFormatting>
  <conditionalFormatting sqref="K805:L805">
    <cfRule type="duplicateValues" dxfId="267" priority="348"/>
  </conditionalFormatting>
  <conditionalFormatting sqref="K806:L806">
    <cfRule type="duplicateValues" dxfId="266" priority="347"/>
  </conditionalFormatting>
  <conditionalFormatting sqref="K807:L807">
    <cfRule type="duplicateValues" dxfId="265" priority="345"/>
  </conditionalFormatting>
  <conditionalFormatting sqref="K808:L808">
    <cfRule type="duplicateValues" dxfId="264" priority="344"/>
  </conditionalFormatting>
  <conditionalFormatting sqref="L16">
    <cfRule type="duplicateValues" dxfId="263" priority="648"/>
  </conditionalFormatting>
  <conditionalFormatting sqref="L393">
    <cfRule type="duplicateValues" dxfId="262" priority="205"/>
    <cfRule type="duplicateValues" dxfId="261" priority="206"/>
  </conditionalFormatting>
  <conditionalFormatting sqref="L497">
    <cfRule type="duplicateValues" dxfId="260" priority="204"/>
    <cfRule type="duplicateValues" dxfId="259" priority="203"/>
  </conditionalFormatting>
  <conditionalFormatting sqref="L771:L773">
    <cfRule type="duplicateValues" dxfId="258" priority="366"/>
  </conditionalFormatting>
  <conditionalFormatting sqref="AA16">
    <cfRule type="duplicateValues" dxfId="257" priority="193"/>
  </conditionalFormatting>
  <conditionalFormatting sqref="AA164">
    <cfRule type="duplicateValues" dxfId="256" priority="185"/>
  </conditionalFormatting>
  <conditionalFormatting sqref="AA568">
    <cfRule type="duplicateValues" dxfId="255" priority="175"/>
  </conditionalFormatting>
  <conditionalFormatting sqref="AA570">
    <cfRule type="duplicateValues" dxfId="254" priority="174"/>
  </conditionalFormatting>
  <conditionalFormatting sqref="AA571">
    <cfRule type="duplicateValues" dxfId="253" priority="173"/>
  </conditionalFormatting>
  <conditionalFormatting sqref="AA572">
    <cfRule type="duplicateValues" dxfId="252" priority="22"/>
  </conditionalFormatting>
  <conditionalFormatting sqref="AA573">
    <cfRule type="duplicateValues" dxfId="251" priority="253"/>
  </conditionalFormatting>
  <conditionalFormatting sqref="AA574">
    <cfRule type="duplicateValues" dxfId="250" priority="23"/>
  </conditionalFormatting>
  <conditionalFormatting sqref="AA575:AA576">
    <cfRule type="duplicateValues" dxfId="249" priority="172"/>
  </conditionalFormatting>
  <conditionalFormatting sqref="AA577">
    <cfRule type="duplicateValues" dxfId="248" priority="171"/>
  </conditionalFormatting>
  <conditionalFormatting sqref="AA578">
    <cfRule type="duplicateValues" dxfId="247" priority="170"/>
  </conditionalFormatting>
  <conditionalFormatting sqref="AA580:AA581">
    <cfRule type="duplicateValues" dxfId="246" priority="169"/>
  </conditionalFormatting>
  <conditionalFormatting sqref="AA765">
    <cfRule type="duplicateValues" dxfId="245" priority="168"/>
  </conditionalFormatting>
  <conditionalFormatting sqref="AA767">
    <cfRule type="duplicateValues" dxfId="244" priority="167"/>
  </conditionalFormatting>
  <conditionalFormatting sqref="AA768:AA770">
    <cfRule type="duplicateValues" dxfId="243" priority="166"/>
  </conditionalFormatting>
  <conditionalFormatting sqref="AA771">
    <cfRule type="duplicateValues" dxfId="242" priority="165"/>
  </conditionalFormatting>
  <conditionalFormatting sqref="AA772:AA773">
    <cfRule type="duplicateValues" dxfId="241" priority="159"/>
  </conditionalFormatting>
  <conditionalFormatting sqref="AA792:AA793">
    <cfRule type="duplicateValues" dxfId="240" priority="156"/>
  </conditionalFormatting>
  <conditionalFormatting sqref="AA794">
    <cfRule type="duplicateValues" dxfId="239" priority="155"/>
  </conditionalFormatting>
  <conditionalFormatting sqref="AA795">
    <cfRule type="duplicateValues" dxfId="238" priority="151"/>
  </conditionalFormatting>
  <conditionalFormatting sqref="AA796:AA800">
    <cfRule type="duplicateValues" dxfId="237" priority="152"/>
  </conditionalFormatting>
  <conditionalFormatting sqref="AA801:AA806">
    <cfRule type="duplicateValues" dxfId="236" priority="144"/>
  </conditionalFormatting>
  <conditionalFormatting sqref="AB769">
    <cfRule type="duplicateValues" dxfId="235" priority="162"/>
  </conditionalFormatting>
  <conditionalFormatting sqref="AB771">
    <cfRule type="duplicateValues" dxfId="234" priority="161"/>
  </conditionalFormatting>
  <conditionalFormatting sqref="AB772:AB773">
    <cfRule type="duplicateValues" dxfId="233" priority="158"/>
  </conditionalFormatting>
  <conditionalFormatting sqref="AB767:AC767">
    <cfRule type="duplicateValues" dxfId="232" priority="164"/>
  </conditionalFormatting>
  <conditionalFormatting sqref="AB768:AC768 AB770:AC770 AC769">
    <cfRule type="duplicateValues" dxfId="231" priority="163"/>
  </conditionalFormatting>
  <conditionalFormatting sqref="AB792:AC793">
    <cfRule type="duplicateValues" dxfId="230" priority="154"/>
  </conditionalFormatting>
  <conditionalFormatting sqref="AB794:AC794">
    <cfRule type="duplicateValues" dxfId="229" priority="153"/>
  </conditionalFormatting>
  <conditionalFormatting sqref="AB795:AC795">
    <cfRule type="duplicateValues" dxfId="228" priority="150"/>
  </conditionalFormatting>
  <conditionalFormatting sqref="AB796:AC796">
    <cfRule type="duplicateValues" dxfId="227" priority="149"/>
  </conditionalFormatting>
  <conditionalFormatting sqref="AB797:AC797">
    <cfRule type="duplicateValues" dxfId="226" priority="148"/>
  </conditionalFormatting>
  <conditionalFormatting sqref="AB798:AC798">
    <cfRule type="duplicateValues" dxfId="225" priority="147"/>
  </conditionalFormatting>
  <conditionalFormatting sqref="AB799:AC799">
    <cfRule type="duplicateValues" dxfId="224" priority="146"/>
  </conditionalFormatting>
  <conditionalFormatting sqref="AB800:AC800">
    <cfRule type="duplicateValues" dxfId="223" priority="145"/>
  </conditionalFormatting>
  <conditionalFormatting sqref="AB801:AC801">
    <cfRule type="duplicateValues" dxfId="222" priority="143"/>
  </conditionalFormatting>
  <conditionalFormatting sqref="AB802:AC802">
    <cfRule type="duplicateValues" dxfId="221" priority="142"/>
  </conditionalFormatting>
  <conditionalFormatting sqref="AB803:AC803">
    <cfRule type="duplicateValues" dxfId="220" priority="141"/>
  </conditionalFormatting>
  <conditionalFormatting sqref="AB804:AC804">
    <cfRule type="duplicateValues" dxfId="219" priority="140"/>
  </conditionalFormatting>
  <conditionalFormatting sqref="AB805:AC805">
    <cfRule type="duplicateValues" dxfId="218" priority="139"/>
  </conditionalFormatting>
  <conditionalFormatting sqref="AB806:AC806">
    <cfRule type="duplicateValues" dxfId="217" priority="138"/>
  </conditionalFormatting>
  <conditionalFormatting sqref="AB875:AC1048576 AB1:AC4 AB807:AC873">
    <cfRule type="duplicateValues" dxfId="216" priority="1208"/>
  </conditionalFormatting>
  <conditionalFormatting sqref="AC16">
    <cfRule type="duplicateValues" dxfId="215" priority="192"/>
  </conditionalFormatting>
  <conditionalFormatting sqref="AC164">
    <cfRule type="duplicateValues" dxfId="214" priority="184"/>
  </conditionalFormatting>
  <conditionalFormatting sqref="AC497">
    <cfRule type="duplicateValues" dxfId="213" priority="177"/>
    <cfRule type="duplicateValues" dxfId="212" priority="176"/>
  </conditionalFormatting>
  <conditionalFormatting sqref="AC771">
    <cfRule type="duplicateValues" dxfId="211" priority="160"/>
  </conditionalFormatting>
  <conditionalFormatting sqref="AC772:AC773">
    <cfRule type="duplicateValues" dxfId="210" priority="157"/>
  </conditionalFormatting>
  <conditionalFormatting sqref="AC875:AC1048576 L164 AC1:AC4 AC807:AC873">
    <cfRule type="duplicateValues" dxfId="209" priority="762"/>
  </conditionalFormatting>
  <conditionalFormatting sqref="AD4 AD807:AE873 AD875:AE1048576">
    <cfRule type="containsText" dxfId="208" priority="1338" operator="containsText" text="NÃO RESIDENTE">
      <formula>NOT(ISERROR(SEARCH("NÃO RESIDENTE",AD4)))</formula>
    </cfRule>
  </conditionalFormatting>
  <conditionalFormatting sqref="AD1:AE3 I695:I696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4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617"/>
    <cfRule type="duplicateValues" dxfId="163" priority="471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2095"/>
    <cfRule type="duplicateValues" dxfId="159" priority="1216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5"/>
    <cfRule type="duplicateValues" dxfId="146" priority="34"/>
  </conditionalFormatting>
  <conditionalFormatting sqref="AU165:AU166">
    <cfRule type="duplicateValues" dxfId="145" priority="49"/>
    <cfRule type="duplicateValues" dxfId="144" priority="48"/>
  </conditionalFormatting>
  <conditionalFormatting sqref="AU168">
    <cfRule type="duplicateValues" dxfId="143" priority="39"/>
    <cfRule type="duplicateValues" dxfId="142" priority="38"/>
  </conditionalFormatting>
  <conditionalFormatting sqref="AU171">
    <cfRule type="duplicateValues" dxfId="141" priority="29"/>
    <cfRule type="duplicateValues" dxfId="140" priority="28"/>
  </conditionalFormatting>
  <conditionalFormatting sqref="AU184">
    <cfRule type="duplicateValues" dxfId="139" priority="41"/>
    <cfRule type="duplicateValues" dxfId="138" priority="40"/>
  </conditionalFormatting>
  <conditionalFormatting sqref="AU244 AU183 AU165 AU151">
    <cfRule type="duplicateValues" dxfId="137" priority="4"/>
  </conditionalFormatting>
  <conditionalFormatting sqref="AU326">
    <cfRule type="duplicateValues" dxfId="136" priority="42"/>
    <cfRule type="duplicateValues" dxfId="135" priority="43"/>
  </conditionalFormatting>
  <conditionalFormatting sqref="AU405">
    <cfRule type="duplicateValues" dxfId="134" priority="27"/>
    <cfRule type="duplicateValues" dxfId="133" priority="26"/>
  </conditionalFormatting>
  <conditionalFormatting sqref="AU474">
    <cfRule type="duplicateValues" dxfId="132" priority="33"/>
    <cfRule type="duplicateValues" dxfId="131" priority="32"/>
  </conditionalFormatting>
  <conditionalFormatting sqref="AU477">
    <cfRule type="duplicateValues" dxfId="130" priority="47"/>
    <cfRule type="duplicateValues" dxfId="129" priority="46"/>
  </conditionalFormatting>
  <conditionalFormatting sqref="AU490:AU520 AU78 AU34 AU101 AU104 AU129 AU131:AU133 AU167 AU478:AU488 AU522:AU548 AU327:AU390 AU185:AU243 AU169:AU170 AU146:AU150 AU475:AU476 AU550:AU573 AU172:AU182 AU406:AU410 AU135:AU141 AU143:AU144 AU152:AU164 AU245:AU325 AU393:AU404 AU412:AU421 AU423:AU436 AU438:AU473 AU575:AU586 AU588:AU589 AU591:AU618 AU620:AU939">
    <cfRule type="duplicateValues" dxfId="128" priority="1277"/>
  </conditionalFormatting>
  <conditionalFormatting sqref="AU521">
    <cfRule type="duplicateValues" dxfId="127" priority="44"/>
    <cfRule type="duplicateValues" dxfId="126" priority="45"/>
  </conditionalFormatting>
  <conditionalFormatting sqref="AU549">
    <cfRule type="duplicateValues" dxfId="125" priority="30"/>
    <cfRule type="duplicateValues" dxfId="124" priority="31"/>
  </conditionalFormatting>
  <conditionalFormatting sqref="AU619 AU590 AU587 AU574">
    <cfRule type="duplicateValues" dxfId="123" priority="2"/>
  </conditionalFormatting>
  <conditionalFormatting sqref="AU940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1:BB671">
    <cfRule type="cellIs" dxfId="115" priority="106" operator="between">
      <formula>36526</formula>
      <formula>402133</formula>
    </cfRule>
  </conditionalFormatting>
  <conditionalFormatting sqref="BA680:BB680">
    <cfRule type="cellIs" dxfId="114" priority="103" operator="between">
      <formula>36526</formula>
      <formula>402133</formula>
    </cfRule>
  </conditionalFormatting>
  <conditionalFormatting sqref="BA715:BB715">
    <cfRule type="cellIs" dxfId="113" priority="100" operator="between">
      <formula>36526</formula>
      <formula>402133</formula>
    </cfRule>
  </conditionalFormatting>
  <conditionalFormatting sqref="BA725:BB725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6:BC456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0:BB180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1 BD463:BD480 BD482:BD548 BD550 BD552:BD593 BD595:BD1048576">
    <cfRule type="cellIs" dxfId="106" priority="72" operator="between">
      <formula>36526</formula>
      <formula>402133</formula>
    </cfRule>
  </conditionalFormatting>
  <conditionalFormatting sqref="BD481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3">
    <cfRule type="cellIs" dxfId="85" priority="61" operator="between">
      <formula>36526</formula>
      <formula>402133</formula>
    </cfRule>
  </conditionalFormatting>
  <conditionalFormatting sqref="BE168">
    <cfRule type="cellIs" dxfId="84" priority="52" operator="between">
      <formula>36526</formula>
      <formula>402133</formula>
    </cfRule>
  </conditionalFormatting>
  <conditionalFormatting sqref="BE170">
    <cfRule type="cellIs" dxfId="83" priority="541" operator="between">
      <formula>36526</formula>
      <formula>402133</formula>
    </cfRule>
  </conditionalFormatting>
  <conditionalFormatting sqref="BE175:BE177">
    <cfRule type="cellIs" dxfId="82" priority="125" operator="between">
      <formula>36526</formula>
      <formula>402133</formula>
    </cfRule>
  </conditionalFormatting>
  <conditionalFormatting sqref="BE182:BE183">
    <cfRule type="cellIs" dxfId="81" priority="58" operator="between">
      <formula>36526</formula>
      <formula>402133</formula>
    </cfRule>
  </conditionalFormatting>
  <conditionalFormatting sqref="BE206">
    <cfRule type="cellIs" dxfId="80" priority="24" operator="between">
      <formula>36526</formula>
      <formula>402133</formula>
    </cfRule>
  </conditionalFormatting>
  <conditionalFormatting sqref="BE216">
    <cfRule type="cellIs" dxfId="79" priority="224" operator="between">
      <formula>36526</formula>
      <formula>402133</formula>
    </cfRule>
  </conditionalFormatting>
  <conditionalFormatting sqref="BE220">
    <cfRule type="cellIs" dxfId="78" priority="116" operator="between">
      <formula>36526</formula>
      <formula>402133</formula>
    </cfRule>
  </conditionalFormatting>
  <conditionalFormatting sqref="BE224">
    <cfRule type="cellIs" dxfId="77" priority="76" operator="between">
      <formula>36526</formula>
      <formula>402133</formula>
    </cfRule>
  </conditionalFormatting>
  <conditionalFormatting sqref="BE240:BE241">
    <cfRule type="cellIs" dxfId="76" priority="221" operator="between">
      <formula>36526</formula>
      <formula>402133</formula>
    </cfRule>
  </conditionalFormatting>
  <conditionalFormatting sqref="BE258">
    <cfRule type="cellIs" dxfId="75" priority="676" operator="between">
      <formula>36526</formula>
      <formula>402133</formula>
    </cfRule>
  </conditionalFormatting>
  <conditionalFormatting sqref="BE262">
    <cfRule type="cellIs" dxfId="74" priority="75" operator="between">
      <formula>36526</formula>
      <formula>402133</formula>
    </cfRule>
  </conditionalFormatting>
  <conditionalFormatting sqref="BE264">
    <cfRule type="cellIs" dxfId="73" priority="220" operator="between">
      <formula>36526</formula>
      <formula>402133</formula>
    </cfRule>
  </conditionalFormatting>
  <conditionalFormatting sqref="BE266">
    <cfRule type="cellIs" dxfId="72" priority="219" operator="between">
      <formula>36526</formula>
      <formula>402133</formula>
    </cfRule>
  </conditionalFormatting>
  <conditionalFormatting sqref="BE268">
    <cfRule type="cellIs" dxfId="71" priority="74" operator="between">
      <formula>36526</formula>
      <formula>402133</formula>
    </cfRule>
  </conditionalFormatting>
  <conditionalFormatting sqref="BE273">
    <cfRule type="cellIs" dxfId="70" priority="218" operator="between">
      <formula>36526</formula>
      <formula>402133</formula>
    </cfRule>
  </conditionalFormatting>
  <conditionalFormatting sqref="BE275">
    <cfRule type="cellIs" dxfId="69" priority="217" operator="between">
      <formula>36526</formula>
      <formula>402133</formula>
    </cfRule>
  </conditionalFormatting>
  <conditionalFormatting sqref="BE279">
    <cfRule type="cellIs" dxfId="68" priority="672" operator="between">
      <formula>36526</formula>
      <formula>402133</formula>
    </cfRule>
  </conditionalFormatting>
  <conditionalFormatting sqref="BE326">
    <cfRule type="cellIs" dxfId="67" priority="216" operator="between">
      <formula>36526</formula>
      <formula>402133</formula>
    </cfRule>
  </conditionalFormatting>
  <conditionalFormatting sqref="BE329:BE330">
    <cfRule type="cellIs" dxfId="66" priority="51" operator="between">
      <formula>36526</formula>
      <formula>402133</formula>
    </cfRule>
  </conditionalFormatting>
  <conditionalFormatting sqref="BE333">
    <cfRule type="cellIs" dxfId="65" priority="529" operator="between">
      <formula>36526</formula>
      <formula>402133</formula>
    </cfRule>
  </conditionalFormatting>
  <conditionalFormatting sqref="BE341">
    <cfRule type="cellIs" dxfId="64" priority="528" operator="between">
      <formula>36526</formula>
      <formula>402133</formula>
    </cfRule>
  </conditionalFormatting>
  <conditionalFormatting sqref="BE347">
    <cfRule type="cellIs" dxfId="63" priority="523" operator="between">
      <formula>36526</formula>
      <formula>402133</formula>
    </cfRule>
  </conditionalFormatting>
  <conditionalFormatting sqref="BE361">
    <cfRule type="cellIs" dxfId="62" priority="524" operator="between">
      <formula>36526</formula>
      <formula>402133</formula>
    </cfRule>
  </conditionalFormatting>
  <conditionalFormatting sqref="BE364">
    <cfRule type="cellIs" dxfId="61" priority="214" operator="between">
      <formula>36526</formula>
      <formula>402133</formula>
    </cfRule>
  </conditionalFormatting>
  <conditionalFormatting sqref="BE368:BE369">
    <cfRule type="cellIs" dxfId="60" priority="213" operator="between">
      <formula>36526</formula>
      <formula>402133</formula>
    </cfRule>
  </conditionalFormatting>
  <conditionalFormatting sqref="BE373">
    <cfRule type="cellIs" dxfId="59" priority="212" operator="between">
      <formula>36526</formula>
      <formula>402133</formula>
    </cfRule>
  </conditionalFormatting>
  <conditionalFormatting sqref="BE378">
    <cfRule type="cellIs" dxfId="58" priority="211" operator="between">
      <formula>36526</formula>
      <formula>402133</formula>
    </cfRule>
  </conditionalFormatting>
  <conditionalFormatting sqref="BE386">
    <cfRule type="cellIs" dxfId="57" priority="57" operator="between">
      <formula>36526</formula>
      <formula>402133</formula>
    </cfRule>
  </conditionalFormatting>
  <conditionalFormatting sqref="BE406">
    <cfRule type="cellIs" dxfId="56" priority="56" operator="between">
      <formula>36526</formula>
      <formula>402133</formula>
    </cfRule>
  </conditionalFormatting>
  <conditionalFormatting sqref="BE411:BE412">
    <cfRule type="cellIs" dxfId="55" priority="210" operator="between">
      <formula>36526</formula>
      <formula>402133</formula>
    </cfRule>
  </conditionalFormatting>
  <conditionalFormatting sqref="BE414">
    <cfRule type="cellIs" dxfId="54" priority="21" operator="between">
      <formula>36526</formula>
      <formula>402133</formula>
    </cfRule>
  </conditionalFormatting>
  <conditionalFormatting sqref="BE424:BE425">
    <cfRule type="cellIs" dxfId="53" priority="209" operator="between">
      <formula>36526</formula>
      <formula>402133</formula>
    </cfRule>
  </conditionalFormatting>
  <conditionalFormatting sqref="BE432">
    <cfRule type="cellIs" dxfId="52" priority="525" operator="between">
      <formula>36526</formula>
      <formula>402133</formula>
    </cfRule>
  </conditionalFormatting>
  <conditionalFormatting sqref="BE440">
    <cfRule type="cellIs" dxfId="51" priority="17" operator="between">
      <formula>36526</formula>
      <formula>402133</formula>
    </cfRule>
  </conditionalFormatting>
  <conditionalFormatting sqref="BE487">
    <cfRule type="cellIs" dxfId="50" priority="54" operator="between">
      <formula>36526</formula>
      <formula>402133</formula>
    </cfRule>
  </conditionalFormatting>
  <conditionalFormatting sqref="BE512">
    <cfRule type="cellIs" dxfId="49" priority="73" operator="between">
      <formula>36526</formula>
      <formula>402133</formula>
    </cfRule>
  </conditionalFormatting>
  <conditionalFormatting sqref="BE563">
    <cfRule type="cellIs" dxfId="48" priority="53" operator="between">
      <formula>36526</formula>
      <formula>402133</formula>
    </cfRule>
  </conditionalFormatting>
  <conditionalFormatting sqref="BE641:BE642">
    <cfRule type="cellIs" dxfId="47" priority="110" operator="between">
      <formula>36526</formula>
      <formula>402133</formula>
    </cfRule>
  </conditionalFormatting>
  <conditionalFormatting sqref="BE649">
    <cfRule type="cellIs" dxfId="46" priority="109" operator="between">
      <formula>36526</formula>
      <formula>402133</formula>
    </cfRule>
  </conditionalFormatting>
  <conditionalFormatting sqref="BE654">
    <cfRule type="cellIs" dxfId="45" priority="108" operator="between">
      <formula>36526</formula>
      <formula>402133</formula>
    </cfRule>
  </conditionalFormatting>
  <conditionalFormatting sqref="BE659">
    <cfRule type="cellIs" dxfId="44" priority="107" operator="between">
      <formula>36526</formula>
      <formula>402133</formula>
    </cfRule>
  </conditionalFormatting>
  <conditionalFormatting sqref="BE679">
    <cfRule type="cellIs" dxfId="43" priority="105" operator="between">
      <formula>36526</formula>
      <formula>402133</formula>
    </cfRule>
  </conditionalFormatting>
  <conditionalFormatting sqref="BE696">
    <cfRule type="cellIs" dxfId="42" priority="102" operator="between">
      <formula>36526</formula>
      <formula>402133</formula>
    </cfRule>
  </conditionalFormatting>
  <conditionalFormatting sqref="BE716:BE717">
    <cfRule type="cellIs" dxfId="41" priority="99" operator="between">
      <formula>36526</formula>
      <formula>402133</formula>
    </cfRule>
  </conditionalFormatting>
  <conditionalFormatting sqref="BE723">
    <cfRule type="cellIs" dxfId="40" priority="98" operator="between">
      <formula>36526</formula>
      <formula>402133</formula>
    </cfRule>
  </conditionalFormatting>
  <conditionalFormatting sqref="BG1:BG873 BG875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5" operator="equal">
      <formula>"AA"</formula>
    </cfRule>
    <cfRule type="cellIs" dxfId="37" priority="194" operator="equal">
      <formula>"INDENIZAÇÃO"</formula>
    </cfRule>
  </conditionalFormatting>
  <conditionalFormatting sqref="BI5:BI1179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6:AT258 AT251 AT266 AT273 BA541:BB541 BD650:BD652 AT411:AT412 BA515:BB515 AT240 AT268 AY356:AY360 AY210:AY212 AT364 BA501 Z144:Z145 AV6:BD6 AT263 AZ256:BD256 AV515:AY515 AV504:BA505 AX536:BD536 AZ273 BA556:BB556 AZ100:BD100 BB533:BC533 Z155 AT360:AT362 AV419 AY214:AY215 AT199:AT201 Z173 AT215 AT206:AT208 AT270 AV61:AW62 Z426 AT227:AT229 AZ577 AZ640:BB640 BD523:BD526 Z417 AY597 AT254 AV453:BA453 AY600:AZ600 BA417:BA426 AI61:AJ61 BA270:BA274 BB490:BB507 AV334:AW339 Z38:Z41 AV527:BD527 AX249:AY254 AT158 AV561:AV562 BD695 AI625:AI630 E5:E808 AV628 Z36 AV200:BA200 Z11:Z16 Z470:Z474 BH5:BH1754 AV299 Z108 Z110 Z120:Z121 BA18:BB20 Z137 Z140 Z142 Z303:Z305 AX372 AV480:AW480 AV39:AW40 AX556:AY556 AY271:AY276 AX269:AZ269 BA296:BC297 Z264:Z298 Z307:Z314 Z318 AV249:AW251 BA201:BA202 BD528:BD535 BD488:BD489 AV632:BA632 AY516:BD516 AV22:AW24 AZ394:AZ396 AZ299 AX388:AX390 AX569 AY602:AZ602 AV206 BA522:BD522 AY284:BC288 AV288 AY278:AY282 AV346:AW346 AV351:AV354 BB601:BD601 AV26:AW28 AV30:AW32 AV37:AW37 AV66:AW69 AV71:AW75 AV77:AW82 AV86:AW86 AV90:AW94 AW181:AW184 AV198 BN315:BP319 AV207:AW208 AV666 AV228:AV231 AV234:AX234 AV253:AW254 AV256:AV260 AV270:AW272 AV274:AX274 AV281:AW281 AV283:AV286 AV300:AW302 AI726:AI869 AX300:BC311 AV171:AW174 AV275:AV279 AV332:AW332 AX346:BA349 AV341:AV344 AV187:AW188 AV348 AV210:AW211 AV362:AW362 AV372 AV190:AW197 AZ387:AZ390 AV454 AZ270:AZ271 AV737 BD736:BE736 AX577 BE582:BE583 BD593:BE593 BE596 BD602:BE602 BE608:BE610 BD686:BE686 BD692:BE692 BD694:BE694 Z331:Z341 Z476:Z477 BB407:BE412 AV470:AX471 AX36:AY42 AW352:AW354 AV10:AV11 AV19:AV20 AW284:AX286 AV25 AV29 AV33 AV36 AV38 AV41 AV60 AV70 AV76 AV83:AV85 AV87:AV89 AT167 AV185:AW185 AV199:AW199 AV232:AW232 AW278:AW279 AV294:AW294 AV290:AV293 AW343:AW344 AV349:AW349 AV266:AV268 AW376:AW381 AV511 AV517 AV532 AV541 AV557 AV566:AV567 AV569 AV577 AV367:AW370 AV201:AW202 AV597 AV649:AV650 AX472:AY472 BD673:BD678 AV695:AV696 BB577:BD577 BA277:BA282 BB269:BD269 AZ275:AZ282 AX270:AX273 AX394:AX403 AY406:AY407 AV21:BE21 BD603:BD605 AV261:AX261 AX276:AX283 Z450:Z452 BD623 AV18:AX18 AY532:AZ532 AY540:BE540 BB295 AX663:BA663 AT163:AT165 BD767:BD787 AY268:BB268 AV357:AW360 AY5:BD5 AV5:AW5 AY410:AY415 BD662 AV500:AZ501 BD625:BD626 AY635:AZ635 AY676:AZ676 AX129:AX144 AZ262:AZ266 AV582:BB582 AX717:BB717 BA675:BB675 Z444:Z446 AV458:BA460 AZ259:BD259 AW257:AX260 AY483:BD483 BA289:BB294 BD173:BD180 AV463:AW463 Z698 AW147:AW160 AV465:AW467 AY432:BA433 AW432:AX432 BD571:BD572 AV42:AW42 Z498:Z500 AV49:AW59 AV46:AY48 AV64:AX65 AX480:AZ481 AV608:AV610 BA101:BD101 AV43 BD198:BE203 BA196 AV240:AW247 AV236:AW238 AZ246:AZ247 AZ249:AZ253 AX239:AY247 AY256:AY260 BA210:BD211 AV304:AW311 AX351:AZ354 BA350:BA354 BA173:BA178 AV355:BE355 BB45:BB49 AV364:AW364 AY397:AZ403 AZ406:BE406 AV441:AV442 AW134:AW144 AV421:AW428 AV375:AV381 BC289:BC295 BD629:BD634 BD636 AV638:BE638 AY197:BE197 AY262:AY267 AV95:AV107 AX219:AX223 AV213:AW215 AV216 AV551 BA573:BD574 AY330:BA345 BA260:BD260 BD491:BE511 BN112:BQ112 Z113:Z114 Z104:Z106 AY45:BA45 AY152:AY155 AX109:AY110 Z245:Z262 Z181:Z215 AT247:AT249 AI670 Z430:Z432 Z434:Z436 Z397:Z415 Z454:Z455 Z458:Z460 Z462 Z465 Z467 Z484:Z487 Z489:Z491 Z493:Z495 AX19 Z502:Z503 Z505 AX233 AZ261:BE261 AZ369:BA369 AI62:AI474 AX659 AV571:BA572 AV204:AX205 AV429:BA429 AX356:AX364 BB609:BC609 AY486 AX104:AY107 AZ103:BC107 AY611:BC611 AX201:AZ203 AX552 AX50:BC62 AV329:AV330 AX207:AX215 AV161:AW164 AV657 AV262 AV326:AW328 AX266 AV659 BA387:BA402 AW441:AX441 AW267:AX267 AY427:BA428 BN18 BD131 BA224:BA229 BN193:BN194 AZ423:AZ426 AV44:AY44 AZ46:BA49 BC145:BC146 Z440 AX176:AX178 AZ221 AY219:AY221 AX238:AZ238 BA232:BA247 AX225:AX227 BC112:BE112 AZ239:AZ244 AY329:AZ329 AY362 AV324:BA325 AX484:AY485 AY363:BB364 AY372:BA373 BD666:BD670 BB578:BB581 AZ36:BB44 AZ102:BE102 BC298:BC299 AY146:AY147 AY466 BD724 AV521:BE521 Z6 Z8:Z9 Z18:Z20 Z22 Z24:Z34 Z43:Z52 Z54:Z65 Z67:Z102 Z178:Z179 Z391:Z395 Z300:Z301 Z321:Z329 O94:V94 BN154:BQ154 AY222:BA223 AV313:AX313 AZ356:BB362 AZ437 AY417 AV494:BA497 BB236:BD247 BE256:BE260 AV482:BB482 AX114:BE114 BB200:BC203 AZ212:BD215 AV217:BE218 AZ224:AZ237 BB270:BC283 AY368:BE368 AX366:BE367 Z420 AU420:AW420 AY313:BA314 AX369:AX370 AY370:BA370 AV383:AW396 AV431:AV433 BA438:BA439 AV437:AX439 AY441:BA443 AV446:BA446 AV448:BA450 AI612:AI615 AI617:AI618 AI620:AI621 AI623 AI632:AI634 AI636 AI638:AI639 AI643:AI648 AI650:AI652 AI655:AI656 AI660:AI668 AI672:AI714 AI718:AI722 AI724 AV296:AV297 AV177:AW178 Z129:Z130 BN376:BP376 AZ109:BC111 AZ289:AZ297 AV583:AV587 AV663 AY18:AY20 AY224:AY231 BC579 BD356:BE365 BP155:BP156 AZ156 AX323:BB323 BA480 AV34:BD35 AV248:BE248 AX198:BC199 BD270:BD272 BE22:BE49 BC36:BD49 BD225:BD235 BN173:BQ173 AX22:BD33 AZ219:BE220 AY63:BC65 AV490:BA491 BD537:BD539 BD648:BE648 BA262:BB267 AX181:AX185 AX511:BA511 BB156:BC156 BO208:BQ208 BN206:BN208 BN84:BN90 BN95:BQ95 BD129 BN136:BQ136 BN139:BQ139 BN146:BQ146 BN355:BQ355 BN300:BQ300 BN197:BQ197 BN192:BQ192 AV462 BN622:BQ622 AZ16:AZ20 AZ112:AZ113 AY419:AY426 BC488:BC507 BA16:BB16 BA257:BD258 BB569:BD569 AY653:BC653 BD50:BE64 BB224:BC235 BB17 BD103:BE111 BD564:BE566 BN161:BQ162 AY290:AY297 AV219:AW226 AY233:AY237 AX235:AX237 AV264:AX264 AX288:AX299 AV474:AX475 BO84:BQ85 BO87:BQ89 BN188:BQ190 AV594:AV595 AV464 AZ145:AZ146 AW415:AW417 AY157:AY158 AV318:BA318 AW10:BC10 BC16:BC20 AZ8:BB9 BB66:BB96 AY216:BE216 AV255:BE255 BA249:BE254 AV312:BC312 BC356:BC364 AV365:BC365 AW168:AW169 BD513:BD515 AV554:BC554 AV544:BC545 AV410:AX412 AY564:BC565 AX568:BE568 BD567 AV575:BE576 BD578 BB600:BE600 AY606:BE607 BD597:BD599 BA613:BD613 BD612 BD614:BD615 BD617:BD621 AV627:BE627 BB630:BC632 BE630:BE632 AV634:BC634 BE634 AV646:BE646 BD643:BD645 BD647 AY657:BD657 BB661:BD661 BD660 BB665:BE665 BD664 AV672:BD672 BB691:BE691 BD684:BE684 BD681:BD683 BD685 BD687:BD690 BD693 BB697:BD697 BD698:BD714 BD718:BD722 BB764:BE764 BD726:BD735 BD737:BD763 BD765 AX789:BD789 BD482 BA113:BE113 AX512:BE512 BD224:BE224 BB221:BE223 BE225:BE247 BE269:BE272 BC262:BE268 AY205:BD209 AY298:BB298 BD7:BD20 BA146:BB146 BP20 BP35 BP42 BP44:BP45 BP49 BP65 BP109 BN102:BP102 BP122 BP124:BP125 BP128 BP134:BP135 BP137 BP148:BP153 BP196 BP191 BP179:BP182 BP174:BP176 BP167 AV320:AX322 BB313:BC318 AY181:BD181 BP329 AV413:AV417 AV455:BA456 BB157:BE158 AK6:AP373 BN236:BQ236 BN246:BP246 BN248:BQ248 BN252:BP252 BN254:BP254 BN257:BP257 BN270:BP270 BN295:BP295 BN342:BP342 BN350:BP350 BN391:BP391 BN399:BP399 BN428:BP428 BN717:BQ717 AX563:BE563 AZ147:BC155 AW587 AW595 AV483:AV488 AW484:AW488 AX487:AX488 AZ488:BB488 AX656:BC656 AX180:BA180 BD587:BD592 AZ410:AZ412 AZ551:BD551 AY487:BD487 AV406:AX406 AV129:AV132 AX187:AX197 AX326:AX345 BE551:BE561 AZ173:AZ179 BD790:BD806 BD580:BD585 BB369:BE380 BE487:BE489 BD655 BE206:BE215 BN8:BQ9 BN15 BN98:BN99 BN113 BN147 BN156:BO156 BN159:BQ159 BN179:BO179 BN200:BQ200 BN204:BQ204 BN210:BQ210 BN212:BQ212 BN215:BQ215 BN219:BQ219 Z343:Z384 AX374:AX386 AV126:AY128 Z241:Z243 AV134:AV160 AX123:AY125 BD552:BD561 BO17:BQ17 BO206:BQ206 BO153 AV180:AV184 AY136:AY139 AY375:AY396 AZ415:AZ421 BA408:BA412 AV109:AW114 AV116:AW125 AW96:AW107 AV165:AV170 BE66:BE101 AY160:BD160 AX117:AY121 AW129:AW131 AY473:BA475 AX67:AX101 BD159:BE159 AZ157:BA159 BD415:BE458 AY204:BE204 AW166 BB98:BB99 AX146:AX174 BQ427 AV398:AW405 BA182:BA194 AX465:AX468 AY471 AV477:AX478 BD517:BD520 BB468:BB480 AZ374:AZ381 BA374:BA380 AX404:BA405 BB455:BB461 AI476:AI610 BE5:BE20 AX462:BD463 AX122:BD122 Z386:Z388 AY319:BC322 BA548:BE548 AY66:AY102 AY129:AY133 AY166:AY178 BD594:BD595 AY522 AY182:AZ196 AZ66:BA99 AZ166:BA172 AV115:BD115 AY326:BA328 BC323:BC354 AZ413:BE414 AX454:BB454 AY477:BA479 AZ470:BA472 BC468:BC482 BB324:BB354 BC441:BC461 BB441:BB453 AV408:AX408 AZ407:AZ408 BC66:BD99 AZ116:BE121 AX594:BC594 BD130:BE130 AZ129:BC140 BN129:BQ129 BN132:BN133 BD132:BE155 AY141:BC144 BN170:BQ170 BD161:BE172 BE173:BE181 BB166:BC180 BB182:BE196 BA381:BE381 AZ382:BC386 BD382:BE405 BB387:BC405 BC417:BC439 AI5:AI60 BA415:BC416 BD459:BD461 BD273:BE354 BE459:BE463 AZ464:BC467 BD478:BD480 BD486:BE486 BE478:BE485 AZ484:BC486 BD484:BD485 BE522:BE539 BE513:BE520 BD542:BE547 AV549:BE549 BD550:BE550 AY562:BE562 AX586:BE586 BD809:BD979 AV807:BE808 BD464:BE477 BO193:BP193 BQ96 BQ153 BQ157 BQ179 BN221:BQ222 BQ227 BQ238 BQ242 BQ245 BQ261 BQ286 BQ306:BQ308 BQ333 BQ341 BQ352 BQ358 BQ361 BQ387 BQ397 AX431:AZ431 BN224:BP224 BB432:BB439 BB417:BB430 AZ123:BE128 BN171:BP172 BN166:BP166 BN144:BP144 BN141:BP141 BO132:BP132 BN126:BP126 BN123:BP123 BN121:BP121 BN116:BP119 BN97:BP97 BO99:BP99 BN130:BP130 BN169:BP169 BN184:BP184 AI475:AJ475 AK623:AP624 AK618:AP621 AY161:BC165 AX415:AX428 AX574 BN127 BN234:BN235 BN237 BN239:BN240 BN262:BN263 BN265 BN268:BN269 BN272 BN274:BN275 BN278 BN283 BN285 BN289 BN291:BN292 BN296:BN299 BN301:BN302" xr:uid="{42DBC0A4-72CF-48C5-9B14-5B05F91E4FAB}"/>
    <dataValidation type="list" allowBlank="1" showInputMessage="1" showErrorMessage="1" sqref="AE521 AS788:AS839 AS590 AS493:AS497 AS715:AS721 AS653:AS664 AS622:AS629 AS606:AS613 AS579:AS587 AS560:AS577 AS453:AS456 AS431:AS433 AS437:AS443 AS446:AS450 AS619:AS620 AS470:AS475 AS462:AS468 AS500:AS501 AS504:AS505 AS511:AS554 AS556:AS558 AS458:AS460 AS602 AS594:AS600 AS616:AS617 AS631:AS632 AS634:AS651 AS666:AS668 AS683 AS690 AS671:AS681 AS705 AS712 AS695:AS701 AS723:AS727 AS729:AS733 AS737 AS740 AS746:AS748 AS754 AS759:AS760 AS766:AS767 AS775 AS778:AS779 AS786 AS318:AS429 AS5:AS314 AU489:BB489 AS477:AS491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B5:B1464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7832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7832</v>
      </c>
    </row>
    <row r="6" spans="1:5" ht="20.25" customHeight="1">
      <c r="A6" s="311" t="s">
        <v>4396</v>
      </c>
      <c r="B6" s="311" t="s">
        <v>4413</v>
      </c>
      <c r="C6" s="311" t="s">
        <v>6186</v>
      </c>
      <c r="D6" s="322" t="s">
        <v>6191</v>
      </c>
      <c r="E6" s="312">
        <v>46267</v>
      </c>
    </row>
    <row r="7" spans="1:5" ht="20.25" customHeight="1">
      <c r="A7" s="311" t="s">
        <v>4396</v>
      </c>
      <c r="B7" s="311" t="s">
        <v>4427</v>
      </c>
      <c r="C7" s="311" t="s">
        <v>6292</v>
      </c>
      <c r="D7" s="322" t="s">
        <v>6293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5030</v>
      </c>
      <c r="D36" s="148" t="s">
        <v>5034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5133</v>
      </c>
      <c r="D37" s="148" t="s">
        <v>5137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5144</v>
      </c>
      <c r="D38" s="148" t="s">
        <v>5149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5158</v>
      </c>
      <c r="D39" s="148" t="s">
        <v>5163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5219</v>
      </c>
      <c r="D40" s="148" t="s">
        <v>5220</v>
      </c>
      <c r="E40" s="150">
        <v>46237</v>
      </c>
    </row>
    <row r="41" spans="1:5" ht="20.25" customHeight="1">
      <c r="A41" s="147" t="s">
        <v>4396</v>
      </c>
      <c r="B41" s="147" t="s">
        <v>4427</v>
      </c>
      <c r="C41" s="147" t="s">
        <v>5254</v>
      </c>
      <c r="D41" s="148" t="s">
        <v>5259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5814</v>
      </c>
      <c r="D42" s="148" t="s">
        <v>5821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6172</v>
      </c>
      <c r="D43" s="148" t="s">
        <v>6176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7833</v>
      </c>
      <c r="B60" s="111"/>
      <c r="C60" s="111" t="s">
        <v>7834</v>
      </c>
      <c r="D60" s="111" t="s">
        <v>7835</v>
      </c>
      <c r="E60" s="98"/>
    </row>
    <row r="61" spans="1:5" ht="20.25" customHeight="1">
      <c r="A61" s="111" t="s">
        <v>7833</v>
      </c>
      <c r="B61" s="111"/>
      <c r="C61" s="111" t="s">
        <v>7836</v>
      </c>
      <c r="D61" s="111" t="s">
        <v>7837</v>
      </c>
      <c r="E61" s="98" t="s">
        <v>4437</v>
      </c>
    </row>
    <row r="62" spans="1:5" ht="20.25" customHeight="1">
      <c r="A62" s="111" t="s">
        <v>7833</v>
      </c>
      <c r="B62" s="111"/>
      <c r="C62" s="111" t="s">
        <v>7838</v>
      </c>
      <c r="D62" s="111" t="s">
        <v>7839</v>
      </c>
      <c r="E62" s="98"/>
    </row>
    <row r="63" spans="1:5" ht="20.25" customHeight="1">
      <c r="A63" s="111" t="s">
        <v>7833</v>
      </c>
      <c r="B63" s="111"/>
      <c r="C63" s="111" t="s">
        <v>7840</v>
      </c>
      <c r="D63" s="111" t="s">
        <v>7841</v>
      </c>
      <c r="E63" s="98"/>
    </row>
    <row r="64" spans="1:5" ht="20.25" customHeight="1">
      <c r="A64" s="111" t="s">
        <v>7833</v>
      </c>
      <c r="B64" s="111"/>
      <c r="C64" s="111" t="s">
        <v>7842</v>
      </c>
      <c r="D64" s="111" t="s">
        <v>7843</v>
      </c>
      <c r="E64" s="100">
        <v>44877</v>
      </c>
    </row>
    <row r="65" spans="1:5" ht="20.25" customHeight="1">
      <c r="A65" s="111" t="s">
        <v>7833</v>
      </c>
      <c r="B65" s="111"/>
      <c r="C65" s="111" t="s">
        <v>7844</v>
      </c>
      <c r="D65" s="111" t="s">
        <v>7845</v>
      </c>
      <c r="E65" s="100">
        <v>44876</v>
      </c>
    </row>
    <row r="66" spans="1:5" ht="20.25" customHeight="1">
      <c r="A66" s="111" t="s">
        <v>7833</v>
      </c>
      <c r="B66" s="111"/>
      <c r="C66" s="111" t="s">
        <v>7846</v>
      </c>
      <c r="D66" s="111" t="s">
        <v>7847</v>
      </c>
      <c r="E66" s="100">
        <v>44910</v>
      </c>
    </row>
    <row r="67" spans="1:5" ht="20.25" customHeight="1">
      <c r="A67" s="111" t="s">
        <v>7833</v>
      </c>
      <c r="B67" s="111"/>
      <c r="C67" s="111" t="s">
        <v>7848</v>
      </c>
      <c r="D67" s="111" t="s">
        <v>7849</v>
      </c>
      <c r="E67" s="103">
        <v>45148</v>
      </c>
    </row>
    <row r="68" spans="1:5" ht="20.25" customHeight="1">
      <c r="A68" s="111" t="s">
        <v>7833</v>
      </c>
      <c r="B68" s="111"/>
      <c r="C68" s="111" t="s">
        <v>7850</v>
      </c>
      <c r="D68" s="111" t="s">
        <v>7851</v>
      </c>
      <c r="E68" s="103">
        <v>45065</v>
      </c>
    </row>
    <row r="69" spans="1:5" ht="20.25" customHeight="1">
      <c r="A69" s="111" t="s">
        <v>7833</v>
      </c>
      <c r="B69" s="111"/>
      <c r="C69" s="111" t="s">
        <v>7852</v>
      </c>
      <c r="D69" s="111" t="s">
        <v>7853</v>
      </c>
      <c r="E69" s="103">
        <v>45049</v>
      </c>
    </row>
    <row r="70" spans="1:5" ht="20.25" customHeight="1">
      <c r="A70" s="111" t="s">
        <v>7833</v>
      </c>
      <c r="B70" s="111"/>
      <c r="C70" s="111" t="s">
        <v>7854</v>
      </c>
      <c r="D70" s="111" t="s">
        <v>7855</v>
      </c>
      <c r="E70" s="103">
        <v>45065</v>
      </c>
    </row>
    <row r="71" spans="1:5" ht="20.25" customHeight="1">
      <c r="A71" s="111" t="s">
        <v>7833</v>
      </c>
      <c r="B71" s="111"/>
      <c r="C71" s="111" t="s">
        <v>7856</v>
      </c>
      <c r="D71" s="111" t="s">
        <v>7857</v>
      </c>
      <c r="E71" s="100">
        <v>44922</v>
      </c>
    </row>
    <row r="72" spans="1:5" ht="20.25" customHeight="1">
      <c r="A72" s="111" t="s">
        <v>7833</v>
      </c>
      <c r="B72" s="111"/>
      <c r="C72" s="111" t="s">
        <v>7858</v>
      </c>
      <c r="D72" s="111" t="s">
        <v>7859</v>
      </c>
      <c r="E72" s="100">
        <v>44961</v>
      </c>
    </row>
    <row r="73" spans="1:5" ht="20.25" customHeight="1">
      <c r="A73" s="111" t="s">
        <v>7833</v>
      </c>
      <c r="B73" s="111"/>
      <c r="C73" s="111" t="s">
        <v>7860</v>
      </c>
      <c r="D73" s="111" t="s">
        <v>7861</v>
      </c>
      <c r="E73" s="98" t="s">
        <v>4437</v>
      </c>
    </row>
    <row r="74" spans="1:5" ht="20.25" customHeight="1">
      <c r="A74" s="111" t="s">
        <v>7833</v>
      </c>
      <c r="B74" s="111"/>
      <c r="C74" s="111" t="s">
        <v>7862</v>
      </c>
      <c r="D74" s="111" t="s">
        <v>7863</v>
      </c>
      <c r="E74" s="103">
        <v>45049</v>
      </c>
    </row>
    <row r="75" spans="1:5" ht="20.25" customHeight="1">
      <c r="A75" s="111" t="s">
        <v>7833</v>
      </c>
      <c r="B75" s="111"/>
      <c r="C75" s="112" t="s">
        <v>7864</v>
      </c>
      <c r="D75" s="113" t="s">
        <v>7865</v>
      </c>
      <c r="E75" s="98" t="s">
        <v>4437</v>
      </c>
    </row>
    <row r="76" spans="1:5" ht="20.25" customHeight="1">
      <c r="A76" s="111" t="s">
        <v>7833</v>
      </c>
      <c r="B76" s="111"/>
      <c r="C76" s="112" t="s">
        <v>7866</v>
      </c>
      <c r="D76" s="114" t="s">
        <v>7867</v>
      </c>
      <c r="E76" s="98" t="s">
        <v>4437</v>
      </c>
    </row>
    <row r="77" spans="1:5" ht="20.25" customHeight="1">
      <c r="C77" s="115"/>
      <c r="D77" s="116"/>
      <c r="E77" s="98" t="s">
        <v>4437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4437</v>
      </c>
    </row>
    <row r="81" spans="3:5" ht="20.25" customHeight="1">
      <c r="C81" s="91"/>
      <c r="D81" s="117"/>
      <c r="E81" s="98" t="s">
        <v>4437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4437</v>
      </c>
    </row>
    <row r="84" spans="3:5" ht="20.25" customHeight="1">
      <c r="C84" s="91"/>
      <c r="E84" s="98" t="s">
        <v>4437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4437</v>
      </c>
    </row>
    <row r="87" spans="3:5" ht="20.25" customHeight="1">
      <c r="C87" s="91"/>
      <c r="E87" s="98" t="s">
        <v>4437</v>
      </c>
    </row>
    <row r="88" spans="3:5" ht="20.25" customHeight="1">
      <c r="C88" s="91"/>
      <c r="E88" s="98" t="s">
        <v>4437</v>
      </c>
    </row>
    <row r="89" spans="3:5" ht="20.25" customHeight="1">
      <c r="C89" s="91"/>
      <c r="E89" s="98" t="s">
        <v>4437</v>
      </c>
    </row>
    <row r="90" spans="3:5" ht="20.25" customHeight="1">
      <c r="C90" s="96" t="s">
        <v>7868</v>
      </c>
      <c r="E90" s="98" t="s">
        <v>4437</v>
      </c>
    </row>
    <row r="91" spans="3:5" ht="20.25" customHeight="1">
      <c r="C91" s="96" t="s">
        <v>7869</v>
      </c>
      <c r="E91" s="98" t="s">
        <v>4437</v>
      </c>
    </row>
    <row r="92" spans="3:5" ht="20.25" customHeight="1">
      <c r="C92" s="91" t="s">
        <v>7870</v>
      </c>
      <c r="E92" s="98" t="s">
        <v>4437</v>
      </c>
    </row>
    <row r="93" spans="3:5" ht="20.25" customHeight="1">
      <c r="C93" s="91" t="s">
        <v>7871</v>
      </c>
      <c r="E93" s="98" t="s">
        <v>4437</v>
      </c>
    </row>
    <row r="94" spans="3:5" ht="20.25" customHeight="1">
      <c r="C94" s="91" t="s">
        <v>7872</v>
      </c>
      <c r="E94" s="98" t="s">
        <v>4437</v>
      </c>
    </row>
    <row r="95" spans="3:5" ht="20.25" customHeight="1">
      <c r="C95" s="91" t="s">
        <v>7873</v>
      </c>
      <c r="E95" s="98"/>
    </row>
    <row r="96" spans="3:5" ht="20.25" customHeight="1">
      <c r="C96" s="91" t="s">
        <v>7874</v>
      </c>
      <c r="E96" s="98"/>
    </row>
    <row r="97" spans="3:5" ht="20.25" customHeight="1">
      <c r="C97" s="91" t="s">
        <v>7875</v>
      </c>
      <c r="E97" s="110">
        <v>45013</v>
      </c>
    </row>
    <row r="98" spans="3:5" ht="20.25" customHeight="1">
      <c r="C98" s="91" t="s">
        <v>7876</v>
      </c>
      <c r="E98" s="110">
        <v>45013</v>
      </c>
    </row>
    <row r="99" spans="3:5" ht="20.25" customHeight="1">
      <c r="C99" s="91" t="s">
        <v>7877</v>
      </c>
      <c r="E99" s="98" t="s">
        <v>4437</v>
      </c>
    </row>
    <row r="100" spans="3:5" ht="20.25" customHeight="1">
      <c r="C100" s="96" t="s">
        <v>7878</v>
      </c>
      <c r="E100" s="98" t="s">
        <v>4437</v>
      </c>
    </row>
    <row r="101" spans="3:5" ht="20.25" customHeight="1">
      <c r="C101" s="91" t="s">
        <v>7879</v>
      </c>
      <c r="E101" s="100">
        <v>44853</v>
      </c>
    </row>
    <row r="102" spans="3:5" ht="20.25" customHeight="1">
      <c r="C102" s="91" t="s">
        <v>7880</v>
      </c>
      <c r="E102" s="100">
        <v>44840</v>
      </c>
    </row>
    <row r="103" spans="3:5" ht="20.25" customHeight="1">
      <c r="C103" s="91" t="s">
        <v>7881</v>
      </c>
      <c r="E103" s="100">
        <v>44840</v>
      </c>
    </row>
    <row r="104" spans="3:5" ht="20.25" customHeight="1">
      <c r="C104" s="91" t="s">
        <v>7882</v>
      </c>
      <c r="E104" s="101"/>
    </row>
    <row r="105" spans="3:5" ht="20.25" customHeight="1">
      <c r="C105" s="96" t="s">
        <v>7883</v>
      </c>
      <c r="E105" s="100">
        <v>44910</v>
      </c>
    </row>
    <row r="106" spans="3:5" ht="20.25" customHeight="1">
      <c r="C106" s="91" t="s">
        <v>7884</v>
      </c>
      <c r="E106" s="100">
        <v>44961</v>
      </c>
    </row>
    <row r="107" spans="3:5" ht="20.25" customHeight="1">
      <c r="C107" s="91" t="s">
        <v>7885</v>
      </c>
      <c r="E107" s="98" t="s">
        <v>4437</v>
      </c>
    </row>
    <row r="108" spans="3:5" ht="20.25" customHeight="1">
      <c r="C108" s="91" t="s">
        <v>7886</v>
      </c>
      <c r="E108" s="98" t="s">
        <v>4437</v>
      </c>
    </row>
    <row r="109" spans="3:5" ht="20.25" customHeight="1">
      <c r="C109" s="96" t="s">
        <v>7887</v>
      </c>
      <c r="E109" s="100">
        <v>44862</v>
      </c>
    </row>
    <row r="110" spans="3:5" ht="20.25" customHeight="1">
      <c r="C110" s="91" t="s">
        <v>7888</v>
      </c>
      <c r="E110" s="100">
        <v>44877</v>
      </c>
    </row>
    <row r="111" spans="3:5" ht="20.25" customHeight="1">
      <c r="C111" s="91" t="s">
        <v>7889</v>
      </c>
      <c r="E111" s="100">
        <v>44840</v>
      </c>
    </row>
    <row r="112" spans="3:5" ht="20.25" customHeight="1">
      <c r="C112" s="96" t="s">
        <v>7890</v>
      </c>
      <c r="E112" s="98" t="s">
        <v>4437</v>
      </c>
    </row>
    <row r="113" spans="3:5" ht="20.25" customHeight="1">
      <c r="C113" s="91" t="s">
        <v>7891</v>
      </c>
      <c r="E113" s="100">
        <v>44840</v>
      </c>
    </row>
    <row r="114" spans="3:5" ht="20.25" customHeight="1">
      <c r="C114" s="91" t="s">
        <v>7892</v>
      </c>
      <c r="E114" s="98" t="s">
        <v>4437</v>
      </c>
    </row>
    <row r="115" spans="3:5" ht="20.25" customHeight="1">
      <c r="C115" s="91" t="s">
        <v>7893</v>
      </c>
      <c r="E115" s="98" t="s">
        <v>4437</v>
      </c>
    </row>
    <row r="116" spans="3:5" ht="20.25" customHeight="1">
      <c r="C116" s="91" t="s">
        <v>7894</v>
      </c>
      <c r="E116" s="100">
        <v>44840</v>
      </c>
    </row>
    <row r="117" spans="3:5" ht="20.25" customHeight="1">
      <c r="C117" s="91" t="s">
        <v>7895</v>
      </c>
      <c r="E117" s="100">
        <v>44877</v>
      </c>
    </row>
    <row r="118" spans="3:5" ht="20.25" customHeight="1">
      <c r="C118" s="91" t="s">
        <v>7896</v>
      </c>
      <c r="E118" s="100">
        <v>44890</v>
      </c>
    </row>
    <row r="119" spans="3:5" ht="20.25" customHeight="1">
      <c r="C119" s="91" t="s">
        <v>7897</v>
      </c>
      <c r="E119" s="100">
        <v>45013</v>
      </c>
    </row>
    <row r="120" spans="3:5" ht="20.25" customHeight="1">
      <c r="C120" s="91" t="s">
        <v>7898</v>
      </c>
      <c r="E120" s="100">
        <v>45013</v>
      </c>
    </row>
    <row r="121" spans="3:5" ht="20.25" customHeight="1">
      <c r="C121" s="91" t="s">
        <v>7899</v>
      </c>
      <c r="E121" s="100"/>
    </row>
    <row r="122" spans="3:5" ht="20.25" customHeight="1">
      <c r="C122" s="91" t="s">
        <v>7900</v>
      </c>
      <c r="E122" s="100"/>
    </row>
    <row r="123" spans="3:5" ht="20.25" customHeight="1">
      <c r="C123" s="91" t="s">
        <v>7901</v>
      </c>
      <c r="E123" s="107"/>
    </row>
    <row r="124" spans="3:5" ht="20.25" customHeight="1">
      <c r="C124" s="91" t="s">
        <v>7902</v>
      </c>
      <c r="E124" s="107"/>
    </row>
    <row r="125" spans="3:5" ht="20.25" customHeight="1">
      <c r="C125" s="91" t="s">
        <v>7903</v>
      </c>
      <c r="E125" s="107"/>
    </row>
    <row r="126" spans="3:5" ht="20.25" customHeight="1">
      <c r="C126" s="96" t="s">
        <v>7904</v>
      </c>
      <c r="E126" s="107"/>
    </row>
    <row r="127" spans="3:5" ht="20.25" customHeight="1">
      <c r="C127" s="91" t="s">
        <v>7905</v>
      </c>
      <c r="E127" s="107"/>
    </row>
    <row r="128" spans="3:5" ht="20.25" customHeight="1">
      <c r="C128" s="96" t="s">
        <v>7906</v>
      </c>
      <c r="E128" s="107"/>
    </row>
    <row r="129" spans="3:5" ht="20.25" customHeight="1">
      <c r="C129" s="91" t="s">
        <v>7907</v>
      </c>
      <c r="E129" s="103">
        <v>45105</v>
      </c>
    </row>
    <row r="130" spans="3:5" ht="20.25" customHeight="1">
      <c r="C130" s="91" t="s">
        <v>7908</v>
      </c>
      <c r="E130" s="104"/>
    </row>
    <row r="131" spans="3:5" ht="20.25" customHeight="1">
      <c r="C131" s="91" t="s">
        <v>7909</v>
      </c>
      <c r="E131" s="107"/>
    </row>
    <row r="132" spans="3:5" ht="20.25" customHeight="1">
      <c r="C132" s="91" t="s">
        <v>7910</v>
      </c>
      <c r="E132" s="107"/>
    </row>
    <row r="133" spans="3:5" ht="20.25" customHeight="1">
      <c r="C133" s="91" t="s">
        <v>7911</v>
      </c>
      <c r="E133" s="107"/>
    </row>
    <row r="134" spans="3:5" ht="20.25" customHeight="1">
      <c r="C134" s="91" t="s">
        <v>7912</v>
      </c>
      <c r="E134" s="103">
        <v>45105</v>
      </c>
    </row>
    <row r="135" spans="3:5" ht="20.25" customHeight="1">
      <c r="C135" s="91" t="s">
        <v>7913</v>
      </c>
      <c r="E135" s="107"/>
    </row>
    <row r="136" spans="3:5" ht="20.25" customHeight="1">
      <c r="C136" s="91" t="s">
        <v>7914</v>
      </c>
      <c r="E136" s="107"/>
    </row>
    <row r="137" spans="3:5" ht="20.25" customHeight="1">
      <c r="C137" s="91" t="s">
        <v>7915</v>
      </c>
      <c r="E137" s="103">
        <v>45049</v>
      </c>
    </row>
    <row r="138" spans="3:5" ht="20.25" customHeight="1">
      <c r="C138" s="91" t="s">
        <v>7916</v>
      </c>
      <c r="E138" s="107"/>
    </row>
    <row r="139" spans="3:5" ht="20.25" customHeight="1">
      <c r="C139" s="91" t="s">
        <v>7917</v>
      </c>
      <c r="E139" s="107"/>
    </row>
    <row r="140" spans="3:5" ht="20.25" customHeight="1">
      <c r="C140" s="91" t="s">
        <v>7918</v>
      </c>
      <c r="E140" s="107"/>
    </row>
    <row r="141" spans="3:5" ht="20.25" customHeight="1">
      <c r="C141" s="91" t="s">
        <v>7919</v>
      </c>
      <c r="E141" s="107"/>
    </row>
    <row r="142" spans="3:5" ht="20.25" customHeight="1">
      <c r="C142" s="91" t="s">
        <v>7920</v>
      </c>
      <c r="E142" s="107"/>
    </row>
    <row r="143" spans="3:5" ht="20.25" customHeight="1">
      <c r="C143" s="91" t="s">
        <v>7921</v>
      </c>
      <c r="E143" s="100">
        <v>45056</v>
      </c>
    </row>
    <row r="144" spans="3:5" ht="20.25" customHeight="1">
      <c r="C144" s="91" t="s">
        <v>7922</v>
      </c>
      <c r="E144" s="100">
        <v>45056</v>
      </c>
    </row>
    <row r="145" spans="3:5" ht="20.25" customHeight="1">
      <c r="C145" s="90" t="s">
        <v>7923</v>
      </c>
      <c r="E145" s="100">
        <v>45056</v>
      </c>
    </row>
    <row r="146" spans="3:5" ht="20.25" customHeight="1">
      <c r="C146" s="91" t="s">
        <v>7924</v>
      </c>
      <c r="E146" s="107"/>
    </row>
    <row r="147" spans="3:5" ht="20.25" customHeight="1">
      <c r="C147" s="91" t="s">
        <v>7925</v>
      </c>
      <c r="E147" s="107"/>
    </row>
    <row r="148" spans="3:5" ht="20.25" customHeight="1">
      <c r="C148" s="91" t="s">
        <v>7926</v>
      </c>
      <c r="E148" s="107"/>
    </row>
    <row r="149" spans="3:5" ht="20.25" customHeight="1">
      <c r="C149" s="91" t="s">
        <v>7927</v>
      </c>
      <c r="E149" s="107"/>
    </row>
    <row r="150" spans="3:5" ht="20.25" customHeight="1">
      <c r="C150" s="91" t="s">
        <v>7928</v>
      </c>
      <c r="E150" s="107"/>
    </row>
    <row r="151" spans="3:5" ht="20.25" customHeight="1">
      <c r="C151" s="91" t="s">
        <v>7929</v>
      </c>
      <c r="E151" s="107"/>
    </row>
    <row r="152" spans="3:5" ht="20.25" customHeight="1">
      <c r="C152" s="96" t="s">
        <v>7930</v>
      </c>
      <c r="E152" s="107"/>
    </row>
    <row r="153" spans="3:5" ht="20.25" customHeight="1">
      <c r="C153" s="91" t="s">
        <v>7931</v>
      </c>
      <c r="E153" s="107"/>
    </row>
    <row r="154" spans="3:5" ht="20.25" customHeight="1">
      <c r="C154" s="91" t="s">
        <v>7932</v>
      </c>
      <c r="E154" s="107"/>
    </row>
    <row r="155" spans="3:5" ht="20.25" customHeight="1">
      <c r="C155" s="91" t="s">
        <v>7933</v>
      </c>
      <c r="E155" s="104"/>
    </row>
    <row r="156" spans="3:5" ht="20.25" customHeight="1">
      <c r="C156" s="91" t="s">
        <v>7934</v>
      </c>
      <c r="E156" s="100">
        <v>45056</v>
      </c>
    </row>
    <row r="157" spans="3:5" ht="20.25" customHeight="1">
      <c r="C157" s="91" t="s">
        <v>7935</v>
      </c>
      <c r="E157" s="103">
        <v>45148</v>
      </c>
    </row>
    <row r="158" spans="3:5" ht="20.25" customHeight="1">
      <c r="C158" s="91" t="s">
        <v>7936</v>
      </c>
      <c r="E158" s="102"/>
    </row>
    <row r="159" spans="3:5" ht="20.25" customHeight="1">
      <c r="C159" s="91" t="s">
        <v>7937</v>
      </c>
      <c r="E159" s="102"/>
    </row>
    <row r="160" spans="3:5" ht="20.25" customHeight="1">
      <c r="C160" s="91" t="s">
        <v>7938</v>
      </c>
      <c r="E160" s="102"/>
    </row>
    <row r="161" spans="3:5" ht="20.25" customHeight="1">
      <c r="C161" s="91" t="s">
        <v>7939</v>
      </c>
      <c r="E161" s="102"/>
    </row>
    <row r="162" spans="3:5" ht="20.25" customHeight="1">
      <c r="C162" s="91" t="s">
        <v>7940</v>
      </c>
      <c r="E162" s="102"/>
    </row>
    <row r="163" spans="3:5" ht="20.25" customHeight="1">
      <c r="C163" s="91" t="s">
        <v>7941</v>
      </c>
      <c r="E163" s="102"/>
    </row>
    <row r="164" spans="3:5" ht="20.25" customHeight="1">
      <c r="C164" s="91" t="s">
        <v>7942</v>
      </c>
      <c r="E164" s="102"/>
    </row>
    <row r="165" spans="3:5" ht="20.25" customHeight="1">
      <c r="C165" s="91" t="s">
        <v>7943</v>
      </c>
      <c r="E165" s="102"/>
    </row>
    <row r="166" spans="3:5" ht="20.25" customHeight="1">
      <c r="C166" s="91" t="s">
        <v>7944</v>
      </c>
      <c r="E166" s="102"/>
    </row>
    <row r="167" spans="3:5" ht="20.25" customHeight="1">
      <c r="C167" s="91" t="s">
        <v>7945</v>
      </c>
      <c r="E167" s="102"/>
    </row>
    <row r="168" spans="3:5" ht="20.25" customHeight="1">
      <c r="C168" s="91" t="s">
        <v>7946</v>
      </c>
      <c r="E168" s="102"/>
    </row>
    <row r="169" spans="3:5" ht="20.25" customHeight="1">
      <c r="C169" s="91" t="s">
        <v>7947</v>
      </c>
      <c r="E169" s="102"/>
    </row>
    <row r="170" spans="3:5" ht="20.25" customHeight="1">
      <c r="C170" s="91" t="s">
        <v>7948</v>
      </c>
      <c r="E170" s="102"/>
    </row>
    <row r="171" spans="3:5" ht="20.25" customHeight="1">
      <c r="C171" s="96" t="s">
        <v>7949</v>
      </c>
      <c r="E171" s="102"/>
    </row>
    <row r="172" spans="3:5" ht="20.25" customHeight="1">
      <c r="C172" s="91" t="s">
        <v>7950</v>
      </c>
      <c r="E172" s="102"/>
    </row>
    <row r="173" spans="3:5" ht="20.25" customHeight="1">
      <c r="C173" s="91" t="s">
        <v>7951</v>
      </c>
      <c r="E173" s="102"/>
    </row>
    <row r="174" spans="3:5" ht="20.25" customHeight="1">
      <c r="C174" s="91" t="s">
        <v>7952</v>
      </c>
      <c r="E174" s="102"/>
    </row>
    <row r="175" spans="3:5" ht="20.25" customHeight="1">
      <c r="C175" s="91" t="s">
        <v>7953</v>
      </c>
      <c r="E175" s="102"/>
    </row>
    <row r="176" spans="3:5" ht="20.25" customHeight="1">
      <c r="C176" s="91" t="s">
        <v>7954</v>
      </c>
      <c r="E176" s="102"/>
    </row>
    <row r="177" spans="3:5" ht="20.25" customHeight="1">
      <c r="C177" s="91" t="s">
        <v>7955</v>
      </c>
      <c r="E177" s="103">
        <v>45105</v>
      </c>
    </row>
    <row r="178" spans="3:5" ht="20.25" customHeight="1">
      <c r="C178" s="91" t="s">
        <v>7956</v>
      </c>
      <c r="E178" s="100">
        <v>44992</v>
      </c>
    </row>
    <row r="179" spans="3:5" ht="20.25" customHeight="1">
      <c r="C179" s="96" t="s">
        <v>7957</v>
      </c>
      <c r="E179" s="100">
        <v>45056</v>
      </c>
    </row>
    <row r="180" spans="3:5" ht="20.25" customHeight="1">
      <c r="C180" s="91" t="s">
        <v>7958</v>
      </c>
      <c r="E180" s="100">
        <v>44992</v>
      </c>
    </row>
    <row r="181" spans="3:5" ht="20.25" customHeight="1">
      <c r="C181" s="91" t="s">
        <v>7959</v>
      </c>
      <c r="E181" s="100">
        <v>45056</v>
      </c>
    </row>
    <row r="182" spans="3:5" ht="20.25" customHeight="1">
      <c r="C182" s="91" t="s">
        <v>7960</v>
      </c>
      <c r="E182" s="106">
        <v>45111</v>
      </c>
    </row>
    <row r="183" spans="3:5" ht="20.25" customHeight="1">
      <c r="C183" s="91" t="s">
        <v>7961</v>
      </c>
      <c r="E183" s="100">
        <v>45056</v>
      </c>
    </row>
    <row r="184" spans="3:5" ht="20.25" customHeight="1">
      <c r="C184" s="96" t="s">
        <v>7962</v>
      </c>
      <c r="E184" s="102"/>
    </row>
    <row r="185" spans="3:5" ht="20.25" customHeight="1">
      <c r="C185" s="91" t="s">
        <v>7963</v>
      </c>
      <c r="E185" s="102"/>
    </row>
    <row r="186" spans="3:5" ht="20.25" customHeight="1">
      <c r="C186" s="91" t="s">
        <v>7964</v>
      </c>
      <c r="E186" s="100">
        <v>45056</v>
      </c>
    </row>
    <row r="187" spans="3:5" ht="20.25" customHeight="1">
      <c r="C187" s="91" t="s">
        <v>7965</v>
      </c>
      <c r="E187" s="100">
        <v>45056</v>
      </c>
    </row>
    <row r="188" spans="3:5" ht="20.25" customHeight="1">
      <c r="C188" s="91" t="s">
        <v>7966</v>
      </c>
      <c r="E188" s="100">
        <v>45056</v>
      </c>
    </row>
    <row r="189" spans="3:5" ht="20.25" customHeight="1">
      <c r="C189" s="91" t="s">
        <v>7967</v>
      </c>
      <c r="E189" s="100">
        <v>45097</v>
      </c>
    </row>
    <row r="190" spans="3:5" ht="20.25" customHeight="1">
      <c r="C190" s="91" t="s">
        <v>7968</v>
      </c>
      <c r="E190" s="106">
        <v>45111</v>
      </c>
    </row>
    <row r="191" spans="3:5" ht="20.25" customHeight="1">
      <c r="C191" s="91" t="s">
        <v>7969</v>
      </c>
      <c r="E191" s="106">
        <v>45111</v>
      </c>
    </row>
    <row r="192" spans="3:5" ht="20.25" customHeight="1">
      <c r="C192" s="91" t="s">
        <v>7970</v>
      </c>
      <c r="E192" s="106">
        <v>45111</v>
      </c>
    </row>
    <row r="193" spans="3:5" ht="20.25" customHeight="1">
      <c r="C193" s="91" t="s">
        <v>7971</v>
      </c>
      <c r="E193" s="100">
        <v>45097</v>
      </c>
    </row>
    <row r="194" spans="3:5" ht="20.25" customHeight="1">
      <c r="C194" s="91" t="s">
        <v>7972</v>
      </c>
      <c r="E194" s="106">
        <v>45111</v>
      </c>
    </row>
    <row r="195" spans="3:5" ht="20.25" customHeight="1">
      <c r="C195" s="91" t="s">
        <v>7973</v>
      </c>
      <c r="E195" s="106">
        <v>45111</v>
      </c>
    </row>
    <row r="196" spans="3:5" ht="20.25" customHeight="1">
      <c r="C196" s="91" t="s">
        <v>7974</v>
      </c>
      <c r="E196" s="100">
        <v>45097</v>
      </c>
    </row>
    <row r="197" spans="3:5" ht="20.25" customHeight="1">
      <c r="C197" s="91" t="s">
        <v>7975</v>
      </c>
      <c r="E197" s="100">
        <v>45097</v>
      </c>
    </row>
    <row r="198" spans="3:5" ht="20.25" customHeight="1">
      <c r="C198" s="91" t="s">
        <v>7976</v>
      </c>
      <c r="E198" s="100">
        <v>45097</v>
      </c>
    </row>
    <row r="199" spans="3:5" ht="20.25" customHeight="1">
      <c r="C199" s="91" t="s">
        <v>7977</v>
      </c>
      <c r="E199" s="104"/>
    </row>
    <row r="200" spans="3:5" ht="20.25" customHeight="1">
      <c r="C200" s="91" t="s">
        <v>7978</v>
      </c>
      <c r="E200" s="106">
        <v>45111</v>
      </c>
    </row>
    <row r="201" spans="3:5" ht="20.25" customHeight="1">
      <c r="C201" s="91" t="s">
        <v>7979</v>
      </c>
      <c r="E201" s="100">
        <v>45097</v>
      </c>
    </row>
    <row r="202" spans="3:5" ht="20.25" customHeight="1">
      <c r="C202" s="91" t="s">
        <v>7980</v>
      </c>
      <c r="E202" s="103">
        <v>45148</v>
      </c>
    </row>
    <row r="203" spans="3:5" ht="20.25" customHeight="1">
      <c r="C203" s="91" t="s">
        <v>7981</v>
      </c>
      <c r="E203" s="106">
        <v>45111</v>
      </c>
    </row>
    <row r="204" spans="3:5" ht="20.25" customHeight="1">
      <c r="C204" s="91" t="s">
        <v>7982</v>
      </c>
      <c r="E204" s="107"/>
    </row>
    <row r="205" spans="3:5" ht="20.25" customHeight="1">
      <c r="C205" s="91" t="s">
        <v>7983</v>
      </c>
      <c r="E205" s="100">
        <v>44992</v>
      </c>
    </row>
    <row r="206" spans="3:5" ht="20.25" customHeight="1">
      <c r="C206" s="91" t="s">
        <v>7984</v>
      </c>
      <c r="E206" s="100">
        <v>45097</v>
      </c>
    </row>
    <row r="207" spans="3:5" ht="20.25" customHeight="1">
      <c r="C207" s="91" t="s">
        <v>7985</v>
      </c>
      <c r="E207" s="100">
        <v>45097</v>
      </c>
    </row>
    <row r="208" spans="3:5" ht="20.25" customHeight="1">
      <c r="C208" s="91" t="s">
        <v>7986</v>
      </c>
      <c r="E208" s="100">
        <v>45097</v>
      </c>
    </row>
    <row r="209" spans="3:5" ht="20.25" customHeight="1">
      <c r="C209" s="91" t="s">
        <v>7987</v>
      </c>
      <c r="E209" s="107"/>
    </row>
    <row r="210" spans="3:5" ht="20.25" customHeight="1">
      <c r="C210" s="91" t="s">
        <v>7988</v>
      </c>
      <c r="E210" s="107"/>
    </row>
    <row r="211" spans="3:5" ht="20.25" customHeight="1">
      <c r="C211" s="91" t="s">
        <v>7989</v>
      </c>
      <c r="E211" s="100">
        <v>45097</v>
      </c>
    </row>
    <row r="212" spans="3:5" ht="20.25" customHeight="1">
      <c r="C212" s="91" t="s">
        <v>7990</v>
      </c>
      <c r="E212" s="100">
        <v>45097</v>
      </c>
    </row>
    <row r="213" spans="3:5" ht="20.25" customHeight="1">
      <c r="C213" s="91" t="s">
        <v>7991</v>
      </c>
      <c r="E213" s="106">
        <v>45111</v>
      </c>
    </row>
    <row r="214" spans="3:5" ht="20.25" customHeight="1">
      <c r="C214" s="91" t="s">
        <v>7992</v>
      </c>
      <c r="E214" s="100">
        <v>44961</v>
      </c>
    </row>
    <row r="215" spans="3:5" ht="20.25" customHeight="1">
      <c r="C215" s="91" t="s">
        <v>7993</v>
      </c>
      <c r="E215" s="100">
        <v>45097</v>
      </c>
    </row>
    <row r="216" spans="3:5" ht="20.25" customHeight="1">
      <c r="C216" s="91" t="s">
        <v>7994</v>
      </c>
      <c r="E216" s="103">
        <v>45148</v>
      </c>
    </row>
    <row r="217" spans="3:5" ht="20.25" customHeight="1">
      <c r="C217" s="91" t="s">
        <v>7995</v>
      </c>
      <c r="E217" s="106">
        <v>45111</v>
      </c>
    </row>
    <row r="218" spans="3:5" ht="20.25" customHeight="1">
      <c r="C218" s="91" t="s">
        <v>7996</v>
      </c>
      <c r="E218" s="107"/>
    </row>
    <row r="219" spans="3:5" ht="20.25" customHeight="1">
      <c r="C219" s="91" t="s">
        <v>7997</v>
      </c>
      <c r="E219" s="107"/>
    </row>
    <row r="220" spans="3:5" ht="20.25" customHeight="1">
      <c r="C220" s="91" t="s">
        <v>7998</v>
      </c>
      <c r="E220" s="107"/>
    </row>
    <row r="221" spans="3:5" ht="20.25" customHeight="1">
      <c r="C221" s="91" t="s">
        <v>7999</v>
      </c>
      <c r="E221" s="100">
        <v>45097</v>
      </c>
    </row>
    <row r="222" spans="3:5" ht="20.25" customHeight="1">
      <c r="C222" s="91" t="s">
        <v>8000</v>
      </c>
      <c r="E222" s="103">
        <v>45148</v>
      </c>
    </row>
    <row r="223" spans="3:5" ht="20.25" customHeight="1">
      <c r="C223" s="91" t="s">
        <v>8001</v>
      </c>
      <c r="E223" s="106">
        <v>45111</v>
      </c>
    </row>
    <row r="224" spans="3:5" ht="20.25" customHeight="1">
      <c r="C224" s="91" t="s">
        <v>8002</v>
      </c>
      <c r="E224" s="103">
        <v>45148</v>
      </c>
    </row>
    <row r="225" spans="3:5" ht="20.25" customHeight="1">
      <c r="C225" s="91" t="s">
        <v>8003</v>
      </c>
      <c r="E225" s="103">
        <v>45148</v>
      </c>
    </row>
    <row r="226" spans="3:5" ht="20.25" customHeight="1">
      <c r="C226" s="91" t="s">
        <v>8004</v>
      </c>
      <c r="E226" s="100">
        <v>45097</v>
      </c>
    </row>
    <row r="227" spans="3:5" ht="20.25" customHeight="1">
      <c r="C227" s="91" t="s">
        <v>8005</v>
      </c>
      <c r="E227" s="107"/>
    </row>
    <row r="228" spans="3:5" ht="20.25" customHeight="1">
      <c r="C228" s="91" t="s">
        <v>8006</v>
      </c>
      <c r="E228" s="106">
        <v>45111</v>
      </c>
    </row>
    <row r="229" spans="3:5" ht="20.25" customHeight="1">
      <c r="C229" s="91" t="s">
        <v>8007</v>
      </c>
      <c r="E229" s="106">
        <v>45111</v>
      </c>
    </row>
    <row r="230" spans="3:5" ht="20.25" customHeight="1">
      <c r="C230" s="91" t="s">
        <v>8008</v>
      </c>
      <c r="E230" s="100">
        <v>45097</v>
      </c>
    </row>
    <row r="231" spans="3:5" ht="20.25" customHeight="1">
      <c r="C231" s="91" t="s">
        <v>8009</v>
      </c>
      <c r="E231" s="106">
        <v>45111</v>
      </c>
    </row>
    <row r="232" spans="3:5" ht="20.25" customHeight="1">
      <c r="C232" s="91" t="s">
        <v>8010</v>
      </c>
      <c r="E232" s="106">
        <v>45111</v>
      </c>
    </row>
    <row r="233" spans="3:5" ht="20.25" customHeight="1">
      <c r="C233" s="91" t="s">
        <v>8011</v>
      </c>
      <c r="E233" s="100">
        <v>45097</v>
      </c>
    </row>
    <row r="234" spans="3:5" ht="20.25" customHeight="1">
      <c r="C234" s="91" t="s">
        <v>8012</v>
      </c>
      <c r="E234" s="100">
        <v>44992</v>
      </c>
    </row>
    <row r="235" spans="3:5" ht="20.25" customHeight="1">
      <c r="C235" s="91" t="s">
        <v>8013</v>
      </c>
      <c r="E235" s="119"/>
    </row>
    <row r="236" spans="3:5" ht="20.25" customHeight="1">
      <c r="C236" s="91" t="s">
        <v>8014</v>
      </c>
      <c r="E236" s="107"/>
    </row>
    <row r="237" spans="3:5" ht="20.25" customHeight="1">
      <c r="C237" s="91" t="s">
        <v>8015</v>
      </c>
      <c r="E237" s="106">
        <v>45111</v>
      </c>
    </row>
    <row r="238" spans="3:5" ht="20.25" customHeight="1">
      <c r="C238" s="91" t="s">
        <v>8016</v>
      </c>
      <c r="E238" s="107"/>
    </row>
    <row r="239" spans="3:5" ht="20.25" customHeight="1">
      <c r="C239" s="91" t="s">
        <v>8017</v>
      </c>
      <c r="E239" s="104"/>
    </row>
    <row r="240" spans="3:5" ht="20.25" customHeight="1">
      <c r="C240" s="91" t="s">
        <v>8018</v>
      </c>
      <c r="E240" s="107"/>
    </row>
    <row r="241" spans="3:5" ht="20.25" customHeight="1">
      <c r="C241" s="91" t="s">
        <v>8019</v>
      </c>
      <c r="E241" s="107"/>
    </row>
    <row r="242" spans="3:5" ht="20.25" customHeight="1">
      <c r="C242" s="91" t="s">
        <v>8020</v>
      </c>
      <c r="E242" s="103">
        <v>45105</v>
      </c>
    </row>
    <row r="243" spans="3:5" ht="20.25" customHeight="1">
      <c r="C243" s="91" t="s">
        <v>8021</v>
      </c>
      <c r="E243" s="100">
        <v>44992</v>
      </c>
    </row>
    <row r="244" spans="3:5" ht="20.25" customHeight="1">
      <c r="C244" s="91" t="s">
        <v>8022</v>
      </c>
      <c r="E244" s="103">
        <v>45148</v>
      </c>
    </row>
    <row r="245" spans="3:5" ht="20.25" customHeight="1">
      <c r="C245" s="91" t="s">
        <v>8023</v>
      </c>
      <c r="E245" s="98"/>
    </row>
    <row r="246" spans="3:5" ht="20.25" customHeight="1">
      <c r="C246" s="91" t="s">
        <v>8024</v>
      </c>
      <c r="E246" s="119"/>
    </row>
    <row r="247" spans="3:5" ht="20.25" customHeight="1">
      <c r="C247" s="91" t="s">
        <v>8025</v>
      </c>
      <c r="E247" s="119"/>
    </row>
    <row r="248" spans="3:5" ht="20.25" customHeight="1">
      <c r="C248" s="91" t="s">
        <v>8026</v>
      </c>
      <c r="E248" s="100">
        <v>45097</v>
      </c>
    </row>
    <row r="249" spans="3:5" ht="20.25" customHeight="1">
      <c r="C249" s="91" t="s">
        <v>8027</v>
      </c>
      <c r="E249" s="103">
        <v>45105</v>
      </c>
    </row>
    <row r="250" spans="3:5" ht="20.25" customHeight="1">
      <c r="C250" s="91" t="s">
        <v>8028</v>
      </c>
      <c r="E250" s="100">
        <v>45097</v>
      </c>
    </row>
    <row r="251" spans="3:5" ht="20.25" customHeight="1">
      <c r="C251" s="91" t="s">
        <v>8029</v>
      </c>
      <c r="E251" s="100">
        <v>44992</v>
      </c>
    </row>
    <row r="252" spans="3:5" ht="20.25" customHeight="1">
      <c r="C252" s="91" t="s">
        <v>8030</v>
      </c>
      <c r="E252" s="107"/>
    </row>
    <row r="253" spans="3:5" ht="20.25" customHeight="1">
      <c r="C253" s="91" t="s">
        <v>8031</v>
      </c>
      <c r="E253" s="107"/>
    </row>
    <row r="254" spans="3:5" ht="20.25" customHeight="1">
      <c r="C254" s="91" t="s">
        <v>8032</v>
      </c>
      <c r="E254" s="107"/>
    </row>
    <row r="255" spans="3:5" ht="20.25" customHeight="1">
      <c r="C255" s="91" t="s">
        <v>8033</v>
      </c>
      <c r="E255" s="103">
        <v>45105</v>
      </c>
    </row>
    <row r="256" spans="3:5" ht="20.25" customHeight="1">
      <c r="C256" s="91" t="s">
        <v>8034</v>
      </c>
      <c r="E256" s="103">
        <v>45105</v>
      </c>
    </row>
    <row r="257" spans="3:5" ht="20.25" customHeight="1">
      <c r="C257" s="91" t="s">
        <v>8035</v>
      </c>
      <c r="E257" s="103">
        <v>45148</v>
      </c>
    </row>
    <row r="258" spans="3:5" ht="20.25" customHeight="1">
      <c r="C258" s="91" t="s">
        <v>8036</v>
      </c>
      <c r="E258" s="103">
        <v>45148</v>
      </c>
    </row>
    <row r="259" spans="3:5" ht="20.25" customHeight="1">
      <c r="C259" s="91" t="s">
        <v>8037</v>
      </c>
      <c r="E259" s="103">
        <v>45148</v>
      </c>
    </row>
    <row r="260" spans="3:5" ht="20.25" customHeight="1">
      <c r="C260" s="91" t="s">
        <v>8038</v>
      </c>
      <c r="E260" s="119"/>
    </row>
    <row r="261" spans="3:5" ht="20.25" customHeight="1">
      <c r="C261" s="91" t="s">
        <v>8039</v>
      </c>
      <c r="E261" s="107"/>
    </row>
    <row r="262" spans="3:5" ht="20.25" customHeight="1">
      <c r="C262" s="91" t="s">
        <v>8040</v>
      </c>
      <c r="E262" s="107"/>
    </row>
    <row r="263" spans="3:5" ht="20.25" customHeight="1">
      <c r="C263" s="91" t="s">
        <v>8041</v>
      </c>
      <c r="E263" s="107"/>
    </row>
    <row r="264" spans="3:5" ht="20.25" customHeight="1">
      <c r="C264" s="91" t="s">
        <v>8042</v>
      </c>
      <c r="E264" s="107"/>
    </row>
    <row r="265" spans="3:5" ht="20.25" customHeight="1">
      <c r="C265" s="91" t="s">
        <v>8043</v>
      </c>
      <c r="E265" s="107"/>
    </row>
    <row r="266" spans="3:5" ht="20.25" customHeight="1">
      <c r="C266" s="91" t="s">
        <v>8044</v>
      </c>
      <c r="E266" s="107"/>
    </row>
    <row r="267" spans="3:5" ht="20.25" customHeight="1">
      <c r="C267" s="91" t="s">
        <v>8045</v>
      </c>
      <c r="E267" s="107"/>
    </row>
    <row r="268" spans="3:5" ht="20.25" customHeight="1">
      <c r="C268" s="91" t="s">
        <v>8046</v>
      </c>
      <c r="E268" s="98" t="s">
        <v>4437</v>
      </c>
    </row>
    <row r="269" spans="3:5" ht="20.25" customHeight="1">
      <c r="C269" s="91" t="s">
        <v>8047</v>
      </c>
      <c r="E269" s="107"/>
    </row>
    <row r="270" spans="3:5" ht="20.25" customHeight="1">
      <c r="C270" s="90" t="s">
        <v>8048</v>
      </c>
      <c r="E270" s="106">
        <v>45111</v>
      </c>
    </row>
    <row r="271" spans="3:5" ht="20.25" customHeight="1">
      <c r="C271" s="91" t="s">
        <v>8049</v>
      </c>
      <c r="E271" s="106">
        <v>45111</v>
      </c>
    </row>
    <row r="272" spans="3:5" ht="20.25" customHeight="1">
      <c r="C272" s="91" t="s">
        <v>8050</v>
      </c>
      <c r="E272" s="106">
        <v>45111</v>
      </c>
    </row>
    <row r="273" spans="3:5" ht="20.25" customHeight="1">
      <c r="C273" s="91" t="s">
        <v>8051</v>
      </c>
      <c r="E273" s="107"/>
    </row>
    <row r="274" spans="3:5" ht="20.25" customHeight="1">
      <c r="C274" s="91" t="s">
        <v>8052</v>
      </c>
      <c r="E274" s="100">
        <v>45097</v>
      </c>
    </row>
    <row r="275" spans="3:5" ht="20.25" customHeight="1">
      <c r="C275" s="91" t="s">
        <v>8053</v>
      </c>
      <c r="E275" s="107"/>
    </row>
    <row r="276" spans="3:5" ht="20.25" customHeight="1">
      <c r="C276" s="91" t="s">
        <v>8054</v>
      </c>
      <c r="E276" s="107"/>
    </row>
    <row r="277" spans="3:5" ht="20.25" customHeight="1">
      <c r="C277" s="91" t="s">
        <v>8055</v>
      </c>
      <c r="E277" s="107"/>
    </row>
    <row r="278" spans="3:5" ht="20.25" customHeight="1">
      <c r="C278" s="91" t="s">
        <v>8056</v>
      </c>
      <c r="E278" s="106">
        <v>45111</v>
      </c>
    </row>
    <row r="279" spans="3:5" ht="20.25" customHeight="1">
      <c r="C279" s="91" t="s">
        <v>8057</v>
      </c>
      <c r="E279" s="106">
        <v>45111</v>
      </c>
    </row>
    <row r="280" spans="3:5" ht="20.25" customHeight="1">
      <c r="C280" s="91" t="s">
        <v>8058</v>
      </c>
      <c r="E280" s="104"/>
    </row>
    <row r="281" spans="3:5" ht="20.25" customHeight="1">
      <c r="C281" s="91" t="s">
        <v>8059</v>
      </c>
      <c r="E281" s="103" t="s">
        <v>4437</v>
      </c>
    </row>
    <row r="282" spans="3:5" ht="20.25" customHeight="1">
      <c r="C282" s="91" t="s">
        <v>8060</v>
      </c>
      <c r="E282" s="107"/>
    </row>
    <row r="283" spans="3:5" ht="20.25" customHeight="1">
      <c r="C283" s="91" t="s">
        <v>8061</v>
      </c>
      <c r="E283" s="106">
        <v>45111</v>
      </c>
    </row>
    <row r="284" spans="3:5" ht="20.25" customHeight="1">
      <c r="C284" s="91" t="s">
        <v>8062</v>
      </c>
      <c r="E284" s="107"/>
    </row>
    <row r="285" spans="3:5" ht="20.25" customHeight="1">
      <c r="C285" s="91" t="s">
        <v>8063</v>
      </c>
      <c r="E285" s="106">
        <v>45111</v>
      </c>
    </row>
    <row r="286" spans="3:5" ht="20.25" customHeight="1">
      <c r="C286" s="91" t="s">
        <v>8064</v>
      </c>
      <c r="E286" s="107"/>
    </row>
    <row r="287" spans="3:5" ht="20.25" customHeight="1">
      <c r="C287" s="91" t="s">
        <v>8065</v>
      </c>
      <c r="E287" s="107"/>
    </row>
    <row r="288" spans="3:5" ht="20.25" customHeight="1">
      <c r="C288" s="91" t="s">
        <v>8066</v>
      </c>
      <c r="E288" s="103" t="s">
        <v>4437</v>
      </c>
    </row>
    <row r="289" spans="3:5" ht="20.25" customHeight="1">
      <c r="C289" s="91" t="s">
        <v>8067</v>
      </c>
      <c r="E289" s="103" t="s">
        <v>4437</v>
      </c>
    </row>
    <row r="290" spans="3:5" ht="20.25" customHeight="1">
      <c r="C290" s="91" t="s">
        <v>8068</v>
      </c>
      <c r="E290" s="103">
        <v>45105</v>
      </c>
    </row>
    <row r="291" spans="3:5" ht="20.25" customHeight="1">
      <c r="C291" s="91" t="s">
        <v>8069</v>
      </c>
      <c r="E291" s="107"/>
    </row>
    <row r="292" spans="3:5" ht="20.25" customHeight="1">
      <c r="C292" s="91" t="s">
        <v>8070</v>
      </c>
      <c r="E292" s="107"/>
    </row>
    <row r="293" spans="3:5" ht="20.25" customHeight="1">
      <c r="C293" s="91" t="s">
        <v>8071</v>
      </c>
      <c r="E293" s="104"/>
    </row>
    <row r="294" spans="3:5" ht="20.25" customHeight="1">
      <c r="C294" s="91" t="s">
        <v>8072</v>
      </c>
      <c r="E294" s="107"/>
    </row>
    <row r="295" spans="3:5" ht="20.25" customHeight="1">
      <c r="C295" s="91" t="s">
        <v>8073</v>
      </c>
      <c r="E295" s="100">
        <v>44961</v>
      </c>
    </row>
    <row r="296" spans="3:5" ht="20.25" customHeight="1">
      <c r="C296" s="91" t="s">
        <v>8074</v>
      </c>
      <c r="E296" s="107"/>
    </row>
    <row r="297" spans="3:5" ht="20.25" customHeight="1">
      <c r="C297" s="91" t="s">
        <v>8075</v>
      </c>
      <c r="E297" s="107"/>
    </row>
    <row r="298" spans="3:5" ht="20.25" customHeight="1">
      <c r="C298" s="91" t="s">
        <v>8076</v>
      </c>
      <c r="E298" s="107"/>
    </row>
    <row r="299" spans="3:5" ht="20.25" customHeight="1">
      <c r="C299" s="91" t="s">
        <v>8077</v>
      </c>
      <c r="E299" s="103">
        <v>45148</v>
      </c>
    </row>
    <row r="300" spans="3:5" ht="20.25" customHeight="1">
      <c r="C300" s="96" t="s">
        <v>8078</v>
      </c>
      <c r="E300" s="107"/>
    </row>
    <row r="301" spans="3:5" ht="20.25" customHeight="1">
      <c r="C301" s="96" t="s">
        <v>8079</v>
      </c>
      <c r="E301" s="100">
        <v>45097</v>
      </c>
    </row>
    <row r="302" spans="3:5" ht="20.25" customHeight="1">
      <c r="C302" s="91" t="s">
        <v>8080</v>
      </c>
      <c r="E302" s="103">
        <v>45105</v>
      </c>
    </row>
    <row r="303" spans="3:5" ht="20.25" customHeight="1">
      <c r="C303" s="91" t="s">
        <v>8081</v>
      </c>
      <c r="E303" s="107"/>
    </row>
    <row r="304" spans="3:5" ht="20.25" customHeight="1">
      <c r="C304" s="91" t="s">
        <v>8082</v>
      </c>
      <c r="E304" s="107"/>
    </row>
    <row r="305" spans="3:5" ht="20.25" customHeight="1">
      <c r="C305" s="91" t="s">
        <v>8083</v>
      </c>
      <c r="E305" s="107"/>
    </row>
    <row r="306" spans="3:5" ht="20.25" customHeight="1">
      <c r="C306" s="91" t="s">
        <v>8084</v>
      </c>
      <c r="E306" s="100">
        <v>45097</v>
      </c>
    </row>
    <row r="307" spans="3:5" ht="20.25" customHeight="1">
      <c r="C307" s="91" t="s">
        <v>8085</v>
      </c>
      <c r="E307" s="107"/>
    </row>
    <row r="308" spans="3:5" ht="20.25" customHeight="1">
      <c r="C308" s="91" t="s">
        <v>8086</v>
      </c>
      <c r="E308" s="107"/>
    </row>
    <row r="309" spans="3:5" ht="20.25" customHeight="1">
      <c r="C309" s="91" t="s">
        <v>8087</v>
      </c>
      <c r="E309" s="107"/>
    </row>
    <row r="310" spans="3:5" ht="20.25" customHeight="1">
      <c r="C310" s="91" t="s">
        <v>8088</v>
      </c>
      <c r="E310" s="107"/>
    </row>
    <row r="311" spans="3:5" ht="20.25" customHeight="1">
      <c r="C311" s="96" t="s">
        <v>8089</v>
      </c>
      <c r="E311" s="107"/>
    </row>
    <row r="312" spans="3:5" ht="20.25" customHeight="1">
      <c r="C312" s="91" t="s">
        <v>8090</v>
      </c>
      <c r="E312" s="107"/>
    </row>
    <row r="313" spans="3:5" ht="20.25" customHeight="1">
      <c r="C313" s="91" t="s">
        <v>8091</v>
      </c>
      <c r="E313" s="107"/>
    </row>
    <row r="314" spans="3:5" ht="20.25" customHeight="1">
      <c r="C314" s="96" t="s">
        <v>8092</v>
      </c>
      <c r="E314" s="107"/>
    </row>
    <row r="315" spans="3:5" ht="20.25" customHeight="1">
      <c r="C315" s="91" t="s">
        <v>8093</v>
      </c>
      <c r="E315" s="107"/>
    </row>
    <row r="316" spans="3:5" ht="20.25" customHeight="1">
      <c r="C316" s="91" t="s">
        <v>8094</v>
      </c>
      <c r="E316" s="107"/>
    </row>
    <row r="317" spans="3:5" ht="20.25" customHeight="1">
      <c r="C317" s="91" t="s">
        <v>8095</v>
      </c>
      <c r="E317" s="106">
        <v>45111</v>
      </c>
    </row>
    <row r="318" spans="3:5" ht="20.25" customHeight="1">
      <c r="C318" s="91" t="s">
        <v>8096</v>
      </c>
      <c r="E318" s="107"/>
    </row>
    <row r="319" spans="3:5" ht="20.25" customHeight="1">
      <c r="C319" s="91" t="s">
        <v>8097</v>
      </c>
      <c r="E319" s="98" t="s">
        <v>4437</v>
      </c>
    </row>
    <row r="320" spans="3:5" ht="20.25" customHeight="1">
      <c r="C320" s="91" t="s">
        <v>8098</v>
      </c>
      <c r="E320" s="107"/>
    </row>
    <row r="321" spans="3:5" ht="20.25" customHeight="1">
      <c r="C321" s="91" t="s">
        <v>8099</v>
      </c>
      <c r="E321" s="107"/>
    </row>
    <row r="322" spans="3:5" ht="20.25" customHeight="1">
      <c r="C322" s="91" t="s">
        <v>8100</v>
      </c>
      <c r="E322" s="107"/>
    </row>
    <row r="323" spans="3:5" ht="20.25" customHeight="1">
      <c r="C323" s="91" t="s">
        <v>8101</v>
      </c>
      <c r="E323" s="107"/>
    </row>
    <row r="324" spans="3:5" ht="20.25" customHeight="1">
      <c r="C324" s="91" t="s">
        <v>8102</v>
      </c>
      <c r="E324" s="107"/>
    </row>
    <row r="325" spans="3:5" ht="20.25" customHeight="1">
      <c r="C325" s="91" t="s">
        <v>8103</v>
      </c>
      <c r="E325" s="107"/>
    </row>
    <row r="326" spans="3:5" ht="20.25" customHeight="1">
      <c r="C326" s="91" t="s">
        <v>8104</v>
      </c>
      <c r="E326" s="107"/>
    </row>
    <row r="327" spans="3:5" ht="20.25" customHeight="1">
      <c r="C327" s="96" t="s">
        <v>8105</v>
      </c>
      <c r="E327" s="107"/>
    </row>
    <row r="328" spans="3:5" ht="20.25" customHeight="1">
      <c r="C328" s="91" t="s">
        <v>8106</v>
      </c>
      <c r="E328" s="107"/>
    </row>
    <row r="329" spans="3:5" ht="20.25" customHeight="1">
      <c r="C329" s="91" t="s">
        <v>8107</v>
      </c>
      <c r="E329" s="107"/>
    </row>
    <row r="330" spans="3:5" ht="20.25" customHeight="1">
      <c r="C330" s="91" t="s">
        <v>8108</v>
      </c>
      <c r="E330" s="107"/>
    </row>
    <row r="331" spans="3:5" ht="20.25" customHeight="1">
      <c r="C331" s="91" t="s">
        <v>8109</v>
      </c>
      <c r="E331" s="107"/>
    </row>
    <row r="332" spans="3:5" ht="20.25" customHeight="1">
      <c r="C332" s="91" t="s">
        <v>8110</v>
      </c>
      <c r="E332" s="107"/>
    </row>
    <row r="333" spans="3:5" ht="20.25" customHeight="1">
      <c r="C333" s="91" t="s">
        <v>8111</v>
      </c>
      <c r="E333" s="107"/>
    </row>
    <row r="334" spans="3:5" ht="20.25" customHeight="1">
      <c r="C334" s="96" t="s">
        <v>8112</v>
      </c>
      <c r="E334" s="107"/>
    </row>
    <row r="335" spans="3:5" ht="20.25" customHeight="1">
      <c r="C335" s="96" t="s">
        <v>8113</v>
      </c>
      <c r="E335" s="107"/>
    </row>
    <row r="336" spans="3:5" ht="20.25" customHeight="1">
      <c r="C336" s="91" t="s">
        <v>8114</v>
      </c>
      <c r="E336" s="107"/>
    </row>
    <row r="337" spans="3:5" ht="20.25" customHeight="1">
      <c r="C337" s="91" t="s">
        <v>8115</v>
      </c>
      <c r="E337" s="107"/>
    </row>
    <row r="338" spans="3:5" ht="20.25" customHeight="1">
      <c r="C338" s="91" t="s">
        <v>8116</v>
      </c>
      <c r="E338" s="107"/>
    </row>
    <row r="339" spans="3:5" ht="20.25" customHeight="1">
      <c r="C339" s="91" t="s">
        <v>8117</v>
      </c>
      <c r="E339" s="107"/>
    </row>
    <row r="340" spans="3:5" ht="20.25" customHeight="1">
      <c r="C340" s="91" t="s">
        <v>8118</v>
      </c>
      <c r="E340" s="107"/>
    </row>
    <row r="341" spans="3:5" ht="20.25" customHeight="1">
      <c r="C341" s="91" t="s">
        <v>8119</v>
      </c>
      <c r="E341" s="107"/>
    </row>
    <row r="342" spans="3:5" ht="20.25" customHeight="1">
      <c r="C342" s="91" t="s">
        <v>8120</v>
      </c>
      <c r="E342" s="107"/>
    </row>
    <row r="343" spans="3:5" ht="20.25" customHeight="1">
      <c r="C343" s="91" t="s">
        <v>8121</v>
      </c>
      <c r="E343" s="107"/>
    </row>
    <row r="344" spans="3:5" ht="20.25" customHeight="1">
      <c r="C344" s="96" t="s">
        <v>8122</v>
      </c>
      <c r="E344" s="107"/>
    </row>
    <row r="345" spans="3:5" ht="20.25" customHeight="1">
      <c r="C345" s="96" t="s">
        <v>8123</v>
      </c>
      <c r="E345" s="107"/>
    </row>
    <row r="346" spans="3:5" ht="20.25" customHeight="1">
      <c r="C346" s="91" t="s">
        <v>8124</v>
      </c>
      <c r="E346" s="107"/>
    </row>
    <row r="347" spans="3:5" ht="20.25" customHeight="1">
      <c r="C347" s="91" t="s">
        <v>8125</v>
      </c>
      <c r="E347" s="103">
        <v>45148</v>
      </c>
    </row>
    <row r="348" spans="3:5" ht="20.25" customHeight="1">
      <c r="C348" s="96" t="s">
        <v>8126</v>
      </c>
      <c r="E348" s="108"/>
    </row>
    <row r="349" spans="3:5" ht="20.25" customHeight="1">
      <c r="C349" s="91" t="s">
        <v>8127</v>
      </c>
      <c r="E349" s="102"/>
    </row>
    <row r="350" spans="3:5" ht="20.25" customHeight="1">
      <c r="C350" s="91" t="s">
        <v>8128</v>
      </c>
      <c r="E350" s="119"/>
    </row>
    <row r="351" spans="3:5" ht="20.25" customHeight="1">
      <c r="C351" s="91" t="s">
        <v>8129</v>
      </c>
      <c r="E351" s="100">
        <v>44961</v>
      </c>
    </row>
    <row r="352" spans="3:5" ht="20.25" customHeight="1">
      <c r="C352" s="91" t="s">
        <v>8130</v>
      </c>
      <c r="E352" s="100">
        <v>44992</v>
      </c>
    </row>
    <row r="353" spans="3:5" ht="20.25" customHeight="1">
      <c r="C353" s="91" t="s">
        <v>8131</v>
      </c>
      <c r="E353" s="103">
        <v>45105</v>
      </c>
    </row>
    <row r="354" spans="3:5" ht="20.25" customHeight="1">
      <c r="C354" s="91" t="s">
        <v>8132</v>
      </c>
      <c r="E354" s="100">
        <v>44961</v>
      </c>
    </row>
    <row r="355" spans="3:5" ht="20.25" customHeight="1">
      <c r="C355" s="91" t="s">
        <v>8133</v>
      </c>
      <c r="E355" s="100">
        <v>44961</v>
      </c>
    </row>
    <row r="356" spans="3:5" ht="20.25" customHeight="1">
      <c r="C356" s="91" t="s">
        <v>8134</v>
      </c>
      <c r="E356" s="107"/>
    </row>
    <row r="357" spans="3:5" ht="20.25" customHeight="1">
      <c r="C357" s="91" t="s">
        <v>8135</v>
      </c>
      <c r="E357" s="100">
        <v>44992</v>
      </c>
    </row>
    <row r="358" spans="3:5" ht="20.25" customHeight="1">
      <c r="C358" s="91" t="s">
        <v>8136</v>
      </c>
      <c r="E358" s="100">
        <v>44961</v>
      </c>
    </row>
    <row r="359" spans="3:5" ht="20.25" customHeight="1">
      <c r="C359" s="91" t="s">
        <v>8137</v>
      </c>
      <c r="E359" s="100">
        <v>44961</v>
      </c>
    </row>
    <row r="360" spans="3:5" ht="20.25" customHeight="1">
      <c r="C360" s="91" t="s">
        <v>8138</v>
      </c>
      <c r="E360" s="100">
        <v>44961</v>
      </c>
    </row>
    <row r="361" spans="3:5" ht="20.25" customHeight="1">
      <c r="C361" s="91" t="s">
        <v>8139</v>
      </c>
      <c r="E361" s="100">
        <v>44961</v>
      </c>
    </row>
    <row r="362" spans="3:5" ht="20.25" customHeight="1">
      <c r="C362" s="91" t="s">
        <v>8140</v>
      </c>
      <c r="E362" s="107"/>
    </row>
    <row r="363" spans="3:5" ht="20.25" customHeight="1">
      <c r="C363" s="91" t="s">
        <v>8141</v>
      </c>
      <c r="E363" s="100">
        <v>44961</v>
      </c>
    </row>
    <row r="364" spans="3:5" ht="20.25" customHeight="1">
      <c r="C364" s="91" t="s">
        <v>8142</v>
      </c>
      <c r="E364" s="107"/>
    </row>
    <row r="365" spans="3:5" ht="20.25" customHeight="1">
      <c r="C365" s="91" t="s">
        <v>8143</v>
      </c>
      <c r="E365" s="107"/>
    </row>
    <row r="366" spans="3:5" ht="20.25" customHeight="1">
      <c r="C366" s="91" t="s">
        <v>8144</v>
      </c>
      <c r="E366" s="103">
        <v>45106</v>
      </c>
    </row>
    <row r="367" spans="3:5" ht="20.25" customHeight="1">
      <c r="C367" s="91" t="s">
        <v>8145</v>
      </c>
      <c r="E367" s="107"/>
    </row>
    <row r="368" spans="3:5" ht="20.25" customHeight="1">
      <c r="C368" s="91" t="s">
        <v>8146</v>
      </c>
      <c r="E368" s="103">
        <v>45105</v>
      </c>
    </row>
    <row r="369" spans="3:5" ht="20.25" customHeight="1">
      <c r="C369" s="91" t="s">
        <v>8147</v>
      </c>
      <c r="E369" s="103">
        <v>45148</v>
      </c>
    </row>
    <row r="370" spans="3:5" ht="20.25" customHeight="1">
      <c r="C370" s="91" t="s">
        <v>8148</v>
      </c>
      <c r="E370" s="107"/>
    </row>
    <row r="371" spans="3:5" ht="20.25" customHeight="1">
      <c r="C371" s="91" t="s">
        <v>8149</v>
      </c>
      <c r="E371" s="107"/>
    </row>
    <row r="372" spans="3:5" ht="20.25" customHeight="1">
      <c r="C372" s="91" t="s">
        <v>8150</v>
      </c>
      <c r="E372" s="103">
        <v>45105</v>
      </c>
    </row>
    <row r="373" spans="3:5" ht="20.25" customHeight="1">
      <c r="C373" s="91" t="s">
        <v>8151</v>
      </c>
      <c r="E373" s="98" t="s">
        <v>4437</v>
      </c>
    </row>
    <row r="374" spans="3:5" ht="20.25" customHeight="1">
      <c r="C374" s="91" t="s">
        <v>8152</v>
      </c>
      <c r="E374" s="103">
        <v>45148</v>
      </c>
    </row>
    <row r="375" spans="3:5" ht="20.25" customHeight="1">
      <c r="C375" s="91" t="s">
        <v>8153</v>
      </c>
      <c r="E375" s="107"/>
    </row>
    <row r="376" spans="3:5" ht="20.25" customHeight="1">
      <c r="C376" s="96" t="s">
        <v>8154</v>
      </c>
      <c r="E376" s="119"/>
    </row>
    <row r="377" spans="3:5" ht="20.25" customHeight="1">
      <c r="C377" s="91" t="s">
        <v>8155</v>
      </c>
      <c r="E377" s="103">
        <v>45148</v>
      </c>
    </row>
    <row r="378" spans="3:5" ht="20.25" customHeight="1">
      <c r="C378" s="91" t="s">
        <v>8156</v>
      </c>
      <c r="E378" s="103">
        <v>45148</v>
      </c>
    </row>
    <row r="379" spans="3:5" ht="20.25" customHeight="1">
      <c r="C379" s="91" t="s">
        <v>8157</v>
      </c>
      <c r="E379" s="103">
        <v>45148</v>
      </c>
    </row>
    <row r="380" spans="3:5" ht="20.25" customHeight="1">
      <c r="C380" s="91" t="s">
        <v>8158</v>
      </c>
      <c r="E380" s="104"/>
    </row>
    <row r="381" spans="3:5" ht="20.25" customHeight="1">
      <c r="C381" s="91" t="s">
        <v>8159</v>
      </c>
      <c r="E381" s="103">
        <v>45148</v>
      </c>
    </row>
    <row r="382" spans="3:5" ht="20.25" customHeight="1">
      <c r="C382" s="91" t="s">
        <v>8160</v>
      </c>
      <c r="E382" s="103">
        <v>45148</v>
      </c>
    </row>
    <row r="383" spans="3:5" ht="20.25" customHeight="1">
      <c r="C383" s="91" t="s">
        <v>8161</v>
      </c>
      <c r="E383" s="103">
        <v>45148</v>
      </c>
    </row>
    <row r="384" spans="3:5" ht="20.25" customHeight="1">
      <c r="C384" s="91" t="s">
        <v>8162</v>
      </c>
      <c r="E384" s="103">
        <v>45105</v>
      </c>
    </row>
    <row r="385" spans="3:5" ht="20.25" customHeight="1">
      <c r="C385" s="91" t="s">
        <v>8163</v>
      </c>
      <c r="E385" s="100">
        <v>44961</v>
      </c>
    </row>
    <row r="386" spans="3:5" ht="20.25" customHeight="1">
      <c r="C386" s="91" t="s">
        <v>8164</v>
      </c>
      <c r="E386" s="100">
        <v>44961</v>
      </c>
    </row>
    <row r="387" spans="3:5" ht="20.25" customHeight="1">
      <c r="C387" s="91" t="s">
        <v>8165</v>
      </c>
      <c r="E387" s="100">
        <v>44992</v>
      </c>
    </row>
    <row r="388" spans="3:5" ht="20.25" customHeight="1">
      <c r="C388" s="91" t="s">
        <v>8166</v>
      </c>
      <c r="E388" s="100">
        <v>44992</v>
      </c>
    </row>
    <row r="389" spans="3:5" ht="20.25" customHeight="1">
      <c r="C389" s="91" t="s">
        <v>8167</v>
      </c>
      <c r="E389" s="107"/>
    </row>
    <row r="390" spans="3:5" ht="20.25" customHeight="1">
      <c r="C390" s="91" t="s">
        <v>8168</v>
      </c>
      <c r="E390" s="107"/>
    </row>
    <row r="391" spans="3:5" ht="20.25" customHeight="1">
      <c r="C391" s="96" t="s">
        <v>8169</v>
      </c>
      <c r="E391" s="107"/>
    </row>
    <row r="392" spans="3:5" ht="20.25" customHeight="1">
      <c r="C392" s="96" t="s">
        <v>8170</v>
      </c>
      <c r="E392" s="103">
        <v>45105</v>
      </c>
    </row>
    <row r="393" spans="3:5" ht="20.25" customHeight="1">
      <c r="C393" s="91" t="s">
        <v>8171</v>
      </c>
      <c r="E393" s="100">
        <v>44961</v>
      </c>
    </row>
    <row r="394" spans="3:5" ht="20.25" customHeight="1">
      <c r="C394" s="91" t="s">
        <v>8172</v>
      </c>
      <c r="E394" s="100">
        <v>44961</v>
      </c>
    </row>
    <row r="395" spans="3:5" ht="20.25" customHeight="1">
      <c r="C395" s="91" t="s">
        <v>8173</v>
      </c>
      <c r="E395" s="103">
        <v>45105</v>
      </c>
    </row>
    <row r="396" spans="3:5" ht="20.25" customHeight="1">
      <c r="C396" s="91" t="s">
        <v>8174</v>
      </c>
      <c r="E396" s="100">
        <v>44961</v>
      </c>
    </row>
    <row r="397" spans="3:5" ht="20.25" customHeight="1">
      <c r="C397" s="91" t="s">
        <v>8175</v>
      </c>
      <c r="E397" s="103">
        <v>45105</v>
      </c>
    </row>
    <row r="398" spans="3:5" ht="20.25" customHeight="1">
      <c r="C398" s="91" t="s">
        <v>8176</v>
      </c>
      <c r="E398" s="100">
        <v>44961</v>
      </c>
    </row>
    <row r="399" spans="3:5" ht="20.25" customHeight="1">
      <c r="C399" s="91" t="s">
        <v>8177</v>
      </c>
      <c r="E399" s="107"/>
    </row>
    <row r="400" spans="3:5" ht="20.25" customHeight="1">
      <c r="C400" s="91" t="s">
        <v>8178</v>
      </c>
      <c r="E400" s="107"/>
    </row>
    <row r="401" spans="3:5" ht="20.25" customHeight="1">
      <c r="C401" s="91" t="s">
        <v>8179</v>
      </c>
      <c r="E401" s="100">
        <v>44992</v>
      </c>
    </row>
    <row r="402" spans="3:5" ht="20.25" customHeight="1">
      <c r="C402" s="91" t="s">
        <v>8180</v>
      </c>
      <c r="E402" s="107"/>
    </row>
    <row r="403" spans="3:5" ht="20.25" customHeight="1">
      <c r="C403" s="91" t="s">
        <v>8181</v>
      </c>
      <c r="E403" s="107"/>
    </row>
    <row r="404" spans="3:5" ht="20.25" customHeight="1">
      <c r="C404" s="91" t="s">
        <v>8182</v>
      </c>
      <c r="E404" s="103">
        <v>45148</v>
      </c>
    </row>
    <row r="405" spans="3:5" ht="20.25" customHeight="1">
      <c r="C405" s="91" t="s">
        <v>8183</v>
      </c>
      <c r="E405" s="100">
        <v>44889</v>
      </c>
    </row>
    <row r="406" spans="3:5" ht="20.25" customHeight="1">
      <c r="C406" s="91" t="s">
        <v>8184</v>
      </c>
      <c r="E406" s="100">
        <v>44889</v>
      </c>
    </row>
    <row r="407" spans="3:5" ht="20.25" customHeight="1">
      <c r="C407" s="91" t="s">
        <v>8185</v>
      </c>
      <c r="E407" s="100">
        <v>44992</v>
      </c>
    </row>
    <row r="408" spans="3:5" ht="20.25" customHeight="1">
      <c r="C408" s="91" t="s">
        <v>8186</v>
      </c>
      <c r="E408" s="106">
        <v>45111</v>
      </c>
    </row>
    <row r="409" spans="3:5" ht="20.25" customHeight="1">
      <c r="C409" s="91" t="s">
        <v>8187</v>
      </c>
      <c r="E409" s="98" t="s">
        <v>4437</v>
      </c>
    </row>
    <row r="410" spans="3:5" ht="20.25" customHeight="1">
      <c r="C410" s="91" t="s">
        <v>8188</v>
      </c>
      <c r="E410" s="98" t="s">
        <v>4437</v>
      </c>
    </row>
    <row r="411" spans="3:5" ht="20.25" customHeight="1">
      <c r="C411" s="91" t="s">
        <v>8189</v>
      </c>
      <c r="E411" s="98" t="s">
        <v>4437</v>
      </c>
    </row>
    <row r="412" spans="3:5" ht="20.25" customHeight="1">
      <c r="C412" s="91" t="s">
        <v>8190</v>
      </c>
      <c r="E412" s="107"/>
    </row>
    <row r="413" spans="3:5" ht="20.25" customHeight="1">
      <c r="C413" s="91" t="s">
        <v>8191</v>
      </c>
      <c r="E413" s="107"/>
    </row>
    <row r="414" spans="3:5" ht="20.25" customHeight="1">
      <c r="C414" s="91" t="s">
        <v>8192</v>
      </c>
      <c r="E414" s="107"/>
    </row>
    <row r="415" spans="3:5" ht="20.25" customHeight="1">
      <c r="C415" s="91" t="s">
        <v>8193</v>
      </c>
      <c r="E415" s="107"/>
    </row>
    <row r="416" spans="3:5" ht="20.25" customHeight="1">
      <c r="C416" s="91" t="s">
        <v>8194</v>
      </c>
      <c r="E416" s="100">
        <v>44816</v>
      </c>
    </row>
    <row r="417" spans="3:5" ht="20.25" customHeight="1">
      <c r="C417" s="91" t="s">
        <v>8195</v>
      </c>
      <c r="E417" s="100">
        <v>44910</v>
      </c>
    </row>
    <row r="418" spans="3:5" ht="20.25" customHeight="1">
      <c r="C418" s="91" t="s">
        <v>8196</v>
      </c>
      <c r="E418" s="100">
        <v>44816</v>
      </c>
    </row>
    <row r="419" spans="3:5" ht="20.25" customHeight="1">
      <c r="C419" s="91" t="s">
        <v>8197</v>
      </c>
      <c r="E419" s="98" t="s">
        <v>4437</v>
      </c>
    </row>
    <row r="420" spans="3:5" ht="20.25" customHeight="1">
      <c r="C420" s="91" t="s">
        <v>8198</v>
      </c>
      <c r="E420" s="100">
        <v>44923</v>
      </c>
    </row>
    <row r="421" spans="3:5" ht="20.25" customHeight="1">
      <c r="C421" s="91" t="s">
        <v>8199</v>
      </c>
      <c r="E421" s="98"/>
    </row>
    <row r="422" spans="3:5" ht="20.25" customHeight="1">
      <c r="C422" s="91" t="s">
        <v>8200</v>
      </c>
      <c r="E422" s="100">
        <v>45013</v>
      </c>
    </row>
    <row r="423" spans="3:5" ht="20.25" customHeight="1">
      <c r="C423" s="91" t="s">
        <v>8201</v>
      </c>
      <c r="E423" s="100">
        <v>44923</v>
      </c>
    </row>
    <row r="424" spans="3:5" ht="20.25" customHeight="1">
      <c r="C424" s="91" t="s">
        <v>8202</v>
      </c>
      <c r="E424" s="100">
        <v>44923</v>
      </c>
    </row>
    <row r="425" spans="3:5" ht="20.25" customHeight="1">
      <c r="C425" s="91" t="s">
        <v>8203</v>
      </c>
      <c r="E425" s="100">
        <v>44816</v>
      </c>
    </row>
    <row r="426" spans="3:5" ht="20.25" customHeight="1">
      <c r="C426" s="91" t="s">
        <v>8204</v>
      </c>
      <c r="E426" s="98" t="s">
        <v>4437</v>
      </c>
    </row>
    <row r="427" spans="3:5" ht="20.25" customHeight="1">
      <c r="C427" s="91" t="s">
        <v>8205</v>
      </c>
      <c r="E427" s="98" t="s">
        <v>4437</v>
      </c>
    </row>
    <row r="428" spans="3:5" ht="20.25" customHeight="1">
      <c r="C428" s="91" t="s">
        <v>8206</v>
      </c>
      <c r="E428" s="100">
        <v>44816</v>
      </c>
    </row>
    <row r="429" spans="3:5" ht="20.25" customHeight="1">
      <c r="C429" s="91" t="s">
        <v>8207</v>
      </c>
      <c r="E429" s="100">
        <v>44816</v>
      </c>
    </row>
    <row r="430" spans="3:5" ht="20.25" customHeight="1">
      <c r="C430" s="91" t="s">
        <v>8208</v>
      </c>
      <c r="E430" s="100">
        <v>44816</v>
      </c>
    </row>
    <row r="431" spans="3:5" ht="20.25" customHeight="1">
      <c r="C431" s="91" t="s">
        <v>8209</v>
      </c>
      <c r="E431" s="98" t="s">
        <v>4437</v>
      </c>
    </row>
    <row r="432" spans="3:5" ht="20.25" customHeight="1">
      <c r="C432" s="91" t="s">
        <v>8210</v>
      </c>
      <c r="E432" s="110">
        <v>45034</v>
      </c>
    </row>
    <row r="433" spans="3:5" ht="20.25" customHeight="1">
      <c r="C433" s="91" t="s">
        <v>8211</v>
      </c>
      <c r="E433" s="100">
        <v>44992</v>
      </c>
    </row>
    <row r="434" spans="3:5" ht="20.25" customHeight="1">
      <c r="C434" s="91" t="s">
        <v>8212</v>
      </c>
      <c r="E434" s="100">
        <v>44992</v>
      </c>
    </row>
    <row r="435" spans="3:5" ht="20.25" customHeight="1">
      <c r="C435" s="91" t="s">
        <v>8213</v>
      </c>
      <c r="E435" s="110">
        <v>45034</v>
      </c>
    </row>
    <row r="436" spans="3:5" ht="20.25" customHeight="1">
      <c r="C436" s="91" t="s">
        <v>8214</v>
      </c>
      <c r="E436" s="98" t="s">
        <v>4437</v>
      </c>
    </row>
    <row r="437" spans="3:5" ht="20.25" customHeight="1">
      <c r="C437" s="91" t="s">
        <v>8215</v>
      </c>
      <c r="E437" s="98" t="s">
        <v>4437</v>
      </c>
    </row>
    <row r="438" spans="3:5" ht="20.25" customHeight="1">
      <c r="C438" s="91" t="s">
        <v>8216</v>
      </c>
      <c r="E438" s="98" t="s">
        <v>4437</v>
      </c>
    </row>
    <row r="439" spans="3:5" ht="20.25" customHeight="1">
      <c r="C439" s="91" t="s">
        <v>8217</v>
      </c>
      <c r="E439" s="100">
        <v>44862</v>
      </c>
    </row>
    <row r="440" spans="3:5" ht="20.25" customHeight="1">
      <c r="C440" s="96" t="s">
        <v>8218</v>
      </c>
      <c r="E440" s="98" t="s">
        <v>4437</v>
      </c>
    </row>
    <row r="441" spans="3:5" ht="20.25" customHeight="1">
      <c r="C441" s="91" t="s">
        <v>8219</v>
      </c>
      <c r="E441" s="100">
        <v>44862</v>
      </c>
    </row>
    <row r="442" spans="3:5" ht="20.25" customHeight="1">
      <c r="C442" s="91" t="s">
        <v>8220</v>
      </c>
      <c r="E442" s="110">
        <v>45040</v>
      </c>
    </row>
    <row r="443" spans="3:5" ht="20.25" customHeight="1">
      <c r="C443" s="91" t="s">
        <v>8221</v>
      </c>
      <c r="E443" s="98" t="s">
        <v>4437</v>
      </c>
    </row>
    <row r="444" spans="3:5" ht="20.25" customHeight="1">
      <c r="C444" s="91" t="s">
        <v>8222</v>
      </c>
      <c r="E444" s="98" t="s">
        <v>4437</v>
      </c>
    </row>
    <row r="445" spans="3:5" ht="20.25" customHeight="1">
      <c r="C445" s="91" t="s">
        <v>8223</v>
      </c>
      <c r="E445" s="98" t="s">
        <v>4437</v>
      </c>
    </row>
    <row r="446" spans="3:5" ht="20.25" customHeight="1">
      <c r="C446" s="91" t="s">
        <v>8224</v>
      </c>
      <c r="E446" s="98" t="s">
        <v>4437</v>
      </c>
    </row>
    <row r="447" spans="3:5" ht="20.25" customHeight="1">
      <c r="C447" s="91" t="s">
        <v>8225</v>
      </c>
      <c r="E447" s="100">
        <v>44910</v>
      </c>
    </row>
    <row r="448" spans="3:5" ht="20.25" customHeight="1">
      <c r="C448" s="91" t="s">
        <v>8226</v>
      </c>
      <c r="E448" s="110">
        <v>45034</v>
      </c>
    </row>
    <row r="449" spans="3:5" ht="20.25" customHeight="1">
      <c r="C449" s="91" t="s">
        <v>8227</v>
      </c>
      <c r="E449" s="100">
        <v>44923</v>
      </c>
    </row>
    <row r="450" spans="3:5" ht="20.25" customHeight="1">
      <c r="C450" s="91" t="s">
        <v>8228</v>
      </c>
      <c r="E450" s="100">
        <v>44816</v>
      </c>
    </row>
    <row r="451" spans="3:5" ht="20.25" customHeight="1">
      <c r="C451" s="91" t="s">
        <v>8229</v>
      </c>
      <c r="E451" s="100">
        <v>44925</v>
      </c>
    </row>
    <row r="452" spans="3:5" ht="20.25" customHeight="1">
      <c r="C452" s="91" t="s">
        <v>8230</v>
      </c>
      <c r="E452" s="100">
        <v>44816</v>
      </c>
    </row>
    <row r="453" spans="3:5" ht="20.25" customHeight="1">
      <c r="C453" s="91" t="s">
        <v>8231</v>
      </c>
      <c r="E453" s="100">
        <v>44816</v>
      </c>
    </row>
    <row r="454" spans="3:5" ht="20.25" customHeight="1">
      <c r="C454" s="91" t="s">
        <v>8232</v>
      </c>
      <c r="E454" s="100">
        <v>44816</v>
      </c>
    </row>
    <row r="455" spans="3:5" ht="20.25" customHeight="1">
      <c r="C455" s="91" t="s">
        <v>8233</v>
      </c>
      <c r="E455" s="103">
        <v>45065</v>
      </c>
    </row>
    <row r="456" spans="3:5" ht="20.25" customHeight="1">
      <c r="C456" s="91" t="s">
        <v>8234</v>
      </c>
      <c r="E456" s="103">
        <v>45148</v>
      </c>
    </row>
    <row r="457" spans="3:5" ht="20.25" customHeight="1">
      <c r="C457" s="91" t="s">
        <v>8235</v>
      </c>
      <c r="E457" s="100">
        <v>44922</v>
      </c>
    </row>
    <row r="458" spans="3:5" ht="20.25" customHeight="1">
      <c r="C458" s="91" t="s">
        <v>8236</v>
      </c>
      <c r="E458" s="100">
        <v>44910</v>
      </c>
    </row>
    <row r="459" spans="3:5" ht="20.25" customHeight="1">
      <c r="C459" s="91" t="s">
        <v>8237</v>
      </c>
      <c r="E459" s="100">
        <v>44816</v>
      </c>
    </row>
    <row r="460" spans="3:5" ht="20.25" customHeight="1">
      <c r="C460" s="91" t="s">
        <v>8238</v>
      </c>
      <c r="E460" s="100">
        <v>44816</v>
      </c>
    </row>
    <row r="461" spans="3:5" ht="20.25" customHeight="1">
      <c r="C461" s="91" t="s">
        <v>8239</v>
      </c>
      <c r="E461" s="100">
        <v>44816</v>
      </c>
    </row>
    <row r="462" spans="3:5" ht="20.25" customHeight="1">
      <c r="C462" s="91" t="s">
        <v>8240</v>
      </c>
      <c r="E462" s="100">
        <v>44816</v>
      </c>
    </row>
    <row r="463" spans="3:5" ht="20.25" customHeight="1">
      <c r="C463" s="91" t="s">
        <v>8241</v>
      </c>
      <c r="E463" s="100">
        <v>44923</v>
      </c>
    </row>
    <row r="464" spans="3:5" ht="20.25" customHeight="1">
      <c r="C464" s="91" t="s">
        <v>8242</v>
      </c>
      <c r="E464" s="107"/>
    </row>
    <row r="465" spans="3:5" ht="20.25" customHeight="1">
      <c r="C465" s="91" t="s">
        <v>8243</v>
      </c>
      <c r="E465" s="120" t="s">
        <v>4437</v>
      </c>
    </row>
    <row r="466" spans="3:5" ht="20.25" customHeight="1">
      <c r="C466" s="91" t="s">
        <v>8244</v>
      </c>
      <c r="E466" s="120" t="s">
        <v>4437</v>
      </c>
    </row>
    <row r="467" spans="3:5" ht="20.25" customHeight="1">
      <c r="C467" s="91" t="s">
        <v>8245</v>
      </c>
      <c r="E467" s="110">
        <v>45013</v>
      </c>
    </row>
    <row r="468" spans="3:5" ht="20.25" customHeight="1">
      <c r="C468" s="91" t="s">
        <v>8246</v>
      </c>
      <c r="E468" s="100">
        <v>44889</v>
      </c>
    </row>
    <row r="469" spans="3:5" ht="20.25" customHeight="1">
      <c r="C469" s="91" t="s">
        <v>8247</v>
      </c>
      <c r="E469" s="101"/>
    </row>
    <row r="470" spans="3:5" ht="20.25" customHeight="1">
      <c r="C470" s="91" t="s">
        <v>8248</v>
      </c>
      <c r="E470" s="100">
        <v>44877</v>
      </c>
    </row>
    <row r="471" spans="3:5" ht="20.25" customHeight="1">
      <c r="C471" s="91" t="s">
        <v>8249</v>
      </c>
      <c r="E471" s="98" t="s">
        <v>4437</v>
      </c>
    </row>
    <row r="472" spans="3:5" ht="20.25" customHeight="1">
      <c r="C472" s="91" t="s">
        <v>8250</v>
      </c>
      <c r="E472" s="98" t="s">
        <v>4437</v>
      </c>
    </row>
    <row r="473" spans="3:5" ht="20.25" customHeight="1">
      <c r="C473" s="91" t="s">
        <v>8251</v>
      </c>
      <c r="E473" s="98" t="s">
        <v>4437</v>
      </c>
    </row>
    <row r="474" spans="3:5" ht="20.25" customHeight="1">
      <c r="C474" s="91" t="s">
        <v>8252</v>
      </c>
      <c r="E474" s="98" t="s">
        <v>4437</v>
      </c>
    </row>
    <row r="475" spans="3:5" ht="20.25" customHeight="1">
      <c r="C475" s="91" t="s">
        <v>8253</v>
      </c>
      <c r="E475" s="100">
        <v>44889</v>
      </c>
    </row>
    <row r="476" spans="3:5" ht="20.25" customHeight="1">
      <c r="C476" s="91" t="s">
        <v>8254</v>
      </c>
      <c r="E476" s="100">
        <v>44862</v>
      </c>
    </row>
    <row r="477" spans="3:5" ht="20.25" customHeight="1">
      <c r="C477" s="91" t="s">
        <v>8255</v>
      </c>
      <c r="E477" s="100">
        <v>44869</v>
      </c>
    </row>
    <row r="478" spans="3:5" ht="20.25" customHeight="1">
      <c r="C478" s="91" t="s">
        <v>8256</v>
      </c>
      <c r="E478" s="98" t="s">
        <v>4437</v>
      </c>
    </row>
    <row r="479" spans="3:5" ht="20.25" customHeight="1">
      <c r="C479" s="91" t="s">
        <v>8257</v>
      </c>
      <c r="E479" s="98" t="s">
        <v>4437</v>
      </c>
    </row>
    <row r="480" spans="3:5" ht="20.25" customHeight="1">
      <c r="C480" s="91" t="s">
        <v>8258</v>
      </c>
      <c r="E480" s="98" t="s">
        <v>4437</v>
      </c>
    </row>
    <row r="481" spans="3:5" ht="20.25" customHeight="1">
      <c r="C481" s="91" t="s">
        <v>8259</v>
      </c>
      <c r="E481" s="110">
        <v>45014</v>
      </c>
    </row>
    <row r="482" spans="3:5" ht="20.25" customHeight="1">
      <c r="C482" s="91" t="s">
        <v>8260</v>
      </c>
      <c r="E482" s="103">
        <v>45065</v>
      </c>
    </row>
    <row r="483" spans="3:5" ht="20.25" customHeight="1">
      <c r="C483" s="91" t="s">
        <v>8261</v>
      </c>
      <c r="E483" s="100">
        <v>45056</v>
      </c>
    </row>
    <row r="484" spans="3:5" ht="20.25" customHeight="1">
      <c r="C484" s="91" t="s">
        <v>8262</v>
      </c>
      <c r="E484" s="103">
        <v>45049</v>
      </c>
    </row>
    <row r="485" spans="3:5" ht="20.25" customHeight="1">
      <c r="C485" s="91" t="s">
        <v>8263</v>
      </c>
      <c r="E485" s="100">
        <v>45056</v>
      </c>
    </row>
    <row r="486" spans="3:5" ht="20.25" customHeight="1">
      <c r="C486" s="91" t="s">
        <v>8264</v>
      </c>
      <c r="E486" s="98" t="s">
        <v>4437</v>
      </c>
    </row>
    <row r="487" spans="3:5" ht="20.25" customHeight="1">
      <c r="C487" s="91" t="s">
        <v>8265</v>
      </c>
      <c r="E487" s="100">
        <v>44862</v>
      </c>
    </row>
    <row r="488" spans="3:5" ht="20.25" customHeight="1">
      <c r="C488" s="91" t="s">
        <v>8266</v>
      </c>
      <c r="E488" s="100">
        <v>44910</v>
      </c>
    </row>
    <row r="489" spans="3:5" ht="20.25" customHeight="1">
      <c r="C489" s="91" t="s">
        <v>8267</v>
      </c>
      <c r="E489" s="98" t="s">
        <v>4437</v>
      </c>
    </row>
    <row r="490" spans="3:5" ht="20.25" customHeight="1">
      <c r="C490" s="91" t="s">
        <v>8268</v>
      </c>
      <c r="E490" s="98" t="s">
        <v>4437</v>
      </c>
    </row>
    <row r="491" spans="3:5" ht="20.25" customHeight="1">
      <c r="C491" s="91" t="s">
        <v>8269</v>
      </c>
      <c r="E491" s="100">
        <v>44890</v>
      </c>
    </row>
    <row r="492" spans="3:5" ht="20.25" customHeight="1">
      <c r="C492" s="91" t="s">
        <v>8270</v>
      </c>
      <c r="E492" s="100">
        <v>44869</v>
      </c>
    </row>
    <row r="493" spans="3:5" ht="20.25" customHeight="1">
      <c r="C493" s="91" t="s">
        <v>8271</v>
      </c>
      <c r="E493" s="100">
        <v>44867</v>
      </c>
    </row>
    <row r="494" spans="3:5" ht="20.25" customHeight="1">
      <c r="C494" s="91" t="s">
        <v>8272</v>
      </c>
      <c r="E494" s="98" t="s">
        <v>4437</v>
      </c>
    </row>
    <row r="495" spans="3:5" ht="20.25" customHeight="1">
      <c r="C495" s="91" t="s">
        <v>8273</v>
      </c>
      <c r="E495" s="98" t="s">
        <v>4437</v>
      </c>
    </row>
    <row r="496" spans="3:5" ht="20.25" customHeight="1">
      <c r="C496" s="96" t="s">
        <v>8274</v>
      </c>
      <c r="E496" s="98" t="s">
        <v>4437</v>
      </c>
    </row>
    <row r="497" spans="3:5" ht="20.25" customHeight="1">
      <c r="C497" s="91" t="s">
        <v>8275</v>
      </c>
      <c r="E497" s="103">
        <v>45049</v>
      </c>
    </row>
    <row r="498" spans="3:5" ht="20.25" customHeight="1">
      <c r="C498" s="91" t="s">
        <v>8276</v>
      </c>
      <c r="E498" s="100">
        <v>44923</v>
      </c>
    </row>
    <row r="499" spans="3:5" ht="20.25" customHeight="1">
      <c r="C499" s="91" t="s">
        <v>8277</v>
      </c>
      <c r="E499" s="98" t="s">
        <v>4437</v>
      </c>
    </row>
    <row r="500" spans="3:5" ht="20.25" customHeight="1">
      <c r="C500" s="91" t="s">
        <v>8278</v>
      </c>
      <c r="E500" s="100">
        <v>44877</v>
      </c>
    </row>
    <row r="501" spans="3:5" ht="20.25" customHeight="1">
      <c r="C501" s="91" t="s">
        <v>8279</v>
      </c>
      <c r="E501" s="100">
        <v>44862</v>
      </c>
    </row>
    <row r="502" spans="3:5" ht="20.25" customHeight="1">
      <c r="C502" s="96" t="s">
        <v>8280</v>
      </c>
      <c r="E502" s="100">
        <v>44862</v>
      </c>
    </row>
    <row r="503" spans="3:5" ht="20.25" customHeight="1">
      <c r="C503" s="91" t="s">
        <v>8281</v>
      </c>
      <c r="E503" s="98" t="s">
        <v>4437</v>
      </c>
    </row>
    <row r="504" spans="3:5" ht="20.25" customHeight="1">
      <c r="C504" s="91" t="s">
        <v>8282</v>
      </c>
      <c r="E504" s="100">
        <v>44889</v>
      </c>
    </row>
    <row r="505" spans="3:5" ht="20.25" customHeight="1">
      <c r="C505" s="91" t="s">
        <v>8283</v>
      </c>
      <c r="E505" s="98" t="s">
        <v>4437</v>
      </c>
    </row>
    <row r="506" spans="3:5" ht="20.25" customHeight="1">
      <c r="C506" s="91" t="s">
        <v>8284</v>
      </c>
      <c r="E506" s="98" t="s">
        <v>4437</v>
      </c>
    </row>
    <row r="507" spans="3:5" ht="20.25" customHeight="1">
      <c r="C507" s="91" t="s">
        <v>8285</v>
      </c>
      <c r="E507" s="98" t="s">
        <v>4437</v>
      </c>
    </row>
    <row r="508" spans="3:5" ht="20.25" customHeight="1">
      <c r="C508" s="91" t="s">
        <v>8286</v>
      </c>
      <c r="E508" s="100">
        <v>44862</v>
      </c>
    </row>
    <row r="509" spans="3:5" ht="20.25" customHeight="1">
      <c r="C509" s="91" t="s">
        <v>8287</v>
      </c>
      <c r="E509" s="100">
        <v>44862</v>
      </c>
    </row>
    <row r="510" spans="3:5" ht="20.25" customHeight="1">
      <c r="C510" s="91" t="s">
        <v>8288</v>
      </c>
      <c r="E510" s="100">
        <v>44889</v>
      </c>
    </row>
    <row r="511" spans="3:5" ht="20.25" customHeight="1">
      <c r="C511" s="91" t="s">
        <v>8289</v>
      </c>
      <c r="E511" s="100">
        <v>44869</v>
      </c>
    </row>
    <row r="512" spans="3:5" ht="20.25" customHeight="1">
      <c r="C512" s="91" t="s">
        <v>8290</v>
      </c>
      <c r="E512" s="105">
        <v>45013</v>
      </c>
    </row>
    <row r="513" spans="3:5" ht="20.25" customHeight="1">
      <c r="C513" s="91" t="s">
        <v>8291</v>
      </c>
      <c r="E513" s="105">
        <v>45013</v>
      </c>
    </row>
    <row r="514" spans="3:5" ht="20.25" customHeight="1">
      <c r="C514" s="91" t="s">
        <v>8292</v>
      </c>
      <c r="E514" s="100">
        <v>44816</v>
      </c>
    </row>
    <row r="515" spans="3:5" ht="20.25" customHeight="1">
      <c r="C515" s="91" t="s">
        <v>8293</v>
      </c>
      <c r="E515" s="98" t="s">
        <v>4437</v>
      </c>
    </row>
    <row r="516" spans="3:5" ht="20.25" customHeight="1">
      <c r="C516" s="91" t="s">
        <v>8294</v>
      </c>
      <c r="E516" s="98" t="s">
        <v>4437</v>
      </c>
    </row>
    <row r="517" spans="3:5" ht="20.25" customHeight="1">
      <c r="C517" s="91" t="s">
        <v>8295</v>
      </c>
      <c r="E517" s="98" t="s">
        <v>4437</v>
      </c>
    </row>
    <row r="518" spans="3:5" ht="20.25" customHeight="1">
      <c r="C518" s="91" t="s">
        <v>8296</v>
      </c>
      <c r="E518" s="98" t="s">
        <v>4437</v>
      </c>
    </row>
    <row r="519" spans="3:5" ht="20.25" customHeight="1">
      <c r="C519" s="91" t="s">
        <v>8297</v>
      </c>
      <c r="E519" s="98" t="s">
        <v>4437</v>
      </c>
    </row>
    <row r="520" spans="3:5" ht="20.25" customHeight="1">
      <c r="C520" s="91" t="s">
        <v>8298</v>
      </c>
      <c r="E520" s="98" t="s">
        <v>4437</v>
      </c>
    </row>
    <row r="521" spans="3:5" ht="20.25" customHeight="1">
      <c r="C521" s="91" t="s">
        <v>8299</v>
      </c>
      <c r="E521" s="98" t="s">
        <v>4437</v>
      </c>
    </row>
    <row r="522" spans="3:5" ht="20.25" customHeight="1">
      <c r="C522" s="91" t="s">
        <v>8300</v>
      </c>
      <c r="E522" s="98" t="s">
        <v>4437</v>
      </c>
    </row>
    <row r="523" spans="3:5" ht="20.25" customHeight="1">
      <c r="C523" s="91" t="s">
        <v>8301</v>
      </c>
      <c r="E523" s="100">
        <v>44869</v>
      </c>
    </row>
    <row r="524" spans="3:5" ht="20.25" customHeight="1">
      <c r="C524" s="91" t="s">
        <v>8302</v>
      </c>
      <c r="E524" s="100">
        <v>44862</v>
      </c>
    </row>
    <row r="525" spans="3:5" ht="20.25" customHeight="1">
      <c r="C525" s="91" t="s">
        <v>8303</v>
      </c>
      <c r="E525" s="100">
        <v>44869</v>
      </c>
    </row>
    <row r="526" spans="3:5" ht="20.25" customHeight="1">
      <c r="C526" s="91" t="s">
        <v>8304</v>
      </c>
      <c r="E526" s="98" t="s">
        <v>4437</v>
      </c>
    </row>
    <row r="527" spans="3:5" ht="20.25" customHeight="1">
      <c r="C527" s="91" t="s">
        <v>8305</v>
      </c>
      <c r="E527" s="98" t="s">
        <v>4437</v>
      </c>
    </row>
    <row r="528" spans="3:5" ht="20.25" customHeight="1">
      <c r="C528" s="91" t="s">
        <v>8306</v>
      </c>
      <c r="E528" s="98" t="s">
        <v>4437</v>
      </c>
    </row>
    <row r="529" spans="3:5" ht="20.25" customHeight="1">
      <c r="C529" s="91" t="s">
        <v>8307</v>
      </c>
      <c r="E529" s="100">
        <v>44889</v>
      </c>
    </row>
    <row r="530" spans="3:5" ht="20.25" customHeight="1">
      <c r="C530" s="91" t="s">
        <v>8308</v>
      </c>
      <c r="E530" s="100">
        <v>44910</v>
      </c>
    </row>
    <row r="531" spans="3:5" ht="20.25" customHeight="1">
      <c r="C531" s="91" t="s">
        <v>8309</v>
      </c>
      <c r="E531" s="100">
        <v>44869</v>
      </c>
    </row>
    <row r="532" spans="3:5" ht="20.25" customHeight="1">
      <c r="C532" s="91" t="s">
        <v>8310</v>
      </c>
      <c r="E532" s="100">
        <v>44889</v>
      </c>
    </row>
    <row r="533" spans="3:5" ht="20.25" customHeight="1">
      <c r="C533" s="91" t="s">
        <v>8311</v>
      </c>
      <c r="E533" s="100">
        <v>44910</v>
      </c>
    </row>
    <row r="534" spans="3:5" ht="20.25" customHeight="1">
      <c r="C534" s="91" t="s">
        <v>8312</v>
      </c>
      <c r="E534" s="100">
        <v>44889</v>
      </c>
    </row>
    <row r="535" spans="3:5" ht="20.25" customHeight="1">
      <c r="C535" s="91" t="s">
        <v>8313</v>
      </c>
      <c r="E535" s="100">
        <v>44910</v>
      </c>
    </row>
    <row r="536" spans="3:5" ht="20.25" customHeight="1">
      <c r="C536" s="91" t="s">
        <v>8314</v>
      </c>
      <c r="E536" s="100">
        <v>44877</v>
      </c>
    </row>
    <row r="537" spans="3:5" ht="20.25" customHeight="1">
      <c r="C537" s="91" t="s">
        <v>8315</v>
      </c>
      <c r="E537" s="100">
        <v>44862</v>
      </c>
    </row>
    <row r="538" spans="3:5" ht="20.25" customHeight="1">
      <c r="C538" s="91" t="s">
        <v>8316</v>
      </c>
      <c r="E538" s="98" t="s">
        <v>4437</v>
      </c>
    </row>
    <row r="539" spans="3:5" ht="20.25" customHeight="1">
      <c r="C539" s="91" t="s">
        <v>8317</v>
      </c>
      <c r="E539" s="98" t="s">
        <v>4437</v>
      </c>
    </row>
    <row r="540" spans="3:5" ht="20.25" customHeight="1">
      <c r="C540" s="91" t="s">
        <v>8318</v>
      </c>
      <c r="E540" s="98" t="s">
        <v>4437</v>
      </c>
    </row>
    <row r="541" spans="3:5" ht="20.25" customHeight="1">
      <c r="C541" s="91" t="s">
        <v>8319</v>
      </c>
      <c r="E541" s="98" t="s">
        <v>4437</v>
      </c>
    </row>
    <row r="542" spans="3:5" ht="20.25" customHeight="1">
      <c r="C542" s="91" t="s">
        <v>8320</v>
      </c>
      <c r="E542" s="100">
        <v>44816</v>
      </c>
    </row>
    <row r="543" spans="3:5" ht="20.25" customHeight="1">
      <c r="C543" s="91" t="s">
        <v>8321</v>
      </c>
      <c r="E543" s="100">
        <v>44961</v>
      </c>
    </row>
    <row r="544" spans="3:5" ht="20.25" customHeight="1">
      <c r="C544" s="91" t="s">
        <v>8322</v>
      </c>
      <c r="E544" s="98" t="s">
        <v>4437</v>
      </c>
    </row>
    <row r="545" spans="3:5" ht="20.25" customHeight="1">
      <c r="C545" s="91" t="s">
        <v>8323</v>
      </c>
      <c r="E545" s="100">
        <v>44889</v>
      </c>
    </row>
    <row r="546" spans="3:5" ht="20.25" customHeight="1">
      <c r="C546" s="91" t="s">
        <v>8324</v>
      </c>
      <c r="E546" s="100">
        <v>44816</v>
      </c>
    </row>
    <row r="547" spans="3:5" ht="20.25" customHeight="1">
      <c r="C547" s="91" t="s">
        <v>8325</v>
      </c>
      <c r="E547" s="100">
        <v>44961</v>
      </c>
    </row>
    <row r="548" spans="3:5" ht="20.25" customHeight="1">
      <c r="C548" s="91" t="s">
        <v>8326</v>
      </c>
      <c r="E548" s="100">
        <v>44910</v>
      </c>
    </row>
    <row r="549" spans="3:5" ht="20.25" customHeight="1">
      <c r="C549" s="91" t="s">
        <v>8327</v>
      </c>
      <c r="E549" s="100">
        <v>44889</v>
      </c>
    </row>
    <row r="550" spans="3:5" ht="20.25" customHeight="1">
      <c r="C550" s="95" t="s">
        <v>8328</v>
      </c>
      <c r="E550" s="100">
        <v>44816</v>
      </c>
    </row>
    <row r="551" spans="3:5" ht="20.25" customHeight="1">
      <c r="C551" s="91" t="s">
        <v>8329</v>
      </c>
      <c r="E551" s="100">
        <v>44889</v>
      </c>
    </row>
    <row r="552" spans="3:5" ht="20.25" customHeight="1">
      <c r="C552" s="91" t="s">
        <v>8330</v>
      </c>
      <c r="E552" s="100">
        <v>44816</v>
      </c>
    </row>
    <row r="553" spans="3:5" ht="20.25" customHeight="1">
      <c r="C553" s="91" t="s">
        <v>8331</v>
      </c>
      <c r="E553" s="98" t="s">
        <v>4437</v>
      </c>
    </row>
    <row r="554" spans="3:5" ht="20.25" customHeight="1">
      <c r="C554" s="91" t="s">
        <v>8332</v>
      </c>
      <c r="E554" s="98" t="s">
        <v>4437</v>
      </c>
    </row>
    <row r="555" spans="3:5" ht="20.25" customHeight="1">
      <c r="C555" s="91" t="s">
        <v>8333</v>
      </c>
      <c r="E555" s="98" t="s">
        <v>4437</v>
      </c>
    </row>
    <row r="556" spans="3:5" ht="20.25" customHeight="1">
      <c r="C556" s="91" t="s">
        <v>8334</v>
      </c>
      <c r="E556" s="100">
        <v>44889</v>
      </c>
    </row>
    <row r="557" spans="3:5" ht="20.25" customHeight="1">
      <c r="C557" s="91" t="s">
        <v>8335</v>
      </c>
      <c r="E557" s="98" t="s">
        <v>4437</v>
      </c>
    </row>
    <row r="558" spans="3:5" ht="20.25" customHeight="1">
      <c r="C558" s="91" t="s">
        <v>8336</v>
      </c>
      <c r="E558" s="98" t="s">
        <v>4437</v>
      </c>
    </row>
    <row r="559" spans="3:5" ht="20.25" customHeight="1">
      <c r="C559" s="91" t="s">
        <v>8337</v>
      </c>
      <c r="E559" s="100">
        <v>44889</v>
      </c>
    </row>
    <row r="560" spans="3:5" ht="20.25" customHeight="1">
      <c r="C560" s="91" t="s">
        <v>8338</v>
      </c>
      <c r="E560" s="100">
        <v>44889</v>
      </c>
    </row>
    <row r="561" spans="3:5" ht="20.25" customHeight="1">
      <c r="C561" s="91" t="s">
        <v>8339</v>
      </c>
      <c r="E561" s="100"/>
    </row>
    <row r="562" spans="3:5" ht="20.25" customHeight="1">
      <c r="C562" s="91" t="s">
        <v>8340</v>
      </c>
      <c r="E562" s="100">
        <v>45097</v>
      </c>
    </row>
    <row r="563" spans="3:5" ht="20.25" customHeight="1">
      <c r="C563" s="91" t="s">
        <v>8341</v>
      </c>
      <c r="E563" s="100">
        <v>44910</v>
      </c>
    </row>
    <row r="564" spans="3:5" ht="20.25" customHeight="1">
      <c r="C564" s="90" t="s">
        <v>8342</v>
      </c>
      <c r="E564" s="100">
        <v>44923</v>
      </c>
    </row>
    <row r="565" spans="3:5" ht="20.25" customHeight="1">
      <c r="C565" s="91" t="s">
        <v>8343</v>
      </c>
      <c r="E565" s="100">
        <v>44923</v>
      </c>
    </row>
    <row r="566" spans="3:5" ht="20.25" customHeight="1">
      <c r="C566" s="91" t="s">
        <v>8344</v>
      </c>
      <c r="E566" s="100">
        <v>44910</v>
      </c>
    </row>
    <row r="567" spans="3:5" ht="20.25" customHeight="1">
      <c r="C567" s="91" t="s">
        <v>8345</v>
      </c>
      <c r="E567" s="100">
        <v>44910</v>
      </c>
    </row>
    <row r="568" spans="3:5" ht="20.25" customHeight="1">
      <c r="C568" s="91" t="s">
        <v>8346</v>
      </c>
      <c r="E568" s="98" t="s">
        <v>4437</v>
      </c>
    </row>
    <row r="569" spans="3:5" ht="20.25" customHeight="1">
      <c r="C569" s="91" t="s">
        <v>8347</v>
      </c>
      <c r="E569" s="100">
        <v>44923</v>
      </c>
    </row>
    <row r="570" spans="3:5" ht="20.25" customHeight="1">
      <c r="C570" s="91" t="s">
        <v>8348</v>
      </c>
      <c r="E570" s="100">
        <v>44910</v>
      </c>
    </row>
    <row r="571" spans="3:5" ht="20.25" customHeight="1">
      <c r="C571" s="91" t="s">
        <v>8349</v>
      </c>
      <c r="E571" s="100">
        <v>44923</v>
      </c>
    </row>
    <row r="572" spans="3:5" ht="20.25" customHeight="1">
      <c r="C572" s="91" t="s">
        <v>8350</v>
      </c>
      <c r="E572" s="100">
        <v>44910</v>
      </c>
    </row>
    <row r="573" spans="3:5" ht="20.25" customHeight="1">
      <c r="C573" s="91" t="s">
        <v>7834</v>
      </c>
      <c r="E573" s="100">
        <v>44910</v>
      </c>
    </row>
    <row r="574" spans="3:5" ht="20.25" customHeight="1">
      <c r="C574" s="91" t="s">
        <v>7836</v>
      </c>
      <c r="E574" s="100">
        <v>44869</v>
      </c>
    </row>
    <row r="575" spans="3:5" ht="20.25" customHeight="1">
      <c r="C575" s="91" t="s">
        <v>8351</v>
      </c>
      <c r="E575" s="100">
        <v>44869</v>
      </c>
    </row>
    <row r="576" spans="3:5" ht="20.25" customHeight="1">
      <c r="C576" s="91" t="s">
        <v>8352</v>
      </c>
      <c r="E576" s="100">
        <v>44876</v>
      </c>
    </row>
    <row r="577" spans="3:5" ht="20.25" customHeight="1">
      <c r="C577" s="90" t="s">
        <v>8353</v>
      </c>
      <c r="E577" s="98" t="s">
        <v>4437</v>
      </c>
    </row>
    <row r="578" spans="3:5" ht="20.25" customHeight="1">
      <c r="C578" s="91" t="s">
        <v>8354</v>
      </c>
      <c r="E578" s="100">
        <v>44869</v>
      </c>
    </row>
    <row r="579" spans="3:5" ht="20.25" customHeight="1">
      <c r="C579" s="91" t="s">
        <v>8355</v>
      </c>
      <c r="E579" s="98" t="s">
        <v>4437</v>
      </c>
    </row>
    <row r="580" spans="3:5" ht="20.25" customHeight="1">
      <c r="C580" s="91" t="s">
        <v>8356</v>
      </c>
      <c r="E580" s="98" t="s">
        <v>4437</v>
      </c>
    </row>
    <row r="581" spans="3:5" ht="20.25" customHeight="1">
      <c r="C581" s="91" t="s">
        <v>8357</v>
      </c>
      <c r="E581" s="98" t="s">
        <v>4437</v>
      </c>
    </row>
    <row r="582" spans="3:5" ht="20.25" customHeight="1">
      <c r="C582" s="91" t="s">
        <v>7838</v>
      </c>
      <c r="E582" s="98" t="s">
        <v>4437</v>
      </c>
    </row>
    <row r="583" spans="3:5" ht="20.25" customHeight="1">
      <c r="C583" s="91" t="s">
        <v>8358</v>
      </c>
      <c r="E583" s="98" t="s">
        <v>4437</v>
      </c>
    </row>
    <row r="584" spans="3:5" ht="20.25" customHeight="1">
      <c r="C584" s="91" t="s">
        <v>8359</v>
      </c>
      <c r="E584" s="98" t="s">
        <v>4437</v>
      </c>
    </row>
    <row r="585" spans="3:5" ht="20.25" customHeight="1">
      <c r="C585" s="91" t="s">
        <v>8360</v>
      </c>
      <c r="E585" s="98" t="s">
        <v>4437</v>
      </c>
    </row>
    <row r="586" spans="3:5" ht="20.25" customHeight="1">
      <c r="C586" s="91" t="s">
        <v>8361</v>
      </c>
      <c r="E586" s="98" t="s">
        <v>4437</v>
      </c>
    </row>
    <row r="587" spans="3:5" ht="20.25" customHeight="1">
      <c r="C587" s="91" t="s">
        <v>8362</v>
      </c>
      <c r="E587" s="98" t="s">
        <v>4437</v>
      </c>
    </row>
    <row r="588" spans="3:5" ht="20.25" customHeight="1">
      <c r="C588" s="91" t="s">
        <v>8363</v>
      </c>
      <c r="E588" s="98" t="s">
        <v>4437</v>
      </c>
    </row>
    <row r="589" spans="3:5" ht="20.25" customHeight="1">
      <c r="C589" s="91" t="s">
        <v>8364</v>
      </c>
      <c r="E589" s="98" t="s">
        <v>4437</v>
      </c>
    </row>
    <row r="590" spans="3:5" ht="20.25" customHeight="1">
      <c r="C590" s="91" t="s">
        <v>8365</v>
      </c>
      <c r="E590" s="98" t="s">
        <v>4437</v>
      </c>
    </row>
    <row r="591" spans="3:5" ht="20.25" customHeight="1">
      <c r="C591" s="91" t="s">
        <v>8366</v>
      </c>
      <c r="E591" s="98" t="s">
        <v>4437</v>
      </c>
    </row>
    <row r="592" spans="3:5" ht="20.25" customHeight="1">
      <c r="C592" s="91" t="s">
        <v>8367</v>
      </c>
      <c r="E592" s="100">
        <v>44910</v>
      </c>
    </row>
    <row r="593" spans="3:5" ht="20.25" customHeight="1">
      <c r="C593" s="91" t="s">
        <v>8368</v>
      </c>
      <c r="E593" s="98" t="s">
        <v>4437</v>
      </c>
    </row>
    <row r="594" spans="3:5" ht="20.25" customHeight="1">
      <c r="C594" s="91" t="s">
        <v>8369</v>
      </c>
      <c r="E594" s="100">
        <v>44910</v>
      </c>
    </row>
    <row r="595" spans="3:5" ht="20.25" customHeight="1">
      <c r="C595" s="91" t="s">
        <v>8370</v>
      </c>
      <c r="E595" s="98" t="s">
        <v>4437</v>
      </c>
    </row>
    <row r="596" spans="3:5" ht="20.25" customHeight="1">
      <c r="C596" s="91" t="s">
        <v>8371</v>
      </c>
      <c r="E596" s="100">
        <v>44910</v>
      </c>
    </row>
    <row r="597" spans="3:5" ht="20.25" customHeight="1">
      <c r="C597" s="91" t="s">
        <v>8372</v>
      </c>
      <c r="E597" s="98" t="s">
        <v>4437</v>
      </c>
    </row>
    <row r="598" spans="3:5" ht="20.25" customHeight="1">
      <c r="C598" s="95" t="s">
        <v>8373</v>
      </c>
      <c r="E598" s="98" t="s">
        <v>4437</v>
      </c>
    </row>
    <row r="599" spans="3:5" ht="20.25" customHeight="1">
      <c r="C599" s="91" t="s">
        <v>8374</v>
      </c>
      <c r="E599" s="98" t="s">
        <v>4437</v>
      </c>
    </row>
    <row r="600" spans="3:5" ht="20.25" customHeight="1">
      <c r="C600" s="91" t="s">
        <v>8375</v>
      </c>
      <c r="E600" s="98" t="s">
        <v>4437</v>
      </c>
    </row>
    <row r="601" spans="3:5" ht="20.25" customHeight="1">
      <c r="C601" s="91" t="s">
        <v>8376</v>
      </c>
      <c r="E601" s="103">
        <v>45065</v>
      </c>
    </row>
    <row r="602" spans="3:5" ht="20.25" customHeight="1">
      <c r="C602" s="91" t="s">
        <v>8377</v>
      </c>
      <c r="E602" s="103">
        <v>45148</v>
      </c>
    </row>
    <row r="603" spans="3:5" ht="20.25" customHeight="1">
      <c r="C603" s="91" t="s">
        <v>8378</v>
      </c>
      <c r="E603" s="100">
        <v>44910</v>
      </c>
    </row>
    <row r="604" spans="3:5" ht="20.25" customHeight="1">
      <c r="C604" s="91" t="s">
        <v>8379</v>
      </c>
      <c r="E604" s="110">
        <v>45040</v>
      </c>
    </row>
    <row r="605" spans="3:5" ht="20.25" customHeight="1">
      <c r="C605" s="91" t="s">
        <v>8380</v>
      </c>
      <c r="E605" s="98" t="s">
        <v>4437</v>
      </c>
    </row>
    <row r="606" spans="3:5" ht="20.25" customHeight="1">
      <c r="C606" s="91" t="s">
        <v>8381</v>
      </c>
      <c r="E606" s="103">
        <v>45065</v>
      </c>
    </row>
    <row r="607" spans="3:5" ht="20.25" customHeight="1">
      <c r="C607" s="91" t="s">
        <v>8382</v>
      </c>
      <c r="E607" s="98" t="s">
        <v>4437</v>
      </c>
    </row>
    <row r="608" spans="3:5" ht="20.25" customHeight="1">
      <c r="C608" s="91" t="s">
        <v>8383</v>
      </c>
      <c r="E608" s="110">
        <v>45040</v>
      </c>
    </row>
    <row r="609" spans="3:5" ht="20.25" customHeight="1">
      <c r="C609" s="91" t="s">
        <v>8384</v>
      </c>
      <c r="E609" s="100">
        <v>44923</v>
      </c>
    </row>
    <row r="610" spans="3:5" ht="20.25" customHeight="1">
      <c r="C610" s="91" t="s">
        <v>8385</v>
      </c>
      <c r="E610" s="103">
        <v>45065</v>
      </c>
    </row>
    <row r="611" spans="3:5" ht="20.25" customHeight="1">
      <c r="C611" s="91" t="s">
        <v>8386</v>
      </c>
      <c r="E611" s="98" t="s">
        <v>4437</v>
      </c>
    </row>
    <row r="612" spans="3:5" ht="20.25" customHeight="1">
      <c r="C612" s="91" t="s">
        <v>8387</v>
      </c>
      <c r="E612" s="98" t="s">
        <v>4437</v>
      </c>
    </row>
    <row r="613" spans="3:5" ht="20.25" customHeight="1">
      <c r="C613" s="91" t="s">
        <v>8388</v>
      </c>
      <c r="E613" s="100">
        <v>44910</v>
      </c>
    </row>
    <row r="614" spans="3:5" ht="20.25" customHeight="1">
      <c r="C614" s="91" t="s">
        <v>8389</v>
      </c>
      <c r="E614" s="100">
        <v>44923</v>
      </c>
    </row>
    <row r="615" spans="3:5" ht="20.25" customHeight="1">
      <c r="C615" s="91" t="s">
        <v>8390</v>
      </c>
      <c r="E615" s="100">
        <v>44910</v>
      </c>
    </row>
    <row r="616" spans="3:5" ht="20.25" customHeight="1">
      <c r="C616" s="90" t="s">
        <v>8391</v>
      </c>
      <c r="E616" s="100">
        <v>44869</v>
      </c>
    </row>
    <row r="617" spans="3:5" ht="20.25" customHeight="1">
      <c r="C617" s="91" t="s">
        <v>8392</v>
      </c>
      <c r="E617" s="100">
        <v>44910</v>
      </c>
    </row>
    <row r="618" spans="3:5" ht="20.25" customHeight="1">
      <c r="C618" s="91" t="s">
        <v>8393</v>
      </c>
      <c r="E618" s="98"/>
    </row>
    <row r="619" spans="3:5" ht="20.25" customHeight="1">
      <c r="C619" s="91" t="s">
        <v>8394</v>
      </c>
      <c r="E619" s="100">
        <v>44910</v>
      </c>
    </row>
    <row r="620" spans="3:5" ht="20.25" customHeight="1">
      <c r="C620" s="91" t="s">
        <v>7840</v>
      </c>
      <c r="E620" s="98" t="s">
        <v>4437</v>
      </c>
    </row>
    <row r="621" spans="3:5" ht="20.25" customHeight="1">
      <c r="C621" s="91" t="s">
        <v>8395</v>
      </c>
      <c r="E621" s="100">
        <v>44923</v>
      </c>
    </row>
    <row r="622" spans="3:5" ht="20.25" customHeight="1">
      <c r="C622" s="91" t="s">
        <v>8396</v>
      </c>
      <c r="E622" s="100">
        <v>44910</v>
      </c>
    </row>
    <row r="623" spans="3:5" ht="20.25" customHeight="1">
      <c r="C623" s="91" t="s">
        <v>8397</v>
      </c>
      <c r="E623" s="100">
        <v>44910</v>
      </c>
    </row>
    <row r="624" spans="3:5" ht="20.25" customHeight="1">
      <c r="C624" s="91" t="s">
        <v>8398</v>
      </c>
      <c r="E624" s="98"/>
    </row>
    <row r="625" spans="3:5" ht="20.25" customHeight="1">
      <c r="C625" s="91" t="s">
        <v>8399</v>
      </c>
      <c r="E625" s="107"/>
    </row>
    <row r="626" spans="3:5" ht="20.25" customHeight="1">
      <c r="C626" s="91" t="s">
        <v>8400</v>
      </c>
      <c r="E626" s="107"/>
    </row>
    <row r="627" spans="3:5" ht="20.25" customHeight="1">
      <c r="C627" s="91" t="s">
        <v>8401</v>
      </c>
      <c r="E627" s="107"/>
    </row>
    <row r="628" spans="3:5" ht="20.25" customHeight="1">
      <c r="C628" s="91" t="s">
        <v>8402</v>
      </c>
      <c r="E628" s="107"/>
    </row>
    <row r="629" spans="3:5" ht="20.25" customHeight="1">
      <c r="C629" s="91" t="s">
        <v>8403</v>
      </c>
      <c r="E629" s="107"/>
    </row>
    <row r="630" spans="3:5" ht="20.25" customHeight="1">
      <c r="C630" s="91" t="s">
        <v>8404</v>
      </c>
      <c r="E630" s="107"/>
    </row>
    <row r="631" spans="3:5" ht="20.25" customHeight="1">
      <c r="C631" s="91" t="s">
        <v>8405</v>
      </c>
      <c r="E631" s="107"/>
    </row>
    <row r="632" spans="3:5" ht="20.25" customHeight="1">
      <c r="C632" s="91" t="s">
        <v>8406</v>
      </c>
      <c r="E632" s="107"/>
    </row>
    <row r="633" spans="3:5" ht="20.25" customHeight="1">
      <c r="C633" s="91" t="s">
        <v>8407</v>
      </c>
      <c r="E633" s="107"/>
    </row>
    <row r="634" spans="3:5" ht="20.25" customHeight="1">
      <c r="C634" s="91" t="s">
        <v>8408</v>
      </c>
      <c r="E634" s="107"/>
    </row>
    <row r="635" spans="3:5" ht="20.25" customHeight="1">
      <c r="C635" s="95" t="s">
        <v>8409</v>
      </c>
      <c r="E635" s="107"/>
    </row>
    <row r="636" spans="3:5" ht="20.25" customHeight="1">
      <c r="C636" s="91" t="s">
        <v>8410</v>
      </c>
      <c r="E636" s="107"/>
    </row>
    <row r="637" spans="3:5" ht="20.25" customHeight="1">
      <c r="C637" s="91" t="s">
        <v>8411</v>
      </c>
      <c r="E637" s="107"/>
    </row>
    <row r="638" spans="3:5" ht="20.25" customHeight="1">
      <c r="C638" s="95" t="s">
        <v>8412</v>
      </c>
      <c r="E638" s="107"/>
    </row>
    <row r="639" spans="3:5" ht="20.25" customHeight="1">
      <c r="C639" s="91" t="s">
        <v>8413</v>
      </c>
      <c r="E639" s="107"/>
    </row>
    <row r="640" spans="3:5" ht="20.25" customHeight="1">
      <c r="C640" s="91" t="s">
        <v>8414</v>
      </c>
      <c r="E640" s="107"/>
    </row>
    <row r="641" spans="3:5" ht="20.25" customHeight="1">
      <c r="C641" s="91" t="s">
        <v>8415</v>
      </c>
      <c r="E641" s="107"/>
    </row>
    <row r="642" spans="3:5" ht="20.25" customHeight="1">
      <c r="C642" s="91" t="s">
        <v>8416</v>
      </c>
      <c r="E642" s="107"/>
    </row>
    <row r="643" spans="3:5" ht="20.25" customHeight="1">
      <c r="C643" s="95" t="s">
        <v>8417</v>
      </c>
      <c r="E643" s="107"/>
    </row>
    <row r="644" spans="3:5" ht="20.25" customHeight="1">
      <c r="C644" s="91" t="s">
        <v>8418</v>
      </c>
      <c r="E644" s="107"/>
    </row>
    <row r="645" spans="3:5" ht="20.25" customHeight="1">
      <c r="C645" s="91" t="s">
        <v>8419</v>
      </c>
      <c r="E645" s="107"/>
    </row>
    <row r="646" spans="3:5" ht="20.25" customHeight="1">
      <c r="C646" s="96" t="s">
        <v>7842</v>
      </c>
      <c r="E646" s="107"/>
    </row>
    <row r="647" spans="3:5" ht="20.25" customHeight="1">
      <c r="C647" s="95" t="s">
        <v>8420</v>
      </c>
      <c r="E647" s="98" t="s">
        <v>4437</v>
      </c>
    </row>
    <row r="648" spans="3:5" ht="20.25" customHeight="1">
      <c r="C648" s="91" t="s">
        <v>8421</v>
      </c>
      <c r="E648" s="98" t="s">
        <v>4437</v>
      </c>
    </row>
    <row r="649" spans="3:5" ht="20.25" customHeight="1">
      <c r="C649" s="91" t="s">
        <v>7844</v>
      </c>
      <c r="E649" s="98" t="s">
        <v>4437</v>
      </c>
    </row>
    <row r="650" spans="3:5" ht="20.25" customHeight="1">
      <c r="C650" s="91" t="s">
        <v>7846</v>
      </c>
      <c r="E650" s="107" t="s">
        <v>4437</v>
      </c>
    </row>
    <row r="651" spans="3:5" ht="20.25" customHeight="1">
      <c r="C651" s="91" t="s">
        <v>8422</v>
      </c>
      <c r="E651" s="107"/>
    </row>
    <row r="652" spans="3:5" ht="20.25" customHeight="1">
      <c r="C652" s="91" t="s">
        <v>7848</v>
      </c>
      <c r="E652" s="107"/>
    </row>
    <row r="653" spans="3:5" ht="20.25" customHeight="1">
      <c r="C653" s="91" t="s">
        <v>8423</v>
      </c>
      <c r="E653" s="107"/>
    </row>
    <row r="654" spans="3:5" ht="20.25" customHeight="1">
      <c r="C654" s="91" t="s">
        <v>8424</v>
      </c>
      <c r="E654" s="107"/>
    </row>
    <row r="655" spans="3:5" ht="20.25" customHeight="1">
      <c r="C655" s="91" t="s">
        <v>8425</v>
      </c>
      <c r="E655" s="107"/>
    </row>
    <row r="656" spans="3:5" ht="20.25" customHeight="1">
      <c r="C656" s="91" t="s">
        <v>8426</v>
      </c>
      <c r="E656" s="107"/>
    </row>
    <row r="657" spans="3:5" ht="20.25" customHeight="1">
      <c r="C657" s="91" t="s">
        <v>8427</v>
      </c>
      <c r="E657" s="107"/>
    </row>
    <row r="658" spans="3:5" ht="20.25" customHeight="1">
      <c r="C658" s="91" t="s">
        <v>8428</v>
      </c>
      <c r="E658" s="107"/>
    </row>
    <row r="659" spans="3:5" ht="20.25" customHeight="1">
      <c r="C659" s="91" t="s">
        <v>8429</v>
      </c>
      <c r="E659" s="107"/>
    </row>
    <row r="660" spans="3:5" ht="20.25" customHeight="1">
      <c r="C660" s="91" t="s">
        <v>8430</v>
      </c>
      <c r="E660" s="107"/>
    </row>
    <row r="661" spans="3:5" ht="20.25" customHeight="1">
      <c r="C661" s="91" t="s">
        <v>8431</v>
      </c>
      <c r="E661" s="107"/>
    </row>
    <row r="662" spans="3:5" ht="20.25" customHeight="1">
      <c r="C662" s="91" t="s">
        <v>8432</v>
      </c>
      <c r="E662" s="107"/>
    </row>
    <row r="663" spans="3:5" ht="20.25" customHeight="1">
      <c r="C663" s="91" t="s">
        <v>8433</v>
      </c>
      <c r="E663" s="107"/>
    </row>
    <row r="664" spans="3:5" ht="20.25" customHeight="1">
      <c r="C664" s="91" t="s">
        <v>7850</v>
      </c>
      <c r="E664" s="107"/>
    </row>
    <row r="665" spans="3:5" ht="20.25" customHeight="1">
      <c r="C665" s="91" t="s">
        <v>8434</v>
      </c>
      <c r="E665" s="107"/>
    </row>
    <row r="666" spans="3:5" ht="20.25" customHeight="1">
      <c r="C666" s="91" t="s">
        <v>8435</v>
      </c>
      <c r="E666" s="110">
        <v>45040</v>
      </c>
    </row>
    <row r="667" spans="3:5" ht="20.25" customHeight="1">
      <c r="C667" s="91" t="s">
        <v>8436</v>
      </c>
      <c r="E667" s="107"/>
    </row>
    <row r="668" spans="3:5" ht="20.25" customHeight="1">
      <c r="C668" s="91" t="s">
        <v>8437</v>
      </c>
      <c r="E668" s="107"/>
    </row>
    <row r="669" spans="3:5" ht="20.25" customHeight="1">
      <c r="C669" s="91" t="s">
        <v>8438</v>
      </c>
      <c r="E669" s="98"/>
    </row>
    <row r="670" spans="3:5" ht="20.25" customHeight="1">
      <c r="C670" s="91" t="s">
        <v>8439</v>
      </c>
      <c r="E670" s="107"/>
    </row>
    <row r="671" spans="3:5" ht="20.25" customHeight="1">
      <c r="C671" s="91" t="s">
        <v>8440</v>
      </c>
      <c r="E671" s="107"/>
    </row>
    <row r="672" spans="3:5" ht="20.25" customHeight="1">
      <c r="C672" s="91" t="s">
        <v>8441</v>
      </c>
      <c r="E672" s="100">
        <v>44922</v>
      </c>
    </row>
    <row r="673" spans="3:5" ht="20.25" customHeight="1">
      <c r="C673" s="91" t="s">
        <v>8442</v>
      </c>
      <c r="E673" s="107"/>
    </row>
    <row r="674" spans="3:5" ht="20.25" customHeight="1">
      <c r="C674" s="91" t="s">
        <v>8443</v>
      </c>
      <c r="E674" s="107"/>
    </row>
    <row r="675" spans="3:5" ht="20.25" customHeight="1">
      <c r="C675" s="91" t="s">
        <v>8444</v>
      </c>
      <c r="E675" s="107"/>
    </row>
    <row r="676" spans="3:5" ht="20.25" customHeight="1">
      <c r="C676" s="91" t="s">
        <v>8445</v>
      </c>
      <c r="E676" s="107"/>
    </row>
    <row r="677" spans="3:5" ht="20.25" customHeight="1">
      <c r="C677" s="91" t="s">
        <v>8446</v>
      </c>
      <c r="E677" s="107" t="s">
        <v>4437</v>
      </c>
    </row>
    <row r="678" spans="3:5" ht="20.25" customHeight="1">
      <c r="C678" s="91" t="s">
        <v>8447</v>
      </c>
      <c r="E678" s="107" t="s">
        <v>4437</v>
      </c>
    </row>
    <row r="679" spans="3:5" ht="20.25" customHeight="1">
      <c r="C679" s="91" t="s">
        <v>8448</v>
      </c>
      <c r="E679" s="107"/>
    </row>
    <row r="680" spans="3:5" ht="20.25" customHeight="1">
      <c r="C680" s="91" t="s">
        <v>8449</v>
      </c>
      <c r="E680" s="107" t="s">
        <v>4437</v>
      </c>
    </row>
    <row r="681" spans="3:5" ht="20.25" customHeight="1">
      <c r="C681" s="91" t="s">
        <v>8450</v>
      </c>
      <c r="E681" s="107"/>
    </row>
    <row r="682" spans="3:5" ht="20.25" customHeight="1">
      <c r="C682" s="91" t="s">
        <v>8451</v>
      </c>
      <c r="E682" s="107"/>
    </row>
    <row r="683" spans="3:5" ht="20.25" customHeight="1">
      <c r="C683" s="91" t="s">
        <v>8452</v>
      </c>
      <c r="E683" s="107"/>
    </row>
    <row r="684" spans="3:5" ht="20.25" customHeight="1">
      <c r="C684" s="91" t="s">
        <v>8453</v>
      </c>
      <c r="E684" s="98" t="s">
        <v>4437</v>
      </c>
    </row>
    <row r="685" spans="3:5" ht="20.25" customHeight="1">
      <c r="C685" s="91" t="s">
        <v>8454</v>
      </c>
      <c r="E685" s="110">
        <v>45040</v>
      </c>
    </row>
    <row r="686" spans="3:5" ht="20.25" customHeight="1">
      <c r="C686" s="91" t="s">
        <v>8455</v>
      </c>
      <c r="E686" s="107"/>
    </row>
    <row r="687" spans="3:5" ht="20.25" customHeight="1">
      <c r="C687" s="91" t="s">
        <v>8456</v>
      </c>
      <c r="E687" s="98" t="s">
        <v>4437</v>
      </c>
    </row>
    <row r="688" spans="3:5" ht="20.25" customHeight="1">
      <c r="C688" s="91" t="s">
        <v>8457</v>
      </c>
      <c r="E688" s="103">
        <v>45148</v>
      </c>
    </row>
    <row r="689" spans="3:5" ht="20.25" customHeight="1">
      <c r="C689" s="91" t="s">
        <v>8458</v>
      </c>
      <c r="E689" s="107"/>
    </row>
    <row r="690" spans="3:5" ht="20.25" customHeight="1">
      <c r="C690" s="91" t="s">
        <v>8459</v>
      </c>
      <c r="E690" s="103">
        <v>45049</v>
      </c>
    </row>
    <row r="691" spans="3:5" ht="20.25" customHeight="1">
      <c r="C691" s="91" t="s">
        <v>8460</v>
      </c>
      <c r="E691" s="98" t="s">
        <v>4437</v>
      </c>
    </row>
    <row r="692" spans="3:5" ht="20.25" customHeight="1">
      <c r="C692" s="91" t="s">
        <v>8461</v>
      </c>
      <c r="E692" s="107" t="s">
        <v>4437</v>
      </c>
    </row>
    <row r="693" spans="3:5" ht="20.25" customHeight="1">
      <c r="C693" s="91" t="s">
        <v>8462</v>
      </c>
      <c r="E693" s="107"/>
    </row>
    <row r="694" spans="3:5" ht="20.25" customHeight="1">
      <c r="C694" s="91" t="s">
        <v>8463</v>
      </c>
      <c r="E694" s="107"/>
    </row>
    <row r="695" spans="3:5" ht="20.25" customHeight="1">
      <c r="C695" s="91" t="s">
        <v>8464</v>
      </c>
      <c r="E695" s="103">
        <v>45049</v>
      </c>
    </row>
    <row r="696" spans="3:5" ht="20.25" customHeight="1">
      <c r="C696" s="91" t="s">
        <v>8465</v>
      </c>
      <c r="E696" s="100">
        <v>45058</v>
      </c>
    </row>
    <row r="697" spans="3:5" ht="20.25" customHeight="1">
      <c r="C697" s="91" t="s">
        <v>8466</v>
      </c>
      <c r="E697" s="107"/>
    </row>
    <row r="698" spans="3:5" ht="20.25" customHeight="1">
      <c r="C698" s="91" t="s">
        <v>8467</v>
      </c>
      <c r="E698" s="110">
        <v>45040</v>
      </c>
    </row>
    <row r="699" spans="3:5" ht="20.25" customHeight="1">
      <c r="C699" s="91" t="s">
        <v>8468</v>
      </c>
      <c r="E699" s="107"/>
    </row>
    <row r="700" spans="3:5" ht="20.25" customHeight="1">
      <c r="C700" s="91" t="s">
        <v>8469</v>
      </c>
      <c r="E700" s="98" t="s">
        <v>4437</v>
      </c>
    </row>
    <row r="701" spans="3:5" ht="20.25" customHeight="1">
      <c r="C701" s="91" t="s">
        <v>8470</v>
      </c>
      <c r="E701" s="107"/>
    </row>
    <row r="702" spans="3:5" ht="20.25" customHeight="1">
      <c r="C702" s="91" t="s">
        <v>8471</v>
      </c>
      <c r="E702" s="107"/>
    </row>
    <row r="703" spans="3:5" ht="20.25" customHeight="1">
      <c r="C703" s="91" t="s">
        <v>8472</v>
      </c>
      <c r="E703" s="107"/>
    </row>
    <row r="704" spans="3:5" ht="20.25" customHeight="1">
      <c r="C704" s="91" t="s">
        <v>8473</v>
      </c>
      <c r="E704" s="98" t="s">
        <v>4437</v>
      </c>
    </row>
    <row r="705" spans="3:5" ht="20.25" customHeight="1">
      <c r="C705" s="91" t="s">
        <v>8474</v>
      </c>
      <c r="E705" s="107"/>
    </row>
    <row r="706" spans="3:5" ht="20.25" customHeight="1">
      <c r="C706" s="91" t="s">
        <v>8475</v>
      </c>
      <c r="E706" s="107"/>
    </row>
    <row r="707" spans="3:5" ht="20.25" customHeight="1">
      <c r="C707" s="91" t="s">
        <v>8476</v>
      </c>
      <c r="E707" s="107"/>
    </row>
    <row r="708" spans="3:5" ht="20.25" customHeight="1">
      <c r="C708" s="91" t="s">
        <v>8477</v>
      </c>
      <c r="E708" s="98" t="s">
        <v>4437</v>
      </c>
    </row>
    <row r="709" spans="3:5" ht="20.25" customHeight="1">
      <c r="C709" s="91" t="s">
        <v>8478</v>
      </c>
      <c r="E709" s="98" t="s">
        <v>4437</v>
      </c>
    </row>
    <row r="710" spans="3:5" ht="20.25" customHeight="1">
      <c r="C710" s="91" t="s">
        <v>8479</v>
      </c>
      <c r="E710" s="107"/>
    </row>
    <row r="711" spans="3:5" ht="20.25" customHeight="1">
      <c r="C711" s="91" t="s">
        <v>8480</v>
      </c>
      <c r="E711" s="98" t="s">
        <v>4437</v>
      </c>
    </row>
    <row r="712" spans="3:5" ht="20.25" customHeight="1">
      <c r="C712" s="91" t="s">
        <v>8481</v>
      </c>
      <c r="E712" s="107"/>
    </row>
    <row r="713" spans="3:5" ht="20.25" customHeight="1">
      <c r="C713" s="91" t="s">
        <v>8482</v>
      </c>
      <c r="E713" s="107"/>
    </row>
    <row r="714" spans="3:5" ht="20.25" customHeight="1">
      <c r="C714" s="91" t="s">
        <v>8483</v>
      </c>
      <c r="E714" s="98" t="s">
        <v>4437</v>
      </c>
    </row>
    <row r="715" spans="3:5" ht="20.25" customHeight="1">
      <c r="C715" s="91" t="s">
        <v>8484</v>
      </c>
      <c r="E715" s="110">
        <v>45040</v>
      </c>
    </row>
    <row r="716" spans="3:5" ht="20.25" customHeight="1">
      <c r="C716" s="91" t="s">
        <v>8485</v>
      </c>
      <c r="E716" s="107"/>
    </row>
    <row r="717" spans="3:5" ht="20.25" customHeight="1">
      <c r="C717" s="91" t="s">
        <v>7852</v>
      </c>
      <c r="E717" s="98" t="s">
        <v>4437</v>
      </c>
    </row>
    <row r="718" spans="3:5" ht="20.25" customHeight="1">
      <c r="C718" s="91" t="s">
        <v>8486</v>
      </c>
      <c r="E718" s="100">
        <v>44923</v>
      </c>
    </row>
    <row r="719" spans="3:5" ht="20.25" customHeight="1">
      <c r="C719" s="91" t="s">
        <v>8487</v>
      </c>
      <c r="E719" s="107"/>
    </row>
    <row r="720" spans="3:5" ht="20.25" customHeight="1">
      <c r="C720" s="91" t="s">
        <v>8488</v>
      </c>
      <c r="E720" s="100">
        <v>44877</v>
      </c>
    </row>
    <row r="721" spans="3:5" ht="20.25" customHeight="1">
      <c r="C721" s="91" t="s">
        <v>8489</v>
      </c>
      <c r="E721" s="107"/>
    </row>
    <row r="722" spans="3:5" ht="20.25" customHeight="1">
      <c r="C722" s="91" t="s">
        <v>8490</v>
      </c>
      <c r="E722" s="107"/>
    </row>
    <row r="723" spans="3:5" ht="20.25" customHeight="1">
      <c r="C723" s="91" t="s">
        <v>8491</v>
      </c>
      <c r="E723" s="110">
        <v>45040</v>
      </c>
    </row>
    <row r="724" spans="3:5" ht="20.25" customHeight="1">
      <c r="C724" s="91" t="s">
        <v>8492</v>
      </c>
      <c r="E724" s="98" t="s">
        <v>4437</v>
      </c>
    </row>
    <row r="725" spans="3:5" ht="20.25" customHeight="1">
      <c r="C725" s="93" t="s">
        <v>8493</v>
      </c>
      <c r="E725" s="107"/>
    </row>
    <row r="726" spans="3:5" ht="20.25" customHeight="1">
      <c r="C726" s="91" t="s">
        <v>7854</v>
      </c>
      <c r="E726" s="107"/>
    </row>
    <row r="727" spans="3:5" ht="20.25" customHeight="1">
      <c r="C727" s="91" t="s">
        <v>8494</v>
      </c>
      <c r="E727" s="107"/>
    </row>
    <row r="728" spans="3:5" ht="20.25" customHeight="1">
      <c r="C728" s="91" t="s">
        <v>8495</v>
      </c>
      <c r="E728" s="107"/>
    </row>
    <row r="729" spans="3:5" ht="20.25" customHeight="1">
      <c r="C729" s="91" t="s">
        <v>7856</v>
      </c>
      <c r="E729" s="107"/>
    </row>
    <row r="730" spans="3:5" ht="20.25" customHeight="1">
      <c r="C730" s="91" t="s">
        <v>8496</v>
      </c>
      <c r="E730" s="107"/>
    </row>
    <row r="731" spans="3:5" ht="20.25" customHeight="1">
      <c r="C731" s="91" t="s">
        <v>8497</v>
      </c>
      <c r="E731" s="107"/>
    </row>
    <row r="732" spans="3:5" ht="20.25" customHeight="1">
      <c r="C732" s="96" t="s">
        <v>7858</v>
      </c>
      <c r="E732" s="107"/>
    </row>
    <row r="733" spans="3:5" ht="20.25" customHeight="1">
      <c r="C733" s="91" t="s">
        <v>8498</v>
      </c>
      <c r="E733" s="107"/>
    </row>
    <row r="734" spans="3:5" ht="20.25" customHeight="1">
      <c r="C734" s="91" t="s">
        <v>8499</v>
      </c>
      <c r="E734" s="107"/>
    </row>
    <row r="735" spans="3:5" ht="20.25" customHeight="1">
      <c r="C735" s="91" t="s">
        <v>8500</v>
      </c>
      <c r="E735" s="103">
        <v>45049</v>
      </c>
    </row>
    <row r="736" spans="3:5" ht="20.25" customHeight="1">
      <c r="C736" s="91" t="s">
        <v>8501</v>
      </c>
      <c r="E736" s="110">
        <v>45040</v>
      </c>
    </row>
    <row r="737" spans="3:5" ht="20.25" customHeight="1">
      <c r="C737" s="91" t="s">
        <v>8502</v>
      </c>
      <c r="E737" s="107"/>
    </row>
    <row r="738" spans="3:5" ht="20.25" customHeight="1">
      <c r="C738" s="91" t="s">
        <v>8503</v>
      </c>
      <c r="E738" s="107"/>
    </row>
    <row r="739" spans="3:5" ht="20.25" customHeight="1">
      <c r="C739" s="94" t="s">
        <v>8504</v>
      </c>
      <c r="E739" s="98" t="s">
        <v>4437</v>
      </c>
    </row>
    <row r="740" spans="3:5" ht="20.25" customHeight="1">
      <c r="C740" s="91" t="s">
        <v>8505</v>
      </c>
      <c r="E740" s="107"/>
    </row>
    <row r="741" spans="3:5" ht="20.25" customHeight="1">
      <c r="C741" s="91" t="s">
        <v>8506</v>
      </c>
      <c r="E741" s="107"/>
    </row>
    <row r="742" spans="3:5" ht="20.25" customHeight="1">
      <c r="C742" s="91" t="s">
        <v>8507</v>
      </c>
      <c r="E742" s="107"/>
    </row>
    <row r="743" spans="3:5" ht="20.25" customHeight="1">
      <c r="C743" s="91" t="s">
        <v>8508</v>
      </c>
      <c r="E743" s="107"/>
    </row>
    <row r="744" spans="3:5" ht="20.25" customHeight="1">
      <c r="C744" s="91" t="s">
        <v>8509</v>
      </c>
      <c r="E744" s="107"/>
    </row>
    <row r="745" spans="3:5" ht="20.25" customHeight="1">
      <c r="C745" s="91" t="s">
        <v>8510</v>
      </c>
      <c r="E745" s="107"/>
    </row>
    <row r="746" spans="3:5" ht="20.25" customHeight="1">
      <c r="C746" s="91" t="s">
        <v>8511</v>
      </c>
      <c r="E746" s="98" t="s">
        <v>4437</v>
      </c>
    </row>
    <row r="747" spans="3:5" ht="20.25" customHeight="1">
      <c r="C747" s="91" t="s">
        <v>8512</v>
      </c>
      <c r="E747" s="103">
        <v>45105</v>
      </c>
    </row>
    <row r="748" spans="3:5" ht="20.25" customHeight="1">
      <c r="C748" s="91" t="s">
        <v>8513</v>
      </c>
      <c r="E748" s="110">
        <v>45040</v>
      </c>
    </row>
    <row r="749" spans="3:5" ht="20.25" customHeight="1">
      <c r="C749" s="91" t="s">
        <v>8514</v>
      </c>
      <c r="E749" s="107"/>
    </row>
    <row r="750" spans="3:5" ht="20.25" customHeight="1">
      <c r="C750" s="91" t="s">
        <v>8515</v>
      </c>
      <c r="E750" s="98" t="s">
        <v>4437</v>
      </c>
    </row>
    <row r="751" spans="3:5" ht="20.25" customHeight="1">
      <c r="C751" s="91" t="s">
        <v>8516</v>
      </c>
      <c r="E751" s="98" t="s">
        <v>4437</v>
      </c>
    </row>
    <row r="752" spans="3:5" ht="20.25" customHeight="1">
      <c r="C752" s="91" t="s">
        <v>8517</v>
      </c>
      <c r="E752" s="107"/>
    </row>
    <row r="753" spans="3:5" ht="20.25" customHeight="1">
      <c r="C753" s="91" t="s">
        <v>8518</v>
      </c>
      <c r="E753" s="107"/>
    </row>
    <row r="754" spans="3:5" ht="20.25" customHeight="1">
      <c r="C754" s="91" t="s">
        <v>8519</v>
      </c>
      <c r="E754" s="107"/>
    </row>
    <row r="755" spans="3:5" ht="20.25" customHeight="1">
      <c r="C755" s="91" t="s">
        <v>8520</v>
      </c>
      <c r="E755" s="98" t="s">
        <v>4437</v>
      </c>
    </row>
    <row r="756" spans="3:5" ht="20.25" customHeight="1">
      <c r="C756" s="91" t="s">
        <v>8521</v>
      </c>
      <c r="E756" s="107"/>
    </row>
    <row r="757" spans="3:5" ht="20.25" customHeight="1">
      <c r="C757" s="91" t="s">
        <v>8522</v>
      </c>
      <c r="E757" s="100">
        <v>44910</v>
      </c>
    </row>
    <row r="758" spans="3:5" ht="20.25" customHeight="1">
      <c r="C758" s="91" t="s">
        <v>8523</v>
      </c>
      <c r="E758" s="107"/>
    </row>
    <row r="759" spans="3:5" ht="20.25" customHeight="1">
      <c r="C759" s="91" t="s">
        <v>8524</v>
      </c>
      <c r="E759" s="98" t="s">
        <v>4437</v>
      </c>
    </row>
    <row r="760" spans="3:5" ht="20.25" customHeight="1">
      <c r="C760" s="91" t="s">
        <v>8525</v>
      </c>
      <c r="E760" s="107"/>
    </row>
    <row r="761" spans="3:5" ht="20.25" customHeight="1">
      <c r="C761" s="91" t="s">
        <v>8526</v>
      </c>
      <c r="E761" s="107"/>
    </row>
    <row r="762" spans="3:5" ht="20.25" customHeight="1">
      <c r="C762" s="91" t="s">
        <v>8527</v>
      </c>
      <c r="E762" s="107"/>
    </row>
    <row r="763" spans="3:5" ht="20.25" customHeight="1">
      <c r="C763" s="91" t="s">
        <v>8528</v>
      </c>
      <c r="E763" s="107"/>
    </row>
    <row r="764" spans="3:5" ht="20.25" customHeight="1">
      <c r="C764" s="91" t="s">
        <v>8529</v>
      </c>
      <c r="E764" s="110">
        <v>45040</v>
      </c>
    </row>
    <row r="765" spans="3:5" ht="20.25" customHeight="1">
      <c r="C765" s="91" t="s">
        <v>8530</v>
      </c>
      <c r="E765" s="110">
        <v>45040</v>
      </c>
    </row>
    <row r="766" spans="3:5" ht="20.25" customHeight="1">
      <c r="C766" s="91" t="s">
        <v>8531</v>
      </c>
      <c r="E766" s="107"/>
    </row>
    <row r="767" spans="3:5" ht="20.25" customHeight="1">
      <c r="C767" s="91" t="s">
        <v>8532</v>
      </c>
      <c r="E767" s="107"/>
    </row>
    <row r="768" spans="3:5" ht="20.25" customHeight="1">
      <c r="C768" s="91" t="s">
        <v>8533</v>
      </c>
      <c r="E768" s="110">
        <v>45040</v>
      </c>
    </row>
    <row r="769" spans="3:5" ht="20.25" customHeight="1">
      <c r="C769" s="91" t="s">
        <v>8534</v>
      </c>
      <c r="E769" s="100">
        <v>44890</v>
      </c>
    </row>
    <row r="770" spans="3:5" ht="20.25" customHeight="1">
      <c r="C770" s="91" t="s">
        <v>8535</v>
      </c>
      <c r="E770" s="107"/>
    </row>
    <row r="771" spans="3:5" ht="20.25" customHeight="1">
      <c r="C771" s="91" t="s">
        <v>8536</v>
      </c>
      <c r="E771" s="110">
        <v>45040</v>
      </c>
    </row>
    <row r="772" spans="3:5" ht="20.25" customHeight="1">
      <c r="C772" s="91" t="s">
        <v>8537</v>
      </c>
      <c r="E772" s="104"/>
    </row>
    <row r="773" spans="3:5" ht="20.25" customHeight="1">
      <c r="C773" s="91" t="s">
        <v>8538</v>
      </c>
      <c r="E773" s="107"/>
    </row>
    <row r="774" spans="3:5" ht="20.25" customHeight="1">
      <c r="C774" s="91" t="s">
        <v>8539</v>
      </c>
      <c r="E774" s="110">
        <v>45040</v>
      </c>
    </row>
    <row r="775" spans="3:5" ht="20.25" customHeight="1">
      <c r="C775" s="91" t="s">
        <v>8540</v>
      </c>
      <c r="E775" s="107"/>
    </row>
    <row r="776" spans="3:5" ht="20.25" customHeight="1">
      <c r="C776" s="91" t="s">
        <v>8541</v>
      </c>
      <c r="E776" s="107"/>
    </row>
    <row r="777" spans="3:5" ht="20.25" customHeight="1">
      <c r="C777" s="91" t="s">
        <v>8542</v>
      </c>
      <c r="E777" s="110">
        <v>45040</v>
      </c>
    </row>
    <row r="778" spans="3:5" ht="20.25" customHeight="1">
      <c r="C778" s="91" t="s">
        <v>8543</v>
      </c>
      <c r="E778" s="100">
        <v>44922</v>
      </c>
    </row>
    <row r="779" spans="3:5" ht="20.25" customHeight="1">
      <c r="C779" s="91" t="s">
        <v>8544</v>
      </c>
      <c r="E779" s="107"/>
    </row>
    <row r="780" spans="3:5" ht="20.25" customHeight="1">
      <c r="C780" s="91" t="s">
        <v>8545</v>
      </c>
      <c r="E780" s="107"/>
    </row>
    <row r="781" spans="3:5" ht="20.25" customHeight="1">
      <c r="C781" s="91" t="s">
        <v>8546</v>
      </c>
      <c r="E781" s="98" t="s">
        <v>4437</v>
      </c>
    </row>
    <row r="782" spans="3:5" ht="20.25" customHeight="1">
      <c r="C782" s="91" t="s">
        <v>8547</v>
      </c>
      <c r="E782" s="100">
        <v>45056</v>
      </c>
    </row>
    <row r="783" spans="3:5" ht="20.25" customHeight="1">
      <c r="C783" s="91" t="s">
        <v>7860</v>
      </c>
      <c r="E783" s="107"/>
    </row>
    <row r="784" spans="3:5" ht="20.25" customHeight="1">
      <c r="C784" s="91" t="s">
        <v>7862</v>
      </c>
      <c r="E784" s="98" t="s">
        <v>4437</v>
      </c>
    </row>
    <row r="785" spans="3:5" ht="20.25" customHeight="1">
      <c r="C785" s="91" t="s">
        <v>8548</v>
      </c>
      <c r="E785" s="107" t="s">
        <v>4437</v>
      </c>
    </row>
    <row r="786" spans="3:5" ht="20.25" customHeight="1">
      <c r="C786" s="91" t="s">
        <v>8549</v>
      </c>
      <c r="E786" s="98" t="s">
        <v>4437</v>
      </c>
    </row>
    <row r="787" spans="3:5" ht="20.25" customHeight="1">
      <c r="C787" s="91" t="s">
        <v>8550</v>
      </c>
      <c r="E787" s="107"/>
    </row>
    <row r="788" spans="3:5" ht="20.25" customHeight="1">
      <c r="C788" s="91" t="s">
        <v>8551</v>
      </c>
      <c r="E788" s="107"/>
    </row>
    <row r="789" spans="3:5" ht="20.25" customHeight="1">
      <c r="C789" s="91" t="s">
        <v>8552</v>
      </c>
      <c r="E789" s="107"/>
    </row>
    <row r="790" spans="3:5" ht="20.25" customHeight="1">
      <c r="C790" s="91" t="s">
        <v>8553</v>
      </c>
      <c r="E790" s="107"/>
    </row>
    <row r="791" spans="3:5" ht="20.25" customHeight="1">
      <c r="C791" s="91" t="s">
        <v>8554</v>
      </c>
      <c r="E791" s="107"/>
    </row>
    <row r="792" spans="3:5" ht="20.25" customHeight="1">
      <c r="C792" s="91" t="s">
        <v>8555</v>
      </c>
      <c r="E792" s="107"/>
    </row>
    <row r="793" spans="3:5" ht="20.25" customHeight="1">
      <c r="C793" s="91" t="s">
        <v>8556</v>
      </c>
      <c r="E793" s="107"/>
    </row>
    <row r="794" spans="3:5" ht="20.25" customHeight="1">
      <c r="C794" s="91" t="s">
        <v>8557</v>
      </c>
      <c r="E794" s="107"/>
    </row>
    <row r="795" spans="3:5" ht="20.25" customHeight="1">
      <c r="C795" s="91" t="s">
        <v>8558</v>
      </c>
      <c r="E795" s="107"/>
    </row>
    <row r="796" spans="3:5" ht="20.25" customHeight="1">
      <c r="C796" s="91" t="s">
        <v>8559</v>
      </c>
      <c r="E796" s="107"/>
    </row>
    <row r="797" spans="3:5" ht="20.25" customHeight="1">
      <c r="C797" s="91" t="s">
        <v>8560</v>
      </c>
      <c r="E797" s="98" t="s">
        <v>4437</v>
      </c>
    </row>
    <row r="798" spans="3:5" ht="20.25" customHeight="1">
      <c r="C798" s="91" t="s">
        <v>8561</v>
      </c>
      <c r="E798" s="98" t="s">
        <v>4437</v>
      </c>
    </row>
    <row r="799" spans="3:5" ht="20.25" customHeight="1">
      <c r="C799" s="91" t="s">
        <v>8562</v>
      </c>
      <c r="E799" s="98" t="s">
        <v>4437</v>
      </c>
    </row>
    <row r="800" spans="3:5" ht="20.25" customHeight="1">
      <c r="C800" s="91" t="s">
        <v>8563</v>
      </c>
      <c r="E800" s="108"/>
    </row>
    <row r="801" spans="3:5" ht="20.25" customHeight="1">
      <c r="C801" s="91" t="s">
        <v>8564</v>
      </c>
      <c r="E801" s="107"/>
    </row>
    <row r="802" spans="3:5" ht="20.25" customHeight="1">
      <c r="C802" s="91" t="s">
        <v>8565</v>
      </c>
      <c r="E802" s="107"/>
    </row>
    <row r="803" spans="3:5" ht="20.25" customHeight="1">
      <c r="C803" s="91" t="s">
        <v>8566</v>
      </c>
      <c r="E803" s="107"/>
    </row>
    <row r="804" spans="3:5" ht="20.25" customHeight="1">
      <c r="C804" s="91" t="s">
        <v>8567</v>
      </c>
      <c r="E804" s="107"/>
    </row>
    <row r="805" spans="3:5" ht="20.25" customHeight="1">
      <c r="C805" s="92" t="s">
        <v>8568</v>
      </c>
      <c r="E805" s="107"/>
    </row>
    <row r="806" spans="3:5" ht="20.25" customHeight="1">
      <c r="C806" s="92" t="s">
        <v>8569</v>
      </c>
      <c r="E806" s="107"/>
    </row>
    <row r="807" spans="3:5" ht="20.25" customHeight="1">
      <c r="C807" s="91" t="s">
        <v>8570</v>
      </c>
      <c r="E807" s="107"/>
    </row>
    <row r="808" spans="3:5" ht="20.25" customHeight="1">
      <c r="C808" s="92" t="s">
        <v>8571</v>
      </c>
      <c r="E808" s="107"/>
    </row>
    <row r="809" spans="3:5" ht="20.25" customHeight="1">
      <c r="C809" s="92" t="s">
        <v>8572</v>
      </c>
      <c r="E809" s="107"/>
    </row>
    <row r="810" spans="3:5" ht="20.25" customHeight="1">
      <c r="C810" s="92" t="s">
        <v>8573</v>
      </c>
      <c r="E810" s="107"/>
    </row>
    <row r="811" spans="3:5" ht="20.25" customHeight="1">
      <c r="C811" s="92" t="s">
        <v>8574</v>
      </c>
      <c r="E811" s="107"/>
    </row>
    <row r="812" spans="3:5" ht="20.25" customHeight="1">
      <c r="C812" s="92" t="s">
        <v>8575</v>
      </c>
      <c r="E812" s="107"/>
    </row>
    <row r="813" spans="3:5" ht="20.25" customHeight="1">
      <c r="C813" s="92" t="s">
        <v>8576</v>
      </c>
      <c r="E813" s="107"/>
    </row>
    <row r="814" spans="3:5" ht="20.25" customHeight="1">
      <c r="C814" s="92" t="s">
        <v>8577</v>
      </c>
      <c r="E814" s="107"/>
    </row>
    <row r="815" spans="3:5" ht="20.25" customHeight="1">
      <c r="C815" s="92" t="s">
        <v>8578</v>
      </c>
      <c r="E815" s="107"/>
    </row>
    <row r="816" spans="3:5" ht="20.25" customHeight="1">
      <c r="C816" s="92" t="s">
        <v>8579</v>
      </c>
      <c r="E816" s="107"/>
    </row>
    <row r="817" spans="3:5" ht="20.25" customHeight="1">
      <c r="C817" s="92" t="s">
        <v>8580</v>
      </c>
      <c r="E817" s="107"/>
    </row>
    <row r="818" spans="3:5" ht="20.25" customHeight="1">
      <c r="C818" s="92" t="s">
        <v>8581</v>
      </c>
      <c r="E818" s="107"/>
    </row>
    <row r="819" spans="3:5" ht="20.25" customHeight="1">
      <c r="C819" s="92" t="s">
        <v>8582</v>
      </c>
      <c r="E819" s="107"/>
    </row>
    <row r="820" spans="3:5" ht="20.25" customHeight="1">
      <c r="C820" s="92" t="s">
        <v>8583</v>
      </c>
      <c r="E820" s="107"/>
    </row>
    <row r="821" spans="3:5" ht="20.25" customHeight="1">
      <c r="C821" s="92" t="s">
        <v>8584</v>
      </c>
      <c r="E821" s="107"/>
    </row>
    <row r="822" spans="3:5" ht="20.25" customHeight="1">
      <c r="C822" s="92" t="s">
        <v>8585</v>
      </c>
      <c r="E822" s="107"/>
    </row>
    <row r="823" spans="3:5" ht="20.25" customHeight="1">
      <c r="C823" s="92" t="s">
        <v>8586</v>
      </c>
      <c r="E823" s="107"/>
    </row>
    <row r="824" spans="3:5" ht="20.25" customHeight="1">
      <c r="C824" s="92" t="s">
        <v>8587</v>
      </c>
      <c r="E824" s="107"/>
    </row>
    <row r="825" spans="3:5" ht="20.25" customHeight="1">
      <c r="C825" s="92" t="s">
        <v>8588</v>
      </c>
      <c r="E825" s="107"/>
    </row>
    <row r="826" spans="3:5" ht="20.25" customHeight="1">
      <c r="C826" s="92" t="s">
        <v>8589</v>
      </c>
      <c r="E826" s="107"/>
    </row>
    <row r="827" spans="3:5" ht="20.25" customHeight="1">
      <c r="C827" s="92" t="s">
        <v>8590</v>
      </c>
      <c r="E827" s="107"/>
    </row>
    <row r="828" spans="3:5" ht="20.25" customHeight="1">
      <c r="C828" s="92" t="s">
        <v>8591</v>
      </c>
      <c r="E828" s="107"/>
    </row>
    <row r="829" spans="3:5" ht="20.25" customHeight="1">
      <c r="C829" s="92" t="s">
        <v>8592</v>
      </c>
      <c r="E829" s="107"/>
    </row>
    <row r="830" spans="3:5" ht="20.25" customHeight="1">
      <c r="C830" s="92" t="s">
        <v>8593</v>
      </c>
      <c r="E830" s="107"/>
    </row>
    <row r="831" spans="3:5" ht="20.25" customHeight="1">
      <c r="C831" s="92" t="s">
        <v>8594</v>
      </c>
      <c r="E831" s="107"/>
    </row>
    <row r="832" spans="3:5" ht="20.25" customHeight="1">
      <c r="C832" s="92" t="s">
        <v>8595</v>
      </c>
      <c r="E832" s="107"/>
    </row>
    <row r="833" spans="3:5" ht="20.25" customHeight="1">
      <c r="C833" s="92" t="s">
        <v>8596</v>
      </c>
      <c r="E833" s="107"/>
    </row>
    <row r="834" spans="3:5" ht="20.25" customHeight="1">
      <c r="C834" s="92" t="s">
        <v>8597</v>
      </c>
      <c r="E834" s="98" t="s">
        <v>4437</v>
      </c>
    </row>
    <row r="835" spans="3:5" ht="20.25" customHeight="1">
      <c r="C835" s="92" t="s">
        <v>8598</v>
      </c>
      <c r="E835" s="107"/>
    </row>
    <row r="836" spans="3:5" ht="20.25" customHeight="1">
      <c r="C836" s="92" t="s">
        <v>8599</v>
      </c>
      <c r="E836" s="107"/>
    </row>
    <row r="837" spans="3:5" ht="20.25" customHeight="1">
      <c r="C837" s="92" t="s">
        <v>7864</v>
      </c>
      <c r="E837" s="107"/>
    </row>
    <row r="838" spans="3:5" ht="20.25" customHeight="1">
      <c r="C838" s="92" t="s">
        <v>8600</v>
      </c>
      <c r="E838" s="107"/>
    </row>
    <row r="839" spans="3:5" ht="20.25" customHeight="1">
      <c r="C839" s="92" t="s">
        <v>8601</v>
      </c>
      <c r="E839" s="103">
        <v>45065</v>
      </c>
    </row>
    <row r="840" spans="3:5" ht="20.25" customHeight="1">
      <c r="C840" s="92" t="s">
        <v>8602</v>
      </c>
      <c r="E840" s="98" t="s">
        <v>4437</v>
      </c>
    </row>
    <row r="841" spans="3:5" ht="20.25" customHeight="1">
      <c r="C841" s="92" t="s">
        <v>8603</v>
      </c>
      <c r="E841" s="103">
        <v>45148</v>
      </c>
    </row>
    <row r="842" spans="3:5" ht="20.25" customHeight="1">
      <c r="C842" s="92" t="s">
        <v>8604</v>
      </c>
      <c r="E842" s="98" t="s">
        <v>4437</v>
      </c>
    </row>
    <row r="843" spans="3:5" ht="20.25" customHeight="1">
      <c r="C843" s="92" t="s">
        <v>7866</v>
      </c>
      <c r="E843" s="98" t="s">
        <v>4437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4437</v>
      </c>
    </row>
    <row r="850" spans="3:5" ht="20.25" customHeight="1">
      <c r="C850" s="93"/>
      <c r="E850" s="98" t="s">
        <v>4437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4437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4437</v>
      </c>
    </row>
    <row r="904" spans="5:5" ht="20.25" customHeight="1">
      <c r="E904" s="98" t="s">
        <v>4437</v>
      </c>
    </row>
    <row r="905" spans="5:5" ht="20.25" customHeight="1">
      <c r="E905" s="98" t="s">
        <v>4437</v>
      </c>
    </row>
    <row r="916" spans="5:5" ht="20.25" customHeight="1">
      <c r="E916" s="98" t="s">
        <v>4437</v>
      </c>
    </row>
    <row r="917" spans="5:5" ht="20.25" customHeight="1">
      <c r="E917" s="98" t="s">
        <v>4437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4437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4437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4438</v>
      </c>
      <c r="H5" s="141" t="s">
        <v>4439</v>
      </c>
      <c r="I5" s="141" t="s">
        <v>4441</v>
      </c>
      <c r="J5" s="146" t="s">
        <v>4443</v>
      </c>
    </row>
    <row r="6" spans="6:10" ht="24.75" customHeight="1">
      <c r="F6" s="140" t="s">
        <v>4396</v>
      </c>
      <c r="G6" s="140" t="s">
        <v>4474</v>
      </c>
      <c r="H6" s="141" t="s">
        <v>4475</v>
      </c>
      <c r="I6" s="140" t="s">
        <v>4477</v>
      </c>
      <c r="J6" s="146" t="s">
        <v>4478</v>
      </c>
    </row>
    <row r="7" spans="6:10" ht="24.75" customHeight="1">
      <c r="F7" s="140" t="s">
        <v>4396</v>
      </c>
      <c r="G7" s="140" t="s">
        <v>4805</v>
      </c>
      <c r="H7" s="141" t="s">
        <v>4810</v>
      </c>
      <c r="I7" s="141" t="s">
        <v>4812</v>
      </c>
      <c r="J7" s="146" t="s">
        <v>4813</v>
      </c>
    </row>
    <row r="8" spans="6:10" ht="24.75" customHeight="1">
      <c r="F8" s="140" t="s">
        <v>4396</v>
      </c>
      <c r="G8" s="140" t="s">
        <v>4881</v>
      </c>
      <c r="H8" s="141" t="s">
        <v>4885</v>
      </c>
      <c r="I8" s="141" t="s">
        <v>4887</v>
      </c>
      <c r="J8" s="146" t="s">
        <v>4888</v>
      </c>
    </row>
    <row r="9" spans="6:10" ht="24.75" customHeight="1">
      <c r="F9" s="140" t="s">
        <v>4396</v>
      </c>
      <c r="G9" s="147" t="s">
        <v>5038</v>
      </c>
      <c r="H9" s="142" t="s">
        <v>5047</v>
      </c>
      <c r="I9" s="141" t="s">
        <v>5049</v>
      </c>
      <c r="J9" s="146" t="s">
        <v>5050</v>
      </c>
    </row>
    <row r="10" spans="6:10" ht="24.75" customHeight="1">
      <c r="F10" s="140" t="s">
        <v>4396</v>
      </c>
      <c r="G10" s="140" t="s">
        <v>5076</v>
      </c>
      <c r="H10" s="141" t="s">
        <v>5077</v>
      </c>
      <c r="I10" s="141" t="s">
        <v>5079</v>
      </c>
      <c r="J10" s="146" t="s">
        <v>5080</v>
      </c>
    </row>
    <row r="11" spans="6:10" ht="24.75" customHeight="1">
      <c r="F11" s="140" t="s">
        <v>4396</v>
      </c>
      <c r="G11" s="140" t="s">
        <v>5090</v>
      </c>
      <c r="H11" s="141" t="s">
        <v>5095</v>
      </c>
      <c r="I11" s="141" t="s">
        <v>5096</v>
      </c>
      <c r="J11" s="146" t="s">
        <v>5097</v>
      </c>
    </row>
    <row r="12" spans="6:10" ht="24.75" customHeight="1">
      <c r="F12" s="140" t="s">
        <v>4396</v>
      </c>
      <c r="G12" s="140" t="s">
        <v>5098</v>
      </c>
      <c r="H12" s="142" t="s">
        <v>5102</v>
      </c>
      <c r="I12" s="141" t="s">
        <v>5104</v>
      </c>
      <c r="J12" s="146" t="s">
        <v>5105</v>
      </c>
    </row>
    <row r="13" spans="6:10" ht="24.75" customHeight="1">
      <c r="F13" s="140" t="s">
        <v>4396</v>
      </c>
      <c r="G13" s="140" t="s">
        <v>5192</v>
      </c>
      <c r="H13" s="141" t="s">
        <v>5193</v>
      </c>
      <c r="I13" s="141" t="s">
        <v>5196</v>
      </c>
      <c r="J13" s="146" t="s">
        <v>5197</v>
      </c>
    </row>
    <row r="14" spans="6:10" ht="24.75" customHeight="1">
      <c r="F14" s="140" t="s">
        <v>4396</v>
      </c>
      <c r="G14" s="140" t="s">
        <v>5282</v>
      </c>
      <c r="H14" s="141" t="s">
        <v>5286</v>
      </c>
      <c r="I14" s="141" t="s">
        <v>5287</v>
      </c>
      <c r="J14" s="146" t="s">
        <v>5288</v>
      </c>
    </row>
    <row r="15" spans="6:10" ht="24.75" customHeight="1">
      <c r="F15" s="140" t="s">
        <v>4396</v>
      </c>
      <c r="G15" s="140" t="s">
        <v>5298</v>
      </c>
      <c r="H15" s="141" t="s">
        <v>5304</v>
      </c>
      <c r="I15" s="153" t="s">
        <v>5306</v>
      </c>
      <c r="J15" s="146" t="s">
        <v>5307</v>
      </c>
    </row>
    <row r="16" spans="6:10" ht="24.75" customHeight="1">
      <c r="F16" s="140" t="s">
        <v>4396</v>
      </c>
      <c r="G16" s="140" t="s">
        <v>5308</v>
      </c>
      <c r="H16" s="141" t="s">
        <v>5317</v>
      </c>
      <c r="I16" s="140" t="s">
        <v>5319</v>
      </c>
      <c r="J16" s="146" t="s">
        <v>5320</v>
      </c>
    </row>
    <row r="17" spans="6:10" ht="24.75" customHeight="1">
      <c r="F17" s="140" t="s">
        <v>4396</v>
      </c>
      <c r="G17" s="140" t="s">
        <v>5328</v>
      </c>
      <c r="H17" s="141" t="s">
        <v>5329</v>
      </c>
      <c r="I17" s="140" t="s">
        <v>5331</v>
      </c>
      <c r="J17" s="146" t="s">
        <v>5332</v>
      </c>
    </row>
    <row r="18" spans="6:10" ht="24.75" customHeight="1">
      <c r="F18" s="140" t="s">
        <v>4396</v>
      </c>
      <c r="G18" s="140" t="s">
        <v>5340</v>
      </c>
      <c r="H18" s="141" t="s">
        <v>5341</v>
      </c>
      <c r="I18" s="140" t="s">
        <v>5343</v>
      </c>
      <c r="J18" s="146" t="s">
        <v>5344</v>
      </c>
    </row>
    <row r="19" spans="6:10" ht="24.75" customHeight="1">
      <c r="F19" s="140" t="s">
        <v>4396</v>
      </c>
      <c r="G19" s="140" t="s">
        <v>5353</v>
      </c>
      <c r="H19" s="141" t="s">
        <v>5354</v>
      </c>
      <c r="I19" s="140" t="s">
        <v>5356</v>
      </c>
      <c r="J19" s="146" t="s">
        <v>5357</v>
      </c>
    </row>
    <row r="20" spans="6:10" ht="24.75" customHeight="1">
      <c r="F20" s="140" t="s">
        <v>4396</v>
      </c>
      <c r="G20" s="140" t="s">
        <v>5366</v>
      </c>
      <c r="H20" s="141" t="s">
        <v>5370</v>
      </c>
      <c r="I20" s="140" t="s">
        <v>5372</v>
      </c>
      <c r="J20" s="146" t="s">
        <v>5373</v>
      </c>
    </row>
    <row r="21" spans="6:10" ht="24.75" customHeight="1">
      <c r="F21" s="140" t="s">
        <v>4396</v>
      </c>
      <c r="G21" s="140" t="s">
        <v>5378</v>
      </c>
      <c r="H21" s="141" t="s">
        <v>5379</v>
      </c>
      <c r="I21" s="140" t="s">
        <v>5381</v>
      </c>
      <c r="J21" s="146" t="s">
        <v>5382</v>
      </c>
    </row>
    <row r="22" spans="6:10" ht="24.75" customHeight="1">
      <c r="F22" s="140" t="s">
        <v>4396</v>
      </c>
      <c r="G22" s="140" t="s">
        <v>5383</v>
      </c>
      <c r="H22" s="141" t="s">
        <v>5384</v>
      </c>
      <c r="I22" s="141" t="s">
        <v>5386</v>
      </c>
      <c r="J22" s="146" t="s">
        <v>5387</v>
      </c>
    </row>
    <row r="23" spans="6:10" ht="24.75" customHeight="1">
      <c r="F23" s="140" t="s">
        <v>4396</v>
      </c>
      <c r="G23" s="140" t="s">
        <v>5403</v>
      </c>
      <c r="H23" s="141" t="s">
        <v>5404</v>
      </c>
      <c r="I23" s="140" t="s">
        <v>5406</v>
      </c>
      <c r="J23" s="146" t="s">
        <v>5407</v>
      </c>
    </row>
    <row r="24" spans="6:10" ht="24.75" customHeight="1">
      <c r="F24" s="140" t="s">
        <v>4396</v>
      </c>
      <c r="G24" s="140" t="s">
        <v>5446</v>
      </c>
      <c r="H24" s="141" t="s">
        <v>5447</v>
      </c>
      <c r="I24" s="141" t="s">
        <v>5449</v>
      </c>
      <c r="J24" s="146" t="s">
        <v>5450</v>
      </c>
    </row>
    <row r="25" spans="6:10" ht="24.75" customHeight="1">
      <c r="F25" s="140" t="s">
        <v>4396</v>
      </c>
      <c r="G25" s="140" t="s">
        <v>5456</v>
      </c>
      <c r="H25" s="141" t="s">
        <v>5457</v>
      </c>
      <c r="I25" s="140" t="s">
        <v>5459</v>
      </c>
      <c r="J25" s="146" t="s">
        <v>5460</v>
      </c>
    </row>
    <row r="26" spans="6:10" ht="24.75" customHeight="1">
      <c r="F26" s="140" t="s">
        <v>4396</v>
      </c>
      <c r="G26" s="140" t="s">
        <v>5475</v>
      </c>
      <c r="H26" s="141" t="s">
        <v>5476</v>
      </c>
      <c r="I26" s="141" t="s">
        <v>5478</v>
      </c>
      <c r="J26" s="146" t="s">
        <v>5479</v>
      </c>
    </row>
    <row r="27" spans="6:10" ht="24.75" customHeight="1">
      <c r="F27" s="140" t="s">
        <v>4396</v>
      </c>
      <c r="G27" s="140" t="s">
        <v>5488</v>
      </c>
      <c r="H27" s="142" t="s">
        <v>5489</v>
      </c>
      <c r="I27" s="142" t="s">
        <v>5491</v>
      </c>
      <c r="J27" s="146" t="s">
        <v>5492</v>
      </c>
    </row>
    <row r="28" spans="6:10" ht="24.75" customHeight="1">
      <c r="F28" s="140" t="s">
        <v>4396</v>
      </c>
      <c r="G28" s="140" t="s">
        <v>5501</v>
      </c>
      <c r="H28" s="142" t="s">
        <v>5502</v>
      </c>
      <c r="I28" s="140" t="s">
        <v>5504</v>
      </c>
      <c r="J28" s="146" t="s">
        <v>5505</v>
      </c>
    </row>
    <row r="29" spans="6:10" ht="24.75" customHeight="1">
      <c r="F29" s="140" t="s">
        <v>4396</v>
      </c>
      <c r="G29" s="140" t="s">
        <v>5550</v>
      </c>
      <c r="H29" s="141" t="s">
        <v>5551</v>
      </c>
      <c r="I29" s="140" t="s">
        <v>5553</v>
      </c>
      <c r="J29" s="146" t="s">
        <v>5554</v>
      </c>
    </row>
    <row r="30" spans="6:10" ht="24.75" customHeight="1">
      <c r="F30" s="140" t="s">
        <v>4396</v>
      </c>
      <c r="G30" s="140" t="s">
        <v>5643</v>
      </c>
      <c r="H30" s="141" t="s">
        <v>5644</v>
      </c>
      <c r="I30" s="140" t="s">
        <v>5646</v>
      </c>
      <c r="J30" s="146" t="s">
        <v>5647</v>
      </c>
    </row>
    <row r="31" spans="6:10" ht="24.75" customHeight="1">
      <c r="F31" s="140" t="s">
        <v>4396</v>
      </c>
      <c r="G31" s="140" t="s">
        <v>5742</v>
      </c>
      <c r="H31" s="141" t="s">
        <v>5743</v>
      </c>
      <c r="I31" s="140" t="s">
        <v>5745</v>
      </c>
      <c r="J31" s="146" t="s">
        <v>5746</v>
      </c>
    </row>
    <row r="32" spans="6:10" ht="24.75" customHeight="1">
      <c r="F32" s="140" t="s">
        <v>4396</v>
      </c>
      <c r="G32" s="140" t="s">
        <v>5747</v>
      </c>
      <c r="H32" s="141" t="s">
        <v>5748</v>
      </c>
      <c r="I32" s="140" t="s">
        <v>5750</v>
      </c>
      <c r="J32" s="146" t="s">
        <v>5751</v>
      </c>
    </row>
    <row r="33" spans="6:10" ht="24.75" customHeight="1">
      <c r="F33" s="140" t="s">
        <v>4396</v>
      </c>
      <c r="G33" s="140" t="s">
        <v>5752</v>
      </c>
      <c r="H33" s="141" t="s">
        <v>5753</v>
      </c>
      <c r="I33" s="140" t="s">
        <v>5755</v>
      </c>
      <c r="J33" s="146" t="s">
        <v>5756</v>
      </c>
    </row>
    <row r="34" spans="6:10" ht="24.75" customHeight="1">
      <c r="F34" s="140" t="s">
        <v>4396</v>
      </c>
      <c r="G34" s="140" t="s">
        <v>5848</v>
      </c>
      <c r="H34" s="141" t="s">
        <v>5849</v>
      </c>
      <c r="I34" s="141" t="s">
        <v>5851</v>
      </c>
      <c r="J34" s="146" t="s">
        <v>5852</v>
      </c>
    </row>
    <row r="35" spans="6:10" ht="24.75" customHeight="1">
      <c r="F35" s="140" t="s">
        <v>4396</v>
      </c>
      <c r="G35" s="140" t="s">
        <v>5879</v>
      </c>
      <c r="H35" s="141" t="s">
        <v>5880</v>
      </c>
      <c r="I35" s="141" t="s">
        <v>5882</v>
      </c>
      <c r="J35" s="146" t="s">
        <v>5883</v>
      </c>
    </row>
    <row r="36" spans="6:10" ht="24.75" customHeight="1">
      <c r="F36" s="140" t="s">
        <v>4396</v>
      </c>
      <c r="G36" s="140" t="s">
        <v>5922</v>
      </c>
      <c r="H36" s="141" t="s">
        <v>5923</v>
      </c>
      <c r="I36" s="141" t="s">
        <v>5925</v>
      </c>
      <c r="J36" s="146" t="s">
        <v>5926</v>
      </c>
    </row>
    <row r="37" spans="6:10" ht="24.75" customHeight="1">
      <c r="F37" s="140" t="s">
        <v>4396</v>
      </c>
      <c r="G37" s="140" t="s">
        <v>5956</v>
      </c>
      <c r="H37" s="141" t="s">
        <v>5957</v>
      </c>
      <c r="I37" s="141" t="s">
        <v>5959</v>
      </c>
      <c r="J37" s="146" t="s">
        <v>5960</v>
      </c>
    </row>
    <row r="38" spans="6:10" ht="24.75" customHeight="1">
      <c r="F38" s="140" t="s">
        <v>4396</v>
      </c>
      <c r="G38" s="140" t="s">
        <v>5970</v>
      </c>
      <c r="H38" s="141" t="s">
        <v>5971</v>
      </c>
      <c r="I38" s="141" t="s">
        <v>5973</v>
      </c>
      <c r="J38" s="146" t="s">
        <v>5974</v>
      </c>
    </row>
    <row r="39" spans="6:10" ht="24.75" customHeight="1">
      <c r="F39" s="140" t="s">
        <v>4396</v>
      </c>
      <c r="G39" s="140" t="s">
        <v>6095</v>
      </c>
      <c r="H39" s="141" t="s">
        <v>6096</v>
      </c>
      <c r="I39" s="141" t="s">
        <v>6098</v>
      </c>
      <c r="J39" s="146" t="s">
        <v>6099</v>
      </c>
    </row>
    <row r="40" spans="6:10" ht="24.75" customHeight="1">
      <c r="F40" s="140" t="s">
        <v>4396</v>
      </c>
      <c r="G40" s="140" t="s">
        <v>6141</v>
      </c>
      <c r="H40" s="141" t="s">
        <v>6142</v>
      </c>
      <c r="I40" s="141" t="s">
        <v>6143</v>
      </c>
      <c r="J40" s="146" t="s">
        <v>6144</v>
      </c>
    </row>
    <row r="41" spans="6:10" ht="24.75" customHeight="1">
      <c r="F41" s="140" t="s">
        <v>4396</v>
      </c>
      <c r="G41" s="140" t="s">
        <v>6272</v>
      </c>
      <c r="H41" s="141" t="s">
        <v>6273</v>
      </c>
      <c r="I41" s="141" t="s">
        <v>6275</v>
      </c>
      <c r="J41" s="146" t="s">
        <v>6276</v>
      </c>
    </row>
    <row r="42" spans="6:10" ht="24.75" customHeight="1">
      <c r="F42" s="140" t="s">
        <v>4396</v>
      </c>
      <c r="G42" s="140" t="s">
        <v>7058</v>
      </c>
      <c r="H42" s="141" t="s">
        <v>7059</v>
      </c>
      <c r="I42" s="141" t="s">
        <v>7061</v>
      </c>
      <c r="J42" s="146" t="s">
        <v>7062</v>
      </c>
    </row>
    <row r="43" spans="6:10" ht="24.75" customHeight="1">
      <c r="F43" s="140" t="s">
        <v>4396</v>
      </c>
      <c r="G43" s="140" t="s">
        <v>7465</v>
      </c>
      <c r="H43" s="141" t="s">
        <v>7469</v>
      </c>
      <c r="I43" s="141" t="s">
        <v>7468</v>
      </c>
      <c r="J43" s="146" t="s">
        <v>7470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8605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6393</v>
      </c>
      <c r="E3" s="125" t="s">
        <v>6394</v>
      </c>
      <c r="F3" s="125" t="s">
        <v>6396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4986</v>
      </c>
      <c r="E4" s="109" t="s">
        <v>4987</v>
      </c>
      <c r="F4" s="125" t="s">
        <v>4989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8606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8607</v>
      </c>
      <c r="D3" s="154" t="s">
        <v>4400</v>
      </c>
      <c r="E3" s="154" t="s">
        <v>4401</v>
      </c>
      <c r="F3" s="157" t="s">
        <v>4421</v>
      </c>
      <c r="G3" s="97" t="s">
        <v>4432</v>
      </c>
      <c r="H3" s="156" t="s">
        <v>4405</v>
      </c>
      <c r="I3" s="126" t="s">
        <v>4421</v>
      </c>
      <c r="J3" s="159" t="s">
        <v>4433</v>
      </c>
    </row>
    <row r="4" spans="2:10" ht="20.100000000000001" customHeight="1">
      <c r="C4" s="154" t="s">
        <v>8608</v>
      </c>
      <c r="D4" s="154" t="s">
        <v>4545</v>
      </c>
      <c r="E4" s="154" t="s">
        <v>4428</v>
      </c>
      <c r="F4" s="157" t="s">
        <v>4402</v>
      </c>
      <c r="G4" s="97" t="s">
        <v>4406</v>
      </c>
      <c r="H4" s="156" t="s">
        <v>6139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4546</v>
      </c>
      <c r="E5" s="158" t="s">
        <v>4583</v>
      </c>
      <c r="F5" s="157" t="s">
        <v>8609</v>
      </c>
      <c r="G5" s="126" t="s">
        <v>8610</v>
      </c>
    </row>
    <row r="6" spans="2:10" ht="20.100000000000001" customHeight="1">
      <c r="C6" s="154" t="s">
        <v>4453</v>
      </c>
      <c r="D6" s="154" t="s">
        <v>4412</v>
      </c>
      <c r="E6" s="154"/>
      <c r="F6" s="157" t="s">
        <v>4536</v>
      </c>
      <c r="G6" s="97" t="s">
        <v>4550</v>
      </c>
    </row>
    <row r="7" spans="2:10" ht="20.100000000000001" customHeight="1">
      <c r="C7" s="154" t="s">
        <v>8611</v>
      </c>
      <c r="G7" s="97" t="s">
        <v>8612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Luciana Almeida Dantas</cp:lastModifiedBy>
  <cp:revision/>
  <dcterms:created xsi:type="dcterms:W3CDTF">2017-02-23T11:47:08Z</dcterms:created>
  <dcterms:modified xsi:type="dcterms:W3CDTF">2026-09-14T17:23:40Z</dcterms:modified>
  <cp:category/>
  <cp:contentStatus/>
</cp:coreProperties>
</file>