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76" documentId="8_{DAC6C9CA-70D7-4111-A0A7-BC6755E560D9}" xr6:coauthVersionLast="47" xr6:coauthVersionMax="47" xr10:uidLastSave="{93E5EB46-3302-447C-9149-AC950683B14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<sst xmlns="http://schemas.openxmlformats.org/spreadsheetml/2006/main" count="33734" uniqueCount="8602">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</sst>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O147" activePane="bottomRight" state="frozen"/>
      <selection pane="topRight"/>
      <selection pane="bottomLeft"/>
      <selection pane="bottomRight" activeCell="AP147" sqref="AP147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 t="shared" ref="BC101:BC118" si="12">IF(AY101-KD101=0,"",AY101-O101)</f>
        <v>23</v>
      </c>
      <c r="BD101" s="103" t="str">
        <f t="shared" ref="BD101:BD118" si="13">IF(AND(AI101&lt;&gt;"SIM",AI101="UH"),"AA","INDENIZAÇÃO")</f>
        <v>INDENIZAÇÃO</v>
      </c>
      <c r="BE101" s="103" t="str">
        <f t="shared" ref="BE101:BE118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3" t="s">
        <v>4831</v>
      </c>
      <c r="AX103" s="105">
        <v>46237</v>
      </c>
      <c r="AY103" s="106" t="s">
        <v>4454</v>
      </c>
      <c r="AZ103" s="157"/>
      <c r="BA103" s="107" t="s">
        <v>4330</v>
      </c>
      <c r="BB103" s="112"/>
      <c r="BC103" s="220" t="e">
        <f t="shared" si="12"/>
        <v>#VALUE!</v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3" t="s">
        <v>4831</v>
      </c>
      <c r="AX119" s="105">
        <v>46234</v>
      </c>
      <c r="AY119" s="106" t="s">
        <v>4454</v>
      </c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 t="shared" ref="BC120:BC151" si="15">IF(AY120-KD120=0,"",AY120-O120)</f>
        <v>28</v>
      </c>
      <c r="BD120" s="103" t="str">
        <f t="shared" ref="BD120:BD151" si="16">IF(AND(AI120&lt;&gt;"SIM",AI120="UH"),"AA","INDENIZAÇÃO")</f>
        <v>INDENIZAÇÃO</v>
      </c>
      <c r="BE120" s="103" t="str">
        <f t="shared" ref="BE120:BE151" si="17"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 t="shared" si="15"/>
        <v>23</v>
      </c>
      <c r="BD121" s="103" t="str">
        <f t="shared" si="16"/>
        <v>INDENIZAÇÃO</v>
      </c>
      <c r="BE121" s="103" t="str">
        <f t="shared" si="17"/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 t="shared" si="15"/>
        <v>23</v>
      </c>
      <c r="BD122" s="103" t="str">
        <f t="shared" si="16"/>
        <v>INDENIZAÇÃO</v>
      </c>
      <c r="BE122" s="103" t="str">
        <f t="shared" si="17"/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 t="shared" si="15"/>
        <v>23</v>
      </c>
      <c r="BD123" s="103" t="str">
        <f t="shared" si="16"/>
        <v>INDENIZAÇÃO</v>
      </c>
      <c r="BE123" s="103" t="str">
        <f t="shared" si="17"/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5"/>
        <v/>
      </c>
      <c r="BD124" s="103" t="str">
        <f t="shared" si="16"/>
        <v>AA</v>
      </c>
      <c r="BE124" s="103" t="str">
        <f t="shared" si="17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 t="shared" si="15"/>
        <v>23</v>
      </c>
      <c r="BD125" s="103" t="str">
        <f t="shared" si="16"/>
        <v>INDENIZAÇÃO</v>
      </c>
      <c r="BE125" s="103" t="str">
        <f t="shared" si="17"/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3" t="s">
        <v>4831</v>
      </c>
      <c r="AX126" s="105">
        <v>46237</v>
      </c>
      <c r="AY126" s="106" t="s">
        <v>4454</v>
      </c>
      <c r="AZ126" s="106"/>
      <c r="BA126" s="107" t="s">
        <v>4330</v>
      </c>
      <c r="BB126" s="112"/>
      <c r="BC126" s="220" t="e">
        <f t="shared" si="15"/>
        <v>#VALUE!</v>
      </c>
      <c r="BD126" s="103" t="str">
        <f t="shared" si="16"/>
        <v>INDENIZAÇÃO</v>
      </c>
      <c r="BE126" s="103" t="str">
        <f t="shared" si="17"/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 t="shared" si="15"/>
        <v>44</v>
      </c>
      <c r="BD127" s="103" t="str">
        <f t="shared" si="16"/>
        <v>INDENIZAÇÃO</v>
      </c>
      <c r="BE127" s="103" t="str">
        <f t="shared" si="17"/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3" t="s">
        <v>4831</v>
      </c>
      <c r="AX133" s="105">
        <v>46234</v>
      </c>
      <c r="AY133" s="106" t="s">
        <v>4454</v>
      </c>
      <c r="AZ133" s="157"/>
      <c r="BA133" s="107" t="s">
        <v>4330</v>
      </c>
      <c r="BB133" s="112"/>
      <c r="BC133" s="220" t="e">
        <f t="shared" si="15"/>
        <v>#VALUE!</v>
      </c>
      <c r="BD133" s="103" t="str">
        <f t="shared" si="16"/>
        <v>INDENIZAÇÃO</v>
      </c>
      <c r="BE133" s="103" t="str">
        <f t="shared" si="17"/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 t="shared" si="15"/>
        <v>31</v>
      </c>
      <c r="BD134" s="103" t="str">
        <f t="shared" si="16"/>
        <v>INDENIZAÇÃO</v>
      </c>
      <c r="BE134" s="103" t="str">
        <f t="shared" si="17"/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3" t="s">
        <v>4831</v>
      </c>
      <c r="AX135" s="105">
        <v>46237</v>
      </c>
      <c r="AY135" s="106" t="s">
        <v>4454</v>
      </c>
      <c r="AZ135" s="157"/>
      <c r="BA135" s="107" t="s">
        <v>4330</v>
      </c>
      <c r="BB135" s="112"/>
      <c r="BC135" s="220" t="e">
        <f t="shared" si="15"/>
        <v>#VALUE!</v>
      </c>
      <c r="BD135" s="103" t="str">
        <f t="shared" si="16"/>
        <v>INDENIZAÇÃO</v>
      </c>
      <c r="BE135" s="103" t="str">
        <f t="shared" si="17"/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 t="shared" si="15"/>
        <v>65</v>
      </c>
      <c r="BD136" s="103" t="str">
        <f t="shared" si="16"/>
        <v>INDENIZAÇÃO</v>
      </c>
      <c r="BE136" s="103" t="str">
        <f t="shared" si="17"/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 t="shared" si="15"/>
        <v>36</v>
      </c>
      <c r="BD138" s="103" t="str">
        <f t="shared" si="16"/>
        <v>INDENIZAÇÃO</v>
      </c>
      <c r="BE138" s="103" t="str">
        <f t="shared" si="17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 t="shared" si="15"/>
        <v>36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 t="shared" si="15"/>
        <v>50</v>
      </c>
      <c r="BD140" s="103" t="str">
        <f t="shared" si="16"/>
        <v>INDENIZAÇÃO</v>
      </c>
      <c r="BE140" s="103" t="str">
        <f t="shared" si="17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 t="shared" si="15"/>
        <v>43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 t="shared" si="15"/>
        <v>37</v>
      </c>
      <c r="BD143" s="103" t="str">
        <f t="shared" si="16"/>
        <v>INDENIZAÇÃO</v>
      </c>
      <c r="BE143" s="103" t="str">
        <f t="shared" si="17"/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36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 t="shared" si="15"/>
        <v>37</v>
      </c>
      <c r="BD148" s="103" t="str">
        <f t="shared" si="16"/>
        <v>INDENIZAÇÃO</v>
      </c>
      <c r="BE148" s="103" t="str">
        <f t="shared" si="17"/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 t="shared" si="15"/>
        <v>37</v>
      </c>
      <c r="BD149" s="103" t="str">
        <f t="shared" si="16"/>
        <v>INDENIZAÇÃO</v>
      </c>
      <c r="BE149" s="103" t="str">
        <f t="shared" si="17"/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 t="shared" si="15"/>
        <v>40</v>
      </c>
      <c r="BD151" s="103" t="str">
        <f t="shared" si="16"/>
        <v>INDENIZAÇÃO</v>
      </c>
      <c r="BE151" s="103" t="str">
        <f t="shared" si="17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 t="shared" ref="BC155:BC164" si="18">IF(AY155-KD155=0,"",AY155-O155)</f>
        <v>40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 t="shared" si="18"/>
        <v>61</v>
      </c>
      <c r="BD156" s="103" t="str">
        <f t="shared" si="19"/>
        <v>INDENIZAÇÃO</v>
      </c>
      <c r="BE156" s="103" t="str">
        <f t="shared" si="20"/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 t="shared" si="18"/>
        <v>61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18"/>
        <v>63</v>
      </c>
      <c r="BD159" s="103" t="str">
        <f t="shared" si="19"/>
        <v>INDENIZAÇÃO</v>
      </c>
      <c r="BE159" s="103" t="str">
        <f t="shared" si="20"/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 t="shared" si="18"/>
        <v>69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 t="shared" si="18"/>
        <v>56</v>
      </c>
      <c r="BD162" s="103" t="str">
        <f t="shared" si="19"/>
        <v>INDENIZAÇÃO</v>
      </c>
      <c r="BE162" s="103" t="str">
        <f t="shared" si="20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 t="shared" si="18"/>
        <v>61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3" t="s">
        <v>4831</v>
      </c>
      <c r="AX169" s="105">
        <v>46237</v>
      </c>
      <c r="AY169" s="106" t="s">
        <v>4454</v>
      </c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3" t="s">
        <v>4831</v>
      </c>
      <c r="AX171" s="105">
        <v>46234</v>
      </c>
      <c r="AY171" s="106" t="s">
        <v>4454</v>
      </c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 t="shared" ref="BC172:BC185" si="21">IF(AY172-KD172=0,"",AY172-O172)</f>
        <v>77</v>
      </c>
      <c r="BD172" s="103" t="str">
        <f t="shared" ref="BD172:BD185" si="22">IF(AND(AI172&lt;&gt;"SIM",AI172="UH"),"AA","INDENIZAÇÃO")</f>
        <v>INDENIZAÇÃO</v>
      </c>
      <c r="BE172" s="103" t="str">
        <f t="shared" ref="BE172:BE185" si="23"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 t="shared" si="21"/>
        <v>62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3" t="s">
        <v>4831</v>
      </c>
      <c r="AX174" s="105">
        <v>46237</v>
      </c>
      <c r="AY174" s="106" t="s">
        <v>4454</v>
      </c>
      <c r="AZ174" s="106"/>
      <c r="BA174" s="107" t="s">
        <v>4330</v>
      </c>
      <c r="BB174" s="136"/>
      <c r="BC174" s="220" t="e">
        <f t="shared" si="21"/>
        <v>#VALUE!</v>
      </c>
      <c r="BD174" s="103" t="str">
        <f t="shared" si="22"/>
        <v>INDENIZAÇÃO</v>
      </c>
      <c r="BE174" s="103" t="str">
        <f t="shared" si="23"/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 t="shared" si="21"/>
        <v>#VALUE!</v>
      </c>
      <c r="BD175" s="103" t="str">
        <f t="shared" si="22"/>
        <v>INDENIZAÇÃO</v>
      </c>
      <c r="BE175" s="103" t="str">
        <f t="shared" si="23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 t="shared" si="21"/>
        <v>63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 t="shared" si="21"/>
        <v>64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 t="shared" si="21"/>
        <v>85</v>
      </c>
      <c r="BD178" s="103" t="str">
        <f t="shared" si="22"/>
        <v>INDENIZAÇÃO</v>
      </c>
      <c r="BE178" s="103" t="str">
        <f t="shared" si="23"/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 t="shared" si="21"/>
        <v>72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1"/>
        <v>28</v>
      </c>
      <c r="BD182" s="103" t="str">
        <f t="shared" si="22"/>
        <v>INDENIZAÇÃO</v>
      </c>
      <c r="BE182" s="103" t="str">
        <f t="shared" si="23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1"/>
        <v>21</v>
      </c>
      <c r="BD183" s="103" t="str">
        <f t="shared" si="22"/>
        <v>INDENIZAÇÃO</v>
      </c>
      <c r="BE183" s="103" t="str">
        <f t="shared" si="23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1"/>
        <v>21</v>
      </c>
      <c r="BD184" s="103" t="str">
        <f t="shared" si="22"/>
        <v>INDENIZAÇÃO</v>
      </c>
      <c r="BE184" s="103" t="str">
        <f t="shared" si="23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 t="shared" si="21"/>
        <v>28</v>
      </c>
      <c r="BD185" s="103" t="str">
        <f t="shared" si="22"/>
        <v>INDENIZAÇÃO</v>
      </c>
      <c r="BE185" s="103" t="str">
        <f t="shared" si="23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3" t="s">
        <v>4831</v>
      </c>
      <c r="AX187" s="105">
        <v>46237</v>
      </c>
      <c r="AY187" s="106" t="s">
        <v>4454</v>
      </c>
      <c r="AZ187" s="157"/>
      <c r="BA187" s="107" t="s">
        <v>4330</v>
      </c>
      <c r="BB187" s="112"/>
      <c r="BC187" s="220" t="e">
        <f t="shared" ref="BC187:BC195" si="24">IF(AY187-KD187=0,"",AY187-O187)</f>
        <v>#VALUE!</v>
      </c>
      <c r="BD187" s="103" t="str">
        <f t="shared" ref="BD187:BD195" si="25">IF(AND(AI187&lt;&gt;"SIM",AI187="UH"),"AA","INDENIZAÇÃO")</f>
        <v>INDENIZAÇÃO</v>
      </c>
      <c r="BE187" s="103" t="str">
        <f t="shared" ref="BE187:BE195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 t="shared" si="24"/>
        <v>28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4"/>
        <v>70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4"/>
        <v>14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4"/>
        <v>25</v>
      </c>
      <c r="BD194" s="103" t="str">
        <f t="shared" si="25"/>
        <v>INDENIZAÇÃO</v>
      </c>
      <c r="BE194" s="103" t="str">
        <f t="shared" si="26"/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4"/>
        <v>58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3" t="s">
        <v>4831</v>
      </c>
      <c r="AX196" s="105">
        <v>46237</v>
      </c>
      <c r="AY196" s="106" t="s">
        <v>4454</v>
      </c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ref="BC197:BC228" si="27">IF(AY197-KD197=0,"",AY197-O197)</f>
        <v/>
      </c>
      <c r="BD197" s="103" t="str">
        <f t="shared" ref="BD197:BD228" si="28">IF(AND(AI197&lt;&gt;"SIM",AI197="UH"),"AA","INDENIZAÇÃO")</f>
        <v>AA</v>
      </c>
      <c r="BE197" s="103" t="str">
        <f t="shared" ref="BE197:BE228" si="29"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si="27"/>
        <v/>
      </c>
      <c r="BD219" s="103" t="str">
        <f t="shared" si="28"/>
        <v>AA</v>
      </c>
      <c r="BE219" s="103" t="str">
        <f t="shared" si="29"/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 t="shared" si="27"/>
        <v>47</v>
      </c>
      <c r="BD222" s="103" t="str">
        <f t="shared" si="28"/>
        <v>INDENIZAÇÃO</v>
      </c>
      <c r="BE222" s="103" t="str">
        <f t="shared" si="29"/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 t="shared" si="27"/>
        <v>54</v>
      </c>
      <c r="BD224" s="103" t="str">
        <f t="shared" si="28"/>
        <v>INDENIZAÇÃO</v>
      </c>
      <c r="BE224" s="103" t="str">
        <f t="shared" si="29"/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 t="shared" si="27"/>
        <v>48</v>
      </c>
      <c r="BD225" s="103" t="str">
        <f t="shared" si="28"/>
        <v>INDENIZAÇÃO</v>
      </c>
      <c r="BE225" s="103" t="str">
        <f t="shared" si="29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 t="shared" si="27"/>
        <v>97</v>
      </c>
      <c r="BD227" s="103" t="str">
        <f t="shared" si="28"/>
        <v>INDENIZAÇÃO</v>
      </c>
      <c r="BE227" s="103" t="str">
        <f t="shared" si="29"/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ref="BC229:BC246" si="30">IF(AY229-KD229=0,"",AY229-O229)</f>
        <v/>
      </c>
      <c r="BD229" s="103" t="str">
        <f t="shared" ref="BD229:BD246" si="31">IF(AND(AI229&lt;&gt;"SIM",AI229="UH"),"AA","INDENIZAÇÃO")</f>
        <v>AA</v>
      </c>
      <c r="BE229" s="103" t="str">
        <f t="shared" ref="BE229:BE246" si="32"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52" si="42">IF(AY321-KD321=0,"",AY321-O321)</f>
        <v/>
      </c>
      <c r="BD321" s="103" t="str">
        <f t="shared" ref="BD321:BD352" si="43">IF(AND(AI321&lt;&gt;"SIM",AI321="UH"),"AA","INDENIZAÇÃO")</f>
        <v>AA</v>
      </c>
      <c r="BE321" s="103" t="str">
        <f t="shared" ref="BE321:BE352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3" t="s">
        <v>4831</v>
      </c>
      <c r="AX329" s="105">
        <v>46234</v>
      </c>
      <c r="AY329" s="106" t="s">
        <v>4454</v>
      </c>
      <c r="AZ329" s="106"/>
      <c r="BA329" s="107" t="s">
        <v>4330</v>
      </c>
      <c r="BB329" s="112"/>
      <c r="BC329" s="220" t="e">
        <f t="shared" si="42"/>
        <v>#VALUE!</v>
      </c>
      <c r="BD329" s="103" t="str">
        <f t="shared" si="43"/>
        <v>INDENIZAÇÃO</v>
      </c>
      <c r="BE329" s="103" t="str">
        <f t="shared" si="44"/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si="42"/>
        <v/>
      </c>
      <c r="BD330" s="103" t="str">
        <f t="shared" si="43"/>
        <v>AA</v>
      </c>
      <c r="BE330" s="103" t="str">
        <f t="shared" si="44"/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 t="shared" si="42"/>
        <v>94</v>
      </c>
      <c r="BD331" s="103" t="str">
        <f t="shared" si="43"/>
        <v>INDENIZAÇÃO</v>
      </c>
      <c r="BE331" s="103" t="str">
        <f t="shared" si="44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 t="shared" si="42"/>
        <v>101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 t="shared" si="42"/>
        <v>94</v>
      </c>
      <c r="BD336" s="103" t="str">
        <f t="shared" si="43"/>
        <v>INDENIZAÇÃO</v>
      </c>
      <c r="BE336" s="103" t="str">
        <f t="shared" si="44"/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 t="shared" si="42"/>
        <v>80</v>
      </c>
      <c r="BD338" s="103" t="str">
        <f t="shared" si="43"/>
        <v>INDENIZAÇÃO</v>
      </c>
      <c r="BE338" s="103" t="str">
        <f t="shared" si="44"/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 t="shared" si="42"/>
        <v>80</v>
      </c>
      <c r="BD344" s="103" t="str">
        <f t="shared" si="43"/>
        <v>INDENIZAÇÃO</v>
      </c>
      <c r="BE344" s="103" t="str">
        <f t="shared" si="44"/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 t="shared" si="42"/>
        <v>73</v>
      </c>
      <c r="BD346" s="103" t="str">
        <f t="shared" si="43"/>
        <v>INDENIZAÇÃO</v>
      </c>
      <c r="BE346" s="103" t="str">
        <f t="shared" si="44"/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 t="shared" ref="BC353:BC382" si="45">IF(AY353-KD353=0,"",AY353-O353)</f>
        <v>91</v>
      </c>
      <c r="BD353" s="103" t="str">
        <f t="shared" ref="BD353:BD382" si="46">IF(AND(AI353&lt;&gt;"SIM",AI353="UH"),"AA","INDENIZAÇÃO")</f>
        <v>INDENIZAÇÃO</v>
      </c>
      <c r="BE353" s="103" t="str">
        <f t="shared" ref="BE353:BE382" si="47"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si="45"/>
        <v/>
      </c>
      <c r="BD362" s="103" t="str">
        <f t="shared" si="46"/>
        <v>AA</v>
      </c>
      <c r="BE362" s="103" t="str">
        <f t="shared" si="47"/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 t="shared" si="45"/>
        <v>137</v>
      </c>
      <c r="BD363" s="103" t="str">
        <f t="shared" si="46"/>
        <v>INDENIZAÇÃO</v>
      </c>
      <c r="BE363" s="103" t="str">
        <f t="shared" si="47"/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 t="shared" si="45"/>
        <v>62</v>
      </c>
      <c r="BD364" s="103" t="str">
        <f t="shared" si="46"/>
        <v>INDENIZAÇÃO</v>
      </c>
      <c r="BE364" s="103" t="str">
        <f t="shared" si="47"/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 t="shared" si="45"/>
        <v>102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 t="shared" si="45"/>
        <v>60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 t="shared" si="45"/>
        <v>95</v>
      </c>
      <c r="BD369" s="103" t="str">
        <f t="shared" si="46"/>
        <v>INDENIZAÇÃO</v>
      </c>
      <c r="BE369" s="103" t="str">
        <f t="shared" si="47"/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 t="shared" si="45"/>
        <v>95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 t="shared" si="45"/>
        <v>36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 t="shared" si="45"/>
        <v>30</v>
      </c>
      <c r="BD372" s="103" t="str">
        <f t="shared" si="46"/>
        <v>INDENIZAÇÃO</v>
      </c>
      <c r="BE372" s="103" t="str">
        <f t="shared" si="47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 t="shared" si="45"/>
        <v>40</v>
      </c>
      <c r="BD374" s="103" t="str">
        <f t="shared" si="46"/>
        <v>INDENIZAÇÃO</v>
      </c>
      <c r="BE374" s="103" t="str">
        <f t="shared" si="47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 t="shared" si="45"/>
        <v>61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 t="shared" si="45"/>
        <v>77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 t="shared" si="45"/>
        <v>117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 t="shared" si="45"/>
        <v>58</v>
      </c>
      <c r="BD380" s="103" t="str">
        <f t="shared" si="46"/>
        <v>INDENIZAÇÃO</v>
      </c>
      <c r="BE380" s="103" t="str">
        <f t="shared" si="47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 t="shared" si="45"/>
        <v>92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 t="shared" ref="BC384:BC391" si="48">IF(AY384-KD384=0,"",AY384-O384)</f>
        <v>#VALUE!</v>
      </c>
      <c r="BD384" s="103" t="str">
        <f t="shared" ref="BD384:BD391" si="49">IF(AND(AI384&lt;&gt;"SIM",AI384="UH"),"AA","INDENIZAÇÃO")</f>
        <v>INDENIZAÇÃO</v>
      </c>
      <c r="BE384" s="103" t="str">
        <f t="shared" ref="BE384:BE391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 t="shared" si="48"/>
        <v>71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 t="shared" si="48"/>
        <v>46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 t="shared" si="48"/>
        <v>#VALUE!</v>
      </c>
      <c r="BD387" s="103" t="str">
        <f t="shared" si="49"/>
        <v>INDENIZAÇÃO</v>
      </c>
      <c r="BE387" s="103" t="str">
        <f t="shared" si="50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 t="shared" si="48"/>
        <v>45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 t="shared" si="48"/>
        <v>58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1">IF(AY393-KD393=0,"",AY393-O393)</f>
        <v/>
      </c>
      <c r="BD393" s="103" t="str">
        <f t="shared" ref="BD393:BD406" si="52">IF(AND(AI393&lt;&gt;"SIM",AI393="UH"),"AA","INDENIZAÇÃO")</f>
        <v>INDENIZAÇÃO</v>
      </c>
      <c r="BE393" s="103" t="str">
        <f t="shared" ref="BE393:BE406" si="53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1"/>
        <v/>
      </c>
      <c r="BD394" s="103" t="str">
        <f t="shared" si="52"/>
        <v>INDENIZAÇÃO</v>
      </c>
      <c r="BE394" s="103" t="str">
        <f t="shared" si="53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1"/>
        <v/>
      </c>
      <c r="BD395" s="103" t="str">
        <f t="shared" si="52"/>
        <v>AA</v>
      </c>
      <c r="BE395" s="103" t="str">
        <f t="shared" si="53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1"/>
        <v/>
      </c>
      <c r="BD396" s="103" t="str">
        <f t="shared" si="52"/>
        <v>INDENIZAÇÃO</v>
      </c>
      <c r="BE396" s="103" t="str">
        <f t="shared" si="53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1"/>
        <v/>
      </c>
      <c r="BD397" s="103" t="str">
        <f t="shared" si="52"/>
        <v>INDENIZAÇÃO</v>
      </c>
      <c r="BE397" s="103" t="str">
        <f t="shared" si="53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1"/>
        <v/>
      </c>
      <c r="BD398" s="103" t="str">
        <f t="shared" si="52"/>
        <v>INDENIZAÇÃO</v>
      </c>
      <c r="BE398" s="103" t="str">
        <f t="shared" si="53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 t="shared" si="51"/>
        <v>71</v>
      </c>
      <c r="BD399" s="103" t="str">
        <f t="shared" si="52"/>
        <v>INDENIZAÇÃO</v>
      </c>
      <c r="BE399" s="103" t="str">
        <f t="shared" si="53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1"/>
        <v/>
      </c>
      <c r="BD400" s="103" t="str">
        <f t="shared" si="52"/>
        <v>AA</v>
      </c>
      <c r="BE400" s="103" t="str">
        <f t="shared" si="53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1"/>
        <v/>
      </c>
      <c r="BD401" s="103" t="str">
        <f t="shared" si="52"/>
        <v>AA</v>
      </c>
      <c r="BE401" s="103" t="str">
        <f t="shared" si="53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1"/>
        <v/>
      </c>
      <c r="BD402" s="103" t="str">
        <f t="shared" si="52"/>
        <v>AA</v>
      </c>
      <c r="BE402" s="103" t="str">
        <f t="shared" si="53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1"/>
        <v/>
      </c>
      <c r="BD403" s="103" t="str">
        <f t="shared" si="52"/>
        <v>AA</v>
      </c>
      <c r="BE403" s="103" t="str">
        <f t="shared" si="53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1"/>
        <v/>
      </c>
      <c r="BD404" s="103" t="str">
        <f t="shared" si="52"/>
        <v>AA</v>
      </c>
      <c r="BE404" s="103" t="str">
        <f t="shared" si="53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1"/>
        <v/>
      </c>
      <c r="BD405" s="103" t="str">
        <f t="shared" si="52"/>
        <v>AA</v>
      </c>
      <c r="BE405" s="103" t="str">
        <f t="shared" si="53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 t="shared" si="51"/>
        <v>#VALUE!</v>
      </c>
      <c r="BD406" s="103" t="str">
        <f t="shared" si="52"/>
        <v>INDENIZAÇÃO</v>
      </c>
      <c r="BE406" s="103" t="str">
        <f t="shared" si="53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3" t="s">
        <v>4831</v>
      </c>
      <c r="AX407" s="105">
        <v>46234</v>
      </c>
      <c r="AY407" s="106" t="s">
        <v>4454</v>
      </c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 t="shared" ref="BC415:BC455" si="54">IF(AY415-KD415=0,"",AY415-O415)</f>
        <v>#VALUE!</v>
      </c>
      <c r="BD415" s="103" t="str">
        <f t="shared" ref="BD415:BD455" si="55">IF(AND(AI415&lt;&gt;"SIM",AI415="UH"),"AA","INDENIZAÇÃO")</f>
        <v>INDENIZAÇÃO</v>
      </c>
      <c r="BE415" s="103" t="str">
        <f t="shared" ref="BE415:BE455" si="56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 t="shared" si="54"/>
        <v>#VALUE!</v>
      </c>
      <c r="BD416" s="103" t="str">
        <f t="shared" si="55"/>
        <v>INDENIZAÇÃO</v>
      </c>
      <c r="BE416" s="103" t="str">
        <f t="shared" si="56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4"/>
        <v/>
      </c>
      <c r="BD417" s="103" t="str">
        <f t="shared" si="55"/>
        <v>AA</v>
      </c>
      <c r="BE417" s="103" t="str">
        <f t="shared" si="56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 t="shared" si="54"/>
        <v>#VALUE!</v>
      </c>
      <c r="BD418" s="103" t="str">
        <f t="shared" si="55"/>
        <v>INDENIZAÇÃO</v>
      </c>
      <c r="BE418" s="103" t="str">
        <f t="shared" si="56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4"/>
        <v/>
      </c>
      <c r="BD419" s="103" t="str">
        <f t="shared" si="55"/>
        <v>AA</v>
      </c>
      <c r="BE419" s="103" t="str">
        <f t="shared" si="56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4"/>
        <v/>
      </c>
      <c r="BD420" s="103" t="str">
        <f t="shared" si="55"/>
        <v>AA</v>
      </c>
      <c r="BE420" s="103" t="str">
        <f t="shared" si="56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 t="shared" si="54"/>
        <v>#VALUE!</v>
      </c>
      <c r="BD421" s="103" t="str">
        <f t="shared" si="55"/>
        <v>INDENIZAÇÃO</v>
      </c>
      <c r="BE421" s="103" t="str">
        <f t="shared" si="56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4"/>
        <v/>
      </c>
      <c r="BD422" s="103" t="str">
        <f t="shared" si="55"/>
        <v>AA</v>
      </c>
      <c r="BE422" s="103" t="str">
        <f t="shared" si="56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 t="shared" si="54"/>
        <v>45</v>
      </c>
      <c r="BD423" s="103" t="str">
        <f t="shared" si="55"/>
        <v>INDENIZAÇÃO</v>
      </c>
      <c r="BE423" s="103" t="str">
        <f t="shared" si="56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4"/>
        <v/>
      </c>
      <c r="BD424" s="103" t="str">
        <f t="shared" si="55"/>
        <v>INDENIZAÇÃO</v>
      </c>
      <c r="BE424" s="103" t="str">
        <f t="shared" si="56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 t="shared" si="54"/>
        <v>45</v>
      </c>
      <c r="BD425" s="103" t="str">
        <f t="shared" si="55"/>
        <v>INDENIZAÇÃO</v>
      </c>
      <c r="BE425" s="103" t="str">
        <f t="shared" si="56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4"/>
        <v/>
      </c>
      <c r="BD426" s="103" t="str">
        <f t="shared" si="55"/>
        <v>AA</v>
      </c>
      <c r="BE426" s="103" t="str">
        <f t="shared" si="56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 t="shared" si="54"/>
        <v>60</v>
      </c>
      <c r="BD427" s="103" t="str">
        <f t="shared" si="55"/>
        <v>INDENIZAÇÃO</v>
      </c>
      <c r="BE427" s="103" t="str">
        <f t="shared" si="56"/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 t="shared" si="54"/>
        <v>106</v>
      </c>
      <c r="BD428" s="103" t="str">
        <f t="shared" si="55"/>
        <v>INDENIZAÇÃO</v>
      </c>
      <c r="BE428" s="103" t="str">
        <f t="shared" si="56"/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 t="shared" si="54"/>
        <v>51</v>
      </c>
      <c r="BD429" s="103" t="str">
        <f t="shared" si="55"/>
        <v>INDENIZAÇÃO</v>
      </c>
      <c r="BE429" s="103" t="str">
        <f t="shared" si="56"/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4"/>
        <v/>
      </c>
      <c r="BD430" s="103" t="str">
        <f t="shared" si="55"/>
        <v>INDENIZAÇÃO</v>
      </c>
      <c r="BE430" s="103" t="str">
        <f t="shared" si="56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4"/>
        <v/>
      </c>
      <c r="BD431" s="103" t="str">
        <f t="shared" si="55"/>
        <v>AA</v>
      </c>
      <c r="BE431" s="103" t="str">
        <f t="shared" si="56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4"/>
        <v/>
      </c>
      <c r="BD432" s="103" t="str">
        <f t="shared" si="55"/>
        <v>AA</v>
      </c>
      <c r="BE432" s="103" t="str">
        <f t="shared" si="56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57"/>
      <c r="BA433" s="107" t="s">
        <v>4330</v>
      </c>
      <c r="BB433" s="112"/>
      <c r="BC433" s="220" t="e">
        <f t="shared" si="54"/>
        <v>#VALUE!</v>
      </c>
      <c r="BD433" s="103" t="str">
        <f t="shared" si="55"/>
        <v>INDENIZAÇÃO</v>
      </c>
      <c r="BE433" s="103" t="str">
        <f t="shared" si="56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4"/>
        <v/>
      </c>
      <c r="BD434" s="103" t="str">
        <f t="shared" si="55"/>
        <v>AA</v>
      </c>
      <c r="BE434" s="103" t="str">
        <f t="shared" si="56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4"/>
        <v/>
      </c>
      <c r="BD435" s="103" t="str">
        <f t="shared" si="55"/>
        <v>AA</v>
      </c>
      <c r="BE435" s="103" t="str">
        <f t="shared" si="56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4"/>
        <v/>
      </c>
      <c r="BD436" s="103" t="str">
        <f t="shared" si="55"/>
        <v>AA</v>
      </c>
      <c r="BE436" s="103" t="str">
        <f t="shared" si="56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4"/>
        <v/>
      </c>
      <c r="BD437" s="103" t="str">
        <f t="shared" si="55"/>
        <v>AA</v>
      </c>
      <c r="BE437" s="103" t="str">
        <f t="shared" si="56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4"/>
        <v/>
      </c>
      <c r="BD438" s="103" t="str">
        <f t="shared" si="55"/>
        <v>AA</v>
      </c>
      <c r="BE438" s="103" t="str">
        <f t="shared" si="56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4"/>
        <v/>
      </c>
      <c r="BD439" s="103" t="str">
        <f t="shared" si="55"/>
        <v>INDENIZAÇÃO</v>
      </c>
      <c r="BE439" s="103" t="str">
        <f t="shared" si="56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4"/>
        <v/>
      </c>
      <c r="BD440" s="103" t="str">
        <f t="shared" si="55"/>
        <v>INDENIZAÇÃO</v>
      </c>
      <c r="BE440" s="103" t="str">
        <f t="shared" si="56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4"/>
        <v/>
      </c>
      <c r="BD441" s="103" t="str">
        <f t="shared" si="55"/>
        <v>AA</v>
      </c>
      <c r="BE441" s="103" t="str">
        <f t="shared" si="56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 t="shared" si="54"/>
        <v>#VALUE!</v>
      </c>
      <c r="BD442" s="103" t="str">
        <f t="shared" si="55"/>
        <v>INDENIZAÇÃO</v>
      </c>
      <c r="BE442" s="103" t="str">
        <f t="shared" si="56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 t="shared" si="54"/>
        <v>51</v>
      </c>
      <c r="BD443" s="103" t="str">
        <f t="shared" si="55"/>
        <v>INDENIZAÇÃO</v>
      </c>
      <c r="BE443" s="103" t="str">
        <f t="shared" si="56"/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 t="shared" si="54"/>
        <v>64</v>
      </c>
      <c r="BD444" s="103" t="str">
        <f t="shared" si="55"/>
        <v>INDENIZAÇÃO</v>
      </c>
      <c r="BE444" s="103" t="str">
        <f t="shared" si="56"/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4"/>
        <v/>
      </c>
      <c r="BD445" s="103" t="str">
        <f t="shared" si="55"/>
        <v>AA</v>
      </c>
      <c r="BE445" s="103" t="str">
        <f t="shared" si="56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4"/>
        <v/>
      </c>
      <c r="BD446" s="103" t="str">
        <f t="shared" si="55"/>
        <v>AA</v>
      </c>
      <c r="BE446" s="103" t="str">
        <f t="shared" si="56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4"/>
        <v/>
      </c>
      <c r="BD447" s="103" t="str">
        <f t="shared" si="55"/>
        <v>AA</v>
      </c>
      <c r="BE447" s="103" t="str">
        <f t="shared" si="56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4"/>
        <v/>
      </c>
      <c r="BD448" s="103" t="str">
        <f t="shared" si="55"/>
        <v>AA</v>
      </c>
      <c r="BE448" s="103" t="str">
        <f t="shared" si="56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 t="shared" si="54"/>
        <v>71</v>
      </c>
      <c r="BD449" s="103" t="str">
        <f t="shared" si="55"/>
        <v>INDENIZAÇÃO</v>
      </c>
      <c r="BE449" s="103" t="str">
        <f t="shared" si="56"/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 t="shared" si="54"/>
        <v>51</v>
      </c>
      <c r="BD450" s="103" t="str">
        <f t="shared" si="55"/>
        <v>INDENIZAÇÃO</v>
      </c>
      <c r="BE450" s="103" t="str">
        <f t="shared" si="56"/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4"/>
        <v/>
      </c>
      <c r="BD451" s="103" t="str">
        <f t="shared" si="55"/>
        <v>AA</v>
      </c>
      <c r="BE451" s="103" t="str">
        <f t="shared" si="56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4"/>
        <v/>
      </c>
      <c r="BD452" s="103" t="str">
        <f t="shared" si="55"/>
        <v>AA</v>
      </c>
      <c r="BE452" s="103" t="str">
        <f t="shared" si="56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4"/>
        <v/>
      </c>
      <c r="BD453" s="103" t="str">
        <f t="shared" si="55"/>
        <v>AA</v>
      </c>
      <c r="BE453" s="103" t="str">
        <f t="shared" si="56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4"/>
        <v/>
      </c>
      <c r="BD454" s="103" t="str">
        <f t="shared" si="55"/>
        <v>AA</v>
      </c>
      <c r="BE454" s="103" t="str">
        <f t="shared" si="56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4"/>
        <v/>
      </c>
      <c r="BD455" s="103" t="str">
        <f t="shared" si="55"/>
        <v>AA</v>
      </c>
      <c r="BE455" s="103" t="str">
        <f t="shared" si="56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3" t="s">
        <v>4831</v>
      </c>
      <c r="AX460" s="105">
        <v>46234</v>
      </c>
      <c r="AY460" s="106" t="s">
        <v>4454</v>
      </c>
      <c r="AZ460" s="157"/>
      <c r="BA460" s="107" t="s">
        <v>4330</v>
      </c>
      <c r="BB460" s="112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67" si="57">IF(AY462-KD462=0,"",AY462-O462)</f>
        <v/>
      </c>
      <c r="BD462" s="103" t="str">
        <f t="shared" ref="BD462:BD467" si="58">IF(AND(AI462&lt;&gt;"SIM",AI462="UH"),"AA","INDENIZAÇÃO")</f>
        <v>AA</v>
      </c>
      <c r="BE462" s="103" t="str">
        <f t="shared" ref="BE462:BE467" si="59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57"/>
        <v/>
      </c>
      <c r="BD463" s="103" t="str">
        <f t="shared" si="58"/>
        <v>INDENIZAÇÃO</v>
      </c>
      <c r="BE463" s="103" t="str">
        <f t="shared" si="59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57"/>
        <v/>
      </c>
      <c r="BD464" s="103" t="str">
        <f t="shared" si="58"/>
        <v>AA</v>
      </c>
      <c r="BE464" s="103" t="str">
        <f t="shared" si="59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 t="shared" si="57"/>
        <v>#VALUE!</v>
      </c>
      <c r="BD465" s="103" t="str">
        <f t="shared" si="58"/>
        <v>INDENIZAÇÃO</v>
      </c>
      <c r="BE465" s="103" t="str">
        <f t="shared" si="59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 t="shared" si="57"/>
        <v>#VALUE!</v>
      </c>
      <c r="BD466" s="103" t="str">
        <f t="shared" si="58"/>
        <v>INDENIZAÇÃO</v>
      </c>
      <c r="BE466" s="103" t="str">
        <f t="shared" si="59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57"/>
        <v/>
      </c>
      <c r="BD467" s="103" t="str">
        <f t="shared" si="58"/>
        <v>AA</v>
      </c>
      <c r="BE467" s="103" t="str">
        <f t="shared" si="59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 t="shared" ref="BC469:BC496" si="60">IF(AY469-KD469=0,"",AY469-O469)</f>
        <v>#VALUE!</v>
      </c>
      <c r="BD469" s="103" t="str">
        <f t="shared" ref="BD469:BD496" si="61">IF(AND(AI469&lt;&gt;"SIM",AI469="UH"),"AA","INDENIZAÇÃO")</f>
        <v>INDENIZAÇÃO</v>
      </c>
      <c r="BE469" s="103" t="str">
        <f t="shared" ref="BE469:BE496" si="62"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292" t="s">
        <v>4338</v>
      </c>
      <c r="AR474" s="293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 t="shared" si="60"/>
        <v>#VALUE!</v>
      </c>
      <c r="BD474" s="103" t="str">
        <f t="shared" si="61"/>
        <v>INDENIZAÇÃO</v>
      </c>
      <c r="BE474" s="103" t="str">
        <f t="shared" si="62"/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06"/>
      <c r="BA476" s="107" t="s">
        <v>4330</v>
      </c>
      <c r="BB476" s="136"/>
      <c r="BC476" s="220" t="e">
        <f t="shared" si="60"/>
        <v>#VALUE!</v>
      </c>
      <c r="BD476" s="103" t="str">
        <f t="shared" si="61"/>
        <v>INDENIZAÇÃO</v>
      </c>
      <c r="BE476" s="103" t="str">
        <f t="shared" si="62"/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si="60"/>
        <v/>
      </c>
      <c r="BD477" s="103" t="str">
        <f t="shared" si="61"/>
        <v>AA</v>
      </c>
      <c r="BE477" s="103" t="str">
        <f t="shared" si="62"/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0"/>
        <v/>
      </c>
      <c r="BD478" s="103" t="str">
        <f t="shared" si="61"/>
        <v>AA</v>
      </c>
      <c r="BE478" s="103" t="str">
        <f t="shared" si="62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46237</v>
      </c>
      <c r="AY479" s="106" t="s">
        <v>4454</v>
      </c>
      <c r="AZ479" s="157"/>
      <c r="BA479" s="107" t="s">
        <v>4330</v>
      </c>
      <c r="BB479" s="112"/>
      <c r="BC479" s="220" t="e">
        <f t="shared" si="60"/>
        <v>#VALUE!</v>
      </c>
      <c r="BD479" s="103" t="str">
        <f t="shared" si="61"/>
        <v>INDENIZAÇÃO</v>
      </c>
      <c r="BE479" s="103" t="str">
        <f t="shared" si="62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 t="shared" si="60"/>
        <v>48</v>
      </c>
      <c r="BD480" s="103" t="str">
        <f t="shared" si="61"/>
        <v>INDENIZAÇÃO</v>
      </c>
      <c r="BE480" s="103" t="str">
        <f t="shared" si="62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 t="shared" si="60"/>
        <v>48</v>
      </c>
      <c r="BD481" s="103" t="str">
        <f t="shared" si="61"/>
        <v>INDENIZAÇÃO</v>
      </c>
      <c r="BE481" s="103" t="str">
        <f t="shared" si="62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 t="shared" si="60"/>
        <v>48</v>
      </c>
      <c r="BD482" s="103" t="str">
        <f t="shared" si="61"/>
        <v>INDENIZAÇÃO</v>
      </c>
      <c r="BE482" s="103" t="str">
        <f t="shared" si="62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 t="shared" si="60"/>
        <v>48</v>
      </c>
      <c r="BD483" s="103" t="str">
        <f t="shared" si="61"/>
        <v>INDENIZAÇÃO</v>
      </c>
      <c r="BE483" s="103" t="str">
        <f t="shared" si="62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0"/>
        <v/>
      </c>
      <c r="BD484" s="103" t="str">
        <f t="shared" si="61"/>
        <v>AA</v>
      </c>
      <c r="BE484" s="103" t="str">
        <f t="shared" si="62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0"/>
        <v/>
      </c>
      <c r="BD485" s="103" t="str">
        <f t="shared" si="61"/>
        <v>AA</v>
      </c>
      <c r="BE485" s="103" t="str">
        <f t="shared" si="62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0"/>
        <v/>
      </c>
      <c r="BD486" s="103" t="str">
        <f t="shared" si="61"/>
        <v>AA</v>
      </c>
      <c r="BE486" s="103" t="str">
        <f t="shared" si="62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0"/>
        <v/>
      </c>
      <c r="BD487" s="103" t="str">
        <f t="shared" si="61"/>
        <v>AA</v>
      </c>
      <c r="BE487" s="103" t="str">
        <f t="shared" si="62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 t="shared" si="60"/>
        <v>#VALUE!</v>
      </c>
      <c r="BD488" s="103" t="str">
        <f t="shared" si="61"/>
        <v>INDENIZAÇÃO</v>
      </c>
      <c r="BE488" s="103" t="str">
        <f t="shared" si="62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0"/>
        <v/>
      </c>
      <c r="BD489" s="103" t="str">
        <f t="shared" si="61"/>
        <v>AA</v>
      </c>
      <c r="BE489" s="103" t="str">
        <f t="shared" si="62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0"/>
        <v/>
      </c>
      <c r="BD490" s="103" t="str">
        <f t="shared" si="61"/>
        <v>AA</v>
      </c>
      <c r="BE490" s="103" t="str">
        <f t="shared" si="62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0"/>
        <v/>
      </c>
      <c r="BD491" s="103" t="str">
        <f t="shared" si="61"/>
        <v>AA</v>
      </c>
      <c r="BE491" s="103" t="str">
        <f t="shared" si="62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 t="shared" si="60"/>
        <v>74</v>
      </c>
      <c r="BD492" s="103" t="str">
        <f t="shared" si="61"/>
        <v>INDENIZAÇÃO</v>
      </c>
      <c r="BE492" s="103" t="str">
        <f t="shared" si="62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0"/>
        <v/>
      </c>
      <c r="BD493" s="103" t="str">
        <f t="shared" si="61"/>
        <v>AA</v>
      </c>
      <c r="BE493" s="103" t="str">
        <f t="shared" si="62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0"/>
        <v/>
      </c>
      <c r="BD494" s="103" t="str">
        <f t="shared" si="61"/>
        <v>AA</v>
      </c>
      <c r="BE494" s="103" t="str">
        <f t="shared" si="62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 t="shared" si="60"/>
        <v>101</v>
      </c>
      <c r="BD495" s="103" t="str">
        <f t="shared" si="61"/>
        <v>INDENIZAÇÃO</v>
      </c>
      <c r="BE495" s="103" t="str">
        <f t="shared" si="62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0"/>
        <v/>
      </c>
      <c r="BD496" s="103" t="str">
        <f t="shared" si="61"/>
        <v>AA</v>
      </c>
      <c r="BE496" s="103" t="str">
        <f t="shared" si="62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 t="shared" ref="BC498:BC530" si="63">IF(AY498-KD498=0,"",AY498-O498)</f>
        <v/>
      </c>
      <c r="BD498" s="103" t="str">
        <f t="shared" ref="BD498:BD530" si="64">IF(AND(AI498&lt;&gt;"SIM",AI498="UH"),"AA","INDENIZAÇÃO")</f>
        <v>INDENIZAÇÃO</v>
      </c>
      <c r="BE498" s="103" t="str">
        <f t="shared" ref="BE498:BE530" si="65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3"/>
        <v/>
      </c>
      <c r="BD499" s="103" t="str">
        <f t="shared" si="64"/>
        <v>AA</v>
      </c>
      <c r="BE499" s="103" t="str">
        <f t="shared" si="65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3"/>
        <v/>
      </c>
      <c r="BD500" s="103" t="str">
        <f t="shared" si="64"/>
        <v>AA</v>
      </c>
      <c r="BE500" s="103" t="str">
        <f t="shared" si="65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3"/>
        <v/>
      </c>
      <c r="BD501" s="103" t="str">
        <f t="shared" si="64"/>
        <v>AA</v>
      </c>
      <c r="BE501" s="103" t="str">
        <f t="shared" si="65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 t="shared" si="63"/>
        <v>94</v>
      </c>
      <c r="BD502" s="103" t="str">
        <f t="shared" si="64"/>
        <v>INDENIZAÇÃO</v>
      </c>
      <c r="BE502" s="103" t="str">
        <f t="shared" si="65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3"/>
        <v/>
      </c>
      <c r="BD503" s="103" t="str">
        <f t="shared" si="64"/>
        <v>AA</v>
      </c>
      <c r="BE503" s="103" t="str">
        <f t="shared" si="65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3"/>
        <v/>
      </c>
      <c r="BD504" s="103" t="str">
        <f t="shared" si="64"/>
        <v>AA</v>
      </c>
      <c r="BE504" s="103" t="str">
        <f t="shared" si="65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3"/>
        <v/>
      </c>
      <c r="BD505" s="103" t="str">
        <f t="shared" si="64"/>
        <v>INDENIZAÇÃO</v>
      </c>
      <c r="BE505" s="103" t="str">
        <f t="shared" si="65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3"/>
        <v/>
      </c>
      <c r="BD506" s="103" t="str">
        <f t="shared" si="64"/>
        <v>AA</v>
      </c>
      <c r="BE506" s="103" t="str">
        <f t="shared" si="65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3"/>
        <v/>
      </c>
      <c r="BD507" s="103" t="str">
        <f t="shared" si="64"/>
        <v>AA</v>
      </c>
      <c r="BE507" s="103" t="str">
        <f t="shared" si="65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3"/>
        <v/>
      </c>
      <c r="BD508" s="103" t="str">
        <f t="shared" si="64"/>
        <v>AA</v>
      </c>
      <c r="BE508" s="103" t="str">
        <f t="shared" si="65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3"/>
        <v/>
      </c>
      <c r="BD509" s="103" t="str">
        <f t="shared" si="64"/>
        <v>AA</v>
      </c>
      <c r="BE509" s="103" t="str">
        <f t="shared" si="65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3"/>
        <v/>
      </c>
      <c r="BD510" s="103" t="str">
        <f t="shared" si="64"/>
        <v>AA</v>
      </c>
      <c r="BE510" s="103" t="str">
        <f t="shared" si="65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3"/>
        <v/>
      </c>
      <c r="BD511" s="103" t="str">
        <f t="shared" si="64"/>
        <v>AA</v>
      </c>
      <c r="BE511" s="103" t="str">
        <f t="shared" si="65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3"/>
        <v/>
      </c>
      <c r="BD512" s="103" t="str">
        <f t="shared" si="64"/>
        <v>AA</v>
      </c>
      <c r="BE512" s="103" t="str">
        <f t="shared" si="65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3"/>
        <v/>
      </c>
      <c r="BD513" s="103" t="str">
        <f t="shared" si="64"/>
        <v>AA</v>
      </c>
      <c r="BE513" s="103" t="str">
        <f t="shared" si="65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 t="shared" si="63"/>
        <v>101</v>
      </c>
      <c r="BD514" s="103" t="str">
        <f t="shared" si="64"/>
        <v>INDENIZAÇÃO</v>
      </c>
      <c r="BE514" s="103" t="str">
        <f t="shared" si="65"/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3"/>
        <v/>
      </c>
      <c r="BD515" s="103" t="str">
        <f t="shared" si="64"/>
        <v>AA</v>
      </c>
      <c r="BE515" s="103" t="str">
        <f t="shared" si="65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3"/>
        <v/>
      </c>
      <c r="BD516" s="103" t="str">
        <f t="shared" si="64"/>
        <v>AA</v>
      </c>
      <c r="BE516" s="103" t="str">
        <f t="shared" si="65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3"/>
        <v/>
      </c>
      <c r="BD517" s="103" t="str">
        <f t="shared" si="64"/>
        <v>AA</v>
      </c>
      <c r="BE517" s="103" t="str">
        <f t="shared" si="65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3"/>
        <v/>
      </c>
      <c r="BD518" s="103" t="str">
        <f t="shared" si="64"/>
        <v>AA</v>
      </c>
      <c r="BE518" s="103" t="str">
        <f t="shared" si="65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3"/>
        <v/>
      </c>
      <c r="BD519" s="103" t="str">
        <f t="shared" si="64"/>
        <v>AA</v>
      </c>
      <c r="BE519" s="103" t="str">
        <f t="shared" si="65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3"/>
        <v/>
      </c>
      <c r="BD520" s="103" t="str">
        <f t="shared" si="64"/>
        <v>AA</v>
      </c>
      <c r="BE520" s="103" t="str">
        <f t="shared" si="65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3"/>
        <v/>
      </c>
      <c r="BD521" s="103" t="str">
        <f t="shared" si="64"/>
        <v>AA</v>
      </c>
      <c r="BE521" s="103" t="str">
        <f t="shared" si="65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3"/>
        <v/>
      </c>
      <c r="BD522" s="103" t="str">
        <f t="shared" si="64"/>
        <v>AA</v>
      </c>
      <c r="BE522" s="103" t="str">
        <f t="shared" si="65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46234</v>
      </c>
      <c r="AY523" s="106" t="s">
        <v>4454</v>
      </c>
      <c r="AZ523" s="157"/>
      <c r="BA523" s="107" t="s">
        <v>4330</v>
      </c>
      <c r="BB523" s="112"/>
      <c r="BC523" s="220" t="e">
        <f t="shared" si="63"/>
        <v>#VALUE!</v>
      </c>
      <c r="BD523" s="103" t="str">
        <f t="shared" si="64"/>
        <v>INDENIZAÇÃO</v>
      </c>
      <c r="BE523" s="103" t="str">
        <f t="shared" si="65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3"/>
        <v/>
      </c>
      <c r="BD530" s="103" t="str">
        <f t="shared" si="64"/>
        <v>AA</v>
      </c>
      <c r="BE530" s="103" t="str">
        <f t="shared" si="65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66">IF(AY532-KD532=0,"",AY532-O532)</f>
        <v/>
      </c>
      <c r="BD532" s="103" t="str">
        <f t="shared" ref="BD532:BD574" si="67">IF(AND(AI532&lt;&gt;"SIM",AI532="UH"),"AA","INDENIZAÇÃO")</f>
        <v>AA</v>
      </c>
      <c r="BE532" s="103" t="str">
        <f t="shared" ref="BE532:BE574" si="68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66"/>
        <v/>
      </c>
      <c r="BD535" s="103" t="str">
        <f t="shared" si="67"/>
        <v>AA</v>
      </c>
      <c r="BE535" s="103" t="str">
        <f t="shared" si="68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 t="shared" si="66"/>
        <v>48</v>
      </c>
      <c r="BD536" s="103" t="str">
        <f t="shared" si="67"/>
        <v>INDENIZAÇÃO</v>
      </c>
      <c r="BE536" s="103" t="str">
        <f t="shared" si="68"/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66"/>
        <v/>
      </c>
      <c r="BD542" s="103" t="str">
        <f t="shared" si="67"/>
        <v>AA</v>
      </c>
      <c r="BE542" s="103" t="str">
        <f t="shared" si="68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 t="shared" si="66"/>
        <v>49</v>
      </c>
      <c r="BD543" s="103" t="str">
        <f t="shared" si="67"/>
        <v>INDENIZAÇÃO</v>
      </c>
      <c r="BE543" s="103" t="str">
        <f t="shared" si="68"/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66"/>
        <v/>
      </c>
      <c r="BD550" s="103" t="str">
        <f t="shared" si="67"/>
        <v>AA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46234</v>
      </c>
      <c r="AY551" s="106" t="s">
        <v>4454</v>
      </c>
      <c r="AZ551" s="106"/>
      <c r="BA551" s="107" t="s">
        <v>4330</v>
      </c>
      <c r="BB551" s="112"/>
      <c r="BC551" s="220" t="e">
        <f t="shared" si="66"/>
        <v>#VALUE!</v>
      </c>
      <c r="BD551" s="103" t="str">
        <f t="shared" si="67"/>
        <v>INDENIZAÇÃO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66"/>
        <v/>
      </c>
      <c r="BD552" s="103" t="str">
        <f t="shared" si="67"/>
        <v>AA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 t="shared" si="66"/>
        <v>#VALUE!</v>
      </c>
      <c r="BD553" s="103" t="str">
        <f t="shared" si="67"/>
        <v>INDENIZAÇÃO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66"/>
        <v/>
      </c>
      <c r="BD562" s="103" t="str">
        <f t="shared" si="67"/>
        <v>AA</v>
      </c>
      <c r="BE562" s="103" t="str">
        <f t="shared" si="68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 t="shared" si="66"/>
        <v>94</v>
      </c>
      <c r="BD563" s="103" t="str">
        <f t="shared" si="67"/>
        <v>INDENIZAÇÃO</v>
      </c>
      <c r="BE563" s="103" t="str">
        <f t="shared" si="68"/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 t="shared" si="66"/>
        <v>#VALUE!</v>
      </c>
      <c r="BD564" s="103" t="str">
        <f t="shared" si="67"/>
        <v>INDENIZAÇÃO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66"/>
        <v/>
      </c>
      <c r="BD571" s="103" t="str">
        <f t="shared" si="67"/>
        <v>AA</v>
      </c>
      <c r="BE571" s="103" t="str">
        <f t="shared" si="68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 t="shared" si="66"/>
        <v>115</v>
      </c>
      <c r="BD572" s="103" t="str">
        <f t="shared" si="67"/>
        <v>INDENIZAÇÃO</v>
      </c>
      <c r="BE572" s="103" t="str">
        <f t="shared" si="68"/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66"/>
        <v/>
      </c>
      <c r="BD573" s="103" t="str">
        <f t="shared" si="67"/>
        <v>AA</v>
      </c>
      <c r="BE573" s="103" t="str">
        <f t="shared" si="68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 t="shared" si="66"/>
        <v>82</v>
      </c>
      <c r="BD574" s="103" t="str">
        <f t="shared" si="67"/>
        <v>INDENIZAÇÃO</v>
      </c>
      <c r="BE574" s="103" t="str">
        <f t="shared" si="68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46234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5:BC603" si="69">IF(AY595-KD595=0,"",AY595-O595)</f>
        <v/>
      </c>
      <c r="BD595" s="103" t="str">
        <f t="shared" ref="BD595:BD603" si="70">IF(AND(AI595&lt;&gt;"SIM",AI595="UH"),"AA","INDENIZAÇÃO")</f>
        <v>AA</v>
      </c>
      <c r="BE595" s="103" t="str">
        <f t="shared" ref="BE595:BE603" si="71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69"/>
        <v>116</v>
      </c>
      <c r="BD596" s="103" t="str">
        <f t="shared" si="70"/>
        <v>INDENIZAÇÃO</v>
      </c>
      <c r="BE596" s="103" t="str">
        <f t="shared" si="71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69"/>
        <v/>
      </c>
      <c r="BD602" s="103" t="str">
        <f t="shared" si="70"/>
        <v>AA</v>
      </c>
      <c r="BE602" s="103" t="str">
        <f t="shared" si="71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69"/>
        <v/>
      </c>
      <c r="BD603" s="103" t="str">
        <f t="shared" si="70"/>
        <v>AA</v>
      </c>
      <c r="BE603" s="103" t="str">
        <f t="shared" si="71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72">IF(AY608-KD608=0,"",AY608-O608)</f>
        <v>50</v>
      </c>
      <c r="BD608" s="103" t="str">
        <f t="shared" ref="BD608:BD671" si="73">IF(AND(AI608&lt;&gt;"SIM",AI608="UH"),"AA","INDENIZAÇÃO")</f>
        <v>INDENIZAÇÃO</v>
      </c>
      <c r="BE608" s="103" t="str">
        <f t="shared" ref="BE608:BE671" si="74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72"/>
        <v>50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72"/>
        <v>116</v>
      </c>
      <c r="BD610" s="103" t="str">
        <f t="shared" si="73"/>
        <v>INDENIZAÇÃO</v>
      </c>
      <c r="BE610" s="103" t="str">
        <f t="shared" si="74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72"/>
        <v>97</v>
      </c>
      <c r="BD611" s="103" t="str">
        <f t="shared" si="73"/>
        <v>INDENIZAÇÃO</v>
      </c>
      <c r="BE611" s="103" t="str">
        <f t="shared" si="74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2"/>
        <v/>
      </c>
      <c r="BD614" s="103" t="str">
        <f t="shared" si="73"/>
        <v>AA</v>
      </c>
      <c r="BE614" s="103" t="str">
        <f t="shared" si="74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72"/>
        <v>104</v>
      </c>
      <c r="BD616" s="103" t="str">
        <f t="shared" si="73"/>
        <v>INDENIZAÇÃO</v>
      </c>
      <c r="BE616" s="103" t="str">
        <f t="shared" si="74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AA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2"/>
        <v/>
      </c>
      <c r="BD619" s="103" t="str">
        <f t="shared" si="73"/>
        <v>INDENIZAÇÃO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2"/>
        <v/>
      </c>
      <c r="BD620" s="103" t="str">
        <f t="shared" si="73"/>
        <v>AA</v>
      </c>
      <c r="BE620" s="103" t="str">
        <f t="shared" si="74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72"/>
        <v>59</v>
      </c>
      <c r="BD622" s="103" t="str">
        <f t="shared" si="73"/>
        <v>INDENIZAÇÃO</v>
      </c>
      <c r="BE622" s="103" t="str">
        <f t="shared" si="74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72"/>
        <v>96</v>
      </c>
      <c r="BD624" s="103" t="str">
        <f t="shared" si="73"/>
        <v>INDENIZAÇÃO</v>
      </c>
      <c r="BE624" s="103" t="str">
        <f t="shared" si="74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2"/>
        <v/>
      </c>
      <c r="BD626" s="103" t="str">
        <f t="shared" si="73"/>
        <v>AA</v>
      </c>
      <c r="BE626" s="103" t="str">
        <f t="shared" si="74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72"/>
        <v>203</v>
      </c>
      <c r="BD628" s="103" t="str">
        <f t="shared" si="73"/>
        <v>INDENIZAÇÃO</v>
      </c>
      <c r="BE628" s="103" t="str">
        <f t="shared" si="74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2"/>
        <v/>
      </c>
      <c r="BD629" s="103" t="str">
        <f t="shared" si="73"/>
        <v>AA</v>
      </c>
      <c r="BE629" s="103" t="str">
        <f t="shared" si="74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72"/>
        <v>144</v>
      </c>
      <c r="BD631" s="103" t="str">
        <f t="shared" si="73"/>
        <v>INDENIZAÇÃO</v>
      </c>
      <c r="BE631" s="103" t="str">
        <f t="shared" si="74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2"/>
        <v/>
      </c>
      <c r="BD633" s="103" t="str">
        <f t="shared" si="73"/>
        <v>AA</v>
      </c>
      <c r="BE633" s="103" t="str">
        <f t="shared" si="74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72"/>
        <v>70</v>
      </c>
      <c r="BD635" s="103" t="str">
        <f t="shared" si="73"/>
        <v>INDENIZAÇÃO</v>
      </c>
      <c r="BE635" s="103" t="str">
        <f t="shared" si="74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72"/>
        <v>96</v>
      </c>
      <c r="BD637" s="103" t="str">
        <f t="shared" si="73"/>
        <v>INDENIZAÇÃO</v>
      </c>
      <c r="BE637" s="103" t="str">
        <f t="shared" si="74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2"/>
        <v/>
      </c>
      <c r="BD638" s="103" t="str">
        <f t="shared" si="73"/>
        <v>AA</v>
      </c>
      <c r="BE638" s="103" t="str">
        <f t="shared" si="74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72"/>
        <v>137</v>
      </c>
      <c r="BD639" s="103" t="str">
        <f t="shared" si="73"/>
        <v>INDENIZAÇÃO</v>
      </c>
      <c r="BE639" s="103" t="str">
        <f t="shared" si="74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72"/>
        <v>137</v>
      </c>
      <c r="BD640" s="103" t="str">
        <f t="shared" si="73"/>
        <v>INDENIZAÇÃO</v>
      </c>
      <c r="BE640" s="103" t="str">
        <f t="shared" si="74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72"/>
        <v>71</v>
      </c>
      <c r="BD641" s="103" t="str">
        <f t="shared" si="73"/>
        <v>INDENIZAÇÃO</v>
      </c>
      <c r="BE641" s="103" t="str">
        <f t="shared" si="74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72"/>
        <v>106</v>
      </c>
      <c r="BD642" s="103" t="str">
        <f t="shared" si="73"/>
        <v>INDENIZAÇÃO</v>
      </c>
      <c r="BE642" s="103" t="str">
        <f t="shared" si="74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2"/>
        <v/>
      </c>
      <c r="BD647" s="103" t="str">
        <f t="shared" si="73"/>
        <v>AA</v>
      </c>
      <c r="BE647" s="103" t="str">
        <f t="shared" si="74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72"/>
        <v>118</v>
      </c>
      <c r="BD649" s="103" t="str">
        <f t="shared" si="73"/>
        <v>INDENIZAÇÃO</v>
      </c>
      <c r="BE649" s="103" t="str">
        <f t="shared" si="74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2"/>
        <v/>
      </c>
      <c r="BD651" s="103" t="str">
        <f t="shared" si="73"/>
        <v>AA</v>
      </c>
      <c r="BE651" s="103" t="str">
        <f t="shared" si="74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2"/>
        <v/>
      </c>
      <c r="BD652" s="103" t="str">
        <f t="shared" si="73"/>
        <v>AA</v>
      </c>
      <c r="BE652" s="103" t="str">
        <f t="shared" si="74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72"/>
        <v>105</v>
      </c>
      <c r="BD653" s="103" t="str">
        <f t="shared" si="73"/>
        <v>INDENIZAÇÃO</v>
      </c>
      <c r="BE653" s="103" t="str">
        <f t="shared" si="74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72"/>
        <v>85</v>
      </c>
      <c r="BD654" s="103" t="str">
        <f t="shared" si="73"/>
        <v>INDENIZAÇÃO</v>
      </c>
      <c r="BE654" s="103" t="str">
        <f t="shared" si="74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AA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72"/>
        <v>89</v>
      </c>
      <c r="BD656" s="103" t="str">
        <f t="shared" si="73"/>
        <v>INDENIZAÇÃO</v>
      </c>
      <c r="BE656" s="103" t="str">
        <f t="shared" si="74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2"/>
        <v/>
      </c>
      <c r="BD657" s="103" t="str">
        <f t="shared" si="73"/>
        <v>INDENIZAÇÃO</v>
      </c>
      <c r="BE657" s="103" t="str">
        <f t="shared" si="74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72"/>
        <v>77</v>
      </c>
      <c r="BD658" s="103" t="str">
        <f t="shared" si="73"/>
        <v>INDENIZAÇÃO</v>
      </c>
      <c r="BE658" s="103" t="str">
        <f t="shared" si="74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72"/>
        <v>99</v>
      </c>
      <c r="BD659" s="103" t="str">
        <f t="shared" si="73"/>
        <v>INDENIZAÇÃO</v>
      </c>
      <c r="BE659" s="103" t="str">
        <f t="shared" si="74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2"/>
        <v/>
      </c>
      <c r="BD660" s="103" t="str">
        <f t="shared" si="73"/>
        <v>AA</v>
      </c>
      <c r="BE660" s="103" t="str">
        <f t="shared" si="74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2"/>
        <v/>
      </c>
      <c r="BD661" s="103" t="str">
        <f t="shared" si="73"/>
        <v>AA</v>
      </c>
      <c r="BE661" s="103" t="str">
        <f t="shared" si="74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2"/>
        <v/>
      </c>
      <c r="BD662" s="103" t="str">
        <f t="shared" si="73"/>
        <v>INDENIZAÇÃO</v>
      </c>
      <c r="BE662" s="103" t="str">
        <f t="shared" si="74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72"/>
        <v>150</v>
      </c>
      <c r="BD663" s="103" t="str">
        <f t="shared" si="73"/>
        <v>INDENIZAÇÃO</v>
      </c>
      <c r="BE663" s="103" t="str">
        <f t="shared" si="74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2"/>
        <v/>
      </c>
      <c r="BD669" s="103" t="str">
        <f t="shared" si="73"/>
        <v>AA</v>
      </c>
      <c r="BE669" s="103" t="str">
        <f t="shared" si="74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2"/>
        <v/>
      </c>
      <c r="BD670" s="103" t="str">
        <f t="shared" si="73"/>
        <v>AA</v>
      </c>
      <c r="BE670" s="103" t="str">
        <f t="shared" si="74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72"/>
        <v>53</v>
      </c>
      <c r="BD671" s="103" t="str">
        <f t="shared" si="73"/>
        <v>INDENIZAÇÃO</v>
      </c>
      <c r="BE671" s="103" t="str">
        <f t="shared" si="74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75">IF(AY672-KD672=0,"",AY672-O672)</f>
        <v/>
      </c>
      <c r="BD672" s="103" t="str">
        <f t="shared" ref="BD672:BD735" si="76">IF(AND(AI672&lt;&gt;"SIM",AI672="UH"),"AA","INDENIZAÇÃO")</f>
        <v>AA</v>
      </c>
      <c r="BE672" s="103" t="str">
        <f t="shared" ref="BE672:BE735" si="77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75"/>
        <v/>
      </c>
      <c r="BD677" s="103" t="str">
        <f t="shared" si="76"/>
        <v>AA</v>
      </c>
      <c r="BE677" s="103" t="str">
        <f t="shared" si="77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75"/>
        <v/>
      </c>
      <c r="BD678" s="103" t="str">
        <f t="shared" si="76"/>
        <v>AA</v>
      </c>
      <c r="BE678" s="103" t="str">
        <f t="shared" si="77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75"/>
        <v>102</v>
      </c>
      <c r="BD679" s="103" t="str">
        <f t="shared" si="76"/>
        <v>INDENIZAÇÃO</v>
      </c>
      <c r="BE679" s="103" t="str">
        <f t="shared" si="77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75"/>
        <v>84</v>
      </c>
      <c r="BD680" s="103" t="str">
        <f t="shared" si="76"/>
        <v>INDENIZAÇÃO</v>
      </c>
      <c r="BE680" s="103" t="str">
        <f t="shared" si="77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75"/>
        <v/>
      </c>
      <c r="BD694" s="103" t="str">
        <f t="shared" si="76"/>
        <v>AA</v>
      </c>
      <c r="BE694" s="103" t="str">
        <f t="shared" si="77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75"/>
        <v>84</v>
      </c>
      <c r="BD696" s="103" t="str">
        <f t="shared" si="76"/>
        <v>INDENIZAÇÃO</v>
      </c>
      <c r="BE696" s="103" t="str">
        <f t="shared" si="77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75"/>
        <v/>
      </c>
      <c r="BD713" s="103" t="str">
        <f t="shared" si="76"/>
        <v>AA</v>
      </c>
      <c r="BE713" s="103" t="str">
        <f t="shared" si="77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75"/>
        <v/>
      </c>
      <c r="BD714" s="103" t="str">
        <f t="shared" si="76"/>
        <v>AA</v>
      </c>
      <c r="BE714" s="103" t="str">
        <f t="shared" si="77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75"/>
        <v>131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75"/>
        <v>78</v>
      </c>
      <c r="BD716" s="103" t="str">
        <f t="shared" si="76"/>
        <v>INDENIZAÇÃO</v>
      </c>
      <c r="BE716" s="103" t="str">
        <f t="shared" si="77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75"/>
        <v>94</v>
      </c>
      <c r="BD717" s="103" t="str">
        <f t="shared" si="76"/>
        <v>INDENIZAÇÃO</v>
      </c>
      <c r="BE717" s="103" t="str">
        <f t="shared" si="77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75"/>
        <v/>
      </c>
      <c r="BD721" s="103" t="str">
        <f t="shared" si="76"/>
        <v>AA</v>
      </c>
      <c r="BE721" s="103" t="str">
        <f t="shared" si="77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75"/>
        <v>96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75"/>
        <v>81</v>
      </c>
      <c r="BD725" s="103" t="str">
        <f t="shared" si="76"/>
        <v>INDENIZAÇÃO</v>
      </c>
      <c r="BE725" s="103" t="str">
        <f t="shared" si="77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75"/>
        <v/>
      </c>
      <c r="BD734" s="103" t="str">
        <f t="shared" si="76"/>
        <v>AA</v>
      </c>
      <c r="BE734" s="103" t="str">
        <f t="shared" si="77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75"/>
        <v/>
      </c>
      <c r="BD735" s="103" t="str">
        <f t="shared" si="76"/>
        <v>AA</v>
      </c>
      <c r="BE735" s="103" t="str">
        <f t="shared" si="77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78">IF(AY736-KD736=0,"",AY736-O736)</f>
        <v/>
      </c>
      <c r="BD736" s="103" t="str">
        <f t="shared" ref="BD736:BD799" si="79">IF(AND(AI736&lt;&gt;"SIM",AI736="UH"),"AA","INDENIZAÇÃO")</f>
        <v>AA</v>
      </c>
      <c r="BE736" s="103" t="str">
        <f t="shared" ref="BE736:BE799" si="80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78"/>
        <v/>
      </c>
      <c r="BD764" s="103" t="str">
        <f t="shared" si="79"/>
        <v>AA</v>
      </c>
      <c r="BE764" s="103" t="str">
        <f t="shared" si="80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78"/>
        <v>81</v>
      </c>
      <c r="BD766" s="103" t="str">
        <f t="shared" si="79"/>
        <v>INDENIZAÇÃO</v>
      </c>
      <c r="BE766" s="103" t="str">
        <f t="shared" si="80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78"/>
        <v/>
      </c>
      <c r="BD786" s="103" t="str">
        <f t="shared" si="79"/>
        <v>AA</v>
      </c>
      <c r="BE786" s="103" t="str">
        <f t="shared" si="80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78"/>
        <v>147</v>
      </c>
      <c r="BD788" s="103" t="str">
        <f t="shared" si="79"/>
        <v>INDENIZAÇÃO</v>
      </c>
      <c r="BE788" s="103" t="str">
        <f t="shared" si="80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78"/>
        <v/>
      </c>
      <c r="BD798" s="103" t="str">
        <f t="shared" si="79"/>
        <v>AA</v>
      </c>
      <c r="BE798" s="103" t="str">
        <f t="shared" si="80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78"/>
        <v/>
      </c>
      <c r="BD799" s="103" t="str">
        <f t="shared" si="79"/>
        <v>AA</v>
      </c>
      <c r="BE799" s="103" t="str">
        <f t="shared" si="80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1">IF(AY800-KD800=0,"",AY800-O800)</f>
        <v/>
      </c>
      <c r="BD800" s="103" t="str">
        <f t="shared" ref="BD800:BD808" si="82">IF(AND(AI800&lt;&gt;"SIM",AI800="UH"),"AA","INDENIZAÇÃO")</f>
        <v>AA</v>
      </c>
      <c r="BE800" s="103" t="str">
        <f t="shared" ref="BE800:BE808" si="83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1"/>
        <v/>
      </c>
      <c r="BD805" s="103" t="str">
        <f t="shared" si="82"/>
        <v>AA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1"/>
        <v/>
      </c>
      <c r="BD806" s="103" t="str">
        <f t="shared" si="82"/>
        <v>AA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81"/>
        <v>#VALUE!</v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81"/>
        <v>#VALUE!</v>
      </c>
      <c r="BD808" s="103" t="str">
        <f t="shared" si="82"/>
        <v>INDENIZAÇÃO</v>
      </c>
      <c r="BE808" s="103" t="str">
        <f t="shared" si="83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84">IF(AY809-KD809=0,"",AY809-O809)</f>
        <v/>
      </c>
      <c r="BD809" s="103" t="str">
        <f t="shared" ref="BD809:BD863" si="85">IF(AND(AI809&lt;&gt;"SIM",AI809="UH"),"AA","INDENIZAÇÃO")</f>
        <v>INDENIZAÇÃO</v>
      </c>
      <c r="BE809" s="103" t="str">
        <f t="shared" ref="BE809:BE863" si="86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4"/>
        <v/>
      </c>
      <c r="BD810" s="103" t="str">
        <f t="shared" si="85"/>
        <v>INDENIZAÇÃO</v>
      </c>
      <c r="BE810" s="103" t="str">
        <f t="shared" si="86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4"/>
        <v/>
      </c>
      <c r="BD811" s="103" t="str">
        <f t="shared" si="85"/>
        <v>INDENIZAÇÃO</v>
      </c>
      <c r="BE811" s="103" t="str">
        <f t="shared" si="86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4"/>
        <v/>
      </c>
      <c r="BD812" s="103" t="str">
        <f t="shared" si="85"/>
        <v>INDENIZAÇÃO</v>
      </c>
      <c r="BE812" s="103" t="str">
        <f t="shared" si="86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4"/>
        <v/>
      </c>
      <c r="BD813" s="103" t="str">
        <f t="shared" si="85"/>
        <v>INDENIZAÇÃO</v>
      </c>
      <c r="BE813" s="103" t="str">
        <f t="shared" si="86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4"/>
        <v/>
      </c>
      <c r="BD814" s="103" t="str">
        <f t="shared" si="85"/>
        <v>INDENIZAÇÃO</v>
      </c>
      <c r="BE814" s="103" t="str">
        <f t="shared" si="86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4"/>
        <v/>
      </c>
      <c r="BD815" s="103" t="str">
        <f t="shared" si="85"/>
        <v>INDENIZAÇÃO</v>
      </c>
      <c r="BE815" s="103" t="str">
        <f t="shared" si="86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4"/>
        <v/>
      </c>
      <c r="BD816" s="103" t="str">
        <f t="shared" si="85"/>
        <v>INDENIZAÇÃO</v>
      </c>
      <c r="BE816" s="103" t="str">
        <f t="shared" si="86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4"/>
        <v/>
      </c>
      <c r="BD817" s="103" t="str">
        <f t="shared" si="85"/>
        <v>INDENIZAÇÃO</v>
      </c>
      <c r="BE817" s="103" t="str">
        <f t="shared" si="86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4"/>
        <v/>
      </c>
      <c r="BD818" s="103" t="str">
        <f t="shared" si="85"/>
        <v>INDENIZAÇÃO</v>
      </c>
      <c r="BE818" s="103" t="str">
        <f t="shared" si="86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4"/>
        <v/>
      </c>
      <c r="BD819" s="103" t="str">
        <f t="shared" si="85"/>
        <v>INDENIZAÇÃO</v>
      </c>
      <c r="BE819" s="103" t="str">
        <f t="shared" si="86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4"/>
        <v/>
      </c>
      <c r="BD820" s="103" t="str">
        <f t="shared" si="85"/>
        <v>INDENIZAÇÃO</v>
      </c>
      <c r="BE820" s="103" t="str">
        <f t="shared" si="86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4"/>
        <v/>
      </c>
      <c r="BD821" s="103" t="str">
        <f t="shared" si="85"/>
        <v>INDENIZAÇÃO</v>
      </c>
      <c r="BE821" s="103" t="str">
        <f t="shared" si="86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4"/>
        <v/>
      </c>
      <c r="BD822" s="103" t="str">
        <f t="shared" si="85"/>
        <v>INDENIZAÇÃO</v>
      </c>
      <c r="BE822" s="103" t="str">
        <f t="shared" si="86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84"/>
        <v/>
      </c>
      <c r="BD823" s="103" t="str">
        <f t="shared" si="85"/>
        <v>INDENIZAÇÃO</v>
      </c>
      <c r="BE823" s="103" t="str">
        <f t="shared" si="86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84"/>
        <v/>
      </c>
      <c r="BD824" s="103" t="str">
        <f t="shared" si="85"/>
        <v>INDENIZAÇÃO</v>
      </c>
      <c r="BE824" s="103" t="str">
        <f t="shared" si="86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84"/>
        <v/>
      </c>
      <c r="BD825" s="103" t="str">
        <f t="shared" si="85"/>
        <v>INDENIZAÇÃO</v>
      </c>
      <c r="BE825" s="103" t="str">
        <f t="shared" si="86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4"/>
        <v/>
      </c>
      <c r="BD826" s="103" t="str">
        <f t="shared" si="85"/>
        <v>INDENIZAÇÃO</v>
      </c>
      <c r="BE826" s="103" t="str">
        <f t="shared" si="86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4"/>
        <v/>
      </c>
      <c r="BD827" s="103" t="str">
        <f t="shared" si="85"/>
        <v>INDENIZAÇÃO</v>
      </c>
      <c r="BE827" s="103" t="str">
        <f t="shared" si="86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4"/>
        <v/>
      </c>
      <c r="BD828" s="103" t="str">
        <f t="shared" si="85"/>
        <v>INDENIZAÇÃO</v>
      </c>
      <c r="BE828" s="103" t="str">
        <f t="shared" si="86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4"/>
        <v/>
      </c>
      <c r="BD829" s="103" t="str">
        <f t="shared" si="85"/>
        <v>INDENIZAÇÃO</v>
      </c>
      <c r="BE829" s="103" t="str">
        <f t="shared" si="86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4"/>
        <v/>
      </c>
      <c r="BD830" s="103" t="str">
        <f t="shared" si="85"/>
        <v>INDENIZAÇÃO</v>
      </c>
      <c r="BE830" s="103" t="str">
        <f t="shared" si="86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4"/>
        <v/>
      </c>
      <c r="BD831" s="103" t="str">
        <f t="shared" si="85"/>
        <v>INDENIZAÇÃO</v>
      </c>
      <c r="BE831" s="103" t="str">
        <f t="shared" si="86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4"/>
        <v/>
      </c>
      <c r="BD832" s="103" t="str">
        <f t="shared" si="85"/>
        <v>INDENIZAÇÃO</v>
      </c>
      <c r="BE832" s="103" t="str">
        <f t="shared" si="86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4"/>
        <v/>
      </c>
      <c r="BD833" s="103" t="str">
        <f t="shared" si="85"/>
        <v>INDENIZAÇÃO</v>
      </c>
      <c r="BE833" s="103" t="str">
        <f t="shared" si="86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4"/>
        <v/>
      </c>
      <c r="BD834" s="103" t="str">
        <f t="shared" si="85"/>
        <v>INDENIZAÇÃO</v>
      </c>
      <c r="BE834" s="103" t="str">
        <f t="shared" si="86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4"/>
        <v/>
      </c>
      <c r="BD835" s="103" t="str">
        <f t="shared" si="85"/>
        <v>INDENIZAÇÃO</v>
      </c>
      <c r="BE835" s="103" t="str">
        <f t="shared" si="86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4"/>
        <v/>
      </c>
      <c r="BD836" s="103" t="str">
        <f t="shared" si="85"/>
        <v>INDENIZAÇÃO</v>
      </c>
      <c r="BE836" s="103" t="str">
        <f t="shared" si="86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4"/>
        <v/>
      </c>
      <c r="BD837" s="103" t="str">
        <f t="shared" si="85"/>
        <v>INDENIZAÇÃO</v>
      </c>
      <c r="BE837" s="103" t="str">
        <f t="shared" si="86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4"/>
        <v/>
      </c>
      <c r="BD838" s="103" t="str">
        <f t="shared" si="85"/>
        <v>INDENIZAÇÃO</v>
      </c>
      <c r="BE838" s="103" t="str">
        <f t="shared" si="86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4"/>
        <v/>
      </c>
      <c r="BD839" s="103" t="str">
        <f t="shared" si="85"/>
        <v>INDENIZAÇÃO</v>
      </c>
      <c r="BE839" s="103" t="str">
        <f t="shared" si="86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4"/>
        <v/>
      </c>
      <c r="BD840" s="103" t="str">
        <f t="shared" si="85"/>
        <v>INDENIZAÇÃO</v>
      </c>
      <c r="BE840" s="103" t="str">
        <f t="shared" si="86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4"/>
        <v/>
      </c>
      <c r="BD841" s="103" t="str">
        <f t="shared" si="85"/>
        <v>INDENIZAÇÃO</v>
      </c>
      <c r="BE841" s="103" t="str">
        <f t="shared" si="86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4"/>
        <v/>
      </c>
      <c r="BD842" s="103" t="str">
        <f t="shared" si="85"/>
        <v>INDENIZAÇÃO</v>
      </c>
      <c r="BE842" s="103" t="str">
        <f t="shared" si="86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4"/>
        <v/>
      </c>
      <c r="BD843" s="103" t="str">
        <f t="shared" si="85"/>
        <v>INDENIZAÇÃO</v>
      </c>
      <c r="BE843" s="103" t="str">
        <f t="shared" si="86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4"/>
        <v/>
      </c>
      <c r="BD844" s="103" t="str">
        <f t="shared" si="85"/>
        <v>INDENIZAÇÃO</v>
      </c>
      <c r="BE844" s="103" t="str">
        <f t="shared" si="86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4"/>
        <v/>
      </c>
      <c r="BD845" s="103" t="str">
        <f t="shared" si="85"/>
        <v>INDENIZAÇÃO</v>
      </c>
      <c r="BE845" s="103" t="str">
        <f t="shared" si="86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4"/>
        <v/>
      </c>
      <c r="BD846" s="103" t="str">
        <f t="shared" si="85"/>
        <v>INDENIZAÇÃO</v>
      </c>
      <c r="BE846" s="103" t="str">
        <f t="shared" si="86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4"/>
        <v/>
      </c>
      <c r="BD847" s="103" t="str">
        <f t="shared" si="85"/>
        <v>INDENIZAÇÃO</v>
      </c>
      <c r="BE847" s="103" t="str">
        <f t="shared" si="86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4"/>
        <v/>
      </c>
      <c r="BD848" s="103" t="str">
        <f t="shared" si="85"/>
        <v>INDENIZAÇÃO</v>
      </c>
      <c r="BE848" s="103" t="str">
        <f t="shared" si="86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4"/>
        <v/>
      </c>
      <c r="BD849" s="103" t="str">
        <f t="shared" si="85"/>
        <v>INDENIZAÇÃO</v>
      </c>
      <c r="BE849" s="103" t="str">
        <f t="shared" si="86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4"/>
        <v/>
      </c>
      <c r="BD850" s="103" t="str">
        <f t="shared" si="85"/>
        <v>INDENIZAÇÃO</v>
      </c>
      <c r="BE850" s="103" t="str">
        <f t="shared" si="86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4"/>
        <v/>
      </c>
      <c r="BD851" s="103" t="str">
        <f t="shared" si="85"/>
        <v>INDENIZAÇÃO</v>
      </c>
      <c r="BE851" s="103" t="str">
        <f t="shared" si="86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4"/>
        <v/>
      </c>
      <c r="BD852" s="103" t="str">
        <f t="shared" si="85"/>
        <v>INDENIZAÇÃO</v>
      </c>
      <c r="BE852" s="103" t="str">
        <f t="shared" si="86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4"/>
        <v/>
      </c>
      <c r="BD853" s="103" t="str">
        <f t="shared" si="85"/>
        <v>INDENIZAÇÃO</v>
      </c>
      <c r="BE853" s="103" t="str">
        <f t="shared" si="86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4"/>
        <v/>
      </c>
      <c r="BD854" s="103" t="str">
        <f t="shared" si="85"/>
        <v>INDENIZAÇÃO</v>
      </c>
      <c r="BE854" s="103" t="str">
        <f t="shared" si="86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4"/>
        <v/>
      </c>
      <c r="BD855" s="103" t="str">
        <f t="shared" si="85"/>
        <v>INDENIZAÇÃO</v>
      </c>
      <c r="BE855" s="103" t="str">
        <f t="shared" si="86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4"/>
        <v/>
      </c>
      <c r="BD856" s="103" t="str">
        <f t="shared" si="85"/>
        <v>INDENIZAÇÃO</v>
      </c>
      <c r="BE856" s="103" t="str">
        <f t="shared" si="86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4"/>
        <v/>
      </c>
      <c r="BD857" s="103" t="str">
        <f t="shared" si="85"/>
        <v>INDENIZAÇÃO</v>
      </c>
      <c r="BE857" s="103" t="str">
        <f t="shared" si="86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4"/>
        <v/>
      </c>
      <c r="BD858" s="103" t="str">
        <f t="shared" si="85"/>
        <v>INDENIZAÇÃO</v>
      </c>
      <c r="BE858" s="103" t="str">
        <f t="shared" si="86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4"/>
        <v/>
      </c>
      <c r="BD859" s="103" t="str">
        <f t="shared" si="85"/>
        <v>INDENIZAÇÃO</v>
      </c>
      <c r="BE859" s="103" t="str">
        <f t="shared" si="86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4"/>
        <v/>
      </c>
      <c r="BD860" s="103" t="str">
        <f t="shared" si="85"/>
        <v>INDENIZAÇÃO</v>
      </c>
      <c r="BE860" s="103" t="str">
        <f t="shared" si="86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4"/>
        <v/>
      </c>
      <c r="BD861" s="103" t="str">
        <f t="shared" si="85"/>
        <v>INDENIZAÇÃO</v>
      </c>
      <c r="BE861" s="103" t="str">
        <f t="shared" si="86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84"/>
        <v/>
      </c>
      <c r="BD862" s="103" t="str">
        <f t="shared" si="85"/>
        <v>INDENIZAÇÃO</v>
      </c>
      <c r="BE862" s="103" t="str">
        <f t="shared" si="86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87">IF(AY864-KD864=0,"",AY864-O864)</f>
        <v/>
      </c>
      <c r="BD864" s="103" t="str">
        <f t="shared" ref="BD864:BD869" si="88">IF(AND(AI864&lt;&gt;"SIM",AI864="UH"),"AA","INDENIZAÇÃO")</f>
        <v>INDENIZAÇÃO</v>
      </c>
      <c r="BE864" s="103" t="str">
        <f t="shared" ref="BE864:BE869" si="89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7"/>
        <v/>
      </c>
      <c r="BD865" s="103" t="str">
        <f t="shared" si="88"/>
        <v>INDENIZAÇÃO</v>
      </c>
      <c r="BE865" s="103" t="str">
        <f t="shared" si="89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7"/>
        <v/>
      </c>
      <c r="BD866" s="103" t="str">
        <f t="shared" si="88"/>
        <v>INDENIZAÇÃO</v>
      </c>
      <c r="BE866" s="103" t="str">
        <f t="shared" si="89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7"/>
        <v/>
      </c>
      <c r="BD867" s="103" t="str">
        <f t="shared" si="88"/>
        <v>INDENIZAÇÃO</v>
      </c>
      <c r="BE867" s="103" t="str">
        <f t="shared" si="89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87"/>
        <v/>
      </c>
      <c r="BD868" s="103" t="str">
        <f t="shared" si="88"/>
        <v>INDENIZAÇÃO</v>
      </c>
      <c r="BE868" s="103" t="str">
        <f t="shared" si="89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87"/>
        <v/>
      </c>
      <c r="BD869" s="103" t="str">
        <f t="shared" si="88"/>
        <v>INDENIZAÇÃO</v>
      </c>
      <c r="BE869" s="103" t="str">
        <f t="shared" si="89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7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T144:AY147 AY164:AY174 AQ523:AY523 AT524 AT185:AU199 AU70:AV103 AU169:AV175 AS126:AY126 AT329:AV331 AX326:AX357 AS433:AW433 AS456:AW456 AT479:AV481 AU472:AV474 AQ551:AY551 AX470:AX484 AY419:AY463 AW390:AY407 AW327:AW357 AX419:AX441 AW419:AW432 AX443:AX463 AW443:AW455 AY544:AY550 AY59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6666</v>
      </c>
      <c r="D6" s="242" t="s">
        <v>6667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6483</v>
      </c>
      <c r="D10" s="242" t="s">
        <v>6484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1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6763</v>
      </c>
      <c r="D19" s="242" t="s">
        <v>6767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6471</v>
      </c>
      <c r="D20" s="242" t="s">
        <v>6472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6458</v>
      </c>
      <c r="D21" s="242" t="s">
        <v>6462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6293</v>
      </c>
      <c r="D23" s="242" t="s">
        <v>6294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6402</v>
      </c>
      <c r="D24" s="242" t="s">
        <v>6403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6387</v>
      </c>
      <c r="D26" s="274" t="s">
        <v>6391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6433</v>
      </c>
      <c r="D28" s="242" t="s">
        <v>6437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2026-07-31T18:58:07Z</dcterms:modified>
  <cp:category/>
  <cp:contentStatus/>
</cp:coreProperties>
</file>