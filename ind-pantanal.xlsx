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500" documentId="8_{DAC6C9CA-70D7-4111-A0A7-BC6755E560D9}" xr6:coauthVersionLast="47" xr6:coauthVersionMax="47" xr10:uidLastSave="{9C990A32-C17C-444A-A1AC-251E740BE806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21" i="20" l="1"/>
  <c r="BD121" i="20"/>
  <c r="BC121" i="20"/>
  <c r="BE465" i="20"/>
  <c r="BD465" i="20"/>
  <c r="BC465" i="20"/>
  <c r="BE421" i="20"/>
  <c r="BD421" i="20"/>
  <c r="BC421" i="20"/>
  <c r="BE323" i="20"/>
  <c r="BD323" i="20"/>
  <c r="BC323" i="20"/>
  <c r="BE122" i="20"/>
  <c r="BD122" i="20"/>
  <c r="BC122" i="20"/>
  <c r="BC808" i="20"/>
  <c r="BD808" i="20"/>
  <c r="BE808" i="20"/>
  <c r="BE160" i="20"/>
  <c r="BD160" i="20"/>
  <c r="BC160" i="20"/>
  <c r="BE149" i="20"/>
  <c r="BD149" i="20"/>
  <c r="BC149" i="20"/>
  <c r="BE101" i="20"/>
  <c r="BD101" i="20"/>
  <c r="BC101" i="20"/>
  <c r="BE663" i="20"/>
  <c r="BD663" i="20"/>
  <c r="BC663" i="20"/>
  <c r="BE483" i="20"/>
  <c r="BD483" i="20"/>
  <c r="BC483" i="20"/>
  <c r="BE572" i="20"/>
  <c r="BD572" i="20"/>
  <c r="BC572" i="20"/>
  <c r="BE331" i="20"/>
  <c r="BD331" i="20"/>
  <c r="BC331" i="20"/>
  <c r="BE271" i="20"/>
  <c r="BD271" i="20"/>
  <c r="BC271" i="20"/>
  <c r="BE265" i="20"/>
  <c r="BD265" i="20"/>
  <c r="BC265" i="20"/>
  <c r="BE227" i="20"/>
  <c r="BD227" i="20"/>
  <c r="BC227" i="20"/>
  <c r="BE182" i="20"/>
  <c r="BD182" i="20"/>
  <c r="BC182" i="20"/>
  <c r="BE162" i="20"/>
  <c r="BD162" i="20"/>
  <c r="BC162" i="20"/>
  <c r="BE116" i="20"/>
  <c r="BD116" i="20"/>
  <c r="BC116" i="20"/>
  <c r="BE178" i="20"/>
  <c r="BD178" i="20"/>
  <c r="BC178" i="20"/>
  <c r="BE480" i="20"/>
  <c r="BD480" i="20"/>
  <c r="BC480" i="20"/>
  <c r="BE444" i="20"/>
  <c r="BD444" i="20"/>
  <c r="BC444" i="20"/>
  <c r="BE443" i="20"/>
  <c r="BD443" i="20"/>
  <c r="BC443" i="20"/>
  <c r="BE442" i="20"/>
  <c r="BD442" i="20"/>
  <c r="BC442" i="20"/>
  <c r="BE386" i="20"/>
  <c r="BD386" i="20"/>
  <c r="BC386" i="20"/>
  <c r="BE333" i="20"/>
  <c r="BD333" i="20"/>
  <c r="BC333" i="20"/>
  <c r="BE224" i="20"/>
  <c r="BD224" i="20"/>
  <c r="BC224" i="20"/>
  <c r="BE207" i="20"/>
  <c r="BD207" i="20"/>
  <c r="BC207" i="20"/>
  <c r="BE185" i="20"/>
  <c r="BD185" i="20"/>
  <c r="BC185" i="20"/>
  <c r="BE184" i="20"/>
  <c r="BD184" i="20"/>
  <c r="BC184" i="20"/>
  <c r="BE427" i="20"/>
  <c r="BD427" i="20"/>
  <c r="BC427" i="20"/>
  <c r="BE375" i="20"/>
  <c r="BD375" i="20"/>
  <c r="BC375" i="20"/>
  <c r="BE39" i="20"/>
  <c r="BD39" i="20"/>
  <c r="BC39" i="20"/>
  <c r="BE370" i="20"/>
  <c r="BD370" i="20"/>
  <c r="BC370" i="20"/>
  <c r="BE365" i="20"/>
  <c r="BD365" i="20"/>
  <c r="BC365" i="20"/>
  <c r="BE326" i="20"/>
  <c r="BD326" i="20"/>
  <c r="BC326" i="20"/>
  <c r="BE240" i="20"/>
  <c r="BD240" i="20"/>
  <c r="BC240" i="20"/>
  <c r="BE225" i="20"/>
  <c r="BD225" i="20"/>
  <c r="BC225" i="20"/>
  <c r="BE155" i="20"/>
  <c r="BD155" i="20"/>
  <c r="BC155" i="20"/>
  <c r="BE129" i="20"/>
  <c r="BD129" i="20"/>
  <c r="BC129" i="20"/>
  <c r="BE179" i="20"/>
  <c r="BD179" i="20"/>
  <c r="BC179" i="20"/>
  <c r="BE788" i="20"/>
  <c r="BD788" i="20"/>
  <c r="BC788" i="20"/>
  <c r="BE716" i="20"/>
  <c r="BD716" i="20"/>
  <c r="BC716" i="20"/>
  <c r="AH716" i="20"/>
  <c r="BE671" i="20"/>
  <c r="BD671" i="20"/>
  <c r="BC671" i="20"/>
  <c r="BE654" i="20"/>
  <c r="BD654" i="20"/>
  <c r="BC654" i="20"/>
  <c r="BE649" i="20"/>
  <c r="BD649" i="20"/>
  <c r="BC649" i="20"/>
  <c r="BE610" i="20"/>
  <c r="BD610" i="20"/>
  <c r="BC610" i="20"/>
  <c r="BE495" i="20"/>
  <c r="BD495" i="20"/>
  <c r="BC495" i="20"/>
  <c r="BE177" i="20"/>
  <c r="BD177" i="20"/>
  <c r="BC177" i="20"/>
  <c r="BE158" i="20"/>
  <c r="BD158" i="20"/>
  <c r="BC158" i="20"/>
  <c r="BE153" i="20"/>
  <c r="BD153" i="20"/>
  <c r="BC153" i="20"/>
  <c r="BE144" i="20"/>
  <c r="BD144" i="20"/>
  <c r="BC144" i="20"/>
  <c r="BE132" i="20"/>
  <c r="BD132" i="20"/>
  <c r="BC132" i="20"/>
  <c r="BE49" i="20"/>
  <c r="BD49" i="20"/>
  <c r="BC49" i="20"/>
  <c r="BE24" i="20"/>
  <c r="BD24" i="20"/>
  <c r="BC24" i="20"/>
  <c r="BE203" i="20"/>
  <c r="BD203" i="20"/>
  <c r="BC203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20" i="20"/>
  <c r="BD120" i="20"/>
  <c r="BE120" i="20"/>
  <c r="BC118" i="20"/>
  <c r="BD118" i="20"/>
  <c r="BE118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8" i="20"/>
  <c r="BD128" i="20"/>
  <c r="BE128" i="20"/>
  <c r="BC130" i="20"/>
  <c r="BD130" i="20"/>
  <c r="BE130" i="20"/>
  <c r="BC131" i="20"/>
  <c r="BD131" i="20"/>
  <c r="BE131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2" i="20"/>
  <c r="BD142" i="20"/>
  <c r="BE142" i="20"/>
  <c r="BC141" i="20"/>
  <c r="BD141" i="20"/>
  <c r="BE141" i="20"/>
  <c r="BC143" i="20"/>
  <c r="BD143" i="20"/>
  <c r="BE143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50" i="20"/>
  <c r="BD150" i="20"/>
  <c r="BE150" i="20"/>
  <c r="BC152" i="20"/>
  <c r="BD152" i="20"/>
  <c r="BE152" i="20"/>
  <c r="BC156" i="20"/>
  <c r="BD156" i="20"/>
  <c r="BE156" i="20"/>
  <c r="BC157" i="20"/>
  <c r="BD157" i="20"/>
  <c r="BE157" i="20"/>
  <c r="BC159" i="20"/>
  <c r="BD159" i="20"/>
  <c r="BE159" i="20"/>
  <c r="BC161" i="20"/>
  <c r="BD161" i="20"/>
  <c r="BE161" i="20"/>
  <c r="BC163" i="20"/>
  <c r="BD163" i="20"/>
  <c r="BE163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2" i="20"/>
  <c r="BD172" i="20"/>
  <c r="BE172" i="20"/>
  <c r="BC171" i="20"/>
  <c r="BD171" i="20"/>
  <c r="BE171" i="20"/>
  <c r="BC173" i="20"/>
  <c r="BD173" i="20"/>
  <c r="BE173" i="20"/>
  <c r="BC175" i="20"/>
  <c r="BD175" i="20"/>
  <c r="BE175" i="20"/>
  <c r="BC174" i="20"/>
  <c r="BD174" i="20"/>
  <c r="BE174" i="20"/>
  <c r="BC176" i="20"/>
  <c r="BD176" i="20"/>
  <c r="BE176" i="20"/>
  <c r="BC180" i="20"/>
  <c r="BD180" i="20"/>
  <c r="BE180" i="20"/>
  <c r="BC181" i="20"/>
  <c r="BD181" i="20"/>
  <c r="BE181" i="20"/>
  <c r="BC183" i="20"/>
  <c r="BD183" i="20"/>
  <c r="BE183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2" i="20"/>
  <c r="BD192" i="20"/>
  <c r="BE192" i="20"/>
  <c r="BC191" i="20"/>
  <c r="BD191" i="20"/>
  <c r="BE191" i="20"/>
  <c r="BC194" i="20"/>
  <c r="BD194" i="20"/>
  <c r="BE194" i="20"/>
  <c r="BC193" i="20"/>
  <c r="BD193" i="20"/>
  <c r="BE193" i="20"/>
  <c r="BC196" i="20"/>
  <c r="BD196" i="20"/>
  <c r="BE196" i="20"/>
  <c r="BC195" i="20"/>
  <c r="BD195" i="20"/>
  <c r="BE195" i="20"/>
  <c r="BC197" i="20"/>
  <c r="BD197" i="20"/>
  <c r="BE197" i="20"/>
  <c r="BC199" i="20"/>
  <c r="BD199" i="20"/>
  <c r="BE199" i="20"/>
  <c r="BC198" i="20"/>
  <c r="BD198" i="20"/>
  <c r="BE198" i="20"/>
  <c r="BC201" i="20"/>
  <c r="BD201" i="20"/>
  <c r="BE201" i="20"/>
  <c r="BC200" i="20"/>
  <c r="BD200" i="20"/>
  <c r="BE200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208" i="20"/>
  <c r="BD208" i="20"/>
  <c r="BE208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2" i="20"/>
  <c r="BD222" i="20"/>
  <c r="BE222" i="20"/>
  <c r="BC221" i="20"/>
  <c r="BD221" i="20"/>
  <c r="BE221" i="20"/>
  <c r="BC223" i="20"/>
  <c r="BD223" i="20"/>
  <c r="BE223" i="20"/>
  <c r="BC580" i="20"/>
  <c r="BD580" i="20"/>
  <c r="BE580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8" i="20"/>
  <c r="BD248" i="20"/>
  <c r="BE248" i="20"/>
  <c r="BC249" i="20"/>
  <c r="BD249" i="20"/>
  <c r="BE249" i="20"/>
  <c r="BC250" i="20"/>
  <c r="BD250" i="20"/>
  <c r="BE250" i="20"/>
  <c r="BC252" i="20"/>
  <c r="BD252" i="20"/>
  <c r="BE252" i="20"/>
  <c r="BC251" i="20"/>
  <c r="BD251" i="20"/>
  <c r="BE251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7" i="20"/>
  <c r="BD267" i="20"/>
  <c r="BE267" i="20"/>
  <c r="BC266" i="20"/>
  <c r="BD266" i="20"/>
  <c r="BE266" i="20"/>
  <c r="BC269" i="20"/>
  <c r="BD269" i="20"/>
  <c r="BE269" i="20"/>
  <c r="BC268" i="20"/>
  <c r="BD268" i="20"/>
  <c r="BE268" i="20"/>
  <c r="BC270" i="20"/>
  <c r="BD270" i="20"/>
  <c r="BE270" i="20"/>
  <c r="BC272" i="20"/>
  <c r="BD272" i="20"/>
  <c r="BE272" i="20"/>
  <c r="BC273" i="20"/>
  <c r="BD273" i="20"/>
  <c r="BE273" i="20"/>
  <c r="BC274" i="20"/>
  <c r="BD274" i="20"/>
  <c r="BE274" i="20"/>
  <c r="BC276" i="20"/>
  <c r="BD276" i="20"/>
  <c r="BE276" i="20"/>
  <c r="BC275" i="20"/>
  <c r="BD275" i="20"/>
  <c r="BE275" i="20"/>
  <c r="BC277" i="20"/>
  <c r="BD277" i="20"/>
  <c r="BE277" i="20"/>
  <c r="BC279" i="20"/>
  <c r="BD279" i="20"/>
  <c r="BE279" i="20"/>
  <c r="BC278" i="20"/>
  <c r="BD278" i="20"/>
  <c r="BE278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90" i="20"/>
  <c r="BD290" i="20"/>
  <c r="BE290" i="20"/>
  <c r="BC289" i="20"/>
  <c r="BD289" i="20"/>
  <c r="BE289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21" i="20"/>
  <c r="BD321" i="20"/>
  <c r="BE321" i="20"/>
  <c r="BC322" i="20"/>
  <c r="BD322" i="20"/>
  <c r="BE322" i="20"/>
  <c r="BC324" i="20"/>
  <c r="BD324" i="20"/>
  <c r="BE324" i="20"/>
  <c r="BC325" i="20"/>
  <c r="BD325" i="20"/>
  <c r="BE325" i="20"/>
  <c r="BC327" i="20"/>
  <c r="BD327" i="20"/>
  <c r="BE327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336" i="20"/>
  <c r="BD336" i="20"/>
  <c r="BE336" i="20"/>
  <c r="BC338" i="20"/>
  <c r="BD338" i="20"/>
  <c r="BE338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344" i="20"/>
  <c r="BD344" i="20"/>
  <c r="BE344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4" i="20"/>
  <c r="BD384" i="20"/>
  <c r="BE384" i="20"/>
  <c r="BC385" i="20"/>
  <c r="BD385" i="20"/>
  <c r="BE385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6" i="20"/>
  <c r="BD416" i="20"/>
  <c r="BE416" i="20"/>
  <c r="BC415" i="20"/>
  <c r="BD415" i="20"/>
  <c r="BE415" i="20"/>
  <c r="BC418" i="20"/>
  <c r="BD418" i="20"/>
  <c r="BE418" i="20"/>
  <c r="BC417" i="20"/>
  <c r="BD417" i="20"/>
  <c r="BE417" i="20"/>
  <c r="BC419" i="20"/>
  <c r="BD419" i="20"/>
  <c r="BE419" i="20"/>
  <c r="BC420" i="20"/>
  <c r="BD420" i="20"/>
  <c r="BE420" i="20"/>
  <c r="BC422" i="20"/>
  <c r="BD422" i="20"/>
  <c r="BE422" i="20"/>
  <c r="BC423" i="20"/>
  <c r="BD423" i="20"/>
  <c r="BE423" i="20"/>
  <c r="BC424" i="20"/>
  <c r="BD424" i="20"/>
  <c r="BE424" i="20"/>
  <c r="BC425" i="20"/>
  <c r="BD425" i="20"/>
  <c r="BE425" i="20"/>
  <c r="BC426" i="20"/>
  <c r="BD426" i="20"/>
  <c r="BE426" i="20"/>
  <c r="BC428" i="20"/>
  <c r="BD428" i="20"/>
  <c r="BE428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466" i="20"/>
  <c r="BD466" i="20"/>
  <c r="BE466" i="20"/>
  <c r="BC467" i="20"/>
  <c r="BD467" i="20"/>
  <c r="BE467" i="20"/>
  <c r="BC468" i="20"/>
  <c r="BD468" i="20"/>
  <c r="BE468" i="20"/>
  <c r="BC469" i="20"/>
  <c r="BD469" i="20"/>
  <c r="BE469" i="20"/>
  <c r="BC470" i="20"/>
  <c r="BD470" i="20"/>
  <c r="BE470" i="20"/>
  <c r="BC471" i="20"/>
  <c r="BD471" i="20"/>
  <c r="BE471" i="20"/>
  <c r="BC472" i="20"/>
  <c r="BD472" i="20"/>
  <c r="BE472" i="20"/>
  <c r="BC474" i="20"/>
  <c r="BD474" i="20"/>
  <c r="BE474" i="20"/>
  <c r="BC473" i="20"/>
  <c r="BD473" i="20"/>
  <c r="BE473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481" i="20"/>
  <c r="BD481" i="20"/>
  <c r="BE481" i="20"/>
  <c r="BC482" i="20"/>
  <c r="BD482" i="20"/>
  <c r="BE482" i="20"/>
  <c r="BC119" i="20"/>
  <c r="BD119" i="20"/>
  <c r="BE119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4" i="20"/>
  <c r="BD514" i="20"/>
  <c r="BE514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1" i="20"/>
  <c r="BD551" i="20"/>
  <c r="BE551" i="20"/>
  <c r="BC550" i="20"/>
  <c r="BD550" i="20"/>
  <c r="BE550" i="20"/>
  <c r="BC553" i="20"/>
  <c r="BD553" i="20"/>
  <c r="BE553" i="20"/>
  <c r="BC552" i="20"/>
  <c r="BD552" i="20"/>
  <c r="BE552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574" i="20"/>
  <c r="BD574" i="20"/>
  <c r="BE574" i="20"/>
  <c r="BC576" i="20"/>
  <c r="BD576" i="20"/>
  <c r="BE576" i="20"/>
  <c r="BC578" i="20"/>
  <c r="BD578" i="20"/>
  <c r="BE578" i="20"/>
  <c r="BC579" i="20"/>
  <c r="BD579" i="20"/>
  <c r="BE579" i="20"/>
  <c r="BC209" i="20"/>
  <c r="BD209" i="20"/>
  <c r="BE20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587" i="20"/>
  <c r="BD587" i="20"/>
  <c r="BE587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608" i="20"/>
  <c r="BD608" i="20"/>
  <c r="BE608" i="20"/>
  <c r="BC609" i="20"/>
  <c r="BD609" i="20"/>
  <c r="BE609" i="20"/>
  <c r="BC611" i="20"/>
  <c r="BD611" i="20"/>
  <c r="BE61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3" i="20"/>
  <c r="BD653" i="20"/>
  <c r="BE653" i="20"/>
  <c r="BC655" i="20"/>
  <c r="BD655" i="20"/>
  <c r="BE655" i="20"/>
  <c r="BC656" i="20"/>
  <c r="BD656" i="20"/>
  <c r="BE656" i="20"/>
  <c r="BC657" i="20"/>
  <c r="BD657" i="20"/>
  <c r="BE657" i="20"/>
  <c r="BC658" i="20"/>
  <c r="BD658" i="20"/>
  <c r="BE658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7" i="20"/>
  <c r="BD717" i="20"/>
  <c r="BE71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8" i="20"/>
  <c r="AH488" i="20"/>
  <c r="AH469" i="20"/>
  <c r="AH131" i="20"/>
  <c r="AH415" i="20"/>
  <c r="AH564" i="20"/>
  <c r="AH327" i="20"/>
  <c r="AH208" i="20"/>
  <c r="AH39" i="20"/>
  <c r="AH572" i="20"/>
  <c r="AH381" i="20"/>
  <c r="AH696" i="20"/>
  <c r="AH425" i="20"/>
  <c r="AH423" i="20"/>
  <c r="AH365" i="20"/>
  <c r="AH480" i="20"/>
  <c r="AH658" i="20"/>
  <c r="AH342" i="20"/>
  <c r="AH224" i="20"/>
  <c r="AH225" i="20"/>
  <c r="AH380" i="20"/>
  <c r="AH194" i="20"/>
  <c r="AH371" i="20"/>
  <c r="AH199" i="20"/>
  <c r="AH277" i="20"/>
  <c r="AH19" i="20"/>
  <c r="AH306" i="20"/>
  <c r="AH295" i="20"/>
  <c r="AH659" i="20"/>
  <c r="AH543" i="20"/>
  <c r="AH302" i="20"/>
  <c r="AH292" i="20"/>
  <c r="AH243" i="20"/>
  <c r="AH218" i="20"/>
  <c r="AH608" i="20"/>
  <c r="AH385" i="20"/>
  <c r="AH23" i="20"/>
  <c r="AH271" i="20"/>
  <c r="AH386" i="20"/>
  <c r="AH281" i="20"/>
  <c r="AH257" i="20"/>
  <c r="AH80" i="20"/>
  <c r="AH305" i="20"/>
  <c r="AH300" i="20"/>
  <c r="AH91" i="20"/>
  <c r="AH165" i="20"/>
  <c r="AH715" i="20"/>
  <c r="AH133" i="20"/>
  <c r="AH176" i="20"/>
  <c r="AH210" i="20"/>
  <c r="AH74" i="20"/>
  <c r="AH353" i="20"/>
  <c r="AH346" i="20"/>
  <c r="AH16" i="20"/>
  <c r="AH428" i="20"/>
  <c r="AH364" i="20"/>
  <c r="AH374" i="20"/>
  <c r="AH344" i="20"/>
  <c r="AH309" i="20"/>
  <c r="AH354" i="20"/>
  <c r="AH596" i="20"/>
  <c r="AH376" i="20"/>
  <c r="AH355" i="20"/>
  <c r="AH429" i="20"/>
  <c r="AH390" i="20"/>
  <c r="AH248" i="20"/>
  <c r="AH294" i="20"/>
  <c r="AH87" i="20"/>
  <c r="AH230" i="20"/>
  <c r="AH64" i="20"/>
  <c r="AH717" i="20"/>
  <c r="AH622" i="20"/>
  <c r="AH363" i="20"/>
  <c r="AH338" i="20"/>
  <c r="AH336" i="20"/>
  <c r="AH563" i="20"/>
  <c r="AH624" i="20"/>
  <c r="AH766" i="20"/>
  <c r="AH195" i="20"/>
  <c r="AH239" i="20"/>
  <c r="AH251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<sst xmlns="http://schemas.openxmlformats.org/spreadsheetml/2006/main" count="33734" uniqueCount="8602">
  <si>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</si>
  <si>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</si>
  <si>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</si>
  <si>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</si>
  <si>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</si>
  <si>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</si>
  <si>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</si>
  <si>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</si>
  <si>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</si>
  <si>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</si>
  <si>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</si>
  <si>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</si>
  <si>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</si>
  <si>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</si>
  <si>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</si>
  <si>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</si>
  <si>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</si>
  <si>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</si>
  <si>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</si>
  <si>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</si>
  <si>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</si>
  <si>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</si>
  <si>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</si>
  <si>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</si>
  <si>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</si>
  <si>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</si>
  <si>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</si>
  <si>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</si>
  <si>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</si>
  <si>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</si>
  <si>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</si>
  <si>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</si>
  <si>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</si>
  <si>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</si>
  <si>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</si>
  <si>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</si>
  <si>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</si>
  <si>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</si>
  <si>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</si>
  <si>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</si>
  <si>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</si>
  <si>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</si>
  <si>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</si>
  <si>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</si>
  <si>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</si>
  <si>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</si>
  <si>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</si>
  <si>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</si>
  <si>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</si>
  <si>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</si>
  <si>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</si>
  <si>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</si>
  <si>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</si>
  <si>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</si>
  <si>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</si>
  <si>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</si>
  <si>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</si>
  <si>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</si>
  <si>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</si>
  <si>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</si>
  <si>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</si>
  <si>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</si>
  <si>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</si>
  <si>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</si>
  <si>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</si>
  <si>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</si>
  <si>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</si>
  <si>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</si>
  <si>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</si>
  <si>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</si>
  <si>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</si>
  <si>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</si>
  <si>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</si>
  <si>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</si>
  <si>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</si>
  <si>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</si>
  <si>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</si>
  <si>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</si>
  <si>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</si>
  <si>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</si>
  <si>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</si>
  <si>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</si>
  <si>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</si>
  <si>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</si>
  <si>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</si>
  <si>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</si>
  <si>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</si>
  <si>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</si>
  <si>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</si>
  <si>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</si>
  <si>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</si>
  <si>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</si>
  <si>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</si>
  <si>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</si>
  <si>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</si>
  <si>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</si>
  <si>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</si>
  <si>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</si>
  <si>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</si>
  <si>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</si>
  <si>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</si>
  <si>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</si>
  <si>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</si>
  <si>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</si>
  <si>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</si>
  <si>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</si>
  <si>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</si>
  <si>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</si>
  <si>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</si>
  <si>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</si>
  <si>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</si>
  <si>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</si>
  <si>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</si>
  <si>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</si>
  <si>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</si>
  <si>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</si>
  <si>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</si>
  <si>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</si>
  <si>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</si>
  <si>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</si>
  <si>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</si>
  <si>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</si>
  <si>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</si>
  <si>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</si>
  <si>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</si>
  <si>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</si>
  <si>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</si>
  <si>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</si>
  <si>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</si>
  <si>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</si>
  <si>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</si>
  <si>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</si>
  <si>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</si>
  <si>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</si>
  <si>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</si>
  <si>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</si>
  <si>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</si>
  <si>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</si>
  <si>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</si>
  <si>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</si>
  <si>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</si>
  <si>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</si>
  <si>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</si>
  <si>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</si>
  <si>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</si>
  <si>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</si>
  <si>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</si>
  <si>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</si>
  <si>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</si>
  <si>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</si>
  <si>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</si>
  <si>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</si>
  <si>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</si>
  <si>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</si>
  <si>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</si>
  <si>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</si>
  <si>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</si>
  <si>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</si>
  <si>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</si>
  <si>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</si>
  <si>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</si>
  <si>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</si>
  <si>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</si>
  <si>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</si>
  <si>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</si>
  <si>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</si>
  <si>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</si>
  <si>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</si>
  <si>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</si>
  <si>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</si>
  <si>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</si>
  <si>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</si>
  <si>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</si>
  <si>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</si>
  <si>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</si>
  <si>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</si>
  <si>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</si>
  <si>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</si>
  <si>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</si>
  <si>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</si>
  <si>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</si>
  <si>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</si>
  <si>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</si>
  <si>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</si>
  <si>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</si>
  <si>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</si>
  <si>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</si>
  <si>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</si>
  <si>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</si>
  <si>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</si>
  <si>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</si>
  <si>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</si>
  <si>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</si>
  <si>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</si>
  <si>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</si>
  <si>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</si>
  <si>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</si>
  <si>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</si>
  <si>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</si>
  <si>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</si>
  <si>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</si>
  <si>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</si>
  <si>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</si>
  <si>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</si>
  <si>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</si>
  <si>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</si>
  <si>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</si>
  <si>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</si>
  <si>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</si>
  <si>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</si>
  <si>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</si>
  <si>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</si>
  <si>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</si>
  <si>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</si>
  <si>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</si>
  <si>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</si>
  <si>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</si>
  <si>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</si>
  <si>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</si>
  <si>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</si>
  <si>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</si>
  <si>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</si>
  <si>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</si>
  <si>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</si>
  <si>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</si>
  <si>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</si>
  <si>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</si>
  <si>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</si>
  <si>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</si>
  <si>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</si>
  <si>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</si>
  <si>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</si>
  <si>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</si>
  <si>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</si>
  <si>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</si>
  <si>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</si>
  <si>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</si>
  <si>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</si>
  <si>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</si>
  <si>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</si>
  <si>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</si>
  <si>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</si>
  <si>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</si>
  <si>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</si>
  <si>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</si>
  <si>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</si>
  <si>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</si>
  <si>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</si>
  <si>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</si>
  <si>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</si>
  <si>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</si>
  <si>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</si>
  <si>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</si>
  <si>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</si>
  <si>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</si>
  <si>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</si>
  <si>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</si>
  <si>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</si>
  <si>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</si>
  <si>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</si>
  <si>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</si>
  <si>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</si>
  <si>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</si>
  <si>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</si>
  <si>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</si>
  <si>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</si>
  <si>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</si>
  <si>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</si>
  <si>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</si>
  <si>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</si>
  <si>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</si>
  <si>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</si>
  <si>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</si>
  <si>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</si>
  <si>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</si>
  <si>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</si>
  <si>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</si>
  <si>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</si>
  <si>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</si>
  <si>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</si>
  <si>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</si>
  <si>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</si>
  <si>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</si>
  <si>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</si>
  <si>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</si>
  <si>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</si>
  <si>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</si>
  <si>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</si>
  <si>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</si>
  <si>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</si>
  <si>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</si>
  <si>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</si>
  <si>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</si>
  <si>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</si>
  <si>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</si>
  <si>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</si>
  <si>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</si>
  <si>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</si>
  <si>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</si>
  <si>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</si>
  <si>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</si>
  <si>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</si>
  <si>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</si>
  <si>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</si>
  <si>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</si>
  <si>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</si>
  <si>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</si>
  <si>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</si>
  <si>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</si>
  <si>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</si>
  <si>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</si>
  <si>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</si>
  <si>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</si>
  <si>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</si>
  <si>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</si>
  <si>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</si>
  <si>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</si>
  <si>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</si>
  <si>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</si>
  <si>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</si>
  <si>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</si>
  <si>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</si>
  <si>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</si>
  <si>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</si>
  <si>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</si>
  <si>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</si>
  <si>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</si>
  <si>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</si>
  <si>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</si>
  <si>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</si>
  <si>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</si>
  <si>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</si>
  <si>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</si>
  <si>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</si>
  <si>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</si>
  <si>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</si>
  <si>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</si>
  <si>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</si>
  <si>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</si>
  <si>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</si>
  <si>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</si>
  <si>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</si>
  <si>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</si>
  <si>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</si>
  <si>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</si>
  <si>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</si>
  <si>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</si>
  <si>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</si>
  <si>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</si>
  <si>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</si>
  <si>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</si>
  <si>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</si>
  <si>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</si>
  <si>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</si>
  <si>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</si>
  <si>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</si>
  <si>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</si>
  <si>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</si>
  <si>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</si>
  <si>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</si>
  <si>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</si>
  <si>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</si>
  <si>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</si>
  <si>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</si>
  <si>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</si>
  <si>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</si>
  <si>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</si>
  <si>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</si>
  <si>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</si>
  <si>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</si>
  <si>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</si>
  <si>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</si>
  <si>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</si>
  <si>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</si>
  <si>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</si>
  <si>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</si>
  <si>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</si>
  <si>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</si>
  <si>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</si>
  <si>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</si>
  <si>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</si>
  <si>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</si>
  <si>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</si>
  <si>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</si>
  <si>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</si>
  <si>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</si>
  <si>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</si>
  <si>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</si>
  <si>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</si>
  <si>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</si>
  <si>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</si>
  <si>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</si>
  <si>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</si>
  <si>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</si>
  <si>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</si>
  <si>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</si>
  <si>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</si>
  <si>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</si>
  <si>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</si>
  <si>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</si>
  <si>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</si>
  <si>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</si>
  <si>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</si>
  <si>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</si>
  <si>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</si>
  <si>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</si>
  <si>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</si>
  <si>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</si>
  <si>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</si>
  <si>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</si>
  <si>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</si>
  <si>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</si>
  <si>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</si>
  <si>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</si>
  <si>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</si>
  <si>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</si>
  <si>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</si>
  <si>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</si>
  <si>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</si>
  <si>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</si>
  <si>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</si>
  <si>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</si>
  <si>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</si>
  <si>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</si>
  <si>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</si>
  <si>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</si>
  <si>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</si>
  <si>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</si>
  <si>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</si>
  <si>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</si>
  <si>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</si>
  <si>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</si>
  <si>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</si>
  <si>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</si>
  <si>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</si>
  <si>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</si>
  <si>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</si>
  <si>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</si>
  <si>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</si>
  <si>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</si>
  <si>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</si>
  <si>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</si>
  <si>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</si>
  <si>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</si>
  <si>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</si>
  <si>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</si>
  <si>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</si>
  <si>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</si>
  <si>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</si>
  <si>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</si>
  <si>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</si>
  <si>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</si>
  <si>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</si>
  <si>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</si>
  <si>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</si>
  <si>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</si>
  <si>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</si>
  <si>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</si>
  <si>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</si>
  <si>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</si>
  <si>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</si>
  <si>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</si>
  <si>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</si>
  <si>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</si>
  <si>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</si>
  <si>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</si>
  <si>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</si>
  <si>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</si>
  <si>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</si>
  <si>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</si>
  <si>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</si>
  <si>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</si>
  <si>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</si>
  <si>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</si>
  <si>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</si>
  <si>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</si>
  <si>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</si>
  <si>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</si>
  <si>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</si>
  <si>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</si>
  <si>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</si>
  <si>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</si>
  <si>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</si>
  <si>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</si>
  <si>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</si>
  <si>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</si>
  <si>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</si>
  <si>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</si>
  <si>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</si>
  <si>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</si>
  <si>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</si>
  <si>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</si>
  <si>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</si>
  <si>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</si>
  <si>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</si>
  <si>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</si>
  <si>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</si>
  <si>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</si>
  <si>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</si>
  <si>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</si>
  <si>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</si>
  <si>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</si>
  <si>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</si>
  <si>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</si>
  <si>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</si>
  <si>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</si>
  <si>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</si>
  <si>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</si>
  <si>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</si>
  <si>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</si>
  <si>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</si>
  <si>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</si>
  <si>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</si>
  <si>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</si>
  <si>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</si>
  <si>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</si>
  <si>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</si>
  <si>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</si>
  <si>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</si>
  <si>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</si>
  <si>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</si>
  <si>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</si>
  <si>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</si>
  <si>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</si>
  <si>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</si>
  <si>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</si>
  <si>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</si>
  <si>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</si>
  <si>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</si>
  <si>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</si>
  <si>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</si>
  <si>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</si>
  <si>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</si>
  <si>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</si>
  <si>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</si>
  <si>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</si>
  <si>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</si>
  <si>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</si>
  <si>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</si>
  <si>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</si>
  <si>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</si>
  <si>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</si>
  <si>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</si>
  <si>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</si>
  <si>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</si>
  <si>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</si>
  <si>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</si>
  <si>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</si>
  <si>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</si>
  <si>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</si>
  <si>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</si>
  <si>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</si>
  <si>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</si>
  <si>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</si>
  <si>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</si>
  <si>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</si>
  <si>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</si>
  <si>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</si>
  <si>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</si>
  <si>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</si>
  <si>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</si>
  <si>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</si>
  <si>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</si>
  <si>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</si>
  <si>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</si>
  <si>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</si>
  <si>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</si>
  <si>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</si>
  <si>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</si>
  <si>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</si>
  <si>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</si>
  <si>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</si>
  <si>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</si>
  <si>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</si>
  <si>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</si>
  <si>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</si>
  <si>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</si>
  <si>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</si>
  <si>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</si>
  <si>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</si>
  <si>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</si>
  <si>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</si>
  <si>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</si>
  <si>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</si>
  <si>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</si>
  <si>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</si>
  <si>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</si>
  <si>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</si>
  <si>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</si>
  <si>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</si>
  <si>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</si>
  <si>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</si>
  <si>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</si>
  <si>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</si>
  <si>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</si>
  <si>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</si>
  <si>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</si>
  <si>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</si>
  <si>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</si>
  <si>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</si>
  <si>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</si>
  <si>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</si>
  <si>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</si>
  <si>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</si>
  <si>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</si>
  <si>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</si>
  <si>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</si>
  <si>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</si>
  <si>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</si>
  <si>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</si>
  <si>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</si>
  <si>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</si>
  <si>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</si>
  <si>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</si>
  <si>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</si>
  <si>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</si>
  <si>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</si>
  <si>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</si>
  <si>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</si>
  <si>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</si>
  <si>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</si>
  <si>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</si>
  <si>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</si>
  <si>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</si>
  <si>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</si>
  <si>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</si>
  <si>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</si>
  <si>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</si>
  <si>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</si>
  <si>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</si>
  <si>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</si>
  <si>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</si>
  <si>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</si>
  <si>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</si>
  <si>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</si>
  <si>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</si>
  <si>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</si>
  <si>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</si>
  <si>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</si>
  <si>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</si>
  <si>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</si>
  <si>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</si>
  <si>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</si>
  <si>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</si>
  <si>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</si>
  <si>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</si>
  <si>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</si>
  <si>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</si>
  <si>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</si>
  <si>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</si>
  <si>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</si>
  <si>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</si>
  <si>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</si>
  <si>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</si>
  <si>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</si>
  <si>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</si>
  <si>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</si>
  <si>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</si>
  <si>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</si>
  <si>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</si>
  <si>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</si>
  <si>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</si>
  <si>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</si>
  <si>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</si>
  <si>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</si>
  <si>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</si>
  <si>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</si>
  <si>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</si>
  <si>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</si>
  <si>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</si>
  <si>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</si>
  <si>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</si>
  <si>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</si>
  <si>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</si>
  <si>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</si>
  <si>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</si>
  <si>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</si>
  <si>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</si>
  <si>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</si>
  <si>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</si>
  <si>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</si>
  <si>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</si>
  <si>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</si>
  <si>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</si>
  <si>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</si>
  <si>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</si>
  <si>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</si>
  <si>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</si>
  <si>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</si>
  <si>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</si>
  <si>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</si>
  <si>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</si>
  <si>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</si>
  <si>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</si>
  <si>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</si>
  <si>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</si>
  <si>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</si>
  <si>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</si>
  <si>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</si>
  <si>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</si>
  <si>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</si>
  <si>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</si>
  <si>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</si>
  <si>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</si>
  <si>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</si>
  <si>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</si>
  <si>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</si>
  <si>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</si>
  <si>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</si>
  <si>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</si>
  <si>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</si>
  <si>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</si>
  <si>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</si>
  <si>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</si>
  <si>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</si>
  <si>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</si>
  <si>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</si>
  <si>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</si>
  <si>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</si>
  <si>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</si>
  <si>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</si>
  <si>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</si>
  <si>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</si>
  <si>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</si>
  <si>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</si>
  <si>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</si>
  <si>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</si>
  <si>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</si>
  <si>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</si>
  <si>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</si>
  <si>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</si>
  <si>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</si>
  <si>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</si>
  <si>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</si>
  <si>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</si>
  <si>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</si>
  <si>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</si>
  <si>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</si>
  <si>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</si>
  <si>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</si>
  <si>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</si>
  <si>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</si>
  <si>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</si>
  <si>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</si>
  <si>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</si>
  <si>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</si>
  <si>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</si>
  <si>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</si>
  <si>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</si>
  <si>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</si>
  <si>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</si>
  <si>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</si>
  <si>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</si>
  <si>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</si>
  <si>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</si>
  <si>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</si>
  <si>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</si>
  <si>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</si>
  <si>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</si>
  <si>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</si>
  <si>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</si>
  <si>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</si>
  <si>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</si>
  <si>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</si>
  <si>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</si>
  <si>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</si>
  <si>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</si>
  <si>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</si>
  <si>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</si>
  <si>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</si>
  <si>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</si>
  <si>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</si>
  <si>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</si>
  <si>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</si>
  <si>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</si>
  <si>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</si>
  <si>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</si>
  <si>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</si>
  <si>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</si>
  <si>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</si>
  <si>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</si>
  <si>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</si>
  <si>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</si>
  <si>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</si>
  <si>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</si>
  <si>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</si>
  <si>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</si>
  <si>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</si>
  <si>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</si>
  <si>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</si>
  <si>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</si>
  <si>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</si>
  <si>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</si>
  <si>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</si>
  <si>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</si>
  <si>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</si>
  <si>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</si>
  <si>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</si>
  <si>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</si>
  <si>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</si>
  <si>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</si>
  <si>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</si>
  <si>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</si>
  <si>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</si>
  <si>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</si>
  <si>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</si>
  <si>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</si>
  <si>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</si>
  <si>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</si>
  <si>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</si>
  <si>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</si>
  <si>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</si>
  <si>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</si>
  <si>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</si>
  <si>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</si>
  <si>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</si>
  <si>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</si>
  <si>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</si>
  <si>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</si>
  <si>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</si>
  <si>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</si>
  <si>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</si>
  <si>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</si>
  <si>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</si>
  <si>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</si>
  <si>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</si>
  <si>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</si>
  <si>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</si>
  <si>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</si>
  <si>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</si>
  <si>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</si>
  <si>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</si>
  <si>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</si>
  <si>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</si>
  <si>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</si>
  <si>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</si>
  <si>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</si>
  <si>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</si>
  <si>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</si>
  <si>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</si>
  <si>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</si>
  <si>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</si>
  <si>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</si>
  <si>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</si>
  <si>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</si>
  <si>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</si>
  <si>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</si>
  <si>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</si>
  <si>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</si>
  <si>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</si>
  <si>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</si>
  <si>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</si>
  <si>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</si>
  <si>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</si>
  <si>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</si>
  <si>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</si>
  <si>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</si>
  <si>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</si>
  <si>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</si>
  <si>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</si>
  <si>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</si>
  <si>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</si>
  <si>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</si>
  <si>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</si>
  <si>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</si>
  <si>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</si>
  <si>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</si>
  <si>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</si>
  <si>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</si>
  <si>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</si>
  <si>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</si>
  <si>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</si>
  <si>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</si>
  <si>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</si>
  <si>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</si>
  <si>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</si>
  <si>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</si>
  <si>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</si>
  <si>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</si>
  <si>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</si>
  <si>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</si>
  <si>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</si>
  <si>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</si>
  <si>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</si>
  <si>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</si>
  <si>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</si>
  <si>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</si>
  <si>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</si>
  <si>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</si>
  <si>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</si>
  <si>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</si>
  <si>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</si>
  <si>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</si>
  <si>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</si>
  <si>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</si>
  <si>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</si>
  <si>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</si>
  <si>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</si>
  <si>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</si>
  <si>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</si>
  <si>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</si>
  <si>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</si>
  <si>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</si>
  <si>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</si>
  <si>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</si>
  <si>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</si>
  <si>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</si>
  <si>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</si>
  <si>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</si>
  <si>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</si>
  <si>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</si>
  <si>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</si>
  <si>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</si>
  <si>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</si>
  <si>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</si>
  <si>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</si>
  <si>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</si>
  <si>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</si>
  <si>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</si>
  <si>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</si>
  <si>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</si>
  <si>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</si>
  <si>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</si>
  <si>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</si>
  <si>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</si>
  <si>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</si>
  <si>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</si>
  <si>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</si>
  <si>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</si>
  <si>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</si>
  <si>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</si>
  <si>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</si>
  <si>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</si>
  <si>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</si>
  <si>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</si>
  <si>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</si>
  <si>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</si>
  <si>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</si>
  <si>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</si>
  <si>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</si>
  <si>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</si>
  <si>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</si>
  <si>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</si>
  <si>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</si>
  <si>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</si>
  <si>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</si>
  <si>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</si>
  <si>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</si>
  <si>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</si>
  <si>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</si>
  <si>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</si>
  <si>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</si>
  <si>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</si>
  <si>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</si>
  <si>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</si>
  <si>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</si>
  <si>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</si>
  <si>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</si>
  <si>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</si>
  <si>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</si>
  <si>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</si>
  <si>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</si>
  <si>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</si>
  <si>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</si>
  <si>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</si>
  <si>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</si>
  <si>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</si>
  <si>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</si>
  <si>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</si>
  <si>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</si>
  <si>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</si>
  <si>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</si>
  <si>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</si>
  <si>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</si>
  <si>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</si>
  <si>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</si>
  <si>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</si>
  <si>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</si>
  <si>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</si>
  <si>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</si>
  <si>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</si>
  <si>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</si>
  <si>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</si>
  <si>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</si>
  <si>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</si>
  <si>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</si>
  <si>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</si>
  <si>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</si>
  <si>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</si>
  <si>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</si>
  <si>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</si>
  <si>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</si>
  <si>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</si>
  <si>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</si>
  <si>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</si>
  <si>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</si>
  <si>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</si>
  <si>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</si>
  <si>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</si>
  <si>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</si>
  <si>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</si>
  <si>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</si>
  <si>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</si>
  <si>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</si>
  <si>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</si>
  <si>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</si>
  <si>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</si>
  <si>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</si>
  <si>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</si>
  <si>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</si>
  <si>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</si>
  <si>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</si>
  <si>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</si>
  <si>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</si>
  <si>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</si>
  <si>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</si>
  <si>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</si>
  <si>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</si>
  <si>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</si>
  <si>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</si>
  <si>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</si>
  <si>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</si>
  <si>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</si>
  <si>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</si>
  <si>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</si>
  <si>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</si>
  <si>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</si>
  <si>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</si>
  <si>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</si>
  <si>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</si>
  <si>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</si>
  <si>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</si>
  <si>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</si>
  <si>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</si>
  <si>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</si>
  <si>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</si>
  <si>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</si>
  <si>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</si>
  <si>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</si>
  <si>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</si>
  <si>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</si>
  <si>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</si>
  <si>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</si>
  <si>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</si>
  <si>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</si>
  <si>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</si>
  <si>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</si>
  <si>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</si>
  <si>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</si>
  <si>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</si>
  <si>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</si>
  <si>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</si>
  <si>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</si>
  <si>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</si>
  <si>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</si>
  <si>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</si>
  <si>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</si>
  <si>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</si>
  <si>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</si>
  <si>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</si>
  <si>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</si>
  <si>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</si>
  <si>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</si>
  <si>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</si>
  <si>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</si>
  <si>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</si>
  <si>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</si>
  <si>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</si>
  <si>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</si>
  <si>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</si>
  <si>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</si>
  <si>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</si>
  <si>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</si>
  <si>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</si>
  <si>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</si>
  <si>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</si>
  <si>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</si>
  <si>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</si>
  <si>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</si>
  <si>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</si>
  <si>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</si>
  <si>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</si>
  <si>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</si>
  <si>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</si>
  <si>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</si>
  <si>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</si>
  <si>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</si>
  <si>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</si>
  <si>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</si>
  <si>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</si>
  <si>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</si>
  <si>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</si>
  <si>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</si>
  <si>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</si>
  <si>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</si>
  <si>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</si>
  <si>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</si>
  <si>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</si>
  <si>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</si>
  <si>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</si>
  <si>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</si>
  <si>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</si>
  <si>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</si>
  <si>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</si>
  <si>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</si>
  <si>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</si>
  <si>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</si>
  <si>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</si>
  <si>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</si>
  <si>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</si>
  <si>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</si>
  <si>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</si>
  <si>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</si>
  <si>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</si>
  <si>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</si>
  <si>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</si>
  <si>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</si>
  <si>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</si>
  <si>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</si>
  <si>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</si>
  <si>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</si>
  <si>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</si>
  <si>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</si>
  <si>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</si>
  <si>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</si>
  <si>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</si>
  <si>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</si>
  <si>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</si>
  <si>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</si>
  <si>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</si>
  <si>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</si>
  <si>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</si>
  <si>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</si>
  <si>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</si>
  <si>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</si>
  <si>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</si>
  <si>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</si>
  <si>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</si>
  <si>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</si>
  <si>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</si>
  <si>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</si>
  <si>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</si>
  <si>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</si>
  <si>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</si>
  <si>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</si>
  <si>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</si>
  <si>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</si>
  <si>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</si>
  <si>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</si>
  <si>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</si>
  <si>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</si>
  <si>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</si>
  <si>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</si>
  <si>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</si>
  <si>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</si>
  <si>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</si>
  <si>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</si>
  <si>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</si>
  <si>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</si>
  <si>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</si>
  <si>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</si>
  <si>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</si>
  <si>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</si>
  <si>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</si>
  <si>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</si>
  <si>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</si>
  <si>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</si>
  <si>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</si>
  <si>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</si>
  <si>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</si>
  <si>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</si>
  <si>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</si>
  <si>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</si>
  <si>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</si>
  <si>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</si>
  <si>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</si>
  <si>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</si>
  <si>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</si>
  <si>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</si>
  <si>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</si>
  <si>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</si>
  <si>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</si>
  <si>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</si>
  <si>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</si>
  <si>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</si>
  <si>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</si>
  <si>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</si>
  <si>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</si>
  <si>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</si>
  <si>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</si>
  <si>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</si>
  <si>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</si>
  <si>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</si>
  <si>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</si>
  <si>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</si>
  <si>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</si>
  <si>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</si>
  <si>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</si>
  <si>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</si>
  <si>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</si>
  <si>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</si>
  <si>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</si>
  <si>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</si>
  <si>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</si>
  <si>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</si>
  <si>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</si>
  <si>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</si>
  <si>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</si>
  <si>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</si>
  <si>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</si>
  <si>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</si>
  <si>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</si>
  <si>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</si>
  <si>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</si>
  <si>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</si>
  <si>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</si>
  <si>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</si>
  <si>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</si>
  <si>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</si>
  <si>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</si>
  <si>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</si>
  <si>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</si>
  <si>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</si>
  <si>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</si>
  <si>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</si>
  <si>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</si>
  <si>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</si>
  <si>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</si>
  <si>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</si>
  <si>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</si>
  <si>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</si>
  <si>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</si>
  <si>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</si>
  <si>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</si>
  <si>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</si>
  <si>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</si>
  <si>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</si>
  <si>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</si>
  <si>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</si>
  <si>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</si>
  <si>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</si>
  <si>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</si>
  <si>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</si>
  <si>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</si>
  <si>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</si>
  <si>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</si>
  <si>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</si>
  <si>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</si>
  <si>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</si>
  <si>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</si>
  <si>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</si>
  <si>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</si>
  <si>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</si>
  <si>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</si>
  <si>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</si>
  <si>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</si>
  <si>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</si>
  <si>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</si>
  <si>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</si>
  <si>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</si>
  <si>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</si>
  <si>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</si>
  <si>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</si>
  <si>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</si>
  <si>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</si>
  <si>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</si>
  <si>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</si>
  <si>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</si>
  <si>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</si>
  <si>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</si>
  <si>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</si>
  <si>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</si>
  <si>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</si>
  <si>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</si>
  <si>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</si>
  <si>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</si>
  <si>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</si>
  <si>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</si>
  <si>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</si>
  <si>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</si>
  <si>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</si>
  <si>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</si>
  <si>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</si>
  <si>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</si>
  <si>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</si>
  <si>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</si>
  <si>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</si>
  <si>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</si>
  <si>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</si>
  <si>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</si>
  <si>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</si>
  <si>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</si>
  <si>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</si>
  <si>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</si>
  <si>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</si>
  <si>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</si>
  <si>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</si>
  <si>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</si>
  <si>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</si>
  <si>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</si>
  <si>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</si>
  <si>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</si>
  <si>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</si>
  <si>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</si>
  <si>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</si>
  <si>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</si>
  <si>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</si>
  <si>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</si>
  <si>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</si>
  <si>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</si>
  <si>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</si>
  <si>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</si>
  <si>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</si>
  <si>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</si>
  <si>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</si>
  <si>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</si>
  <si>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</si>
  <si>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</si>
  <si>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</si>
  <si>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</si>
  <si>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</si>
  <si>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</si>
  <si>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</si>
  <si>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</si>
  <si>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</si>
  <si>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</si>
  <si>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</si>
  <si>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</si>
  <si>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</si>
  <si>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</si>
  <si>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</si>
  <si>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</si>
  <si>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</si>
  <si>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</si>
  <si>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</si>
  <si>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</si>
  <si>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</si>
  <si>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</si>
  <si>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</si>
  <si>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</si>
  <si>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</si>
  <si>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</si>
  <si>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</si>
  <si>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</si>
  <si>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</si>
  <si>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</si>
  <si>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</si>
  <si>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</si>
  <si>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</si>
  <si>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</si>
  <si>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</si>
  <si>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</si>
  <si>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</si>
  <si>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</si>
  <si>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</si>
  <si>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</si>
  <si>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</si>
  <si>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</si>
  <si>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</si>
  <si>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</si>
  <si>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</si>
  <si>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</si>
  <si>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</si>
  <si>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</si>
  <si>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</si>
  <si>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</si>
  <si>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</si>
  <si>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</si>
  <si>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</si>
  <si>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</si>
  <si>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</si>
  <si>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</si>
  <si>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</si>
  <si>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</si>
  <si>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</si>
  <si>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</si>
  <si>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</si>
  <si>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</si>
  <si>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</si>
  <si>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</si>
  <si>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</si>
  <si>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</si>
  <si>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</si>
  <si>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</si>
  <si>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</si>
  <si>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</si>
  <si>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</si>
  <si>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</si>
  <si>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</si>
  <si>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</si>
  <si>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</si>
  <si>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</si>
  <si>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</si>
  <si>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</si>
  <si>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</si>
  <si>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</si>
  <si>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</si>
  <si>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</si>
  <si>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</si>
  <si>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</si>
  <si>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</si>
  <si>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</si>
  <si>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</si>
  <si>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</si>
  <si>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</si>
  <si>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</si>
  <si>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</si>
  <si>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</si>
  <si>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</si>
  <si>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</si>
  <si>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</si>
  <si>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</si>
  <si>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</si>
  <si>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</si>
  <si>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</si>
  <si>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</si>
  <si>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</si>
  <si>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</si>
  <si>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</si>
  <si>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</si>
  <si>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</si>
  <si>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</si>
  <si>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</si>
  <si>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</si>
  <si>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</si>
  <si>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</si>
  <si>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</si>
  <si>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</si>
  <si>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</si>
  <si>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</si>
  <si>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</si>
  <si>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</si>
  <si>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</si>
  <si>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</si>
  <si>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</si>
  <si>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</si>
  <si>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</si>
  <si>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</si>
  <si>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</si>
  <si>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</si>
  <si>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</si>
  <si>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</si>
  <si>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</si>
  <si>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</si>
  <si>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</si>
  <si>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</si>
  <si>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</si>
  <si>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</si>
  <si>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</si>
  <si>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</si>
  <si>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</si>
  <si>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</si>
  <si>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</si>
  <si>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</si>
  <si>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</si>
  <si>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</si>
  <si>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</si>
  <si>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</si>
  <si>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</si>
  <si>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</si>
  <si>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</si>
  <si>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</si>
  <si>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</si>
  <si>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</si>
  <si>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</si>
  <si>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</si>
  <si>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</si>
  <si>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</si>
  <si>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</si>
  <si>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</si>
  <si>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</si>
  <si>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</si>
  <si>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</si>
  <si>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</si>
  <si>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</si>
  <si>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</si>
  <si>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</si>
  <si>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</si>
  <si>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</si>
  <si>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</si>
  <si>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</si>
  <si>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</si>
  <si>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</si>
  <si>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</si>
  <si>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</si>
  <si>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</si>
  <si>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</si>
  <si>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</si>
  <si>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</si>
  <si>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</si>
  <si>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</si>
  <si>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</si>
  <si>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</si>
  <si>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</si>
  <si>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</si>
  <si>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</si>
  <si>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</si>
  <si>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</si>
  <si>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</si>
  <si>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</si>
  <si>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</si>
  <si>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</si>
  <si>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</si>
  <si>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</si>
  <si>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</si>
  <si>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</si>
  <si>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</si>
  <si>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</si>
  <si>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</si>
  <si>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</si>
  <si>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</si>
  <si>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</si>
  <si>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</si>
  <si>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</si>
  <si>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</si>
  <si>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</si>
  <si>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</si>
  <si>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</si>
  <si>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</si>
  <si>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</si>
  <si>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</si>
  <si>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</si>
  <si>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</si>
  <si>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</si>
  <si>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</si>
  <si>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</si>
  <si>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</si>
  <si>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</si>
  <si>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</si>
  <si>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</si>
  <si>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</si>
  <si>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</si>
  <si>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</si>
  <si>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</si>
  <si>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</si>
  <si>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</si>
  <si>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</si>
  <si>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</si>
  <si>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</si>
  <si>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</si>
  <si>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</si>
  <si>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</si>
  <si>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</si>
  <si>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</si>
  <si>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</si>
  <si>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</si>
  <si>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</si>
  <si>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</si>
  <si>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</si>
  <si>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</si>
  <si>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</si>
  <si>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</si>
  <si>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</si>
  <si>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</si>
  <si>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</si>
  <si>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</si>
  <si>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</si>
  <si>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</si>
  <si>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</si>
  <si>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</si>
  <si>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</si>
  <si>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</si>
  <si>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</si>
  <si>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</si>
  <si>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</si>
  <si>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</si>
  <si>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</si>
  <si>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</si>
  <si>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</si>
  <si>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</si>
  <si>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</si>
  <si>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</si>
  <si>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</si>
  <si>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</si>
  <si>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</si>
  <si>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</si>
  <si>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</si>
  <si>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</si>
  <si>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</si>
  <si>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</si>
  <si>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</si>
  <si>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</si>
  <si>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</si>
  <si>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</si>
  <si>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</si>
  <si>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</si>
  <si>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</si>
  <si>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</si>
  <si>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</si>
  <si>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</si>
  <si>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</si>
  <si>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</si>
  <si>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</si>
  <si>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</si>
  <si>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</si>
  <si>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</si>
  <si>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</si>
  <si>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</si>
  <si>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</si>
  <si>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</si>
  <si>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</si>
  <si>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</si>
  <si>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</si>
  <si>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</si>
  <si>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</si>
  <si>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</si>
  <si>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</si>
  <si>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</si>
  <si>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</si>
  <si>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</si>
  <si>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</si>
  <si>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</si>
  <si>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</si>
  <si>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</si>
  <si>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</si>
  <si>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</si>
  <si>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</si>
  <si>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</si>
  <si>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</si>
  <si>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</si>
  <si>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</si>
  <si>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</si>
  <si>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</si>
  <si>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</si>
  <si>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</si>
  <si>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</si>
  <si>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</si>
  <si>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</si>
  <si>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</si>
  <si>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</si>
  <si>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</si>
  <si>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</si>
  <si>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</si>
  <si>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</si>
  <si>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</si>
  <si>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</si>
  <si>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</si>
  <si>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</si>
  <si>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</si>
  <si>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</si>
  <si>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</si>
  <si>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</si>
  <si>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</si>
  <si>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</si>
  <si>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</si>
  <si>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</si>
  <si>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</si>
  <si>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</si>
  <si>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</si>
  <si>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</si>
  <si>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</si>
  <si>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</si>
  <si>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</si>
  <si>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</si>
  <si>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</si>
  <si>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</si>
  <si>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</si>
  <si>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</si>
  <si>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</si>
  <si>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</si>
  <si>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</si>
  <si>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</si>
  <si>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</si>
  <si>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</si>
  <si>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</si>
  <si>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</si>
  <si>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</si>
  <si>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</si>
  <si>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</si>
  <si>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</si>
  <si>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</si>
  <si>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</si>
  <si>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</si>
  <si>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</si>
  <si>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</si>
  <si>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</si>
  <si>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</si>
  <si>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</si>
  <si>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</si>
  <si>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</si>
  <si>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</si>
  <si>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</si>
  <si>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</si>
  <si>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</si>
  <si>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</si>
  <si>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</si>
  <si>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</si>
  <si>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</si>
  <si>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</si>
  <si>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</si>
  <si>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</si>
  <si>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</si>
  <si>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</si>
  <si>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</si>
  <si>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</si>
  <si>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</si>
  <si>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</si>
  <si>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</si>
  <si>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</si>
  <si>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</si>
  <si>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</si>
  <si>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</si>
  <si>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</si>
  <si>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</si>
  <si>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</si>
  <si>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</si>
  <si>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</si>
  <si>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</si>
  <si>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</si>
  <si>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</si>
  <si>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</si>
  <si>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</si>
  <si>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</si>
  <si>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</si>
  <si>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</si>
  <si>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</si>
  <si>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</si>
  <si>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</si>
  <si>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</si>
  <si>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</si>
  <si>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</si>
  <si>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</si>
  <si>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</si>
  <si>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</si>
  <si>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</si>
  <si>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</si>
  <si>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</si>
  <si>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</si>
  <si>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</si>
  <si>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</si>
  <si>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</si>
  <si>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</si>
  <si>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</si>
  <si>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</si>
  <si>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</si>
  <si>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</si>
  <si>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</si>
  <si>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</si>
  <si>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</si>
  <si>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</si>
  <si>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</si>
  <si>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</si>
  <si>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</si>
  <si>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</si>
  <si>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</si>
  <si>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</si>
  <si>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</si>
  <si>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</si>
  <si>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</si>
  <si>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</si>
  <si>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</si>
  <si>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</si>
  <si>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</si>
  <si>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</si>
  <si>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</si>
  <si>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</si>
  <si>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</si>
  <si>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</si>
  <si>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</si>
  <si>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</si>
  <si>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</si>
  <si>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</si>
  <si>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</si>
  <si>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</si>
  <si>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</si>
  <si>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</si>
  <si>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</si>
  <si>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</si>
  <si>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</si>
  <si>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</si>
  <si>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</si>
  <si>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</si>
  <si>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</si>
  <si>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</si>
  <si>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</si>
  <si>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</si>
  <si>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</si>
  <si>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</si>
  <si>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</si>
  <si>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</si>
  <si>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</si>
  <si>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</si>
  <si>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</si>
  <si>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</si>
  <si>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</si>
  <si>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</si>
  <si>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</si>
  <si>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</si>
  <si>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</si>
  <si>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</si>
  <si>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</si>
  <si>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</si>
  <si>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</si>
  <si>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</si>
  <si>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</si>
  <si>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</si>
  <si>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</si>
  <si>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</si>
  <si>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</si>
  <si>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</si>
  <si>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</si>
  <si>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</si>
  <si>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</si>
  <si>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</si>
  <si>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</si>
  <si>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</si>
  <si>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</si>
  <si>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</si>
  <si>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</si>
  <si>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</si>
  <si>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</si>
  <si>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</si>
  <si>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</si>
  <si>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</si>
  <si>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</si>
  <si>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</si>
  <si>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</si>
  <si>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</si>
  <si>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</si>
  <si>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</si>
  <si>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</si>
  <si>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</si>
  <si>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</si>
  <si>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</si>
  <si>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</si>
  <si>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</si>
  <si>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</si>
  <si>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</si>
  <si>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</si>
  <si>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</si>
  <si>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</si>
  <si>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</si>
  <si>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</si>
  <si>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</si>
  <si>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</si>
  <si>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</si>
  <si>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</si>
  <si>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</si>
  <si>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</si>
  <si>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</si>
  <si>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</si>
  <si>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</si>
  <si>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</si>
  <si>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</si>
  <si>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</si>
  <si>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</si>
  <si>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</si>
  <si>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</si>
  <si>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</si>
  <si>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</si>
  <si>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</si>
  <si>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</si>
  <si>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</si>
  <si>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</si>
  <si>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</si>
  <si>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</si>
  <si>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</si>
  <si>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</si>
  <si>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</si>
  <si>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</si>
  <si>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</si>
  <si>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</si>
  <si>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</si>
  <si>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</si>
  <si>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</si>
  <si>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</si>
  <si>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</si>
  <si>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</si>
  <si>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</si>
  <si>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</si>
  <si>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</si>
  <si>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</si>
  <si>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</si>
  <si>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</si>
  <si>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</si>
  <si>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</si>
  <si>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</si>
  <si>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</si>
  <si>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</si>
  <si>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</si>
  <si>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</si>
  <si>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</si>
  <si>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</si>
  <si>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</si>
  <si>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</si>
  <si>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</si>
  <si>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</si>
  <si>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</si>
  <si>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</si>
  <si>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</si>
  <si>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</si>
  <si>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</si>
  <si>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</si>
  <si>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</si>
  <si>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</si>
  <si>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</si>
  <si>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</si>
  <si>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</si>
  <si>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</si>
  <si>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</si>
  <si>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</si>
  <si>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</si>
  <si>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</si>
  <si>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</si>
  <si>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</si>
  <si>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</si>
  <si>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</si>
  <si>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</si>
  <si>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</si>
  <si>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</si>
  <si>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</si>
  <si>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</si>
  <si>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</si>
  <si>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</si>
  <si>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</si>
  <si>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</si>
  <si>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</si>
  <si>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</si>
  <si>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</si>
  <si>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</si>
  <si>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</si>
  <si>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</si>
  <si>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</si>
  <si>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</si>
  <si>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</si>
  <si>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</si>
  <si>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</si>
  <si>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</si>
  <si>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</si>
  <si>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</si>
  <si>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</si>
  <si>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</si>
  <si>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</si>
  <si>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</si>
  <si>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</si>
  <si>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</si>
  <si>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</si>
  <si>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</si>
  <si>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</si>
  <si>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</si>
  <si>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</si>
  <si>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</si>
  <si>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</si>
  <si>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</si>
  <si>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</si>
  <si>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</si>
  <si>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</si>
  <si>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</si>
  <si>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</si>
  <si>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</si>
  <si>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</si>
  <si>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</si>
  <si>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</si>
  <si>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</si>
  <si>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</si>
  <si>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</si>
  <si>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</si>
  <si>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</si>
  <si>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</si>
  <si>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</si>
  <si>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</si>
  <si>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</si>
  <si>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</si>
  <si>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</si>
  <si>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</si>
  <si>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</si>
  <si>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</si>
  <si>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</si>
  <si>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</si>
  <si>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</si>
  <si>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</si>
  <si>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</si>
  <si>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</si>
  <si>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</si>
  <si>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</si>
  <si>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</si>
  <si>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</si>
  <si>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</si>
  <si>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</si>
  <si>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</si>
  <si>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</si>
  <si>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</si>
  <si>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</si>
  <si>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</si>
  <si>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</si>
  <si>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</si>
  <si>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</si>
  <si>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</si>
  <si>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</si>
  <si>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</si>
  <si>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</si>
  <si>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</si>
  <si>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</si>
  <si>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</si>
  <si>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</si>
  <si>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</si>
  <si>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</si>
  <si>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</si>
  <si>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</si>
  <si>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</si>
  <si>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</si>
  <si>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</si>
  <si>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</si>
  <si>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</si>
  <si>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</si>
  <si>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</si>
  <si>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</si>
  <si>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</si>
  <si>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</si>
  <si>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</si>
  <si>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</si>
  <si>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</si>
  <si>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</si>
  <si>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</si>
  <si>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</si>
  <si>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</si>
  <si>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</si>
  <si>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</si>
  <si>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</si>
  <si>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</si>
  <si>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</si>
  <si>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</si>
  <si>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</si>
  <si>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</si>
  <si>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</si>
  <si>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</si>
  <si>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</si>
  <si>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</si>
  <si>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</si>
  <si>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</si>
  <si>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</si>
  <si>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</si>
  <si>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</si>
  <si>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</si>
  <si>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</si>
  <si>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</si>
  <si>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</si>
  <si>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</si>
  <si>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</si>
  <si>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</si>
  <si>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</si>
  <si>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</si>
  <si>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</si>
  <si>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</si>
  <si>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</si>
  <si>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</si>
  <si>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</si>
  <si>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</si>
  <si>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</si>
  <si>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</si>
  <si>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</si>
  <si>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</si>
  <si>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</si>
  <si>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</si>
  <si>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</si>
  <si>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</si>
  <si>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</si>
  <si>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</si>
  <si>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</si>
  <si>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</si>
  <si>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</si>
  <si>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</si>
  <si>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</si>
  <si>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</si>
  <si>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</si>
  <si>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</si>
  <si>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</si>
  <si>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</si>
  <si>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</si>
  <si>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</si>
  <si>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</si>
  <si>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</si>
  <si>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</si>
  <si>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</si>
  <si>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</si>
  <si>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</si>
  <si>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</si>
  <si>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</si>
  <si>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</si>
  <si>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</si>
  <si>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</si>
  <si>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</si>
  <si>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</si>
  <si>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</si>
  <si>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</si>
  <si>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</si>
  <si>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</si>
  <si>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</si>
  <si>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</si>
  <si>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</si>
  <si>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</si>
  <si>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</si>
  <si>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</si>
  <si>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</si>
  <si>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</si>
  <si>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</si>
  <si>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</si>
  <si>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</si>
  <si>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</si>
  <si>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</si>
  <si>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</si>
  <si>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</si>
  <si>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</si>
  <si>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</si>
  <si>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</si>
  <si>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</si>
  <si>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</si>
  <si>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</si>
  <si>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</si>
  <si>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</si>
  <si>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</si>
  <si>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</si>
  <si>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</si>
  <si>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</si>
  <si>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</si>
  <si>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</si>
  <si>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</si>
  <si>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</si>
  <si>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</si>
  <si>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</si>
  <si>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</si>
  <si>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</si>
  <si>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</si>
  <si>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</si>
  <si>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</si>
  <si>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</si>
  <si>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</si>
  <si>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</si>
  <si>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</si>
  <si>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</si>
  <si>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</si>
  <si>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</si>
  <si>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</si>
  <si>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</si>
  <si>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</si>
  <si>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</si>
  <si>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</si>
  <si>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</si>
  <si>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</si>
  <si>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</si>
  <si>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</si>
  <si>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</si>
  <si>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</si>
  <si>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</si>
  <si>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</si>
  <si>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</si>
  <si>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</si>
  <si>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</si>
  <si>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</si>
  <si>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</si>
  <si>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</si>
  <si>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</si>
  <si>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</si>
  <si>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</si>
  <si>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</si>
  <si>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</si>
  <si>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</si>
  <si>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</si>
  <si>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</si>
  <si>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</si>
  <si>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</si>
  <si>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</si>
  <si>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</si>
  <si>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</si>
  <si>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</si>
  <si>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</si>
  <si>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</si>
  <si>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</si>
  <si>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</si>
  <si>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</si>
  <si>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</si>
  <si>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</si>
  <si>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</si>
  <si>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</si>
  <si>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</si>
  <si>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</si>
  <si>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</si>
  <si>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</si>
  <si>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</si>
  <si>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</si>
  <si>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</si>
  <si>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</si>
  <si>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</si>
  <si>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</si>
  <si>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</si>
  <si>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</si>
  <si>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</si>
  <si>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</si>
  <si>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</si>
  <si>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</si>
  <si>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</si>
  <si>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</si>
  <si>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</si>
  <si>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</si>
  <si>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</si>
  <si>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</si>
  <si>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</si>
  <si>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</si>
  <si>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</si>
  <si>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</si>
  <si>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</si>
  <si>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</si>
  <si>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</si>
  <si>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</si>
  <si>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</si>
  <si>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</si>
  <si>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</si>
  <si>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</si>
  <si>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</si>
  <si>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</si>
  <si>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</si>
  <si>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</si>
  <si>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</si>
  <si>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</si>
  <si>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</si>
  <si>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</si>
  <si>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</si>
  <si>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</si>
  <si>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</si>
  <si>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</si>
  <si>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</si>
  <si>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</si>
  <si>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</si>
  <si>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</si>
  <si>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</si>
  <si>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</si>
  <si>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</si>
  <si>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</si>
  <si>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</si>
  <si>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</si>
  <si>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</si>
  <si>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</si>
  <si>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</si>
  <si>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</si>
  <si>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</si>
  <si>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</si>
  <si>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</si>
  <si>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</si>
  <si>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</si>
  <si>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</si>
  <si>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</si>
  <si>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</si>
  <si>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</si>
  <si>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</si>
  <si>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</si>
  <si>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</si>
  <si>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</si>
  <si>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</si>
  <si>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</si>
  <si>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</si>
  <si>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</si>
  <si>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</si>
  <si>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</si>
  <si>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</si>
  <si>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</si>
  <si>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</si>
  <si>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</si>
  <si>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</si>
  <si>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</si>
  <si>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</si>
  <si>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</si>
  <si>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</si>
  <si>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</si>
  <si>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</si>
  <si>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</si>
  <si>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</si>
  <si>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</si>
  <si>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</si>
  <si>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</si>
  <si>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</si>
  <si>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</si>
  <si>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</si>
  <si>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</si>
  <si>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</si>
  <si>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</si>
  <si>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</si>
  <si>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</si>
  <si>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</si>
  <si>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</si>
  <si>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</si>
  <si>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</si>
  <si>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</si>
  <si>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</si>
  <si>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</si>
  <si>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</si>
  <si>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</si>
  <si>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</si>
  <si>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</si>
  <si>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</si>
  <si>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</si>
  <si>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</si>
  <si>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</si>
  <si>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</si>
  <si>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</si>
  <si>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</si>
  <si>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</si>
  <si>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</si>
  <si>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</si>
  <si>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</si>
  <si>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</si>
  <si>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</si>
  <si>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</si>
  <si>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</si>
  <si>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</si>
  <si>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</si>
  <si>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</si>
  <si>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</si>
  <si>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</si>
  <si>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</si>
  <si>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</si>
  <si>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</si>
  <si>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</si>
  <si>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</si>
  <si>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</si>
  <si>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</si>
  <si>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</si>
  <si>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</si>
  <si>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</si>
  <si>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</si>
  <si>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</si>
  <si>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</si>
  <si>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</si>
  <si>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</si>
  <si>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</si>
  <si>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</si>
  <si>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</si>
  <si>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</si>
  <si>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</si>
  <si>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</si>
  <si>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</si>
  <si>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</si>
  <si>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</si>
  <si>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</si>
  <si>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</si>
  <si>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</si>
  <si>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</si>
  <si>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</si>
  <si>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</si>
  <si>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</si>
  <si>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</si>
  <si>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</si>
  <si>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</si>
  <si>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</si>
  <si>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</si>
  <si>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</si>
  <si>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</si>
  <si>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</si>
  <si>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</si>
  <si>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</si>
  <si>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</si>
  <si>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</si>
  <si>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</si>
  <si>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</si>
  <si>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</si>
  <si>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</si>
  <si>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</si>
  <si>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</si>
  <si>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</si>
  <si>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</si>
  <si>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</si>
  <si>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</si>
  <si>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</si>
  <si>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</si>
  <si>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</si>
  <si>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</si>
  <si>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</si>
  <si>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</si>
  <si>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</si>
  <si>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</si>
  <si>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</si>
  <si>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</si>
  <si>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</si>
  <si>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</si>
  <si>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</si>
  <si>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</si>
  <si>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</si>
  <si>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</si>
  <si>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</si>
  <si>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</si>
  <si>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</si>
  <si>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</si>
  <si>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</si>
  <si>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</si>
  <si>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</si>
  <si>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</si>
  <si>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</si>
  <si>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</si>
  <si>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</si>
  <si>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</si>
  <si>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</si>
  <si>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</si>
  <si>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</si>
  <si>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</si>
  <si>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</si>
  <si>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</si>
  <si>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</si>
  <si>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</si>
  <si>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</si>
  <si>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</si>
  <si>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</si>
  <si>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</si>
  <si>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</si>
  <si>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</si>
  <si>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</si>
  <si>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</si>
  <si>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</si>
  <si>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</si>
  <si>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</si>
  <si>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</si>
  <si>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</si>
  <si>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</si>
  <si>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</si>
  <si>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</si>
  <si>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</si>
  <si>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</si>
  <si>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</si>
  <si>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</si>
  <si>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</si>
  <si>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</si>
  <si>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</si>
  <si>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</si>
  <si>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</si>
  <si>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</si>
  <si>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</si>
  <si>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</si>
  <si>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</si>
  <si>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</si>
  <si>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</si>
  <si>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</si>
  <si>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</si>
  <si>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</si>
  <si>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</si>
  <si>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</si>
  <si>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</si>
  <si>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</si>
  <si>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</si>
  <si>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</si>
  <si>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</si>
  <si>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</si>
  <si>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</si>
  <si>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</si>
  <si>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</si>
  <si>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</si>
  <si>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</si>
  <si>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</si>
  <si>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</si>
  <si>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</si>
  <si>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</si>
  <si>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</si>
  <si>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</si>
  <si>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</si>
  <si>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</si>
  <si>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</si>
  <si>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</si>
  <si>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</si>
  <si>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</si>
  <si>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</si>
  <si>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</si>
  <si>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</si>
  <si>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</si>
  <si>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</si>
  <si>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</si>
  <si>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</si>
  <si>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</si>
  <si>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</si>
  <si>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</si>
  <si>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</si>
  <si>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</si>
  <si>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</si>
  <si>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</si>
  <si>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</si>
  <si>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</si>
  <si>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</si>
  <si>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</si>
  <si>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</si>
  <si>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</si>
  <si>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</si>
  <si>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</si>
  <si>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</si>
  <si>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</si>
  <si>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</si>
  <si>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</si>
  <si>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</si>
  <si>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</si>
  <si>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</si>
  <si>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</si>
  <si>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</si>
  <si>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</si>
  <si>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</si>
  <si>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</si>
  <si>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</si>
  <si>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</si>
  <si>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</si>
  <si>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</si>
  <si>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</si>
  <si>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</si>
  <si>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</si>
  <si>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</si>
  <si>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</si>
  <si>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</si>
  <si>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</si>
  <si>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</si>
  <si>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</si>
  <si>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</si>
  <si>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</si>
  <si>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</si>
  <si>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</si>
  <si>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</si>
  <si>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</si>
  <si>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</si>
  <si>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</si>
  <si>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</si>
  <si>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</si>
  <si>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</si>
  <si>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</si>
  <si>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</si>
  <si>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</si>
  <si>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</si>
  <si>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</si>
  <si>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</si>
  <si>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</si>
  <si>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</si>
  <si>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</si>
  <si>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</si>
  <si>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</si>
  <si>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</si>
  <si>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</si>
  <si>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</si>
  <si>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</si>
  <si>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</si>
  <si>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</si>
  <si>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</si>
  <si>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</si>
  <si>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</si>
  <si>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</si>
  <si>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</si>
  <si>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</si>
  <si>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</si>
  <si>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</si>
  <si>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</si>
  <si>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</si>
  <si>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</si>
  <si>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</si>
  <si>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</si>
  <si>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</si>
  <si>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</si>
  <si>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</si>
  <si>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</si>
  <si>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</si>
  <si>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</si>
  <si>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</si>
  <si>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</si>
  <si>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</si>
  <si>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</si>
  <si>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</si>
  <si>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</si>
  <si>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</si>
  <si>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</si>
  <si>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</si>
  <si>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</si>
  <si>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</si>
  <si>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</si>
  <si>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</si>
  <si>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</si>
  <si>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</si>
  <si>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</si>
  <si>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</si>
  <si>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</si>
  <si>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</si>
  <si>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</si>
  <si>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</si>
  <si>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</si>
  <si>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</si>
  <si>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</si>
  <si>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</si>
  <si>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</si>
  <si>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</si>
  <si>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</si>
  <si>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</si>
  <si>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</si>
  <si>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</si>
  <si>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</si>
  <si>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</si>
  <si>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</si>
  <si>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</si>
  <si>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</si>
  <si>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</si>
  <si>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</si>
  <si>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</si>
  <si>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</si>
  <si>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</si>
  <si>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</si>
  <si>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</si>
  <si>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</si>
  <si>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</si>
  <si>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</si>
  <si>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</si>
  <si>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</si>
  <si>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</si>
  <si>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</si>
  <si>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</si>
  <si>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</si>
  <si>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</si>
  <si>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</si>
  <si>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</si>
  <si>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</si>
  <si>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</si>
  <si>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</si>
  <si>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</si>
  <si>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</si>
  <si>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</si>
  <si>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</si>
  <si>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</si>
  <si>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</si>
  <si>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</si>
  <si>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</si>
  <si>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</si>
  <si>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</si>
  <si>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</si>
  <si>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</si>
  <si>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</si>
  <si>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</si>
  <si>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</si>
  <si>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</si>
  <si>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</si>
  <si>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</si>
  <si>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</si>
  <si>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</si>
  <si>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</si>
  <si>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</si>
  <si>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</si>
  <si>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</si>
  <si>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</si>
  <si>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</si>
  <si>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</si>
  <si>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</si>
  <si>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</si>
  <si>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</si>
  <si>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</si>
  <si>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</si>
  <si>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</si>
  <si>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</si>
  <si>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</si>
  <si>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</si>
  <si>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</si>
  <si>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</si>
  <si>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</si>
  <si>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</si>
  <si>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</si>
  <si>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</si>
  <si>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</si>
  <si>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</si>
  <si>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</si>
  <si>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</si>
  <si>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</si>
  <si>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</si>
  <si>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</si>
  <si>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</si>
  <si>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</si>
  <si>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</si>
  <si>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</si>
  <si>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</si>
  <si>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</si>
  <si>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</si>
  <si>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</si>
  <si>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</si>
  <si>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</si>
  <si>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</si>
  <si>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</si>
  <si>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</si>
  <si>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</si>
  <si>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</si>
  <si>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</si>
  <si>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</si>
  <si>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</si>
  <si>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</si>
  <si>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</si>
  <si>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</si>
  <si>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</si>
  <si>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</si>
  <si>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</si>
  <si>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</si>
  <si>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</si>
  <si>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</si>
  <si>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</si>
  <si>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</si>
  <si>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</si>
  <si>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</si>
  <si>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</si>
  <si>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</si>
  <si>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</si>
  <si>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</si>
  <si>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</si>
  <si>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</si>
  <si>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</si>
  <si>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</si>
  <si>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</si>
  <si>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</si>
  <si>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</si>
  <si>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</si>
  <si>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</si>
  <si>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</si>
  <si>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</si>
  <si>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</si>
  <si>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</si>
  <si>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</si>
  <si>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</si>
  <si>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</si>
  <si>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</si>
  <si>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</si>
  <si>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</si>
  <si>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</si>
  <si>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</si>
  <si>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</si>
  <si>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</si>
  <si>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</si>
  <si>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</si>
  <si>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</si>
  <si>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</si>
  <si>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</si>
  <si>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</si>
  <si>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</si>
  <si>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</si>
  <si>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</si>
  <si>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</si>
  <si>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</si>
  <si>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</si>
  <si>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</si>
  <si>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</si>
  <si>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</si>
  <si>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</si>
  <si>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</si>
  <si>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</si>
  <si>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</si>
  <si>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</si>
  <si>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</si>
  <si>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</si>
  <si>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</si>
  <si>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</si>
  <si>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</si>
  <si>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</si>
  <si>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</si>
  <si>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</si>
  <si>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</si>
  <si>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</si>
  <si>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</si>
  <si>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</si>
  <si>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</si>
  <si>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</si>
  <si>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</si>
  <si>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</si>
  <si>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</si>
  <si>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</si>
  <si>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</si>
  <si>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</si>
  <si>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</si>
  <si>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</si>
  <si>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</si>
  <si>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</si>
  <si>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</si>
  <si>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</si>
  <si>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</si>
  <si>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</si>
  <si>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</si>
  <si>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</si>
  <si>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</si>
  <si>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</si>
  <si>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</si>
  <si>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</si>
  <si>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</si>
  <si>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</si>
  <si>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</si>
  <si>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</si>
  <si>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</si>
  <si>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</si>
  <si>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</si>
  <si>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</si>
  <si>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</si>
  <si>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</si>
  <si>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</si>
  <si>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</si>
  <si>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</si>
  <si>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</si>
  <si>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</si>
  <si>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</si>
  <si>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</si>
  <si>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</si>
  <si>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</si>
  <si>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</si>
  <si>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</si>
  <si>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</si>
  <si>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</si>
  <si>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</si>
  <si>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</si>
  <si>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</si>
  <si>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</si>
  <si>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</si>
  <si>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</si>
  <si>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</si>
  <si>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</si>
  <si>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</si>
  <si>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</si>
  <si>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</si>
  <si>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</si>
  <si>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</si>
  <si>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</si>
  <si>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</si>
  <si>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</si>
  <si>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</si>
  <si>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</si>
  <si>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</si>
  <si>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</si>
  <si>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</si>
  <si>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</si>
  <si>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</si>
  <si>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</si>
  <si>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</si>
  <si>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</si>
  <si>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</si>
  <si>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</si>
  <si>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</si>
  <si>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</si>
  <si>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</si>
  <si>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</si>
  <si>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</si>
  <si>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</si>
  <si>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</si>
  <si>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</si>
  <si>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</si>
  <si>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</si>
  <si>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</si>
  <si>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</si>
  <si>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</si>
  <si>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</si>
  <si>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</si>
  <si>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</si>
  <si>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</si>
  <si>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</si>
  <si>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</si>
  <si>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</si>
  <si>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</si>
  <si>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</si>
  <si>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</si>
  <si>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</si>
  <si>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</si>
  <si>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</si>
  <si>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</si>
  <si>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</si>
  <si>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</si>
  <si>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</si>
  <si>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</si>
  <si>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</si>
  <si>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</si>
  <si>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</si>
  <si>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</si>
  <si>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</si>
  <si>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</si>
  <si>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</si>
  <si>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</si>
  <si>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</si>
  <si>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</si>
  <si>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</si>
  <si>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</si>
  <si>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</si>
  <si>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</si>
  <si>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</si>
  <si>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</si>
  <si>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</si>
  <si>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</si>
  <si>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</si>
  <si>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</si>
  <si>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</si>
  <si>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</si>
  <si>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</si>
  <si>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</si>
  <si>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</si>
  <si>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</si>
  <si>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</si>
  <si>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</si>
  <si>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</si>
  <si>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</si>
  <si>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</si>
  <si>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</si>
  <si>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</si>
  <si>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</si>
  <si>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</si>
  <si>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</si>
  <si>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</si>
  <si>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</si>
  <si>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</si>
  <si>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</si>
  <si>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</si>
  <si>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</si>
  <si>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</si>
  <si>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</si>
  <si>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</si>
  <si>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</si>
  <si>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</si>
  <si>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</si>
  <si>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</si>
  <si>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</si>
  <si>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</si>
  <si>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</si>
  <si>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</si>
  <si>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</si>
  <si>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</si>
  <si>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</si>
  <si>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</si>
  <si>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</si>
  <si>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</si>
  <si>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</si>
  <si>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</si>
  <si>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</si>
  <si>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</si>
  <si>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</si>
  <si>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</si>
  <si>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</si>
  <si>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</si>
  <si>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</si>
  <si>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</si>
  <si>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</si>
  <si>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</si>
  <si>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</si>
  <si>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</si>
  <si>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</si>
  <si>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</si>
  <si>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</si>
  <si>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</si>
  <si>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</si>
  <si>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</si>
  <si>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</si>
  <si>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</si>
  <si>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</si>
  <si>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</si>
  <si>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</si>
  <si>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</si>
  <si>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</si>
  <si>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</si>
  <si>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</si>
  <si>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</si>
  <si>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</si>
  <si>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</si>
  <si>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</si>
  <si>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</si>
  <si>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</si>
  <si>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</si>
  <si>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</si>
  <si>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</si>
  <si>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</si>
  <si>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</si>
  <si>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</si>
  <si>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</si>
  <si>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</si>
  <si>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</si>
  <si>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</si>
  <si>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</si>
  <si>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</si>
  <si>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</si>
  <si>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</si>
  <si>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</si>
  <si>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</si>
  <si>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</si>
  <si>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</si>
  <si>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</si>
  <si>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</si>
  <si>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</si>
  <si>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</si>
  <si>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</si>
  <si>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</si>
  <si>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</si>
  <si>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</si>
  <si>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</si>
  <si>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</si>
  <si>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</si>
  <si>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</si>
  <si>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</si>
  <si>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</si>
  <si>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</si>
  <si>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</si>
  <si>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</si>
  <si>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</si>
  <si>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</si>
  <si>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</si>
  <si>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</si>
  <si>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</si>
  <si>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</si>
  <si>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</si>
  <si>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</si>
  <si>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</si>
  <si>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</si>
  <si>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</si>
  <si>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</si>
  <si>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</si>
  <si>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</si>
  <si>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</si>
  <si>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</si>
  <si>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</si>
  <si>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</si>
  <si>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</si>
  <si>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</si>
  <si>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</si>
  <si>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</si>
  <si>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</si>
  <si>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</si>
  <si>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</si>
  <si>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</si>
  <si>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</si>
  <si>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</si>
  <si>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</si>
  <si>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</si>
  <si>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</si>
  <si>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</si>
  <si>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</si>
  <si>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</si>
  <si>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</si>
  <si>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</si>
  <si>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</si>
  <si>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</si>
  <si>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</si>
  <si>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</si>
  <si>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</si>
  <si>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</si>
  <si>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</si>
  <si>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</si>
  <si>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</si>
  <si>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</si>
  <si>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</si>
  <si>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</si>
  <si>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</si>
  <si>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</si>
  <si>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</si>
  <si>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</si>
  <si>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</si>
  <si>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</si>
  <si>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</si>
  <si>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</si>
  <si>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</si>
  <si>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</si>
  <si>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</si>
  <si>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</si>
  <si>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</si>
  <si>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</si>
  <si>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</si>
  <si>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</si>
  <si>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</si>
  <si>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</si>
  <si>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</si>
  <si>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</si>
  <si>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</si>
  <si>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</si>
  <si>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</si>
  <si>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</si>
  <si>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</si>
  <si>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</si>
  <si>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</si>
  <si>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</si>
  <si>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</si>
  <si>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</si>
  <si>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</si>
  <si>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</si>
  <si>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</si>
  <si>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</si>
  <si>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</si>
  <si>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</si>
  <si>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</si>
  <si>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</si>
  <si>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</si>
  <si>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</si>
  <si>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</si>
  <si>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</si>
  <si>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</si>
  <si>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</si>
  <si>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</si>
  <si>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</si>
  <si>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</si>
  <si>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</si>
  <si>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</si>
  <si>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</si>
  <si>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</si>
  <si>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</si>
  <si>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</si>
  <si>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</si>
  <si>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</si>
  <si>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</si>
  <si>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</si>
  <si>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</si>
  <si>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</si>
  <si>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</si>
  <si>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</si>
  <si>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</si>
  <si>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</si>
  <si>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</si>
  <si>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</si>
  <si>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</si>
  <si>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</si>
  <si>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</si>
  <si>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</si>
  <si>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</si>
  <si>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</si>
  <si>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</si>
  <si>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</si>
  <si>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</si>
  <si>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</si>
  <si>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</si>
  <si>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</si>
  <si>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</si>
  <si>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</si>
  <si>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</si>
  <si>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</si>
  <si>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</si>
  <si>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</si>
  <si>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</si>
  <si>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</si>
  <si>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</si>
  <si>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</si>
  <si>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</si>
  <si>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</si>
  <si>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</si>
  <si>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</si>
  <si>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</si>
  <si>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</si>
  <si>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</si>
  <si>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</si>
  <si>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</si>
  <si>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</si>
  <si>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</si>
  <si>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</si>
  <si>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</si>
  <si>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</si>
  <si>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</si>
  <si>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</si>
  <si>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</si>
  <si>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</si>
  <si>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</si>
  <si>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</si>
  <si>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</si>
  <si>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</si>
  <si>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</si>
  <si>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</si>
  <si>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</si>
  <si>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</si>
  <si>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</si>
  <si>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</si>
  <si>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</si>
  <si>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</si>
  <si>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</si>
  <si>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</si>
  <si>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</si>
  <si>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</si>
  <si>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</si>
  <si>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</si>
  <si>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</si>
  <si>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</si>
  <si>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</si>
  <si>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</si>
  <si>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</si>
  <si>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</si>
  <si>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</si>
  <si>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</si>
  <si>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</si>
  <si>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</si>
  <si>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</si>
  <si>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</si>
  <si>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</si>
  <si>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</si>
  <si>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</si>
  <si>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</si>
  <si>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</si>
  <si>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</si>
  <si>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</si>
  <si>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</si>
  <si>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</si>
  <si>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</si>
  <si>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</si>
  <si>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</si>
  <si>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</si>
  <si>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</si>
  <si>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</si>
  <si>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</si>
  <si>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</si>
  <si>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</si>
  <si>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</si>
  <si>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</si>
  <si>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</si>
  <si>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</si>
  <si>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</si>
  <si>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</si>
  <si>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</si>
  <si>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</si>
  <si>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</si>
  <si>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</si>
  <si>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</si>
  <si>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</si>
  <si>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</si>
  <si>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</si>
  <si>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</si>
  <si>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</si>
  <si>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</si>
  <si>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</si>
  <si>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</si>
  <si>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</si>
  <si>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</si>
  <si>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</si>
  <si>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</si>
  <si>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</si>
  <si>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</si>
  <si>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</si>
  <si>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</si>
  <si>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</si>
  <si>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</si>
  <si>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</si>
  <si>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</si>
  <si>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</si>
  <si>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</si>
  <si>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</si>
  <si>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</si>
  <si>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</si>
  <si>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</si>
  <si>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</si>
  <si>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</si>
  <si>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</si>
  <si>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</si>
  <si>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</si>
  <si>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</si>
  <si>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</si>
  <si>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</si>
  <si>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</si>
  <si>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</si>
  <si>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</si>
  <si>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</si>
  <si>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</si>
  <si>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</si>
  <si>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</si>
  <si>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</si>
  <si>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</si>
  <si>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</si>
  <si>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</si>
  <si>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</si>
  <si>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</si>
  <si>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</si>
  <si>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</si>
  <si>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</si>
  <si>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</si>
  <si>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</si>
  <si>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</si>
  <si>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</si>
  <si>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</si>
  <si>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</si>
  <si>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</si>
  <si>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</si>
  <si>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</si>
  <si>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</si>
  <si>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</si>
  <si>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</si>
  <si>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</si>
  <si>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</si>
  <si>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</si>
  <si>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</si>
  <si>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</si>
  <si>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</si>
  <si>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</si>
  <si>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</si>
  <si>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</si>
  <si>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</si>
  <si>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</si>
  <si>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</si>
  <si>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</si>
  <si>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</si>
  <si>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</si>
  <si>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</si>
  <si>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</si>
  <si>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</si>
  <si>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</si>
  <si>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</si>
  <si>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</si>
  <si>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</si>
  <si>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</si>
  <si>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</si>
  <si>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</si>
  <si>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</si>
  <si>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</si>
  <si>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</si>
  <si>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</si>
  <si>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</si>
  <si>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</si>
  <si>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</si>
  <si>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</si>
  <si>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</si>
  <si>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</si>
  <si>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</si>
  <si>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</si>
  <si>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</si>
  <si>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</si>
  <si>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</si>
  <si>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</si>
  <si>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</si>
  <si>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</si>
  <si>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</si>
  <si>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</si>
  <si>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</si>
  <si>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</si>
  <si>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</si>
  <si>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</si>
  <si>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</si>
  <si>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</si>
  <si>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</si>
  <si>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</si>
  <si>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</si>
  <si>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</si>
  <si>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</si>
  <si>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</si>
  <si>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</si>
  <si>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</si>
  <si>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</si>
  <si>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</si>
  <si>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</si>
  <si>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</si>
  <si>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</si>
  <si>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</si>
  <si>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</si>
  <si>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</si>
  <si>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</si>
  <si>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</si>
  <si>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</si>
  <si>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</si>
  <si>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</si>
  <si>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</si>
  <si>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</si>
  <si>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</si>
  <si>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</si>
  <si>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</si>
  <si>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</si>
  <si>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</si>
  <si>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</si>
  <si>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</si>
  <si>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</si>
  <si>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</si>
  <si>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</si>
  <si>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</si>
  <si>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</si>
  <si>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</si>
  <si>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</si>
  <si>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</si>
  <si>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</si>
  <si>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</si>
  <si>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</si>
  <si>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</si>
  <si>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</si>
  <si>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</si>
  <si>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</si>
  <si>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</si>
  <si>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</si>
  <si>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</si>
  <si>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</si>
  <si>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</si>
  <si>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</si>
  <si>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</si>
  <si>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</si>
  <si>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</si>
  <si>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</si>
  <si>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</si>
  <si>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</si>
  <si>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</si>
  <si>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</si>
  <si>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</si>
  <si>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</si>
  <si>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</si>
  <si>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</si>
  <si>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</si>
  <si>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</si>
  <si>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</si>
  <si>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</si>
  <si>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</si>
  <si>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</si>
  <si>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</si>
  <si>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</si>
  <si>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</si>
  <si>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</si>
  <si>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</si>
  <si>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</si>
  <si>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</si>
  <si>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</si>
  <si>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</si>
  <si>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</si>
  <si>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</si>
  <si>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</si>
  <si>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</si>
  <si>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</si>
  <si>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</si>
  <si>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</si>
  <si>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</si>
  <si>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</si>
  <si>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</si>
  <si>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</si>
  <si>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</si>
  <si>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</si>
  <si>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</si>
  <si>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</si>
  <si>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</si>
  <si>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</si>
  <si>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</si>
  <si>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</si>
  <si>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</si>
  <si>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</si>
  <si>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</si>
  <si>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</si>
  <si>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</si>
  <si>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</si>
  <si>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</si>
  <si>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</si>
  <si>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</si>
  <si>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</si>
  <si>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</si>
  <si>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</si>
  <si>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</si>
  <si>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</si>
  <si>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</si>
  <si>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</si>
  <si>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</si>
  <si>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</si>
  <si>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</si>
  <si>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</si>
  <si>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</si>
  <si>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</si>
  <si>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</si>
  <si>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</si>
  <si>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</si>
  <si>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</si>
  <si>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</si>
  <si>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</si>
  <si>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</si>
  <si>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</si>
  <si>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</si>
  <si>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</si>
  <si>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</si>
  <si>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</si>
  <si>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</si>
  <si>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</si>
  <si>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</si>
  <si>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</si>
  <si>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</si>
  <si>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</si>
  <si>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</si>
  <si>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</si>
  <si>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</si>
  <si>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</si>
  <si>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</si>
  <si>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</si>
  <si>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</si>
  <si>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</si>
  <si>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</si>
  <si>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</si>
  <si>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</si>
  <si>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</si>
  <si>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</si>
  <si>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</si>
  <si>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</si>
  <si>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</si>
  <si>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</si>
  <si>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</si>
  <si>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</si>
  <si>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</si>
  <si>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</si>
  <si>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</si>
  <si>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</si>
  <si>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</si>
  <si>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</si>
  <si>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</si>
  <si>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</si>
  <si>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</si>
  <si>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</si>
  <si>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</si>
  <si>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</si>
  <si>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</si>
  <si>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</si>
  <si>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</si>
  <si>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</si>
  <si>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</si>
  <si>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</si>
  <si>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</si>
  <si>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</si>
  <si>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</si>
  <si>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</si>
  <si>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</si>
  <si>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</si>
  <si>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</si>
  <si>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</si>
  <si>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</si>
  <si>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</si>
  <si>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</si>
  <si>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</si>
  <si>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</si>
  <si>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</si>
  <si>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</si>
  <si>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</si>
  <si>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</si>
  <si>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</si>
  <si>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</si>
  <si>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</si>
  <si>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</si>
  <si>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</si>
  <si>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</si>
  <si>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</si>
  <si>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</si>
  <si>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</si>
  <si>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</si>
  <si>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</si>
  <si>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</si>
  <si>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</si>
  <si>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</si>
  <si>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</si>
  <si>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</si>
  <si>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</si>
  <si>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</si>
  <si>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</si>
  <si>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</si>
  <si>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</si>
  <si>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</si>
  <si>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</si>
  <si>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</si>
  <si>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</si>
  <si>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</si>
  <si>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</si>
  <si>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</si>
  <si>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</si>
  <si>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</si>
  <si>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</si>
  <si>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</si>
  <si>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</si>
  <si>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</si>
  <si>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</si>
  <si>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</si>
  <si>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</si>
  <si>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</si>
  <si>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</si>
  <si>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</si>
  <si>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</si>
  <si>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</si>
  <si>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</si>
  <si>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</si>
  <si>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</si>
  <si>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</si>
  <si>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</si>
  <si>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</si>
  <si>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</si>
  <si>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</si>
  <si>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</si>
  <si>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</si>
  <si>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</si>
  <si>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</si>
  <si>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</si>
  <si>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</si>
  <si>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</si>
  <si>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</si>
  <si>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</si>
  <si>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</si>
  <si>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</si>
  <si>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</si>
  <si>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</si>
  <si>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</si>
  <si>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</si>
  <si>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</si>
  <si>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</si>
  <si>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</si>
  <si>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</si>
  <si>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</si>
  <si>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</si>
  <si>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</si>
  <si>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</si>
  <si>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</si>
  <si>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</si>
  <si>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</si>
  <si>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</si>
  <si>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</si>
  <si>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</si>
  <si>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</si>
  <si>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</si>
  <si>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</si>
  <si>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</si>
  <si>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</si>
  <si>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</si>
  <si>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</si>
  <si>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</si>
  <si>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</si>
  <si>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</si>
  <si>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</si>
  <si>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</si>
  <si>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</si>
  <si>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</si>
  <si>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</si>
  <si>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</si>
  <si>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</si>
  <si>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</si>
  <si>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</si>
  <si>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</si>
  <si>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</si>
  <si>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</si>
  <si>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</si>
  <si>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</si>
  <si>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</si>
  <si>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</si>
  <si>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</si>
  <si>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</si>
  <si>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</si>
  <si>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</si>
  <si>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</si>
  <si>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</si>
  <si>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</si>
  <si>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</si>
  <si>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</si>
  <si>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</si>
  <si>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</si>
  <si>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</si>
  <si>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</si>
  <si>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</si>
  <si>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</si>
  <si>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</si>
  <si>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</si>
  <si>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</si>
  <si>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</si>
  <si>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</si>
  <si>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</si>
  <si>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</si>
  <si>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</si>
  <si>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</si>
  <si>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</si>
  <si>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</si>
  <si>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</si>
  <si>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</si>
  <si>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</si>
  <si>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</si>
  <si>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</si>
  <si>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</si>
  <si>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</si>
  <si>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</si>
  <si>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</si>
  <si>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</si>
  <si>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</si>
  <si>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</si>
  <si>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</si>
  <si>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</si>
  <si>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</si>
  <si>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</si>
  <si>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</si>
  <si>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</si>
  <si>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</si>
  <si>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</si>
  <si>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</si>
  <si>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</si>
  <si>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</si>
  <si>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</si>
  <si>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</si>
  <si>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</si>
  <si>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</si>
  <si>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</si>
  <si>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</si>
  <si>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</si>
  <si>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</si>
  <si>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</si>
  <si>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</si>
  <si>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</si>
  <si>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</si>
  <si>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</si>
  <si>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</si>
  <si>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</si>
  <si>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</si>
  <si>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</si>
  <si>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</si>
  <si>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</si>
  <si>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</si>
  <si>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</si>
  <si>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</si>
  <si>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</si>
  <si>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</si>
  <si>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</si>
  <si>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</si>
  <si>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</si>
  <si>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</si>
  <si>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</si>
  <si>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</si>
  <si>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</si>
  <si>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</si>
  <si>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</si>
  <si>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</si>
  <si>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</si>
  <si>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</si>
  <si>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</si>
  <si>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</si>
  <si>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</si>
  <si>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</si>
  <si>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</si>
  <si>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</si>
  <si>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</si>
  <si>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</si>
  <si>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</si>
  <si>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</si>
  <si>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</si>
  <si>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</si>
  <si>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</si>
  <si>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</si>
  <si>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</si>
  <si>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</si>
  <si>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</si>
  <si>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</si>
  <si>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</si>
  <si>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</si>
  <si>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</si>
  <si>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</si>
  <si>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</si>
  <si>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</si>
  <si>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</si>
  <si>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</si>
  <si>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</si>
  <si>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</si>
  <si>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</si>
  <si>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</si>
  <si>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</si>
  <si>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</si>
  <si>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</si>
  <si>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</si>
  <si>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</si>
  <si>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</si>
  <si>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</si>
  <si>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</si>
  <si>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</si>
  <si>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</si>
  <si>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</si>
  <si>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</si>
  <si>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</si>
  <si>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</si>
  <si>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</si>
  <si>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</si>
  <si>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</si>
  <si>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</si>
  <si>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</si>
  <si>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</si>
  <si>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</si>
  <si>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</si>
  <si>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</si>
  <si>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</si>
  <si>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</si>
  <si>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</si>
  <si>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</si>
  <si>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</si>
  <si>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</si>
  <si>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</si>
  <si>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</si>
  <si>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</si>
  <si>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</si>
  <si>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</si>
  <si>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</si>
  <si>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</si>
  <si>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</si>
  <si>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</si>
  <si>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</si>
  <si>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</si>
  <si>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</si>
  <si>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</si>
  <si>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</si>
  <si>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</si>
  <si>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</si>
  <si>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</si>
  <si>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</si>
  <si>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</si>
  <si>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</si>
  <si>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</si>
  <si>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</si>
  <si>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</si>
  <si>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</si>
  <si>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</si>
  <si>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</si>
  <si>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</si>
  <si>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</si>
  <si>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</si>
  <si>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</si>
  <si>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</si>
  <si>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</si>
  <si>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</si>
  <si>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</si>
  <si>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</si>
  <si>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</si>
  <si>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</si>
  <si>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</si>
  <si>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</si>
  <si>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</si>
  <si>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</si>
  <si>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</si>
  <si>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</si>
  <si>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</si>
  <si>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</si>
  <si>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</si>
  <si>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</si>
  <si>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</si>
  <si>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</si>
  <si>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</si>
  <si>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</si>
  <si>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</si>
  <si>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</si>
  <si>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</si>
  <si>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</si>
  <si>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</si>
  <si>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</si>
  <si>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</si>
  <si>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</si>
  <si>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</si>
  <si>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</si>
  <si>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</si>
  <si>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</si>
  <si>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</si>
  <si>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</si>
  <si>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</si>
  <si>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</si>
  <si>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</si>
  <si>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</si>
  <si>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</si>
  <si>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</si>
  <si>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</si>
  <si>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</si>
  <si>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</si>
  <si>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</si>
  <si>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</si>
  <si>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</si>
  <si>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</si>
  <si>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</si>
  <si>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</si>
  <si>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</si>
  <si>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</si>
  <si>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</si>
  <si>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</si>
  <si>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</si>
  <si>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</si>
  <si>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</si>
  <si>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</si>
  <si>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</si>
  <si>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</si>
  <si>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</si>
  <si>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</si>
  <si>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</si>
  <si>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</si>
  <si>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</si>
  <si>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</si>
  <si>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</si>
  <si>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</si>
  <si>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</si>
  <si>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</si>
  <si>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</si>
  <si>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</si>
  <si>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</si>
  <si>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</si>
  <si>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</si>
  <si>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</si>
  <si>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</si>
  <si>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</si>
  <si>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</si>
  <si>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</si>
  <si>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</si>
  <si>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</si>
  <si>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</si>
  <si>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</si>
  <si>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</si>
  <si>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</si>
  <si>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</si>
  <si>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</si>
  <si>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</si>
  <si>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</si>
  <si>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</si>
  <si>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</si>
  <si>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</si>
  <si>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</si>
  <si>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</si>
  <si>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</si>
  <si>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</si>
  <si>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</si>
  <si>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</si>
  <si>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</si>
  <si>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</si>
  <si>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</si>
  <si>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</si>
  <si>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</si>
  <si>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</si>
  <si>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</si>
  <si>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</si>
  <si>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</si>
  <si>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</si>
  <si>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</si>
  <si>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</si>
  <si>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</si>
  <si>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</si>
  <si>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</si>
  <si>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</si>
  <si>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</si>
  <si>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</si>
  <si>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</si>
  <si>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</si>
  <si>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</si>
  <si>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</si>
  <si>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</si>
  <si>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</si>
  <si>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</si>
  <si>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</si>
  <si>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</si>
  <si>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</si>
  <si>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</si>
  <si>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</si>
  <si>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</si>
  <si>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</si>
  <si>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</si>
  <si>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</si>
  <si>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</si>
  <si>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</si>
  <si>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</si>
  <si>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</si>
  <si>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</si>
  <si>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</si>
  <si>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</si>
  <si>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</si>
  <si>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</si>
  <si>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</si>
  <si>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</si>
  <si>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</si>
  <si>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</si>
  <si>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</si>
  <si>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</si>
  <si>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</si>
  <si>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</si>
  <si>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</si>
  <si>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</si>
  <si>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</si>
  <si>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</si>
  <si>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</si>
  <si>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</si>
  <si>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</si>
  <si>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</si>
  <si>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</si>
  <si>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</si>
  <si>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</si>
  <si>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</si>
  <si>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</si>
  <si>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</si>
  <si>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</si>
  <si>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</si>
  <si>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</si>
  <si>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</si>
  <si>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</si>
  <si>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</si>
  <si>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</si>
  <si>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</si>
  <si>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</si>
  <si>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</si>
  <si>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</si>
  <si>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</si>
  <si>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</si>
  <si>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</si>
  <si>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</si>
  <si>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</si>
  <si>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</si>
  <si>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</si>
  <si>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</si>
  <si>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</si>
  <si>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</si>
  <si>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</si>
  <si>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</si>
  <si>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</si>
  <si>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</si>
  <si>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</si>
  <si>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</si>
  <si>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</si>
  <si>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</si>
  <si>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</si>
  <si>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</si>
  <si>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</si>
  <si>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</si>
  <si>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</si>
  <si>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</si>
  <si>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</si>
  <si>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</si>
  <si>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</si>
  <si>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</si>
  <si>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</si>
  <si>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</si>
  <si>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</si>
  <si>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</si>
  <si>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</si>
  <si>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</si>
  <si>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</si>
  <si>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</si>
  <si>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</si>
  <si>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</si>
  <si>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</si>
  <si>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</si>
  <si>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</si>
  <si>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</si>
  <si>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</si>
  <si>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</si>
  <si>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</si>
  <si>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</si>
  <si>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</si>
  <si>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</si>
  <si>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</si>
  <si>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</si>
  <si>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</si>
  <si>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</si>
  <si>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</si>
  <si>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</si>
  <si>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</si>
  <si>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</si>
  <si>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</si>
  <si>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</si>
  <si>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</si>
  <si>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</si>
  <si>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</si>
  <si>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</si>
  <si>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</si>
  <si>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</si>
  <si>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</si>
  <si>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</si>
  <si>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</si>
  <si>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</si>
  <si>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</si>
  <si>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</si>
  <si>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</si>
  <si>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</si>
  <si>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</si>
  <si>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</si>
  <si>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</si>
  <si>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</si>
  <si>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</si>
  <si>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</si>
  <si>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</si>
  <si>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</si>
  <si>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</si>
  <si>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</si>
  <si>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</si>
  <si>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</si>
  <si>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</si>
  <si>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</si>
  <si>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</si>
  <si>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</si>
  <si>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</si>
  <si>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</si>
  <si>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</si>
  <si>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</si>
  <si>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</si>
  <si>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</si>
  <si>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</si>
  <si>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</si>
  <si>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</si>
  <si>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</si>
  <si>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</si>
  <si>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</si>
  <si>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</si>
  <si>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</si>
  <si>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</si>
  <si>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</si>
  <si>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</si>
  <si>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</si>
  <si>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</si>
  <si>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</si>
  <si>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</si>
  <si>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</si>
  <si>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</si>
  <si>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</si>
  <si>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</si>
  <si>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</si>
  <si>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</si>
  <si>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</si>
  <si>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</si>
  <si>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</si>
  <si>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</si>
  <si>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</si>
  <si>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</si>
  <si>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</si>
  <si>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</si>
  <si>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</si>
  <si>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</si>
  <si>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</si>
  <si>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</si>
  <si>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</si>
  <si>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</si>
  <si>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</si>
  <si>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</si>
  <si>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</si>
  <si>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</si>
  <si>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</si>
  <si>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</si>
  <si>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</si>
  <si>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</si>
  <si>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</si>
  <si>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</si>
  <si>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</si>
  <si>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</si>
  <si>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</si>
  <si>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</si>
  <si>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</si>
  <si>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</si>
  <si>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</si>
  <si>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</si>
  <si>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</si>
  <si>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</si>
  <si>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</si>
  <si>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</si>
  <si>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</si>
  <si>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</si>
  <si>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</si>
  <si>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</si>
  <si>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</si>
  <si>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</si>
  <si>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</si>
  <si>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</si>
  <si>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</si>
  <si>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</si>
  <si>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</si>
  <si>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</si>
  <si>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</si>
  <si>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</si>
  <si>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</si>
  <si>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</si>
  <si>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</si>
  <si>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</si>
  <si>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</si>
  <si>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</si>
  <si>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</si>
  <si>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</si>
  <si>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</si>
  <si>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</si>
  <si>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</si>
  <si>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</si>
  <si>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</si>
  <si>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</si>
  <si>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</si>
  <si>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</si>
  <si>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</si>
  <si>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</si>
  <si>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</si>
  <si>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</si>
  <si>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</si>
  <si>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</si>
  <si>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</si>
  <si>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</si>
  <si>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</si>
  <si>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</si>
  <si>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</si>
  <si>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</si>
  <si>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</si>
  <si>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</si>
  <si>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</si>
  <si>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</si>
  <si>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</si>
  <si>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</si>
  <si>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</si>
  <si>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</si>
  <si>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</si>
  <si>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</si>
  <si>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</si>
  <si>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</si>
  <si>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</si>
  <si>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</si>
  <si>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</si>
  <si>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</si>
  <si>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</si>
  <si>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</si>
  <si>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</si>
  <si>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</si>
  <si>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</si>
  <si>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</si>
  <si>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</si>
  <si>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</si>
  <si>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</si>
  <si>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</si>
  <si>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</si>
  <si>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</si>
  <si>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</si>
  <si>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</si>
  <si>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</si>
  <si>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</si>
  <si>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</si>
  <si>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</si>
  <si>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</si>
  <si>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</si>
  <si>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</si>
  <si>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</si>
  <si>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</si>
  <si>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</si>
  <si>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</si>
  <si>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</si>
  <si>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</si>
  <si>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</si>
  <si>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</si>
  <si>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</si>
  <si>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</si>
  <si>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</si>
  <si>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</si>
  <si>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</si>
  <si>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</si>
  <si>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</si>
  <si>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</si>
  <si>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</si>
  <si>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</si>
  <si>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</si>
  <si>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</si>
  <si>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</si>
  <si>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</si>
  <si>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</si>
  <si>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</si>
  <si>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</si>
  <si>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</si>
  <si>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</si>
  <si>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</si>
  <si>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</si>
  <si>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</si>
  <si>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</si>
  <si>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</si>
  <si>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</si>
  <si>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</si>
  <si>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</si>
  <si>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</si>
  <si>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</si>
  <si>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</si>
  <si>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</si>
  <si>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</si>
  <si>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</si>
  <si>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</si>
  <si>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</si>
  <si>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</si>
  <si>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</si>
  <si>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</si>
  <si>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</si>
  <si>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</si>
  <si>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</si>
  <si>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</si>
  <si>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</si>
  <si>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</si>
  <si>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</si>
  <si>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</si>
  <si>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</si>
  <si>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</si>
  <si>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</si>
  <si>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</si>
  <si>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</si>
  <si>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</si>
  <si>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</si>
  <si>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</si>
  <si>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</si>
  <si>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</si>
  <si>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</si>
  <si>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</si>
  <si>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</si>
  <si>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</si>
  <si>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</si>
  <si>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</si>
  <si>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</si>
  <si>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</si>
  <si>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</si>
  <si>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</si>
  <si>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</si>
  <si>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</si>
  <si>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</si>
  <si>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</si>
  <si>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</si>
  <si>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</si>
  <si>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</si>
  <si>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</si>
  <si>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</si>
  <si>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</si>
  <si>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</si>
  <si>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</si>
  <si>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</si>
  <si>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</si>
  <si>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</si>
  <si>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</si>
  <si>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</si>
  <si>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</si>
  <si>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</si>
  <si>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</si>
  <si>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</si>
  <si>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</si>
  <si>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</si>
  <si>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</si>
  <si>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</si>
  <si>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</si>
  <si>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</si>
  <si>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</si>
  <si>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</si>
  <si>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</si>
  <si>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</si>
  <si>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</si>
  <si>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</si>
  <si>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</si>
  <si>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</si>
  <si>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</si>
  <si>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</si>
  <si>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</si>
  <si>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</si>
  <si>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</si>
  <si>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</si>
  <si>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</si>
  <si>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</si>
  <si>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</si>
  <si>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</si>
  <si>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</si>
  <si>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</si>
  <si>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</si>
  <si>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</si>
  <si>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</si>
  <si>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</si>
  <si>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</si>
  <si>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</si>
  <si>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</si>
  <si>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</si>
  <si>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</si>
  <si>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</si>
  <si>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</si>
  <si>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</si>
  <si>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</si>
  <si>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</si>
  <si>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</si>
  <si>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</si>
  <si>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</si>
  <si>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</si>
  <si>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</si>
  <si>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</si>
  <si>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</si>
  <si>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</si>
  <si>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</si>
  <si>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</si>
  <si>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</si>
  <si>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</si>
  <si>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</si>
  <si>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</si>
  <si>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</si>
  <si>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</si>
  <si>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</si>
  <si>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</si>
  <si>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</si>
  <si>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</si>
  <si>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</si>
  <si>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</si>
  <si>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</si>
  <si>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</si>
  <si>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</si>
  <si>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</si>
  <si>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</si>
  <si>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</si>
  <si>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</si>
  <si>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</si>
  <si>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</si>
  <si>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</si>
  <si>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</si>
  <si>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</si>
  <si>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</si>
  <si>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</si>
  <si>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</si>
  <si>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</si>
  <si>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</si>
  <si>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</si>
  <si>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</si>
  <si>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</si>
  <si>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</si>
  <si>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</si>
  <si>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</si>
  <si>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</si>
  <si>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</si>
  <si>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</si>
  <si>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</si>
  <si>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</si>
  <si>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</si>
  <si>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</si>
  <si>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</si>
  <si>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</si>
  <si>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</si>
  <si>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</si>
  <si>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</si>
  <si>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</si>
  <si>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</si>
  <si>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</si>
  <si>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</si>
  <si>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</si>
  <si>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</si>
  <si>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</si>
  <si>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</si>
  <si>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</si>
  <si>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</si>
  <si>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</si>
  <si>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</si>
  <si>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</si>
  <si>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</si>
  <si>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</si>
  <si>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</si>
  <si>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</si>
  <si>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</si>
  <si>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</si>
  <si>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</si>
  <si>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</si>
  <si>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</si>
  <si>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</si>
  <si>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</si>
  <si>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</si>
  <si>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</si>
  <si>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</si>
  <si>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</si>
  <si>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</si>
  <si>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</si>
  <si>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</si>
  <si>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</si>
  <si>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</si>
  <si>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</si>
  <si>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</si>
  <si>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</si>
  <si>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</si>
  <si>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</si>
  <si>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</si>
  <si>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</si>
  <si>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</si>
  <si>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</si>
  <si>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</si>
  <si>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</si>
  <si>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</si>
  <si>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</si>
  <si>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</si>
  <si>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</si>
  <si>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</si>
  <si>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</si>
  <si>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</si>
  <si>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</si>
  <si>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</si>
  <si>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</si>
  <si>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</si>
  <si>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</si>
  <si>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</si>
  <si>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</si>
  <si>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</si>
  <si>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</si>
  <si>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</si>
  <si>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</si>
  <si>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</si>
  <si>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</si>
  <si>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</si>
  <si>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</si>
  <si>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</si>
  <si>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</si>
  <si>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</si>
  <si>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</si>
  <si>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</si>
  <si>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</si>
  <si>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</si>
  <si>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</si>
  <si>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</si>
  <si>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</si>
  <si>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</si>
  <si>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</si>
  <si>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</si>
  <si>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</si>
  <si>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</si>
  <si>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</si>
  <si>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</si>
  <si>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</si>
  <si>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</si>
  <si>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</si>
  <si>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</si>
  <si>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</si>
  <si>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</si>
  <si>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</si>
  <si>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</si>
  <si>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</si>
  <si>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</si>
  <si>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</si>
  <si>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</si>
  <si>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</si>
  <si>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</si>
  <si>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</si>
  <si>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</si>
  <si>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</si>
  <si>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</si>
  <si>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</si>
  <si>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</si>
  <si>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</si>
  <si>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</si>
  <si>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</si>
  <si>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</si>
  <si>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</si>
  <si>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</si>
  <si>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</si>
  <si>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</si>
  <si>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</si>
  <si>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</si>
  <si>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</si>
  <si>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</si>
  <si>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</si>
  <si>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</si>
  <si>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</si>
  <si>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</si>
  <si>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</si>
  <si>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</si>
  <si>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</si>
  <si>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</si>
  <si>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</si>
  <si>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</si>
  <si>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</si>
  <si>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</si>
  <si>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</si>
  <si>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</si>
  <si>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</si>
  <si>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</si>
  <si>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</si>
  <si>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</si>
  <si>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</si>
  <si>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</si>
  <si>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</si>
  <si>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</si>
  <si>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</si>
  <si>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</si>
  <si>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</si>
  <si>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</si>
  <si>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</si>
  <si>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</si>
  <si>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</si>
  <si>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</si>
  <si>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</si>
  <si>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</si>
  <si>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</si>
  <si>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</si>
  <si>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</si>
  <si>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</si>
  <si>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</si>
  <si>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</si>
  <si>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</si>
  <si>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</si>
  <si>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</si>
  <si>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</si>
  <si>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</si>
  <si>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</si>
  <si>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</si>
  <si>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</si>
  <si>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</si>
  <si>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</si>
  <si>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</si>
  <si>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</si>
  <si>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</si>
  <si>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</si>
  <si>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</si>
  <si>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</si>
  <si>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</si>
  <si>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</si>
  <si>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</si>
  <si>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</si>
  <si>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</si>
  <si>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</si>
  <si>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</si>
  <si>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</si>
  <si>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</si>
  <si>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</si>
  <si>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</si>
  <si>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</si>
  <si>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</si>
  <si>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</si>
  <si>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</si>
  <si>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</si>
  <si>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</si>
  <si>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</si>
  <si>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</si>
  <si>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</si>
  <si>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</si>
  <si>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</si>
  <si>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</si>
  <si>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</si>
  <si>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</si>
  <si>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</si>
  <si>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</si>
  <si>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</si>
  <si>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</si>
  <si>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</si>
  <si>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</si>
  <si>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</si>
  <si>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</si>
  <si>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</si>
  <si>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</si>
  <si>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</si>
  <si>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</si>
  <si>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</si>
  <si>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</si>
  <si>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</si>
  <si>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</si>
  <si>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</si>
  <si>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</si>
  <si>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</si>
  <si>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</si>
  <si>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</si>
  <si>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</si>
  <si>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</si>
  <si>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</si>
  <si>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</si>
  <si>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</si>
  <si>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</si>
  <si>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</si>
  <si>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</si>
  <si>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</si>
  <si>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</si>
  <si>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</si>
  <si>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</si>
  <si>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</si>
  <si>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</si>
  <si>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</si>
  <si>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</si>
  <si>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</si>
  <si>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</si>
  <si>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</si>
  <si>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</si>
  <si>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</si>
  <si>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</si>
  <si>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</si>
  <si>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</si>
  <si>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</si>
  <si>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</si>
  <si>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</si>
  <si>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</si>
  <si>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</si>
  <si>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</si>
  <si>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</si>
  <si>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</si>
  <si>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</si>
  <si>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</si>
  <si>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</si>
  <si>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</si>
  <si>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</si>
  <si>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</si>
  <si>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</si>
  <si>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</si>
  <si>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</si>
  <si>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</si>
  <si>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</si>
  <si>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</si>
  <si>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</si>
  <si>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</si>
  <si>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</si>
  <si>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</si>
  <si>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</si>
  <si>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</si>
  <si>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</si>
  <si>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</si>
  <si>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</si>
  <si>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</si>
  <si>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</si>
  <si>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</si>
  <si>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</si>
  <si>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</si>
  <si>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</si>
  <si>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</si>
  <si>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</si>
  <si>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</si>
  <si>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</si>
  <si>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</si>
  <si>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</si>
  <si>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</si>
  <si>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</si>
  <si>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</si>
  <si>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</si>
  <si>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</si>
  <si>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</si>
  <si>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</si>
  <si>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</si>
  <si>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</si>
  <si>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</si>
  <si>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</si>
  <si>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</si>
  <si>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</si>
  <si>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</si>
  <si>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</si>
  <si>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</si>
  <si>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</si>
  <si>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</si>
  <si>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</si>
  <si>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</si>
  <si>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</si>
  <si>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</si>
  <si>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</si>
  <si>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</si>
  <si>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</si>
  <si>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</si>
  <si>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</si>
  <si>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</si>
  <si>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</si>
  <si>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</si>
  <si>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</si>
  <si>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</si>
  <si>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</si>
  <si>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</si>
  <si>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</si>
  <si>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</si>
  <si>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</si>
  <si>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</si>
  <si>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</si>
  <si>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</si>
  <si>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</si>
  <si>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</si>
  <si>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</si>
  <si>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</si>
  <si>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</si>
  <si>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</si>
  <si>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</si>
  <si>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</si>
  <si>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</si>
  <si>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</si>
  <si>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</si>
  <si>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</si>
  <si>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</si>
  <si>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</si>
  <si>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</si>
  <si>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</si>
  <si>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</si>
  <si>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</si>
  <si>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</si>
  <si>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</si>
  <si>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</si>
  <si>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</si>
  <si>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</si>
  <si>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</si>
  <si>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</si>
  <si>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</si>
  <si>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</si>
  <si>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</si>
  <si>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</si>
  <si>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</si>
  <si>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</si>
  <si>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</si>
  <si>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</si>
  <si>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</si>
  <si>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</si>
  <si>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</si>
  <si>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</si>
  <si>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</si>
  <si>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</si>
  <si>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</si>
  <si>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</si>
  <si>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</si>
  <si>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</si>
  <si>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</si>
  <si>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</si>
  <si>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</si>
  <si>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</si>
  <si>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</si>
  <si>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</si>
  <si>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</si>
  <si>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</si>
  <si>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</si>
  <si>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</si>
  <si>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</si>
  <si>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</si>
  <si>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</si>
  <si>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</si>
  <si>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</si>
  <si>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</si>
  <si>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</si>
  <si>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</si>
  <si>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</si>
  <si>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</si>
  <si>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</si>
  <si>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</si>
  <si>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</si>
  <si>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</si>
  <si>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</si>
  <si>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</si>
  <si>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</si>
  <si>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</si>
  <si>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</si>
  <si>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</si>
  <si>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</si>
  <si>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</si>
  <si>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</si>
  <si>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</si>
  <si>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</si>
  <si>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</si>
  <si>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</si>
  <si>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</si>
  <si>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</si>
  <si>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</si>
  <si>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</si>
  <si>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</si>
  <si>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</si>
  <si>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</si>
  <si>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</si>
  <si>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</si>
  <si>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</si>
  <si>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</si>
  <si>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</si>
  <si>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</si>
  <si>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</si>
  <si>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</si>
  <si>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</si>
  <si>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</si>
  <si>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</si>
  <si>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</si>
  <si>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</si>
  <si>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</si>
  <si>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</si>
  <si>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</si>
  <si>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</si>
  <si>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</si>
  <si>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</si>
  <si>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</si>
  <si>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</si>
  <si>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</si>
  <si>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</si>
  <si>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</si>
  <si>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</si>
  <si>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</si>
  <si>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</si>
  <si>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</si>
  <si>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</si>
  <si>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</si>
  <si>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</si>
  <si>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</si>
  <si>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</si>
  <si>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</si>
  <si>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</si>
  <si>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</si>
  <si>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</si>
  <si>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</si>
  <si>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</si>
  <si>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</si>
  <si>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</si>
  <si>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</si>
  <si>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</si>
  <si>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</si>
  <si>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</si>
  <si>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</si>
  <si>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</si>
  <si>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</si>
  <si>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</si>
  <si>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</si>
  <si>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</si>
  <si>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</si>
  <si>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</si>
  <si>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</si>
  <si>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</si>
  <si>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</si>
  <si>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</si>
  <si>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</si>
  <si>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</si>
  <si>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</si>
  <si>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</si>
  <si>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</si>
  <si>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</si>
  <si>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</si>
  <si>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</si>
  <si>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</si>
  <si>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</si>
  <si>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</si>
  <si>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</si>
  <si>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</si>
  <si>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</si>
  <si>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</si>
  <si>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</si>
  <si>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</si>
  <si>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</si>
  <si>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</si>
  <si>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</si>
  <si>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</si>
  <si>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</si>
  <si>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</si>
  <si>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</si>
  <si>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</si>
  <si>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</si>
  <si>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</si>
  <si>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</si>
  <si>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</si>
  <si>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</si>
  <si>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</si>
  <si>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</si>
  <si>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</si>
  <si>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</si>
  <si>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</si>
  <si>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</si>
  <si>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</si>
  <si>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</si>
  <si>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</si>
  <si>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</si>
  <si>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</si>
  <si>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</si>
  <si>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</si>
  <si>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</si>
  <si>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</si>
  <si>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</si>
  <si>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</si>
  <si>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</si>
  <si>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</si>
  <si>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</si>
  <si>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</si>
  <si>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</si>
  <si>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</si>
  <si>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</si>
  <si>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</si>
  <si>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</si>
  <si>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</si>
  <si>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</si>
  <si>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</si>
  <si>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</si>
  <si>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</si>
  <si>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</si>
  <si>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</si>
  <si>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</si>
  <si>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</si>
  <si>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</si>
  <si>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</si>
  <si>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</si>
  <si>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</si>
  <si>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</si>
  <si>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</si>
  <si>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</si>
  <si>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</si>
  <si>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</si>
  <si>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</si>
  <si>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</si>
  <si>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AGUARDANDO ELABORAÇÃO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</si>
  <si>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</si>
  <si>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</si>
  <si>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</si>
  <si>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</si>
  <si>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</si>
  <si>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</si>
  <si>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</si>
  <si>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</si>
  <si>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</si>
  <si>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</si>
  <si>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</si>
  <si>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</si>
  <si>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</si>
  <si>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</si>
  <si>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</si>
  <si>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</si>
  <si>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</si>
  <si>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</si>
  <si>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</si>
  <si>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</si>
  <si>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</si>
  <si>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</si>
  <si>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</si>
  <si>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</si>
  <si>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</si>
  <si>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</si>
  <si>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</si>
  <si>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</si>
  <si>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</si>
  <si>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</si>
  <si>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</si>
  <si>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</si>
  <si>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</si>
  <si>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</si>
  <si>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</si>
  <si>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</si>
  <si>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</si>
  <si>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</si>
  <si>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</si>
  <si>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</si>
  <si>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</si>
  <si>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</si>
  <si>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</si>
  <si>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</si>
  <si>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</si>
  <si>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</si>
  <si>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</si>
  <si>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</si>
  <si>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</si>
  <si>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</si>
  <si>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</si>
  <si>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</si>
  <si>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</si>
  <si>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</si>
  <si>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</si>
  <si>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</si>
  <si>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</si>
  <si>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</si>
  <si>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</si>
  <si>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</si>
  <si>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</si>
  <si>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</si>
  <si>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</si>
  <si>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</si>
  <si>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</si>
  <si>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</si>
  <si>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</si>
  <si>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</si>
  <si>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</si>
  <si>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</si>
  <si>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</si>
  <si>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</si>
  <si>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</si>
  <si>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</si>
  <si>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</si>
  <si>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</si>
  <si>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</si>
  <si>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</si>
  <si>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</si>
  <si>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</si>
  <si>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</si>
  <si>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</si>
  <si>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</si>
  <si>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</si>
  <si>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</si>
  <si>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</si>
  <si>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</si>
  <si>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</si>
  <si>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</si>
  <si>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</si>
  <si>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</si>
  <si>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</si>
  <si>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</si>
  <si>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</si>
  <si>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</si>
  <si>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</si>
  <si>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</si>
  <si>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</si>
  <si>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</si>
  <si>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</si>
  <si>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</si>
  <si>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</si>
  <si>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</si>
  <si>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</si>
  <si>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</si>
  <si>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</si>
  <si>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</si>
  <si>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</si>
  <si>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</si>
  <si>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</si>
  <si>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</si>
  <si>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</si>
  <si>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</si>
  <si>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</si>
  <si>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</si>
  <si>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</si>
  <si>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</si>
  <si>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</si>
  <si>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</si>
  <si>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</si>
  <si>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</si>
  <si>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</si>
  <si>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</si>
  <si>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</si>
  <si>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</si>
  <si>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</si>
  <si>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</si>
  <si>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</si>
  <si>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</si>
  <si>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</si>
  <si>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</si>
  <si>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</si>
  <si>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</si>
  <si>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</si>
  <si>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</si>
  <si>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</si>
  <si>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</si>
  <si>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</si>
  <si>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</si>
  <si>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</si>
  <si>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</si>
  <si>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</si>
  <si>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</si>
  <si>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</si>
  <si>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</si>
  <si>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</si>
  <si>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</si>
  <si>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</si>
  <si>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</si>
  <si>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</si>
  <si>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</si>
  <si>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</si>
  <si>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</si>
  <si>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</si>
  <si>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</si>
  <si>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</si>
  <si>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</si>
  <si>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</si>
  <si>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</si>
  <si>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</si>
  <si>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</si>
  <si>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</si>
  <si>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</si>
  <si>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</si>
  <si>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</si>
  <si>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</si>
  <si>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</si>
  <si>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</si>
  <si>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</si>
  <si>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</si>
  <si>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</si>
  <si>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</si>
  <si>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</si>
  <si>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</si>
  <si>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</si>
  <si>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</si>
  <si>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</si>
  <si>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</si>
  <si>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</si>
  <si>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</si>
  <si>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</si>
  <si>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</si>
  <si>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</si>
  <si>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</si>
  <si>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</si>
  <si>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</si>
  <si>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</si>
  <si>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</si>
  <si>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</si>
  <si>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</si>
  <si>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</si>
  <si>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</si>
  <si>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</si>
  <si>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</si>
  <si>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</si>
  <si>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</si>
  <si>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</si>
  <si>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</si>
  <si>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</si>
  <si>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</si>
  <si>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</si>
  <si>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</si>
  <si>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</si>
  <si>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</si>
  <si>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</si>
  <si>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</si>
  <si>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</si>
  <si>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</si>
  <si>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</si>
  <si>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</si>
  <si>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</si>
  <si>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</si>
  <si>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</si>
  <si>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</si>
  <si>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</si>
  <si>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</si>
  <si>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</si>
  <si>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</si>
  <si>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</si>
  <si>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</si>
  <si>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</si>
  <si>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</si>
  <si>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</si>
  <si>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</si>
  <si>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</si>
  <si>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</si>
  <si>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</si>
  <si>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</si>
  <si>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</si>
  <si>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</si>
  <si>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</si>
  <si>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</si>
  <si>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</si>
  <si>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</si>
  <si>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</si>
  <si>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</si>
  <si>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</si>
  <si>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</si>
  <si>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</si>
  <si>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</si>
  <si>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</si>
  <si>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</si>
  <si>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</si>
  <si>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</si>
  <si>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</si>
  <si>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</si>
  <si>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</si>
  <si>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</si>
  <si>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</si>
  <si>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</si>
  <si>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</si>
  <si>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</si>
  <si>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</si>
  <si>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</si>
  <si>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</si>
  <si>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</si>
  <si>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</si>
  <si>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</si>
  <si>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</si>
  <si>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</si>
  <si>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</si>
  <si>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</si>
  <si>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</si>
  <si>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</si>
  <si>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</si>
  <si>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</si>
  <si>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</si>
  <si>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</si>
  <si>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</si>
  <si>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</si>
  <si>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</si>
  <si>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</si>
  <si>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</si>
  <si>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</si>
  <si>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</si>
  <si>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</si>
  <si>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</si>
  <si>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</si>
  <si>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</si>
  <si>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</si>
  <si>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</si>
  <si>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</si>
  <si>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</si>
  <si>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</si>
  <si>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</si>
  <si>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</si>
  <si>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</si>
  <si>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</si>
  <si>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</si>
  <si>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</si>
  <si>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</si>
  <si>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</si>
  <si>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</si>
  <si>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</si>
  <si>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</si>
  <si>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</si>
  <si>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</si>
  <si>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</si>
  <si>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</si>
  <si>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</si>
  <si>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</si>
  <si>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</si>
  <si>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</si>
  <si>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</si>
  <si>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</si>
  <si>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</si>
  <si>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</si>
  <si>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</si>
  <si>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</si>
  <si>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</si>
  <si>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</si>
  <si>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</si>
  <si>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</si>
  <si>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</si>
  <si>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</si>
  <si>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</si>
  <si>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</si>
  <si>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</si>
  <si>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</si>
  <si>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</si>
  <si>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</si>
  <si>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</si>
  <si>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</si>
  <si>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</si>
  <si>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</si>
  <si>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</si>
  <si>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</si>
  <si>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</si>
  <si>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</si>
  <si>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</si>
  <si>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</si>
  <si>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</si>
  <si>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</si>
  <si>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</si>
  <si>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</si>
  <si>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</si>
  <si>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</si>
  <si>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</si>
  <si>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</si>
  <si>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</si>
  <si>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</si>
  <si>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</si>
  <si>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</si>
  <si>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</si>
  <si>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</si>
  <si>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</si>
  <si>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</si>
  <si>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</si>
  <si>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</si>
  <si>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</si>
  <si>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</si>
  <si>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</si>
  <si>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</si>
  <si>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</si>
  <si>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</si>
  <si>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</si>
  <si>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</si>
  <si>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</si>
  <si>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</si>
  <si>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</si>
  <si>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</si>
  <si>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</si>
  <si>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</si>
  <si>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</si>
  <si>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</si>
  <si>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</si>
  <si>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</si>
  <si>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</si>
  <si>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</si>
  <si>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</si>
  <si>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</si>
  <si>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</si>
  <si>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</si>
  <si>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</si>
  <si>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</si>
  <si>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</si>
  <si>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</si>
  <si>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</si>
  <si>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</si>
  <si>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</si>
  <si>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</si>
  <si>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</si>
  <si>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</si>
  <si>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</si>
  <si>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</si>
  <si>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</si>
  <si>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</si>
  <si>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</si>
  <si>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</si>
  <si>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</si>
  <si>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</si>
  <si>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</si>
  <si>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</si>
  <si>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</si>
  <si>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</si>
  <si>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</si>
  <si>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</si>
  <si>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</si>
  <si>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</si>
  <si>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</si>
  <si>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</si>
  <si>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</si>
  <si>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</si>
  <si>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</si>
  <si>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</si>
  <si>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</si>
  <si>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</si>
  <si>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</si>
  <si>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</si>
  <si>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</si>
  <si>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</si>
  <si>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</si>
  <si>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</si>
  <si>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</si>
  <si>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</si>
  <si>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</si>
  <si>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</si>
  <si>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</si>
  <si>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</si>
  <si>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</si>
  <si>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</si>
  <si>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</si>
  <si>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</si>
  <si>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</si>
  <si>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</si>
  <si>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</si>
  <si>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</si>
  <si>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</si>
  <si>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</si>
  <si>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</si>
  <si>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</si>
  <si>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</si>
  <si>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</si>
  <si>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</si>
  <si>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</si>
  <si>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</si>
  <si>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</si>
  <si>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</si>
  <si>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</si>
  <si>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</si>
  <si>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</si>
  <si>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</si>
  <si>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</si>
  <si>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</si>
  <si>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</si>
  <si>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</si>
  <si>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</si>
  <si>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</si>
  <si>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</si>
  <si>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</si>
  <si>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</si>
  <si>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</si>
  <si>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</si>
  <si>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</si>
  <si>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</si>
  <si>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</si>
  <si>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</si>
  <si>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</si>
  <si>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</si>
  <si>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</si>
  <si>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</si>
  <si>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</si>
  <si>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</si>
  <si>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</si>
  <si>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</si>
  <si>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</si>
  <si>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</si>
  <si>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</si>
  <si>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</si>
  <si>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</si>
  <si>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</si>
  <si>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</si>
  <si>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</si>
  <si>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</si>
  <si>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</si>
  <si>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</si>
  <si>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</si>
  <si>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</si>
  <si>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</si>
  <si>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</si>
  <si>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</si>
  <si>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</si>
  <si>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</si>
  <si>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</si>
  <si>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</si>
  <si>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</si>
  <si>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</si>
  <si>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</si>
  <si>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</si>
  <si>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</si>
  <si>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</si>
  <si>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</si>
  <si>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</si>
  <si>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</si>
  <si>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</si>
  <si>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</si>
  <si>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</si>
  <si>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</si>
  <si>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</si>
  <si>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</si>
  <si>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</si>
  <si>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</si>
  <si>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</si>
  <si>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</si>
  <si>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</si>
  <si>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</si>
  <si>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</si>
  <si>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</si>
  <si>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</si>
  <si>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</si>
  <si>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</si>
  <si>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</si>
  <si>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</si>
  <si>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</si>
  <si>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</si>
  <si>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</si>
  <si>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</si>
  <si>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</si>
  <si>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</si>
  <si>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</si>
  <si>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</si>
  <si>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</si>
  <si>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</si>
  <si>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</si>
  <si>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</si>
  <si>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</si>
  <si>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</si>
  <si>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</si>
  <si>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</si>
  <si>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</si>
  <si>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</si>
  <si>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</si>
  <si>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</si>
  <si>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</si>
  <si>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</si>
  <si>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</si>
  <si>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</si>
  <si>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</si>
  <si>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</si>
  <si>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</si>
  <si>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</si>
  <si>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</si>
  <si>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</si>
  <si>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</si>
  <si>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</si>
  <si>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</si>
  <si>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</si>
  <si>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</si>
  <si>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</si>
  <si>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</si>
  <si>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</si>
  <si>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</si>
  <si>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</si>
  <si>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</si>
  <si>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</si>
  <si>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</si>
  <si>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</si>
  <si>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</si>
  <si>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</si>
  <si>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</si>
  <si>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</si>
  <si>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</si>
  <si>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</si>
  <si>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</si>
  <si>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</si>
  <si>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</si>
  <si>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</si>
  <si>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</si>
  <si>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</si>
  <si>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</si>
  <si>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</si>
  <si>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</si>
  <si>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</si>
  <si>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</si>
  <si>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</si>
  <si>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</si>
  <si>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</si>
  <si>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</si>
  <si>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</si>
  <si>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</si>
  <si>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</si>
  <si>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</si>
  <si>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</si>
  <si>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</si>
  <si>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</si>
  <si>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</si>
  <si>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</si>
  <si>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</si>
  <si>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</si>
  <si>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</si>
  <si>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</si>
  <si>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</si>
  <si>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</si>
  <si>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</si>
  <si>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</si>
  <si>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</si>
  <si>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</si>
  <si>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</si>
  <si>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</si>
  <si>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</si>
  <si>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</si>
  <si>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</si>
  <si>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</si>
  <si>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</si>
  <si>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</si>
  <si>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</si>
  <si>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</si>
  <si>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</si>
  <si>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</si>
  <si>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</si>
  <si>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</si>
  <si>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</si>
  <si>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</si>
  <si>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</si>
  <si>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</si>
  <si>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</si>
  <si>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</si>
  <si>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</si>
  <si>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</si>
  <si>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</si>
  <si>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</si>
  <si>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</si>
  <si>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</si>
  <si>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</si>
  <si>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</si>
  <si>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</si>
  <si>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</si>
  <si>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</si>
  <si>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</si>
  <si>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</si>
  <si>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</si>
  <si>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</si>
  <si>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</si>
  <si>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</si>
  <si>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</si>
  <si>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</si>
  <si>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</si>
  <si>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</si>
  <si>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</si>
  <si>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</si>
  <si>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</si>
  <si>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</si>
  <si>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</si>
  <si>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</si>
  <si>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</si>
  <si>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</si>
  <si>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</si>
  <si>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</si>
  <si>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</si>
  <si>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</si>
  <si>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</si>
  <si>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</si>
  <si>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</si>
  <si>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</si>
  <si>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</si>
  <si>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</si>
  <si>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</si>
  <si>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</si>
  <si>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</si>
  <si>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</si>
  <si>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</si>
  <si>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</si>
  <si>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</si>
  <si>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</si>
  <si>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</si>
  <si>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</si>
  <si>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</si>
  <si>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</si>
  <si>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</si>
  <si>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</si>
  <si>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</si>
  <si>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</si>
  <si>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</si>
  <si>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</si>
  <si>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</si>
  <si>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</si>
  <si>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</si>
  <si>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</si>
  <si>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</si>
  <si>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</si>
  <si>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</si>
  <si>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</si>
  <si>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</si>
  <si>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</si>
  <si>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</si>
  <si>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</si>
  <si>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</si>
  <si>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</si>
  <si>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</si>
  <si>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</si>
  <si>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</si>
  <si>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</si>
  <si>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</si>
  <si>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</si>
  <si>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</si>
  <si>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</si>
  <si>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</si>
  <si>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</si>
  <si>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</si>
  <si>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</si>
  <si>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</si>
  <si>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</si>
  <si>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</si>
  <si>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</si>
  <si>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</si>
  <si>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</si>
  <si>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</si>
  <si>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</si>
  <si>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</si>
  <si>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</si>
  <si>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</si>
  <si>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</si>
  <si>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</si>
  <si>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</si>
  <si>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</si>
  <si>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</si>
  <si>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</si>
  <si>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</si>
  <si>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</si>
  <si>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</si>
  <si>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</si>
  <si>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</si>
  <si>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</si>
  <si>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</si>
  <si>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</si>
  <si>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</si>
  <si>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</si>
  <si>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</si>
  <si>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</si>
  <si>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</si>
  <si>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</si>
  <si>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</si>
  <si>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</si>
  <si>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</si>
  <si>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</si>
  <si>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</si>
  <si>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</si>
  <si>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</si>
  <si>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</si>
  <si>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</si>
  <si>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</si>
  <si>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</si>
  <si>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</si>
  <si>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</si>
  <si>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</si>
  <si>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</si>
  <si>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</si>
  <si>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</si>
  <si>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</si>
  <si>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</si>
  <si>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</si>
  <si>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</si>
  <si>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</si>
  <si>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</si>
  <si>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</si>
  <si>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</si>
  <si>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</si>
  <si>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</si>
  <si>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</si>
  <si>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</si>
  <si>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</si>
  <si>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</si>
  <si>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</si>
  <si>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</si>
  <si>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</si>
  <si>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</si>
  <si>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</si>
  <si>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</si>
  <si>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</si>
  <si>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</si>
  <si>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</si>
  <si>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</si>
  <si>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</si>
  <si>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</si>
  <si>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</si>
  <si>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</si>
  <si>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</si>
  <si>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</si>
  <si>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</si>
  <si>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</si>
  <si>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</si>
  <si>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</si>
  <si>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</si>
  <si>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</si>
  <si>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</si>
  <si>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</si>
  <si>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</si>
  <si>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</si>
  <si>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</si>
  <si>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</si>
  <si>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</si>
  <si>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</si>
  <si>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</si>
  <si>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</si>
  <si>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</si>
  <si>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</si>
  <si>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</si>
  <si>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</si>
  <si>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</si>
  <si>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</si>
  <si>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</si>
  <si>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</si>
  <si>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</si>
  <si>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</si>
  <si>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</si>
  <si>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</si>
  <si>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</si>
  <si>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</si>
  <si>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</si>
  <si>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</si>
  <si>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</si>
  <si>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</si>
  <si>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</si>
  <si>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</si>
  <si>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</si>
  <si>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</si>
  <si>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</si>
  <si>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</si>
  <si>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</si>
  <si>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</si>
  <si>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</si>
  <si>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</si>
  <si>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</si>
  <si>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</si>
  <si>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</si>
  <si>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</si>
  <si>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</si>
  <si>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</si>
  <si>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</si>
  <si>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</si>
  <si>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</si>
  <si>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</si>
  <si>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</si>
  <si>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</si>
  <si>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</si>
  <si>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</si>
  <si>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</si>
  <si>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</si>
  <si>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</si>
  <si>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</si>
  <si>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</si>
  <si>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</si>
  <si>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</si>
  <si>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</si>
  <si>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</si>
  <si>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</si>
  <si>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</si>
  <si>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</si>
  <si>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</si>
  <si>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</si>
  <si>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</si>
  <si>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</si>
  <si>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</si>
  <si>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</si>
  <si>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</si>
  <si>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</si>
  <si>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</si>
  <si>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</si>
  <si>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</si>
  <si>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</si>
  <si>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</si>
  <si>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</si>
  <si>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</si>
  <si>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</si>
  <si>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</si>
  <si>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</si>
  <si>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</si>
  <si>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</si>
  <si>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</si>
  <si>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</si>
  <si>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</si>
  <si>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</si>
  <si>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</si>
  <si>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</si>
  <si>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</si>
  <si>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</si>
  <si>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</si>
  <si>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</si>
  <si>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</si>
  <si>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</si>
  <si>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</si>
  <si>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</si>
  <si>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</si>
  <si>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</si>
  <si>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</si>
  <si>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</si>
  <si>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</si>
  <si>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</si>
  <si>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</si>
  <si>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</si>
  <si>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</si>
  <si>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</si>
  <si>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</si>
  <si>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</si>
  <si>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</si>
  <si>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</si>
  <si>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</si>
  <si>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</si>
  <si>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</si>
  <si>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</si>
  <si>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</si>
  <si>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</si>
  <si>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</si>
  <si>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</si>
  <si>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</si>
  <si>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</si>
  <si>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</si>
  <si>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</si>
  <si>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</si>
  <si>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</si>
  <si>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</si>
  <si>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</si>
  <si>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</si>
  <si>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</si>
  <si>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</si>
  <si>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</si>
  <si>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</si>
  <si>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</si>
  <si>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</si>
  <si>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</si>
  <si>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</si>
  <si>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</si>
  <si>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</si>
  <si>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</si>
  <si>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</si>
  <si>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</si>
  <si>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</si>
  <si>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</si>
  <si>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</si>
  <si>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</si>
  <si>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</si>
  <si>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</si>
  <si>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</si>
  <si>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</si>
  <si>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</si>
  <si>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</si>
  <si>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</si>
  <si>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</si>
  <si>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</si>
  <si>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</si>
  <si>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</si>
  <si>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</si>
  <si>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</si>
  <si>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</si>
  <si>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</si>
  <si>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</si>
  <si>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</si>
  <si>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</si>
  <si>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</si>
  <si>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</si>
  <si>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</si>
  <si>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</si>
  <si>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</si>
  <si>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</si>
  <si>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</si>
  <si>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</si>
  <si>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</si>
  <si>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</si>
  <si>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</si>
  <si>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</si>
  <si>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</si>
  <si>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</si>
  <si>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</si>
  <si>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</si>
  <si>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</si>
  <si>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</si>
  <si>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</si>
  <si>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</si>
  <si>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</si>
  <si>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</si>
  <si>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</si>
  <si>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</si>
  <si>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</si>
  <si>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</si>
  <si>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</si>
  <si>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</si>
  <si>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</si>
  <si>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</si>
  <si>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</si>
  <si>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</si>
  <si>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</si>
  <si>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</si>
  <si>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</si>
  <si>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</si>
  <si>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</si>
  <si>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</si>
  <si>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</si>
  <si>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</si>
  <si>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</si>
  <si>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</si>
  <si>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</si>
  <si>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</si>
  <si>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</si>
  <si>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</si>
  <si>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</si>
  <si>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</si>
  <si>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</si>
  <si>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</si>
  <si>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</si>
  <si>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</si>
  <si>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</si>
  <si>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</si>
  <si>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</si>
  <si>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</si>
  <si>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</si>
  <si>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</si>
  <si>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</si>
  <si>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</si>
  <si>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</si>
  <si>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</si>
  <si>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</si>
  <si>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</si>
  <si>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</si>
  <si>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</si>
  <si>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</si>
  <si>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</si>
  <si>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</si>
  <si>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</si>
  <si>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</si>
  <si>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</si>
  <si>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</si>
  <si>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</si>
  <si>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</si>
  <si>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</si>
  <si>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</si>
  <si>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</si>
  <si>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</si>
  <si>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</si>
  <si>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</si>
  <si>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</si>
  <si>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</si>
  <si>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</si>
  <si>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</si>
  <si>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</si>
  <si>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</si>
  <si>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</si>
  <si>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</si>
  <si>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</si>
  <si>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</si>
  <si>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</si>
  <si>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</si>
  <si>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</si>
  <si>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</si>
  <si>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</si>
  <si>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</si>
  <si>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</si>
  <si>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</si>
  <si>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</si>
  <si>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</si>
  <si>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</si>
  <si>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</si>
  <si>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</si>
  <si>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</si>
  <si>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</si>
  <si>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</si>
  <si>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</si>
  <si>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</si>
  <si>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</si>
  <si>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</si>
  <si>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</si>
  <si>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</si>
  <si>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</si>
  <si>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</si>
  <si>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</si>
  <si>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</si>
  <si>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</si>
  <si>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</si>
  <si>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</si>
  <si>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</si>
  <si>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</si>
  <si>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</si>
  <si>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</si>
  <si>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</si>
  <si>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</si>
  <si>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</si>
  <si>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</si>
  <si>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</si>
  <si>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</si>
  <si>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</si>
  <si>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</si>
  <si>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</si>
  <si>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</si>
  <si>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</si>
  <si>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</si>
  <si>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</si>
  <si>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</si>
  <si>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</si>
  <si>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</si>
  <si>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</si>
  <si>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</si>
  <si>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</si>
  <si>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</si>
  <si>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</si>
  <si>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</si>
  <si>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</si>
  <si>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</si>
  <si>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</si>
  <si>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</si>
  <si>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</si>
  <si>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</si>
  <si>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</si>
  <si>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</si>
  <si>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</si>
  <si>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</si>
  <si>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</si>
  <si>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</si>
  <si>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</si>
  <si>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</si>
  <si>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</si>
  <si>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</si>
  <si>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</si>
  <si>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</si>
  <si>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</si>
  <si>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</si>
  <si>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</si>
  <si>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</si>
  <si>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</si>
  <si>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</si>
  <si>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</si>
  <si>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</si>
  <si>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</si>
  <si>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</si>
  <si>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</si>
  <si>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</si>
  <si>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</si>
  <si>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</si>
  <si>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</si>
  <si>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</si>
  <si>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</si>
  <si>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</si>
  <si>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</si>
  <si>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</si>
  <si>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</si>
  <si>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</si>
  <si>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</si>
  <si>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</si>
  <si>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</si>
  <si>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</si>
  <si>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</si>
  <si>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</si>
  <si>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</si>
  <si>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</si>
  <si>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</si>
  <si>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</si>
  <si>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</si>
  <si>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</si>
  <si>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</si>
  <si>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</si>
  <si>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</si>
  <si>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</si>
  <si>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</si>
  <si>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</si>
  <si>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</si>
  <si>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</si>
  <si>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</si>
  <si>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</si>
  <si>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</si>
  <si>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</si>
  <si>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</si>
  <si>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</si>
  <si>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</si>
  <si>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</si>
  <si>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</si>
  <si>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</si>
  <si>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</si>
  <si>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</si>
  <si>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</si>
  <si>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</si>
  <si>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</si>
  <si>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</si>
  <si>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</si>
  <si>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</si>
  <si>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</si>
  <si>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</si>
  <si>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</si>
  <si>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</si>
  <si>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</si>
  <si>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</si>
  <si>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</si>
  <si>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</si>
  <si>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</si>
  <si>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</si>
  <si>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</si>
  <si>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</si>
  <si>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</si>
  <si>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</si>
  <si>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</si>
  <si>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</si>
  <si>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</si>
  <si>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</si>
  <si>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</si>
  <si>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</si>
  <si>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</si>
  <si>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</si>
  <si>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</si>
  <si>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</si>
  <si>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</si>
  <si>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</si>
  <si>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</si>
  <si>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</si>
  <si>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</si>
  <si>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</si>
  <si>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</si>
  <si>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</si>
  <si>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</si>
  <si>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</si>
  <si>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</si>
  <si>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</si>
  <si>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</si>
  <si>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</si>
  <si>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</si>
  <si>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</si>
  <si>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</si>
  <si>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</si>
  <si>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</si>
  <si>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</si>
  <si>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</si>
  <si>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</si>
  <si>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</si>
  <si>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</si>
  <si>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</si>
  <si>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</si>
  <si>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</si>
  <si>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</si>
  <si>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</si>
  <si>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</si>
  <si>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</si>
  <si>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</si>
  <si>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</si>
  <si>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</si>
  <si>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</si>
  <si>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</si>
  <si>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</si>
  <si>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</si>
  <si>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</si>
  <si>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</si>
  <si>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</si>
  <si>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</si>
  <si>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</si>
  <si>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</si>
  <si>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</si>
  <si>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</si>
  <si>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</si>
  <si>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</si>
  <si>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</si>
  <si>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</si>
  <si>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</si>
  <si>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</si>
  <si>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</si>
  <si>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</si>
  <si>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</si>
  <si>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</si>
  <si>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</si>
  <si>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</si>
  <si>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</si>
  <si>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</si>
  <si>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</si>
  <si>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</si>
  <si>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</si>
  <si>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</si>
  <si>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</si>
  <si>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</si>
  <si>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</si>
  <si>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</si>
  <si>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</si>
  <si>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</si>
  <si>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</si>
  <si>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</si>
  <si>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</si>
  <si>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</si>
  <si>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</si>
  <si>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</si>
  <si>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</si>
  <si>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</si>
  <si>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</si>
  <si>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</si>
  <si>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</si>
  <si>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</si>
  <si>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</si>
  <si>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</si>
  <si>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</si>
  <si>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</si>
  <si>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</si>
  <si>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</si>
  <si>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</si>
  <si>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</si>
  <si>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</si>
  <si>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</si>
  <si>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</si>
  <si>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</si>
  <si>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</si>
  <si>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</si>
  <si>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</si>
  <si>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</si>
  <si>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MARIA JOSEFA ABRANTES </t>
  </si>
  <si>
    <t>37.912.692-8</t>
  </si>
  <si>
    <t>341.913.178-06</t>
  </si>
  <si>
    <t>6014.2026/0002491-3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</si>
  <si>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</si>
  <si>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</si>
  <si>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</si>
  <si>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</si>
  <si>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</si>
  <si>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</si>
  <si>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</si>
  <si>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</si>
  <si>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</si>
  <si>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</si>
  <si>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</si>
  <si>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</si>
  <si>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</si>
  <si>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</si>
  <si>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</si>
  <si>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</si>
  <si>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</si>
  <si>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</si>
  <si>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</si>
  <si>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</si>
  <si>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</si>
  <si>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</si>
  <si>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</si>
  <si>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</si>
  <si>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</si>
  <si>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</si>
  <si>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</si>
  <si>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</si>
  <si>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</si>
  <si>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</si>
  <si>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</si>
  <si>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</si>
  <si>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</si>
  <si>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</si>
  <si>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</si>
  <si>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</si>
  <si>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</si>
  <si>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</si>
  <si>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</si>
  <si>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</si>
  <si>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</si>
  <si>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</si>
  <si>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</si>
  <si>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</si>
  <si>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</si>
  <si>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</si>
  <si>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</si>
  <si>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</si>
  <si>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</si>
  <si>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</si>
  <si>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</si>
  <si>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</si>
  <si>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</si>
  <si>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</si>
  <si>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</si>
  <si>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</si>
  <si>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</si>
  <si>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</si>
  <si>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</si>
  <si>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</si>
  <si>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</si>
  <si>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</si>
  <si>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</si>
  <si>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</si>
  <si>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</si>
  <si>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</si>
  <si>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</si>
  <si>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</si>
  <si>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</si>
  <si>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</si>
  <si>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</si>
  <si>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</si>
  <si>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</si>
  <si>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</si>
  <si>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</si>
  <si>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</si>
  <si>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</si>
  <si>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</si>
  <si>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</si>
  <si>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</si>
  <si>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</si>
  <si>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</si>
  <si>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</si>
  <si>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</si>
  <si>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</si>
  <si>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</si>
  <si>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</si>
  <si>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</si>
  <si>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</si>
  <si>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</si>
  <si>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</si>
  <si>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</si>
  <si>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</si>
  <si>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</si>
  <si>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</si>
  <si>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</si>
  <si>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</si>
  <si>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</si>
  <si>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</si>
  <si>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</si>
  <si>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</si>
  <si>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</si>
  <si>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</si>
  <si>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</si>
  <si>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</si>
  <si>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</si>
  <si>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</si>
  <si>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</si>
  <si>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</si>
  <si>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</si>
  <si>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</si>
  <si>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</si>
  <si>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</si>
  <si>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</si>
  <si>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</si>
  <si>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</si>
  <si>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</si>
  <si>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</si>
  <si>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</si>
  <si>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</si>
  <si>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</si>
  <si>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</si>
  <si>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</si>
  <si>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</si>
  <si>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</si>
  <si>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</si>
  <si>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</si>
  <si>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</si>
  <si>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</si>
  <si>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</si>
  <si>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</si>
  <si>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</si>
  <si>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</si>
  <si>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</si>
  <si>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</si>
  <si>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</si>
  <si>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</si>
  <si>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</si>
  <si>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</si>
  <si>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</si>
  <si>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</si>
  <si>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</si>
  <si>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</si>
  <si>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</si>
  <si>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</si>
  <si>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</si>
  <si>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</si>
  <si>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</si>
  <si>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</si>
  <si>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</si>
  <si>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</si>
  <si>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</si>
  <si>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</si>
  <si>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</si>
  <si>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</si>
  <si>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</si>
  <si>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</si>
  <si>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</si>
  <si>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</si>
  <si>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</si>
  <si>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</si>
  <si>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</si>
  <si>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</si>
  <si>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</si>
  <si>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</si>
  <si>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</si>
  <si>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</si>
  <si>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</si>
  <si>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</si>
  <si>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</si>
  <si>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</si>
  <si>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</si>
  <si>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</si>
  <si>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</si>
  <si>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</si>
  <si>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</si>
  <si>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</si>
  <si>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</si>
  <si>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</si>
  <si>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</si>
  <si>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</si>
  <si>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</si>
  <si>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</si>
  <si>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</si>
  <si>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</si>
  <si>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</si>
  <si>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</si>
  <si>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</si>
  <si>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</si>
  <si>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</si>
  <si>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</si>
  <si>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</si>
  <si>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</si>
  <si>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</si>
  <si>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</si>
  <si>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</si>
  <si>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</si>
  <si>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</si>
  <si>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</si>
  <si>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</si>
  <si>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</si>
  <si>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</si>
  <si>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</si>
  <si>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</si>
  <si>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</si>
  <si>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</si>
  <si>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</si>
  <si>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</si>
  <si>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</si>
  <si>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</si>
  <si>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</si>
  <si>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</si>
  <si>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</si>
  <si>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</si>
  <si>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</si>
  <si>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</si>
  <si>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</si>
  <si>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</si>
  <si>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</si>
  <si>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</si>
  <si>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</si>
  <si>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</si>
  <si>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</si>
  <si>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</si>
  <si>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</si>
  <si>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</si>
  <si>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</si>
  <si>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</si>
  <si>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</si>
  <si>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</si>
  <si>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</si>
  <si>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MIGUEL ANGEL COARITE APAZA</t>
  </si>
  <si>
    <t>RNE Y261716-0</t>
  </si>
  <si>
    <t>221.498.438-03</t>
  </si>
  <si>
    <t>6014.2026/0002811-0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</si>
  <si>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</si>
  <si>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</si>
  <si>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</si>
  <si>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</si>
  <si>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</si>
  <si>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</si>
  <si>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</si>
  <si>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</si>
  <si>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</si>
  <si>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</si>
  <si>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</si>
  <si>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</si>
  <si>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</si>
  <si>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</si>
  <si>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</si>
  <si>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</si>
  <si>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</si>
  <si>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</si>
  <si>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</si>
  <si>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</si>
  <si>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</si>
  <si>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</si>
  <si>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</si>
  <si>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</si>
  <si>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</si>
  <si>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</si>
  <si>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</si>
  <si>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</si>
  <si>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</si>
  <si>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</si>
  <si>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</si>
  <si>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</si>
  <si>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</si>
  <si>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</si>
  <si>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</si>
  <si>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</si>
  <si>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</si>
  <si>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</si>
  <si>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</si>
  <si>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</si>
  <si>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</si>
  <si>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</si>
  <si>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</si>
  <si>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</si>
  <si>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</si>
  <si>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</si>
  <si>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</si>
  <si>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</si>
  <si>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</si>
  <si>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</si>
  <si>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</si>
  <si>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</si>
  <si>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</si>
  <si>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</si>
  <si>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</si>
  <si>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</si>
  <si>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</si>
  <si>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</si>
  <si>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</si>
  <si>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</si>
  <si>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</si>
  <si>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</si>
  <si>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</si>
  <si>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</si>
  <si>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</si>
  <si>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</si>
  <si>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</si>
  <si>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</si>
  <si>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</si>
  <si>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</si>
  <si>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</si>
  <si>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</si>
  <si>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</si>
  <si>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</si>
  <si>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</si>
  <si>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</si>
  <si>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</si>
  <si>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</si>
  <si>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</si>
  <si>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</si>
  <si>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</si>
  <si>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</si>
  <si>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</si>
  <si>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</si>
  <si>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</si>
  <si>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</si>
  <si>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</si>
  <si>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</si>
  <si>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</si>
  <si>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</si>
  <si>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</si>
  <si>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</si>
  <si>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</si>
  <si>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</si>
  <si>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</si>
  <si>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</si>
  <si>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</si>
  <si>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</si>
  <si>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</si>
  <si>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</si>
  <si>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</si>
  <si>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</si>
  <si>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</si>
  <si>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</si>
  <si>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</si>
  <si>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</si>
  <si>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</si>
  <si>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</si>
  <si>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</si>
  <si>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</si>
  <si>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</si>
  <si>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</si>
  <si>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</si>
  <si>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</si>
  <si>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</si>
  <si>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</si>
  <si>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</si>
  <si>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</si>
  <si>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</si>
  <si>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</si>
  <si>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</si>
  <si>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</si>
  <si>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</si>
  <si>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</si>
  <si>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</si>
  <si>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</si>
  <si>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</si>
  <si>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</si>
  <si>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</si>
  <si>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</si>
  <si>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</si>
  <si>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</si>
  <si>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</si>
  <si>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</si>
  <si>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</si>
  <si>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</si>
  <si>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</si>
  <si>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</si>
  <si>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</si>
  <si>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</si>
  <si>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</si>
  <si>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</si>
  <si>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</si>
  <si>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</si>
  <si>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</si>
  <si>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</si>
  <si>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</si>
  <si>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</si>
  <si>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</si>
  <si>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</si>
  <si>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</si>
  <si>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</si>
  <si>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</si>
  <si>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</si>
  <si>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</si>
  <si>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</si>
  <si>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</si>
  <si>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</si>
  <si>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</si>
  <si>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</si>
  <si>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</si>
  <si>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</si>
  <si>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</si>
  <si>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</si>
  <si>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</si>
  <si>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</si>
  <si>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</si>
  <si>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</si>
  <si>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</si>
  <si>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</si>
  <si>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</si>
  <si>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</si>
  <si>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</si>
  <si>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</si>
  <si>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</si>
  <si>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</si>
  <si>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</si>
  <si>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</si>
  <si>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</si>
  <si>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</si>
  <si>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</si>
  <si>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</si>
  <si>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</si>
  <si>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</si>
  <si>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</si>
  <si>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</si>
  <si>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</si>
  <si>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</si>
  <si>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</si>
  <si>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</si>
  <si>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</si>
  <si>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</si>
  <si>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</si>
  <si>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</si>
  <si>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</si>
  <si>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</si>
  <si>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</si>
  <si>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</si>
  <si>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</si>
  <si>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</si>
  <si>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</si>
  <si>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</si>
  <si>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</si>
  <si>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</si>
  <si>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</si>
  <si>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</si>
  <si>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</si>
  <si>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</si>
  <si>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</si>
  <si>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</si>
  <si>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</si>
  <si>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</si>
  <si>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</si>
  <si>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</si>
  <si>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</si>
  <si>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</si>
  <si>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</si>
  <si>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</si>
  <si>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</si>
  <si>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</si>
  <si>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</si>
  <si>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</si>
  <si>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</si>
  <si>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</si>
  <si>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</si>
  <si>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</si>
  <si>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</si>
  <si>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</si>
  <si>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</si>
  <si>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</si>
  <si>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</si>
  <si>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</si>
  <si>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</si>
  <si>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</si>
  <si>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</si>
  <si>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</si>
  <si>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</si>
  <si>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</si>
  <si>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</si>
  <si>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</si>
  <si>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</si>
  <si>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</si>
  <si>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</si>
  <si>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</si>
  <si>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</si>
  <si>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</si>
  <si>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</si>
  <si>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</si>
  <si>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</si>
  <si>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</si>
  <si>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</si>
  <si>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</si>
  <si>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</si>
  <si>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</si>
  <si>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</si>
  <si>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</si>
  <si>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</si>
  <si>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</si>
  <si>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</si>
  <si>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</si>
  <si>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</si>
  <si>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</si>
  <si>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</si>
  <si>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</si>
  <si>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</si>
  <si>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</si>
  <si>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</si>
  <si>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</si>
  <si>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</si>
  <si>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</si>
  <si>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</si>
  <si>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</si>
  <si>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</si>
  <si>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</si>
  <si>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</si>
  <si>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</si>
  <si>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</si>
  <si>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</si>
  <si>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</si>
  <si>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</si>
  <si>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</si>
  <si>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</si>
  <si>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</si>
  <si>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</si>
  <si>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</si>
  <si>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</si>
  <si>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</si>
  <si>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</si>
  <si>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</si>
  <si>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</si>
  <si>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</si>
  <si>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</si>
  <si>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</si>
  <si>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</si>
  <si>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</si>
  <si>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</si>
  <si>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</si>
  <si>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</si>
  <si>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</si>
  <si>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</si>
  <si>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</si>
  <si>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</si>
  <si>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</si>
  <si>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</si>
  <si>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</si>
  <si>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</si>
  <si>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</si>
  <si>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</si>
  <si>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</si>
  <si>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</si>
  <si>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CARLOS EDUARDO OLIVEIRA SANTOS</t>
  </si>
  <si>
    <t>53.025.253-3</t>
  </si>
  <si>
    <t>411.396.438/60</t>
  </si>
  <si>
    <t>009/0030/A</t>
  </si>
  <si>
    <t>ALINE SILVA SOUZA</t>
  </si>
  <si>
    <t>44.862.733-4</t>
  </si>
  <si>
    <t>377.484.518-26</t>
  </si>
  <si>
    <t>6014.2026/0002350-0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</si>
  <si>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</si>
  <si>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</si>
  <si>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</si>
  <si>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</si>
  <si>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</si>
  <si>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</si>
  <si>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</si>
  <si>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</si>
  <si>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</si>
  <si>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</si>
  <si>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</si>
  <si>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</si>
  <si>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</si>
  <si>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</si>
  <si>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</si>
  <si>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</si>
  <si>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</si>
  <si>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</si>
  <si>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</si>
  <si>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</si>
  <si>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</si>
  <si>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</si>
  <si>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</si>
  <si>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</si>
  <si>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</si>
  <si>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</si>
  <si>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</si>
  <si>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</si>
  <si>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</si>
  <si>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</si>
  <si>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</si>
  <si>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</si>
  <si>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</si>
  <si>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</si>
  <si>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</si>
  <si>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</si>
  <si>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</si>
  <si>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</si>
  <si>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</si>
  <si>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</si>
  <si>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</si>
  <si>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</si>
  <si>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</si>
  <si>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</si>
  <si>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</si>
  <si>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</si>
  <si>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</si>
  <si>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</si>
  <si>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</si>
  <si>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</si>
  <si>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</si>
  <si>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</si>
  <si>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</si>
  <si>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</si>
  <si>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</si>
  <si>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</si>
  <si>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</si>
  <si>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</si>
  <si>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</si>
  <si>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</si>
  <si>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</si>
  <si>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</si>
  <si>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</si>
  <si>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</si>
  <si>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</si>
  <si>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</si>
  <si>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</si>
  <si>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</si>
  <si>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</si>
  <si>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</si>
  <si>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</si>
  <si>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</si>
  <si>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</si>
  <si>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</si>
  <si>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</si>
  <si>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</si>
  <si>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</si>
  <si>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</si>
  <si>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</si>
  <si>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</si>
  <si>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</si>
  <si>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</si>
  <si>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</si>
  <si>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</si>
  <si>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</si>
  <si>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</si>
  <si>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</si>
  <si>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</si>
  <si>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</si>
  <si>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</si>
  <si>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</si>
  <si>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</si>
  <si>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</si>
  <si>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</si>
  <si>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</si>
  <si>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</si>
  <si>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</si>
  <si>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</si>
  <si>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</si>
  <si>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</si>
  <si>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</si>
  <si>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</si>
  <si>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</si>
  <si>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</si>
  <si>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</si>
  <si>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</si>
  <si>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</si>
  <si>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</si>
  <si>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</si>
  <si>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</si>
  <si>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</si>
  <si>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</si>
  <si>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</si>
  <si>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</si>
  <si>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</si>
  <si>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</si>
  <si>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</si>
  <si>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</si>
  <si>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</si>
  <si>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</si>
  <si>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</si>
  <si>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</si>
  <si>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</si>
  <si>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</si>
  <si>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</si>
  <si>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</si>
  <si>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</si>
  <si>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</si>
  <si>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</si>
  <si>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</si>
  <si>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</si>
  <si>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</si>
  <si>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</si>
  <si>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</si>
  <si>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</si>
  <si>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</si>
  <si>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</si>
  <si>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</si>
  <si>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</si>
  <si>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</si>
  <si>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</si>
  <si>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</si>
  <si>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</si>
  <si>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</si>
  <si>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</si>
  <si>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</si>
  <si>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</si>
  <si>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</si>
  <si>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</si>
  <si>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</si>
  <si>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</si>
  <si>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</si>
  <si>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</si>
  <si>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</si>
  <si>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</si>
  <si>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</si>
  <si>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</si>
  <si>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</si>
  <si>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</si>
  <si>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</si>
  <si>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</si>
  <si>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AGUARDANDO NOVA CONTA BANCÁRIA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</si>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</sst>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2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8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42" fillId="0" borderId="7" xfId="0" applyNumberFormat="1" applyFont="1" applyBorder="1" applyAlignment="1">
      <alignment horizontal="center" vertical="center"/>
    </xf>
    <xf numFmtId="168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8" fontId="42" fillId="0" borderId="12" xfId="0" applyNumberFormat="1" applyFont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8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8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8" fontId="58" fillId="11" borderId="13" xfId="0" applyNumberFormat="1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8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36" fillId="0" borderId="0" xfId="0" applyFont="1" applyBorder="1" applyAlignment="1">
      <alignment horizontal="center" vertical="center" wrapText="1"/>
    </xf>
    <xf numFmtId="0" fontId="35" fillId="0" borderId="0" xfId="0" applyFont="1" applyBorder="1" applyAlignment="1">
      <alignment horizontal="center" vertical="center" wrapText="1"/>
    </xf>
    <xf numFmtId="168" fontId="35" fillId="0" borderId="0" xfId="0" applyNumberFormat="1" applyFont="1" applyBorder="1" applyAlignment="1">
      <alignment horizontal="center" vertical="center"/>
    </xf>
    <xf numFmtId="0" fontId="39" fillId="0" borderId="0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0" fontId="36" fillId="0" borderId="0" xfId="0" applyFont="1" applyBorder="1" applyAlignment="1">
      <alignment horizontal="center" vertical="center"/>
    </xf>
    <xf numFmtId="168" fontId="35" fillId="21" borderId="0" xfId="0" applyNumberFormat="1" applyFont="1" applyFill="1" applyBorder="1" applyAlignment="1">
      <alignment horizontal="center" vertical="center"/>
    </xf>
    <xf numFmtId="168" fontId="36" fillId="11" borderId="0" xfId="0" applyNumberFormat="1" applyFont="1" applyFill="1" applyBorder="1" applyAlignment="1">
      <alignment horizontal="center" vertical="center"/>
    </xf>
    <xf numFmtId="168" fontId="54" fillId="11" borderId="0" xfId="0" applyNumberFormat="1" applyFont="1" applyFill="1" applyBorder="1" applyAlignment="1">
      <alignment horizontal="center" vertical="center"/>
    </xf>
    <xf numFmtId="0" fontId="54" fillId="11" borderId="0" xfId="0" applyFont="1" applyFill="1" applyBorder="1" applyAlignment="1">
      <alignment horizontal="center" vertical="center"/>
    </xf>
    <xf numFmtId="0" fontId="35" fillId="11" borderId="0" xfId="0" applyFont="1" applyFill="1" applyBorder="1" applyAlignment="1">
      <alignment horizontal="center" vertical="center"/>
    </xf>
    <xf numFmtId="0" fontId="55" fillId="0" borderId="0" xfId="0" applyFont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56" fillId="0" borderId="0" xfId="0" applyFont="1" applyBorder="1" applyAlignment="1">
      <alignment horizontal="center" vertical="center"/>
    </xf>
    <xf numFmtId="0" fontId="38" fillId="0" borderId="0" xfId="0" applyFont="1" applyBorder="1" applyAlignment="1">
      <alignment horizontal="center" vertical="center"/>
    </xf>
    <xf numFmtId="0" fontId="56" fillId="11" borderId="0" xfId="0" applyFont="1" applyFill="1" applyBorder="1" applyAlignment="1">
      <alignment horizontal="center" vertical="center"/>
    </xf>
    <xf numFmtId="0" fontId="38" fillId="11" borderId="0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98" t="s">
        <v>101</v>
      </c>
      <c r="B1" s="299"/>
      <c r="C1" s="299"/>
      <c r="D1" s="299"/>
      <c r="E1" s="299"/>
      <c r="F1" s="299"/>
      <c r="G1" s="299"/>
      <c r="H1" s="299"/>
      <c r="I1" s="299"/>
      <c r="J1" s="299"/>
      <c r="K1" s="299"/>
      <c r="L1" s="299"/>
      <c r="M1" s="300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297" t="s">
        <v>197</v>
      </c>
      <c r="P51" s="297"/>
      <c r="Q51" s="297"/>
      <c r="R51" s="297"/>
      <c r="S51" s="297"/>
      <c r="T51" s="297"/>
      <c r="U51" s="297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0" priority="5" stopIfTrue="1"/>
  </conditionalFormatting>
  <conditionalFormatting sqref="A3:A128">
    <cfRule type="duplicateValues" dxfId="289" priority="4" stopIfTrue="1"/>
  </conditionalFormatting>
  <conditionalFormatting sqref="A3:A626">
    <cfRule type="duplicateValues" dxfId="288" priority="1" stopIfTrue="1"/>
  </conditionalFormatting>
  <conditionalFormatting sqref="B2684">
    <cfRule type="duplicateValues" dxfId="287" priority="3" stopIfTrue="1"/>
  </conditionalFormatting>
  <conditionalFormatting sqref="C689">
    <cfRule type="duplicateValues" dxfId="28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C988"/>
  <sheetViews>
    <sheetView showGridLines="0" tabSelected="1" zoomScale="85" zoomScaleNormal="85" workbookViewId="0">
      <pane xSplit="6" ySplit="9" topLeftCell="AH235" activePane="bottomRight" state="frozen"/>
      <selection pane="bottomRight" activeCell="AK247" sqref="AK247"/>
      <selection pane="bottomLeft"/>
      <selection pane="topRight"/>
    </sheetView>
  </sheetViews>
  <sheetFormatPr defaultColWidth="9.140625" defaultRowHeight="30" customHeight="1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>
      <c r="A8" s="291" t="s">
        <v>4369</v>
      </c>
      <c r="B8" s="292"/>
      <c r="C8" s="292"/>
      <c r="D8" s="292"/>
      <c r="E8" s="292"/>
      <c r="F8" s="292"/>
      <c r="G8" s="292"/>
      <c r="H8" s="292"/>
      <c r="I8" s="292"/>
      <c r="J8" s="293"/>
      <c r="K8" s="292"/>
      <c r="L8" s="292"/>
      <c r="M8" s="292"/>
      <c r="N8" s="292"/>
      <c r="O8" s="294"/>
      <c r="P8" s="287" t="s">
        <v>4370</v>
      </c>
      <c r="Q8" s="287"/>
      <c r="R8" s="287"/>
      <c r="S8" s="287"/>
      <c r="T8" s="287"/>
      <c r="U8" s="288"/>
      <c r="V8" s="287"/>
      <c r="W8" s="287"/>
      <c r="X8" s="289"/>
      <c r="Y8" s="288"/>
      <c r="Z8" s="287"/>
      <c r="AA8" s="290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295" t="s">
        <v>4372</v>
      </c>
      <c r="BC8" s="296"/>
      <c r="BD8" s="285"/>
      <c r="BE8" s="286"/>
      <c r="BF8" s="286"/>
      <c r="BG8" s="286"/>
      <c r="BH8" s="286"/>
      <c r="BI8" s="286"/>
      <c r="BJ8" s="286"/>
      <c r="BK8" s="286"/>
      <c r="BL8" s="286"/>
      <c r="BM8" s="286"/>
    </row>
    <row r="9" spans="1:107" s="100" customFormat="1" ht="38.25" customHeight="1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customHeight="1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>IF(AY10-KD10=0,"",AY10-O10)</f>
        <v/>
      </c>
      <c r="BD10" s="103" t="str">
        <f>IF(AND(AI10&lt;&gt;"SIM",AI10="UH"),"AA","INDENIZAÇÃO")</f>
        <v>AA</v>
      </c>
      <c r="BE10" s="103" t="str">
        <f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customHeight="1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4347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>IF(AY11-KD11=0,"",AY11-O11)</f>
        <v/>
      </c>
      <c r="BD11" s="103" t="str">
        <f>IF(AND(AI11&lt;&gt;"SIM",AI11="UH"),"AA","INDENIZAÇÃO")</f>
        <v>INDENIZAÇÃO</v>
      </c>
      <c r="BE11" s="103" t="str">
        <f>IF(AND(AY11&lt;&gt;"AGUARDANDO",AY11&lt;&gt;"",N11="AUXÍLIO ALUGUEL ATÉ INDENIZAÇÃO"),"SIM","NÃO")</f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303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>IF(AY12-KD12=0,"",AY12-O12)</f>
        <v>50</v>
      </c>
      <c r="BD12" s="103" t="str">
        <f>IF(AND(AI12&lt;&gt;"SIM",AI12="UH"),"AA","INDENIZAÇÃO")</f>
        <v>INDENIZAÇÃO</v>
      </c>
      <c r="BE12" s="103" t="str">
        <f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>IF(AY13-KD13=0,"",AY13-O13)</f>
        <v>84</v>
      </c>
      <c r="BD13" s="103" t="str">
        <f>IF(AND(AI13&lt;&gt;"SIM",AI13="UH"),"AA","INDENIZAÇÃO")</f>
        <v>INDENIZAÇÃO</v>
      </c>
      <c r="BE13" s="103" t="str">
        <f>IF(AND(AY13&lt;&gt;"AGUARDANDO",AY13&lt;&gt;"",N13="AUXÍLIO ALUGUEL ATÉ INDENIZAÇÃO"),"SIM","NÃO")</f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2" t="s">
        <v>4461</v>
      </c>
      <c r="BM13" s="239"/>
    </row>
    <row r="14" spans="1:107" s="231" customFormat="1" ht="29.25" customHeight="1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>IF(AY14-KD14=0,"",AY14-O14)</f>
        <v/>
      </c>
      <c r="BD14" s="103" t="str">
        <f>IF(AND(AI14&lt;&gt;"SIM",AI14="UH"),"AA","INDENIZAÇÃO")</f>
        <v>INDENIZAÇÃO</v>
      </c>
      <c r="BE14" s="103" t="str">
        <f>IF(AND(AY14&lt;&gt;"AGUARDANDO",AY14&lt;&gt;"",N14="AUXÍLIO ALUGUEL ATÉ INDENIZAÇÃO"),"SIM","NÃO")</f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customHeight="1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>IF(AY15-KD15=0,"",AY15-O15)</f>
        <v/>
      </c>
      <c r="BD15" s="103" t="str">
        <f>IF(AND(AI15&lt;&gt;"SIM",AI15="UH"),"AA","INDENIZAÇÃO")</f>
        <v>AA</v>
      </c>
      <c r="BE15" s="103" t="str">
        <f>IF(AND(AY15&lt;&gt;"AGUARDANDO",AY15&lt;&gt;"",N15="AUXÍLIO ALUGUEL ATÉ INDENIZAÇÃO"),"SIM","NÃO")</f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>IF(AY16-KD16=0,"",AY16-O16)</f>
        <v>36</v>
      </c>
      <c r="BD16" s="103" t="str">
        <f>IF(AND(AI16&lt;&gt;"SIM",AI16="UH"),"AA","INDENIZAÇÃO")</f>
        <v>INDENIZAÇÃO</v>
      </c>
      <c r="BE16" s="103" t="str">
        <f>IF(AND(AY16&lt;&gt;"AGUARDANDO",AY16&lt;&gt;"",N16="AUXÍLIO ALUGUEL ATÉ INDENIZAÇÃO"),"SIM","NÃO")</f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customHeight="1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>IF(AY17-KD17=0,"",AY17-O17)</f>
        <v/>
      </c>
      <c r="BD17" s="103" t="str">
        <f>IF(AND(AI17&lt;&gt;"SIM",AI17="UH"),"AA","INDENIZAÇÃO")</f>
        <v>AA</v>
      </c>
      <c r="BE17" s="103" t="str">
        <f>IF(AND(AY17&lt;&gt;"AGUARDANDO",AY17&lt;&gt;"",N17="AUXÍLIO ALUGUEL ATÉ INDENIZAÇÃO"),"SIM","NÃO")</f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customHeight="1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>IF(AY18-KD18=0,"",AY18-O18)</f>
        <v/>
      </c>
      <c r="BD18" s="103" t="str">
        <f>IF(AND(AI18&lt;&gt;"SIM",AI18="UH"),"AA","INDENIZAÇÃO")</f>
        <v>AA</v>
      </c>
      <c r="BE18" s="103" t="str">
        <f>IF(AND(AY18&lt;&gt;"AGUARDANDO",AY18&lt;&gt;"",N18="AUXÍLIO ALUGUEL ATÉ INDENIZAÇÃO"),"SIM","NÃO")</f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customHeight="1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>IF(AY19-KD19=0,"",AY19-O19)</f>
        <v/>
      </c>
      <c r="BD19" s="103" t="str">
        <f>IF(AND(AI19&lt;&gt;"SIM",AI19="UH"),"AA","INDENIZAÇÃO")</f>
        <v>INDENIZAÇÃO</v>
      </c>
      <c r="BE19" s="103" t="str">
        <f>IF(AND(AY19&lt;&gt;"AGUARDANDO",AY19&lt;&gt;"",N19="AUXÍLIO ALUGUEL ATÉ INDENIZAÇÃO"),"SIM","NÃO")</f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customHeight="1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>IF(AY20-KD20=0,"",AY20-O20)</f>
        <v/>
      </c>
      <c r="BD20" s="103" t="str">
        <f>IF(AND(AI20&lt;&gt;"SIM",AI20="UH"),"AA","INDENIZAÇÃO")</f>
        <v>AA</v>
      </c>
      <c r="BE20" s="103" t="str">
        <f>IF(AND(AY20&lt;&gt;"AGUARDANDO",AY20&lt;&gt;"",N20="AUXÍLIO ALUGUEL ATÉ INDENIZAÇÃO"),"SIM","NÃO")</f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5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>IF(AY21-KD21=0,"",AY21-O21)</f>
        <v>96</v>
      </c>
      <c r="BD21" s="103" t="str">
        <f>IF(AND(AI21&lt;&gt;"SIM",AI21="UH"),"AA","INDENIZAÇÃO")</f>
        <v>INDENIZAÇÃO</v>
      </c>
      <c r="BE21" s="103" t="str">
        <f>IF(AND(AY21&lt;&gt;"AGUARDANDO",AY21&lt;&gt;"",N21="AUXÍLIO ALUGUEL ATÉ INDENIZAÇÃO"),"SIM","NÃO")</f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2" t="s">
        <v>4461</v>
      </c>
      <c r="BM21" s="237"/>
    </row>
    <row r="22" spans="1:107" s="231" customFormat="1" ht="29.25" customHeight="1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>IF(AY22-KD22=0,"",AY22-O22)</f>
        <v/>
      </c>
      <c r="BD22" s="103" t="str">
        <f>IF(AND(AI22&lt;&gt;"SIM",AI22="UH"),"AA","INDENIZAÇÃO")</f>
        <v>AA</v>
      </c>
      <c r="BE22" s="103" t="str">
        <f>IF(AND(AY22&lt;&gt;"AGUARDANDO",AY22&lt;&gt;"",N22="AUXÍLIO ALUGUEL ATÉ INDENIZAÇÃO"),"SIM","NÃO")</f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>IF(AY23-KD23=0,"",AY23-O23)</f>
        <v>48</v>
      </c>
      <c r="BD23" s="103" t="str">
        <f>IF(AND(AI23&lt;&gt;"SIM",AI23="UH"),"AA","INDENIZAÇÃO")</f>
        <v>INDENIZAÇÃO</v>
      </c>
      <c r="BE23" s="103" t="str">
        <f>IF(AND(AY23&lt;&gt;"AGUARDANDO",AY23&lt;&gt;"",N23="AUXÍLIO ALUGUEL ATÉ INDENIZAÇÃO"),"SIM","NÃO")</f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customHeight="1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>IF(AY24-KD24=0,"",AY24-O24)</f>
        <v>58</v>
      </c>
      <c r="BD24" s="103" t="str">
        <f>IF(AND(AI24&lt;&gt;"SIM",AI24="UH"),"AA","INDENIZAÇÃO")</f>
        <v>INDENIZAÇÃO</v>
      </c>
      <c r="BE24" s="103" t="str">
        <f>IF(AND(AY24&lt;&gt;"AGUARDANDO",AY24&lt;&gt;"",N24="AUXÍLIO ALUGUEL ATÉ INDENIZAÇÃO"),"SIM","NÃO")</f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customHeight="1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303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>IF(AY25-KD25=0,"",AY25-O25)</f>
        <v>36</v>
      </c>
      <c r="BD25" s="103" t="str">
        <f>IF(AND(AI25&lt;&gt;"SIM",AI25="UH"),"AA","INDENIZAÇÃO")</f>
        <v>INDENIZAÇÃO</v>
      </c>
      <c r="BE25" s="103" t="str">
        <f>IF(AND(AY25&lt;&gt;"AGUARDANDO",AY25&lt;&gt;"",N25="AUXÍLIO ALUGUEL ATÉ INDENIZAÇÃO"),"SIM","NÃO")</f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customHeight="1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>IF(AY26-KD26=0,"",AY26-O26)</f>
        <v/>
      </c>
      <c r="BD26" s="103" t="str">
        <f>IF(AND(AI26&lt;&gt;"SIM",AI26="UH"),"AA","INDENIZAÇÃO")</f>
        <v>INDENIZAÇÃO</v>
      </c>
      <c r="BE26" s="103" t="str">
        <f>IF(AND(AY26&lt;&gt;"AGUARDANDO",AY26&lt;&gt;"",N26="AUXÍLIO ALUGUEL ATÉ INDENIZAÇÃO"),"SIM","NÃO")</f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customHeight="1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>IF(AY27-KD27=0,"",AY27-O27)</f>
        <v/>
      </c>
      <c r="BD27" s="103" t="str">
        <f>IF(AND(AI27&lt;&gt;"SIM",AI27="UH"),"AA","INDENIZAÇÃO")</f>
        <v>AA</v>
      </c>
      <c r="BE27" s="103" t="str">
        <f>IF(AND(AY27&lt;&gt;"AGUARDANDO",AY27&lt;&gt;"",N27="AUXÍLIO ALUGUEL ATÉ INDENIZAÇÃO"),"SIM","NÃO")</f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customHeight="1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>IF(AY28-KD28=0,"",AY28-O28)</f>
        <v/>
      </c>
      <c r="BD28" s="103" t="str">
        <f>IF(AND(AI28&lt;&gt;"SIM",AI28="UH"),"AA","INDENIZAÇÃO")</f>
        <v>AA</v>
      </c>
      <c r="BE28" s="103" t="str">
        <f>IF(AND(AY28&lt;&gt;"AGUARDANDO",AY28&lt;&gt;"",N28="AUXÍLIO ALUGUEL ATÉ INDENIZAÇÃO"),"SIM","NÃO")</f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customHeight="1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>IF(AY29-KD29=0,"",AY29-O29)</f>
        <v/>
      </c>
      <c r="BD29" s="103" t="str">
        <f>IF(AND(AI29&lt;&gt;"SIM",AI29="UH"),"AA","INDENIZAÇÃO")</f>
        <v>AA</v>
      </c>
      <c r="BE29" s="103" t="str">
        <f>IF(AND(AY29&lt;&gt;"AGUARDANDO",AY29&lt;&gt;"",N29="AUXÍLIO ALUGUEL ATÉ INDENIZAÇÃO"),"SIM","NÃO")</f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>IF(AY30-KD30=0,"",AY30-O30)</f>
        <v>43</v>
      </c>
      <c r="BD30" s="103" t="str">
        <f>IF(AND(AI30&lt;&gt;"SIM",AI30="UH"),"AA","INDENIZAÇÃO")</f>
        <v>INDENIZAÇÃO</v>
      </c>
      <c r="BE30" s="103" t="str">
        <f>IF(AND(AY30&lt;&gt;"AGUARDANDO",AY30&lt;&gt;"",N30="AUXÍLIO ALUGUEL ATÉ INDENIZAÇÃO"),"SIM","NÃO")</f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customHeight="1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>IF(AY31-KD31=0,"",AY31-O31)</f>
        <v/>
      </c>
      <c r="BD31" s="103" t="str">
        <f>IF(AND(AI31&lt;&gt;"SIM",AI31="UH"),"AA","INDENIZAÇÃO")</f>
        <v>AA</v>
      </c>
      <c r="BE31" s="103" t="str">
        <f>IF(AND(AY31&lt;&gt;"AGUARDANDO",AY31&lt;&gt;"",N31="AUXÍLIO ALUGUEL ATÉ INDENIZAÇÃO"),"SIM","NÃO")</f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customHeight="1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>IF(AY32-KD32=0,"",AY32-O32)</f>
        <v/>
      </c>
      <c r="BD32" s="103" t="str">
        <f>IF(AND(AI32&lt;&gt;"SIM",AI32="UH"),"AA","INDENIZAÇÃO")</f>
        <v>AA</v>
      </c>
      <c r="BE32" s="103" t="str">
        <f>IF(AND(AY32&lt;&gt;"AGUARDANDO",AY32&lt;&gt;"",N32="AUXÍLIO ALUGUEL ATÉ INDENIZAÇÃO"),"SIM","NÃO")</f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customHeight="1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>IF(AY33-KD33=0,"",AY33-O33)</f>
        <v/>
      </c>
      <c r="BD33" s="103" t="str">
        <f>IF(AND(AI33&lt;&gt;"SIM",AI33="UH"),"AA","INDENIZAÇÃO")</f>
        <v>AA</v>
      </c>
      <c r="BE33" s="103" t="str">
        <f>IF(AND(AY33&lt;&gt;"AGUARDANDO",AY33&lt;&gt;"",N33="AUXÍLIO ALUGUEL ATÉ INDENIZAÇÃO"),"SIM","NÃO")</f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>IF(AY34-KD34=0,"",AY34-O34)</f>
        <v>54</v>
      </c>
      <c r="BD34" s="103" t="str">
        <f>IF(AND(AI34&lt;&gt;"SIM",AI34="UH"),"AA","INDENIZAÇÃO")</f>
        <v>INDENIZAÇÃO</v>
      </c>
      <c r="BE34" s="103" t="str">
        <f>IF(AND(AY34&lt;&gt;"AGUARDANDO",AY34&lt;&gt;"",N34="AUXÍLIO ALUGUEL ATÉ INDENIZAÇÃO"),"SIM","NÃO")</f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customHeight="1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>IF(AY35-KD35=0,"",AY35-O35)</f>
        <v/>
      </c>
      <c r="BD35" s="103" t="str">
        <f>IF(AND(AI35&lt;&gt;"SIM",AI35="UH"),"AA","INDENIZAÇÃO")</f>
        <v>AA</v>
      </c>
      <c r="BE35" s="103" t="str">
        <f>IF(AND(AY35&lt;&gt;"AGUARDANDO",AY35&lt;&gt;"",N35="AUXÍLIO ALUGUEL ATÉ INDENIZAÇÃO"),"SIM","NÃO")</f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customHeight="1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>IF(AY36-KD36=0,"",AY36-O36)</f>
        <v/>
      </c>
      <c r="BD36" s="103" t="str">
        <f>IF(AND(AI36&lt;&gt;"SIM",AI36="UH"),"AA","INDENIZAÇÃO")</f>
        <v>AA</v>
      </c>
      <c r="BE36" s="103" t="str">
        <f>IF(AND(AY36&lt;&gt;"AGUARDANDO",AY36&lt;&gt;"",N36="AUXÍLIO ALUGUEL ATÉ INDENIZAÇÃO"),"SIM","NÃO")</f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customHeight="1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>IF(AY37-KD37=0,"",AY37-O37)</f>
        <v/>
      </c>
      <c r="BD37" s="103" t="str">
        <f>IF(AND(AI37&lt;&gt;"SIM",AI37="UH"),"AA","INDENIZAÇÃO")</f>
        <v>INDENIZAÇÃO</v>
      </c>
      <c r="BE37" s="103" t="str">
        <f>IF(AND(AY37&lt;&gt;"AGUARDANDO",AY37&lt;&gt;"",N37="AUXÍLIO ALUGUEL ATÉ INDENIZAÇÃO"),"SIM","NÃO")</f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302" t="s">
        <v>4330</v>
      </c>
      <c r="H38" s="103" t="s">
        <v>4331</v>
      </c>
      <c r="I38" s="304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>IF(AY38-KD38=0,"",AY38-O38)</f>
        <v>72</v>
      </c>
      <c r="BD38" s="103" t="str">
        <f>IF(AND(AI38&lt;&gt;"SIM",AI38="UH"),"AA","INDENIZAÇÃO")</f>
        <v>INDENIZAÇÃO</v>
      </c>
      <c r="BE38" s="103" t="str">
        <f>IF(AND(AY38&lt;&gt;"AGUARDANDO",AY38&lt;&gt;"",N38="AUXÍLIO ALUGUEL ATÉ INDENIZAÇÃO"),"SIM","NÃO")</f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customHeight="1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>IF(AY39-KD39=0,"",AY39-O39)</f>
        <v>82</v>
      </c>
      <c r="BD39" s="103" t="str">
        <f>IF(AND(AI39&lt;&gt;"SIM",AI39="UH"),"AA","INDENIZAÇÃO")</f>
        <v>INDENIZAÇÃO</v>
      </c>
      <c r="BE39" s="103" t="str">
        <f>IF(AND(AY39&lt;&gt;"AGUARDANDO",AY39&lt;&gt;"",N39="AUXÍLIO ALUGUEL ATÉ INDENIZAÇÃO"),"SIM","NÃO")</f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customHeight="1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>IF(AY40-KD40=0,"",AY40-O40)</f>
        <v>72</v>
      </c>
      <c r="BD40" s="103" t="str">
        <f>IF(AND(AI40&lt;&gt;"SIM",AI40="UH"),"AA","INDENIZAÇÃO")</f>
        <v>INDENIZAÇÃO</v>
      </c>
      <c r="BE40" s="103" t="str">
        <f>IF(AND(AY40&lt;&gt;"AGUARDANDO",AY40&lt;&gt;"",N40="AUXÍLIO ALUGUEL ATÉ INDENIZAÇÃO"),"SIM","NÃO")</f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customHeight="1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>IF(AY41-KD41=0,"",AY41-O41)</f>
        <v/>
      </c>
      <c r="BD41" s="103" t="str">
        <f>IF(AND(AI41&lt;&gt;"SIM",AI41="UH"),"AA","INDENIZAÇÃO")</f>
        <v>AA</v>
      </c>
      <c r="BE41" s="103" t="str">
        <f>IF(AND(AY41&lt;&gt;"AGUARDANDO",AY41&lt;&gt;"",N41="AUXÍLIO ALUGUEL ATÉ INDENIZAÇÃO"),"SIM","NÃO")</f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customHeight="1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>IF(AY42-KD42=0,"",AY42-O42)</f>
        <v/>
      </c>
      <c r="BD42" s="103" t="str">
        <f>IF(AND(AI42&lt;&gt;"SIM",AI42="UH"),"AA","INDENIZAÇÃO")</f>
        <v>AA</v>
      </c>
      <c r="BE42" s="103" t="str">
        <f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>IF(AY43-KD43=0,"",AY43-O43)</f>
        <v>47</v>
      </c>
      <c r="BD43" s="103" t="str">
        <f>IF(AND(AI43&lt;&gt;"SIM",AI43="UH"),"AA","INDENIZAÇÃO")</f>
        <v>INDENIZAÇÃO</v>
      </c>
      <c r="BE43" s="103" t="str">
        <f>IF(AND(AY43&lt;&gt;"AGUARDANDO",AY43&lt;&gt;"",N43="AUXÍLIO ALUGUEL ATÉ INDENIZAÇÃO"),"SIM","NÃO")</f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customHeight="1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>IF(AY44-KD44=0,"",AY44-O44)</f>
        <v/>
      </c>
      <c r="BD44" s="103" t="str">
        <f>IF(AND(AI44&lt;&gt;"SIM",AI44="UH"),"AA","INDENIZAÇÃO")</f>
        <v>AA</v>
      </c>
      <c r="BE44" s="103" t="str">
        <f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>IF(AY45-KD45=0,"",AY45-O45)</f>
        <v>47</v>
      </c>
      <c r="BD45" s="103" t="str">
        <f>IF(AND(AI45&lt;&gt;"SIM",AI45="UH"),"AA","INDENIZAÇÃO")</f>
        <v>INDENIZAÇÃO</v>
      </c>
      <c r="BE45" s="103" t="str">
        <f>IF(AND(AY45&lt;&gt;"AGUARDANDO",AY45&lt;&gt;"",N45="AUXÍLIO ALUGUEL ATÉ INDENIZAÇÃO"),"SIM","NÃO")</f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customHeight="1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>IF(AY46-KD46=0,"",AY46-O46)</f>
        <v>43</v>
      </c>
      <c r="BD46" s="103" t="str">
        <f>IF(AND(AI46&lt;&gt;"SIM",AI46="UH"),"AA","INDENIZAÇÃO")</f>
        <v>INDENIZAÇÃO</v>
      </c>
      <c r="BE46" s="103" t="str">
        <f>IF(AND(AY46&lt;&gt;"AGUARDANDO",AY46&lt;&gt;"",N46="AUXÍLIO ALUGUEL ATÉ INDENIZAÇÃO"),"SIM","NÃO")</f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customHeight="1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>IF(AY47-KD47=0,"",AY47-O47)</f>
        <v/>
      </c>
      <c r="BD47" s="103" t="str">
        <f>IF(AND(AI47&lt;&gt;"SIM",AI47="UH"),"AA","INDENIZAÇÃO")</f>
        <v>AA</v>
      </c>
      <c r="BE47" s="103" t="str">
        <f>IF(AND(AY47&lt;&gt;"AGUARDANDO",AY47&lt;&gt;"",N47="AUXÍLIO ALUGUEL ATÉ INDENIZAÇÃO"),"SIM","NÃO")</f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>IF(AY48-KD48=0,"",AY48-O48)</f>
        <v>43</v>
      </c>
      <c r="BD48" s="103" t="str">
        <f>IF(AND(AI48&lt;&gt;"SIM",AI48="UH"),"AA","INDENIZAÇÃO")</f>
        <v>INDENIZAÇÃO</v>
      </c>
      <c r="BE48" s="103" t="str">
        <f>IF(AND(AY48&lt;&gt;"AGUARDANDO",AY48&lt;&gt;"",N48="AUXÍLIO ALUGUEL ATÉ INDENIZAÇÃO"),"SIM","NÃO")</f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customHeight="1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308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>IF(AY49-KD49=0,"",AY49-O49)</f>
        <v>92</v>
      </c>
      <c r="BD49" s="103" t="str">
        <f>IF(AND(AI49&lt;&gt;"SIM",AI49="UH"),"AA","INDENIZAÇÃO")</f>
        <v>INDENIZAÇÃO</v>
      </c>
      <c r="BE49" s="103" t="str">
        <f>IF(AND(AY49&lt;&gt;"AGUARDANDO",AY49&lt;&gt;"",N49="AUXÍLIO ALUGUEL ATÉ INDENIZAÇÃO"),"SIM","NÃO")</f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customHeight="1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>IF(AY50-KD50=0,"",AY50-O50)</f>
        <v/>
      </c>
      <c r="BD50" s="103" t="str">
        <f>IF(AND(AI50&lt;&gt;"SIM",AI50="UH"),"AA","INDENIZAÇÃO")</f>
        <v>AA</v>
      </c>
      <c r="BE50" s="103" t="str">
        <f>IF(AND(AY50&lt;&gt;"AGUARDANDO",AY50&lt;&gt;"",N50="AUXÍLIO ALUGUEL ATÉ INDENIZAÇÃO"),"SIM","NÃO")</f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customHeight="1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>IF(AY51-KD51=0,"",AY51-O51)</f>
        <v/>
      </c>
      <c r="BD51" s="103" t="str">
        <f>IF(AND(AI51&lt;&gt;"SIM",AI51="UH"),"AA","INDENIZAÇÃO")</f>
        <v>AA</v>
      </c>
      <c r="BE51" s="103" t="str">
        <f>IF(AND(AY51&lt;&gt;"AGUARDANDO",AY51&lt;&gt;"",N51="AUXÍLIO ALUGUEL ATÉ INDENIZAÇÃO"),"SIM","NÃO")</f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customHeight="1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>IF(AY52-KD52=0,"",AY52-O52)</f>
        <v/>
      </c>
      <c r="BD52" s="103" t="str">
        <f>IF(AND(AI52&lt;&gt;"SIM",AI52="UH"),"AA","INDENIZAÇÃO")</f>
        <v>AA</v>
      </c>
      <c r="BE52" s="103" t="str">
        <f>IF(AND(AY52&lt;&gt;"AGUARDANDO",AY52&lt;&gt;"",N52="AUXÍLIO ALUGUEL ATÉ INDENIZAÇÃO"),"SIM","NÃO")</f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>IF(AY53-KD53=0,"",AY53-O53)</f>
        <v>53</v>
      </c>
      <c r="BD53" s="103" t="str">
        <f>IF(AND(AI53&lt;&gt;"SIM",AI53="UH"),"AA","INDENIZAÇÃO")</f>
        <v>INDENIZAÇÃO</v>
      </c>
      <c r="BE53" s="103" t="str">
        <f>IF(AND(AY53&lt;&gt;"AGUARDANDO",AY53&lt;&gt;"",N53="AUXÍLIO ALUGUEL ATÉ INDENIZAÇÃO"),"SIM","NÃO")</f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customHeight="1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>IF(AY54-KD54=0,"",AY54-O54)</f>
        <v/>
      </c>
      <c r="BD54" s="103" t="str">
        <f>IF(AND(AI54&lt;&gt;"SIM",AI54="UH"),"AA","INDENIZAÇÃO")</f>
        <v>AA</v>
      </c>
      <c r="BE54" s="103" t="str">
        <f>IF(AND(AY54&lt;&gt;"AGUARDANDO",AY54&lt;&gt;"",N54="AUXÍLIO ALUGUEL ATÉ INDENIZAÇÃO"),"SIM","NÃO")</f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customHeight="1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>IF(AY55-KD55=0,"",AY55-O55)</f>
        <v/>
      </c>
      <c r="BD55" s="103" t="str">
        <f>IF(AND(AI55&lt;&gt;"SIM",AI55="UH"),"AA","INDENIZAÇÃO")</f>
        <v>AA</v>
      </c>
      <c r="BE55" s="103" t="str">
        <f>IF(AND(AY55&lt;&gt;"AGUARDANDO",AY55&lt;&gt;"",N55="AUXÍLIO ALUGUEL ATÉ INDENIZAÇÃO"),"SIM","NÃO")</f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customHeight="1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>IF(AY56-KD56=0,"",AY56-O56)</f>
        <v/>
      </c>
      <c r="BD56" s="103" t="str">
        <f>IF(AND(AI56&lt;&gt;"SIM",AI56="UH"),"AA","INDENIZAÇÃO")</f>
        <v>INDENIZAÇÃO</v>
      </c>
      <c r="BE56" s="103" t="str">
        <f>IF(AND(AY56&lt;&gt;"AGUARDANDO",AY56&lt;&gt;"",N56="AUXÍLIO ALUGUEL ATÉ INDENIZAÇÃO"),"SIM","NÃO")</f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customHeight="1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>IF(AY57-KD57=0,"",AY57-O57)</f>
        <v/>
      </c>
      <c r="BD57" s="103" t="str">
        <f>IF(AND(AI57&lt;&gt;"SIM",AI57="UH"),"AA","INDENIZAÇÃO")</f>
        <v>AA</v>
      </c>
      <c r="BE57" s="103" t="str">
        <f>IF(AND(AY57&lt;&gt;"AGUARDANDO",AY57&lt;&gt;"",N57="AUXÍLIO ALUGUEL ATÉ INDENIZAÇÃO"),"SIM","NÃO")</f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customHeight="1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>IF(AY58-KD58=0,"",AY58-O58)</f>
        <v/>
      </c>
      <c r="BD58" s="103" t="str">
        <f>IF(AND(AI58&lt;&gt;"SIM",AI58="UH"),"AA","INDENIZAÇÃO")</f>
        <v>AA</v>
      </c>
      <c r="BE58" s="103" t="str">
        <f>IF(AND(AY58&lt;&gt;"AGUARDANDO",AY58&lt;&gt;"",N58="AUXÍLIO ALUGUEL ATÉ INDENIZAÇÃO"),"SIM","NÃO")</f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customHeight="1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>IF(AY59-KD59=0,"",AY59-O59)</f>
        <v/>
      </c>
      <c r="BD59" s="103" t="str">
        <f>IF(AND(AI59&lt;&gt;"SIM",AI59="UH"),"AA","INDENIZAÇÃO")</f>
        <v>AA</v>
      </c>
      <c r="BE59" s="103" t="str">
        <f>IF(AND(AY59&lt;&gt;"AGUARDANDO",AY59&lt;&gt;"",N59="AUXÍLIO ALUGUEL ATÉ INDENIZAÇÃO"),"SIM","NÃO")</f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customHeight="1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>IF(AY60-KD60=0,"",AY60-O60)</f>
        <v/>
      </c>
      <c r="BD60" s="103" t="str">
        <f>IF(AND(AI60&lt;&gt;"SIM",AI60="UH"),"AA","INDENIZAÇÃO")</f>
        <v>AA</v>
      </c>
      <c r="BE60" s="103" t="str">
        <f>IF(AND(AY60&lt;&gt;"AGUARDANDO",AY60&lt;&gt;"",N60="AUXÍLIO ALUGUEL ATÉ INDENIZAÇÃO"),"SIM","NÃO")</f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customHeight="1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>IF(AY61-KD61=0,"",AY61-O61)</f>
        <v/>
      </c>
      <c r="BD61" s="103" t="str">
        <f>IF(AND(AI61&lt;&gt;"SIM",AI61="UH"),"AA","INDENIZAÇÃO")</f>
        <v>AA</v>
      </c>
      <c r="BE61" s="103" t="str">
        <f>IF(AND(AY61&lt;&gt;"AGUARDANDO",AY61&lt;&gt;"",N61="AUXÍLIO ALUGUEL ATÉ INDENIZAÇÃO"),"SIM","NÃO")</f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customHeight="1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>IF(AY62-KD62=0,"",AY62-O62)</f>
        <v/>
      </c>
      <c r="BD62" s="103" t="str">
        <f>IF(AND(AI62&lt;&gt;"SIM",AI62="UH"),"AA","INDENIZAÇÃO")</f>
        <v>AA</v>
      </c>
      <c r="BE62" s="103" t="str">
        <f>IF(AND(AY62&lt;&gt;"AGUARDANDO",AY62&lt;&gt;"",N62="AUXÍLIO ALUGUEL ATÉ INDENIZAÇÃO"),"SIM","NÃO")</f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customHeight="1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>IF(AY63-KD63=0,"",AY63-O63)</f>
        <v/>
      </c>
      <c r="BD63" s="103" t="str">
        <f>IF(AND(AI63&lt;&gt;"SIM",AI63="UH"),"AA","INDENIZAÇÃO")</f>
        <v>AA</v>
      </c>
      <c r="BE63" s="103" t="str">
        <f>IF(AND(AY63&lt;&gt;"AGUARDANDO",AY63&lt;&gt;"",N63="AUXÍLIO ALUGUEL ATÉ INDENIZAÇÃO"),"SIM","NÃO")</f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>IF(AY64-KD64=0,"",AY64-O64)</f>
        <v>35</v>
      </c>
      <c r="BD64" s="103" t="str">
        <f>IF(AND(AI64&lt;&gt;"SIM",AI64="UH"),"AA","INDENIZAÇÃO")</f>
        <v>INDENIZAÇÃO</v>
      </c>
      <c r="BE64" s="103" t="str">
        <f>IF(AND(AY64&lt;&gt;"AGUARDANDO",AY64&lt;&gt;"",N64="AUXÍLIO ALUGUEL ATÉ INDENIZAÇÃO"),"SIM","NÃO")</f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customHeight="1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>IF(AY65-KD65=0,"",AY65-O65)</f>
        <v/>
      </c>
      <c r="BD65" s="103" t="str">
        <f>IF(AND(AI65&lt;&gt;"SIM",AI65="UH"),"AA","INDENIZAÇÃO")</f>
        <v>AA</v>
      </c>
      <c r="BE65" s="103" t="str">
        <f>IF(AND(AY65&lt;&gt;"AGUARDANDO",AY65&lt;&gt;"",N65="AUXÍLIO ALUGUEL ATÉ INDENIZAÇÃO"),"SIM","NÃO")</f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customHeight="1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>IF(AY66-KD66=0,"",AY66-O66)</f>
        <v/>
      </c>
      <c r="BD66" s="103" t="str">
        <f>IF(AND(AI66&lt;&gt;"SIM",AI66="UH"),"AA","INDENIZAÇÃO")</f>
        <v>AA</v>
      </c>
      <c r="BE66" s="103" t="str">
        <f>IF(AND(AY66&lt;&gt;"AGUARDANDO",AY66&lt;&gt;"",N66="AUXÍLIO ALUGUEL ATÉ INDENIZAÇÃO"),"SIM","NÃO")</f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customHeight="1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>IF(AY67-KD67=0,"",AY67-O67)</f>
        <v/>
      </c>
      <c r="BD67" s="103" t="str">
        <f>IF(AND(AI67&lt;&gt;"SIM",AI67="UH"),"AA","INDENIZAÇÃO")</f>
        <v>AA</v>
      </c>
      <c r="BE67" s="103" t="str">
        <f>IF(AND(AY67&lt;&gt;"AGUARDANDO",AY67&lt;&gt;"",N67="AUXÍLIO ALUGUEL ATÉ INDENIZAÇÃO"),"SIM","NÃO")</f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customHeight="1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>IF(AY68-KD68=0,"",AY68-O68)</f>
        <v/>
      </c>
      <c r="BD68" s="103" t="str">
        <f>IF(AND(AI68&lt;&gt;"SIM",AI68="UH"),"AA","INDENIZAÇÃO")</f>
        <v>AA</v>
      </c>
      <c r="BE68" s="103" t="str">
        <f>IF(AND(AY68&lt;&gt;"AGUARDANDO",AY68&lt;&gt;"",N68="AUXÍLIO ALUGUEL ATÉ INDENIZAÇÃO"),"SIM","NÃO")</f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>IF(AY69-KD69=0,"",AY69-O69)</f>
        <v>71</v>
      </c>
      <c r="BD69" s="103" t="str">
        <f>IF(AND(AI69&lt;&gt;"SIM",AI69="UH"),"AA","INDENIZAÇÃO")</f>
        <v>INDENIZAÇÃO</v>
      </c>
      <c r="BE69" s="103" t="str">
        <f>IF(AND(AY69&lt;&gt;"AGUARDANDO",AY69&lt;&gt;"",N69="AUXÍLIO ALUGUEL ATÉ INDENIZAÇÃO"),"SIM","NÃO")</f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customHeight="1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>IF(AY70-KD70=0,"",AY70-O70)</f>
        <v/>
      </c>
      <c r="BD70" s="103" t="str">
        <f>IF(AND(AI70&lt;&gt;"SIM",AI70="UH"),"AA","INDENIZAÇÃO")</f>
        <v>AA</v>
      </c>
      <c r="BE70" s="103" t="str">
        <f>IF(AND(AY70&lt;&gt;"AGUARDANDO",AY70&lt;&gt;"",N70="AUXÍLIO ALUGUEL ATÉ INDENIZAÇÃO"),"SIM","NÃO")</f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customHeight="1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>IF(AY71-KD71=0,"",AY71-O71)</f>
        <v/>
      </c>
      <c r="BD71" s="103" t="str">
        <f>IF(AND(AI71&lt;&gt;"SIM",AI71="UH"),"AA","INDENIZAÇÃO")</f>
        <v>AA</v>
      </c>
      <c r="BE71" s="103" t="str">
        <f>IF(AND(AY71&lt;&gt;"AGUARDANDO",AY71&lt;&gt;"",N71="AUXÍLIO ALUGUEL ATÉ INDENIZAÇÃO"),"SIM","NÃO")</f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customHeight="1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>IF(AY72-KD72=0,"",AY72-O72)</f>
        <v/>
      </c>
      <c r="BD72" s="103" t="str">
        <f>IF(AND(AI72&lt;&gt;"SIM",AI72="UH"),"AA","INDENIZAÇÃO")</f>
        <v>AA</v>
      </c>
      <c r="BE72" s="103" t="str">
        <f>IF(AND(AY72&lt;&gt;"AGUARDANDO",AY72&lt;&gt;"",N72="AUXÍLIO ALUGUEL ATÉ INDENIZAÇÃO"),"SIM","NÃO")</f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customHeight="1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>IF(AY73-KD73=0,"",AY73-O73)</f>
        <v/>
      </c>
      <c r="BD73" s="103" t="str">
        <f>IF(AND(AI73&lt;&gt;"SIM",AI73="UH"),"AA","INDENIZAÇÃO")</f>
        <v>AA</v>
      </c>
      <c r="BE73" s="103" t="str">
        <f>IF(AND(AY73&lt;&gt;"AGUARDANDO",AY73&lt;&gt;"",N73="AUXÍLIO ALUGUEL ATÉ INDENIZAÇÃO"),"SIM","NÃO")</f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>IF(AY74-KD74=0,"",AY74-O74)</f>
        <v>28</v>
      </c>
      <c r="BD74" s="103" t="str">
        <f>IF(AND(AI74&lt;&gt;"SIM",AI74="UH"),"AA","INDENIZAÇÃO")</f>
        <v>INDENIZAÇÃO</v>
      </c>
      <c r="BE74" s="103" t="str">
        <f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customHeight="1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>IF(AY75-KD75=0,"",AY75-O75)</f>
        <v/>
      </c>
      <c r="BD75" s="103" t="str">
        <f>IF(AND(AI75&lt;&gt;"SIM",AI75="UH"),"AA","INDENIZAÇÃO")</f>
        <v>AA</v>
      </c>
      <c r="BE75" s="103" t="str">
        <f>IF(AND(AY75&lt;&gt;"AGUARDANDO",AY75&lt;&gt;"",N75="AUXÍLIO ALUGUEL ATÉ INDENIZAÇÃO"),"SIM","NÃO")</f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customHeight="1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>IF(AY76-KD76=0,"",AY76-O76)</f>
        <v/>
      </c>
      <c r="BD76" s="103" t="str">
        <f>IF(AND(AI76&lt;&gt;"SIM",AI76="UH"),"AA","INDENIZAÇÃO")</f>
        <v>AA</v>
      </c>
      <c r="BE76" s="103" t="str">
        <f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customHeight="1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>IF(AY77-KD77=0,"",AY77-O77)</f>
        <v/>
      </c>
      <c r="BD77" s="103" t="str">
        <f>IF(AND(AI77&lt;&gt;"SIM",AI77="UH"),"AA","INDENIZAÇÃO")</f>
        <v>AA</v>
      </c>
      <c r="BE77" s="103" t="str">
        <f>IF(AND(AY77&lt;&gt;"AGUARDANDO",AY77&lt;&gt;"",N77="AUXÍLIO ALUGUEL ATÉ INDENIZAÇÃO"),"SIM","NÃO")</f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customHeight="1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>IF(AY78-KD78=0,"",AY78-O78)</f>
        <v/>
      </c>
      <c r="BD78" s="103" t="str">
        <f>IF(AND(AI78&lt;&gt;"SIM",AI78="UH"),"AA","INDENIZAÇÃO")</f>
        <v>AA</v>
      </c>
      <c r="BE78" s="103" t="str">
        <f>IF(AND(AY78&lt;&gt;"AGUARDANDO",AY78&lt;&gt;"",N78="AUXÍLIO ALUGUEL ATÉ INDENIZAÇÃO"),"SIM","NÃO")</f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customHeight="1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>IF(AY79-KD79=0,"",AY79-O79)</f>
        <v/>
      </c>
      <c r="BD79" s="103" t="str">
        <f>IF(AND(AI79&lt;&gt;"SIM",AI79="UH"),"AA","INDENIZAÇÃO")</f>
        <v>AA</v>
      </c>
      <c r="BE79" s="103" t="str">
        <f>IF(AND(AY79&lt;&gt;"AGUARDANDO",AY79&lt;&gt;"",N79="AUXÍLIO ALUGUEL ATÉ INDENIZAÇÃO"),"SIM","NÃO")</f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>IF(AY80-KD80=0,"",AY80-O80)</f>
        <v>21</v>
      </c>
      <c r="BD80" s="103" t="str">
        <f>IF(AND(AI80&lt;&gt;"SIM",AI80="UH"),"AA","INDENIZAÇÃO")</f>
        <v>INDENIZAÇÃO</v>
      </c>
      <c r="BE80" s="103" t="str">
        <f>IF(AND(AY80&lt;&gt;"AGUARDANDO",AY80&lt;&gt;"",N80="AUXÍLIO ALUGUEL ATÉ INDENIZAÇÃO"),"SIM","NÃO")</f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customHeight="1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>IF(AY81-KD81=0,"",AY81-O81)</f>
        <v/>
      </c>
      <c r="BD81" s="103" t="str">
        <f>IF(AND(AI81&lt;&gt;"SIM",AI81="UH"),"AA","INDENIZAÇÃO")</f>
        <v>AA</v>
      </c>
      <c r="BE81" s="103" t="str">
        <f>IF(AND(AY81&lt;&gt;"AGUARDANDO",AY81&lt;&gt;"",N81="AUXÍLIO ALUGUEL ATÉ INDENIZAÇÃO"),"SIM","NÃO")</f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customHeight="1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>IF(AY82-KD82=0,"",AY82-O82)</f>
        <v/>
      </c>
      <c r="BD82" s="103" t="str">
        <f>IF(AND(AI82&lt;&gt;"SIM",AI82="UH"),"AA","INDENIZAÇÃO")</f>
        <v>AA</v>
      </c>
      <c r="BE82" s="103" t="str">
        <f>IF(AND(AY82&lt;&gt;"AGUARDANDO",AY82&lt;&gt;"",N82="AUXÍLIO ALUGUEL ATÉ INDENIZAÇÃO"),"SIM","NÃO")</f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customHeight="1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>IF(AY83-KD83=0,"",AY83-O83)</f>
        <v/>
      </c>
      <c r="BD83" s="103" t="str">
        <f>IF(AND(AI83&lt;&gt;"SIM",AI83="UH"),"AA","INDENIZAÇÃO")</f>
        <v>AA</v>
      </c>
      <c r="BE83" s="103" t="str">
        <f>IF(AND(AY83&lt;&gt;"AGUARDANDO",AY83&lt;&gt;"",N83="AUXÍLIO ALUGUEL ATÉ INDENIZAÇÃO"),"SIM","NÃO")</f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customHeight="1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>IF(AY84-KD84=0,"",AY84-O84)</f>
        <v/>
      </c>
      <c r="BD84" s="103" t="str">
        <f>IF(AND(AI84&lt;&gt;"SIM",AI84="UH"),"AA","INDENIZAÇÃO")</f>
        <v>AA</v>
      </c>
      <c r="BE84" s="103" t="str">
        <f>IF(AND(AY84&lt;&gt;"AGUARDANDO",AY84&lt;&gt;"",N84="AUXÍLIO ALUGUEL ATÉ INDENIZAÇÃO"),"SIM","NÃO")</f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customHeight="1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>IF(AY85-KD85=0,"",AY85-O85)</f>
        <v/>
      </c>
      <c r="BD85" s="103" t="str">
        <f>IF(AND(AI85&lt;&gt;"SIM",AI85="UH"),"AA","INDENIZAÇÃO")</f>
        <v>AA</v>
      </c>
      <c r="BE85" s="103" t="str">
        <f>IF(AND(AY85&lt;&gt;"AGUARDANDO",AY85&lt;&gt;"",N85="AUXÍLIO ALUGUEL ATÉ INDENIZAÇÃO"),"SIM","NÃO")</f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customHeight="1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>IF(AY86-KD86=0,"",AY86-O86)</f>
        <v/>
      </c>
      <c r="BD86" s="103" t="str">
        <f>IF(AND(AI86&lt;&gt;"SIM",AI86="UH"),"AA","INDENIZAÇÃO")</f>
        <v>AA</v>
      </c>
      <c r="BE86" s="103" t="str">
        <f>IF(AND(AY86&lt;&gt;"AGUARDANDO",AY86&lt;&gt;"",N86="AUXÍLIO ALUGUEL ATÉ INDENIZAÇÃO"),"SIM","NÃO")</f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>IF(AY87-KD87=0,"",AY87-O87)</f>
        <v>35</v>
      </c>
      <c r="BD87" s="103" t="str">
        <f>IF(AND(AI87&lt;&gt;"SIM",AI87="UH"),"AA","INDENIZAÇÃO")</f>
        <v>INDENIZAÇÃO</v>
      </c>
      <c r="BE87" s="103" t="str">
        <f>IF(AND(AY87&lt;&gt;"AGUARDANDO",AY87&lt;&gt;"",N87="AUXÍLIO ALUGUEL ATÉ INDENIZAÇÃO"),"SIM","NÃO")</f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customHeight="1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>IF(AY88-KD88=0,"",AY88-O88)</f>
        <v>84</v>
      </c>
      <c r="BD88" s="103" t="str">
        <f>IF(AND(AI88&lt;&gt;"SIM",AI88="UH"),"AA","INDENIZAÇÃO")</f>
        <v>INDENIZAÇÃO</v>
      </c>
      <c r="BE88" s="103" t="str">
        <f>IF(AND(AY88&lt;&gt;"AGUARDANDO",AY88&lt;&gt;"",N88="AUXÍLIO ALUGUEL ATÉ INDENIZAÇÃO"),"SIM","NÃO")</f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customHeight="1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>IF(AY89-KD89=0,"",AY89-O89)</f>
        <v>400</v>
      </c>
      <c r="BD89" s="103" t="str">
        <f>IF(AND(AI89&lt;&gt;"SIM",AI89="UH"),"AA","INDENIZAÇÃO")</f>
        <v>INDENIZAÇÃO</v>
      </c>
      <c r="BE89" s="103" t="str">
        <f>IF(AND(AY89&lt;&gt;"AGUARDANDO",AY89&lt;&gt;"",N89="AUXÍLIO ALUGUEL ATÉ INDENIZAÇÃO"),"SIM","NÃO")</f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customHeight="1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>IF(AY90-KD90=0,"",AY90-O90)</f>
        <v/>
      </c>
      <c r="BD90" s="103" t="str">
        <f>IF(AND(AI90&lt;&gt;"SIM",AI90="UH"),"AA","INDENIZAÇÃO")</f>
        <v>AA</v>
      </c>
      <c r="BE90" s="103" t="str">
        <f>IF(AND(AY90&lt;&gt;"AGUARDANDO",AY90&lt;&gt;"",N90="AUXÍLIO ALUGUEL ATÉ INDENIZAÇÃO"),"SIM","NÃO")</f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>IF(AY91-KD91=0,"",AY91-O91)</f>
        <v>21</v>
      </c>
      <c r="BD91" s="103" t="str">
        <f>IF(AND(AI91&lt;&gt;"SIM",AI91="UH"),"AA","INDENIZAÇÃO")</f>
        <v>INDENIZAÇÃO</v>
      </c>
      <c r="BE91" s="103" t="str">
        <f>IF(AND(AY91&lt;&gt;"AGUARDANDO",AY91&lt;&gt;"",N91="AUXÍLIO ALUGUEL ATÉ INDENIZAÇÃO"),"SIM","NÃO")</f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customHeight="1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>IF(AY92-KD92=0,"",AY92-O92)</f>
        <v>42</v>
      </c>
      <c r="BD92" s="103" t="str">
        <f>IF(AND(AI92&lt;&gt;"SIM",AI92="UH"),"AA","INDENIZAÇÃO")</f>
        <v>INDENIZAÇÃO</v>
      </c>
      <c r="BE92" s="103" t="str">
        <f>IF(AND(AY92&lt;&gt;"AGUARDANDO",AY92&lt;&gt;"",N92="AUXÍLIO ALUGUEL ATÉ INDENIZAÇÃO"),"SIM","NÃO")</f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customHeight="1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>IF(AY93-KD93=0,"",AY93-O93)</f>
        <v>42</v>
      </c>
      <c r="BD93" s="103" t="str">
        <f>IF(AND(AI93&lt;&gt;"SIM",AI93="UH"),"AA","INDENIZAÇÃO")</f>
        <v>INDENIZAÇÃO</v>
      </c>
      <c r="BE93" s="103" t="str">
        <f>IF(AND(AY93&lt;&gt;"AGUARDANDO",AY93&lt;&gt;"",N93="AUXÍLIO ALUGUEL ATÉ INDENIZAÇÃO"),"SIM","NÃO")</f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customHeight="1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>IF(AY94-KD94=0,"",AY94-O94)</f>
        <v/>
      </c>
      <c r="BD94" s="103" t="str">
        <f>IF(AND(AI94&lt;&gt;"SIM",AI94="UH"),"AA","INDENIZAÇÃO")</f>
        <v>AA</v>
      </c>
      <c r="BE94" s="103" t="str">
        <f>IF(AND(AY94&lt;&gt;"AGUARDANDO",AY94&lt;&gt;"",N94="AUXÍLIO ALUGUEL ATÉ INDENIZAÇÃO"),"SIM","NÃO")</f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customHeight="1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>IF(AY95-KD95=0,"",AY95-O95)</f>
        <v/>
      </c>
      <c r="BD95" s="103" t="str">
        <f>IF(AND(AI95&lt;&gt;"SIM",AI95="UH"),"AA","INDENIZAÇÃO")</f>
        <v>AA</v>
      </c>
      <c r="BE95" s="103" t="str">
        <f>IF(AND(AY95&lt;&gt;"AGUARDANDO",AY95&lt;&gt;"",N95="AUXÍLIO ALUGUEL ATÉ INDENIZAÇÃO"),"SIM","NÃO")</f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customHeight="1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>IF(AY96-KD96=0,"",AY96-O96)</f>
        <v/>
      </c>
      <c r="BD96" s="103" t="str">
        <f>IF(AND(AI96&lt;&gt;"SIM",AI96="UH"),"AA","INDENIZAÇÃO")</f>
        <v>AA</v>
      </c>
      <c r="BE96" s="103" t="str">
        <f>IF(AND(AY96&lt;&gt;"AGUARDANDO",AY96&lt;&gt;"",N96="AUXÍLIO ALUGUEL ATÉ INDENIZAÇÃO"),"SIM","NÃO")</f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customHeight="1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>IF(AY97-KD97=0,"",AY97-O97)</f>
        <v/>
      </c>
      <c r="BD97" s="103" t="str">
        <f>IF(AND(AI97&lt;&gt;"SIM",AI97="UH"),"AA","INDENIZAÇÃO")</f>
        <v>AA</v>
      </c>
      <c r="BE97" s="103" t="str">
        <f>IF(AND(AY97&lt;&gt;"AGUARDANDO",AY97&lt;&gt;"",N97="AUXÍLIO ALUGUEL ATÉ INDENIZAÇÃO"),"SIM","NÃO")</f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customHeight="1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>IF(AY98-KD98=0,"",AY98-O98)</f>
        <v/>
      </c>
      <c r="BD98" s="103" t="str">
        <f>IF(AND(AI98&lt;&gt;"SIM",AI98="UH"),"AA","INDENIZAÇÃO")</f>
        <v>AA</v>
      </c>
      <c r="BE98" s="103" t="str">
        <f>IF(AND(AY98&lt;&gt;"AGUARDANDO",AY98&lt;&gt;"",N98="AUXÍLIO ALUGUEL ATÉ INDENIZAÇÃO"),"SIM","NÃO")</f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>IF(AY99-KD99=0,"",AY99-O99)</f>
        <v>38</v>
      </c>
      <c r="BD99" s="103" t="str">
        <f>IF(AND(AI99&lt;&gt;"SIM",AI99="UH"),"AA","INDENIZAÇÃO")</f>
        <v>INDENIZAÇÃO</v>
      </c>
      <c r="BE99" s="103" t="str">
        <f>IF(AND(AY99&lt;&gt;"AGUARDANDO",AY99&lt;&gt;"",N99="AUXÍLIO ALUGUEL ATÉ INDENIZAÇÃO"),"SIM","NÃO")</f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3" t="s">
        <v>4822</v>
      </c>
      <c r="AU100" s="105">
        <v>46233</v>
      </c>
      <c r="AV100" s="103" t="s">
        <v>4822</v>
      </c>
      <c r="AW100" s="103" t="s">
        <v>4822</v>
      </c>
      <c r="AX100" s="105">
        <v>46234</v>
      </c>
      <c r="AY100" s="106" t="s">
        <v>4453</v>
      </c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>IF(AY101-KD101=0,"",AY101-O101)</f>
        <v>99</v>
      </c>
      <c r="BD101" s="103" t="str">
        <f>IF(AND(AI101&lt;&gt;"SIM",AI101="UH"),"AA","INDENIZAÇÃO")</f>
        <v>INDENIZAÇÃO</v>
      </c>
      <c r="BE101" s="103" t="str">
        <f>IF(AND(AY101&lt;&gt;"AGUARDANDO",AY101&lt;&gt;"",N101="AUXÍLIO ALUGUEL ATÉ INDENIZAÇÃO"),"SIM","NÃO")</f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2" t="s">
        <v>4461</v>
      </c>
      <c r="BM101" s="239"/>
      <c r="BN101" s="231"/>
      <c r="BO101" s="231"/>
      <c r="BP101" s="231"/>
    </row>
    <row r="102" spans="1:68" s="232" customFormat="1" ht="29.25" customHeight="1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79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>IF(AY102-KD102=0,"",AY102-O102)</f>
        <v/>
      </c>
      <c r="BD102" s="103" t="str">
        <f>IF(AND(AI102&lt;&gt;"SIM",AI102="UH"),"AA","INDENIZAÇÃO")</f>
        <v>INDENIZAÇÃO</v>
      </c>
      <c r="BE102" s="103" t="str">
        <f>IF(AND(AY102&lt;&gt;"AGUARDANDO",AY102&lt;&gt;"",N102="AUXÍLIO ALUGUEL ATÉ INDENIZAÇÃO"),"SIM","NÃO")</f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3" t="s">
        <v>4822</v>
      </c>
      <c r="AU103" s="105">
        <v>46233</v>
      </c>
      <c r="AV103" s="103" t="s">
        <v>4822</v>
      </c>
      <c r="AW103" s="103" t="s">
        <v>4822</v>
      </c>
      <c r="AX103" s="105">
        <v>46234</v>
      </c>
      <c r="AY103" s="106" t="s">
        <v>4453</v>
      </c>
      <c r="AZ103" s="106"/>
      <c r="BA103" s="107" t="s">
        <v>4330</v>
      </c>
      <c r="BB103" s="112"/>
      <c r="BC103" s="220" t="e">
        <f>IF(AY103-KD103=0,"",AY103-O103)</f>
        <v>#VALUE!</v>
      </c>
      <c r="BD103" s="103" t="str">
        <f>IF(AND(AI103&lt;&gt;"SIM",AI103="UH"),"AA","INDENIZAÇÃO")</f>
        <v>INDENIZAÇÃO</v>
      </c>
      <c r="BE103" s="103" t="str">
        <f>IF(AND(AY103&lt;&gt;"AGUARDANDO",AY103&lt;&gt;"",N103="AUXÍLIO ALUGUEL ATÉ INDENIZAÇÃO"),"SIM","NÃO")</f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customHeight="1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>IF(AY104-KD104=0,"",AY104-O104)</f>
        <v/>
      </c>
      <c r="BD104" s="103" t="str">
        <f>IF(AND(AI104&lt;&gt;"SIM",AI104="UH"),"AA","INDENIZAÇÃO")</f>
        <v>INDENIZAÇÃO</v>
      </c>
      <c r="BE104" s="103" t="str">
        <f>IF(AND(AY104&lt;&gt;"AGUARDANDO",AY104&lt;&gt;"",N104="AUXÍLIO ALUGUEL ATÉ INDENIZAÇÃO"),"SIM","NÃO")</f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customHeight="1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>IF(AY105-KD105=0,"",AY105-O105)</f>
        <v/>
      </c>
      <c r="BD105" s="103" t="str">
        <f>IF(AND(AI105&lt;&gt;"SIM",AI105="UH"),"AA","INDENIZAÇÃO")</f>
        <v>AA</v>
      </c>
      <c r="BE105" s="103" t="str">
        <f>IF(AND(AY105&lt;&gt;"AGUARDANDO",AY105&lt;&gt;"",N105="AUXÍLIO ALUGUEL ATÉ INDENIZAÇÃO"),"SIM","NÃO")</f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4842</v>
      </c>
      <c r="G106" s="103" t="s">
        <v>4351</v>
      </c>
      <c r="H106" s="103" t="s">
        <v>4351</v>
      </c>
      <c r="I106" s="153" t="s">
        <v>4332</v>
      </c>
      <c r="J106" s="149" t="s">
        <v>4851</v>
      </c>
      <c r="K106" s="149" t="s">
        <v>4432</v>
      </c>
      <c r="L106" s="149" t="s">
        <v>4852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4851</v>
      </c>
      <c r="AC106" s="149" t="s">
        <v>4432</v>
      </c>
      <c r="AD106" s="149" t="s">
        <v>4852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4853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>IF(AY106-KD106=0,"",AY106-O106)</f>
        <v>53</v>
      </c>
      <c r="BD106" s="103" t="str">
        <f>IF(AND(AI106&lt;&gt;"SIM",AI106="UH"),"AA","INDENIZAÇÃO")</f>
        <v>INDENIZAÇÃO</v>
      </c>
      <c r="BE106" s="103" t="str">
        <f>IF(AND(AY106&lt;&gt;"AGUARDANDO",AY106&lt;&gt;"",N106="AUXÍLIO ALUGUEL ATÉ INDENIZAÇÃO"),"SIM","NÃO")</f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customHeight="1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>IF(AY107-KD107=0,"",AY107-O107)</f>
        <v/>
      </c>
      <c r="BD107" s="103" t="str">
        <f>IF(AND(AI107&lt;&gt;"SIM",AI107="UH"),"AA","INDENIZAÇÃO")</f>
        <v>INDENIZAÇÃO</v>
      </c>
      <c r="BE107" s="103" t="str">
        <f>IF(AND(AY107&lt;&gt;"AGUARDANDO",AY107&lt;&gt;"",N107="AUXÍLIO ALUGUEL ATÉ INDENIZAÇÃO"),"SIM","NÃO")</f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customHeight="1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>IF(AY108-KD108=0,"",AY108-O108)</f>
        <v/>
      </c>
      <c r="BD108" s="103" t="str">
        <f>IF(AND(AI108&lt;&gt;"SIM",AI108="UH"),"AA","INDENIZAÇÃO")</f>
        <v>AA</v>
      </c>
      <c r="BE108" s="103" t="str">
        <f>IF(AND(AY108&lt;&gt;"AGUARDANDO",AY108&lt;&gt;"",N108="AUXÍLIO ALUGUEL ATÉ INDENIZAÇÃO"),"SIM","NÃO")</f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customHeight="1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>IF(AY109-KD109=0,"",AY109-O109)</f>
        <v/>
      </c>
      <c r="BD109" s="103" t="str">
        <f>IF(AND(AI109&lt;&gt;"SIM",AI109="UH"),"AA","INDENIZAÇÃO")</f>
        <v>AA</v>
      </c>
      <c r="BE109" s="103" t="str">
        <f>IF(AND(AY109&lt;&gt;"AGUARDANDO",AY109&lt;&gt;"",N109="AUXÍLIO ALUGUEL ATÉ INDENIZAÇÃO"),"SIM","NÃO")</f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customHeight="1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>IF(AY110-KD110=0,"",AY110-O110)</f>
        <v/>
      </c>
      <c r="BD110" s="103" t="str">
        <f>IF(AND(AI110&lt;&gt;"SIM",AI110="UH"),"AA","INDENIZAÇÃO")</f>
        <v>AA</v>
      </c>
      <c r="BE110" s="103" t="str">
        <f>IF(AND(AY110&lt;&gt;"AGUARDANDO",AY110&lt;&gt;"",N110="AUXÍLIO ALUGUEL ATÉ INDENIZAÇÃO"),"SIM","NÃO")</f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customHeight="1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>IF(AY111-KD111=0,"",AY111-O111)</f>
        <v/>
      </c>
      <c r="BD111" s="103" t="str">
        <f>IF(AND(AI111&lt;&gt;"SIM",AI111="UH"),"AA","INDENIZAÇÃO")</f>
        <v>AA</v>
      </c>
      <c r="BE111" s="103" t="str">
        <f>IF(AND(AY111&lt;&gt;"AGUARDANDO",AY111&lt;&gt;"",N111="AUXÍLIO ALUGUEL ATÉ INDENIZAÇÃO"),"SIM","NÃO")</f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customHeight="1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>IF(AY112-KD112=0,"",AY112-O112)</f>
        <v/>
      </c>
      <c r="BD112" s="103" t="str">
        <f>IF(AND(AI112&lt;&gt;"SIM",AI112="UH"),"AA","INDENIZAÇÃO")</f>
        <v>AA</v>
      </c>
      <c r="BE112" s="103" t="str">
        <f>IF(AND(AY112&lt;&gt;"AGUARDANDO",AY112&lt;&gt;"",N112="AUXÍLIO ALUGUEL ATÉ INDENIZAÇÃO"),"SIM","NÃO")</f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4873</v>
      </c>
      <c r="G113" s="103" t="s">
        <v>4330</v>
      </c>
      <c r="H113" s="103" t="s">
        <v>4331</v>
      </c>
      <c r="I113" s="142" t="s">
        <v>4343</v>
      </c>
      <c r="J113" s="149" t="s">
        <v>4876</v>
      </c>
      <c r="K113" s="149" t="s">
        <v>4877</v>
      </c>
      <c r="L113" s="149" t="s">
        <v>4878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4876</v>
      </c>
      <c r="AC113" s="149" t="s">
        <v>4877</v>
      </c>
      <c r="AD113" s="149" t="s">
        <v>4878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4879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>IF(AY113-KD113=0,"",AY113-O113)</f>
        <v>33</v>
      </c>
      <c r="BD113" s="103" t="str">
        <f>IF(AND(AI113&lt;&gt;"SIM",AI113="UH"),"AA","INDENIZAÇÃO")</f>
        <v>INDENIZAÇÃO</v>
      </c>
      <c r="BE113" s="103" t="str">
        <f>IF(AND(AY113&lt;&gt;"AGUARDANDO",AY113&lt;&gt;"",N113="AUXÍLIO ALUGUEL ATÉ INDENIZAÇÃO"),"SIM","NÃO")</f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customHeight="1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>IF(AY114-KD114=0,"",AY114-O114)</f>
        <v/>
      </c>
      <c r="BD114" s="103" t="str">
        <f>IF(AND(AI114&lt;&gt;"SIM",AI114="UH"),"AA","INDENIZAÇÃO")</f>
        <v>AA</v>
      </c>
      <c r="BE114" s="103" t="str">
        <f>IF(AND(AY114&lt;&gt;"AGUARDANDO",AY114&lt;&gt;"",N114="AUXÍLIO ALUGUEL ATÉ INDENIZAÇÃO"),"SIM","NÃO")</f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customHeight="1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>IF(AY115-KD115=0,"",AY115-O115)</f>
        <v/>
      </c>
      <c r="BD115" s="103" t="str">
        <f>IF(AND(AI115&lt;&gt;"SIM",AI115="UH"),"AA","INDENIZAÇÃO")</f>
        <v>AA</v>
      </c>
      <c r="BE115" s="103" t="str">
        <f>IF(AND(AY115&lt;&gt;"AGUARDANDO",AY115&lt;&gt;"",N115="AUXÍLIO ALUGUEL ATÉ INDENIZAÇÃO"),"SIM","NÃO")</f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4884</v>
      </c>
      <c r="G116" s="103" t="s">
        <v>4330</v>
      </c>
      <c r="H116" s="103" t="s">
        <v>4331</v>
      </c>
      <c r="I116" s="142" t="s">
        <v>4343</v>
      </c>
      <c r="J116" s="149" t="s">
        <v>4888</v>
      </c>
      <c r="K116" s="149" t="s">
        <v>4889</v>
      </c>
      <c r="L116" s="149" t="s">
        <v>4890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4888</v>
      </c>
      <c r="AC116" s="149" t="s">
        <v>4889</v>
      </c>
      <c r="AD116" s="149" t="s">
        <v>4890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4891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>IF(AY116-KD116=0,"",AY116-O116)</f>
        <v>203</v>
      </c>
      <c r="BD116" s="103" t="str">
        <f>IF(AND(AI116&lt;&gt;"SIM",AI116="UH"),"AA","INDENIZAÇÃO")</f>
        <v>INDENIZAÇÃO</v>
      </c>
      <c r="BE116" s="103" t="str">
        <f>IF(AND(AY116&lt;&gt;"AGUARDANDO",AY116&lt;&gt;"",N116="AUXÍLIO ALUGUEL ATÉ INDENIZAÇÃO"),"SIM","NÃO")</f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2" t="s">
        <v>4461</v>
      </c>
      <c r="BM116" s="237"/>
      <c r="BN116" s="231"/>
    </row>
    <row r="117" spans="1:67" s="232" customFormat="1" ht="29.25" customHeight="1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>IF(AY117-KD117=0,"",AY117-O117)</f>
        <v/>
      </c>
      <c r="BD117" s="103" t="str">
        <f>IF(AND(AI117&lt;&gt;"SIM",AI117="UH"),"AA","INDENIZAÇÃO")</f>
        <v>AA</v>
      </c>
      <c r="BE117" s="103" t="str">
        <f>IF(AND(AY117&lt;&gt;"AGUARDANDO",AY117&lt;&gt;"",N117="AUXÍLIO ALUGUEL ATÉ INDENIZAÇÃO"),"SIM","NÃO")</f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customHeight="1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>IF(AY118-KD118=0,"",AY118-O118)</f>
        <v/>
      </c>
      <c r="BD118" s="103" t="str">
        <f>IF(AND(AI118&lt;&gt;"SIM",AI118="UH"),"AA","INDENIZAÇÃO")</f>
        <v>AA</v>
      </c>
      <c r="BE118" s="103" t="str">
        <f>IF(AND(AY118&lt;&gt;"AGUARDANDO",AY118&lt;&gt;"",N118="AUXÍLIO ALUGUEL ATÉ INDENIZAÇÃO"),"SIM","NÃO")</f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>
      <c r="A119" s="103">
        <v>110</v>
      </c>
      <c r="B119" s="103" t="s">
        <v>4431</v>
      </c>
      <c r="C119" s="103" t="s">
        <v>4350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42" t="s">
        <v>4343</v>
      </c>
      <c r="J119" s="149" t="s">
        <v>4900</v>
      </c>
      <c r="K119" s="149" t="s">
        <v>4432</v>
      </c>
      <c r="L119" s="149" t="s">
        <v>4901</v>
      </c>
      <c r="M119" s="103" t="s">
        <v>4333</v>
      </c>
      <c r="N119" s="103" t="s">
        <v>4459</v>
      </c>
      <c r="O119" s="105">
        <v>46086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4432</v>
      </c>
      <c r="AD119" s="149" t="s">
        <v>4901</v>
      </c>
      <c r="AE119" s="103" t="s">
        <v>4343</v>
      </c>
      <c r="AF119" s="103" t="s">
        <v>4333</v>
      </c>
      <c r="AG119" s="194">
        <v>173624.01</v>
      </c>
      <c r="AH119" s="194">
        <v>173624.01</v>
      </c>
      <c r="AI119" s="103" t="s">
        <v>4336</v>
      </c>
      <c r="AJ119" s="104" t="s">
        <v>4438</v>
      </c>
      <c r="AK119" s="103">
        <v>151549560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4902</v>
      </c>
      <c r="AQ119" s="165" t="s">
        <v>4338</v>
      </c>
      <c r="AR119" s="103" t="s">
        <v>4338</v>
      </c>
      <c r="AS119" s="143" t="s">
        <v>4338</v>
      </c>
      <c r="AT119" s="143" t="s">
        <v>4338</v>
      </c>
      <c r="AU119" s="105">
        <v>46140</v>
      </c>
      <c r="AV119" s="143" t="s">
        <v>4338</v>
      </c>
      <c r="AW119" s="143" t="s">
        <v>4338</v>
      </c>
      <c r="AX119" s="105">
        <v>46147</v>
      </c>
      <c r="AY119" s="106">
        <v>46147</v>
      </c>
      <c r="AZ119" s="107" t="s">
        <v>4453</v>
      </c>
      <c r="BA119" s="107" t="s">
        <v>4454</v>
      </c>
      <c r="BB119" s="112" t="s">
        <v>4338</v>
      </c>
      <c r="BC119" s="220">
        <f>IF(AY119-KD119=0,"",AY119-O119)</f>
        <v>61</v>
      </c>
      <c r="BD119" s="103" t="str">
        <f>IF(AND(AI119&lt;&gt;"SIM",AI119="UH"),"AA","INDENIZAÇÃO")</f>
        <v>INDENIZAÇÃO</v>
      </c>
      <c r="BE119" s="103" t="str">
        <f>IF(AND(AY119&lt;&gt;"AGUARDANDO",AY119&lt;&gt;"",N119="AUXÍLIO ALUGUEL ATÉ INDENIZAÇÃO"),"SIM","NÃO")</f>
        <v>NÃO</v>
      </c>
      <c r="BF119" s="112" t="s">
        <v>4357</v>
      </c>
      <c r="BG119" s="112" t="s">
        <v>4357</v>
      </c>
      <c r="BH119" s="112" t="s">
        <v>4357</v>
      </c>
      <c r="BI119" s="112" t="s">
        <v>4338</v>
      </c>
      <c r="BJ119" s="112" t="s">
        <v>4338</v>
      </c>
      <c r="BK119" s="105">
        <v>46195</v>
      </c>
      <c r="BL119" s="112" t="s">
        <v>4338</v>
      </c>
      <c r="BM119" s="262" t="s">
        <v>4453</v>
      </c>
    </row>
    <row r="120" spans="1:67" s="232" customFormat="1" ht="29.25" customHeight="1">
      <c r="A120" s="103">
        <v>111</v>
      </c>
      <c r="B120" s="103" t="s">
        <v>4431</v>
      </c>
      <c r="C120" s="103" t="s">
        <v>4439</v>
      </c>
      <c r="D120" s="103">
        <v>1</v>
      </c>
      <c r="E120" s="103" t="s">
        <v>4432</v>
      </c>
      <c r="F120" s="104" t="s">
        <v>4896</v>
      </c>
      <c r="G120" s="103" t="s">
        <v>4330</v>
      </c>
      <c r="H120" s="103" t="s">
        <v>4331</v>
      </c>
      <c r="I120" s="103" t="s">
        <v>4343</v>
      </c>
      <c r="J120" s="149" t="s">
        <v>4903</v>
      </c>
      <c r="K120" s="149" t="s">
        <v>4904</v>
      </c>
      <c r="L120" s="149" t="s">
        <v>4905</v>
      </c>
      <c r="M120" s="103" t="s">
        <v>4333</v>
      </c>
      <c r="N120" s="103" t="s">
        <v>4459</v>
      </c>
      <c r="O120" s="105">
        <v>46188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49" t="s">
        <v>4903</v>
      </c>
      <c r="AC120" s="149" t="s">
        <v>4904</v>
      </c>
      <c r="AD120" s="149" t="s">
        <v>4905</v>
      </c>
      <c r="AE120" s="165" t="s">
        <v>4343</v>
      </c>
      <c r="AF120" s="165" t="s">
        <v>4333</v>
      </c>
      <c r="AG120" s="208">
        <v>107774.65</v>
      </c>
      <c r="AH120" s="208">
        <v>107774.65</v>
      </c>
      <c r="AI120" s="165" t="s">
        <v>4447</v>
      </c>
      <c r="AJ120" s="104" t="s">
        <v>4438</v>
      </c>
      <c r="AK120" s="103">
        <v>154684712</v>
      </c>
      <c r="AL120" s="103" t="s">
        <v>4338</v>
      </c>
      <c r="AM120" s="103" t="s">
        <v>4338</v>
      </c>
      <c r="AN120" s="103" t="s">
        <v>4339</v>
      </c>
      <c r="AO120" s="112"/>
      <c r="AP120" s="171" t="s">
        <v>4906</v>
      </c>
      <c r="AQ120" s="103" t="s">
        <v>4822</v>
      </c>
      <c r="AR120" s="103" t="s">
        <v>4822</v>
      </c>
      <c r="AS120" s="103" t="s">
        <v>4822</v>
      </c>
      <c r="AT120" s="103" t="s">
        <v>4822</v>
      </c>
      <c r="AU120" s="105">
        <v>46233</v>
      </c>
      <c r="AV120" s="103" t="s">
        <v>4822</v>
      </c>
      <c r="AW120" s="103" t="s">
        <v>4822</v>
      </c>
      <c r="AX120" s="105">
        <v>46234</v>
      </c>
      <c r="AY120" s="106" t="s">
        <v>4453</v>
      </c>
      <c r="AZ120" s="214"/>
      <c r="BA120" s="174" t="s">
        <v>4330</v>
      </c>
      <c r="BB120" s="112"/>
      <c r="BC120" s="220" t="e">
        <f>IF(AY120-KD120=0,"",AY120-O120)</f>
        <v>#VALUE!</v>
      </c>
      <c r="BD120" s="103" t="str">
        <f>IF(AND(AI120&lt;&gt;"SIM",AI120="UH"),"AA","INDENIZAÇÃO")</f>
        <v>INDENIZAÇÃO</v>
      </c>
      <c r="BE120" s="103" t="str">
        <f>IF(AND(AY120&lt;&gt;"AGUARDANDO",AY120&lt;&gt;"",N120="AUXÍLIO ALUGUEL ATÉ INDENIZAÇÃO"),"SIM","NÃO")</f>
        <v>NÃO</v>
      </c>
      <c r="BF120" s="112"/>
      <c r="BG120" s="147"/>
      <c r="BH120" s="147"/>
      <c r="BI120" s="112"/>
      <c r="BJ120" s="112"/>
      <c r="BK120" s="112"/>
      <c r="BL120" s="112"/>
      <c r="BM120" s="236"/>
    </row>
    <row r="121" spans="1:67" s="232" customFormat="1" ht="29.25" customHeight="1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4907</v>
      </c>
      <c r="G121" s="103" t="s">
        <v>4330</v>
      </c>
      <c r="H121" s="103" t="s">
        <v>4331</v>
      </c>
      <c r="I121" s="142" t="s">
        <v>4343</v>
      </c>
      <c r="J121" s="149" t="s">
        <v>4908</v>
      </c>
      <c r="K121" s="149" t="s">
        <v>4909</v>
      </c>
      <c r="L121" s="149" t="s">
        <v>4910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4908</v>
      </c>
      <c r="AC121" s="149" t="s">
        <v>4909</v>
      </c>
      <c r="AD121" s="149" t="s">
        <v>4910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3" t="s">
        <v>4911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82">
        <v>46220</v>
      </c>
      <c r="AZ121" s="109" t="s">
        <v>4453</v>
      </c>
      <c r="BA121" s="107" t="s">
        <v>4454</v>
      </c>
      <c r="BB121" s="136" t="s">
        <v>4338</v>
      </c>
      <c r="BC121" s="220">
        <f>IF(AY121-KD121=0,"",AY121-O121)</f>
        <v>78</v>
      </c>
      <c r="BD121" s="103" t="str">
        <f>IF(AND(AI121&lt;&gt;"SIM",AI121="UH"),"AA","INDENIZAÇÃO")</f>
        <v>INDENIZAÇÃO</v>
      </c>
      <c r="BE121" s="103" t="str">
        <f>IF(AND(AY121&lt;&gt;"AGUARDANDO",AY121&lt;&gt;"",N121="AUXÍLIO ALUGUEL ATÉ INDENIZAÇÃO"),"SIM","NÃO")</f>
        <v>NÃO</v>
      </c>
      <c r="BF121" s="140" t="s">
        <v>4357</v>
      </c>
      <c r="BG121" s="140" t="s">
        <v>4357</v>
      </c>
      <c r="BH121" s="140" t="s">
        <v>4357</v>
      </c>
      <c r="BI121" s="154" t="s">
        <v>4912</v>
      </c>
      <c r="BJ121" s="154"/>
      <c r="BK121" s="154"/>
      <c r="BL121" s="154"/>
      <c r="BM121" s="237"/>
    </row>
    <row r="122" spans="1:67" s="232" customFormat="1" ht="29.25" customHeight="1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4913</v>
      </c>
      <c r="G122" s="103" t="s">
        <v>4330</v>
      </c>
      <c r="H122" s="103" t="s">
        <v>4331</v>
      </c>
      <c r="I122" s="142" t="s">
        <v>4343</v>
      </c>
      <c r="J122" s="149" t="s">
        <v>4914</v>
      </c>
      <c r="K122" s="149" t="s">
        <v>4909</v>
      </c>
      <c r="L122" s="149" t="s">
        <v>4915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4914</v>
      </c>
      <c r="AC122" s="149" t="s">
        <v>4909</v>
      </c>
      <c r="AD122" s="149" t="s">
        <v>4915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3" t="s">
        <v>4916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82">
        <v>46223</v>
      </c>
      <c r="AZ122" s="109" t="s">
        <v>4453</v>
      </c>
      <c r="BA122" s="107" t="s">
        <v>4454</v>
      </c>
      <c r="BB122" s="136" t="s">
        <v>4338</v>
      </c>
      <c r="BC122" s="220">
        <f>IF(AY122-KD122=0,"",AY122-O122)</f>
        <v>81</v>
      </c>
      <c r="BD122" s="103" t="str">
        <f>IF(AND(AI122&lt;&gt;"SIM",AI122="UH"),"AA","INDENIZAÇÃO")</f>
        <v>INDENIZAÇÃO</v>
      </c>
      <c r="BE122" s="103" t="str">
        <f>IF(AND(AY122&lt;&gt;"AGUARDANDO",AY122&lt;&gt;"",N122="AUXÍLIO ALUGUEL ATÉ INDENIZAÇÃO"),"SIM","NÃO")</f>
        <v>NÃO</v>
      </c>
      <c r="BF122" s="140" t="s">
        <v>4357</v>
      </c>
      <c r="BG122" s="140" t="s">
        <v>4357</v>
      </c>
      <c r="BH122" s="140" t="s">
        <v>4357</v>
      </c>
      <c r="BI122" s="154" t="s">
        <v>4912</v>
      </c>
      <c r="BJ122" s="154"/>
      <c r="BK122" s="154"/>
      <c r="BL122" s="154"/>
      <c r="BM122" s="237"/>
    </row>
    <row r="123" spans="1:67" s="232" customFormat="1" ht="29.25" customHeight="1">
      <c r="A123" s="165">
        <v>114</v>
      </c>
      <c r="B123" s="103" t="s">
        <v>4431</v>
      </c>
      <c r="C123" s="103" t="s">
        <v>4350</v>
      </c>
      <c r="D123" s="103">
        <v>1</v>
      </c>
      <c r="E123" s="103" t="s">
        <v>4432</v>
      </c>
      <c r="F123" s="104" t="s">
        <v>4917</v>
      </c>
      <c r="G123" s="103" t="s">
        <v>4330</v>
      </c>
      <c r="H123" s="103" t="s">
        <v>4331</v>
      </c>
      <c r="I123" s="142" t="s">
        <v>4343</v>
      </c>
      <c r="J123" s="149" t="s">
        <v>4918</v>
      </c>
      <c r="K123" s="149" t="s">
        <v>4919</v>
      </c>
      <c r="L123" s="149" t="s">
        <v>4920</v>
      </c>
      <c r="M123" s="103" t="s">
        <v>4333</v>
      </c>
      <c r="N123" s="103" t="s">
        <v>4459</v>
      </c>
      <c r="O123" s="105">
        <v>46189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4918</v>
      </c>
      <c r="AC123" s="149" t="s">
        <v>4919</v>
      </c>
      <c r="AD123" s="149" t="s">
        <v>4920</v>
      </c>
      <c r="AE123" s="103" t="s">
        <v>4343</v>
      </c>
      <c r="AF123" s="103" t="s">
        <v>4333</v>
      </c>
      <c r="AG123" s="194">
        <v>69685.83</v>
      </c>
      <c r="AH123" s="194">
        <v>69685.83</v>
      </c>
      <c r="AI123" s="103" t="s">
        <v>4447</v>
      </c>
      <c r="AJ123" s="104" t="s">
        <v>4438</v>
      </c>
      <c r="AK123" s="103">
        <v>159958540</v>
      </c>
      <c r="AL123" s="103" t="s">
        <v>4338</v>
      </c>
      <c r="AM123" s="103" t="s">
        <v>4338</v>
      </c>
      <c r="AN123" s="103" t="s">
        <v>4338</v>
      </c>
      <c r="AO123" s="112"/>
      <c r="AP123" s="273" t="s">
        <v>4921</v>
      </c>
      <c r="AQ123" s="112" t="s">
        <v>4338</v>
      </c>
      <c r="AR123" s="112" t="s">
        <v>4338</v>
      </c>
      <c r="AS123" s="112" t="s">
        <v>4338</v>
      </c>
      <c r="AT123" s="112" t="s">
        <v>4338</v>
      </c>
      <c r="AU123" s="105">
        <v>46226</v>
      </c>
      <c r="AV123" s="112" t="s">
        <v>4338</v>
      </c>
      <c r="AW123" s="112" t="s">
        <v>4338</v>
      </c>
      <c r="AX123" s="105">
        <v>46232</v>
      </c>
      <c r="AY123" s="109" t="s">
        <v>4453</v>
      </c>
      <c r="AZ123" s="157"/>
      <c r="BA123" s="109" t="s">
        <v>4330</v>
      </c>
      <c r="BB123" s="112"/>
      <c r="BC123" s="220" t="e">
        <f>IF(AY123-KD123=0,"",AY123-O123)</f>
        <v>#VALUE!</v>
      </c>
      <c r="BD123" s="103" t="str">
        <f>IF(AND(AI123&lt;&gt;"SIM",AI123="UH"),"AA","INDENIZAÇÃO")</f>
        <v>INDENIZAÇÃO</v>
      </c>
      <c r="BE123" s="103" t="str">
        <f>IF(AND(AY123&lt;&gt;"AGUARDANDO",AY123&lt;&gt;"",N123="AUXÍLIO ALUGUEL ATÉ INDENIZAÇÃO"),"SIM","NÃO")</f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customHeight="1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>IF(AY124-KD124=0,"",AY124-O124)</f>
        <v/>
      </c>
      <c r="BD124" s="103" t="str">
        <f>IF(AND(AI124&lt;&gt;"SIM",AI124="UH"),"AA","INDENIZAÇÃO")</f>
        <v>AA</v>
      </c>
      <c r="BE124" s="103" t="str">
        <f>IF(AND(AY124&lt;&gt;"AGUARDANDO",AY124&lt;&gt;"",N124="AUXÍLIO ALUGUEL ATÉ INDENIZAÇÃO"),"SIM","NÃO")</f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>
      <c r="A125" s="103">
        <v>116</v>
      </c>
      <c r="B125" s="103" t="s">
        <v>4431</v>
      </c>
      <c r="C125" s="103" t="s">
        <v>4350</v>
      </c>
      <c r="D125" s="103">
        <v>1</v>
      </c>
      <c r="E125" s="103" t="s">
        <v>4432</v>
      </c>
      <c r="F125" s="104" t="s">
        <v>4922</v>
      </c>
      <c r="G125" s="103" t="s">
        <v>4330</v>
      </c>
      <c r="H125" s="103" t="s">
        <v>4331</v>
      </c>
      <c r="I125" s="142" t="s">
        <v>4926</v>
      </c>
      <c r="J125" s="149" t="s">
        <v>4927</v>
      </c>
      <c r="K125" s="149" t="s">
        <v>4928</v>
      </c>
      <c r="L125" s="149" t="s">
        <v>4929</v>
      </c>
      <c r="M125" s="103" t="s">
        <v>4333</v>
      </c>
      <c r="N125" s="103" t="s">
        <v>4345</v>
      </c>
      <c r="O125" s="105">
        <v>46189</v>
      </c>
      <c r="P125" s="105">
        <v>46217</v>
      </c>
      <c r="Q125" s="105" t="s">
        <v>4436</v>
      </c>
      <c r="R125" s="108"/>
      <c r="S125" s="108"/>
      <c r="T125" s="108"/>
      <c r="U125" s="105"/>
      <c r="V125" s="108"/>
      <c r="W125" s="108"/>
      <c r="X125" s="108"/>
      <c r="Y125" s="108"/>
      <c r="Z125" s="108"/>
      <c r="AA125" s="112"/>
      <c r="AB125" s="149" t="s">
        <v>4930</v>
      </c>
      <c r="AC125" s="149" t="s">
        <v>4931</v>
      </c>
      <c r="AD125" s="149" t="s">
        <v>4932</v>
      </c>
      <c r="AE125" s="142" t="s">
        <v>4332</v>
      </c>
      <c r="AF125" s="103" t="s">
        <v>4333</v>
      </c>
      <c r="AG125" s="194">
        <v>78337.789999999994</v>
      </c>
      <c r="AH125" s="194">
        <v>78337.789999999994</v>
      </c>
      <c r="AI125" s="103" t="s">
        <v>4447</v>
      </c>
      <c r="AJ125" s="104" t="s">
        <v>4438</v>
      </c>
      <c r="AK125" s="103">
        <v>152682655</v>
      </c>
      <c r="AL125" s="103" t="s">
        <v>4338</v>
      </c>
      <c r="AM125" s="103" t="s">
        <v>4338</v>
      </c>
      <c r="AN125" s="103" t="s">
        <v>4338</v>
      </c>
      <c r="AO125" s="112"/>
      <c r="AP125" s="273" t="s">
        <v>4933</v>
      </c>
      <c r="AQ125" s="112" t="s">
        <v>4338</v>
      </c>
      <c r="AR125" s="112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12" t="s">
        <v>4338</v>
      </c>
      <c r="AX125" s="105">
        <v>46232</v>
      </c>
      <c r="AY125" s="109" t="s">
        <v>4453</v>
      </c>
      <c r="AZ125" s="157"/>
      <c r="BA125" s="109" t="s">
        <v>4330</v>
      </c>
      <c r="BB125" s="112"/>
      <c r="BC125" s="220" t="e">
        <f>IF(AY125-KD125=0,"",AY125-O125)</f>
        <v>#VALUE!</v>
      </c>
      <c r="BD125" s="103" t="str">
        <f>IF(AND(AI125&lt;&gt;"SIM",AI125="UH"),"AA","INDENIZAÇÃO")</f>
        <v>INDENIZAÇÃO</v>
      </c>
      <c r="BE125" s="103" t="str">
        <f>IF(AND(AY125&lt;&gt;"AGUARDANDO",AY125&lt;&gt;"",N125="AUXÍLIO ALUGUEL ATÉ INDENIZAÇÃO"),"SIM","NÃO")</f>
        <v>NÃO</v>
      </c>
      <c r="BF125" s="112"/>
      <c r="BG125" s="147"/>
      <c r="BH125" s="147"/>
      <c r="BI125" s="112"/>
      <c r="BJ125" s="112"/>
      <c r="BK125" s="112"/>
      <c r="BL125" s="112"/>
      <c r="BM125" s="236"/>
    </row>
    <row r="126" spans="1:67" s="232" customFormat="1" ht="29.25" customHeight="1">
      <c r="A126" s="103">
        <v>117</v>
      </c>
      <c r="B126" s="103" t="s">
        <v>4431</v>
      </c>
      <c r="C126" s="103" t="s">
        <v>4350</v>
      </c>
      <c r="D126" s="103">
        <v>1</v>
      </c>
      <c r="E126" s="103" t="s">
        <v>4432</v>
      </c>
      <c r="F126" s="104" t="s">
        <v>4934</v>
      </c>
      <c r="G126" s="103" t="s">
        <v>4330</v>
      </c>
      <c r="H126" s="103" t="s">
        <v>4331</v>
      </c>
      <c r="I126" s="142" t="s">
        <v>4343</v>
      </c>
      <c r="J126" s="149" t="s">
        <v>4935</v>
      </c>
      <c r="K126" s="149" t="s">
        <v>4936</v>
      </c>
      <c r="L126" s="149" t="s">
        <v>4937</v>
      </c>
      <c r="M126" s="103" t="s">
        <v>4333</v>
      </c>
      <c r="N126" s="103" t="s">
        <v>4459</v>
      </c>
      <c r="O126" s="105">
        <v>46086</v>
      </c>
      <c r="P126" s="105" t="s">
        <v>4356</v>
      </c>
      <c r="Q126" s="105" t="s">
        <v>4356</v>
      </c>
      <c r="R126" s="105" t="s">
        <v>4356</v>
      </c>
      <c r="S126" s="105" t="s">
        <v>4356</v>
      </c>
      <c r="T126" s="105" t="s">
        <v>4356</v>
      </c>
      <c r="U126" s="105" t="s">
        <v>4356</v>
      </c>
      <c r="V126" s="105" t="s">
        <v>4356</v>
      </c>
      <c r="W126" s="105" t="s">
        <v>4356</v>
      </c>
      <c r="X126" s="105" t="s">
        <v>4356</v>
      </c>
      <c r="Y126" s="105" t="s">
        <v>4356</v>
      </c>
      <c r="Z126" s="105"/>
      <c r="AA126" s="105"/>
      <c r="AB126" s="149" t="s">
        <v>4935</v>
      </c>
      <c r="AC126" s="149" t="s">
        <v>4936</v>
      </c>
      <c r="AD126" s="149" t="s">
        <v>4937</v>
      </c>
      <c r="AE126" s="103" t="s">
        <v>4343</v>
      </c>
      <c r="AF126" s="103" t="s">
        <v>4333</v>
      </c>
      <c r="AG126" s="194">
        <v>201636.55</v>
      </c>
      <c r="AH126" s="194">
        <v>201636.55</v>
      </c>
      <c r="AI126" s="103" t="s">
        <v>4447</v>
      </c>
      <c r="AJ126" s="104" t="s">
        <v>4438</v>
      </c>
      <c r="AK126" s="103">
        <v>150959152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4938</v>
      </c>
      <c r="AQ126" s="165" t="s">
        <v>4338</v>
      </c>
      <c r="AR126" s="103" t="s">
        <v>4338</v>
      </c>
      <c r="AS126" s="103" t="s">
        <v>4338</v>
      </c>
      <c r="AT126" s="103" t="s">
        <v>4338</v>
      </c>
      <c r="AU126" s="105">
        <v>46128</v>
      </c>
      <c r="AV126" s="103" t="s">
        <v>4338</v>
      </c>
      <c r="AW126" s="103" t="s">
        <v>4338</v>
      </c>
      <c r="AX126" s="105">
        <v>46139</v>
      </c>
      <c r="AY126" s="106">
        <v>46139</v>
      </c>
      <c r="AZ126" s="106" t="s">
        <v>4453</v>
      </c>
      <c r="BA126" s="107" t="s">
        <v>4454</v>
      </c>
      <c r="BB126" s="136" t="s">
        <v>4338</v>
      </c>
      <c r="BC126" s="220">
        <f>IF(AY126-KD126=0,"",AY126-O126)</f>
        <v>53</v>
      </c>
      <c r="BD126" s="103" t="str">
        <f>IF(AND(AI126&lt;&gt;"SIM",AI126="UH"),"AA","INDENIZAÇÃO")</f>
        <v>INDENIZAÇÃO</v>
      </c>
      <c r="BE126" s="103" t="str">
        <f>IF(AND(AY126&lt;&gt;"AGUARDANDO",AY126&lt;&gt;"",N126="AUXÍLIO ALUGUEL ATÉ INDENIZAÇÃO"),"SIM","NÃO")</f>
        <v>NÃO</v>
      </c>
      <c r="BF126" s="112" t="s">
        <v>4357</v>
      </c>
      <c r="BG126" s="112" t="s">
        <v>4357</v>
      </c>
      <c r="BH126" s="112" t="s">
        <v>4357</v>
      </c>
      <c r="BI126" s="112" t="s">
        <v>4338</v>
      </c>
      <c r="BJ126" s="112" t="s">
        <v>4338</v>
      </c>
      <c r="BK126" s="105">
        <v>46195</v>
      </c>
      <c r="BL126" s="112" t="s">
        <v>4338</v>
      </c>
      <c r="BM126" s="262" t="s">
        <v>4453</v>
      </c>
    </row>
    <row r="127" spans="1:67" s="232" customFormat="1" ht="29.25" customHeight="1">
      <c r="A127" s="103">
        <v>118</v>
      </c>
      <c r="B127" s="103" t="s">
        <v>4431</v>
      </c>
      <c r="C127" s="103" t="s">
        <v>4439</v>
      </c>
      <c r="D127" s="103">
        <v>1</v>
      </c>
      <c r="E127" s="103" t="s">
        <v>4432</v>
      </c>
      <c r="F127" s="104" t="s">
        <v>4934</v>
      </c>
      <c r="G127" s="103" t="s">
        <v>4330</v>
      </c>
      <c r="H127" s="103" t="s">
        <v>4331</v>
      </c>
      <c r="I127" s="142" t="s">
        <v>4343</v>
      </c>
      <c r="J127" s="149" t="s">
        <v>4939</v>
      </c>
      <c r="K127" s="149"/>
      <c r="L127" s="149" t="s">
        <v>4940</v>
      </c>
      <c r="M127" s="103" t="s">
        <v>4333</v>
      </c>
      <c r="N127" s="103" t="s">
        <v>4459</v>
      </c>
      <c r="O127" s="105">
        <v>46188</v>
      </c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49" t="s">
        <v>4939</v>
      </c>
      <c r="AC127" s="149" t="s">
        <v>4909</v>
      </c>
      <c r="AD127" s="149" t="s">
        <v>4940</v>
      </c>
      <c r="AE127" s="103" t="s">
        <v>4343</v>
      </c>
      <c r="AF127" s="103" t="s">
        <v>4333</v>
      </c>
      <c r="AG127" s="194">
        <v>92003.68</v>
      </c>
      <c r="AH127" s="194">
        <v>92003.68</v>
      </c>
      <c r="AI127" s="103" t="s">
        <v>4447</v>
      </c>
      <c r="AJ127" s="104" t="s">
        <v>4438</v>
      </c>
      <c r="AK127" s="103">
        <v>158685767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4941</v>
      </c>
      <c r="AQ127" s="103" t="s">
        <v>4822</v>
      </c>
      <c r="AR127" s="103" t="s">
        <v>4822</v>
      </c>
      <c r="AS127" s="103" t="s">
        <v>4822</v>
      </c>
      <c r="AT127" s="103" t="s">
        <v>4822</v>
      </c>
      <c r="AU127" s="105">
        <v>46233</v>
      </c>
      <c r="AV127" s="103" t="s">
        <v>4822</v>
      </c>
      <c r="AW127" s="103" t="s">
        <v>4822</v>
      </c>
      <c r="AX127" s="105">
        <v>46234</v>
      </c>
      <c r="AY127" s="106" t="s">
        <v>4453</v>
      </c>
      <c r="AZ127" s="106"/>
      <c r="BA127" s="107" t="s">
        <v>4330</v>
      </c>
      <c r="BB127" s="136"/>
      <c r="BC127" s="220"/>
      <c r="BD127" s="103"/>
      <c r="BE127" s="103"/>
      <c r="BF127" s="112"/>
      <c r="BG127" s="112"/>
      <c r="BH127" s="112"/>
      <c r="BI127" s="109"/>
      <c r="BJ127" s="109"/>
      <c r="BK127" s="109"/>
      <c r="BL127" s="109"/>
      <c r="BM127" s="239"/>
    </row>
    <row r="128" spans="1:67" s="232" customFormat="1" ht="29.25" customHeight="1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4942</v>
      </c>
      <c r="G128" s="103" t="s">
        <v>4330</v>
      </c>
      <c r="H128" s="103" t="s">
        <v>4331</v>
      </c>
      <c r="I128" s="103" t="s">
        <v>4343</v>
      </c>
      <c r="J128" s="149" t="s">
        <v>4943</v>
      </c>
      <c r="K128" s="149" t="s">
        <v>4944</v>
      </c>
      <c r="L128" s="149" t="s">
        <v>4945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4943</v>
      </c>
      <c r="AC128" s="149" t="s">
        <v>4944</v>
      </c>
      <c r="AD128" s="149" t="s">
        <v>4945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4946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4946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>IF(AY128-KD128=0,"",AY128-O128)</f>
        <v>33</v>
      </c>
      <c r="BD128" s="103" t="str">
        <f>IF(AND(AI128&lt;&gt;"SIM",AI128="UH"),"AA","INDENIZAÇÃO")</f>
        <v>INDENIZAÇÃO</v>
      </c>
      <c r="BE128" s="103" t="str">
        <f>IF(AND(AY128&lt;&gt;"AGUARDANDO",AY128&lt;&gt;"",N128="AUXÍLIO ALUGUEL ATÉ INDENIZAÇÃO"),"SIM","NÃO")</f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customHeight="1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4942</v>
      </c>
      <c r="G129" s="103" t="s">
        <v>4330</v>
      </c>
      <c r="H129" s="103" t="s">
        <v>4352</v>
      </c>
      <c r="I129" s="142" t="s">
        <v>4343</v>
      </c>
      <c r="J129" s="149" t="s">
        <v>4947</v>
      </c>
      <c r="K129" s="149" t="s">
        <v>4948</v>
      </c>
      <c r="L129" s="149" t="s">
        <v>4949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4947</v>
      </c>
      <c r="AC129" s="149" t="s">
        <v>4948</v>
      </c>
      <c r="AD129" s="149" t="s">
        <v>4949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4950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>IF(AY129-KD129=0,"",AY129-O129)</f>
        <v>46</v>
      </c>
      <c r="BD129" s="103" t="str">
        <f>IF(AND(AI129&lt;&gt;"SIM",AI129="UH"),"AA","INDENIZAÇÃO")</f>
        <v>INDENIZAÇÃO</v>
      </c>
      <c r="BE129" s="103" t="str">
        <f>IF(AND(AY129&lt;&gt;"AGUARDANDO",AY129&lt;&gt;"",N129="AUXÍLIO ALUGUEL ATÉ INDENIZAÇÃO"),"SIM","NÃO")</f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>
      <c r="A130" s="165">
        <v>121</v>
      </c>
      <c r="B130" s="103" t="s">
        <v>4431</v>
      </c>
      <c r="C130" s="103" t="s">
        <v>4439</v>
      </c>
      <c r="D130" s="103">
        <v>1</v>
      </c>
      <c r="E130" s="103" t="s">
        <v>4432</v>
      </c>
      <c r="F130" s="104" t="s">
        <v>4951</v>
      </c>
      <c r="G130" s="112" t="s">
        <v>4330</v>
      </c>
      <c r="H130" s="112" t="s">
        <v>4331</v>
      </c>
      <c r="I130" s="112" t="s">
        <v>4343</v>
      </c>
      <c r="J130" s="150" t="s">
        <v>4952</v>
      </c>
      <c r="K130" s="150" t="s">
        <v>4953</v>
      </c>
      <c r="L130" s="141" t="s">
        <v>4954</v>
      </c>
      <c r="M130" s="112" t="s">
        <v>4333</v>
      </c>
      <c r="N130" s="112" t="s">
        <v>4334</v>
      </c>
      <c r="O130" s="105">
        <v>46129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50" t="s">
        <v>4952</v>
      </c>
      <c r="AC130" s="150" t="s">
        <v>4953</v>
      </c>
      <c r="AD130" s="141" t="s">
        <v>4954</v>
      </c>
      <c r="AE130" s="103" t="s">
        <v>4343</v>
      </c>
      <c r="AF130" s="112" t="s">
        <v>4333</v>
      </c>
      <c r="AG130" s="194">
        <v>74497.34</v>
      </c>
      <c r="AH130" s="194">
        <v>74497.34</v>
      </c>
      <c r="AI130" s="103" t="s">
        <v>4336</v>
      </c>
      <c r="AJ130" s="104" t="s">
        <v>4438</v>
      </c>
      <c r="AK130" s="103">
        <v>153976518</v>
      </c>
      <c r="AL130" s="103" t="s">
        <v>4338</v>
      </c>
      <c r="AM130" s="103" t="s">
        <v>4338</v>
      </c>
      <c r="AN130" s="103" t="s">
        <v>4339</v>
      </c>
      <c r="AO130" s="259"/>
      <c r="AP130" s="273" t="s">
        <v>4955</v>
      </c>
      <c r="AQ130" s="259" t="s">
        <v>4338</v>
      </c>
      <c r="AR130" s="112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12" t="s">
        <v>4338</v>
      </c>
      <c r="AX130" s="105">
        <v>46232</v>
      </c>
      <c r="AY130" s="109" t="s">
        <v>4453</v>
      </c>
      <c r="AZ130" s="157"/>
      <c r="BA130" s="109" t="s">
        <v>4330</v>
      </c>
      <c r="BB130" s="112"/>
      <c r="BC130" s="220" t="e">
        <f>IF(AY130-KD130=0,"",AY130-O130)</f>
        <v>#VALUE!</v>
      </c>
      <c r="BD130" s="103" t="str">
        <f>IF(AND(AI130&lt;&gt;"SIM",AI130="UH"),"AA","INDENIZAÇÃO")</f>
        <v>INDENIZAÇÃO</v>
      </c>
      <c r="BE130" s="103" t="str">
        <f>IF(AND(AY130&lt;&gt;"AGUARDANDO",AY130&lt;&gt;"",N130="AUXÍLIO ALUGUEL ATÉ INDENIZAÇÃO"),"SIM","NÃO")</f>
        <v>NÃO</v>
      </c>
      <c r="BF130" s="112"/>
      <c r="BG130" s="147"/>
      <c r="BH130" s="147"/>
      <c r="BI130" s="112"/>
      <c r="BJ130" s="112"/>
      <c r="BK130" s="112"/>
      <c r="BL130" s="112"/>
      <c r="BM130" s="236"/>
      <c r="BN130" s="231"/>
      <c r="BO130" s="231"/>
    </row>
    <row r="131" spans="1:107" s="232" customFormat="1" ht="29.25" customHeight="1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4956</v>
      </c>
      <c r="G131" s="112" t="s">
        <v>4330</v>
      </c>
      <c r="H131" s="112" t="s">
        <v>4331</v>
      </c>
      <c r="I131" s="112" t="s">
        <v>4343</v>
      </c>
      <c r="J131" s="150" t="s">
        <v>4957</v>
      </c>
      <c r="K131" s="150" t="s">
        <v>4958</v>
      </c>
      <c r="L131" s="141" t="s">
        <v>4959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4957</v>
      </c>
      <c r="AC131" s="150" t="s">
        <v>4958</v>
      </c>
      <c r="AD131" s="141" t="s">
        <v>4959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4960</v>
      </c>
      <c r="AQ131" s="103" t="s">
        <v>4338</v>
      </c>
      <c r="AR131" s="103" t="s">
        <v>4338</v>
      </c>
      <c r="AS131" s="103" t="s">
        <v>4338</v>
      </c>
      <c r="AT131" s="280" t="s">
        <v>4961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>IF(AY131-KD131=0,"",AY131-O131)</f>
        <v/>
      </c>
      <c r="BD131" s="103" t="str">
        <f>IF(AND(AI131&lt;&gt;"SIM",AI131="UH"),"AA","INDENIZAÇÃO")</f>
        <v>INDENIZAÇÃO</v>
      </c>
      <c r="BE131" s="103" t="str">
        <f>IF(AND(AY131&lt;&gt;"AGUARDANDO",AY131&lt;&gt;"",N131="AUXÍLIO ALUGUEL ATÉ INDENIZAÇÃO"),"SIM","NÃO")</f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4962</v>
      </c>
      <c r="G132" s="103" t="s">
        <v>4330</v>
      </c>
      <c r="H132" s="103" t="s">
        <v>4331</v>
      </c>
      <c r="I132" s="103" t="s">
        <v>4343</v>
      </c>
      <c r="J132" s="149" t="s">
        <v>4963</v>
      </c>
      <c r="K132" s="149" t="s">
        <v>4964</v>
      </c>
      <c r="L132" s="149" t="s">
        <v>4965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4963</v>
      </c>
      <c r="AC132" s="149" t="s">
        <v>4964</v>
      </c>
      <c r="AD132" s="149" t="s">
        <v>4965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4966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>IF(AY132-KD132=0,"",AY132-O132)</f>
        <v>45</v>
      </c>
      <c r="BD132" s="103" t="str">
        <f>IF(AND(AI132&lt;&gt;"SIM",AI132="UH"),"AA","INDENIZAÇÃO")</f>
        <v>INDENIZAÇÃO</v>
      </c>
      <c r="BE132" s="103" t="str">
        <f>IF(AND(AY132&lt;&gt;"AGUARDANDO",AY132&lt;&gt;"",N132="AUXÍLIO ALUGUEL ATÉ INDENIZAÇÃO"),"SIM","NÃO")</f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>
      <c r="A133" s="103">
        <v>124</v>
      </c>
      <c r="B133" s="103" t="s">
        <v>4431</v>
      </c>
      <c r="C133" s="103" t="s">
        <v>4448</v>
      </c>
      <c r="D133" s="103">
        <v>1</v>
      </c>
      <c r="E133" s="103" t="s">
        <v>4432</v>
      </c>
      <c r="F133" s="104" t="s">
        <v>4967</v>
      </c>
      <c r="G133" s="103" t="s">
        <v>4330</v>
      </c>
      <c r="H133" s="103" t="s">
        <v>4331</v>
      </c>
      <c r="I133" s="142" t="s">
        <v>4343</v>
      </c>
      <c r="J133" s="114" t="s">
        <v>4968</v>
      </c>
      <c r="K133" s="149" t="s">
        <v>4969</v>
      </c>
      <c r="L133" s="149" t="s">
        <v>4970</v>
      </c>
      <c r="M133" s="103" t="s">
        <v>4333</v>
      </c>
      <c r="N133" s="103" t="s">
        <v>4459</v>
      </c>
      <c r="O133" s="105">
        <v>46038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4968</v>
      </c>
      <c r="AC133" s="114" t="s">
        <v>4969</v>
      </c>
      <c r="AD133" s="114" t="s">
        <v>4970</v>
      </c>
      <c r="AE133" s="103" t="s">
        <v>4343</v>
      </c>
      <c r="AF133" s="103" t="s">
        <v>4333</v>
      </c>
      <c r="AG133" s="194">
        <v>6138.42</v>
      </c>
      <c r="AH133" s="194">
        <f>AG133+30000</f>
        <v>36138.42</v>
      </c>
      <c r="AI133" s="103" t="s">
        <v>4336</v>
      </c>
      <c r="AJ133" s="104" t="s">
        <v>4438</v>
      </c>
      <c r="AK133" s="103">
        <v>147990558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4971</v>
      </c>
      <c r="AQ133" s="165" t="s">
        <v>4338</v>
      </c>
      <c r="AR133" s="103" t="s">
        <v>4338</v>
      </c>
      <c r="AS133" s="103" t="s">
        <v>4338</v>
      </c>
      <c r="AT133" s="103" t="s">
        <v>4338</v>
      </c>
      <c r="AU133" s="105">
        <v>46071</v>
      </c>
      <c r="AV133" s="112" t="s">
        <v>4338</v>
      </c>
      <c r="AW133" s="112" t="s">
        <v>4338</v>
      </c>
      <c r="AX133" s="105">
        <v>46101</v>
      </c>
      <c r="AY133" s="106">
        <v>46101</v>
      </c>
      <c r="AZ133" s="106" t="s">
        <v>4453</v>
      </c>
      <c r="BA133" s="107" t="s">
        <v>4454</v>
      </c>
      <c r="BB133" s="136" t="s">
        <v>4338</v>
      </c>
      <c r="BC133" s="220">
        <f>IF(AY133-KD133=0,"",AY133-O133)</f>
        <v>63</v>
      </c>
      <c r="BD133" s="103" t="str">
        <f>IF(AND(AI133&lt;&gt;"SIM",AI133="UH"),"AA","INDENIZAÇÃO")</f>
        <v>INDENIZAÇÃO</v>
      </c>
      <c r="BE133" s="103" t="str">
        <f>IF(AND(AY133&lt;&gt;"AGUARDANDO",AY133&lt;&gt;"",N133="AUXÍLIO ALUGUEL ATÉ INDENIZAÇÃO"),"SIM","NÃO")</f>
        <v>NÃO</v>
      </c>
      <c r="BF133" s="140" t="s">
        <v>4357</v>
      </c>
      <c r="BG133" s="140" t="s">
        <v>4357</v>
      </c>
      <c r="BH133" s="140" t="s">
        <v>4357</v>
      </c>
      <c r="BI133" s="103" t="s">
        <v>4338</v>
      </c>
      <c r="BJ133" s="103" t="s">
        <v>4338</v>
      </c>
      <c r="BK133" s="105">
        <v>46182</v>
      </c>
      <c r="BL133" s="103" t="s">
        <v>4338</v>
      </c>
      <c r="BM133" s="258" t="s">
        <v>4453</v>
      </c>
    </row>
    <row r="134" spans="1:107" s="232" customFormat="1" ht="29.25" customHeight="1">
      <c r="A134" s="165">
        <v>125</v>
      </c>
      <c r="B134" s="103" t="s">
        <v>4431</v>
      </c>
      <c r="C134" s="103" t="s">
        <v>4439</v>
      </c>
      <c r="D134" s="103">
        <v>1</v>
      </c>
      <c r="E134" s="103" t="s">
        <v>4432</v>
      </c>
      <c r="F134" s="104" t="s">
        <v>4967</v>
      </c>
      <c r="G134" s="103" t="s">
        <v>4330</v>
      </c>
      <c r="H134" s="103" t="s">
        <v>4331</v>
      </c>
      <c r="I134" s="142" t="s">
        <v>4343</v>
      </c>
      <c r="J134" s="114" t="s">
        <v>4972</v>
      </c>
      <c r="K134" s="149" t="s">
        <v>4973</v>
      </c>
      <c r="L134" s="149" t="s">
        <v>4974</v>
      </c>
      <c r="M134" s="103" t="s">
        <v>4333</v>
      </c>
      <c r="N134" s="103" t="s">
        <v>4334</v>
      </c>
      <c r="O134" s="105">
        <v>46188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14" t="s">
        <v>4972</v>
      </c>
      <c r="AC134" s="149" t="s">
        <v>4973</v>
      </c>
      <c r="AD134" s="149" t="s">
        <v>4974</v>
      </c>
      <c r="AE134" s="103" t="s">
        <v>4343</v>
      </c>
      <c r="AF134" s="103" t="s">
        <v>4333</v>
      </c>
      <c r="AG134" s="194">
        <v>95009.72</v>
      </c>
      <c r="AH134" s="194">
        <v>95009.72</v>
      </c>
      <c r="AI134" s="103" t="s">
        <v>4447</v>
      </c>
      <c r="AJ134" s="104" t="s">
        <v>4438</v>
      </c>
      <c r="AK134" s="103">
        <v>158035014</v>
      </c>
      <c r="AL134" s="103" t="s">
        <v>4338</v>
      </c>
      <c r="AM134" s="103" t="s">
        <v>4338</v>
      </c>
      <c r="AN134" s="103" t="s">
        <v>4339</v>
      </c>
      <c r="AO134" s="103"/>
      <c r="AP134" s="171" t="s">
        <v>4975</v>
      </c>
      <c r="AQ134" s="103" t="s">
        <v>4822</v>
      </c>
      <c r="AR134" s="103" t="s">
        <v>4822</v>
      </c>
      <c r="AS134" s="103" t="s">
        <v>4822</v>
      </c>
      <c r="AT134" s="103" t="s">
        <v>4822</v>
      </c>
      <c r="AU134" s="105">
        <v>46233</v>
      </c>
      <c r="AV134" s="165" t="s">
        <v>4822</v>
      </c>
      <c r="AW134" s="165" t="s">
        <v>4822</v>
      </c>
      <c r="AX134" s="105">
        <v>46234</v>
      </c>
      <c r="AY134" s="106" t="s">
        <v>4453</v>
      </c>
      <c r="AZ134" s="106"/>
      <c r="BA134" s="107" t="s">
        <v>4330</v>
      </c>
      <c r="BB134" s="136"/>
      <c r="BC134" s="220"/>
      <c r="BD134" s="103"/>
      <c r="BE134" s="103"/>
      <c r="BF134" s="140"/>
      <c r="BG134" s="140"/>
      <c r="BH134" s="140"/>
      <c r="BI134" s="103"/>
      <c r="BJ134" s="103"/>
      <c r="BK134" s="105"/>
      <c r="BL134" s="103"/>
      <c r="BM134" s="258"/>
    </row>
    <row r="135" spans="1:107" s="232" customFormat="1" ht="29.25" customHeight="1">
      <c r="A135" s="165">
        <v>126</v>
      </c>
      <c r="B135" s="103" t="s">
        <v>4431</v>
      </c>
      <c r="C135" s="103" t="s">
        <v>4448</v>
      </c>
      <c r="D135" s="103">
        <v>1</v>
      </c>
      <c r="E135" s="103" t="s">
        <v>4432</v>
      </c>
      <c r="F135" s="104" t="s">
        <v>4976</v>
      </c>
      <c r="G135" s="103" t="s">
        <v>4330</v>
      </c>
      <c r="H135" s="103" t="s">
        <v>4331</v>
      </c>
      <c r="I135" s="142" t="s">
        <v>4343</v>
      </c>
      <c r="J135" s="114" t="s">
        <v>4977</v>
      </c>
      <c r="K135" s="149" t="s">
        <v>4978</v>
      </c>
      <c r="L135" s="149" t="s">
        <v>4979</v>
      </c>
      <c r="M135" s="103" t="s">
        <v>4333</v>
      </c>
      <c r="N135" s="103" t="s">
        <v>4459</v>
      </c>
      <c r="O135" s="105">
        <v>46064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14" t="s">
        <v>4977</v>
      </c>
      <c r="AC135" s="149" t="s">
        <v>4978</v>
      </c>
      <c r="AD135" s="149" t="s">
        <v>4979</v>
      </c>
      <c r="AE135" s="103" t="s">
        <v>4343</v>
      </c>
      <c r="AF135" s="103" t="s">
        <v>4333</v>
      </c>
      <c r="AG135" s="194">
        <v>41613.47</v>
      </c>
      <c r="AH135" s="194">
        <v>60000</v>
      </c>
      <c r="AI135" s="103" t="s">
        <v>4336</v>
      </c>
      <c r="AJ135" s="104" t="s">
        <v>4438</v>
      </c>
      <c r="AK135" s="103">
        <v>150009526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4980</v>
      </c>
      <c r="AQ135" s="165" t="s">
        <v>4338</v>
      </c>
      <c r="AR135" s="103" t="s">
        <v>4338</v>
      </c>
      <c r="AS135" s="103" t="s">
        <v>4338</v>
      </c>
      <c r="AT135" s="103" t="s">
        <v>4338</v>
      </c>
      <c r="AU135" s="105">
        <v>46111</v>
      </c>
      <c r="AV135" s="103" t="s">
        <v>4338</v>
      </c>
      <c r="AW135" s="103" t="s">
        <v>4338</v>
      </c>
      <c r="AX135" s="105">
        <v>46114</v>
      </c>
      <c r="AY135" s="106">
        <v>46114</v>
      </c>
      <c r="AZ135" s="106" t="s">
        <v>4453</v>
      </c>
      <c r="BA135" s="107" t="s">
        <v>4454</v>
      </c>
      <c r="BB135" s="136" t="s">
        <v>4338</v>
      </c>
      <c r="BC135" s="220">
        <f>IF(AY135-KD135=0,"",AY135-O135)</f>
        <v>50</v>
      </c>
      <c r="BD135" s="103" t="str">
        <f>IF(AND(AI135&lt;&gt;"SIM",AI135="UH"),"AA","INDENIZAÇÃO")</f>
        <v>INDENIZAÇÃO</v>
      </c>
      <c r="BE135" s="103" t="str">
        <f>IF(AND(AY135&lt;&gt;"AGUARDANDO",AY135&lt;&gt;"",N135="AUXÍLIO ALUGUEL ATÉ INDENIZAÇÃO"),"SIM","NÃO")</f>
        <v>NÃO</v>
      </c>
      <c r="BF135" s="140" t="s">
        <v>4357</v>
      </c>
      <c r="BG135" s="140" t="s">
        <v>4357</v>
      </c>
      <c r="BH135" s="140" t="s">
        <v>4357</v>
      </c>
      <c r="BI135" s="103" t="s">
        <v>4338</v>
      </c>
      <c r="BJ135" s="103" t="s">
        <v>4338</v>
      </c>
      <c r="BK135" s="105">
        <v>46182</v>
      </c>
      <c r="BL135" s="103" t="s">
        <v>4338</v>
      </c>
      <c r="BM135" s="258" t="s">
        <v>4453</v>
      </c>
    </row>
    <row r="136" spans="1:107" s="232" customFormat="1" ht="29.25" customHeight="1">
      <c r="A136" s="165">
        <v>127</v>
      </c>
      <c r="B136" s="103" t="s">
        <v>4431</v>
      </c>
      <c r="C136" s="103" t="s">
        <v>4439</v>
      </c>
      <c r="D136" s="103">
        <v>1</v>
      </c>
      <c r="E136" s="103" t="s">
        <v>4432</v>
      </c>
      <c r="F136" s="104" t="s">
        <v>4976</v>
      </c>
      <c r="G136" s="103" t="s">
        <v>4330</v>
      </c>
      <c r="H136" s="103" t="s">
        <v>4331</v>
      </c>
      <c r="I136" s="142" t="s">
        <v>4343</v>
      </c>
      <c r="J136" s="114" t="s">
        <v>4981</v>
      </c>
      <c r="K136" s="149"/>
      <c r="L136" s="149" t="s">
        <v>4982</v>
      </c>
      <c r="M136" s="103" t="s">
        <v>4333</v>
      </c>
      <c r="N136" s="103" t="s">
        <v>4459</v>
      </c>
      <c r="O136" s="105">
        <v>46170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 t="s">
        <v>4356</v>
      </c>
      <c r="AA136" s="105"/>
      <c r="AB136" s="114" t="s">
        <v>4981</v>
      </c>
      <c r="AC136" s="149"/>
      <c r="AD136" s="149" t="s">
        <v>4982</v>
      </c>
      <c r="AE136" s="103" t="s">
        <v>4343</v>
      </c>
      <c r="AF136" s="103" t="s">
        <v>4333</v>
      </c>
      <c r="AG136" s="194">
        <v>14813.35</v>
      </c>
      <c r="AH136" s="194">
        <v>44813.35</v>
      </c>
      <c r="AI136" s="103" t="s">
        <v>4447</v>
      </c>
      <c r="AJ136" s="104" t="s">
        <v>4438</v>
      </c>
      <c r="AK136" s="103">
        <v>158035164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4983</v>
      </c>
      <c r="AQ136" s="165" t="s">
        <v>4822</v>
      </c>
      <c r="AR136" s="103" t="s">
        <v>4822</v>
      </c>
      <c r="AS136" s="103" t="s">
        <v>4822</v>
      </c>
      <c r="AT136" s="103" t="s">
        <v>4822</v>
      </c>
      <c r="AU136" s="105">
        <v>46233</v>
      </c>
      <c r="AV136" s="103" t="s">
        <v>4822</v>
      </c>
      <c r="AW136" s="103" t="s">
        <v>4822</v>
      </c>
      <c r="AX136" s="105">
        <v>46234</v>
      </c>
      <c r="AY136" s="106" t="s">
        <v>4453</v>
      </c>
      <c r="AZ136" s="106"/>
      <c r="BA136" s="107" t="s">
        <v>4330</v>
      </c>
      <c r="BB136" s="136"/>
      <c r="BC136" s="220"/>
      <c r="BD136" s="103"/>
      <c r="BE136" s="103"/>
      <c r="BF136" s="140"/>
      <c r="BG136" s="140"/>
      <c r="BH136" s="140"/>
      <c r="BI136" s="103"/>
      <c r="BJ136" s="154"/>
      <c r="BK136" s="154"/>
      <c r="BL136" s="154"/>
      <c r="BM136" s="237"/>
    </row>
    <row r="137" spans="1:107" s="232" customFormat="1" ht="29.25" customHeight="1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4984</v>
      </c>
      <c r="G137" s="103" t="s">
        <v>4330</v>
      </c>
      <c r="H137" s="103" t="s">
        <v>4331</v>
      </c>
      <c r="I137" s="142" t="s">
        <v>4440</v>
      </c>
      <c r="J137" s="114" t="s">
        <v>4985</v>
      </c>
      <c r="K137" s="149" t="s">
        <v>4986</v>
      </c>
      <c r="L137" s="149" t="s">
        <v>4987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4988</v>
      </c>
      <c r="AC137" s="114" t="s">
        <v>4989</v>
      </c>
      <c r="AD137" s="114" t="s">
        <v>4990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>IF(AY137-KD137=0,"",AY137-O137)</f>
        <v/>
      </c>
      <c r="BD137" s="103" t="str">
        <f>IF(AND(AI137&lt;&gt;"SIM",AI137="UH"),"AA","INDENIZAÇÃO")</f>
        <v>INDENIZAÇÃO</v>
      </c>
      <c r="BE137" s="103" t="str">
        <f>IF(AND(AY137&lt;&gt;"AGUARDANDO",AY137&lt;&gt;"",N137="AUXÍLIO ALUGUEL ATÉ INDENIZAÇÃO"),"SIM","NÃO")</f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4991</v>
      </c>
      <c r="G138" s="103" t="s">
        <v>4330</v>
      </c>
      <c r="H138" s="103" t="s">
        <v>4331</v>
      </c>
      <c r="I138" s="142" t="s">
        <v>4343</v>
      </c>
      <c r="J138" s="114" t="s">
        <v>4992</v>
      </c>
      <c r="K138" s="149" t="s">
        <v>4993</v>
      </c>
      <c r="L138" s="149" t="s">
        <v>4994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4992</v>
      </c>
      <c r="AC138" s="139" t="s">
        <v>4993</v>
      </c>
      <c r="AD138" s="139" t="s">
        <v>4994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4995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>IF(AY138-KD138=0,"",AY138-O138)</f>
        <v>102</v>
      </c>
      <c r="BD138" s="103" t="str">
        <f>IF(AND(AI138&lt;&gt;"SIM",AI138="UH"),"AA","INDENIZAÇÃO")</f>
        <v>INDENIZAÇÃO</v>
      </c>
      <c r="BE138" s="103" t="str">
        <f>IF(AND(AY138&lt;&gt;"AGUARDANDO",AY138&lt;&gt;"",N138="AUXÍLIO ALUGUEL ATÉ INDENIZAÇÃO"),"SIM","NÃO")</f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customHeight="1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44" t="s">
        <v>4996</v>
      </c>
      <c r="G139" s="103" t="s">
        <v>4330</v>
      </c>
      <c r="H139" s="103" t="s">
        <v>4331</v>
      </c>
      <c r="I139" s="142" t="s">
        <v>4343</v>
      </c>
      <c r="J139" s="114" t="s">
        <v>4997</v>
      </c>
      <c r="K139" s="149" t="s">
        <v>4998</v>
      </c>
      <c r="L139" s="149" t="s">
        <v>4999</v>
      </c>
      <c r="M139" s="103" t="s">
        <v>4333</v>
      </c>
      <c r="N139" s="103" t="s">
        <v>4459</v>
      </c>
      <c r="O139" s="105">
        <v>46038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14" t="s">
        <v>4997</v>
      </c>
      <c r="AC139" s="139" t="s">
        <v>4998</v>
      </c>
      <c r="AD139" s="139" t="s">
        <v>4999</v>
      </c>
      <c r="AE139" s="103" t="s">
        <v>4343</v>
      </c>
      <c r="AF139" s="103" t="s">
        <v>4333</v>
      </c>
      <c r="AG139" s="194">
        <v>70112.710000000006</v>
      </c>
      <c r="AH139" s="194">
        <v>70112.710000000006</v>
      </c>
      <c r="AI139" s="103" t="s">
        <v>4336</v>
      </c>
      <c r="AJ139" s="104" t="s">
        <v>4438</v>
      </c>
      <c r="AK139" s="103">
        <v>147991301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5000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5">
        <v>46071</v>
      </c>
      <c r="AV139" s="112" t="s">
        <v>4338</v>
      </c>
      <c r="AW139" s="112" t="s">
        <v>4338</v>
      </c>
      <c r="AX139" s="105">
        <v>46101</v>
      </c>
      <c r="AY139" s="106">
        <v>46101</v>
      </c>
      <c r="AZ139" s="106" t="s">
        <v>4453</v>
      </c>
      <c r="BA139" s="107" t="s">
        <v>4454</v>
      </c>
      <c r="BB139" s="136" t="s">
        <v>4338</v>
      </c>
      <c r="BC139" s="220">
        <f>IF(AY139-KD139=0,"",AY139-O139)</f>
        <v>63</v>
      </c>
      <c r="BD139" s="103" t="str">
        <f>IF(AND(AI139&lt;&gt;"SIM",AI139="UH"),"AA","INDENIZAÇÃO")</f>
        <v>INDENIZAÇÃO</v>
      </c>
      <c r="BE139" s="103" t="str">
        <f>IF(AND(AY139&lt;&gt;"AGUARDANDO",AY139&lt;&gt;"",N139="AUXÍLIO ALUGUEL ATÉ INDENIZAÇÃO"),"SIM","NÃO")</f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5">
        <v>46182</v>
      </c>
      <c r="BL139" s="103" t="s">
        <v>4338</v>
      </c>
      <c r="BM139" s="258" t="s">
        <v>4453</v>
      </c>
      <c r="BN139" s="231"/>
      <c r="BO139" s="231"/>
    </row>
    <row r="140" spans="1:107" s="232" customFormat="1" ht="29.25" customHeight="1">
      <c r="A140" s="165">
        <v>131</v>
      </c>
      <c r="B140" s="103" t="s">
        <v>4431</v>
      </c>
      <c r="C140" s="103" t="s">
        <v>4439</v>
      </c>
      <c r="D140" s="103">
        <v>1</v>
      </c>
      <c r="E140" s="103" t="s">
        <v>4432</v>
      </c>
      <c r="F140" s="104" t="s">
        <v>4996</v>
      </c>
      <c r="G140" s="103" t="s">
        <v>4330</v>
      </c>
      <c r="H140" s="103" t="s">
        <v>4331</v>
      </c>
      <c r="I140" s="103" t="s">
        <v>4343</v>
      </c>
      <c r="J140" s="149" t="s">
        <v>5001</v>
      </c>
      <c r="K140" s="149" t="s">
        <v>5002</v>
      </c>
      <c r="L140" s="149" t="s">
        <v>5003</v>
      </c>
      <c r="M140" s="103" t="s">
        <v>4333</v>
      </c>
      <c r="N140" s="103" t="s">
        <v>4459</v>
      </c>
      <c r="O140" s="105">
        <v>46106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49" t="s">
        <v>5001</v>
      </c>
      <c r="AC140" s="149" t="s">
        <v>5002</v>
      </c>
      <c r="AD140" s="149" t="s">
        <v>5003</v>
      </c>
      <c r="AE140" s="103" t="s">
        <v>4343</v>
      </c>
      <c r="AF140" s="103" t="s">
        <v>4333</v>
      </c>
      <c r="AG140" s="194">
        <v>31647.72</v>
      </c>
      <c r="AH140" s="194">
        <v>60000</v>
      </c>
      <c r="AI140" s="103" t="s">
        <v>4336</v>
      </c>
      <c r="AJ140" s="104" t="s">
        <v>4438</v>
      </c>
      <c r="AK140" s="103">
        <v>152693881</v>
      </c>
      <c r="AL140" s="142" t="s">
        <v>4338</v>
      </c>
      <c r="AM140" s="103" t="s">
        <v>4338</v>
      </c>
      <c r="AN140" s="103" t="s">
        <v>4339</v>
      </c>
      <c r="AO140" s="103"/>
      <c r="AP140" s="171" t="s">
        <v>5004</v>
      </c>
      <c r="AQ140" s="103" t="s">
        <v>4338</v>
      </c>
      <c r="AR140" s="103" t="s">
        <v>4338</v>
      </c>
      <c r="AS140" s="143" t="s">
        <v>4338</v>
      </c>
      <c r="AT140" s="103" t="s">
        <v>4338</v>
      </c>
      <c r="AU140" s="105">
        <v>46139</v>
      </c>
      <c r="AV140" s="103" t="s">
        <v>4338</v>
      </c>
      <c r="AW140" s="103" t="s">
        <v>4338</v>
      </c>
      <c r="AX140" s="105">
        <v>46146</v>
      </c>
      <c r="AY140" s="106">
        <v>46146</v>
      </c>
      <c r="AZ140" s="106" t="s">
        <v>4453</v>
      </c>
      <c r="BA140" s="107" t="s">
        <v>4454</v>
      </c>
      <c r="BB140" s="136" t="s">
        <v>4338</v>
      </c>
      <c r="BC140" s="220">
        <f>IF(AY140-KD140=0,"",AY140-O140)</f>
        <v>40</v>
      </c>
      <c r="BD140" s="103" t="str">
        <f>IF(AND(AI140&lt;&gt;"SIM",AI140="UH"),"AA","INDENIZAÇÃO")</f>
        <v>INDENIZAÇÃO</v>
      </c>
      <c r="BE140" s="103" t="str">
        <f>IF(AND(AY140&lt;&gt;"AGUARDANDO",AY140&lt;&gt;"",N140="AUXÍLIO ALUGUEL ATÉ INDENIZAÇÃO"),"SIM","NÃO")</f>
        <v>NÃO</v>
      </c>
      <c r="BF140" s="112" t="s">
        <v>4357</v>
      </c>
      <c r="BG140" s="112" t="s">
        <v>4357</v>
      </c>
      <c r="BH140" s="112" t="s">
        <v>4357</v>
      </c>
      <c r="BI140" s="112" t="s">
        <v>4338</v>
      </c>
      <c r="BJ140" s="112" t="s">
        <v>4338</v>
      </c>
      <c r="BK140" s="105">
        <v>46195</v>
      </c>
      <c r="BL140" s="112" t="s">
        <v>4338</v>
      </c>
      <c r="BM140" s="262" t="s">
        <v>4453</v>
      </c>
      <c r="BN140" s="231"/>
      <c r="BO140" s="231"/>
    </row>
    <row r="141" spans="1:107" s="232" customFormat="1" ht="29.25" customHeight="1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5005</v>
      </c>
      <c r="G141" s="103" t="s">
        <v>4330</v>
      </c>
      <c r="H141" s="103" t="s">
        <v>4331</v>
      </c>
      <c r="I141" s="103" t="s">
        <v>4343</v>
      </c>
      <c r="J141" s="149" t="s">
        <v>5006</v>
      </c>
      <c r="K141" s="149" t="s">
        <v>5007</v>
      </c>
      <c r="L141" s="149" t="s">
        <v>5008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5006</v>
      </c>
      <c r="AC141" s="149" t="s">
        <v>5007</v>
      </c>
      <c r="AD141" s="149" t="s">
        <v>5008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>IF(AY141-KD141=0,"",AY141-O141)</f>
        <v/>
      </c>
      <c r="BD141" s="103" t="str">
        <f>IF(AND(AI141&lt;&gt;"SIM",AI141="UH"),"AA","INDENIZAÇÃO")</f>
        <v>AA</v>
      </c>
      <c r="BE141" s="103" t="str">
        <f>IF(AND(AY141&lt;&gt;"AGUARDANDO",AY141&lt;&gt;"",N141="AUXÍLIO ALUGUEL ATÉ INDENIZAÇÃO"),"SIM","NÃO")</f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customHeight="1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44" t="s">
        <v>5005</v>
      </c>
      <c r="G142" s="103" t="s">
        <v>4330</v>
      </c>
      <c r="H142" s="103" t="s">
        <v>4331</v>
      </c>
      <c r="I142" s="142" t="s">
        <v>4343</v>
      </c>
      <c r="J142" s="114" t="s">
        <v>5009</v>
      </c>
      <c r="K142" s="149" t="s">
        <v>5010</v>
      </c>
      <c r="L142" s="149" t="s">
        <v>5011</v>
      </c>
      <c r="M142" s="103" t="s">
        <v>4333</v>
      </c>
      <c r="N142" s="103" t="s">
        <v>4459</v>
      </c>
      <c r="O142" s="105">
        <v>46038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5"/>
      <c r="AB142" s="114" t="s">
        <v>5009</v>
      </c>
      <c r="AC142" s="139" t="s">
        <v>5010</v>
      </c>
      <c r="AD142" s="139" t="s">
        <v>5011</v>
      </c>
      <c r="AE142" s="103" t="s">
        <v>4343</v>
      </c>
      <c r="AF142" s="103" t="s">
        <v>4333</v>
      </c>
      <c r="AG142" s="194">
        <v>56896.03</v>
      </c>
      <c r="AH142" s="194">
        <v>60000</v>
      </c>
      <c r="AI142" s="103" t="s">
        <v>4336</v>
      </c>
      <c r="AJ142" s="104" t="s">
        <v>4438</v>
      </c>
      <c r="AK142" s="103">
        <v>147991981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5012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5">
        <v>46098</v>
      </c>
      <c r="AV142" s="103" t="s">
        <v>4338</v>
      </c>
      <c r="AW142" s="103" t="s">
        <v>4338</v>
      </c>
      <c r="AX142" s="105">
        <v>46114</v>
      </c>
      <c r="AY142" s="106">
        <v>46114</v>
      </c>
      <c r="AZ142" s="106" t="s">
        <v>4453</v>
      </c>
      <c r="BA142" s="107" t="s">
        <v>4454</v>
      </c>
      <c r="BB142" s="136" t="s">
        <v>4338</v>
      </c>
      <c r="BC142" s="220">
        <f>IF(AY142-KD142=0,"",AY142-O142)</f>
        <v>76</v>
      </c>
      <c r="BD142" s="103" t="str">
        <f>IF(AND(AI142&lt;&gt;"SIM",AI142="UH"),"AA","INDENIZAÇÃO")</f>
        <v>INDENIZAÇÃO</v>
      </c>
      <c r="BE142" s="103" t="str">
        <f>IF(AND(AY142&lt;&gt;"AGUARDANDO",AY142&lt;&gt;"",N142="AUXÍLIO ALUGUEL ATÉ INDENIZAÇÃO"),"SIM","NÃO")</f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5">
        <v>46182</v>
      </c>
      <c r="BL142" s="103" t="s">
        <v>4338</v>
      </c>
      <c r="BM142" s="258" t="s">
        <v>4453</v>
      </c>
      <c r="BN142" s="231"/>
      <c r="BO142" s="231"/>
    </row>
    <row r="143" spans="1:107" s="232" customFormat="1" ht="29.25" customHeight="1">
      <c r="A143" s="103">
        <v>134</v>
      </c>
      <c r="B143" s="103" t="s">
        <v>4431</v>
      </c>
      <c r="C143" s="103" t="s">
        <v>4439</v>
      </c>
      <c r="D143" s="103">
        <v>1</v>
      </c>
      <c r="E143" s="103" t="s">
        <v>4432</v>
      </c>
      <c r="F143" s="104" t="s">
        <v>5013</v>
      </c>
      <c r="G143" s="103" t="s">
        <v>4330</v>
      </c>
      <c r="H143" s="103" t="s">
        <v>4331</v>
      </c>
      <c r="I143" s="103" t="s">
        <v>4343</v>
      </c>
      <c r="J143" s="149" t="s">
        <v>5014</v>
      </c>
      <c r="K143" s="149" t="s">
        <v>5015</v>
      </c>
      <c r="L143" s="149" t="s">
        <v>5016</v>
      </c>
      <c r="M143" s="103" t="s">
        <v>4333</v>
      </c>
      <c r="N143" s="103" t="s">
        <v>4459</v>
      </c>
      <c r="O143" s="105">
        <v>46129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49" t="s">
        <v>5014</v>
      </c>
      <c r="AC143" s="149" t="s">
        <v>5015</v>
      </c>
      <c r="AD143" s="149" t="s">
        <v>5016</v>
      </c>
      <c r="AE143" s="103" t="s">
        <v>4343</v>
      </c>
      <c r="AF143" s="103" t="s">
        <v>4333</v>
      </c>
      <c r="AG143" s="194">
        <v>168872.67</v>
      </c>
      <c r="AH143" s="194">
        <v>168872.67</v>
      </c>
      <c r="AI143" s="103" t="s">
        <v>4336</v>
      </c>
      <c r="AJ143" s="104" t="s">
        <v>4438</v>
      </c>
      <c r="AK143" s="103">
        <v>154259187</v>
      </c>
      <c r="AL143" s="103" t="s">
        <v>4338</v>
      </c>
      <c r="AM143" s="103" t="s">
        <v>4338</v>
      </c>
      <c r="AN143" s="103" t="s">
        <v>4339</v>
      </c>
      <c r="AO143" s="259"/>
      <c r="AP143" s="273" t="s">
        <v>5017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46226</v>
      </c>
      <c r="AV143" s="112" t="s">
        <v>4338</v>
      </c>
      <c r="AW143" s="112" t="s">
        <v>4338</v>
      </c>
      <c r="AX143" s="105">
        <v>46232</v>
      </c>
      <c r="AY143" s="109" t="s">
        <v>4453</v>
      </c>
      <c r="AZ143" s="157"/>
      <c r="BA143" s="109" t="s">
        <v>4330</v>
      </c>
      <c r="BB143" s="112"/>
      <c r="BC143" s="220" t="e">
        <f>IF(AY143-KD143=0,"",AY143-O143)</f>
        <v>#VALUE!</v>
      </c>
      <c r="BD143" s="103" t="str">
        <f>IF(AND(AI143&lt;&gt;"SIM",AI143="UH"),"AA","INDENIZAÇÃO")</f>
        <v>INDENIZAÇÃO</v>
      </c>
      <c r="BE143" s="103" t="str">
        <f>IF(AND(AY143&lt;&gt;"AGUARDANDO",AY143&lt;&gt;"",N143="AUXÍLIO ALUGUEL ATÉ INDENIZAÇÃO"),"SIM","NÃO")</f>
        <v>NÃO</v>
      </c>
      <c r="BF143" s="112"/>
      <c r="BG143" s="147"/>
      <c r="BH143" s="147"/>
      <c r="BI143" s="112"/>
      <c r="BJ143" s="112"/>
      <c r="BK143" s="112"/>
      <c r="BL143" s="112"/>
      <c r="BM143" s="236"/>
    </row>
    <row r="144" spans="1:107" s="232" customFormat="1" ht="29.25" customHeight="1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44" t="s">
        <v>5013</v>
      </c>
      <c r="G144" s="103" t="s">
        <v>4330</v>
      </c>
      <c r="H144" s="103" t="s">
        <v>4331</v>
      </c>
      <c r="I144" s="142" t="s">
        <v>4343</v>
      </c>
      <c r="J144" s="114" t="s">
        <v>5018</v>
      </c>
      <c r="K144" s="149" t="s">
        <v>5019</v>
      </c>
      <c r="L144" s="149" t="s">
        <v>5020</v>
      </c>
      <c r="M144" s="103" t="s">
        <v>4333</v>
      </c>
      <c r="N144" s="103" t="s">
        <v>4459</v>
      </c>
      <c r="O144" s="105">
        <v>46099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14" t="s">
        <v>5018</v>
      </c>
      <c r="AC144" s="139" t="s">
        <v>5019</v>
      </c>
      <c r="AD144" s="139" t="s">
        <v>5020</v>
      </c>
      <c r="AE144" s="103" t="s">
        <v>4343</v>
      </c>
      <c r="AF144" s="103" t="s">
        <v>4333</v>
      </c>
      <c r="AG144" s="194">
        <v>3553.82</v>
      </c>
      <c r="AH144" s="194">
        <v>33553.82</v>
      </c>
      <c r="AI144" s="103" t="s">
        <v>4447</v>
      </c>
      <c r="AJ144" s="104" t="s">
        <v>4438</v>
      </c>
      <c r="AK144" s="103">
        <v>147992612</v>
      </c>
      <c r="AL144" s="103" t="s">
        <v>4338</v>
      </c>
      <c r="AM144" s="103" t="s">
        <v>4338</v>
      </c>
      <c r="AN144" s="103" t="s">
        <v>4339</v>
      </c>
      <c r="AO144" s="103"/>
      <c r="AP144" s="171" t="s">
        <v>5021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5">
        <v>46153</v>
      </c>
      <c r="AV144" s="165" t="s">
        <v>4338</v>
      </c>
      <c r="AW144" s="103" t="s">
        <v>4338</v>
      </c>
      <c r="AX144" s="105">
        <v>46157</v>
      </c>
      <c r="AY144" s="106">
        <v>46157</v>
      </c>
      <c r="AZ144" s="106" t="s">
        <v>4453</v>
      </c>
      <c r="BA144" s="107" t="s">
        <v>4454</v>
      </c>
      <c r="BB144" s="136" t="s">
        <v>4338</v>
      </c>
      <c r="BC144" s="220">
        <f>IF(AY144-KD144=0,"",AY144-O144)</f>
        <v>58</v>
      </c>
      <c r="BD144" s="103" t="str">
        <f>IF(AND(AI144&lt;&gt;"SIM",AI144="UH"),"AA","INDENIZAÇÃO")</f>
        <v>INDENIZAÇÃO</v>
      </c>
      <c r="BE144" s="103" t="str">
        <f>IF(AND(AY144&lt;&gt;"AGUARDANDO",AY144&lt;&gt;"",N144="AUXÍLIO ALUGUEL ATÉ INDENIZAÇÃO"),"SIM","NÃO")</f>
        <v>NÃO</v>
      </c>
      <c r="BF144" s="140" t="s">
        <v>4357</v>
      </c>
      <c r="BG144" s="140" t="s">
        <v>4357</v>
      </c>
      <c r="BH144" s="140" t="s">
        <v>4357</v>
      </c>
      <c r="BI144" s="112" t="s">
        <v>4338</v>
      </c>
      <c r="BJ144" s="112" t="s">
        <v>4338</v>
      </c>
      <c r="BK144" s="105">
        <v>46195</v>
      </c>
      <c r="BL144" s="112" t="s">
        <v>4338</v>
      </c>
      <c r="BM144" s="262" t="s">
        <v>4453</v>
      </c>
    </row>
    <row r="145" spans="1:68" s="232" customFormat="1" ht="29.25" customHeight="1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5022</v>
      </c>
      <c r="G145" s="103" t="s">
        <v>4330</v>
      </c>
      <c r="H145" s="103" t="s">
        <v>4331</v>
      </c>
      <c r="I145" s="142" t="s">
        <v>4343</v>
      </c>
      <c r="J145" s="149" t="s">
        <v>5023</v>
      </c>
      <c r="K145" s="149" t="s">
        <v>5024</v>
      </c>
      <c r="L145" s="149" t="s">
        <v>5025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5023</v>
      </c>
      <c r="AC145" s="149" t="s">
        <v>5026</v>
      </c>
      <c r="AD145" s="149" t="s">
        <v>5025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>IF(AY145-KD145=0,"",AY145-O145)</f>
        <v/>
      </c>
      <c r="BD145" s="103" t="str">
        <f>IF(AND(AI145&lt;&gt;"SIM",AI145="UH"),"AA","INDENIZAÇÃO")</f>
        <v>INDENIZAÇÃO</v>
      </c>
      <c r="BE145" s="103" t="str">
        <f>IF(AND(AY145&lt;&gt;"AGUARDANDO",AY145&lt;&gt;"",N145="AUXÍLIO ALUGUEL ATÉ INDENIZAÇÃO"),"SIM","NÃO")</f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customHeight="1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5022</v>
      </c>
      <c r="G146" s="103" t="s">
        <v>4330</v>
      </c>
      <c r="H146" s="103" t="s">
        <v>4331</v>
      </c>
      <c r="I146" s="142" t="s">
        <v>4343</v>
      </c>
      <c r="J146" s="114" t="s">
        <v>5027</v>
      </c>
      <c r="K146" s="149" t="s">
        <v>5028</v>
      </c>
      <c r="L146" s="149" t="s">
        <v>5029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5027</v>
      </c>
      <c r="AC146" s="149" t="s">
        <v>5028</v>
      </c>
      <c r="AD146" s="149" t="s">
        <v>5029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>IF(AY146-KD146=0,"",AY146-O146)</f>
        <v/>
      </c>
      <c r="BD146" s="103" t="str">
        <f>IF(AND(AI146&lt;&gt;"SIM",AI146="UH"),"AA","INDENIZAÇÃO")</f>
        <v>AA</v>
      </c>
      <c r="BE146" s="103" t="str">
        <f>IF(AND(AY146&lt;&gt;"AGUARDANDO",AY146&lt;&gt;"",N146="AUXÍLIO ALUGUEL ATÉ INDENIZAÇÃO"),"SIM","NÃO")</f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5030</v>
      </c>
      <c r="G147" s="103" t="s">
        <v>4330</v>
      </c>
      <c r="H147" s="103" t="s">
        <v>4331</v>
      </c>
      <c r="I147" s="103" t="s">
        <v>4440</v>
      </c>
      <c r="J147" s="149" t="s">
        <v>5031</v>
      </c>
      <c r="K147" s="149" t="s">
        <v>5032</v>
      </c>
      <c r="L147" s="149" t="s">
        <v>5033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5034</v>
      </c>
      <c r="AC147" s="149" t="s">
        <v>5035</v>
      </c>
      <c r="AD147" s="149" t="s">
        <v>5036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5037</v>
      </c>
      <c r="AQ147" s="165" t="s">
        <v>4822</v>
      </c>
      <c r="AR147" s="103" t="s">
        <v>4822</v>
      </c>
      <c r="AS147" s="103" t="s">
        <v>4822</v>
      </c>
      <c r="AT147" s="103" t="s">
        <v>4822</v>
      </c>
      <c r="AU147" s="105">
        <v>46233</v>
      </c>
      <c r="AV147" s="103" t="s">
        <v>4822</v>
      </c>
      <c r="AW147" s="103" t="s">
        <v>4822</v>
      </c>
      <c r="AX147" s="105">
        <v>46237</v>
      </c>
      <c r="AY147" s="106" t="s">
        <v>4453</v>
      </c>
      <c r="AZ147" s="106"/>
      <c r="BA147" s="107" t="s">
        <v>4330</v>
      </c>
      <c r="BB147" s="112"/>
      <c r="BC147" s="220" t="e">
        <f>IF(AY147-KD147=0,"",AY147-O147)</f>
        <v>#VALUE!</v>
      </c>
      <c r="BD147" s="103" t="str">
        <f>IF(AND(AI147&lt;&gt;"SIM",AI147="UH"),"AA","INDENIZAÇÃO")</f>
        <v>INDENIZAÇÃO</v>
      </c>
      <c r="BE147" s="103" t="str">
        <f>IF(AND(AY147&lt;&gt;"AGUARDANDO",AY147&lt;&gt;"",N147="AUXÍLIO ALUGUEL ATÉ INDENIZAÇÃO"),"SIM","NÃO")</f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customHeight="1">
      <c r="A148" s="165">
        <v>139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5038</v>
      </c>
      <c r="G148" s="103" t="s">
        <v>4330</v>
      </c>
      <c r="H148" s="103" t="s">
        <v>4331</v>
      </c>
      <c r="I148" s="103" t="s">
        <v>4440</v>
      </c>
      <c r="J148" s="149" t="s">
        <v>5039</v>
      </c>
      <c r="K148" s="149" t="s">
        <v>5040</v>
      </c>
      <c r="L148" s="149" t="s">
        <v>5041</v>
      </c>
      <c r="M148" s="103" t="s">
        <v>4333</v>
      </c>
      <c r="N148" s="103" t="s">
        <v>4345</v>
      </c>
      <c r="O148" s="105">
        <v>46106</v>
      </c>
      <c r="P148" s="105">
        <v>46106</v>
      </c>
      <c r="Q148" s="105" t="s">
        <v>4436</v>
      </c>
      <c r="R148" s="105">
        <v>46106</v>
      </c>
      <c r="S148" s="105">
        <v>46107</v>
      </c>
      <c r="T148" s="105">
        <v>46111</v>
      </c>
      <c r="U148" s="105">
        <v>46087</v>
      </c>
      <c r="V148" s="105" t="s">
        <v>4437</v>
      </c>
      <c r="W148" s="105" t="s">
        <v>4437</v>
      </c>
      <c r="X148" s="105">
        <v>46132</v>
      </c>
      <c r="Y148" s="105">
        <v>46129</v>
      </c>
      <c r="Z148" s="105"/>
      <c r="AA148" s="105"/>
      <c r="AB148" s="149" t="s">
        <v>5042</v>
      </c>
      <c r="AC148" s="149" t="s">
        <v>5043</v>
      </c>
      <c r="AD148" s="149" t="s">
        <v>5044</v>
      </c>
      <c r="AE148" s="142" t="s">
        <v>4332</v>
      </c>
      <c r="AF148" s="142" t="s">
        <v>5045</v>
      </c>
      <c r="AG148" s="194">
        <v>64521.279999999999</v>
      </c>
      <c r="AH148" s="194">
        <v>64521.279999999999</v>
      </c>
      <c r="AI148" s="103" t="s">
        <v>4336</v>
      </c>
      <c r="AJ148" s="149" t="s">
        <v>4438</v>
      </c>
      <c r="AK148" s="103">
        <v>152694201</v>
      </c>
      <c r="AL148" s="142" t="s">
        <v>4338</v>
      </c>
      <c r="AM148" s="103" t="s">
        <v>4338</v>
      </c>
      <c r="AN148" s="103" t="s">
        <v>4339</v>
      </c>
      <c r="AO148" s="103"/>
      <c r="AP148" s="171" t="s">
        <v>5046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5">
        <v>46139</v>
      </c>
      <c r="AV148" s="103" t="s">
        <v>4338</v>
      </c>
      <c r="AW148" s="103" t="s">
        <v>4338</v>
      </c>
      <c r="AX148" s="105">
        <v>46142</v>
      </c>
      <c r="AY148" s="106">
        <v>46142</v>
      </c>
      <c r="AZ148" s="106" t="s">
        <v>4453</v>
      </c>
      <c r="BA148" s="107" t="s">
        <v>4454</v>
      </c>
      <c r="BB148" s="136" t="s">
        <v>4338</v>
      </c>
      <c r="BC148" s="220">
        <f>IF(AY148-KD148=0,"",AY148-O148)</f>
        <v>36</v>
      </c>
      <c r="BD148" s="103" t="str">
        <f>IF(AND(AI148&lt;&gt;"SIM",AI148="UH"),"AA","INDENIZAÇÃO")</f>
        <v>INDENIZAÇÃO</v>
      </c>
      <c r="BE148" s="103" t="str">
        <f>IF(AND(AY148&lt;&gt;"AGUARDANDO",AY148&lt;&gt;"",N148="AUXÍLIO ALUGUEL ATÉ INDENIZAÇÃO"),"SIM","NÃO")</f>
        <v>NÃO</v>
      </c>
      <c r="BF148" s="112" t="s">
        <v>4357</v>
      </c>
      <c r="BG148" s="112" t="s">
        <v>4357</v>
      </c>
      <c r="BH148" s="112" t="s">
        <v>4357</v>
      </c>
      <c r="BI148" s="103" t="s">
        <v>4338</v>
      </c>
      <c r="BJ148" s="103" t="s">
        <v>4338</v>
      </c>
      <c r="BK148" s="105">
        <v>46182</v>
      </c>
      <c r="BL148" s="103" t="s">
        <v>4338</v>
      </c>
      <c r="BM148" s="258" t="s">
        <v>4453</v>
      </c>
      <c r="BN148" s="231"/>
    </row>
    <row r="149" spans="1:68" s="232" customFormat="1" ht="29.25" customHeight="1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44" t="s">
        <v>5038</v>
      </c>
      <c r="G149" s="103" t="s">
        <v>4330</v>
      </c>
      <c r="H149" s="103" t="s">
        <v>4331</v>
      </c>
      <c r="I149" s="142" t="s">
        <v>4343</v>
      </c>
      <c r="J149" s="114" t="s">
        <v>5047</v>
      </c>
      <c r="K149" s="149" t="s">
        <v>5048</v>
      </c>
      <c r="L149" s="149" t="s">
        <v>5049</v>
      </c>
      <c r="M149" s="103" t="s">
        <v>4333</v>
      </c>
      <c r="N149" s="103" t="s">
        <v>4459</v>
      </c>
      <c r="O149" s="105">
        <v>46045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14" t="s">
        <v>5047</v>
      </c>
      <c r="AC149" s="149" t="s">
        <v>5048</v>
      </c>
      <c r="AD149" s="149" t="s">
        <v>5049</v>
      </c>
      <c r="AE149" s="103" t="s">
        <v>4343</v>
      </c>
      <c r="AF149" s="103" t="s">
        <v>4333</v>
      </c>
      <c r="AG149" s="194">
        <v>91581.57</v>
      </c>
      <c r="AH149" s="194">
        <v>91581.57</v>
      </c>
      <c r="AI149" s="103" t="s">
        <v>4336</v>
      </c>
      <c r="AJ149" s="104" t="s">
        <v>4438</v>
      </c>
      <c r="AK149" s="103">
        <v>147992810</v>
      </c>
      <c r="AL149" s="103" t="s">
        <v>4338</v>
      </c>
      <c r="AM149" s="103" t="s">
        <v>4338</v>
      </c>
      <c r="AN149" s="103" t="s">
        <v>4339</v>
      </c>
      <c r="AO149" s="103"/>
      <c r="AP149" s="171" t="s">
        <v>5050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46189</v>
      </c>
      <c r="AV149" s="103" t="s">
        <v>4338</v>
      </c>
      <c r="AW149" s="103" t="s">
        <v>4338</v>
      </c>
      <c r="AX149" s="105">
        <v>46195</v>
      </c>
      <c r="AY149" s="106">
        <v>46195</v>
      </c>
      <c r="AZ149" s="106" t="s">
        <v>4453</v>
      </c>
      <c r="BA149" s="107" t="s">
        <v>4330</v>
      </c>
      <c r="BB149" s="112" t="s">
        <v>4338</v>
      </c>
      <c r="BC149" s="220">
        <f>IF(AY149-KD149=0,"",AY149-O149)</f>
        <v>150</v>
      </c>
      <c r="BD149" s="103" t="str">
        <f>IF(AND(AI149&lt;&gt;"SIM",AI149="UH"),"AA","INDENIZAÇÃO")</f>
        <v>INDENIZAÇÃO</v>
      </c>
      <c r="BE149" s="103" t="str">
        <f>IF(AND(AY149&lt;&gt;"AGUARDANDO",AY149&lt;&gt;"",N149="AUXÍLIO ALUGUEL ATÉ INDENIZAÇÃO"),"SIM","NÃO")</f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46224</v>
      </c>
      <c r="BL149" s="272" t="s">
        <v>4461</v>
      </c>
      <c r="BM149" s="239"/>
      <c r="BN149" s="231"/>
      <c r="BO149" s="231"/>
    </row>
    <row r="150" spans="1:68" s="232" customFormat="1" ht="29.25" customHeight="1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5051</v>
      </c>
      <c r="G150" s="103" t="s">
        <v>4330</v>
      </c>
      <c r="H150" s="103" t="s">
        <v>4331</v>
      </c>
      <c r="I150" s="142" t="s">
        <v>4361</v>
      </c>
      <c r="J150" s="114" t="s">
        <v>5052</v>
      </c>
      <c r="K150" s="149" t="s">
        <v>5053</v>
      </c>
      <c r="L150" s="149" t="s">
        <v>5054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5052</v>
      </c>
      <c r="AC150" s="149" t="s">
        <v>5053</v>
      </c>
      <c r="AD150" s="149" t="s">
        <v>5054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>IF(AY150-KD150=0,"",AY150-O150)</f>
        <v/>
      </c>
      <c r="BD150" s="103" t="str">
        <f>IF(AND(AI150&lt;&gt;"SIM",AI150="UH"),"AA","INDENIZAÇÃO")</f>
        <v>AA</v>
      </c>
      <c r="BE150" s="103" t="str">
        <f>IF(AND(AY150&lt;&gt;"AGUARDANDO",AY150&lt;&gt;"",N150="AUXÍLIO ALUGUEL ATÉ INDENIZAÇÃO"),"SIM","NÃO")</f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customHeight="1">
      <c r="A151" s="103">
        <v>142</v>
      </c>
      <c r="B151" s="103" t="s">
        <v>4431</v>
      </c>
      <c r="C151" s="103" t="s">
        <v>4340</v>
      </c>
      <c r="D151" s="103">
        <v>1</v>
      </c>
      <c r="E151" s="103" t="s">
        <v>4432</v>
      </c>
      <c r="F151" s="104" t="s">
        <v>5055</v>
      </c>
      <c r="G151" s="103" t="s">
        <v>4330</v>
      </c>
      <c r="H151" s="103" t="s">
        <v>4331</v>
      </c>
      <c r="I151" s="142" t="s">
        <v>4343</v>
      </c>
      <c r="J151" s="114" t="s">
        <v>5056</v>
      </c>
      <c r="K151" s="149" t="s">
        <v>5057</v>
      </c>
      <c r="L151" s="149" t="s">
        <v>5058</v>
      </c>
      <c r="M151" s="103" t="s">
        <v>4333</v>
      </c>
      <c r="N151" s="103" t="s">
        <v>4345</v>
      </c>
      <c r="O151" s="105"/>
      <c r="P151" s="105">
        <v>46176</v>
      </c>
      <c r="Q151" s="105" t="s">
        <v>4436</v>
      </c>
      <c r="R151" s="105">
        <v>46174</v>
      </c>
      <c r="S151" s="105">
        <v>46176</v>
      </c>
      <c r="T151" s="105">
        <v>46202</v>
      </c>
      <c r="U151" s="105">
        <v>46204</v>
      </c>
      <c r="V151" s="105" t="s">
        <v>4437</v>
      </c>
      <c r="W151" s="105" t="s">
        <v>4437</v>
      </c>
      <c r="X151" s="105">
        <v>46223</v>
      </c>
      <c r="Y151" s="105"/>
      <c r="Z151" s="105"/>
      <c r="AA151" s="105"/>
      <c r="AB151" s="114"/>
      <c r="AC151" s="149"/>
      <c r="AD151" s="149"/>
      <c r="AE151" s="103"/>
      <c r="AF151" s="103"/>
      <c r="AG151" s="194"/>
      <c r="AH151" s="194"/>
      <c r="AI151" s="103"/>
      <c r="AJ151" s="104" t="s">
        <v>4438</v>
      </c>
      <c r="AK151" s="103"/>
      <c r="AL151" s="103"/>
      <c r="AM151" s="103"/>
      <c r="AN151" s="103"/>
      <c r="AO151" s="103"/>
      <c r="AP151" s="171"/>
      <c r="AQ151" s="103"/>
      <c r="AR151" s="103"/>
      <c r="AS151" s="143"/>
      <c r="AT151" s="103"/>
      <c r="AU151" s="105"/>
      <c r="AV151" s="103"/>
      <c r="AW151" s="103"/>
      <c r="AX151" s="105"/>
      <c r="AY151" s="106"/>
      <c r="AZ151" s="106"/>
      <c r="BA151" s="107"/>
      <c r="BB151" s="136"/>
      <c r="BC151" s="220"/>
      <c r="BD151" s="103"/>
      <c r="BE151" s="103"/>
      <c r="BF151" s="112"/>
      <c r="BG151" s="112"/>
      <c r="BH151" s="112"/>
      <c r="BI151" s="112"/>
      <c r="BJ151" s="112"/>
      <c r="BK151" s="105"/>
      <c r="BL151" s="112"/>
      <c r="BM151" s="262"/>
    </row>
    <row r="152" spans="1:68" s="232" customFormat="1" ht="29.25" customHeight="1">
      <c r="A152" s="165">
        <v>143</v>
      </c>
      <c r="B152" s="103" t="s">
        <v>4431</v>
      </c>
      <c r="C152" s="103" t="s">
        <v>4448</v>
      </c>
      <c r="D152" s="103">
        <v>1</v>
      </c>
      <c r="E152" s="103" t="s">
        <v>4432</v>
      </c>
      <c r="F152" s="104" t="s">
        <v>5055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4459</v>
      </c>
      <c r="O152" s="105">
        <v>46080</v>
      </c>
      <c r="P152" s="105" t="s">
        <v>4356</v>
      </c>
      <c r="Q152" s="105" t="s">
        <v>4356</v>
      </c>
      <c r="R152" s="105" t="s">
        <v>4356</v>
      </c>
      <c r="S152" s="105" t="s">
        <v>4356</v>
      </c>
      <c r="T152" s="105" t="s">
        <v>4356</v>
      </c>
      <c r="U152" s="105" t="s">
        <v>4356</v>
      </c>
      <c r="V152" s="105" t="s">
        <v>4356</v>
      </c>
      <c r="W152" s="105" t="s">
        <v>4356</v>
      </c>
      <c r="X152" s="105" t="s">
        <v>4356</v>
      </c>
      <c r="Y152" s="105" t="s">
        <v>4356</v>
      </c>
      <c r="Z152" s="105"/>
      <c r="AA152" s="105"/>
      <c r="AB152" s="114" t="s">
        <v>5059</v>
      </c>
      <c r="AC152" s="149" t="s">
        <v>5060</v>
      </c>
      <c r="AD152" s="149" t="s">
        <v>5061</v>
      </c>
      <c r="AE152" s="103" t="s">
        <v>4343</v>
      </c>
      <c r="AF152" s="103" t="s">
        <v>4333</v>
      </c>
      <c r="AG152" s="194">
        <v>72417.86</v>
      </c>
      <c r="AH152" s="194">
        <v>72417.86</v>
      </c>
      <c r="AI152" s="103" t="s">
        <v>4336</v>
      </c>
      <c r="AJ152" s="104" t="s">
        <v>4438</v>
      </c>
      <c r="AK152" s="103">
        <v>150959269</v>
      </c>
      <c r="AL152" s="103" t="s">
        <v>4338</v>
      </c>
      <c r="AM152" s="103" t="s">
        <v>4338</v>
      </c>
      <c r="AN152" s="103" t="s">
        <v>4339</v>
      </c>
      <c r="AO152" s="103"/>
      <c r="AP152" s="171" t="s">
        <v>5062</v>
      </c>
      <c r="AQ152" s="103" t="s">
        <v>4338</v>
      </c>
      <c r="AR152" s="103" t="s">
        <v>4338</v>
      </c>
      <c r="AS152" s="143" t="s">
        <v>4338</v>
      </c>
      <c r="AT152" s="103" t="s">
        <v>4338</v>
      </c>
      <c r="AU152" s="105">
        <v>46127</v>
      </c>
      <c r="AV152" s="165" t="s">
        <v>4338</v>
      </c>
      <c r="AW152" s="103" t="s">
        <v>4338</v>
      </c>
      <c r="AX152" s="105">
        <v>46140</v>
      </c>
      <c r="AY152" s="106">
        <v>46140</v>
      </c>
      <c r="AZ152" s="106" t="s">
        <v>4453</v>
      </c>
      <c r="BA152" s="107" t="s">
        <v>4454</v>
      </c>
      <c r="BB152" s="136" t="s">
        <v>4338</v>
      </c>
      <c r="BC152" s="220">
        <f>IF(AY152-KD152=0,"",AY152-O152)</f>
        <v>60</v>
      </c>
      <c r="BD152" s="103" t="str">
        <f>IF(AND(AI152&lt;&gt;"SIM",AI152="UH"),"AA","INDENIZAÇÃO")</f>
        <v>INDENIZAÇÃO</v>
      </c>
      <c r="BE152" s="103" t="str">
        <f>IF(AND(AY152&lt;&gt;"AGUARDANDO",AY152&lt;&gt;"",N152="AUXÍLIO ALUGUEL ATÉ INDENIZAÇÃO"),"SIM","NÃO")</f>
        <v>NÃO</v>
      </c>
      <c r="BF152" s="112" t="s">
        <v>4357</v>
      </c>
      <c r="BG152" s="112" t="s">
        <v>4357</v>
      </c>
      <c r="BH152" s="112" t="s">
        <v>4357</v>
      </c>
      <c r="BI152" s="112" t="s">
        <v>4338</v>
      </c>
      <c r="BJ152" s="112" t="s">
        <v>4338</v>
      </c>
      <c r="BK152" s="105">
        <v>46195</v>
      </c>
      <c r="BL152" s="112" t="s">
        <v>4338</v>
      </c>
      <c r="BM152" s="262" t="s">
        <v>4453</v>
      </c>
    </row>
    <row r="153" spans="1:68" s="232" customFormat="1" ht="29.25" customHeight="1">
      <c r="A153" s="165">
        <v>144</v>
      </c>
      <c r="B153" s="103" t="s">
        <v>4431</v>
      </c>
      <c r="C153" s="103" t="s">
        <v>4350</v>
      </c>
      <c r="D153" s="103">
        <v>1</v>
      </c>
      <c r="E153" s="103" t="s">
        <v>4432</v>
      </c>
      <c r="F153" s="104" t="s">
        <v>5055</v>
      </c>
      <c r="G153" s="103" t="s">
        <v>4330</v>
      </c>
      <c r="H153" s="103" t="s">
        <v>4331</v>
      </c>
      <c r="I153" s="142" t="s">
        <v>4343</v>
      </c>
      <c r="J153" s="149" t="s">
        <v>5063</v>
      </c>
      <c r="K153" s="149" t="s">
        <v>4432</v>
      </c>
      <c r="L153" s="149" t="s">
        <v>5064</v>
      </c>
      <c r="M153" s="103" t="s">
        <v>4333</v>
      </c>
      <c r="N153" s="103" t="s">
        <v>4459</v>
      </c>
      <c r="O153" s="105">
        <v>46086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49" t="s">
        <v>5063</v>
      </c>
      <c r="AC153" s="149" t="s">
        <v>4432</v>
      </c>
      <c r="AD153" s="149" t="s">
        <v>5064</v>
      </c>
      <c r="AE153" s="103" t="s">
        <v>4343</v>
      </c>
      <c r="AF153" s="103" t="s">
        <v>4333</v>
      </c>
      <c r="AG153" s="194">
        <v>4372.1899999999996</v>
      </c>
      <c r="AH153" s="194">
        <v>34372.19</v>
      </c>
      <c r="AI153" s="103" t="s">
        <v>4336</v>
      </c>
      <c r="AJ153" s="104" t="s">
        <v>4438</v>
      </c>
      <c r="AK153" s="103">
        <v>151550171</v>
      </c>
      <c r="AL153" s="103" t="s">
        <v>4338</v>
      </c>
      <c r="AM153" s="103" t="s">
        <v>4338</v>
      </c>
      <c r="AN153" s="103" t="s">
        <v>4339</v>
      </c>
      <c r="AO153" s="112"/>
      <c r="AP153" s="171" t="s">
        <v>5065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46153</v>
      </c>
      <c r="AV153" s="165" t="s">
        <v>4338</v>
      </c>
      <c r="AW153" s="103" t="s">
        <v>4338</v>
      </c>
      <c r="AX153" s="105">
        <v>46157</v>
      </c>
      <c r="AY153" s="106">
        <v>46157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71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8" s="232" customFormat="1" ht="29.25" customHeight="1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5066</v>
      </c>
      <c r="G154" s="103" t="s">
        <v>4330</v>
      </c>
      <c r="H154" s="103" t="s">
        <v>4331</v>
      </c>
      <c r="I154" s="142" t="s">
        <v>4343</v>
      </c>
      <c r="J154" s="149" t="s">
        <v>5067</v>
      </c>
      <c r="K154" s="149" t="s">
        <v>5068</v>
      </c>
      <c r="L154" s="149" t="s">
        <v>5069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5067</v>
      </c>
      <c r="AC154" s="149" t="s">
        <v>5068</v>
      </c>
      <c r="AD154" s="149" t="s">
        <v>5069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4347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customHeight="1">
      <c r="A155" s="103">
        <v>146</v>
      </c>
      <c r="B155" s="103" t="s">
        <v>4431</v>
      </c>
      <c r="C155" s="103" t="s">
        <v>4439</v>
      </c>
      <c r="D155" s="103">
        <v>1</v>
      </c>
      <c r="E155" s="103" t="s">
        <v>4432</v>
      </c>
      <c r="F155" s="104" t="s">
        <v>5070</v>
      </c>
      <c r="G155" s="103" t="s">
        <v>4330</v>
      </c>
      <c r="H155" s="103" t="s">
        <v>4331</v>
      </c>
      <c r="I155" s="103" t="s">
        <v>4343</v>
      </c>
      <c r="J155" s="149" t="s">
        <v>5071</v>
      </c>
      <c r="K155" s="149" t="s">
        <v>5072</v>
      </c>
      <c r="L155" s="149" t="s">
        <v>5073</v>
      </c>
      <c r="M155" s="103" t="s">
        <v>4333</v>
      </c>
      <c r="N155" s="103" t="s">
        <v>4459</v>
      </c>
      <c r="O155" s="105">
        <v>46112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5071</v>
      </c>
      <c r="AC155" s="149" t="s">
        <v>5072</v>
      </c>
      <c r="AD155" s="149" t="s">
        <v>5073</v>
      </c>
      <c r="AE155" s="103" t="s">
        <v>4343</v>
      </c>
      <c r="AF155" s="103" t="s">
        <v>4333</v>
      </c>
      <c r="AG155" s="194">
        <v>41889.449999999997</v>
      </c>
      <c r="AH155" s="194">
        <v>60000</v>
      </c>
      <c r="AI155" s="103" t="s">
        <v>4447</v>
      </c>
      <c r="AJ155" s="104" t="s">
        <v>4438</v>
      </c>
      <c r="AK155" s="103">
        <v>15428674</v>
      </c>
      <c r="AL155" s="142" t="s">
        <v>4338</v>
      </c>
      <c r="AM155" s="103" t="s">
        <v>4338</v>
      </c>
      <c r="AN155" s="103" t="s">
        <v>4339</v>
      </c>
      <c r="AO155" s="103"/>
      <c r="AP155" s="171" t="s">
        <v>5074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46153</v>
      </c>
      <c r="AV155" s="165" t="s">
        <v>4338</v>
      </c>
      <c r="AW155" s="103" t="s">
        <v>4338</v>
      </c>
      <c r="AX155" s="105">
        <v>46157</v>
      </c>
      <c r="AY155" s="106">
        <v>46157</v>
      </c>
      <c r="AZ155" s="107" t="s">
        <v>4453</v>
      </c>
      <c r="BA155" s="107" t="s">
        <v>4454</v>
      </c>
      <c r="BB155" s="112" t="s">
        <v>4338</v>
      </c>
      <c r="BC155" s="220">
        <f>IF(AY155-KD155=0,"",AY155-O155)</f>
        <v>45</v>
      </c>
      <c r="BD155" s="103" t="str">
        <f>IF(AND(AI155&lt;&gt;"SIM",AI155="UH"),"AA","INDENIZAÇÃO")</f>
        <v>INDENIZAÇÃO</v>
      </c>
      <c r="BE155" s="103" t="str">
        <f>IF(AND(AY155&lt;&gt;"AGUARDANDO",AY155&lt;&gt;"",N155="AUXÍLIO ALUGUEL ATÉ INDENIZAÇÃO"),"SIM","NÃO")</f>
        <v>NÃO</v>
      </c>
      <c r="BF155" s="112" t="s">
        <v>4357</v>
      </c>
      <c r="BG155" s="112" t="s">
        <v>4357</v>
      </c>
      <c r="BH155" s="112" t="s">
        <v>4357</v>
      </c>
      <c r="BI155" s="112" t="s">
        <v>4338</v>
      </c>
      <c r="BJ155" s="112" t="s">
        <v>4338</v>
      </c>
      <c r="BK155" s="105">
        <v>46195</v>
      </c>
      <c r="BL155" s="112" t="s">
        <v>4338</v>
      </c>
      <c r="BM155" s="262" t="s">
        <v>4453</v>
      </c>
    </row>
    <row r="156" spans="1:68" s="232" customFormat="1" ht="29.25" customHeight="1">
      <c r="A156" s="103">
        <v>147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5075</v>
      </c>
      <c r="G156" s="103" t="s">
        <v>4330</v>
      </c>
      <c r="H156" s="103" t="s">
        <v>4331</v>
      </c>
      <c r="I156" s="103" t="s">
        <v>4343</v>
      </c>
      <c r="J156" s="149" t="s">
        <v>5076</v>
      </c>
      <c r="K156" s="149" t="s">
        <v>5077</v>
      </c>
      <c r="L156" s="149" t="s">
        <v>5078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5076</v>
      </c>
      <c r="AC156" s="149" t="s">
        <v>5077</v>
      </c>
      <c r="AD156" s="149" t="s">
        <v>5078</v>
      </c>
      <c r="AE156" s="103" t="s">
        <v>4343</v>
      </c>
      <c r="AF156" s="103" t="s">
        <v>4333</v>
      </c>
      <c r="AG156" s="194">
        <v>64397.05</v>
      </c>
      <c r="AH156" s="194">
        <v>64397.05</v>
      </c>
      <c r="AI156" s="103" t="s">
        <v>4447</v>
      </c>
      <c r="AJ156" s="104" t="s">
        <v>4438</v>
      </c>
      <c r="AK156" s="103">
        <v>152694545</v>
      </c>
      <c r="AL156" s="142" t="s">
        <v>4338</v>
      </c>
      <c r="AM156" s="103" t="s">
        <v>4338</v>
      </c>
      <c r="AN156" s="103" t="s">
        <v>4339</v>
      </c>
      <c r="AO156" s="103"/>
      <c r="AP156" s="275" t="s">
        <v>5079</v>
      </c>
      <c r="AQ156" s="103" t="s">
        <v>4338</v>
      </c>
      <c r="AR156" s="103" t="s">
        <v>4338</v>
      </c>
      <c r="AS156" s="143" t="s">
        <v>4338</v>
      </c>
      <c r="AT156" s="165" t="s">
        <v>4338</v>
      </c>
      <c r="AU156" s="105">
        <v>46150</v>
      </c>
      <c r="AV156" s="165" t="s">
        <v>4338</v>
      </c>
      <c r="AW156" s="165" t="s">
        <v>4338</v>
      </c>
      <c r="AX156" s="105">
        <v>46189</v>
      </c>
      <c r="AY156" s="106">
        <v>46189</v>
      </c>
      <c r="AZ156" s="106" t="s">
        <v>4453</v>
      </c>
      <c r="BA156" s="107" t="s">
        <v>4330</v>
      </c>
      <c r="BB156" s="112" t="s">
        <v>4338</v>
      </c>
      <c r="BC156" s="220">
        <f>IF(AY156-KD156=0,"",AY156-O156)</f>
        <v>77</v>
      </c>
      <c r="BD156" s="103" t="str">
        <f>IF(AND(AI156&lt;&gt;"SIM",AI156="UH"),"AA","INDENIZAÇÃO")</f>
        <v>INDENIZAÇÃO</v>
      </c>
      <c r="BE156" s="103" t="str">
        <f>IF(AND(AY156&lt;&gt;"AGUARDANDO",AY156&lt;&gt;"",N156="AUXÍLIO ALUGUEL ATÉ INDENIZAÇÃO"),"SIM","NÃO")</f>
        <v>NÃO</v>
      </c>
      <c r="BF156" s="112" t="s">
        <v>4357</v>
      </c>
      <c r="BG156" s="112" t="s">
        <v>4357</v>
      </c>
      <c r="BH156" s="112" t="s">
        <v>4357</v>
      </c>
      <c r="BI156" s="103" t="s">
        <v>4338</v>
      </c>
      <c r="BJ156" s="103" t="s">
        <v>4338</v>
      </c>
      <c r="BK156" s="105">
        <v>46224</v>
      </c>
      <c r="BL156" s="272" t="s">
        <v>4461</v>
      </c>
      <c r="BM156" s="239"/>
      <c r="BN156" s="231"/>
    </row>
    <row r="157" spans="1:68" s="232" customFormat="1" ht="29.25" customHeight="1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5080</v>
      </c>
      <c r="G157" s="103" t="s">
        <v>4330</v>
      </c>
      <c r="H157" s="103" t="s">
        <v>4331</v>
      </c>
      <c r="I157" s="142" t="s">
        <v>4343</v>
      </c>
      <c r="J157" s="114" t="s">
        <v>5081</v>
      </c>
      <c r="K157" s="149" t="s">
        <v>5082</v>
      </c>
      <c r="L157" s="149" t="s">
        <v>5083</v>
      </c>
      <c r="M157" s="103" t="s">
        <v>4333</v>
      </c>
      <c r="N157" s="103" t="s">
        <v>4459</v>
      </c>
      <c r="O157" s="105">
        <v>46059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14" t="s">
        <v>5081</v>
      </c>
      <c r="AC157" s="139" t="s">
        <v>5082</v>
      </c>
      <c r="AD157" s="139" t="s">
        <v>5083</v>
      </c>
      <c r="AE157" s="103" t="s">
        <v>4343</v>
      </c>
      <c r="AF157" s="103" t="s">
        <v>4333</v>
      </c>
      <c r="AG157" s="194">
        <v>80291.64</v>
      </c>
      <c r="AH157" s="194">
        <v>80291.64</v>
      </c>
      <c r="AI157" s="103" t="s">
        <v>4336</v>
      </c>
      <c r="AJ157" s="104" t="s">
        <v>4438</v>
      </c>
      <c r="AK157" s="103">
        <v>149645990</v>
      </c>
      <c r="AL157" s="103" t="s">
        <v>4338</v>
      </c>
      <c r="AM157" s="103" t="s">
        <v>4338</v>
      </c>
      <c r="AN157" s="103" t="s">
        <v>4339</v>
      </c>
      <c r="AO157" s="103"/>
      <c r="AP157" s="171" t="s">
        <v>5084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46111</v>
      </c>
      <c r="AV157" s="302" t="s">
        <v>4338</v>
      </c>
      <c r="AW157" s="302" t="s">
        <v>4338</v>
      </c>
      <c r="AX157" s="305">
        <v>46114</v>
      </c>
      <c r="AY157" s="106">
        <v>46114</v>
      </c>
      <c r="AZ157" s="106" t="s">
        <v>4453</v>
      </c>
      <c r="BA157" s="107" t="s">
        <v>4454</v>
      </c>
      <c r="BB157" s="136" t="s">
        <v>4338</v>
      </c>
      <c r="BC157" s="220">
        <f>IF(AY157-KD157=0,"",AY157-O157)</f>
        <v>55</v>
      </c>
      <c r="BD157" s="103" t="str">
        <f>IF(AND(AI157&lt;&gt;"SIM",AI157="UH"),"AA","INDENIZAÇÃO")</f>
        <v>INDENIZAÇÃO</v>
      </c>
      <c r="BE157" s="103" t="str">
        <f>IF(AND(AY157&lt;&gt;"AGUARDANDO",AY157&lt;&gt;"",N157="AUXÍLIO ALUGUEL ATÉ INDENIZAÇÃO"),"SIM","NÃO")</f>
        <v>NÃO</v>
      </c>
      <c r="BF157" s="140" t="s">
        <v>4357</v>
      </c>
      <c r="BG157" s="140" t="s">
        <v>4357</v>
      </c>
      <c r="BH157" s="140" t="s">
        <v>4357</v>
      </c>
      <c r="BI157" s="103" t="s">
        <v>4338</v>
      </c>
      <c r="BJ157" s="103" t="s">
        <v>4338</v>
      </c>
      <c r="BK157" s="105">
        <v>46182</v>
      </c>
      <c r="BL157" s="103" t="s">
        <v>4338</v>
      </c>
      <c r="BM157" s="258" t="s">
        <v>4453</v>
      </c>
    </row>
    <row r="158" spans="1:68" s="232" customFormat="1" ht="29.25" customHeight="1">
      <c r="A158" s="165">
        <v>149</v>
      </c>
      <c r="B158" s="103" t="s">
        <v>4431</v>
      </c>
      <c r="C158" s="103" t="s">
        <v>4439</v>
      </c>
      <c r="D158" s="103">
        <v>1</v>
      </c>
      <c r="E158" s="103" t="s">
        <v>4432</v>
      </c>
      <c r="F158" s="104" t="s">
        <v>5080</v>
      </c>
      <c r="G158" s="103" t="s">
        <v>4330</v>
      </c>
      <c r="H158" s="103" t="s">
        <v>4342</v>
      </c>
      <c r="I158" s="153" t="s">
        <v>4332</v>
      </c>
      <c r="J158" s="149" t="s">
        <v>5085</v>
      </c>
      <c r="K158" s="149" t="s">
        <v>5086</v>
      </c>
      <c r="L158" s="149" t="s">
        <v>5087</v>
      </c>
      <c r="M158" s="103" t="s">
        <v>4333</v>
      </c>
      <c r="N158" s="103" t="s">
        <v>4459</v>
      </c>
      <c r="O158" s="105">
        <v>46112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49" t="s">
        <v>5085</v>
      </c>
      <c r="AC158" s="149" t="s">
        <v>5086</v>
      </c>
      <c r="AD158" s="149" t="s">
        <v>5087</v>
      </c>
      <c r="AE158" s="153" t="s">
        <v>4332</v>
      </c>
      <c r="AF158" s="103" t="s">
        <v>4333</v>
      </c>
      <c r="AG158" s="194">
        <v>178577.55</v>
      </c>
      <c r="AH158" s="194">
        <v>178577.55</v>
      </c>
      <c r="AI158" s="103" t="s">
        <v>4447</v>
      </c>
      <c r="AJ158" s="104" t="s">
        <v>4438</v>
      </c>
      <c r="AK158" s="103">
        <v>152694685</v>
      </c>
      <c r="AL158" s="142" t="s">
        <v>4338</v>
      </c>
      <c r="AM158" s="103" t="s">
        <v>4338</v>
      </c>
      <c r="AN158" s="103" t="s">
        <v>4339</v>
      </c>
      <c r="AO158" s="103"/>
      <c r="AP158" s="171" t="s">
        <v>5088</v>
      </c>
      <c r="AQ158" s="103" t="s">
        <v>4338</v>
      </c>
      <c r="AR158" s="103" t="s">
        <v>4338</v>
      </c>
      <c r="AS158" s="143" t="s">
        <v>4338</v>
      </c>
      <c r="AT158" s="103" t="s">
        <v>4338</v>
      </c>
      <c r="AU158" s="105">
        <v>46150</v>
      </c>
      <c r="AV158" s="103" t="s">
        <v>4338</v>
      </c>
      <c r="AW158" s="103" t="s">
        <v>4338</v>
      </c>
      <c r="AX158" s="105">
        <v>46157</v>
      </c>
      <c r="AY158" s="106">
        <v>46157</v>
      </c>
      <c r="AZ158" s="106" t="s">
        <v>4453</v>
      </c>
      <c r="BA158" s="107" t="s">
        <v>4454</v>
      </c>
      <c r="BB158" s="136" t="s">
        <v>4338</v>
      </c>
      <c r="BC158" s="220">
        <f>IF(AY158-KD158=0,"",AY158-O158)</f>
        <v>45</v>
      </c>
      <c r="BD158" s="103" t="str">
        <f>IF(AND(AI158&lt;&gt;"SIM",AI158="UH"),"AA","INDENIZAÇÃO")</f>
        <v>INDENIZAÇÃO</v>
      </c>
      <c r="BE158" s="103" t="str">
        <f>IF(AND(AY158&lt;&gt;"AGUARDANDO",AY158&lt;&gt;"",N158="AUXÍLIO ALUGUEL ATÉ INDENIZAÇÃO"),"SIM","NÃO")</f>
        <v>NÃO</v>
      </c>
      <c r="BF158" s="140" t="s">
        <v>4357</v>
      </c>
      <c r="BG158" s="140" t="s">
        <v>4357</v>
      </c>
      <c r="BH158" s="140" t="s">
        <v>4357</v>
      </c>
      <c r="BI158" s="112" t="s">
        <v>4338</v>
      </c>
      <c r="BJ158" s="112" t="s">
        <v>4338</v>
      </c>
      <c r="BK158" s="105">
        <v>46195</v>
      </c>
      <c r="BL158" s="112" t="s">
        <v>4338</v>
      </c>
      <c r="BM158" s="262" t="s">
        <v>4453</v>
      </c>
    </row>
    <row r="159" spans="1:68" s="232" customFormat="1" ht="29.25" customHeight="1">
      <c r="A159" s="165">
        <v>150</v>
      </c>
      <c r="B159" s="103" t="s">
        <v>4431</v>
      </c>
      <c r="C159" s="103" t="s">
        <v>4448</v>
      </c>
      <c r="D159" s="103">
        <v>1</v>
      </c>
      <c r="E159" s="103" t="s">
        <v>4432</v>
      </c>
      <c r="F159" s="104" t="s">
        <v>5089</v>
      </c>
      <c r="G159" s="103" t="s">
        <v>4330</v>
      </c>
      <c r="H159" s="103" t="s">
        <v>4331</v>
      </c>
      <c r="I159" s="304" t="s">
        <v>4343</v>
      </c>
      <c r="J159" s="114" t="s">
        <v>5090</v>
      </c>
      <c r="K159" s="149" t="s">
        <v>5091</v>
      </c>
      <c r="L159" s="149" t="s">
        <v>5092</v>
      </c>
      <c r="M159" s="103" t="s">
        <v>4333</v>
      </c>
      <c r="N159" s="103" t="s">
        <v>4459</v>
      </c>
      <c r="O159" s="105">
        <v>46038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5"/>
      <c r="AB159" s="114" t="s">
        <v>5090</v>
      </c>
      <c r="AC159" s="139" t="s">
        <v>5091</v>
      </c>
      <c r="AD159" s="139" t="s">
        <v>5092</v>
      </c>
      <c r="AE159" s="103" t="s">
        <v>4343</v>
      </c>
      <c r="AF159" s="103" t="s">
        <v>4333</v>
      </c>
      <c r="AG159" s="194">
        <v>56724.03</v>
      </c>
      <c r="AH159" s="194">
        <v>60000</v>
      </c>
      <c r="AI159" s="103" t="s">
        <v>4336</v>
      </c>
      <c r="AJ159" s="104" t="s">
        <v>4438</v>
      </c>
      <c r="AK159" s="103" t="s">
        <v>4432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5093</v>
      </c>
      <c r="AQ159" s="103" t="s">
        <v>4338</v>
      </c>
      <c r="AR159" s="103" t="s">
        <v>4338</v>
      </c>
      <c r="AS159" s="103" t="s">
        <v>4338</v>
      </c>
      <c r="AT159" s="103" t="s">
        <v>4338</v>
      </c>
      <c r="AU159" s="105">
        <v>46098</v>
      </c>
      <c r="AV159" s="103" t="s">
        <v>4338</v>
      </c>
      <c r="AW159" s="103" t="s">
        <v>4338</v>
      </c>
      <c r="AX159" s="105">
        <v>46114</v>
      </c>
      <c r="AY159" s="106">
        <v>46114</v>
      </c>
      <c r="AZ159" s="106" t="s">
        <v>4453</v>
      </c>
      <c r="BA159" s="107" t="s">
        <v>4454</v>
      </c>
      <c r="BB159" s="136" t="s">
        <v>4338</v>
      </c>
      <c r="BC159" s="220">
        <f>IF(AY159-KD159=0,"",AY159-O159)</f>
        <v>76</v>
      </c>
      <c r="BD159" s="103" t="str">
        <f>IF(AND(AI159&lt;&gt;"SIM",AI159="UH"),"AA","INDENIZAÇÃO")</f>
        <v>INDENIZAÇÃO</v>
      </c>
      <c r="BE159" s="103" t="str">
        <f>IF(AND(AY159&lt;&gt;"AGUARDANDO",AY159&lt;&gt;"",N159="AUXÍLIO ALUGUEL ATÉ INDENIZAÇÃO"),"SIM","NÃO")</f>
        <v>NÃO</v>
      </c>
      <c r="BF159" s="140" t="s">
        <v>4357</v>
      </c>
      <c r="BG159" s="140" t="s">
        <v>4357</v>
      </c>
      <c r="BH159" s="140" t="s">
        <v>4357</v>
      </c>
      <c r="BI159" s="103" t="s">
        <v>4338</v>
      </c>
      <c r="BJ159" s="103" t="s">
        <v>4338</v>
      </c>
      <c r="BK159" s="105">
        <v>46182</v>
      </c>
      <c r="BL159" s="103" t="s">
        <v>4338</v>
      </c>
      <c r="BM159" s="258" t="s">
        <v>4453</v>
      </c>
      <c r="BN159" s="231"/>
      <c r="BO159" s="231"/>
    </row>
    <row r="160" spans="1:68" s="232" customFormat="1" ht="29.25" customHeight="1">
      <c r="A160" s="165">
        <v>151</v>
      </c>
      <c r="B160" s="103" t="s">
        <v>4431</v>
      </c>
      <c r="C160" s="103" t="s">
        <v>4439</v>
      </c>
      <c r="D160" s="103">
        <v>1</v>
      </c>
      <c r="E160" s="103" t="s">
        <v>4432</v>
      </c>
      <c r="F160" s="104" t="s">
        <v>5089</v>
      </c>
      <c r="G160" s="103" t="s">
        <v>4330</v>
      </c>
      <c r="H160" s="103" t="s">
        <v>4352</v>
      </c>
      <c r="I160" s="103" t="s">
        <v>4343</v>
      </c>
      <c r="J160" s="149" t="s">
        <v>5094</v>
      </c>
      <c r="K160" s="149" t="s">
        <v>4909</v>
      </c>
      <c r="L160" s="149" t="s">
        <v>5095</v>
      </c>
      <c r="M160" s="103" t="s">
        <v>4333</v>
      </c>
      <c r="N160" s="103" t="s">
        <v>4334</v>
      </c>
      <c r="O160" s="105">
        <v>46142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3"/>
      <c r="AB160" s="149" t="s">
        <v>5094</v>
      </c>
      <c r="AC160" s="149" t="s">
        <v>4909</v>
      </c>
      <c r="AD160" s="149" t="s">
        <v>5095</v>
      </c>
      <c r="AE160" s="103" t="s">
        <v>4343</v>
      </c>
      <c r="AF160" s="103" t="s">
        <v>4333</v>
      </c>
      <c r="AG160" s="194">
        <v>42375.040000000001</v>
      </c>
      <c r="AH160" s="194">
        <v>60000</v>
      </c>
      <c r="AI160" s="103" t="s">
        <v>4336</v>
      </c>
      <c r="AJ160" s="104" t="s">
        <v>4438</v>
      </c>
      <c r="AK160" s="103">
        <v>153977497</v>
      </c>
      <c r="AL160" s="103" t="s">
        <v>4338</v>
      </c>
      <c r="AM160" s="103" t="s">
        <v>4338</v>
      </c>
      <c r="AN160" s="103" t="s">
        <v>5096</v>
      </c>
      <c r="AO160" s="112"/>
      <c r="AP160" s="171" t="s">
        <v>5097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46189</v>
      </c>
      <c r="AV160" s="103" t="s">
        <v>4338</v>
      </c>
      <c r="AW160" s="103" t="s">
        <v>4338</v>
      </c>
      <c r="AX160" s="105">
        <v>46195</v>
      </c>
      <c r="AY160" s="106">
        <v>46195</v>
      </c>
      <c r="AZ160" s="106" t="s">
        <v>4453</v>
      </c>
      <c r="BA160" s="107" t="s">
        <v>4330</v>
      </c>
      <c r="BB160" s="112" t="s">
        <v>4338</v>
      </c>
      <c r="BC160" s="220">
        <f>IF(AY160-KD160=0,"",AY160-O160)</f>
        <v>53</v>
      </c>
      <c r="BD160" s="103" t="str">
        <f>IF(AND(AI160&lt;&gt;"SIM",AI160="UH"),"AA","INDENIZAÇÃO")</f>
        <v>INDENIZAÇÃO</v>
      </c>
      <c r="BE160" s="103" t="str">
        <f>IF(AND(AY160&lt;&gt;"AGUARDANDO",AY160&lt;&gt;"",N160="AUXÍLIO ALUGUEL ATÉ INDENIZAÇÃO"),"SIM","NÃO")</f>
        <v>NÃO</v>
      </c>
      <c r="BF160" s="112" t="s">
        <v>4357</v>
      </c>
      <c r="BG160" s="112" t="s">
        <v>4357</v>
      </c>
      <c r="BH160" s="112" t="s">
        <v>4357</v>
      </c>
      <c r="BI160" s="103" t="s">
        <v>4338</v>
      </c>
      <c r="BJ160" s="103" t="s">
        <v>4338</v>
      </c>
      <c r="BK160" s="105">
        <v>46224</v>
      </c>
      <c r="BL160" s="272" t="s">
        <v>4461</v>
      </c>
      <c r="BM160" s="239"/>
      <c r="BN160" s="231"/>
      <c r="BO160" s="231"/>
      <c r="BP160" s="231"/>
    </row>
    <row r="161" spans="1:68" s="232" customFormat="1" ht="29.25" customHeight="1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5098</v>
      </c>
      <c r="G161" s="103" t="s">
        <v>4330</v>
      </c>
      <c r="H161" s="103" t="s">
        <v>4331</v>
      </c>
      <c r="I161" s="103" t="s">
        <v>4343</v>
      </c>
      <c r="J161" s="149" t="s">
        <v>5099</v>
      </c>
      <c r="K161" s="149" t="s">
        <v>5100</v>
      </c>
      <c r="L161" s="149" t="s">
        <v>5101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5099</v>
      </c>
      <c r="AC161" s="149" t="s">
        <v>5100</v>
      </c>
      <c r="AD161" s="149" t="s">
        <v>5101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>IF(AY161-KD161=0,"",AY161-O161)</f>
        <v/>
      </c>
      <c r="BD161" s="103" t="str">
        <f>IF(AND(AI161&lt;&gt;"SIM",AI161="UH"),"AA","INDENIZAÇÃO")</f>
        <v>AA</v>
      </c>
      <c r="BE161" s="103" t="str">
        <f>IF(AND(AY161&lt;&gt;"AGUARDANDO",AY161&lt;&gt;"",N161="AUXÍLIO ALUGUEL ATÉ INDENIZAÇÃO"),"SIM","NÃO")</f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customHeight="1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5098</v>
      </c>
      <c r="G162" s="103" t="s">
        <v>4330</v>
      </c>
      <c r="H162" s="103" t="s">
        <v>4331</v>
      </c>
      <c r="I162" s="142" t="s">
        <v>4343</v>
      </c>
      <c r="J162" s="114" t="s">
        <v>5102</v>
      </c>
      <c r="K162" s="149" t="s">
        <v>5103</v>
      </c>
      <c r="L162" s="149" t="s">
        <v>5104</v>
      </c>
      <c r="M162" s="103" t="s">
        <v>4333</v>
      </c>
      <c r="N162" s="103" t="s">
        <v>4459</v>
      </c>
      <c r="O162" s="105">
        <v>46038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38"/>
      <c r="AB162" s="114" t="s">
        <v>5102</v>
      </c>
      <c r="AC162" s="149" t="s">
        <v>5103</v>
      </c>
      <c r="AD162" s="149" t="s">
        <v>5104</v>
      </c>
      <c r="AE162" s="142" t="s">
        <v>4343</v>
      </c>
      <c r="AF162" s="103" t="s">
        <v>4333</v>
      </c>
      <c r="AG162" s="194">
        <v>120461.64</v>
      </c>
      <c r="AH162" s="194">
        <v>120461.64</v>
      </c>
      <c r="AI162" s="103" t="s">
        <v>4336</v>
      </c>
      <c r="AJ162" s="104" t="s">
        <v>4438</v>
      </c>
      <c r="AK162" s="103">
        <v>147993444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5105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5">
        <v>46174</v>
      </c>
      <c r="AV162" s="103" t="s">
        <v>4338</v>
      </c>
      <c r="AW162" s="103" t="s">
        <v>4338</v>
      </c>
      <c r="AX162" s="105">
        <v>46182</v>
      </c>
      <c r="AY162" s="106">
        <v>46182</v>
      </c>
      <c r="AZ162" s="260" t="s">
        <v>4453</v>
      </c>
      <c r="BA162" s="245" t="s">
        <v>4454</v>
      </c>
      <c r="BB162" s="249" t="s">
        <v>4338</v>
      </c>
      <c r="BC162" s="220">
        <f>IF(AY162-KD162=0,"",AY162-O162)</f>
        <v>144</v>
      </c>
      <c r="BD162" s="103" t="str">
        <f>IF(AND(AI162&lt;&gt;"SIM",AI162="UH"),"AA","INDENIZAÇÃO")</f>
        <v>INDENIZAÇÃO</v>
      </c>
      <c r="BE162" s="103" t="str">
        <f>IF(AND(AY162&lt;&gt;"AGUARDANDO",AY162&lt;&gt;"",N162="AUXÍLIO ALUGUEL ATÉ INDENIZAÇÃO"),"SIM","NÃO")</f>
        <v>NÃO</v>
      </c>
      <c r="BF162" s="250" t="s">
        <v>4357</v>
      </c>
      <c r="BG162" s="250" t="s">
        <v>4357</v>
      </c>
      <c r="BH162" s="250" t="s">
        <v>4357</v>
      </c>
      <c r="BI162" s="103" t="s">
        <v>4338</v>
      </c>
      <c r="BJ162" s="103" t="s">
        <v>4338</v>
      </c>
      <c r="BK162" s="105">
        <v>46224</v>
      </c>
      <c r="BL162" s="272" t="s">
        <v>4461</v>
      </c>
      <c r="BM162" s="237"/>
      <c r="BN162" s="231"/>
    </row>
    <row r="163" spans="1:68" s="232" customFormat="1" ht="29.25" customHeight="1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5106</v>
      </c>
      <c r="G163" s="103" t="s">
        <v>4330</v>
      </c>
      <c r="H163" s="103" t="s">
        <v>4361</v>
      </c>
      <c r="I163" s="103" t="s">
        <v>4361</v>
      </c>
      <c r="J163" s="149" t="s">
        <v>5107</v>
      </c>
      <c r="K163" s="149" t="s">
        <v>5108</v>
      </c>
      <c r="L163" s="149" t="s">
        <v>5109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5107</v>
      </c>
      <c r="AC163" s="149" t="s">
        <v>5108</v>
      </c>
      <c r="AD163" s="149" t="s">
        <v>5109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>IF(AY163-KD163=0,"",AY163-O163)</f>
        <v/>
      </c>
      <c r="BD163" s="103" t="str">
        <f>IF(AND(AI163&lt;&gt;"SIM",AI163="UH"),"AA","INDENIZAÇÃO")</f>
        <v>AA</v>
      </c>
      <c r="BE163" s="103" t="str">
        <f>IF(AND(AY163&lt;&gt;"AGUARDANDO",AY163&lt;&gt;"",N163="AUXÍLIO ALUGUEL ATÉ INDENIZAÇÃO"),"SIM","NÃO")</f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customHeight="1">
      <c r="A164" s="165">
        <v>155</v>
      </c>
      <c r="B164" s="103" t="s">
        <v>4431</v>
      </c>
      <c r="C164" s="103" t="s">
        <v>4340</v>
      </c>
      <c r="D164" s="103">
        <v>1</v>
      </c>
      <c r="E164" s="103" t="s">
        <v>4432</v>
      </c>
      <c r="F164" s="104" t="s">
        <v>5110</v>
      </c>
      <c r="G164" s="103" t="s">
        <v>4330</v>
      </c>
      <c r="H164" s="103" t="s">
        <v>4331</v>
      </c>
      <c r="I164" s="142" t="s">
        <v>4343</v>
      </c>
      <c r="J164" s="114" t="s">
        <v>5111</v>
      </c>
      <c r="K164" s="149" t="s">
        <v>5112</v>
      </c>
      <c r="L164" s="149" t="s">
        <v>5113</v>
      </c>
      <c r="M164" s="103" t="s">
        <v>4333</v>
      </c>
      <c r="N164" s="103" t="s">
        <v>4334</v>
      </c>
      <c r="O164" s="105">
        <v>46219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 t="s">
        <v>4356</v>
      </c>
      <c r="AA164" s="105" t="s">
        <v>4356</v>
      </c>
      <c r="AB164" s="114" t="s">
        <v>5114</v>
      </c>
      <c r="AC164" s="104" t="s">
        <v>5112</v>
      </c>
      <c r="AD164" s="139" t="s">
        <v>5113</v>
      </c>
      <c r="AE164" s="153" t="s">
        <v>4343</v>
      </c>
      <c r="AF164" s="103" t="s">
        <v>4333</v>
      </c>
      <c r="AG164" s="194">
        <v>50700.93</v>
      </c>
      <c r="AH164" s="194">
        <v>60000</v>
      </c>
      <c r="AI164" s="103" t="s">
        <v>4447</v>
      </c>
      <c r="AJ164" s="104" t="s">
        <v>4438</v>
      </c>
      <c r="AK164" s="103"/>
      <c r="AL164" s="103"/>
      <c r="AM164" s="103"/>
      <c r="AN164" s="103"/>
      <c r="AO164" s="170"/>
      <c r="AP164" s="171"/>
      <c r="AQ164" s="103"/>
      <c r="AR164" s="103"/>
      <c r="AS164" s="103"/>
      <c r="AT164" s="103"/>
      <c r="AU164" s="105"/>
      <c r="AV164" s="103"/>
      <c r="AW164" s="103"/>
      <c r="AX164" s="105"/>
      <c r="AY164" s="106"/>
      <c r="AZ164" s="106"/>
      <c r="BA164" s="107"/>
      <c r="BB164" s="136"/>
      <c r="BC164" s="220"/>
      <c r="BD164" s="103"/>
      <c r="BE164" s="103"/>
      <c r="BF164" s="140"/>
      <c r="BG164" s="140"/>
      <c r="BH164" s="140"/>
      <c r="BI164" s="103"/>
      <c r="BJ164" s="103"/>
      <c r="BK164" s="105"/>
      <c r="BL164" s="103"/>
      <c r="BM164" s="258"/>
    </row>
    <row r="165" spans="1:68" s="232" customFormat="1" ht="29.25" customHeight="1">
      <c r="A165" s="165">
        <v>156</v>
      </c>
      <c r="B165" s="103" t="s">
        <v>4431</v>
      </c>
      <c r="C165" s="103" t="s">
        <v>4448</v>
      </c>
      <c r="D165" s="103">
        <v>1</v>
      </c>
      <c r="E165" s="103" t="s">
        <v>4432</v>
      </c>
      <c r="F165" s="104" t="s">
        <v>5110</v>
      </c>
      <c r="G165" s="103" t="s">
        <v>4330</v>
      </c>
      <c r="H165" s="103" t="s">
        <v>4342</v>
      </c>
      <c r="I165" s="153" t="s">
        <v>4332</v>
      </c>
      <c r="J165" s="114" t="s">
        <v>5115</v>
      </c>
      <c r="K165" s="149" t="s">
        <v>5116</v>
      </c>
      <c r="L165" s="149" t="s">
        <v>5117</v>
      </c>
      <c r="M165" s="103" t="s">
        <v>4333</v>
      </c>
      <c r="N165" s="103" t="s">
        <v>4459</v>
      </c>
      <c r="O165" s="105">
        <v>46038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/>
      <c r="AA165" s="105"/>
      <c r="AB165" s="114" t="s">
        <v>5115</v>
      </c>
      <c r="AC165" s="104" t="s">
        <v>5116</v>
      </c>
      <c r="AD165" s="139" t="s">
        <v>5117</v>
      </c>
      <c r="AE165" s="153" t="s">
        <v>4332</v>
      </c>
      <c r="AF165" s="103" t="s">
        <v>4333</v>
      </c>
      <c r="AG165" s="194">
        <v>10959.7</v>
      </c>
      <c r="AH165" s="194">
        <f>AG165+30000</f>
        <v>40959.699999999997</v>
      </c>
      <c r="AI165" s="103" t="s">
        <v>4336</v>
      </c>
      <c r="AJ165" s="104" t="s">
        <v>4438</v>
      </c>
      <c r="AK165" s="103">
        <v>147993852</v>
      </c>
      <c r="AL165" s="103" t="s">
        <v>4338</v>
      </c>
      <c r="AM165" s="103" t="s">
        <v>4338</v>
      </c>
      <c r="AN165" s="103" t="s">
        <v>4339</v>
      </c>
      <c r="AO165" s="170"/>
      <c r="AP165" s="171" t="s">
        <v>5118</v>
      </c>
      <c r="AQ165" s="103" t="s">
        <v>4338</v>
      </c>
      <c r="AR165" s="103" t="s">
        <v>4338</v>
      </c>
      <c r="AS165" s="103" t="s">
        <v>4338</v>
      </c>
      <c r="AT165" s="103" t="s">
        <v>4338</v>
      </c>
      <c r="AU165" s="105">
        <v>46098</v>
      </c>
      <c r="AV165" s="103" t="s">
        <v>4338</v>
      </c>
      <c r="AW165" s="103" t="s">
        <v>4338</v>
      </c>
      <c r="AX165" s="105">
        <v>46114</v>
      </c>
      <c r="AY165" s="106">
        <v>46114</v>
      </c>
      <c r="AZ165" s="106" t="s">
        <v>4453</v>
      </c>
      <c r="BA165" s="107" t="s">
        <v>4454</v>
      </c>
      <c r="BB165" s="136" t="s">
        <v>4338</v>
      </c>
      <c r="BC165" s="220">
        <f>IF(AY165-KD165=0,"",AY165-O165)</f>
        <v>76</v>
      </c>
      <c r="BD165" s="103" t="str">
        <f>IF(AND(AI165&lt;&gt;"SIM",AI165="UH"),"AA","INDENIZAÇÃO")</f>
        <v>INDENIZAÇÃO</v>
      </c>
      <c r="BE165" s="103" t="str">
        <f>IF(AND(AY165&lt;&gt;"AGUARDANDO",AY165&lt;&gt;"",N165="AUXÍLIO ALUGUEL ATÉ INDENIZAÇÃO"),"SIM","NÃO")</f>
        <v>NÃO</v>
      </c>
      <c r="BF165" s="140" t="s">
        <v>4357</v>
      </c>
      <c r="BG165" s="140" t="s">
        <v>4357</v>
      </c>
      <c r="BH165" s="140" t="s">
        <v>4357</v>
      </c>
      <c r="BI165" s="103" t="s">
        <v>4338</v>
      </c>
      <c r="BJ165" s="103" t="s">
        <v>4338</v>
      </c>
      <c r="BK165" s="105">
        <v>46182</v>
      </c>
      <c r="BL165" s="103" t="s">
        <v>4338</v>
      </c>
      <c r="BM165" s="258" t="s">
        <v>4453</v>
      </c>
    </row>
    <row r="166" spans="1:68" s="232" customFormat="1" ht="29.25" customHeight="1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5119</v>
      </c>
      <c r="G166" s="103" t="s">
        <v>4330</v>
      </c>
      <c r="H166" s="103" t="s">
        <v>4331</v>
      </c>
      <c r="I166" s="98" t="s">
        <v>4343</v>
      </c>
      <c r="J166" s="149" t="s">
        <v>5120</v>
      </c>
      <c r="K166" s="149" t="s">
        <v>5121</v>
      </c>
      <c r="L166" s="149" t="s">
        <v>5122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5120</v>
      </c>
      <c r="AC166" s="149" t="s">
        <v>5121</v>
      </c>
      <c r="AD166" s="149" t="s">
        <v>5122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customHeight="1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5119</v>
      </c>
      <c r="G167" s="103" t="s">
        <v>4330</v>
      </c>
      <c r="H167" s="103" t="s">
        <v>4331</v>
      </c>
      <c r="I167" s="142" t="s">
        <v>4343</v>
      </c>
      <c r="J167" s="114" t="s">
        <v>5123</v>
      </c>
      <c r="K167" s="149" t="s">
        <v>4432</v>
      </c>
      <c r="L167" s="149" t="s">
        <v>5124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5123</v>
      </c>
      <c r="AC167" s="149" t="s">
        <v>4432</v>
      </c>
      <c r="AD167" s="149" t="s">
        <v>5124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customHeight="1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5125</v>
      </c>
      <c r="G168" s="103" t="s">
        <v>4330</v>
      </c>
      <c r="H168" s="103" t="s">
        <v>4331</v>
      </c>
      <c r="I168" s="103" t="s">
        <v>4440</v>
      </c>
      <c r="J168" s="149" t="s">
        <v>5126</v>
      </c>
      <c r="K168" s="149" t="s">
        <v>5127</v>
      </c>
      <c r="L168" s="149" t="s">
        <v>5128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5129</v>
      </c>
      <c r="AC168" s="141" t="s">
        <v>5130</v>
      </c>
      <c r="AD168" s="141" t="s">
        <v>5131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5132</v>
      </c>
      <c r="G169" s="103" t="s">
        <v>4330</v>
      </c>
      <c r="H169" s="103" t="s">
        <v>4331</v>
      </c>
      <c r="I169" s="103" t="s">
        <v>4343</v>
      </c>
      <c r="J169" s="149" t="s">
        <v>5133</v>
      </c>
      <c r="K169" s="149" t="s">
        <v>5134</v>
      </c>
      <c r="L169" s="149" t="s">
        <v>5135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5136</v>
      </c>
      <c r="AC169" s="149" t="s">
        <v>5134</v>
      </c>
      <c r="AD169" s="149" t="s">
        <v>5135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5137</v>
      </c>
      <c r="AQ169" s="165" t="s">
        <v>4822</v>
      </c>
      <c r="AR169" s="103" t="s">
        <v>4822</v>
      </c>
      <c r="AS169" s="103" t="s">
        <v>4822</v>
      </c>
      <c r="AT169" s="103" t="s">
        <v>4822</v>
      </c>
      <c r="AU169" s="105">
        <v>46233</v>
      </c>
      <c r="AV169" s="103" t="s">
        <v>4822</v>
      </c>
      <c r="AW169" s="103" t="s">
        <v>4822</v>
      </c>
      <c r="AX169" s="105">
        <v>46237</v>
      </c>
      <c r="AY169" s="106" t="s">
        <v>4453</v>
      </c>
      <c r="AZ169" s="157"/>
      <c r="BA169" s="107" t="s">
        <v>4330</v>
      </c>
      <c r="BB169" s="112"/>
      <c r="BC169" s="220" t="e">
        <f>IF(AY169-KD169=0,"",AY169-O169)</f>
        <v>#VALUE!</v>
      </c>
      <c r="BD169" s="103" t="str">
        <f>IF(AND(AI169&lt;&gt;"SIM",AI169="UH"),"AA","INDENIZAÇÃO")</f>
        <v>INDENIZAÇÃO</v>
      </c>
      <c r="BE169" s="103" t="str">
        <f>IF(AND(AY169&lt;&gt;"AGUARDANDO",AY169&lt;&gt;"",N169="AUXÍLIO ALUGUEL ATÉ INDENIZAÇÃO"),"SIM","NÃO")</f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>
      <c r="A170" s="165">
        <v>161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5138</v>
      </c>
      <c r="G170" s="103" t="s">
        <v>4330</v>
      </c>
      <c r="H170" s="103" t="s">
        <v>4352</v>
      </c>
      <c r="I170" s="103" t="s">
        <v>4343</v>
      </c>
      <c r="J170" s="149" t="s">
        <v>5139</v>
      </c>
      <c r="K170" s="149" t="s">
        <v>5140</v>
      </c>
      <c r="L170" s="149" t="s">
        <v>5141</v>
      </c>
      <c r="M170" s="103" t="s">
        <v>4333</v>
      </c>
      <c r="N170" s="103" t="s">
        <v>4459</v>
      </c>
      <c r="O170" s="105">
        <v>46112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49" t="s">
        <v>5139</v>
      </c>
      <c r="AC170" s="149" t="s">
        <v>5140</v>
      </c>
      <c r="AD170" s="149" t="s">
        <v>5141</v>
      </c>
      <c r="AE170" s="103" t="s">
        <v>4343</v>
      </c>
      <c r="AF170" s="103" t="s">
        <v>4333</v>
      </c>
      <c r="AG170" s="194">
        <v>92686.14</v>
      </c>
      <c r="AH170" s="194">
        <v>92686.14</v>
      </c>
      <c r="AI170" s="103" t="s">
        <v>4336</v>
      </c>
      <c r="AJ170" s="104" t="s">
        <v>4438</v>
      </c>
      <c r="AK170" s="103">
        <v>152695487</v>
      </c>
      <c r="AL170" s="142" t="s">
        <v>4338</v>
      </c>
      <c r="AM170" s="103" t="s">
        <v>4338</v>
      </c>
      <c r="AN170" s="103" t="s">
        <v>4339</v>
      </c>
      <c r="AO170" s="103"/>
      <c r="AP170" s="171" t="s">
        <v>5142</v>
      </c>
      <c r="AQ170" s="103" t="s">
        <v>4338</v>
      </c>
      <c r="AR170" s="103" t="s">
        <v>4338</v>
      </c>
      <c r="AS170" s="143" t="s">
        <v>4338</v>
      </c>
      <c r="AT170" s="103" t="s">
        <v>4338</v>
      </c>
      <c r="AU170" s="105">
        <v>46139</v>
      </c>
      <c r="AV170" s="103" t="s">
        <v>4338</v>
      </c>
      <c r="AW170" s="103" t="s">
        <v>4338</v>
      </c>
      <c r="AX170" s="105">
        <v>46142</v>
      </c>
      <c r="AY170" s="106">
        <v>46142</v>
      </c>
      <c r="AZ170" s="106" t="s">
        <v>4453</v>
      </c>
      <c r="BA170" s="313" t="s">
        <v>4454</v>
      </c>
      <c r="BB170" s="315" t="s">
        <v>4338</v>
      </c>
      <c r="BC170" s="220">
        <f>IF(AY170-KD170=0,"",AY170-O170)</f>
        <v>30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308" t="s">
        <v>4357</v>
      </c>
      <c r="BG170" s="112" t="s">
        <v>4357</v>
      </c>
      <c r="BH170" s="112" t="s">
        <v>4357</v>
      </c>
      <c r="BI170" s="308" t="s">
        <v>4338</v>
      </c>
      <c r="BJ170" s="112" t="s">
        <v>4338</v>
      </c>
      <c r="BK170" s="105">
        <v>46195</v>
      </c>
      <c r="BL170" s="112" t="s">
        <v>4338</v>
      </c>
      <c r="BM170" s="262" t="s">
        <v>4453</v>
      </c>
    </row>
    <row r="171" spans="1:68" s="232" customFormat="1" ht="29.25" customHeight="1">
      <c r="A171" s="165">
        <v>162</v>
      </c>
      <c r="B171" s="103" t="s">
        <v>4431</v>
      </c>
      <c r="C171" s="103" t="s">
        <v>4448</v>
      </c>
      <c r="D171" s="103">
        <v>1</v>
      </c>
      <c r="E171" s="103" t="s">
        <v>4432</v>
      </c>
      <c r="F171" s="104" t="s">
        <v>5143</v>
      </c>
      <c r="G171" s="103" t="s">
        <v>4330</v>
      </c>
      <c r="H171" s="103" t="s">
        <v>4331</v>
      </c>
      <c r="I171" s="142" t="s">
        <v>4343</v>
      </c>
      <c r="J171" s="114" t="s">
        <v>5144</v>
      </c>
      <c r="K171" s="104" t="s">
        <v>5145</v>
      </c>
      <c r="L171" s="114" t="s">
        <v>5146</v>
      </c>
      <c r="M171" s="103" t="s">
        <v>4333</v>
      </c>
      <c r="N171" s="103" t="s">
        <v>4459</v>
      </c>
      <c r="O171" s="105">
        <v>46001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14" t="s">
        <v>5144</v>
      </c>
      <c r="AC171" s="104" t="s">
        <v>5145</v>
      </c>
      <c r="AD171" s="114" t="s">
        <v>5146</v>
      </c>
      <c r="AE171" s="103" t="s">
        <v>4343</v>
      </c>
      <c r="AF171" s="103" t="s">
        <v>4333</v>
      </c>
      <c r="AG171" s="194">
        <v>126759.31</v>
      </c>
      <c r="AH171" s="194">
        <v>126759.31</v>
      </c>
      <c r="AI171" s="103" t="s">
        <v>4336</v>
      </c>
      <c r="AJ171" s="104" t="s">
        <v>4438</v>
      </c>
      <c r="AK171" s="103">
        <v>146664998</v>
      </c>
      <c r="AL171" s="103" t="s">
        <v>4338</v>
      </c>
      <c r="AM171" s="103" t="s">
        <v>4338</v>
      </c>
      <c r="AN171" s="103" t="s">
        <v>4339</v>
      </c>
      <c r="AO171" s="103"/>
      <c r="AP171" s="171" t="s">
        <v>5147</v>
      </c>
      <c r="AQ171" s="165" t="s">
        <v>4338</v>
      </c>
      <c r="AR171" s="103" t="s">
        <v>4338</v>
      </c>
      <c r="AS171" s="103" t="s">
        <v>4338</v>
      </c>
      <c r="AT171" s="103" t="s">
        <v>4338</v>
      </c>
      <c r="AU171" s="108">
        <v>46024</v>
      </c>
      <c r="AV171" s="112" t="s">
        <v>4338</v>
      </c>
      <c r="AW171" s="103" t="s">
        <v>4338</v>
      </c>
      <c r="AX171" s="108">
        <v>46057</v>
      </c>
      <c r="AY171" s="157">
        <v>46057</v>
      </c>
      <c r="AZ171" s="106" t="s">
        <v>4453</v>
      </c>
      <c r="BA171" s="107" t="s">
        <v>4454</v>
      </c>
      <c r="BB171" s="136" t="s">
        <v>4338</v>
      </c>
      <c r="BC171" s="220">
        <f>IF(AY171-KD171=0,"",AY171-O171)</f>
        <v>56</v>
      </c>
      <c r="BD171" s="103" t="str">
        <f>IF(AND(AI171&lt;&gt;"SIM",AI171="UH"),"AA","INDENIZAÇÃO")</f>
        <v>INDENIZAÇÃO</v>
      </c>
      <c r="BE171" s="103" t="str">
        <f>IF(AND(AY171&lt;&gt;"AGUARDANDO",AY171&lt;&gt;"",N171="AUXÍLIO ALUGUEL ATÉ INDENIZAÇÃO"),"SIM","NÃO")</f>
        <v>NÃO</v>
      </c>
      <c r="BF171" s="140" t="s">
        <v>4357</v>
      </c>
      <c r="BG171" s="140" t="s">
        <v>4357</v>
      </c>
      <c r="BH171" s="140" t="s">
        <v>4357</v>
      </c>
      <c r="BI171" s="103" t="s">
        <v>4338</v>
      </c>
      <c r="BJ171" s="103" t="s">
        <v>4338</v>
      </c>
      <c r="BK171" s="105">
        <v>46182</v>
      </c>
      <c r="BL171" s="103" t="s">
        <v>4338</v>
      </c>
      <c r="BM171" s="258" t="s">
        <v>4453</v>
      </c>
      <c r="BN171" s="231"/>
      <c r="BO171" s="231"/>
    </row>
    <row r="172" spans="1:68" s="232" customFormat="1" ht="29.25" customHeight="1">
      <c r="A172" s="165">
        <v>163</v>
      </c>
      <c r="B172" s="103" t="s">
        <v>4431</v>
      </c>
      <c r="C172" s="103" t="s">
        <v>4439</v>
      </c>
      <c r="D172" s="103">
        <v>1</v>
      </c>
      <c r="E172" s="103" t="s">
        <v>4432</v>
      </c>
      <c r="F172" s="104" t="s">
        <v>5143</v>
      </c>
      <c r="G172" s="103" t="s">
        <v>4330</v>
      </c>
      <c r="H172" s="103" t="s">
        <v>4331</v>
      </c>
      <c r="I172" s="103" t="s">
        <v>4343</v>
      </c>
      <c r="J172" s="149" t="s">
        <v>5148</v>
      </c>
      <c r="K172" s="149" t="s">
        <v>5149</v>
      </c>
      <c r="L172" s="149" t="s">
        <v>5150</v>
      </c>
      <c r="M172" s="103" t="s">
        <v>4333</v>
      </c>
      <c r="N172" s="103" t="s">
        <v>4459</v>
      </c>
      <c r="O172" s="105">
        <v>46188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49" t="s">
        <v>5148</v>
      </c>
      <c r="AC172" s="149" t="s">
        <v>5149</v>
      </c>
      <c r="AD172" s="149" t="s">
        <v>5150</v>
      </c>
      <c r="AE172" s="103" t="s">
        <v>4343</v>
      </c>
      <c r="AF172" s="103" t="s">
        <v>4333</v>
      </c>
      <c r="AG172" s="194">
        <v>54328.45</v>
      </c>
      <c r="AH172" s="194">
        <v>60000</v>
      </c>
      <c r="AI172" s="103" t="s">
        <v>4336</v>
      </c>
      <c r="AJ172" s="104" t="s">
        <v>4438</v>
      </c>
      <c r="AK172" s="103">
        <v>152696742</v>
      </c>
      <c r="AL172" s="103" t="s">
        <v>4338</v>
      </c>
      <c r="AM172" s="103" t="s">
        <v>4338</v>
      </c>
      <c r="AN172" s="103" t="s">
        <v>4339</v>
      </c>
      <c r="AO172" s="112"/>
      <c r="AP172" s="171" t="s">
        <v>5151</v>
      </c>
      <c r="AQ172" s="103" t="s">
        <v>4822</v>
      </c>
      <c r="AR172" s="103" t="s">
        <v>4822</v>
      </c>
      <c r="AS172" s="103" t="s">
        <v>4822</v>
      </c>
      <c r="AT172" s="103" t="s">
        <v>4822</v>
      </c>
      <c r="AU172" s="105">
        <v>46233</v>
      </c>
      <c r="AV172" s="103" t="s">
        <v>4822</v>
      </c>
      <c r="AW172" s="103" t="s">
        <v>4822</v>
      </c>
      <c r="AX172" s="105">
        <v>46237</v>
      </c>
      <c r="AY172" s="106" t="s">
        <v>4453</v>
      </c>
      <c r="AZ172" s="157"/>
      <c r="BA172" s="107" t="s">
        <v>4330</v>
      </c>
      <c r="BB172" s="112"/>
      <c r="BC172" s="220" t="e">
        <f>IF(AY172-KD172=0,"",AY172-O172)</f>
        <v>#VALUE!</v>
      </c>
      <c r="BD172" s="103" t="str">
        <f>IF(AND(AI172&lt;&gt;"SIM",AI172="UH"),"AA","INDENIZAÇÃO")</f>
        <v>INDENIZAÇÃO</v>
      </c>
      <c r="BE172" s="103" t="str">
        <f>IF(AND(AY172&lt;&gt;"AGUARDANDO",AY172&lt;&gt;"",N172="AUXÍLIO ALUGUEL ATÉ INDENIZAÇÃO"),"SIM","NÃO")</f>
        <v>NÃO</v>
      </c>
      <c r="BF172" s="112"/>
      <c r="BG172" s="147"/>
      <c r="BH172" s="147"/>
      <c r="BI172" s="112"/>
      <c r="BJ172" s="112"/>
      <c r="BK172" s="112"/>
      <c r="BL172" s="112"/>
      <c r="BM172" s="236"/>
    </row>
    <row r="173" spans="1:68" s="232" customFormat="1" ht="29.25" customHeight="1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5152</v>
      </c>
      <c r="G173" s="103" t="s">
        <v>4330</v>
      </c>
      <c r="H173" s="103" t="s">
        <v>4331</v>
      </c>
      <c r="I173" s="142" t="s">
        <v>4343</v>
      </c>
      <c r="J173" s="149" t="s">
        <v>5153</v>
      </c>
      <c r="K173" s="149" t="s">
        <v>5154</v>
      </c>
      <c r="L173" s="149" t="s">
        <v>5155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5153</v>
      </c>
      <c r="AC173" s="104" t="s">
        <v>5154</v>
      </c>
      <c r="AD173" s="104" t="s">
        <v>5155</v>
      </c>
      <c r="AE173" s="103" t="s">
        <v>4343</v>
      </c>
      <c r="AF173" s="103" t="s">
        <v>4333</v>
      </c>
      <c r="AG173" s="194">
        <v>266194.56</v>
      </c>
      <c r="AH173" s="194">
        <v>266194.56</v>
      </c>
      <c r="AI173" s="103" t="s">
        <v>4336</v>
      </c>
      <c r="AJ173" s="104" t="s">
        <v>4438</v>
      </c>
      <c r="AK173" s="103">
        <v>146667845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5156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5">
        <v>46021</v>
      </c>
      <c r="AV173" s="112" t="s">
        <v>4338</v>
      </c>
      <c r="AW173" s="103" t="s">
        <v>4338</v>
      </c>
      <c r="AX173" s="105">
        <v>46041</v>
      </c>
      <c r="AY173" s="106">
        <v>46041</v>
      </c>
      <c r="AZ173" s="106" t="s">
        <v>4453</v>
      </c>
      <c r="BA173" s="107" t="s">
        <v>4454</v>
      </c>
      <c r="BB173" s="136" t="s">
        <v>4338</v>
      </c>
      <c r="BC173" s="220">
        <f>IF(AY173-KD173=0,"",AY173-O173)</f>
        <v>40</v>
      </c>
      <c r="BD173" s="103" t="str">
        <f>IF(AND(AI173&lt;&gt;"SIM",AI173="UH"),"AA","INDENIZAÇÃO")</f>
        <v>INDENIZAÇÃO</v>
      </c>
      <c r="BE173" s="103" t="str">
        <f>IF(AND(AY173&lt;&gt;"AGUARDANDO",AY173&lt;&gt;"",N173="AUXÍLIO ALUGUEL ATÉ INDENIZAÇÃO"),"SIM","NÃO")</f>
        <v>NÃO</v>
      </c>
      <c r="BF173" s="140" t="s">
        <v>4357</v>
      </c>
      <c r="BG173" s="140" t="s">
        <v>4357</v>
      </c>
      <c r="BH173" s="140" t="s">
        <v>4357</v>
      </c>
      <c r="BI173" s="103" t="s">
        <v>4338</v>
      </c>
      <c r="BJ173" s="103" t="s">
        <v>4338</v>
      </c>
      <c r="BK173" s="105">
        <v>46182</v>
      </c>
      <c r="BL173" s="103" t="s">
        <v>4338</v>
      </c>
      <c r="BM173" s="258" t="s">
        <v>4453</v>
      </c>
    </row>
    <row r="174" spans="1:68" s="232" customFormat="1" ht="29.25" customHeight="1">
      <c r="A174" s="103">
        <v>165</v>
      </c>
      <c r="B174" s="103" t="s">
        <v>4431</v>
      </c>
      <c r="C174" s="103" t="s">
        <v>4448</v>
      </c>
      <c r="D174" s="103">
        <v>1</v>
      </c>
      <c r="E174" s="103" t="s">
        <v>4432</v>
      </c>
      <c r="F174" s="104" t="s">
        <v>5157</v>
      </c>
      <c r="G174" s="103" t="s">
        <v>4330</v>
      </c>
      <c r="H174" s="103" t="s">
        <v>4331</v>
      </c>
      <c r="I174" s="142" t="s">
        <v>4343</v>
      </c>
      <c r="J174" s="149" t="s">
        <v>5158</v>
      </c>
      <c r="K174" s="149" t="s">
        <v>5159</v>
      </c>
      <c r="L174" s="149" t="s">
        <v>5160</v>
      </c>
      <c r="M174" s="103" t="s">
        <v>4333</v>
      </c>
      <c r="N174" s="103" t="s">
        <v>4459</v>
      </c>
      <c r="O174" s="105">
        <v>46129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5158</v>
      </c>
      <c r="AC174" s="149" t="s">
        <v>5159</v>
      </c>
      <c r="AD174" s="149" t="s">
        <v>5160</v>
      </c>
      <c r="AE174" s="103" t="s">
        <v>4343</v>
      </c>
      <c r="AF174" s="103" t="s">
        <v>4333</v>
      </c>
      <c r="AG174" s="194">
        <v>17059.61</v>
      </c>
      <c r="AH174" s="194">
        <v>47059.61</v>
      </c>
      <c r="AI174" s="103" t="s">
        <v>4336</v>
      </c>
      <c r="AJ174" s="104" t="s">
        <v>4438</v>
      </c>
      <c r="AK174" s="103">
        <v>150861319</v>
      </c>
      <c r="AL174" s="142" t="s">
        <v>4338</v>
      </c>
      <c r="AM174" s="103" t="s">
        <v>4338</v>
      </c>
      <c r="AN174" s="103" t="s">
        <v>4339</v>
      </c>
      <c r="AO174" s="103"/>
      <c r="AP174" s="273" t="s">
        <v>5161</v>
      </c>
      <c r="AQ174" s="224" t="s">
        <v>4338</v>
      </c>
      <c r="AR174" s="103" t="s">
        <v>4338</v>
      </c>
      <c r="AS174" s="112" t="s">
        <v>4338</v>
      </c>
      <c r="AT174" s="112" t="s">
        <v>4338</v>
      </c>
      <c r="AU174" s="105">
        <v>46226</v>
      </c>
      <c r="AV174" s="112" t="s">
        <v>4338</v>
      </c>
      <c r="AW174" s="112" t="s">
        <v>4338</v>
      </c>
      <c r="AX174" s="105">
        <v>46232</v>
      </c>
      <c r="AY174" s="109" t="s">
        <v>4453</v>
      </c>
      <c r="AZ174" s="157"/>
      <c r="BA174" s="109" t="s">
        <v>4330</v>
      </c>
      <c r="BB174" s="136"/>
      <c r="BC174" s="220" t="e">
        <f>IF(AY174-KD174=0,"",AY174-O174)</f>
        <v>#VALUE!</v>
      </c>
      <c r="BD174" s="103" t="str">
        <f>IF(AND(AI174&lt;&gt;"SIM",AI174="UH"),"AA","INDENIZAÇÃO")</f>
        <v>INDENIZAÇÃO</v>
      </c>
      <c r="BE174" s="103" t="str">
        <f>IF(AND(AY174&lt;&gt;"AGUARDANDO",AY174&lt;&gt;"",N174="AUXÍLIO ALUGUEL ATÉ INDENIZAÇÃO"),"SIM","NÃO")</f>
        <v>NÃO</v>
      </c>
      <c r="BF174" s="140"/>
      <c r="BG174" s="140"/>
      <c r="BH174" s="140"/>
      <c r="BI174" s="140"/>
      <c r="BJ174" s="140"/>
      <c r="BK174" s="140"/>
      <c r="BL174" s="140"/>
      <c r="BM174" s="238"/>
    </row>
    <row r="175" spans="1:68" s="232" customFormat="1" ht="29.25" customHeight="1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5157</v>
      </c>
      <c r="G175" s="103" t="s">
        <v>4330</v>
      </c>
      <c r="H175" s="103" t="s">
        <v>4331</v>
      </c>
      <c r="I175" s="103" t="s">
        <v>4343</v>
      </c>
      <c r="J175" s="149" t="s">
        <v>5162</v>
      </c>
      <c r="K175" s="149" t="s">
        <v>5163</v>
      </c>
      <c r="L175" s="149" t="s">
        <v>5164</v>
      </c>
      <c r="M175" s="103" t="s">
        <v>4333</v>
      </c>
      <c r="N175" s="103" t="s">
        <v>4459</v>
      </c>
      <c r="O175" s="105">
        <v>46189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5162</v>
      </c>
      <c r="AC175" s="149" t="s">
        <v>5163</v>
      </c>
      <c r="AD175" s="149" t="s">
        <v>5164</v>
      </c>
      <c r="AE175" s="103" t="s">
        <v>4343</v>
      </c>
      <c r="AF175" s="103" t="s">
        <v>4333</v>
      </c>
      <c r="AG175" s="194">
        <v>83292.070000000007</v>
      </c>
      <c r="AH175" s="194">
        <v>83292.070000000007</v>
      </c>
      <c r="AI175" s="103" t="s">
        <v>4447</v>
      </c>
      <c r="AJ175" s="104" t="s">
        <v>4438</v>
      </c>
      <c r="AK175" s="103">
        <v>152696098</v>
      </c>
      <c r="AL175" s="103" t="s">
        <v>4338</v>
      </c>
      <c r="AM175" s="103" t="s">
        <v>4338</v>
      </c>
      <c r="AN175" s="103" t="s">
        <v>4339</v>
      </c>
      <c r="AO175" s="153"/>
      <c r="AP175" s="171" t="s">
        <v>5165</v>
      </c>
      <c r="AQ175" s="103" t="s">
        <v>4822</v>
      </c>
      <c r="AR175" s="103" t="s">
        <v>4822</v>
      </c>
      <c r="AS175" s="103" t="s">
        <v>4822</v>
      </c>
      <c r="AT175" s="103" t="s">
        <v>4822</v>
      </c>
      <c r="AU175" s="105">
        <v>46233</v>
      </c>
      <c r="AV175" s="103" t="s">
        <v>4822</v>
      </c>
      <c r="AW175" s="103" t="s">
        <v>4822</v>
      </c>
      <c r="AX175" s="105">
        <v>46237</v>
      </c>
      <c r="AY175" s="106" t="s">
        <v>4453</v>
      </c>
      <c r="AZ175" s="157"/>
      <c r="BA175" s="107" t="s">
        <v>4330</v>
      </c>
      <c r="BB175" s="112"/>
      <c r="BC175" s="220" t="e">
        <f>IF(AY175-KD175=0,"",AY175-O175)</f>
        <v>#VALUE!</v>
      </c>
      <c r="BD175" s="103" t="str">
        <f>IF(AND(AI175&lt;&gt;"SIM",AI175="UH"),"AA","INDENIZAÇÃO")</f>
        <v>INDENIZAÇÃO</v>
      </c>
      <c r="BE175" s="103" t="str">
        <f>IF(AND(AY175&lt;&gt;"AGUARDANDO",AY175&lt;&gt;"",N175="AUXÍLIO ALUGUEL ATÉ INDENIZAÇÃO"),"SIM","NÃO")</f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customHeight="1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5166</v>
      </c>
      <c r="G176" s="103" t="s">
        <v>4330</v>
      </c>
      <c r="H176" s="103" t="s">
        <v>4331</v>
      </c>
      <c r="I176" s="142" t="s">
        <v>4343</v>
      </c>
      <c r="J176" s="114" t="s">
        <v>5167</v>
      </c>
      <c r="K176" s="149" t="s">
        <v>5168</v>
      </c>
      <c r="L176" s="149" t="s">
        <v>5169</v>
      </c>
      <c r="M176" s="103" t="s">
        <v>4333</v>
      </c>
      <c r="N176" s="103" t="s">
        <v>4459</v>
      </c>
      <c r="O176" s="105">
        <v>46038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14" t="s">
        <v>5167</v>
      </c>
      <c r="AC176" s="104" t="s">
        <v>5168</v>
      </c>
      <c r="AD176" s="139" t="s">
        <v>5169</v>
      </c>
      <c r="AE176" s="103" t="s">
        <v>4343</v>
      </c>
      <c r="AF176" s="103" t="s">
        <v>4333</v>
      </c>
      <c r="AG176" s="194">
        <v>22191</v>
      </c>
      <c r="AH176" s="194">
        <f>AG176+30000</f>
        <v>52191</v>
      </c>
      <c r="AI176" s="103" t="s">
        <v>4336</v>
      </c>
      <c r="AJ176" s="104" t="s">
        <v>4438</v>
      </c>
      <c r="AK176" s="103">
        <v>148259258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5170</v>
      </c>
      <c r="AQ176" s="103" t="s">
        <v>4338</v>
      </c>
      <c r="AR176" s="103" t="s">
        <v>4338</v>
      </c>
      <c r="AS176" s="103" t="s">
        <v>4338</v>
      </c>
      <c r="AT176" s="103" t="s">
        <v>4338</v>
      </c>
      <c r="AU176" s="105">
        <v>46062</v>
      </c>
      <c r="AV176" s="112" t="s">
        <v>4338</v>
      </c>
      <c r="AW176" s="103" t="s">
        <v>4338</v>
      </c>
      <c r="AX176" s="105">
        <v>46066</v>
      </c>
      <c r="AY176" s="157">
        <v>46066</v>
      </c>
      <c r="AZ176" s="106" t="s">
        <v>4453</v>
      </c>
      <c r="BA176" s="107" t="s">
        <v>4454</v>
      </c>
      <c r="BB176" s="136" t="s">
        <v>4338</v>
      </c>
      <c r="BC176" s="220">
        <f>IF(AY176-KD176=0,"",AY176-O176)</f>
        <v>28</v>
      </c>
      <c r="BD176" s="103" t="str">
        <f>IF(AND(AI176&lt;&gt;"SIM",AI176="UH"),"AA","INDENIZAÇÃO")</f>
        <v>INDENIZAÇÃO</v>
      </c>
      <c r="BE176" s="103" t="str">
        <f>IF(AND(AY176&lt;&gt;"AGUARDANDO",AY176&lt;&gt;"",N176="AUXÍLIO ALUGUEL ATÉ INDENIZAÇÃO"),"SIM","NÃO")</f>
        <v>NÃO</v>
      </c>
      <c r="BF176" s="140" t="s">
        <v>4357</v>
      </c>
      <c r="BG176" s="140" t="s">
        <v>4357</v>
      </c>
      <c r="BH176" s="140" t="s">
        <v>4357</v>
      </c>
      <c r="BI176" s="103" t="s">
        <v>4338</v>
      </c>
      <c r="BJ176" s="103" t="s">
        <v>4338</v>
      </c>
      <c r="BK176" s="105">
        <v>46182</v>
      </c>
      <c r="BL176" s="103" t="s">
        <v>4338</v>
      </c>
      <c r="BM176" s="258" t="s">
        <v>4453</v>
      </c>
    </row>
    <row r="177" spans="1:107" s="232" customFormat="1" ht="29.25" customHeight="1">
      <c r="A177" s="165">
        <v>168</v>
      </c>
      <c r="B177" s="103" t="s">
        <v>4431</v>
      </c>
      <c r="C177" s="103" t="s">
        <v>4439</v>
      </c>
      <c r="D177" s="103">
        <v>1</v>
      </c>
      <c r="E177" s="103" t="s">
        <v>4432</v>
      </c>
      <c r="F177" s="104" t="s">
        <v>5171</v>
      </c>
      <c r="G177" s="103" t="s">
        <v>4330</v>
      </c>
      <c r="H177" s="103" t="s">
        <v>4331</v>
      </c>
      <c r="I177" s="103" t="s">
        <v>4343</v>
      </c>
      <c r="J177" s="149" t="s">
        <v>5172</v>
      </c>
      <c r="K177" s="149" t="s">
        <v>5173</v>
      </c>
      <c r="L177" s="149" t="s">
        <v>5174</v>
      </c>
      <c r="M177" s="103" t="s">
        <v>4333</v>
      </c>
      <c r="N177" s="103" t="s">
        <v>4459</v>
      </c>
      <c r="O177" s="105">
        <v>46112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49" t="s">
        <v>5172</v>
      </c>
      <c r="AC177" s="149" t="s">
        <v>5173</v>
      </c>
      <c r="AD177" s="149" t="s">
        <v>5174</v>
      </c>
      <c r="AE177" s="103" t="s">
        <v>4343</v>
      </c>
      <c r="AF177" s="103" t="s">
        <v>4333</v>
      </c>
      <c r="AG177" s="194">
        <v>152775.79</v>
      </c>
      <c r="AH177" s="194">
        <v>152775.79</v>
      </c>
      <c r="AI177" s="103" t="s">
        <v>4447</v>
      </c>
      <c r="AJ177" s="104" t="s">
        <v>4438</v>
      </c>
      <c r="AK177" s="103">
        <v>152696357</v>
      </c>
      <c r="AL177" s="142" t="s">
        <v>4338</v>
      </c>
      <c r="AM177" s="103" t="s">
        <v>4338</v>
      </c>
      <c r="AN177" s="103" t="s">
        <v>4339</v>
      </c>
      <c r="AO177" s="103"/>
      <c r="AP177" s="171" t="s">
        <v>5175</v>
      </c>
      <c r="AQ177" s="103" t="s">
        <v>4338</v>
      </c>
      <c r="AR177" s="103" t="s">
        <v>4338</v>
      </c>
      <c r="AS177" s="143" t="s">
        <v>4338</v>
      </c>
      <c r="AT177" s="103" t="s">
        <v>4338</v>
      </c>
      <c r="AU177" s="105">
        <v>46150</v>
      </c>
      <c r="AV177" s="103" t="s">
        <v>4338</v>
      </c>
      <c r="AW177" s="103" t="s">
        <v>4338</v>
      </c>
      <c r="AX177" s="105">
        <v>46157</v>
      </c>
      <c r="AY177" s="106">
        <v>46157</v>
      </c>
      <c r="AZ177" s="106" t="s">
        <v>4453</v>
      </c>
      <c r="BA177" s="107" t="s">
        <v>4454</v>
      </c>
      <c r="BB177" s="136" t="s">
        <v>4338</v>
      </c>
      <c r="BC177" s="220">
        <f>IF(AY177-KD177=0,"",AY177-O177)</f>
        <v>45</v>
      </c>
      <c r="BD177" s="103" t="str">
        <f>IF(AND(AI177&lt;&gt;"SIM",AI177="UH"),"AA","INDENIZAÇÃO")</f>
        <v>INDENIZAÇÃO</v>
      </c>
      <c r="BE177" s="103" t="str">
        <f>IF(AND(AY177&lt;&gt;"AGUARDANDO",AY177&lt;&gt;"",N177="AUXÍLIO ALUGUEL ATÉ INDENIZAÇÃO"),"SIM","NÃO")</f>
        <v>NÃO</v>
      </c>
      <c r="BF177" s="140" t="s">
        <v>4357</v>
      </c>
      <c r="BG177" s="140" t="s">
        <v>4357</v>
      </c>
      <c r="BH177" s="140" t="s">
        <v>4357</v>
      </c>
      <c r="BI177" s="112" t="s">
        <v>4338</v>
      </c>
      <c r="BJ177" s="112" t="s">
        <v>4338</v>
      </c>
      <c r="BK177" s="105">
        <v>46195</v>
      </c>
      <c r="BL177" s="112" t="s">
        <v>4338</v>
      </c>
      <c r="BM177" s="262" t="s">
        <v>4453</v>
      </c>
    </row>
    <row r="178" spans="1:107" s="232" customFormat="1" ht="29.25" customHeight="1">
      <c r="A178" s="165">
        <v>169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5176</v>
      </c>
      <c r="G178" s="103" t="s">
        <v>4497</v>
      </c>
      <c r="H178" s="103" t="s">
        <v>4331</v>
      </c>
      <c r="I178" s="103" t="s">
        <v>4343</v>
      </c>
      <c r="J178" s="149" t="s">
        <v>5177</v>
      </c>
      <c r="K178" s="149" t="s">
        <v>5178</v>
      </c>
      <c r="L178" s="149" t="s">
        <v>5179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5177</v>
      </c>
      <c r="AC178" s="149" t="s">
        <v>5178</v>
      </c>
      <c r="AD178" s="149" t="s">
        <v>5179</v>
      </c>
      <c r="AE178" s="103" t="s">
        <v>4343</v>
      </c>
      <c r="AF178" s="103" t="s">
        <v>4333</v>
      </c>
      <c r="AG178" s="194">
        <v>81479.28</v>
      </c>
      <c r="AH178" s="194">
        <v>81479.28</v>
      </c>
      <c r="AI178" s="103" t="s">
        <v>4447</v>
      </c>
      <c r="AJ178" s="104" t="s">
        <v>4438</v>
      </c>
      <c r="AK178" s="103">
        <v>152696502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5180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46153</v>
      </c>
      <c r="AV178" s="103" t="s">
        <v>4338</v>
      </c>
      <c r="AW178" s="103" t="s">
        <v>4338</v>
      </c>
      <c r="AX178" s="105">
        <v>46171</v>
      </c>
      <c r="AY178" s="106">
        <v>46171</v>
      </c>
      <c r="AZ178" s="106" t="s">
        <v>4453</v>
      </c>
      <c r="BA178" s="245" t="s">
        <v>4454</v>
      </c>
      <c r="BB178" s="249" t="s">
        <v>4338</v>
      </c>
      <c r="BC178" s="220">
        <f>IF(AY178-KD178=0,"",AY178-O178)</f>
        <v>59</v>
      </c>
      <c r="BD178" s="103" t="str">
        <f>IF(AND(AI178&lt;&gt;"SIM",AI178="UH"),"AA","INDENIZAÇÃO")</f>
        <v>INDENIZAÇÃO</v>
      </c>
      <c r="BE178" s="103" t="str">
        <f>IF(AND(AY178&lt;&gt;"AGUARDANDO",AY178&lt;&gt;"",N178="AUXÍLIO ALUGUEL ATÉ INDENIZAÇÃO"),"SIM","NÃO")</f>
        <v>NÃO</v>
      </c>
      <c r="BF178" s="250" t="s">
        <v>4357</v>
      </c>
      <c r="BG178" s="250" t="s">
        <v>4357</v>
      </c>
      <c r="BH178" s="25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customHeight="1">
      <c r="A179" s="103">
        <v>170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5181</v>
      </c>
      <c r="G179" s="103" t="s">
        <v>4330</v>
      </c>
      <c r="H179" s="103" t="s">
        <v>4331</v>
      </c>
      <c r="I179" s="103" t="s">
        <v>4343</v>
      </c>
      <c r="J179" s="149" t="s">
        <v>5182</v>
      </c>
      <c r="K179" s="149" t="s">
        <v>5183</v>
      </c>
      <c r="L179" s="149" t="s">
        <v>5184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5182</v>
      </c>
      <c r="AC179" s="149" t="s">
        <v>5183</v>
      </c>
      <c r="AD179" s="149" t="s">
        <v>5184</v>
      </c>
      <c r="AE179" s="103" t="s">
        <v>4343</v>
      </c>
      <c r="AF179" s="103" t="s">
        <v>4333</v>
      </c>
      <c r="AG179" s="194">
        <v>74617.63</v>
      </c>
      <c r="AH179" s="194">
        <v>74617.63</v>
      </c>
      <c r="AI179" s="103" t="s">
        <v>4447</v>
      </c>
      <c r="AJ179" s="104" t="s">
        <v>4438</v>
      </c>
      <c r="AK179" s="103">
        <v>153001375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5185</v>
      </c>
      <c r="AQ179" s="103" t="s">
        <v>4338</v>
      </c>
      <c r="AR179" s="103" t="s">
        <v>4338</v>
      </c>
      <c r="AS179" s="143" t="s">
        <v>4338</v>
      </c>
      <c r="AT179" s="165" t="s">
        <v>4338</v>
      </c>
      <c r="AU179" s="105">
        <v>46150</v>
      </c>
      <c r="AV179" s="302" t="s">
        <v>4338</v>
      </c>
      <c r="AW179" s="103" t="s">
        <v>4338</v>
      </c>
      <c r="AX179" s="105">
        <v>46160</v>
      </c>
      <c r="AY179" s="106">
        <v>46160</v>
      </c>
      <c r="AZ179" s="106" t="s">
        <v>4453</v>
      </c>
      <c r="BA179" s="107" t="s">
        <v>4454</v>
      </c>
      <c r="BB179" s="136" t="s">
        <v>4338</v>
      </c>
      <c r="BC179" s="220">
        <f>IF(AY179-KD179=0,"",AY179-O179)</f>
        <v>48</v>
      </c>
      <c r="BD179" s="103" t="str">
        <f>IF(AND(AI179&lt;&gt;"SIM",AI179="UH"),"AA","INDENIZAÇÃO")</f>
        <v>INDENIZAÇÃO</v>
      </c>
      <c r="BE179" s="103" t="str">
        <f>IF(AND(AY179&lt;&gt;"AGUARDANDO",AY179&lt;&gt;"",N179="AUXÍLIO ALUGUEL ATÉ INDENIZAÇÃO"),"SIM","NÃO")</f>
        <v>NÃO</v>
      </c>
      <c r="BF179" s="140" t="s">
        <v>4357</v>
      </c>
      <c r="BG179" s="140" t="s">
        <v>4357</v>
      </c>
      <c r="BH179" s="14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customHeight="1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5186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>IF(AY180-KD180=0,"",AY180-O180)</f>
        <v/>
      </c>
      <c r="BD180" s="103" t="str">
        <f>IF(AND(AI180&lt;&gt;"SIM",AI180="UH"),"AA","INDENIZAÇÃO")</f>
        <v>AA</v>
      </c>
      <c r="BE180" s="103" t="str">
        <f>IF(AND(AY180&lt;&gt;"AGUARDANDO",AY180&lt;&gt;"",N180="AUXÍLIO ALUGUEL ATÉ INDENIZAÇÃO"),"SIM","NÃO")</f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customHeight="1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5187</v>
      </c>
      <c r="G181" s="103" t="s">
        <v>4330</v>
      </c>
      <c r="H181" s="103" t="s">
        <v>4331</v>
      </c>
      <c r="I181" s="142" t="s">
        <v>4343</v>
      </c>
      <c r="J181" s="149" t="s">
        <v>5188</v>
      </c>
      <c r="K181" s="149" t="s">
        <v>5189</v>
      </c>
      <c r="L181" s="149" t="s">
        <v>5190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5188</v>
      </c>
      <c r="AC181" s="149" t="s">
        <v>5189</v>
      </c>
      <c r="AD181" s="149" t="s">
        <v>5190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>IF(AY181-KD181=0,"",AY181-O181)</f>
        <v/>
      </c>
      <c r="BD181" s="103" t="str">
        <f>IF(AND(AI181&lt;&gt;"SIM",AI181="UH"),"AA","INDENIZAÇÃO")</f>
        <v>AA</v>
      </c>
      <c r="BE181" s="103" t="str">
        <f>IF(AND(AY181&lt;&gt;"AGUARDANDO",AY181&lt;&gt;"",N181="AUXÍLIO ALUGUEL ATÉ INDENIZAÇÃO"),"SIM","NÃO")</f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customHeight="1">
      <c r="A182" s="165">
        <v>173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5191</v>
      </c>
      <c r="G182" s="103" t="s">
        <v>4351</v>
      </c>
      <c r="H182" s="103" t="s">
        <v>4351</v>
      </c>
      <c r="I182" s="153" t="s">
        <v>4332</v>
      </c>
      <c r="J182" s="149" t="s">
        <v>5192</v>
      </c>
      <c r="K182" s="149" t="s">
        <v>5193</v>
      </c>
      <c r="L182" s="149" t="s">
        <v>5194</v>
      </c>
      <c r="M182" s="103" t="s">
        <v>4333</v>
      </c>
      <c r="N182" s="103" t="s">
        <v>4459</v>
      </c>
      <c r="O182" s="105">
        <v>46112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5"/>
      <c r="AB182" s="149" t="s">
        <v>5192</v>
      </c>
      <c r="AC182" s="149" t="s">
        <v>5193</v>
      </c>
      <c r="AD182" s="149" t="s">
        <v>5195</v>
      </c>
      <c r="AE182" s="153" t="s">
        <v>4332</v>
      </c>
      <c r="AF182" s="103" t="s">
        <v>4333</v>
      </c>
      <c r="AG182" s="194">
        <v>7834.78</v>
      </c>
      <c r="AH182" s="194">
        <v>7834.78</v>
      </c>
      <c r="AI182" s="103" t="s">
        <v>4447</v>
      </c>
      <c r="AJ182" s="104" t="s">
        <v>4438</v>
      </c>
      <c r="AK182" s="103">
        <v>153001719</v>
      </c>
      <c r="AL182" s="103" t="s">
        <v>4338</v>
      </c>
      <c r="AM182" s="103" t="s">
        <v>4338</v>
      </c>
      <c r="AN182" s="103" t="s">
        <v>4339</v>
      </c>
      <c r="AO182" s="112"/>
      <c r="AP182" s="275" t="s">
        <v>5196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46174</v>
      </c>
      <c r="AV182" s="103" t="s">
        <v>4338</v>
      </c>
      <c r="AW182" s="103" t="s">
        <v>4338</v>
      </c>
      <c r="AX182" s="105">
        <v>46182</v>
      </c>
      <c r="AY182" s="106">
        <v>46182</v>
      </c>
      <c r="AZ182" s="260" t="s">
        <v>4453</v>
      </c>
      <c r="BA182" s="245" t="s">
        <v>4454</v>
      </c>
      <c r="BB182" s="249" t="s">
        <v>4338</v>
      </c>
      <c r="BC182" s="220">
        <f>IF(AY182-KD182=0,"",AY182-O182)</f>
        <v>70</v>
      </c>
      <c r="BD182" s="103" t="str">
        <f>IF(AND(AI182&lt;&gt;"SIM",AI182="UH"),"AA","INDENIZAÇÃO")</f>
        <v>INDENIZAÇÃO</v>
      </c>
      <c r="BE182" s="103" t="str">
        <f>IF(AND(AY182&lt;&gt;"AGUARDANDO",AY182&lt;&gt;"",N182="AUXÍLIO ALUGUEL ATÉ INDENIZAÇÃO"),"SIM","NÃO")</f>
        <v>NÃO</v>
      </c>
      <c r="BF182" s="250" t="s">
        <v>4357</v>
      </c>
      <c r="BG182" s="250" t="s">
        <v>4357</v>
      </c>
      <c r="BH182" s="250" t="s">
        <v>4357</v>
      </c>
      <c r="BI182" s="103" t="s">
        <v>4338</v>
      </c>
      <c r="BJ182" s="103" t="s">
        <v>4338</v>
      </c>
      <c r="BK182" s="105">
        <v>46224</v>
      </c>
      <c r="BL182" s="272" t="s">
        <v>4461</v>
      </c>
      <c r="BM182" s="237"/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customHeight="1">
      <c r="A183" s="165">
        <v>174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5197</v>
      </c>
      <c r="G183" s="103" t="s">
        <v>4330</v>
      </c>
      <c r="H183" s="103" t="s">
        <v>4331</v>
      </c>
      <c r="I183" s="302" t="s">
        <v>4343</v>
      </c>
      <c r="J183" s="149" t="s">
        <v>5198</v>
      </c>
      <c r="K183" s="149" t="s">
        <v>5199</v>
      </c>
      <c r="L183" s="149" t="s">
        <v>5200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5198</v>
      </c>
      <c r="AC183" s="149" t="s">
        <v>5199</v>
      </c>
      <c r="AD183" s="149" t="s">
        <v>5200</v>
      </c>
      <c r="AE183" s="103" t="s">
        <v>4343</v>
      </c>
      <c r="AF183" s="103" t="s">
        <v>4333</v>
      </c>
      <c r="AG183" s="194">
        <v>100153.32</v>
      </c>
      <c r="AH183" s="194">
        <v>100153.32</v>
      </c>
      <c r="AI183" s="103" t="s">
        <v>4447</v>
      </c>
      <c r="AJ183" s="104" t="s">
        <v>4438</v>
      </c>
      <c r="AK183" s="103">
        <v>153001805</v>
      </c>
      <c r="AL183" s="142" t="s">
        <v>4338</v>
      </c>
      <c r="AM183" s="103" t="s">
        <v>4338</v>
      </c>
      <c r="AN183" s="103" t="s">
        <v>4339</v>
      </c>
      <c r="AO183" s="103"/>
      <c r="AP183" s="171" t="s">
        <v>5201</v>
      </c>
      <c r="AQ183" s="103" t="s">
        <v>4338</v>
      </c>
      <c r="AR183" s="103" t="s">
        <v>4338</v>
      </c>
      <c r="AS183" s="143" t="s">
        <v>4338</v>
      </c>
      <c r="AT183" s="103" t="s">
        <v>4338</v>
      </c>
      <c r="AU183" s="105">
        <v>46150</v>
      </c>
      <c r="AV183" s="103" t="s">
        <v>4338</v>
      </c>
      <c r="AW183" s="103" t="s">
        <v>4338</v>
      </c>
      <c r="AX183" s="105">
        <v>46160</v>
      </c>
      <c r="AY183" s="106">
        <v>46160</v>
      </c>
      <c r="AZ183" s="106" t="s">
        <v>4453</v>
      </c>
      <c r="BA183" s="107" t="s">
        <v>4454</v>
      </c>
      <c r="BB183" s="112" t="s">
        <v>4338</v>
      </c>
      <c r="BC183" s="220">
        <f>IF(AY183-KD183=0,"",AY183-O183)</f>
        <v>48</v>
      </c>
      <c r="BD183" s="103" t="str">
        <f>IF(AND(AI183&lt;&gt;"SIM",AI183="UH"),"AA","INDENIZAÇÃO")</f>
        <v>INDENIZAÇÃO</v>
      </c>
      <c r="BE183" s="103" t="str">
        <f>IF(AND(AY183&lt;&gt;"AGUARDANDO",AY183&lt;&gt;"",N183="AUXÍLIO ALUGUEL ATÉ INDENIZAÇÃO"),"SIM","NÃO")</f>
        <v>NÃO</v>
      </c>
      <c r="BF183" s="112" t="s">
        <v>4357</v>
      </c>
      <c r="BG183" s="112" t="s">
        <v>4357</v>
      </c>
      <c r="BH183" s="112" t="s">
        <v>4357</v>
      </c>
      <c r="BI183" s="112" t="s">
        <v>4338</v>
      </c>
      <c r="BJ183" s="112" t="s">
        <v>4338</v>
      </c>
      <c r="BK183" s="105">
        <v>46195</v>
      </c>
      <c r="BL183" s="112" t="s">
        <v>4338</v>
      </c>
      <c r="BM183" s="262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>
      <c r="A184" s="165">
        <v>175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5202</v>
      </c>
      <c r="G184" s="103" t="s">
        <v>4330</v>
      </c>
      <c r="H184" s="103" t="s">
        <v>4331</v>
      </c>
      <c r="I184" s="103" t="s">
        <v>4343</v>
      </c>
      <c r="J184" s="149" t="s">
        <v>5203</v>
      </c>
      <c r="K184" s="149" t="s">
        <v>5204</v>
      </c>
      <c r="L184" s="149" t="s">
        <v>5205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5203</v>
      </c>
      <c r="AC184" s="149" t="s">
        <v>5204</v>
      </c>
      <c r="AD184" s="149" t="s">
        <v>5205</v>
      </c>
      <c r="AE184" s="103" t="s">
        <v>4343</v>
      </c>
      <c r="AF184" s="103" t="s">
        <v>4333</v>
      </c>
      <c r="AG184" s="194">
        <v>91984.02</v>
      </c>
      <c r="AH184" s="194">
        <v>91984.02</v>
      </c>
      <c r="AI184" s="103" t="s">
        <v>4447</v>
      </c>
      <c r="AJ184" s="104" t="s">
        <v>4438</v>
      </c>
      <c r="AK184" s="103">
        <v>153001878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5206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>IF(AY184-KD184=0,"",AY184-O184)</f>
        <v>48</v>
      </c>
      <c r="BD184" s="103" t="str">
        <f>IF(AND(AI184&lt;&gt;"SIM",AI184="UH"),"AA","INDENIZAÇÃO")</f>
        <v>INDENIZAÇÃO</v>
      </c>
      <c r="BE184" s="103" t="str">
        <f>IF(AND(AY184&lt;&gt;"AGUARDANDO",AY184&lt;&gt;"",N184="AUXÍLIO ALUGUEL ATÉ INDENIZAÇÃO"),"SIM","NÃO")</f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</row>
    <row r="185" spans="1:107" s="232" customFormat="1" ht="29.25" customHeight="1">
      <c r="A185" s="103">
        <v>176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5207</v>
      </c>
      <c r="G185" s="103" t="s">
        <v>4330</v>
      </c>
      <c r="H185" s="103" t="s">
        <v>4331</v>
      </c>
      <c r="I185" s="103" t="s">
        <v>4343</v>
      </c>
      <c r="J185" s="149" t="s">
        <v>5208</v>
      </c>
      <c r="K185" s="149" t="s">
        <v>5209</v>
      </c>
      <c r="L185" s="149" t="s">
        <v>5210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5208</v>
      </c>
      <c r="AC185" s="149" t="s">
        <v>5209</v>
      </c>
      <c r="AD185" s="149" t="s">
        <v>5210</v>
      </c>
      <c r="AE185" s="103" t="s">
        <v>4343</v>
      </c>
      <c r="AF185" s="103" t="s">
        <v>4333</v>
      </c>
      <c r="AG185" s="194">
        <v>177755.43</v>
      </c>
      <c r="AH185" s="194">
        <v>177755.43</v>
      </c>
      <c r="AI185" s="103" t="s">
        <v>4447</v>
      </c>
      <c r="AJ185" s="104" t="s">
        <v>4438</v>
      </c>
      <c r="AK185" s="103">
        <v>153001950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5211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46153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>IF(AY185-KD185=0,"",AY185-O185)</f>
        <v>48</v>
      </c>
      <c r="BD185" s="103" t="str">
        <f>IF(AND(AI185&lt;&gt;"SIM",AI185="UH"),"AA","INDENIZAÇÃO")</f>
        <v>INDENIZAÇÃO</v>
      </c>
      <c r="BE185" s="103" t="str">
        <f>IF(AND(AY185&lt;&gt;"AGUARDANDO",AY185&lt;&gt;"",N185="AUXÍLIO ALUGUEL ATÉ INDENIZAÇÃO"),"SIM","NÃO")</f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customHeight="1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5212</v>
      </c>
      <c r="G186" s="103" t="s">
        <v>4330</v>
      </c>
      <c r="H186" s="103" t="s">
        <v>4331</v>
      </c>
      <c r="I186" s="103" t="s">
        <v>4343</v>
      </c>
      <c r="J186" s="149" t="s">
        <v>5213</v>
      </c>
      <c r="K186" s="149" t="s">
        <v>5214</v>
      </c>
      <c r="L186" s="149" t="s">
        <v>5215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5213</v>
      </c>
      <c r="AC186" s="149" t="s">
        <v>5214</v>
      </c>
      <c r="AD186" s="149" t="s">
        <v>5215</v>
      </c>
      <c r="AE186" s="103" t="s">
        <v>5216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5217</v>
      </c>
      <c r="G187" s="103" t="s">
        <v>4330</v>
      </c>
      <c r="H187" s="103" t="s">
        <v>4331</v>
      </c>
      <c r="I187" s="103" t="s">
        <v>4343</v>
      </c>
      <c r="J187" s="149" t="s">
        <v>5218</v>
      </c>
      <c r="K187" s="149" t="s">
        <v>4457</v>
      </c>
      <c r="L187" s="149" t="s">
        <v>5219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5218</v>
      </c>
      <c r="AC187" s="149" t="s">
        <v>4457</v>
      </c>
      <c r="AD187" s="149" t="s">
        <v>5219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5220</v>
      </c>
      <c r="AQ187" s="165" t="s">
        <v>4822</v>
      </c>
      <c r="AR187" s="103" t="s">
        <v>4822</v>
      </c>
      <c r="AS187" s="103" t="s">
        <v>4822</v>
      </c>
      <c r="AT187" s="103" t="s">
        <v>4822</v>
      </c>
      <c r="AU187" s="105">
        <v>46233</v>
      </c>
      <c r="AV187" s="103" t="s">
        <v>4822</v>
      </c>
      <c r="AW187" s="103" t="s">
        <v>4822</v>
      </c>
      <c r="AX187" s="105">
        <v>46237</v>
      </c>
      <c r="AY187" s="106" t="s">
        <v>4453</v>
      </c>
      <c r="AZ187" s="157"/>
      <c r="BA187" s="107" t="s">
        <v>4330</v>
      </c>
      <c r="BB187" s="112"/>
      <c r="BC187" s="220" t="e">
        <f>IF(AY187-KD187=0,"",AY187-O187)</f>
        <v>#VALUE!</v>
      </c>
      <c r="BD187" s="103" t="str">
        <f>IF(AND(AI187&lt;&gt;"SIM",AI187="UH"),"AA","INDENIZAÇÃO")</f>
        <v>INDENIZAÇÃO</v>
      </c>
      <c r="BE187" s="103" t="str">
        <f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customHeight="1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5221</v>
      </c>
      <c r="G188" s="103" t="s">
        <v>4330</v>
      </c>
      <c r="H188" s="103" t="s">
        <v>4331</v>
      </c>
      <c r="I188" s="103" t="s">
        <v>4343</v>
      </c>
      <c r="J188" s="149" t="s">
        <v>5222</v>
      </c>
      <c r="K188" s="149" t="s">
        <v>5223</v>
      </c>
      <c r="L188" s="149" t="s">
        <v>5224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5222</v>
      </c>
      <c r="AC188" s="149" t="s">
        <v>5223</v>
      </c>
      <c r="AD188" s="149" t="s">
        <v>5224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>IF(AY188-KD188=0,"",AY188-O188)</f>
        <v/>
      </c>
      <c r="BD188" s="103" t="str">
        <f>IF(AND(AI188&lt;&gt;"SIM",AI188="UH"),"AA","INDENIZAÇÃO")</f>
        <v>AA</v>
      </c>
      <c r="BE188" s="103" t="str">
        <f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customHeight="1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5225</v>
      </c>
      <c r="G189" s="103" t="s">
        <v>4330</v>
      </c>
      <c r="H189" s="103" t="s">
        <v>4331</v>
      </c>
      <c r="I189" s="103" t="s">
        <v>4343</v>
      </c>
      <c r="J189" s="149" t="s">
        <v>5226</v>
      </c>
      <c r="K189" s="149" t="s">
        <v>5227</v>
      </c>
      <c r="L189" s="149" t="s">
        <v>5228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5226</v>
      </c>
      <c r="AC189" s="149" t="s">
        <v>5227</v>
      </c>
      <c r="AD189" s="149" t="s">
        <v>5228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>IF(AY189-KD189=0,"",AY189-O189)</f>
        <v/>
      </c>
      <c r="BD189" s="103" t="str">
        <f>IF(AND(AI189&lt;&gt;"SIM",AI189="UH"),"AA","INDENIZAÇÃO")</f>
        <v>AA</v>
      </c>
      <c r="BE189" s="103" t="str">
        <f>IF(AND(AY189&lt;&gt;"AGUARDANDO",AY189&lt;&gt;"",N189="AUXÍLIO ALUGUEL ATÉ INDENIZAÇÃO"),"SIM","NÃO")</f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customHeight="1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5229</v>
      </c>
      <c r="G190" s="103" t="s">
        <v>4330</v>
      </c>
      <c r="H190" s="103" t="s">
        <v>4331</v>
      </c>
      <c r="I190" s="103" t="s">
        <v>4343</v>
      </c>
      <c r="J190" s="149" t="s">
        <v>5230</v>
      </c>
      <c r="K190" s="149" t="s">
        <v>5231</v>
      </c>
      <c r="L190" s="149" t="s">
        <v>5232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5230</v>
      </c>
      <c r="AC190" s="149" t="s">
        <v>5231</v>
      </c>
      <c r="AD190" s="149" t="s">
        <v>5232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>IF(AY190-KD190=0,"",AY190-O190)</f>
        <v/>
      </c>
      <c r="BD190" s="103" t="str">
        <f>IF(AND(AI190&lt;&gt;"SIM",AI190="UH"),"AA","INDENIZAÇÃO")</f>
        <v>AA</v>
      </c>
      <c r="BE190" s="103" t="str">
        <f>IF(AND(AY190&lt;&gt;"AGUARDANDO",AY190&lt;&gt;"",N190="AUXÍLIO ALUGUEL ATÉ INDENIZAÇÃO"),"SIM","NÃO")</f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>
      <c r="A191" s="103">
        <v>182</v>
      </c>
      <c r="B191" s="103" t="s">
        <v>4431</v>
      </c>
      <c r="C191" s="103" t="s">
        <v>4359</v>
      </c>
      <c r="D191" s="103">
        <v>1</v>
      </c>
      <c r="E191" s="103" t="s">
        <v>4432</v>
      </c>
      <c r="F191" s="104" t="s">
        <v>5233</v>
      </c>
      <c r="G191" s="103" t="s">
        <v>4330</v>
      </c>
      <c r="H191" s="103" t="s">
        <v>4331</v>
      </c>
      <c r="I191" s="142" t="s">
        <v>4343</v>
      </c>
      <c r="J191" s="149" t="s">
        <v>5234</v>
      </c>
      <c r="K191" s="149" t="s">
        <v>5235</v>
      </c>
      <c r="L191" s="149" t="s">
        <v>5236</v>
      </c>
      <c r="M191" s="103" t="s">
        <v>4333</v>
      </c>
      <c r="N191" s="103" t="s">
        <v>4459</v>
      </c>
      <c r="O191" s="105">
        <v>45979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5234</v>
      </c>
      <c r="AC191" s="104" t="s">
        <v>5235</v>
      </c>
      <c r="AD191" s="104" t="s">
        <v>5236</v>
      </c>
      <c r="AE191" s="212" t="s">
        <v>4343</v>
      </c>
      <c r="AF191" s="212" t="s">
        <v>4333</v>
      </c>
      <c r="AG191" s="194">
        <v>33245.97</v>
      </c>
      <c r="AH191" s="194">
        <v>60000</v>
      </c>
      <c r="AI191" s="103" t="s">
        <v>4336</v>
      </c>
      <c r="AJ191" s="104" t="s">
        <v>4438</v>
      </c>
      <c r="AK191" s="103">
        <v>146039820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5237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46014</v>
      </c>
      <c r="AV191" s="112" t="s">
        <v>4338</v>
      </c>
      <c r="AW191" s="103" t="s">
        <v>4338</v>
      </c>
      <c r="AX191" s="105">
        <v>46021</v>
      </c>
      <c r="AY191" s="106">
        <v>46021</v>
      </c>
      <c r="AZ191" s="111">
        <v>46017</v>
      </c>
      <c r="BA191" s="103" t="s">
        <v>4360</v>
      </c>
      <c r="BB191" s="136" t="s">
        <v>4338</v>
      </c>
      <c r="BC191" s="220">
        <f>IF(AY191-KD191=0,"",AY191-O191)</f>
        <v>42</v>
      </c>
      <c r="BD191" s="103" t="str">
        <f>IF(AND(AI191&lt;&gt;"SIM",AI191="UH"),"AA","INDENIZAÇÃO")</f>
        <v>INDENIZAÇÃO</v>
      </c>
      <c r="BE191" s="103" t="str">
        <f>IF(AND(AY191&lt;&gt;"AGUARDANDO",AY191&lt;&gt;"",N191="AUXÍLIO ALUGUEL ATÉ INDENIZAÇÃO"),"SIM","NÃO")</f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>
      <c r="A192" s="103">
        <v>183</v>
      </c>
      <c r="B192" s="103" t="s">
        <v>4431</v>
      </c>
      <c r="C192" s="103" t="s">
        <v>4448</v>
      </c>
      <c r="D192" s="103">
        <v>1</v>
      </c>
      <c r="E192" s="103" t="s">
        <v>4432</v>
      </c>
      <c r="F192" s="104" t="s">
        <v>5233</v>
      </c>
      <c r="G192" s="103" t="s">
        <v>4330</v>
      </c>
      <c r="H192" s="103" t="s">
        <v>4331</v>
      </c>
      <c r="I192" s="142" t="s">
        <v>4343</v>
      </c>
      <c r="J192" s="149" t="s">
        <v>5238</v>
      </c>
      <c r="K192" s="149" t="s">
        <v>4432</v>
      </c>
      <c r="L192" s="149" t="s">
        <v>5239</v>
      </c>
      <c r="M192" s="103" t="s">
        <v>4333</v>
      </c>
      <c r="N192" s="103" t="s">
        <v>4459</v>
      </c>
      <c r="O192" s="105">
        <v>46038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5238</v>
      </c>
      <c r="AC192" s="104" t="s">
        <v>4432</v>
      </c>
      <c r="AD192" s="104" t="s">
        <v>5239</v>
      </c>
      <c r="AE192" s="103" t="s">
        <v>4343</v>
      </c>
      <c r="AF192" s="103" t="s">
        <v>4333</v>
      </c>
      <c r="AG192" s="194">
        <v>35493.25</v>
      </c>
      <c r="AH192" s="194">
        <v>60000</v>
      </c>
      <c r="AI192" s="103" t="s">
        <v>4336</v>
      </c>
      <c r="AJ192" s="104" t="s">
        <v>4438</v>
      </c>
      <c r="AK192" s="103">
        <v>148262364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5240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46111</v>
      </c>
      <c r="AV192" s="103" t="s">
        <v>4338</v>
      </c>
      <c r="AW192" s="103" t="s">
        <v>4338</v>
      </c>
      <c r="AX192" s="105">
        <v>46114</v>
      </c>
      <c r="AY192" s="106">
        <v>46114</v>
      </c>
      <c r="AZ192" s="106" t="s">
        <v>4453</v>
      </c>
      <c r="BA192" s="107" t="s">
        <v>4454</v>
      </c>
      <c r="BB192" s="136" t="s">
        <v>4338</v>
      </c>
      <c r="BC192" s="220">
        <f>IF(AY192-KD192=0,"",AY192-O192)</f>
        <v>76</v>
      </c>
      <c r="BD192" s="103" t="str">
        <f>IF(AND(AI192&lt;&gt;"SIM",AI192="UH"),"AA","INDENIZAÇÃO")</f>
        <v>INDENIZAÇÃO</v>
      </c>
      <c r="BE192" s="103" t="str">
        <f>IF(AND(AY192&lt;&gt;"AGUARDANDO",AY192&lt;&gt;"",N192="AUXÍLIO ALUGUEL ATÉ INDENIZAÇÃO"),"SIM","NÃO")</f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</row>
    <row r="193" spans="1:68" s="232" customFormat="1" ht="29.25" customHeight="1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5241</v>
      </c>
      <c r="G193" s="103" t="s">
        <v>4330</v>
      </c>
      <c r="H193" s="103" t="s">
        <v>4331</v>
      </c>
      <c r="I193" s="142" t="s">
        <v>4440</v>
      </c>
      <c r="J193" s="114" t="s">
        <v>5242</v>
      </c>
      <c r="K193" s="149" t="s">
        <v>4432</v>
      </c>
      <c r="L193" s="149" t="s">
        <v>5243</v>
      </c>
      <c r="M193" s="103" t="s">
        <v>4333</v>
      </c>
      <c r="N193" s="103" t="s">
        <v>4345</v>
      </c>
      <c r="O193" s="105">
        <v>45979</v>
      </c>
      <c r="P193" s="105">
        <v>45986</v>
      </c>
      <c r="Q193" s="108" t="s">
        <v>4436</v>
      </c>
      <c r="R193" s="108">
        <v>45985</v>
      </c>
      <c r="S193" s="108">
        <v>45986</v>
      </c>
      <c r="T193" s="108">
        <v>45987</v>
      </c>
      <c r="U193" s="108">
        <v>45992</v>
      </c>
      <c r="V193" s="105" t="s">
        <v>4437</v>
      </c>
      <c r="W193" s="105" t="s">
        <v>4437</v>
      </c>
      <c r="X193" s="105">
        <v>45999</v>
      </c>
      <c r="Y193" s="105">
        <v>46000</v>
      </c>
      <c r="Z193" s="105">
        <v>46017</v>
      </c>
      <c r="AA193" s="103"/>
      <c r="AB193" s="114" t="s">
        <v>5244</v>
      </c>
      <c r="AC193" s="104" t="s">
        <v>5245</v>
      </c>
      <c r="AD193" s="104" t="s">
        <v>5246</v>
      </c>
      <c r="AE193" s="172" t="s">
        <v>4332</v>
      </c>
      <c r="AF193" s="165" t="s">
        <v>4333</v>
      </c>
      <c r="AG193" s="208">
        <v>18871.310000000001</v>
      </c>
      <c r="AH193" s="208">
        <v>18871.310000000001</v>
      </c>
      <c r="AI193" s="165" t="s">
        <v>4336</v>
      </c>
      <c r="AJ193" s="104" t="s">
        <v>4438</v>
      </c>
      <c r="AK193" s="103">
        <v>146040097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5247</v>
      </c>
      <c r="AQ193" s="103" t="s">
        <v>4338</v>
      </c>
      <c r="AR193" s="103" t="s">
        <v>4338</v>
      </c>
      <c r="AS193" s="103" t="s">
        <v>4338</v>
      </c>
      <c r="AT193" s="165" t="s">
        <v>4338</v>
      </c>
      <c r="AU193" s="108">
        <v>46017</v>
      </c>
      <c r="AV193" s="112" t="s">
        <v>4338</v>
      </c>
      <c r="AW193" s="103" t="s">
        <v>4338</v>
      </c>
      <c r="AX193" s="108">
        <v>46024</v>
      </c>
      <c r="AY193" s="106">
        <v>46024</v>
      </c>
      <c r="AZ193" s="211">
        <v>46017</v>
      </c>
      <c r="BA193" s="165" t="s">
        <v>4770</v>
      </c>
      <c r="BB193" s="136" t="s">
        <v>4338</v>
      </c>
      <c r="BC193" s="220">
        <f>IF(AY193-KD193=0,"",AY193-O193)</f>
        <v>45</v>
      </c>
      <c r="BD193" s="103" t="str">
        <f>IF(AND(AI193&lt;&gt;"SIM",AI193="UH"),"AA","INDENIZAÇÃO")</f>
        <v>INDENIZAÇÃO</v>
      </c>
      <c r="BE193" s="103" t="str">
        <f>IF(AND(AY193&lt;&gt;"AGUARDANDO",AY193&lt;&gt;"",N193="AUXÍLIO ALUGUEL ATÉ INDENIZAÇÃO"),"SIM","NÃO")</f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8" s="232" customFormat="1" ht="29.25" customHeight="1">
      <c r="A194" s="165">
        <v>185</v>
      </c>
      <c r="B194" s="103" t="s">
        <v>4431</v>
      </c>
      <c r="C194" s="103" t="s">
        <v>4448</v>
      </c>
      <c r="D194" s="103">
        <v>1</v>
      </c>
      <c r="E194" s="103" t="s">
        <v>4432</v>
      </c>
      <c r="F194" s="104" t="s">
        <v>5241</v>
      </c>
      <c r="G194" s="103" t="s">
        <v>4330</v>
      </c>
      <c r="H194" s="103" t="s">
        <v>4331</v>
      </c>
      <c r="I194" s="142" t="s">
        <v>4343</v>
      </c>
      <c r="J194" s="149" t="s">
        <v>5248</v>
      </c>
      <c r="K194" s="149" t="s">
        <v>5249</v>
      </c>
      <c r="L194" s="149" t="s">
        <v>5250</v>
      </c>
      <c r="M194" s="103" t="s">
        <v>4333</v>
      </c>
      <c r="N194" s="103" t="s">
        <v>4459</v>
      </c>
      <c r="O194" s="105">
        <v>46059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3"/>
      <c r="AB194" s="149" t="s">
        <v>5248</v>
      </c>
      <c r="AC194" s="104" t="s">
        <v>5249</v>
      </c>
      <c r="AD194" s="104" t="s">
        <v>5250</v>
      </c>
      <c r="AE194" s="103" t="s">
        <v>4343</v>
      </c>
      <c r="AF194" s="103" t="s">
        <v>4333</v>
      </c>
      <c r="AG194" s="194">
        <v>24163.62</v>
      </c>
      <c r="AH194" s="194">
        <f>AG194+30000</f>
        <v>54163.619999999995</v>
      </c>
      <c r="AI194" s="103" t="s">
        <v>4336</v>
      </c>
      <c r="AJ194" s="104" t="s">
        <v>4438</v>
      </c>
      <c r="AK194" s="103">
        <v>148262838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5251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46118</v>
      </c>
      <c r="AV194" s="103" t="s">
        <v>4338</v>
      </c>
      <c r="AW194" s="103" t="s">
        <v>4338</v>
      </c>
      <c r="AX194" s="105">
        <v>46122</v>
      </c>
      <c r="AY194" s="106">
        <v>46122</v>
      </c>
      <c r="AZ194" s="106" t="s">
        <v>4453</v>
      </c>
      <c r="BA194" s="107" t="s">
        <v>4454</v>
      </c>
      <c r="BB194" s="136" t="s">
        <v>4338</v>
      </c>
      <c r="BC194" s="220">
        <f>IF(AY194-KD194=0,"",AY194-O194)</f>
        <v>63</v>
      </c>
      <c r="BD194" s="103" t="str">
        <f>IF(AND(AI194&lt;&gt;"SIM",AI194="UH"),"AA","INDENIZAÇÃO")</f>
        <v>INDENIZAÇÃO</v>
      </c>
      <c r="BE194" s="103" t="str">
        <f>IF(AND(AY194&lt;&gt;"AGUARDANDO",AY194&lt;&gt;"",N194="AUXÍLIO ALUGUEL ATÉ INDENIZAÇÃO"),"SIM","NÃO")</f>
        <v>NÃO</v>
      </c>
      <c r="BF194" s="112" t="s">
        <v>4357</v>
      </c>
      <c r="BG194" s="112" t="s">
        <v>4357</v>
      </c>
      <c r="BH194" s="112" t="s">
        <v>4357</v>
      </c>
      <c r="BI194" s="112" t="s">
        <v>4338</v>
      </c>
      <c r="BJ194" s="112" t="s">
        <v>4338</v>
      </c>
      <c r="BK194" s="105">
        <v>46195</v>
      </c>
      <c r="BL194" s="112" t="s">
        <v>4338</v>
      </c>
      <c r="BM194" s="262" t="s">
        <v>4453</v>
      </c>
      <c r="BN194" s="231"/>
      <c r="BO194" s="231"/>
    </row>
    <row r="195" spans="1:68" s="232" customFormat="1" ht="29.25" customHeight="1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5252</v>
      </c>
      <c r="G195" s="103" t="s">
        <v>4330</v>
      </c>
      <c r="H195" s="103" t="s">
        <v>4331</v>
      </c>
      <c r="I195" s="142" t="s">
        <v>4343</v>
      </c>
      <c r="J195" s="149" t="s">
        <v>5253</v>
      </c>
      <c r="K195" s="149" t="s">
        <v>5254</v>
      </c>
      <c r="L195" s="149" t="s">
        <v>5255</v>
      </c>
      <c r="M195" s="103" t="s">
        <v>4333</v>
      </c>
      <c r="N195" s="103" t="s">
        <v>4459</v>
      </c>
      <c r="O195" s="105">
        <v>45979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5253</v>
      </c>
      <c r="AC195" s="104" t="s">
        <v>5254</v>
      </c>
      <c r="AD195" s="104" t="s">
        <v>5255</v>
      </c>
      <c r="AE195" s="212" t="s">
        <v>4343</v>
      </c>
      <c r="AF195" s="212" t="s">
        <v>4333</v>
      </c>
      <c r="AG195" s="194">
        <v>10921.94</v>
      </c>
      <c r="AH195" s="194">
        <f>AG195+30000</f>
        <v>40921.94</v>
      </c>
      <c r="AI195" s="103" t="s">
        <v>4336</v>
      </c>
      <c r="AJ195" s="104" t="s">
        <v>4438</v>
      </c>
      <c r="AK195" s="103">
        <v>146040612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5256</v>
      </c>
      <c r="AQ195" s="103" t="s">
        <v>4338</v>
      </c>
      <c r="AR195" s="103" t="s">
        <v>4338</v>
      </c>
      <c r="AS195" s="103" t="s">
        <v>4338</v>
      </c>
      <c r="AT195" s="103" t="s">
        <v>4338</v>
      </c>
      <c r="AU195" s="105">
        <v>46008</v>
      </c>
      <c r="AV195" s="112" t="s">
        <v>4338</v>
      </c>
      <c r="AW195" s="103" t="s">
        <v>4338</v>
      </c>
      <c r="AX195" s="105">
        <v>46014</v>
      </c>
      <c r="AY195" s="106">
        <v>46014</v>
      </c>
      <c r="AZ195" s="211">
        <v>46017</v>
      </c>
      <c r="BA195" s="103" t="s">
        <v>4360</v>
      </c>
      <c r="BB195" s="136" t="s">
        <v>4338</v>
      </c>
      <c r="BC195" s="220">
        <f>IF(AY195-KD195=0,"",AY195-O195)</f>
        <v>35</v>
      </c>
      <c r="BD195" s="103" t="str">
        <f>IF(AND(AI195&lt;&gt;"SIM",AI195="UH"),"AA","INDENIZAÇÃO")</f>
        <v>INDENIZAÇÃO</v>
      </c>
      <c r="BE195" s="103" t="str">
        <f>IF(AND(AY195&lt;&gt;"AGUARDANDO",AY195&lt;&gt;"",N195="AUXÍLIO ALUGUEL ATÉ INDENIZAÇÃO"),"SIM","NÃO")</f>
        <v>NÃO</v>
      </c>
      <c r="BF195" s="140" t="s">
        <v>4357</v>
      </c>
      <c r="BG195" s="140" t="s">
        <v>4357</v>
      </c>
      <c r="BH195" s="140" t="s">
        <v>4357</v>
      </c>
      <c r="BI195" s="103" t="s">
        <v>4338</v>
      </c>
      <c r="BJ195" s="103" t="s">
        <v>4338</v>
      </c>
      <c r="BK195" s="105">
        <v>46182</v>
      </c>
      <c r="BL195" s="103" t="s">
        <v>4338</v>
      </c>
      <c r="BM195" s="258" t="s">
        <v>4453</v>
      </c>
    </row>
    <row r="196" spans="1:68" s="232" customFormat="1" ht="29.25" customHeight="1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5252</v>
      </c>
      <c r="G196" s="103" t="s">
        <v>4330</v>
      </c>
      <c r="H196" s="103" t="s">
        <v>4331</v>
      </c>
      <c r="I196" s="142" t="s">
        <v>4343</v>
      </c>
      <c r="J196" s="149" t="s">
        <v>5257</v>
      </c>
      <c r="K196" s="149" t="s">
        <v>4432</v>
      </c>
      <c r="L196" s="149" t="s">
        <v>5258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5257</v>
      </c>
      <c r="AC196" s="104" t="s">
        <v>4432</v>
      </c>
      <c r="AD196" s="144" t="s">
        <v>5258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5259</v>
      </c>
      <c r="AQ196" s="143" t="s">
        <v>4338</v>
      </c>
      <c r="AR196" s="103" t="s">
        <v>4338</v>
      </c>
      <c r="AS196" s="103" t="s">
        <v>4822</v>
      </c>
      <c r="AT196" s="103" t="s">
        <v>4822</v>
      </c>
      <c r="AU196" s="105">
        <v>46233</v>
      </c>
      <c r="AV196" s="103" t="s">
        <v>4822</v>
      </c>
      <c r="AW196" s="103" t="s">
        <v>4822</v>
      </c>
      <c r="AX196" s="105">
        <v>46237</v>
      </c>
      <c r="AY196" s="106" t="s">
        <v>4453</v>
      </c>
      <c r="AZ196" s="106"/>
      <c r="BA196" s="107" t="s">
        <v>4330</v>
      </c>
      <c r="BB196" s="136"/>
      <c r="BC196" s="220" t="e">
        <f>IF(AY196-KD196=0,"",AY196-O196)</f>
        <v>#VALUE!</v>
      </c>
      <c r="BD196" s="103" t="str">
        <f>IF(AND(AI196&lt;&gt;"SIM",AI196="UH"),"AA","INDENIZAÇÃO")</f>
        <v>INDENIZAÇÃO</v>
      </c>
      <c r="BE196" s="103" t="str">
        <f>IF(AND(AY196&lt;&gt;"AGUARDANDO",AY196&lt;&gt;"",N196="AUXÍLIO ALUGUEL ATÉ INDENIZAÇÃO"),"SIM","NÃO")</f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customHeight="1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5260</v>
      </c>
      <c r="G197" s="103" t="s">
        <v>4330</v>
      </c>
      <c r="H197" s="103" t="s">
        <v>4331</v>
      </c>
      <c r="I197" s="142" t="s">
        <v>4343</v>
      </c>
      <c r="J197" s="149" t="s">
        <v>5261</v>
      </c>
      <c r="K197" s="149" t="s">
        <v>5262</v>
      </c>
      <c r="L197" s="149" t="s">
        <v>5263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5261</v>
      </c>
      <c r="AC197" s="149" t="s">
        <v>5262</v>
      </c>
      <c r="AD197" s="149" t="s">
        <v>5263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>IF(AY197-KD197=0,"",AY197-O197)</f>
        <v/>
      </c>
      <c r="BD197" s="103" t="str">
        <f>IF(AND(AI197&lt;&gt;"SIM",AI197="UH"),"AA","INDENIZAÇÃO")</f>
        <v>AA</v>
      </c>
      <c r="BE197" s="103" t="str">
        <f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customHeight="1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5264</v>
      </c>
      <c r="G198" s="103" t="s">
        <v>4330</v>
      </c>
      <c r="H198" s="103" t="s">
        <v>4331</v>
      </c>
      <c r="I198" s="142" t="s">
        <v>4343</v>
      </c>
      <c r="J198" s="149" t="s">
        <v>5265</v>
      </c>
      <c r="K198" s="149" t="s">
        <v>5266</v>
      </c>
      <c r="L198" s="149" t="s">
        <v>5267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5265</v>
      </c>
      <c r="AC198" s="149" t="s">
        <v>5266</v>
      </c>
      <c r="AD198" s="149" t="s">
        <v>5267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>IF(AY198-KD198=0,"",AY198-O198)</f>
        <v/>
      </c>
      <c r="BD198" s="103" t="str">
        <f>IF(AND(AI198&lt;&gt;"SIM",AI198="UH"),"AA","INDENIZAÇÃO")</f>
        <v>AA</v>
      </c>
      <c r="BE198" s="103" t="str">
        <f>IF(AND(AY198&lt;&gt;"AGUARDANDO",AY198&lt;&gt;"",N198="AUXÍLIO ALUGUEL ATÉ INDENIZAÇÃO"),"SIM","NÃO")</f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customHeight="1">
      <c r="A199" s="103">
        <v>190</v>
      </c>
      <c r="B199" s="103" t="s">
        <v>4431</v>
      </c>
      <c r="C199" s="103" t="s">
        <v>4448</v>
      </c>
      <c r="D199" s="103">
        <v>1</v>
      </c>
      <c r="E199" s="103" t="s">
        <v>4432</v>
      </c>
      <c r="F199" s="104" t="s">
        <v>5264</v>
      </c>
      <c r="G199" s="103" t="s">
        <v>4330</v>
      </c>
      <c r="H199" s="103" t="s">
        <v>4331</v>
      </c>
      <c r="I199" s="142" t="s">
        <v>4343</v>
      </c>
      <c r="J199" s="149" t="s">
        <v>5268</v>
      </c>
      <c r="K199" s="149" t="s">
        <v>5269</v>
      </c>
      <c r="L199" s="149" t="s">
        <v>5270</v>
      </c>
      <c r="M199" s="103" t="s">
        <v>4333</v>
      </c>
      <c r="N199" s="103" t="s">
        <v>4459</v>
      </c>
      <c r="O199" s="105">
        <v>46059</v>
      </c>
      <c r="P199" s="105" t="s">
        <v>4356</v>
      </c>
      <c r="Q199" s="105" t="s">
        <v>4356</v>
      </c>
      <c r="R199" s="105" t="s">
        <v>4356</v>
      </c>
      <c r="S199" s="105" t="s">
        <v>4356</v>
      </c>
      <c r="T199" s="105" t="s">
        <v>4356</v>
      </c>
      <c r="U199" s="105" t="s">
        <v>4356</v>
      </c>
      <c r="V199" s="105" t="s">
        <v>4356</v>
      </c>
      <c r="W199" s="105" t="s">
        <v>4356</v>
      </c>
      <c r="X199" s="105" t="s">
        <v>4356</v>
      </c>
      <c r="Y199" s="105" t="s">
        <v>4356</v>
      </c>
      <c r="Z199" s="105"/>
      <c r="AA199" s="103"/>
      <c r="AB199" s="149" t="s">
        <v>5268</v>
      </c>
      <c r="AC199" s="104" t="s">
        <v>5269</v>
      </c>
      <c r="AD199" s="104" t="s">
        <v>5270</v>
      </c>
      <c r="AE199" s="103" t="s">
        <v>4343</v>
      </c>
      <c r="AF199" s="103" t="s">
        <v>4333</v>
      </c>
      <c r="AG199" s="194">
        <v>25280.43</v>
      </c>
      <c r="AH199" s="194">
        <f>AG199+30000</f>
        <v>55280.43</v>
      </c>
      <c r="AI199" s="103" t="s">
        <v>4336</v>
      </c>
      <c r="AJ199" s="104" t="s">
        <v>4438</v>
      </c>
      <c r="AK199" s="103">
        <v>149646443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5271</v>
      </c>
      <c r="AQ199" s="103" t="s">
        <v>4338</v>
      </c>
      <c r="AR199" s="103" t="s">
        <v>4338</v>
      </c>
      <c r="AS199" s="143" t="s">
        <v>4338</v>
      </c>
      <c r="AT199" s="103" t="s">
        <v>4338</v>
      </c>
      <c r="AU199" s="105">
        <v>46118</v>
      </c>
      <c r="AV199" s="103" t="s">
        <v>4338</v>
      </c>
      <c r="AW199" s="103" t="s">
        <v>4338</v>
      </c>
      <c r="AX199" s="105">
        <v>46122</v>
      </c>
      <c r="AY199" s="106">
        <v>46122</v>
      </c>
      <c r="AZ199" s="214" t="s">
        <v>4453</v>
      </c>
      <c r="BA199" s="107" t="s">
        <v>4454</v>
      </c>
      <c r="BB199" s="136" t="s">
        <v>4338</v>
      </c>
      <c r="BC199" s="220">
        <f>IF(AY199-KD199=0,"",AY199-O199)</f>
        <v>63</v>
      </c>
      <c r="BD199" s="103" t="str">
        <f>IF(AND(AI199&lt;&gt;"SIM",AI199="UH"),"AA","INDENIZAÇÃO")</f>
        <v>INDENIZAÇÃO</v>
      </c>
      <c r="BE199" s="103" t="str">
        <f>IF(AND(AY199&lt;&gt;"AGUARDANDO",AY199&lt;&gt;"",N199="AUXÍLIO ALUGUEL ATÉ INDENIZAÇÃO"),"SIM","NÃO")</f>
        <v>NÃO</v>
      </c>
      <c r="BF199" s="112" t="s">
        <v>4357</v>
      </c>
      <c r="BG199" s="112" t="s">
        <v>4357</v>
      </c>
      <c r="BH199" s="112" t="s">
        <v>4357</v>
      </c>
      <c r="BI199" s="112" t="s">
        <v>4338</v>
      </c>
      <c r="BJ199" s="112" t="s">
        <v>4338</v>
      </c>
      <c r="BK199" s="105">
        <v>46195</v>
      </c>
      <c r="BL199" s="112" t="s">
        <v>4338</v>
      </c>
      <c r="BM199" s="262" t="s">
        <v>4453</v>
      </c>
      <c r="BN199" s="231"/>
      <c r="BO199" s="231"/>
    </row>
    <row r="200" spans="1:68" s="232" customFormat="1" ht="29.25" customHeight="1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5272</v>
      </c>
      <c r="G200" s="103" t="s">
        <v>4330</v>
      </c>
      <c r="H200" s="103" t="s">
        <v>4331</v>
      </c>
      <c r="I200" s="142" t="s">
        <v>4343</v>
      </c>
      <c r="J200" s="149" t="s">
        <v>5273</v>
      </c>
      <c r="K200" s="149" t="s">
        <v>5274</v>
      </c>
      <c r="L200" s="149" t="s">
        <v>5275</v>
      </c>
      <c r="M200" s="103" t="s">
        <v>4333</v>
      </c>
      <c r="N200" s="103" t="s">
        <v>4459</v>
      </c>
      <c r="O200" s="105">
        <v>45979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5273</v>
      </c>
      <c r="AC200" s="104" t="s">
        <v>5274</v>
      </c>
      <c r="AD200" s="104" t="s">
        <v>5275</v>
      </c>
      <c r="AE200" s="210" t="s">
        <v>4343</v>
      </c>
      <c r="AF200" s="210" t="s">
        <v>4333</v>
      </c>
      <c r="AG200" s="208">
        <v>35733.199999999997</v>
      </c>
      <c r="AH200" s="208">
        <v>60000</v>
      </c>
      <c r="AI200" s="165" t="s">
        <v>4336</v>
      </c>
      <c r="AJ200" s="104" t="s">
        <v>4438</v>
      </c>
      <c r="AK200" s="103">
        <v>146040737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5276</v>
      </c>
      <c r="AQ200" s="103" t="s">
        <v>4338</v>
      </c>
      <c r="AR200" s="103" t="s">
        <v>4338</v>
      </c>
      <c r="AS200" s="103" t="s">
        <v>4338</v>
      </c>
      <c r="AT200" s="103" t="s">
        <v>4338</v>
      </c>
      <c r="AU200" s="105">
        <v>46014</v>
      </c>
      <c r="AV200" s="112" t="s">
        <v>4338</v>
      </c>
      <c r="AW200" s="103" t="s">
        <v>4338</v>
      </c>
      <c r="AX200" s="105">
        <v>46021</v>
      </c>
      <c r="AY200" s="106">
        <v>46021</v>
      </c>
      <c r="AZ200" s="211">
        <v>46017</v>
      </c>
      <c r="BA200" s="165" t="s">
        <v>4360</v>
      </c>
      <c r="BB200" s="136" t="s">
        <v>4338</v>
      </c>
      <c r="BC200" s="220">
        <f>IF(AY200-KD200=0,"",AY200-O200)</f>
        <v>42</v>
      </c>
      <c r="BD200" s="103" t="str">
        <f>IF(AND(AI200&lt;&gt;"SIM",AI200="UH"),"AA","INDENIZAÇÃO")</f>
        <v>INDENIZAÇÃO</v>
      </c>
      <c r="BE200" s="103" t="str">
        <f>IF(AND(AY200&lt;&gt;"AGUARDANDO",AY200&lt;&gt;"",N200="AUXÍLIO ALUGUEL ATÉ INDENIZAÇÃO"),"SIM","NÃO")</f>
        <v>NÃO</v>
      </c>
      <c r="BF200" s="140" t="s">
        <v>4357</v>
      </c>
      <c r="BG200" s="140" t="s">
        <v>4357</v>
      </c>
      <c r="BH200" s="140" t="s">
        <v>4357</v>
      </c>
      <c r="BI200" s="103" t="s">
        <v>4338</v>
      </c>
      <c r="BJ200" s="103" t="s">
        <v>4338</v>
      </c>
      <c r="BK200" s="105">
        <v>46182</v>
      </c>
      <c r="BL200" s="103" t="s">
        <v>4338</v>
      </c>
      <c r="BM200" s="258" t="s">
        <v>4453</v>
      </c>
    </row>
    <row r="201" spans="1:68" s="232" customFormat="1" ht="29.25" customHeight="1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5272</v>
      </c>
      <c r="G201" s="103" t="s">
        <v>4330</v>
      </c>
      <c r="H201" s="103" t="s">
        <v>4331</v>
      </c>
      <c r="I201" s="142" t="s">
        <v>4343</v>
      </c>
      <c r="J201" s="149" t="s">
        <v>5277</v>
      </c>
      <c r="K201" s="149" t="s">
        <v>5278</v>
      </c>
      <c r="L201" s="149" t="s">
        <v>5279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5277</v>
      </c>
      <c r="AC201" s="149" t="s">
        <v>5278</v>
      </c>
      <c r="AD201" s="149" t="s">
        <v>5279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>IF(AY201-KD201=0,"",AY201-O201)</f>
        <v/>
      </c>
      <c r="BD201" s="103" t="str">
        <f>IF(AND(AI201&lt;&gt;"SIM",AI201="UH"),"AA","INDENIZAÇÃO")</f>
        <v>AA</v>
      </c>
      <c r="BE201" s="103" t="str">
        <f>IF(AND(AY201&lt;&gt;"AGUARDANDO",AY201&lt;&gt;"",N201="AUXÍLIO ALUGUEL ATÉ INDENIZAÇÃO"),"SIM","NÃO")</f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customHeight="1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5280</v>
      </c>
      <c r="G202" s="103" t="s">
        <v>4330</v>
      </c>
      <c r="H202" s="103" t="s">
        <v>4331</v>
      </c>
      <c r="I202" s="142" t="s">
        <v>4343</v>
      </c>
      <c r="J202" s="149" t="s">
        <v>5281</v>
      </c>
      <c r="K202" s="149" t="s">
        <v>5282</v>
      </c>
      <c r="L202" s="149" t="s">
        <v>5283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5281</v>
      </c>
      <c r="AC202" s="149" t="s">
        <v>5282</v>
      </c>
      <c r="AD202" s="149" t="s">
        <v>5283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>IF(AY202-KD202=0,"",AY202-O202)</f>
        <v/>
      </c>
      <c r="BD202" s="103" t="str">
        <f>IF(AND(AI202&lt;&gt;"SIM",AI202="UH"),"AA","INDENIZAÇÃO")</f>
        <v>AA</v>
      </c>
      <c r="BE202" s="103" t="str">
        <f>IF(AND(AY202&lt;&gt;"AGUARDANDO",AY202&lt;&gt;"",N202="AUXÍLIO ALUGUEL ATÉ INDENIZAÇÃO"),"SIM","NÃO")</f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customHeight="1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5280</v>
      </c>
      <c r="G203" s="103" t="s">
        <v>4330</v>
      </c>
      <c r="H203" s="103" t="s">
        <v>4331</v>
      </c>
      <c r="I203" s="142" t="s">
        <v>4343</v>
      </c>
      <c r="J203" s="149" t="s">
        <v>5284</v>
      </c>
      <c r="K203" s="149" t="s">
        <v>4432</v>
      </c>
      <c r="L203" s="149" t="s">
        <v>5285</v>
      </c>
      <c r="M203" s="103" t="s">
        <v>4333</v>
      </c>
      <c r="N203" s="103" t="s">
        <v>4459</v>
      </c>
      <c r="O203" s="105">
        <v>46038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5284</v>
      </c>
      <c r="AC203" s="149" t="s">
        <v>4432</v>
      </c>
      <c r="AD203" s="149" t="s">
        <v>5285</v>
      </c>
      <c r="AE203" s="210" t="s">
        <v>4343</v>
      </c>
      <c r="AF203" s="210" t="s">
        <v>4333</v>
      </c>
      <c r="AG203" s="208">
        <v>37801.07</v>
      </c>
      <c r="AH203" s="208">
        <v>60000</v>
      </c>
      <c r="AI203" s="165" t="s">
        <v>4336</v>
      </c>
      <c r="AJ203" s="104" t="s">
        <v>4438</v>
      </c>
      <c r="AK203" s="103">
        <v>148259487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5286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46125</v>
      </c>
      <c r="AV203" s="103" t="s">
        <v>4338</v>
      </c>
      <c r="AW203" s="103" t="s">
        <v>4338</v>
      </c>
      <c r="AX203" s="105">
        <v>46155</v>
      </c>
      <c r="AY203" s="106">
        <v>46155</v>
      </c>
      <c r="AZ203" s="214" t="s">
        <v>4453</v>
      </c>
      <c r="BA203" s="174" t="s">
        <v>4454</v>
      </c>
      <c r="BB203" s="136" t="s">
        <v>4338</v>
      </c>
      <c r="BC203" s="220">
        <f>IF(AY203-KD203=0,"",AY203-O203)</f>
        <v>117</v>
      </c>
      <c r="BD203" s="103" t="str">
        <f>IF(AND(AI203&lt;&gt;"SIM",AI203="UH"),"AA","INDENIZAÇÃO")</f>
        <v>INDENIZAÇÃO</v>
      </c>
      <c r="BE203" s="103" t="str">
        <f>IF(AND(AY203&lt;&gt;"AGUARDANDO",AY203&lt;&gt;"",N203="AUXÍLIO ALUGUEL ATÉ INDENIZAÇÃO"),"SIM","NÃO")</f>
        <v>NÃO</v>
      </c>
      <c r="BF203" s="140" t="s">
        <v>4357</v>
      </c>
      <c r="BG203" s="140" t="s">
        <v>4357</v>
      </c>
      <c r="BH203" s="140" t="s">
        <v>4357</v>
      </c>
      <c r="BI203" s="103" t="s">
        <v>4338</v>
      </c>
      <c r="BJ203" s="103" t="s">
        <v>4338</v>
      </c>
      <c r="BK203" s="105">
        <v>46224</v>
      </c>
      <c r="BL203" s="272" t="s">
        <v>4461</v>
      </c>
      <c r="BM203" s="237"/>
    </row>
    <row r="204" spans="1:68" s="232" customFormat="1" ht="29.25" customHeight="1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5287</v>
      </c>
      <c r="G204" s="103" t="s">
        <v>4330</v>
      </c>
      <c r="H204" s="103" t="s">
        <v>4331</v>
      </c>
      <c r="I204" s="142" t="s">
        <v>4361</v>
      </c>
      <c r="J204" s="149" t="s">
        <v>5288</v>
      </c>
      <c r="K204" s="149" t="s">
        <v>5289</v>
      </c>
      <c r="L204" s="149" t="s">
        <v>5290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5288</v>
      </c>
      <c r="AC204" s="149" t="s">
        <v>5289</v>
      </c>
      <c r="AD204" s="149" t="s">
        <v>5290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>IF(AY204-KD204=0,"",AY204-O204)</f>
        <v/>
      </c>
      <c r="BD204" s="103" t="str">
        <f>IF(AND(AI204&lt;&gt;"SIM",AI204="UH"),"AA","INDENIZAÇÃO")</f>
        <v>AA</v>
      </c>
      <c r="BE204" s="103" t="str">
        <f>IF(AND(AY204&lt;&gt;"AGUARDANDO",AY204&lt;&gt;"",N204="AUXÍLIO ALUGUEL ATÉ INDENIZAÇÃO"),"SIM","NÃO")</f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customHeight="1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5291</v>
      </c>
      <c r="G205" s="103" t="s">
        <v>4330</v>
      </c>
      <c r="H205" s="103" t="s">
        <v>4331</v>
      </c>
      <c r="I205" s="142" t="s">
        <v>4361</v>
      </c>
      <c r="J205" s="149" t="s">
        <v>5292</v>
      </c>
      <c r="K205" s="149" t="s">
        <v>5293</v>
      </c>
      <c r="L205" s="149" t="s">
        <v>5294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5292</v>
      </c>
      <c r="AC205" s="149" t="s">
        <v>5293</v>
      </c>
      <c r="AD205" s="149" t="s">
        <v>5294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>IF(AY205-KD205=0,"",AY205-O205)</f>
        <v/>
      </c>
      <c r="BD205" s="103" t="str">
        <f>IF(AND(AI205&lt;&gt;"SIM",AI205="UH"),"AA","INDENIZAÇÃO")</f>
        <v>AA</v>
      </c>
      <c r="BE205" s="103" t="str">
        <f>IF(AND(AY205&lt;&gt;"AGUARDANDO",AY205&lt;&gt;"",N205="AUXÍLIO ALUGUEL ATÉ INDENIZAÇÃO"),"SIM","NÃO")</f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customHeight="1">
      <c r="A206" s="165">
        <v>197</v>
      </c>
      <c r="B206" s="103" t="s">
        <v>4431</v>
      </c>
      <c r="C206" s="103" t="s">
        <v>5295</v>
      </c>
      <c r="D206" s="103">
        <v>1</v>
      </c>
      <c r="E206" s="103" t="s">
        <v>4432</v>
      </c>
      <c r="F206" s="104" t="s">
        <v>5296</v>
      </c>
      <c r="G206" s="103" t="s">
        <v>4330</v>
      </c>
      <c r="H206" s="103" t="s">
        <v>4331</v>
      </c>
      <c r="I206" s="142" t="s">
        <v>4343</v>
      </c>
      <c r="J206" s="149" t="s">
        <v>5297</v>
      </c>
      <c r="K206" s="149" t="s">
        <v>5298</v>
      </c>
      <c r="L206" s="149" t="s">
        <v>5299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5297</v>
      </c>
      <c r="AC206" s="149" t="s">
        <v>5298</v>
      </c>
      <c r="AD206" s="149" t="s">
        <v>5299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6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>IF(AY206-KD206=0,"",AY206-O206)</f>
        <v/>
      </c>
      <c r="BD206" s="103" t="str">
        <f>IF(AND(AI206&lt;&gt;"SIM",AI206="UH"),"AA","INDENIZAÇÃO")</f>
        <v>AA</v>
      </c>
      <c r="BE206" s="103" t="str">
        <f>IF(AND(AY206&lt;&gt;"AGUARDANDO",AY206&lt;&gt;"",N206="AUXÍLIO ALUGUEL ATÉ INDENIZAÇÃO"),"SIM","NÃO")</f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customHeight="1">
      <c r="A207" s="165">
        <v>198</v>
      </c>
      <c r="B207" s="103" t="s">
        <v>4431</v>
      </c>
      <c r="C207" s="103" t="s">
        <v>4448</v>
      </c>
      <c r="D207" s="103">
        <v>1</v>
      </c>
      <c r="E207" s="103" t="s">
        <v>4432</v>
      </c>
      <c r="F207" s="104" t="s">
        <v>5296</v>
      </c>
      <c r="G207" s="103" t="s">
        <v>4330</v>
      </c>
      <c r="H207" s="103" t="s">
        <v>4331</v>
      </c>
      <c r="I207" s="142" t="s">
        <v>4440</v>
      </c>
      <c r="J207" s="149" t="s">
        <v>5300</v>
      </c>
      <c r="K207" s="149" t="s">
        <v>4432</v>
      </c>
      <c r="L207" s="149" t="s">
        <v>5301</v>
      </c>
      <c r="M207" s="103" t="s">
        <v>4333</v>
      </c>
      <c r="N207" s="103" t="s">
        <v>4345</v>
      </c>
      <c r="O207" s="105">
        <v>46086</v>
      </c>
      <c r="P207" s="108">
        <v>46044</v>
      </c>
      <c r="Q207" s="108" t="s">
        <v>4436</v>
      </c>
      <c r="R207" s="108">
        <v>46043</v>
      </c>
      <c r="S207" s="108">
        <v>46044</v>
      </c>
      <c r="T207" s="108">
        <v>46045</v>
      </c>
      <c r="U207" s="108">
        <v>46155</v>
      </c>
      <c r="V207" s="105" t="s">
        <v>4437</v>
      </c>
      <c r="W207" s="105" t="s">
        <v>4437</v>
      </c>
      <c r="X207" s="105">
        <v>46055</v>
      </c>
      <c r="Y207" s="105">
        <v>46115</v>
      </c>
      <c r="Z207" s="105"/>
      <c r="AA207" s="103"/>
      <c r="AB207" s="149" t="s">
        <v>5302</v>
      </c>
      <c r="AC207" s="139" t="s">
        <v>5303</v>
      </c>
      <c r="AD207" s="223" t="s">
        <v>5304</v>
      </c>
      <c r="AE207" s="172" t="s">
        <v>4332</v>
      </c>
      <c r="AF207" s="165" t="s">
        <v>4333</v>
      </c>
      <c r="AG207" s="194">
        <v>16706.66</v>
      </c>
      <c r="AH207" s="194">
        <v>16706.66</v>
      </c>
      <c r="AI207" s="103" t="s">
        <v>4447</v>
      </c>
      <c r="AJ207" s="104" t="s">
        <v>4438</v>
      </c>
      <c r="AK207" s="103">
        <v>152307104</v>
      </c>
      <c r="AL207" s="103" t="s">
        <v>4338</v>
      </c>
      <c r="AM207" s="103" t="s">
        <v>4338</v>
      </c>
      <c r="AN207" s="103" t="s">
        <v>4339</v>
      </c>
      <c r="AO207" s="142"/>
      <c r="AP207" s="171" t="s">
        <v>5305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46153</v>
      </c>
      <c r="AV207" s="103" t="s">
        <v>4338</v>
      </c>
      <c r="AW207" s="103" t="s">
        <v>4338</v>
      </c>
      <c r="AX207" s="105">
        <v>46160</v>
      </c>
      <c r="AY207" s="106">
        <v>46160</v>
      </c>
      <c r="AZ207" s="106" t="s">
        <v>4453</v>
      </c>
      <c r="BA207" s="107" t="s">
        <v>4454</v>
      </c>
      <c r="BB207" s="112" t="s">
        <v>4338</v>
      </c>
      <c r="BC207" s="220">
        <f>IF(AY207-KD207=0,"",AY207-O207)</f>
        <v>74</v>
      </c>
      <c r="BD207" s="103" t="str">
        <f>IF(AND(AI207&lt;&gt;"SIM",AI207="UH"),"AA","INDENIZAÇÃO")</f>
        <v>INDENIZAÇÃO</v>
      </c>
      <c r="BE207" s="103" t="str">
        <f>IF(AND(AY207&lt;&gt;"AGUARDANDO",AY207&lt;&gt;"",N207="AUXÍLIO ALUGUEL ATÉ INDENIZAÇÃO"),"SIM","NÃO")</f>
        <v>NÃO</v>
      </c>
      <c r="BF207" s="112" t="s">
        <v>4357</v>
      </c>
      <c r="BG207" s="112" t="s">
        <v>4357</v>
      </c>
      <c r="BH207" s="112" t="s">
        <v>4357</v>
      </c>
      <c r="BI207" s="103" t="s">
        <v>4338</v>
      </c>
      <c r="BJ207" s="103" t="s">
        <v>4338</v>
      </c>
      <c r="BK207" s="105">
        <v>46224</v>
      </c>
      <c r="BL207" s="272" t="s">
        <v>4461</v>
      </c>
      <c r="BM207" s="239"/>
    </row>
    <row r="208" spans="1:68" s="232" customFormat="1" ht="29.25" customHeight="1">
      <c r="A208" s="165">
        <v>199</v>
      </c>
      <c r="B208" s="103" t="s">
        <v>4431</v>
      </c>
      <c r="C208" s="103" t="s">
        <v>5295</v>
      </c>
      <c r="D208" s="103">
        <v>1</v>
      </c>
      <c r="E208" s="103" t="s">
        <v>4432</v>
      </c>
      <c r="F208" s="104" t="s">
        <v>5306</v>
      </c>
      <c r="G208" s="103" t="s">
        <v>4330</v>
      </c>
      <c r="H208" s="103" t="s">
        <v>4331</v>
      </c>
      <c r="I208" s="142" t="s">
        <v>4343</v>
      </c>
      <c r="J208" s="149" t="s">
        <v>5307</v>
      </c>
      <c r="K208" s="149" t="s">
        <v>5308</v>
      </c>
      <c r="L208" s="149" t="s">
        <v>5309</v>
      </c>
      <c r="M208" s="103" t="s">
        <v>4333</v>
      </c>
      <c r="N208" s="103" t="s">
        <v>4459</v>
      </c>
      <c r="O208" s="105">
        <v>45979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5307</v>
      </c>
      <c r="AC208" s="173" t="s">
        <v>5308</v>
      </c>
      <c r="AD208" s="173" t="s">
        <v>5309</v>
      </c>
      <c r="AE208" s="210" t="s">
        <v>4343</v>
      </c>
      <c r="AF208" s="210" t="s">
        <v>4333</v>
      </c>
      <c r="AG208" s="208">
        <v>13707.29</v>
      </c>
      <c r="AH208" s="208">
        <f>AG208+30000</f>
        <v>43707.29</v>
      </c>
      <c r="AI208" s="165" t="s">
        <v>4336</v>
      </c>
      <c r="AJ208" s="104" t="s">
        <v>4438</v>
      </c>
      <c r="AK208" s="103">
        <v>146041017</v>
      </c>
      <c r="AL208" s="103" t="s">
        <v>4338</v>
      </c>
      <c r="AM208" s="103" t="s">
        <v>4338</v>
      </c>
      <c r="AN208" s="103" t="s">
        <v>4339</v>
      </c>
      <c r="AO208" s="103"/>
      <c r="AP208" s="171" t="s">
        <v>5310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46014</v>
      </c>
      <c r="AV208" s="112" t="s">
        <v>4338</v>
      </c>
      <c r="AW208" s="103" t="s">
        <v>4338</v>
      </c>
      <c r="AX208" s="105">
        <v>46021</v>
      </c>
      <c r="AY208" s="106">
        <v>46021</v>
      </c>
      <c r="AZ208" s="111">
        <v>46017</v>
      </c>
      <c r="BA208" s="103" t="s">
        <v>4360</v>
      </c>
      <c r="BB208" s="136" t="s">
        <v>4338</v>
      </c>
      <c r="BC208" s="220">
        <f>IF(AY208-KD208=0,"",AY208-O208)</f>
        <v>42</v>
      </c>
      <c r="BD208" s="103" t="str">
        <f>IF(AND(AI208&lt;&gt;"SIM",AI208="UH"),"AA","INDENIZAÇÃO")</f>
        <v>INDENIZAÇÃO</v>
      </c>
      <c r="BE208" s="103" t="str">
        <f>IF(AND(AY208&lt;&gt;"AGUARDANDO",AY208&lt;&gt;"",N208="AUXÍLIO ALUGUEL ATÉ INDENIZAÇÃO"),"SIM","NÃO")</f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5">
        <v>46182</v>
      </c>
      <c r="BL208" s="103" t="s">
        <v>4338</v>
      </c>
      <c r="BM208" s="258" t="s">
        <v>4453</v>
      </c>
      <c r="BN208" s="231"/>
      <c r="BO208" s="231"/>
      <c r="BP208" s="231"/>
    </row>
    <row r="209" spans="1:67" s="232" customFormat="1" ht="29.25" customHeight="1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5306</v>
      </c>
      <c r="G209" s="103" t="s">
        <v>4330</v>
      </c>
      <c r="H209" s="103" t="s">
        <v>4331</v>
      </c>
      <c r="I209" s="142" t="s">
        <v>4440</v>
      </c>
      <c r="J209" s="149" t="s">
        <v>5311</v>
      </c>
      <c r="K209" s="149" t="s">
        <v>5312</v>
      </c>
      <c r="L209" s="149" t="s">
        <v>5313</v>
      </c>
      <c r="M209" s="103" t="s">
        <v>4333</v>
      </c>
      <c r="N209" s="103" t="s">
        <v>4345</v>
      </c>
      <c r="O209" s="105">
        <v>46093</v>
      </c>
      <c r="P209" s="108">
        <v>46031</v>
      </c>
      <c r="Q209" s="105" t="s">
        <v>4436</v>
      </c>
      <c r="R209" s="108">
        <v>46030</v>
      </c>
      <c r="S209" s="108">
        <v>46031</v>
      </c>
      <c r="T209" s="108">
        <v>46036</v>
      </c>
      <c r="U209" s="108">
        <v>46045</v>
      </c>
      <c r="V209" s="108" t="s">
        <v>4437</v>
      </c>
      <c r="W209" s="108" t="s">
        <v>4437</v>
      </c>
      <c r="X209" s="105">
        <v>46055</v>
      </c>
      <c r="Y209" s="105" t="s">
        <v>4457</v>
      </c>
      <c r="Z209" s="105"/>
      <c r="AA209" s="142" t="s">
        <v>5314</v>
      </c>
      <c r="AB209" s="149" t="s">
        <v>5315</v>
      </c>
      <c r="AC209" s="104" t="s">
        <v>5316</v>
      </c>
      <c r="AD209" s="104" t="s">
        <v>5317</v>
      </c>
      <c r="AE209" s="142" t="s">
        <v>4332</v>
      </c>
      <c r="AF209" s="103" t="s">
        <v>4333</v>
      </c>
      <c r="AG209" s="194">
        <v>36865.35</v>
      </c>
      <c r="AH209" s="194">
        <v>36865.35</v>
      </c>
      <c r="AI209" s="103" t="s">
        <v>4447</v>
      </c>
      <c r="AJ209" s="104" t="s">
        <v>4438</v>
      </c>
      <c r="AK209" s="103">
        <v>154259383</v>
      </c>
      <c r="AL209" s="103" t="s">
        <v>4338</v>
      </c>
      <c r="AM209" s="103" t="s">
        <v>4338</v>
      </c>
      <c r="AN209" s="103" t="s">
        <v>4339</v>
      </c>
      <c r="AO209" s="142"/>
      <c r="AP209" s="171" t="s">
        <v>5318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46153</v>
      </c>
      <c r="AV209" s="103" t="s">
        <v>4338</v>
      </c>
      <c r="AW209" s="103" t="s">
        <v>4338</v>
      </c>
      <c r="AX209" s="105">
        <v>46195</v>
      </c>
      <c r="AY209" s="106">
        <v>46195</v>
      </c>
      <c r="AZ209" s="106" t="s">
        <v>4453</v>
      </c>
      <c r="BA209" s="107" t="s">
        <v>4454</v>
      </c>
      <c r="BB209" s="112" t="s">
        <v>4338</v>
      </c>
      <c r="BC209" s="220">
        <f>IF(AY209-KD209=0,"",AY209-O209)</f>
        <v>102</v>
      </c>
      <c r="BD209" s="103" t="str">
        <f>IF(AND(AI209&lt;&gt;"SIM",AI209="UH"),"AA","INDENIZAÇÃO")</f>
        <v>INDENIZAÇÃO</v>
      </c>
      <c r="BE209" s="103" t="str">
        <f>IF(AND(AY209&lt;&gt;"AGUARDANDO",AY209&lt;&gt;"",N209="AUXÍLIO ALUGUEL ATÉ INDENIZAÇÃO"),"SIM","NÃO")</f>
        <v>NÃO</v>
      </c>
      <c r="BF209" s="112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46224</v>
      </c>
      <c r="BL209" s="272" t="s">
        <v>4461</v>
      </c>
      <c r="BM209" s="237"/>
    </row>
    <row r="210" spans="1:67" s="232" customFormat="1" ht="29.25" customHeight="1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5319</v>
      </c>
      <c r="G210" s="103" t="s">
        <v>4330</v>
      </c>
      <c r="H210" s="103" t="s">
        <v>4331</v>
      </c>
      <c r="I210" s="142" t="s">
        <v>4343</v>
      </c>
      <c r="J210" s="149" t="s">
        <v>5320</v>
      </c>
      <c r="K210" s="149" t="s">
        <v>4432</v>
      </c>
      <c r="L210" s="149" t="s">
        <v>5321</v>
      </c>
      <c r="M210" s="103" t="s">
        <v>4333</v>
      </c>
      <c r="N210" s="103" t="s">
        <v>4459</v>
      </c>
      <c r="O210" s="105">
        <v>46038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5320</v>
      </c>
      <c r="AC210" s="104" t="s">
        <v>4432</v>
      </c>
      <c r="AD210" s="104" t="s">
        <v>5321</v>
      </c>
      <c r="AE210" s="165" t="s">
        <v>4343</v>
      </c>
      <c r="AF210" s="165" t="s">
        <v>4333</v>
      </c>
      <c r="AG210" s="208">
        <v>24067.119999999999</v>
      </c>
      <c r="AH210" s="208">
        <f>AG210+30000</f>
        <v>54067.119999999995</v>
      </c>
      <c r="AI210" s="165" t="s">
        <v>4336</v>
      </c>
      <c r="AJ210" s="104" t="s">
        <v>4438</v>
      </c>
      <c r="AK210" s="103">
        <v>148260156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5322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46062</v>
      </c>
      <c r="AV210" s="112" t="s">
        <v>4338</v>
      </c>
      <c r="AW210" s="103" t="s">
        <v>4338</v>
      </c>
      <c r="AX210" s="105">
        <v>46066</v>
      </c>
      <c r="AY210" s="106">
        <v>46066</v>
      </c>
      <c r="AZ210" s="214" t="s">
        <v>4453</v>
      </c>
      <c r="BA210" s="174" t="s">
        <v>4454</v>
      </c>
      <c r="BB210" s="136" t="s">
        <v>4338</v>
      </c>
      <c r="BC210" s="220">
        <f>IF(AY210-KD210=0,"",AY210-O210)</f>
        <v>28</v>
      </c>
      <c r="BD210" s="103" t="str">
        <f>IF(AND(AI210&lt;&gt;"SIM",AI210="UH"),"AA","INDENIZAÇÃO")</f>
        <v>INDENIZAÇÃO</v>
      </c>
      <c r="BE210" s="103" t="str">
        <f>IF(AND(AY210&lt;&gt;"AGUARDANDO",AY210&lt;&gt;"",N210="AUXÍLIO ALUGUEL ATÉ INDENIZAÇÃO"),"SIM","NÃO")</f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46182</v>
      </c>
      <c r="BL210" s="103" t="s">
        <v>4338</v>
      </c>
      <c r="BM210" s="258" t="s">
        <v>4453</v>
      </c>
    </row>
    <row r="211" spans="1:67" s="232" customFormat="1" ht="29.25" customHeight="1">
      <c r="A211" s="103">
        <v>202</v>
      </c>
      <c r="B211" s="103" t="s">
        <v>4431</v>
      </c>
      <c r="C211" s="103" t="s">
        <v>5295</v>
      </c>
      <c r="D211" s="103">
        <v>1</v>
      </c>
      <c r="E211" s="103" t="s">
        <v>4432</v>
      </c>
      <c r="F211" s="104" t="s">
        <v>5319</v>
      </c>
      <c r="G211" s="103" t="s">
        <v>4330</v>
      </c>
      <c r="H211" s="103" t="s">
        <v>4331</v>
      </c>
      <c r="I211" s="142" t="s">
        <v>4343</v>
      </c>
      <c r="J211" s="149" t="s">
        <v>5323</v>
      </c>
      <c r="K211" s="149" t="s">
        <v>5324</v>
      </c>
      <c r="L211" s="149" t="s">
        <v>5325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5323</v>
      </c>
      <c r="AC211" s="149" t="s">
        <v>5324</v>
      </c>
      <c r="AD211" s="149" t="s">
        <v>5325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>IF(AY211-KD211=0,"",AY211-O211)</f>
        <v/>
      </c>
      <c r="BD211" s="103" t="str">
        <f>IF(AND(AI211&lt;&gt;"SIM",AI211="UH"),"AA","INDENIZAÇÃO")</f>
        <v>AA</v>
      </c>
      <c r="BE211" s="103" t="str">
        <f>IF(AND(AY211&lt;&gt;"AGUARDANDO",AY211&lt;&gt;"",N211="AUXÍLIO ALUGUEL ATÉ INDENIZAÇÃO"),"SIM","NÃO")</f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customHeight="1">
      <c r="A212" s="165">
        <v>203</v>
      </c>
      <c r="B212" s="103" t="s">
        <v>4431</v>
      </c>
      <c r="C212" s="103" t="s">
        <v>5295</v>
      </c>
      <c r="D212" s="103">
        <v>1</v>
      </c>
      <c r="E212" s="103" t="s">
        <v>4432</v>
      </c>
      <c r="F212" s="104" t="s">
        <v>5326</v>
      </c>
      <c r="G212" s="103" t="s">
        <v>4330</v>
      </c>
      <c r="H212" s="103" t="s">
        <v>4331</v>
      </c>
      <c r="I212" s="142" t="s">
        <v>4343</v>
      </c>
      <c r="J212" s="149" t="s">
        <v>5327</v>
      </c>
      <c r="K212" s="149" t="s">
        <v>5328</v>
      </c>
      <c r="L212" s="149" t="s">
        <v>5329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5327</v>
      </c>
      <c r="AC212" s="149" t="s">
        <v>5328</v>
      </c>
      <c r="AD212" s="149" t="s">
        <v>5329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>IF(AY212-KD212=0,"",AY212-O212)</f>
        <v/>
      </c>
      <c r="BD212" s="103" t="str">
        <f>IF(AND(AI212&lt;&gt;"SIM",AI212="UH"),"AA","INDENIZAÇÃO")</f>
        <v>AA</v>
      </c>
      <c r="BE212" s="103" t="str">
        <f>IF(AND(AY212&lt;&gt;"AGUARDANDO",AY212&lt;&gt;"",N212="AUXÍLIO ALUGUEL ATÉ INDENIZAÇÃO"),"SIM","NÃO")</f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customHeight="1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5326</v>
      </c>
      <c r="G213" s="103" t="s">
        <v>4330</v>
      </c>
      <c r="H213" s="103" t="s">
        <v>4331</v>
      </c>
      <c r="I213" s="142" t="s">
        <v>4343</v>
      </c>
      <c r="J213" s="149" t="s">
        <v>5330</v>
      </c>
      <c r="K213" s="149" t="s">
        <v>5331</v>
      </c>
      <c r="L213" s="149" t="s">
        <v>5332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5330</v>
      </c>
      <c r="AC213" s="104" t="s">
        <v>5331</v>
      </c>
      <c r="AD213" s="104" t="s">
        <v>5332</v>
      </c>
      <c r="AE213" s="165" t="s">
        <v>4343</v>
      </c>
      <c r="AF213" s="165" t="s">
        <v>4333</v>
      </c>
      <c r="AG213" s="208">
        <v>72840.820000000007</v>
      </c>
      <c r="AH213" s="208">
        <v>72840.820000000007</v>
      </c>
      <c r="AI213" s="165" t="s">
        <v>4336</v>
      </c>
      <c r="AJ213" s="104" t="s">
        <v>4438</v>
      </c>
      <c r="AK213" s="103">
        <v>148260815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5333</v>
      </c>
      <c r="AQ213" s="103" t="s">
        <v>4338</v>
      </c>
      <c r="AR213" s="103" t="s">
        <v>4338</v>
      </c>
      <c r="AS213" s="143" t="s">
        <v>4338</v>
      </c>
      <c r="AT213" s="103" t="s">
        <v>4338</v>
      </c>
      <c r="AU213" s="105">
        <v>46098</v>
      </c>
      <c r="AV213" s="112" t="s">
        <v>4338</v>
      </c>
      <c r="AW213" s="112" t="s">
        <v>4338</v>
      </c>
      <c r="AX213" s="105">
        <v>46101</v>
      </c>
      <c r="AY213" s="106">
        <v>46101</v>
      </c>
      <c r="AZ213" s="214" t="s">
        <v>4453</v>
      </c>
      <c r="BA213" s="174" t="s">
        <v>4454</v>
      </c>
      <c r="BB213" s="136" t="s">
        <v>4338</v>
      </c>
      <c r="BC213" s="220">
        <f>IF(AY213-KD213=0,"",AY213-O213)</f>
        <v>56</v>
      </c>
      <c r="BD213" s="103" t="str">
        <f>IF(AND(AI213&lt;&gt;"SIM",AI213="UH"),"AA","INDENIZAÇÃO")</f>
        <v>INDENIZAÇÃO</v>
      </c>
      <c r="BE213" s="103" t="str">
        <f>IF(AND(AY213&lt;&gt;"AGUARDANDO",AY213&lt;&gt;"",N213="AUXÍLIO ALUGUEL ATÉ INDENIZAÇÃO"),"SIM","NÃO")</f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5">
        <v>46224</v>
      </c>
      <c r="BL213" s="272" t="s">
        <v>4461</v>
      </c>
      <c r="BM213" s="237"/>
    </row>
    <row r="214" spans="1:67" s="232" customFormat="1" ht="29.25" customHeight="1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5334</v>
      </c>
      <c r="G214" s="103" t="s">
        <v>4330</v>
      </c>
      <c r="H214" s="103" t="s">
        <v>4331</v>
      </c>
      <c r="I214" s="142" t="s">
        <v>4343</v>
      </c>
      <c r="J214" s="149" t="s">
        <v>5335</v>
      </c>
      <c r="K214" s="149" t="s">
        <v>5336</v>
      </c>
      <c r="L214" s="149" t="s">
        <v>5337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5335</v>
      </c>
      <c r="AC214" s="149" t="s">
        <v>5336</v>
      </c>
      <c r="AD214" s="149" t="s">
        <v>5337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>IF(AY214-KD214=0,"",AY214-O214)</f>
        <v/>
      </c>
      <c r="BD214" s="103" t="str">
        <f>IF(AND(AI214&lt;&gt;"SIM",AI214="UH"),"AA","INDENIZAÇÃO")</f>
        <v>AA</v>
      </c>
      <c r="BE214" s="103" t="str">
        <f>IF(AND(AY214&lt;&gt;"AGUARDANDO",AY214&lt;&gt;"",N214="AUXÍLIO ALUGUEL ATÉ INDENIZAÇÃO"),"SIM","NÃO")</f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customHeight="1">
      <c r="A215" s="103">
        <v>206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5338</v>
      </c>
      <c r="G215" s="103" t="s">
        <v>4330</v>
      </c>
      <c r="H215" s="103" t="s">
        <v>4331</v>
      </c>
      <c r="I215" s="142" t="s">
        <v>4343</v>
      </c>
      <c r="J215" s="149" t="s">
        <v>5339</v>
      </c>
      <c r="K215" s="149" t="s">
        <v>5340</v>
      </c>
      <c r="L215" s="149" t="s">
        <v>5341</v>
      </c>
      <c r="M215" s="103" t="s">
        <v>4333</v>
      </c>
      <c r="N215" s="103" t="s">
        <v>4459</v>
      </c>
      <c r="O215" s="105">
        <v>46045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3"/>
      <c r="AB215" s="149" t="s">
        <v>5339</v>
      </c>
      <c r="AC215" s="104" t="s">
        <v>5340</v>
      </c>
      <c r="AD215" s="104" t="s">
        <v>5341</v>
      </c>
      <c r="AE215" s="103" t="s">
        <v>4343</v>
      </c>
      <c r="AF215" s="103" t="s">
        <v>4333</v>
      </c>
      <c r="AG215" s="194">
        <v>118230.69</v>
      </c>
      <c r="AH215" s="194">
        <v>118230.69</v>
      </c>
      <c r="AI215" s="103" t="s">
        <v>4336</v>
      </c>
      <c r="AJ215" s="104" t="s">
        <v>4438</v>
      </c>
      <c r="AK215" s="103">
        <v>148260947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5342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46111</v>
      </c>
      <c r="AV215" s="103" t="s">
        <v>4338</v>
      </c>
      <c r="AW215" s="103" t="s">
        <v>4338</v>
      </c>
      <c r="AX215" s="105">
        <v>46114</v>
      </c>
      <c r="AY215" s="106">
        <v>46114</v>
      </c>
      <c r="AZ215" s="106" t="s">
        <v>4453</v>
      </c>
      <c r="BA215" s="107" t="s">
        <v>4454</v>
      </c>
      <c r="BB215" s="136" t="s">
        <v>4338</v>
      </c>
      <c r="BC215" s="220">
        <f>IF(AY215-KD215=0,"",AY215-O215)</f>
        <v>69</v>
      </c>
      <c r="BD215" s="103" t="str">
        <f>IF(AND(AI215&lt;&gt;"SIM",AI215="UH"),"AA","INDENIZAÇÃO")</f>
        <v>INDENIZAÇÃO</v>
      </c>
      <c r="BE215" s="103" t="str">
        <f>IF(AND(AY215&lt;&gt;"AGUARDANDO",AY215&lt;&gt;"",N215="AUXÍLIO ALUGUEL ATÉ INDENIZAÇÃO"),"SIM","NÃO")</f>
        <v>NÃO</v>
      </c>
      <c r="BF215" s="140" t="s">
        <v>4357</v>
      </c>
      <c r="BG215" s="140" t="s">
        <v>4357</v>
      </c>
      <c r="BH215" s="140" t="s">
        <v>4357</v>
      </c>
      <c r="BI215" s="103" t="s">
        <v>4338</v>
      </c>
      <c r="BJ215" s="103" t="s">
        <v>4338</v>
      </c>
      <c r="BK215" s="105">
        <v>46224</v>
      </c>
      <c r="BL215" s="272" t="s">
        <v>4461</v>
      </c>
      <c r="BM215" s="237"/>
    </row>
    <row r="216" spans="1:67" s="232" customFormat="1" ht="29.25" customHeight="1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5343</v>
      </c>
      <c r="G216" s="103" t="s">
        <v>4330</v>
      </c>
      <c r="H216" s="103" t="s">
        <v>4331</v>
      </c>
      <c r="I216" s="142" t="s">
        <v>4361</v>
      </c>
      <c r="J216" s="149" t="s">
        <v>5344</v>
      </c>
      <c r="K216" s="149" t="s">
        <v>5345</v>
      </c>
      <c r="L216" s="149" t="s">
        <v>5346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5344</v>
      </c>
      <c r="AC216" s="149" t="s">
        <v>5345</v>
      </c>
      <c r="AD216" s="149" t="s">
        <v>5346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>IF(AY216-KD216=0,"",AY216-O216)</f>
        <v/>
      </c>
      <c r="BD216" s="103" t="str">
        <f>IF(AND(AI216&lt;&gt;"SIM",AI216="UH"),"AA","INDENIZAÇÃO")</f>
        <v>AA</v>
      </c>
      <c r="BE216" s="103" t="str">
        <f>IF(AND(AY216&lt;&gt;"AGUARDANDO",AY216&lt;&gt;"",N216="AUXÍLIO ALUGUEL ATÉ INDENIZAÇÃO"),"SIM","NÃO")</f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customHeight="1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5347</v>
      </c>
      <c r="G217" s="103" t="s">
        <v>4330</v>
      </c>
      <c r="H217" s="103" t="s">
        <v>4331</v>
      </c>
      <c r="I217" s="142" t="s">
        <v>4361</v>
      </c>
      <c r="J217" s="149" t="s">
        <v>5348</v>
      </c>
      <c r="K217" s="149" t="s">
        <v>5349</v>
      </c>
      <c r="L217" s="149" t="s">
        <v>5350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5348</v>
      </c>
      <c r="AC217" s="149" t="s">
        <v>5349</v>
      </c>
      <c r="AD217" s="149" t="s">
        <v>5350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>IF(AY217-KD217=0,"",AY217-O217)</f>
        <v/>
      </c>
      <c r="BD217" s="103" t="str">
        <f>IF(AND(AI217&lt;&gt;"SIM",AI217="UH"),"AA","INDENIZAÇÃO")</f>
        <v>AA</v>
      </c>
      <c r="BE217" s="103" t="str">
        <f>IF(AND(AY217&lt;&gt;"AGUARDANDO",AY217&lt;&gt;"",N217="AUXÍLIO ALUGUEL ATÉ INDENIZAÇÃO"),"SIM","NÃO")</f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customHeight="1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5351</v>
      </c>
      <c r="G218" s="103" t="s">
        <v>4330</v>
      </c>
      <c r="H218" s="103" t="s">
        <v>4331</v>
      </c>
      <c r="I218" s="142" t="s">
        <v>4343</v>
      </c>
      <c r="J218" s="149" t="s">
        <v>5352</v>
      </c>
      <c r="K218" s="149" t="s">
        <v>5353</v>
      </c>
      <c r="L218" s="149" t="s">
        <v>5354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3"/>
      <c r="AB218" s="149" t="s">
        <v>5352</v>
      </c>
      <c r="AC218" s="104" t="s">
        <v>5353</v>
      </c>
      <c r="AD218" s="104" t="s">
        <v>5354</v>
      </c>
      <c r="AE218" s="103" t="s">
        <v>4343</v>
      </c>
      <c r="AF218" s="103" t="s">
        <v>4333</v>
      </c>
      <c r="AG218" s="194">
        <v>19698.900000000001</v>
      </c>
      <c r="AH218" s="194">
        <f>AG218+30000</f>
        <v>49698.9</v>
      </c>
      <c r="AI218" s="103" t="s">
        <v>4336</v>
      </c>
      <c r="AJ218" s="104" t="s">
        <v>4438</v>
      </c>
      <c r="AK218" s="103">
        <v>148261075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5355</v>
      </c>
      <c r="AQ218" s="103" t="s">
        <v>4338</v>
      </c>
      <c r="AR218" s="103" t="s">
        <v>4338</v>
      </c>
      <c r="AS218" s="143" t="s">
        <v>4338</v>
      </c>
      <c r="AT218" s="103" t="s">
        <v>4338</v>
      </c>
      <c r="AU218" s="105">
        <v>46118</v>
      </c>
      <c r="AV218" s="103" t="s">
        <v>4338</v>
      </c>
      <c r="AW218" s="103" t="s">
        <v>4338</v>
      </c>
      <c r="AX218" s="105">
        <v>46122</v>
      </c>
      <c r="AY218" s="106">
        <v>46122</v>
      </c>
      <c r="AZ218" s="106" t="s">
        <v>4453</v>
      </c>
      <c r="BA218" s="107" t="s">
        <v>4454</v>
      </c>
      <c r="BB218" s="136" t="s">
        <v>4338</v>
      </c>
      <c r="BC218" s="220">
        <f>IF(AY218-KD218=0,"",AY218-O218)</f>
        <v>77</v>
      </c>
      <c r="BD218" s="103" t="str">
        <f>IF(AND(AI218&lt;&gt;"SIM",AI218="UH"),"AA","INDENIZAÇÃO")</f>
        <v>INDENIZAÇÃO</v>
      </c>
      <c r="BE218" s="103" t="str">
        <f>IF(AND(AY218&lt;&gt;"AGUARDANDO",AY218&lt;&gt;"",N218="AUXÍLIO ALUGUEL ATÉ INDENIZAÇÃO"),"SIM","NÃO")</f>
        <v>NÃO</v>
      </c>
      <c r="BF218" s="112" t="s">
        <v>4357</v>
      </c>
      <c r="BG218" s="112" t="s">
        <v>4357</v>
      </c>
      <c r="BH218" s="112" t="s">
        <v>4357</v>
      </c>
      <c r="BI218" s="103" t="s">
        <v>4338</v>
      </c>
      <c r="BJ218" s="103" t="s">
        <v>4338</v>
      </c>
      <c r="BK218" s="105">
        <v>46224</v>
      </c>
      <c r="BL218" s="272" t="s">
        <v>4461</v>
      </c>
      <c r="BM218" s="239"/>
    </row>
    <row r="219" spans="1:67" s="232" customFormat="1" ht="29.25" customHeight="1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5356</v>
      </c>
      <c r="G219" s="103" t="s">
        <v>4330</v>
      </c>
      <c r="H219" s="103" t="s">
        <v>4331</v>
      </c>
      <c r="I219" s="142" t="s">
        <v>4343</v>
      </c>
      <c r="J219" s="149" t="s">
        <v>5357</v>
      </c>
      <c r="K219" s="149" t="s">
        <v>5358</v>
      </c>
      <c r="L219" s="149" t="s">
        <v>5359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5357</v>
      </c>
      <c r="AC219" s="149" t="s">
        <v>5358</v>
      </c>
      <c r="AD219" s="149" t="s">
        <v>5359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>IF(AY219-KD219=0,"",AY219-O219)</f>
        <v/>
      </c>
      <c r="BD219" s="103" t="str">
        <f>IF(AND(AI219&lt;&gt;"SIM",AI219="UH"),"AA","INDENIZAÇÃO")</f>
        <v>AA</v>
      </c>
      <c r="BE219" s="103" t="str">
        <f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customHeight="1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5360</v>
      </c>
      <c r="G220" s="103" t="s">
        <v>4330</v>
      </c>
      <c r="H220" s="103" t="s">
        <v>4331</v>
      </c>
      <c r="I220" s="142" t="s">
        <v>4343</v>
      </c>
      <c r="J220" s="149" t="s">
        <v>5361</v>
      </c>
      <c r="K220" s="149" t="s">
        <v>5362</v>
      </c>
      <c r="L220" s="149" t="s">
        <v>5363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5361</v>
      </c>
      <c r="AC220" s="149" t="s">
        <v>5362</v>
      </c>
      <c r="AD220" s="149" t="s">
        <v>5363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>IF(AY220-KD220=0,"",AY220-O220)</f>
        <v/>
      </c>
      <c r="BD220" s="103" t="str">
        <f>IF(AND(AI220&lt;&gt;"SIM",AI220="UH"),"AA","INDENIZAÇÃO")</f>
        <v>AA</v>
      </c>
      <c r="BE220" s="103" t="str">
        <f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customHeight="1">
      <c r="A221" s="103">
        <v>212</v>
      </c>
      <c r="B221" s="103" t="s">
        <v>4431</v>
      </c>
      <c r="C221" s="103" t="s">
        <v>5295</v>
      </c>
      <c r="D221" s="103">
        <v>1</v>
      </c>
      <c r="E221" s="103" t="s">
        <v>4432</v>
      </c>
      <c r="F221" s="104" t="s">
        <v>5364</v>
      </c>
      <c r="G221" s="103" t="s">
        <v>4330</v>
      </c>
      <c r="H221" s="103" t="s">
        <v>4331</v>
      </c>
      <c r="I221" s="142" t="s">
        <v>4343</v>
      </c>
      <c r="J221" s="149" t="s">
        <v>5365</v>
      </c>
      <c r="K221" s="149" t="s">
        <v>5366</v>
      </c>
      <c r="L221" s="149" t="s">
        <v>5367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5365</v>
      </c>
      <c r="AC221" s="149" t="s">
        <v>5366</v>
      </c>
      <c r="AD221" s="149" t="s">
        <v>5367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>IF(AY221-KD221=0,"",AY221-O221)</f>
        <v/>
      </c>
      <c r="BD221" s="103" t="str">
        <f>IF(AND(AI221&lt;&gt;"SIM",AI221="UH"),"AA","INDENIZAÇÃO")</f>
        <v>AA</v>
      </c>
      <c r="BE221" s="103" t="str">
        <f>IF(AND(AY221&lt;&gt;"AGUARDANDO",AY221&lt;&gt;"",N221="AUXÍLIO ALUGUEL ATÉ INDENIZAÇÃO"),"SIM","NÃO")</f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customHeight="1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5364</v>
      </c>
      <c r="G222" s="103" t="s">
        <v>4330</v>
      </c>
      <c r="H222" s="103" t="s">
        <v>4331</v>
      </c>
      <c r="I222" s="142" t="s">
        <v>4343</v>
      </c>
      <c r="J222" s="149" t="s">
        <v>5368</v>
      </c>
      <c r="K222" s="149" t="s">
        <v>5369</v>
      </c>
      <c r="L222" s="149" t="s">
        <v>5370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5368</v>
      </c>
      <c r="AC222" s="104" t="s">
        <v>5369</v>
      </c>
      <c r="AD222" s="104" t="s">
        <v>5370</v>
      </c>
      <c r="AE222" s="165" t="s">
        <v>4343</v>
      </c>
      <c r="AF222" s="165" t="s">
        <v>4333</v>
      </c>
      <c r="AG222" s="208">
        <v>95871.57</v>
      </c>
      <c r="AH222" s="208">
        <v>95871.57</v>
      </c>
      <c r="AI222" s="165" t="s">
        <v>4336</v>
      </c>
      <c r="AJ222" s="104" t="s">
        <v>4438</v>
      </c>
      <c r="AK222" s="103">
        <v>148261241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5371</v>
      </c>
      <c r="AQ222" s="103" t="s">
        <v>4338</v>
      </c>
      <c r="AR222" s="103" t="s">
        <v>4338</v>
      </c>
      <c r="AS222" s="143" t="s">
        <v>4338</v>
      </c>
      <c r="AT222" s="103" t="s">
        <v>4338</v>
      </c>
      <c r="AU222" s="105">
        <v>46127</v>
      </c>
      <c r="AV222" s="103" t="s">
        <v>4338</v>
      </c>
      <c r="AW222" s="103" t="s">
        <v>4338</v>
      </c>
      <c r="AX222" s="105">
        <v>46139</v>
      </c>
      <c r="AY222" s="106">
        <v>46139</v>
      </c>
      <c r="AZ222" s="214" t="s">
        <v>4453</v>
      </c>
      <c r="BA222" s="174" t="s">
        <v>4454</v>
      </c>
      <c r="BB222" s="136" t="s">
        <v>4338</v>
      </c>
      <c r="BC222" s="220">
        <f>IF(AY222-KD222=0,"",AY222-O222)</f>
        <v>94</v>
      </c>
      <c r="BD222" s="103" t="str">
        <f>IF(AND(AI222&lt;&gt;"SIM",AI222="UH"),"AA","INDENIZAÇÃO")</f>
        <v>INDENIZAÇÃO</v>
      </c>
      <c r="BE222" s="103" t="str">
        <f>IF(AND(AY222&lt;&gt;"AGUARDANDO",AY222&lt;&gt;"",N222="AUXÍLIO ALUGUEL ATÉ INDENIZAÇÃO"),"SIM","NÃO")</f>
        <v>NÃO</v>
      </c>
      <c r="BF222" s="112" t="s">
        <v>4357</v>
      </c>
      <c r="BG222" s="112" t="s">
        <v>4357</v>
      </c>
      <c r="BH222" s="112" t="s">
        <v>4357</v>
      </c>
      <c r="BI222" s="103" t="s">
        <v>4338</v>
      </c>
      <c r="BJ222" s="103" t="s">
        <v>4338</v>
      </c>
      <c r="BK222" s="105">
        <v>46224</v>
      </c>
      <c r="BL222" s="272" t="s">
        <v>4461</v>
      </c>
      <c r="BM222" s="239"/>
    </row>
    <row r="223" spans="1:67" s="232" customFormat="1" ht="29.25" customHeight="1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5372</v>
      </c>
      <c r="G223" s="103" t="s">
        <v>4330</v>
      </c>
      <c r="H223" s="103" t="s">
        <v>4331</v>
      </c>
      <c r="I223" s="142" t="s">
        <v>4343</v>
      </c>
      <c r="J223" s="149" t="s">
        <v>5373</v>
      </c>
      <c r="K223" s="149" t="s">
        <v>5374</v>
      </c>
      <c r="L223" s="149" t="s">
        <v>5375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5373</v>
      </c>
      <c r="AC223" s="149" t="s">
        <v>5374</v>
      </c>
      <c r="AD223" s="149" t="s">
        <v>5375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>IF(AY223-KD223=0,"",AY223-O223)</f>
        <v/>
      </c>
      <c r="BD223" s="103" t="str">
        <f>IF(AND(AI223&lt;&gt;"SIM",AI223="UH"),"AA","INDENIZAÇÃO")</f>
        <v>AA</v>
      </c>
      <c r="BE223" s="103" t="str">
        <f>IF(AND(AY223&lt;&gt;"AGUARDANDO",AY223&lt;&gt;"",N223="AUXÍLIO ALUGUEL ATÉ INDENIZAÇÃO"),"SIM","NÃO")</f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customHeight="1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5376</v>
      </c>
      <c r="G224" s="103" t="s">
        <v>4330</v>
      </c>
      <c r="H224" s="103" t="s">
        <v>4331</v>
      </c>
      <c r="I224" s="142" t="s">
        <v>4343</v>
      </c>
      <c r="J224" s="149" t="s">
        <v>5377</v>
      </c>
      <c r="K224" s="149" t="s">
        <v>5378</v>
      </c>
      <c r="L224" s="149" t="s">
        <v>5379</v>
      </c>
      <c r="M224" s="103" t="s">
        <v>4333</v>
      </c>
      <c r="N224" s="103" t="s">
        <v>4459</v>
      </c>
      <c r="O224" s="105">
        <v>46059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3"/>
      <c r="AB224" s="149" t="s">
        <v>5377</v>
      </c>
      <c r="AC224" s="104" t="s">
        <v>5378</v>
      </c>
      <c r="AD224" s="104" t="s">
        <v>5379</v>
      </c>
      <c r="AE224" s="103" t="s">
        <v>4343</v>
      </c>
      <c r="AF224" s="103" t="s">
        <v>4333</v>
      </c>
      <c r="AG224" s="194">
        <v>25620.44</v>
      </c>
      <c r="AH224" s="194">
        <f>AG224+30000</f>
        <v>55620.44</v>
      </c>
      <c r="AI224" s="103" t="s">
        <v>4336</v>
      </c>
      <c r="AJ224" s="104" t="s">
        <v>4438</v>
      </c>
      <c r="AK224" s="103">
        <v>148261499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5380</v>
      </c>
      <c r="AQ224" s="103" t="s">
        <v>4338</v>
      </c>
      <c r="AR224" s="103" t="s">
        <v>4338</v>
      </c>
      <c r="AS224" s="143" t="s">
        <v>4338</v>
      </c>
      <c r="AT224" s="103" t="s">
        <v>4338</v>
      </c>
      <c r="AU224" s="105">
        <v>46153</v>
      </c>
      <c r="AV224" s="103" t="s">
        <v>4338</v>
      </c>
      <c r="AW224" s="103" t="s">
        <v>4338</v>
      </c>
      <c r="AX224" s="105">
        <v>46160</v>
      </c>
      <c r="AY224" s="106">
        <v>46160</v>
      </c>
      <c r="AZ224" s="106" t="s">
        <v>4453</v>
      </c>
      <c r="BA224" s="107" t="s">
        <v>4454</v>
      </c>
      <c r="BB224" s="112" t="s">
        <v>4338</v>
      </c>
      <c r="BC224" s="220">
        <f>IF(AY224-KD224=0,"",AY224-O224)</f>
        <v>101</v>
      </c>
      <c r="BD224" s="103" t="str">
        <f>IF(AND(AI224&lt;&gt;"SIM",AI224="UH"),"AA","INDENIZAÇÃO")</f>
        <v>INDENIZAÇÃO</v>
      </c>
      <c r="BE224" s="103" t="str">
        <f>IF(AND(AY224&lt;&gt;"AGUARDANDO",AY224&lt;&gt;"",N224="AUXÍLIO ALUGUEL ATÉ INDENIZAÇÃO"),"SIM","NÃO")</f>
        <v>NÃO</v>
      </c>
      <c r="BF224" s="112" t="s">
        <v>4357</v>
      </c>
      <c r="BG224" s="112" t="s">
        <v>4357</v>
      </c>
      <c r="BH224" s="112" t="s">
        <v>4357</v>
      </c>
      <c r="BI224" s="103" t="s">
        <v>4338</v>
      </c>
      <c r="BJ224" s="103" t="s">
        <v>4338</v>
      </c>
      <c r="BK224" s="105">
        <v>46224</v>
      </c>
      <c r="BL224" s="272" t="s">
        <v>4461</v>
      </c>
      <c r="BM224" s="239"/>
    </row>
    <row r="225" spans="1:67" s="232" customFormat="1" ht="29.25" customHeight="1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5381</v>
      </c>
      <c r="G225" s="103" t="s">
        <v>4330</v>
      </c>
      <c r="H225" s="103" t="s">
        <v>4331</v>
      </c>
      <c r="I225" s="142" t="s">
        <v>4343</v>
      </c>
      <c r="J225" s="149" t="s">
        <v>5382</v>
      </c>
      <c r="K225" s="149" t="s">
        <v>5383</v>
      </c>
      <c r="L225" s="149" t="s">
        <v>5384</v>
      </c>
      <c r="M225" s="103" t="s">
        <v>4333</v>
      </c>
      <c r="N225" s="103" t="s">
        <v>4459</v>
      </c>
      <c r="O225" s="105">
        <v>46066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5382</v>
      </c>
      <c r="AC225" s="149" t="s">
        <v>5383</v>
      </c>
      <c r="AD225" s="149" t="s">
        <v>5384</v>
      </c>
      <c r="AE225" s="103" t="s">
        <v>4343</v>
      </c>
      <c r="AF225" s="103" t="s">
        <v>4333</v>
      </c>
      <c r="AG225" s="194">
        <v>12879.33</v>
      </c>
      <c r="AH225" s="194">
        <f>AG225+30000</f>
        <v>42879.33</v>
      </c>
      <c r="AI225" s="103" t="s">
        <v>4336</v>
      </c>
      <c r="AJ225" s="104" t="s">
        <v>4438</v>
      </c>
      <c r="AK225" s="103">
        <v>148261614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5385</v>
      </c>
      <c r="AQ225" s="103" t="s">
        <v>4338</v>
      </c>
      <c r="AR225" s="103" t="s">
        <v>4338</v>
      </c>
      <c r="AS225" s="143" t="s">
        <v>4338</v>
      </c>
      <c r="AT225" s="165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7" t="s">
        <v>4453</v>
      </c>
      <c r="BA225" s="107" t="s">
        <v>4454</v>
      </c>
      <c r="BB225" s="112" t="s">
        <v>4338</v>
      </c>
      <c r="BC225" s="220">
        <f>IF(AY225-KD225=0,"",AY225-O225)</f>
        <v>94</v>
      </c>
      <c r="BD225" s="103" t="str">
        <f>IF(AND(AI225&lt;&gt;"SIM",AI225="UH"),"AA","INDENIZAÇÃO")</f>
        <v>INDENIZAÇÃO</v>
      </c>
      <c r="BE225" s="103" t="str">
        <f>IF(AND(AY225&lt;&gt;"AGUARDANDO",AY225&lt;&gt;"",N225="AUXÍLIO ALUGUEL ATÉ INDENIZAÇÃO"),"SIM","NÃO")</f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2" t="s">
        <v>4461</v>
      </c>
      <c r="BM225" s="239"/>
    </row>
    <row r="226" spans="1:67" s="232" customFormat="1" ht="29.25" customHeight="1">
      <c r="A226" s="165">
        <v>217</v>
      </c>
      <c r="B226" s="103" t="s">
        <v>4431</v>
      </c>
      <c r="C226" s="103" t="s">
        <v>5295</v>
      </c>
      <c r="D226" s="103">
        <v>1</v>
      </c>
      <c r="E226" s="103" t="s">
        <v>4432</v>
      </c>
      <c r="F226" s="104" t="s">
        <v>5386</v>
      </c>
      <c r="G226" s="103" t="s">
        <v>4330</v>
      </c>
      <c r="H226" s="103" t="s">
        <v>4331</v>
      </c>
      <c r="I226" s="142" t="s">
        <v>4343</v>
      </c>
      <c r="J226" s="149" t="s">
        <v>5387</v>
      </c>
      <c r="K226" s="149" t="s">
        <v>5388</v>
      </c>
      <c r="L226" s="149" t="s">
        <v>5389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5387</v>
      </c>
      <c r="AC226" s="149" t="s">
        <v>5388</v>
      </c>
      <c r="AD226" s="149" t="s">
        <v>5389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>IF(AY226-KD226=0,"",AY226-O226)</f>
        <v/>
      </c>
      <c r="BD226" s="103" t="str">
        <f>IF(AND(AI226&lt;&gt;"SIM",AI226="UH"),"AA","INDENIZAÇÃO")</f>
        <v>AA</v>
      </c>
      <c r="BE226" s="103" t="str">
        <f>IF(AND(AY226&lt;&gt;"AGUARDANDO",AY226&lt;&gt;"",N226="AUXÍLIO ALUGUEL ATÉ INDENIZAÇÃO"),"SIM","NÃO")</f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customHeight="1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5386</v>
      </c>
      <c r="G227" s="103" t="s">
        <v>4330</v>
      </c>
      <c r="H227" s="103" t="s">
        <v>4331</v>
      </c>
      <c r="I227" s="142" t="s">
        <v>4343</v>
      </c>
      <c r="J227" s="149" t="s">
        <v>5390</v>
      </c>
      <c r="K227" s="149" t="s">
        <v>5391</v>
      </c>
      <c r="L227" s="149" t="s">
        <v>5392</v>
      </c>
      <c r="M227" s="103" t="s">
        <v>4333</v>
      </c>
      <c r="N227" s="103" t="s">
        <v>4459</v>
      </c>
      <c r="O227" s="105">
        <v>46086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8"/>
      <c r="AB227" s="149" t="s">
        <v>5390</v>
      </c>
      <c r="AC227" s="149" t="s">
        <v>5391</v>
      </c>
      <c r="AD227" s="149" t="s">
        <v>5392</v>
      </c>
      <c r="AE227" s="165" t="s">
        <v>4343</v>
      </c>
      <c r="AF227" s="165" t="s">
        <v>4333</v>
      </c>
      <c r="AG227" s="208">
        <v>52850.13</v>
      </c>
      <c r="AH227" s="208">
        <v>60000</v>
      </c>
      <c r="AI227" s="165" t="s">
        <v>4336</v>
      </c>
      <c r="AJ227" s="104" t="s">
        <v>4438</v>
      </c>
      <c r="AK227" s="103">
        <v>151379771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5393</v>
      </c>
      <c r="AQ227" s="103" t="s">
        <v>4338</v>
      </c>
      <c r="AR227" s="103" t="s">
        <v>4338</v>
      </c>
      <c r="AS227" s="103" t="s">
        <v>4338</v>
      </c>
      <c r="AT227" s="103" t="s">
        <v>4338</v>
      </c>
      <c r="AU227" s="105">
        <v>46170</v>
      </c>
      <c r="AV227" s="103" t="s">
        <v>4338</v>
      </c>
      <c r="AW227" s="103" t="s">
        <v>4338</v>
      </c>
      <c r="AX227" s="105">
        <v>46182</v>
      </c>
      <c r="AY227" s="106">
        <v>46182</v>
      </c>
      <c r="AZ227" s="260" t="s">
        <v>4453</v>
      </c>
      <c r="BA227" s="245" t="s">
        <v>4454</v>
      </c>
      <c r="BB227" s="249" t="s">
        <v>4338</v>
      </c>
      <c r="BC227" s="220">
        <f>IF(AY227-KD227=0,"",AY227-O227)</f>
        <v>96</v>
      </c>
      <c r="BD227" s="103" t="str">
        <f>IF(AND(AI227&lt;&gt;"SIM",AI227="UH"),"AA","INDENIZAÇÃO")</f>
        <v>INDENIZAÇÃO</v>
      </c>
      <c r="BE227" s="103" t="str">
        <f>IF(AND(AY227&lt;&gt;"AGUARDANDO",AY227&lt;&gt;"",N227="AUXÍLIO ALUGUEL ATÉ INDENIZAÇÃO"),"SIM","NÃO")</f>
        <v>NÃO</v>
      </c>
      <c r="BF227" s="250" t="s">
        <v>4357</v>
      </c>
      <c r="BG227" s="250" t="s">
        <v>4357</v>
      </c>
      <c r="BH227" s="250" t="s">
        <v>4357</v>
      </c>
      <c r="BI227" s="251" t="s">
        <v>4912</v>
      </c>
      <c r="BJ227" s="154"/>
      <c r="BK227" s="154"/>
      <c r="BL227" s="154"/>
      <c r="BM227" s="237"/>
      <c r="BN227" s="231"/>
    </row>
    <row r="228" spans="1:67" s="232" customFormat="1" ht="29.25" customHeight="1">
      <c r="A228" s="103">
        <v>219</v>
      </c>
      <c r="B228" s="103" t="s">
        <v>4431</v>
      </c>
      <c r="C228" s="103" t="s">
        <v>5295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>IF(AY228-KD228=0,"",AY228-O228)</f>
        <v/>
      </c>
      <c r="BD228" s="103" t="str">
        <f>IF(AND(AI228&lt;&gt;"SIM",AI228="UH"),"AA","INDENIZAÇÃO")</f>
        <v>AA</v>
      </c>
      <c r="BE228" s="103" t="str">
        <f>IF(AND(AY228&lt;&gt;"AGUARDANDO",AY228&lt;&gt;"",N228="AUXÍLIO ALUGUEL ATÉ INDENIZAÇÃO"),"SIM","NÃO")</f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customHeight="1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>IF(AY229-KD229=0,"",AY229-O229)</f>
        <v/>
      </c>
      <c r="BD229" s="103" t="str">
        <f>IF(AND(AI229&lt;&gt;"SIM",AI229="UH"),"AA","INDENIZAÇÃO")</f>
        <v>AA</v>
      </c>
      <c r="BE229" s="103" t="str">
        <f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>
      <c r="A230" s="165">
        <v>221</v>
      </c>
      <c r="B230" s="103" t="s">
        <v>4431</v>
      </c>
      <c r="C230" s="103" t="s">
        <v>5295</v>
      </c>
      <c r="D230" s="103">
        <v>1</v>
      </c>
      <c r="E230" s="103" t="s">
        <v>4432</v>
      </c>
      <c r="F230" s="104" t="s">
        <v>5401</v>
      </c>
      <c r="G230" s="103" t="s">
        <v>4351</v>
      </c>
      <c r="H230" s="103" t="s">
        <v>4331</v>
      </c>
      <c r="I230" s="153" t="s">
        <v>4332</v>
      </c>
      <c r="J230" s="149" t="s">
        <v>5402</v>
      </c>
      <c r="K230" s="149" t="s">
        <v>5403</v>
      </c>
      <c r="L230" s="149" t="s">
        <v>5404</v>
      </c>
      <c r="M230" s="103" t="s">
        <v>4333</v>
      </c>
      <c r="N230" s="103" t="s">
        <v>4459</v>
      </c>
      <c r="O230" s="105">
        <v>45979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5402</v>
      </c>
      <c r="AC230" s="104" t="s">
        <v>5403</v>
      </c>
      <c r="AD230" s="104" t="s">
        <v>5404</v>
      </c>
      <c r="AE230" s="153" t="s">
        <v>4332</v>
      </c>
      <c r="AF230" s="103" t="s">
        <v>4333</v>
      </c>
      <c r="AG230" s="208">
        <v>2213.9299999999998</v>
      </c>
      <c r="AH230" s="208">
        <f>AG230+30000</f>
        <v>32213.93</v>
      </c>
      <c r="AI230" s="103" t="s">
        <v>4336</v>
      </c>
      <c r="AJ230" s="104" t="s">
        <v>4438</v>
      </c>
      <c r="AK230" s="103">
        <v>146041203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5405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46014</v>
      </c>
      <c r="AV230" s="112" t="s">
        <v>4338</v>
      </c>
      <c r="AW230" s="103" t="s">
        <v>4338</v>
      </c>
      <c r="AX230" s="105">
        <v>46021</v>
      </c>
      <c r="AY230" s="106">
        <v>46021</v>
      </c>
      <c r="AZ230" s="111">
        <v>46017</v>
      </c>
      <c r="BA230" s="103" t="s">
        <v>4770</v>
      </c>
      <c r="BB230" s="136" t="s">
        <v>4338</v>
      </c>
      <c r="BC230" s="220">
        <f>IF(AY230-KD230=0,"",AY230-O230)</f>
        <v>42</v>
      </c>
      <c r="BD230" s="103" t="str">
        <f>IF(AND(AI230&lt;&gt;"SIM",AI230="UH"),"AA","INDENIZAÇÃO")</f>
        <v>INDENIZAÇÃO</v>
      </c>
      <c r="BE230" s="103" t="str">
        <f>IF(AND(AY230&lt;&gt;"AGUARDANDO",AY230&lt;&gt;"",N230="AUXÍLIO ALUGUEL ATÉ INDENIZAÇÃO"),"SIM","NÃO")</f>
        <v>NÃO</v>
      </c>
      <c r="BF230" s="140" t="s">
        <v>4357</v>
      </c>
      <c r="BG230" s="140" t="s">
        <v>4357</v>
      </c>
      <c r="BH230" s="140" t="s">
        <v>4357</v>
      </c>
      <c r="BI230" s="103" t="s">
        <v>4338</v>
      </c>
      <c r="BJ230" s="103" t="s">
        <v>4338</v>
      </c>
      <c r="BK230" s="105">
        <v>46205</v>
      </c>
      <c r="BL230" s="154" t="s">
        <v>4461</v>
      </c>
      <c r="BM230" s="237"/>
    </row>
    <row r="231" spans="1:67" s="232" customFormat="1" ht="29.25" customHeight="1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>IF(AY231-KD231=0,"",AY231-O231)</f>
        <v/>
      </c>
      <c r="BD231" s="103" t="str">
        <f>IF(AND(AI231&lt;&gt;"SIM",AI231="UH"),"AA","INDENIZAÇÃO")</f>
        <v>INDENIZAÇÃO</v>
      </c>
      <c r="BE231" s="103" t="str">
        <f>IF(AND(AY231&lt;&gt;"AGUARDANDO",AY231&lt;&gt;"",N231="AUXÍLIO ALUGUEL ATÉ INDENIZAÇÃO"),"SIM","NÃO")</f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customHeight="1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6"/>
      <c r="AV232" s="112"/>
      <c r="AW232" s="103"/>
      <c r="AX232" s="105"/>
      <c r="AY232" s="166"/>
      <c r="AZ232" s="105"/>
      <c r="BA232" s="103"/>
      <c r="BB232" s="136"/>
      <c r="BC232" s="220" t="str">
        <f>IF(AY232-KD232=0,"",AY232-O232)</f>
        <v/>
      </c>
      <c r="BD232" s="103" t="str">
        <f>IF(AND(AI232&lt;&gt;"SIM",AI232="UH"),"AA","INDENIZAÇÃO")</f>
        <v>INDENIZAÇÃO</v>
      </c>
      <c r="BE232" s="103" t="str">
        <f>IF(AND(AY232&lt;&gt;"AGUARDANDO",AY232&lt;&gt;"",N232="AUXÍLIO ALUGUEL ATÉ INDENIZAÇÃO"),"SIM","NÃO")</f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customHeight="1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>IF(AY233-KD233=0,"",AY233-O233)</f>
        <v/>
      </c>
      <c r="BD233" s="103" t="str">
        <f>IF(AND(AI233&lt;&gt;"SIM",AI233="UH"),"AA","INDENIZAÇÃO")</f>
        <v>INDENIZAÇÃO</v>
      </c>
      <c r="BE233" s="103" t="str">
        <f>IF(AND(AY233&lt;&gt;"AGUARDANDO",AY233&lt;&gt;"",N233="AUXÍLIO ALUGUEL ATÉ INDENIZAÇÃO"),"SIM","NÃO")</f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customHeight="1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>IF(AY234-KD234=0,"",AY234-O234)</f>
        <v/>
      </c>
      <c r="BD234" s="103" t="str">
        <f>IF(AND(AI234&lt;&gt;"SIM",AI234="UH"),"AA","INDENIZAÇÃO")</f>
        <v>INDENIZAÇÃO</v>
      </c>
      <c r="BE234" s="103" t="str">
        <f>IF(AND(AY234&lt;&gt;"AGUARDANDO",AY234&lt;&gt;"",N234="AUXÍLIO ALUGUEL ATÉ INDENIZAÇÃO"),"SIM","NÃO")</f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customHeight="1">
      <c r="A235" s="103">
        <v>226</v>
      </c>
      <c r="B235" s="103" t="s">
        <v>4431</v>
      </c>
      <c r="C235" s="103" t="s">
        <v>5295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>IF(AY235-KD235=0,"",AY235-O235)</f>
        <v/>
      </c>
      <c r="BD235" s="103" t="str">
        <f>IF(AND(AI235&lt;&gt;"SIM",AI235="UH"),"AA","INDENIZAÇÃO")</f>
        <v>AA</v>
      </c>
      <c r="BE235" s="103" t="str">
        <f>IF(AND(AY235&lt;&gt;"AGUARDANDO",AY235&lt;&gt;"",N235="AUXÍLIO ALUGUEL ATÉ INDENIZAÇÃO"),"SIM","NÃO")</f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customHeight="1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>IF(AY236-KD236=0,"",AY236-O236)</f>
        <v/>
      </c>
      <c r="BD236" s="103" t="str">
        <f>IF(AND(AI236&lt;&gt;"SIM",AI236="UH"),"AA","INDENIZAÇÃO")</f>
        <v>AA</v>
      </c>
      <c r="BE236" s="103" t="str">
        <f>IF(AND(AY236&lt;&gt;"AGUARDANDO",AY236&lt;&gt;"",N236="AUXÍLIO ALUGUEL ATÉ INDENIZAÇÃO"),"SIM","NÃO")</f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5434</v>
      </c>
      <c r="G237" s="103" t="s">
        <v>4330</v>
      </c>
      <c r="H237" s="103" t="s">
        <v>4331</v>
      </c>
      <c r="I237" s="142" t="s">
        <v>4343</v>
      </c>
      <c r="J237" s="149" t="s">
        <v>5435</v>
      </c>
      <c r="K237" s="149" t="s">
        <v>5436</v>
      </c>
      <c r="L237" s="149" t="s">
        <v>5437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5"/>
      <c r="AB237" s="149" t="s">
        <v>5435</v>
      </c>
      <c r="AC237" s="104" t="s">
        <v>5436</v>
      </c>
      <c r="AD237" s="104" t="s">
        <v>5437</v>
      </c>
      <c r="AE237" s="103" t="s">
        <v>4343</v>
      </c>
      <c r="AF237" s="103" t="s">
        <v>4333</v>
      </c>
      <c r="AG237" s="208">
        <v>67529.31</v>
      </c>
      <c r="AH237" s="208">
        <v>67529.31</v>
      </c>
      <c r="AI237" s="103" t="s">
        <v>4336</v>
      </c>
      <c r="AJ237" s="104" t="s">
        <v>4438</v>
      </c>
      <c r="AK237" s="103">
        <v>148263063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5438</v>
      </c>
      <c r="AQ237" s="103" t="s">
        <v>4338</v>
      </c>
      <c r="AR237" s="103" t="s">
        <v>4338</v>
      </c>
      <c r="AS237" s="143" t="s">
        <v>4338</v>
      </c>
      <c r="AT237" s="103" t="s">
        <v>4338</v>
      </c>
      <c r="AU237" s="105">
        <v>46118</v>
      </c>
      <c r="AV237" s="103" t="s">
        <v>4338</v>
      </c>
      <c r="AW237" s="103" t="s">
        <v>4338</v>
      </c>
      <c r="AX237" s="105">
        <v>46122</v>
      </c>
      <c r="AY237" s="106">
        <v>46122</v>
      </c>
      <c r="AZ237" s="106" t="s">
        <v>4453</v>
      </c>
      <c r="BA237" s="107" t="s">
        <v>4454</v>
      </c>
      <c r="BB237" s="136" t="s">
        <v>4338</v>
      </c>
      <c r="BC237" s="220">
        <f>IF(AY237-KD237=0,"",AY237-O237)</f>
        <v>84</v>
      </c>
      <c r="BD237" s="103" t="str">
        <f>IF(AND(AI237&lt;&gt;"SIM",AI237="UH"),"AA","INDENIZAÇÃO")</f>
        <v>INDENIZAÇÃO</v>
      </c>
      <c r="BE237" s="103" t="str">
        <f>IF(AND(AY237&lt;&gt;"AGUARDANDO",AY237&lt;&gt;"",N237="AUXÍLIO ALUGUEL ATÉ INDENIZAÇÃO"),"SIM","NÃO")</f>
        <v>NÃO</v>
      </c>
      <c r="BF237" s="112" t="s">
        <v>4357</v>
      </c>
      <c r="BG237" s="112" t="s">
        <v>4357</v>
      </c>
      <c r="BH237" s="112" t="s">
        <v>4357</v>
      </c>
      <c r="BI237" s="109" t="s">
        <v>4912</v>
      </c>
      <c r="BJ237" s="109"/>
      <c r="BK237" s="109"/>
      <c r="BL237" s="109"/>
      <c r="BM237" s="239"/>
    </row>
    <row r="238" spans="1:67" s="232" customFormat="1" ht="29.25" customHeight="1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5439</v>
      </c>
      <c r="G238" s="103" t="s">
        <v>4330</v>
      </c>
      <c r="H238" s="103" t="s">
        <v>4331</v>
      </c>
      <c r="I238" s="142" t="s">
        <v>4343</v>
      </c>
      <c r="J238" s="149" t="s">
        <v>5440</v>
      </c>
      <c r="K238" s="149" t="s">
        <v>5441</v>
      </c>
      <c r="L238" s="149" t="s">
        <v>5442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5440</v>
      </c>
      <c r="AC238" s="104" t="s">
        <v>5441</v>
      </c>
      <c r="AD238" s="104" t="s">
        <v>5442</v>
      </c>
      <c r="AE238" s="103" t="s">
        <v>4343</v>
      </c>
      <c r="AF238" s="103" t="s">
        <v>4333</v>
      </c>
      <c r="AG238" s="194">
        <v>60481.1</v>
      </c>
      <c r="AH238" s="194">
        <v>60481.1</v>
      </c>
      <c r="AI238" s="103" t="s">
        <v>4336</v>
      </c>
      <c r="AJ238" s="104" t="s">
        <v>4438</v>
      </c>
      <c r="AK238" s="103">
        <v>148263429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5443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46125</v>
      </c>
      <c r="AV238" s="103" t="s">
        <v>4338</v>
      </c>
      <c r="AW238" s="103" t="s">
        <v>4338</v>
      </c>
      <c r="AX238" s="105">
        <v>46139</v>
      </c>
      <c r="AY238" s="106">
        <v>46139</v>
      </c>
      <c r="AZ238" s="106" t="s">
        <v>4453</v>
      </c>
      <c r="BA238" s="107" t="s">
        <v>4454</v>
      </c>
      <c r="BB238" s="136" t="s">
        <v>4338</v>
      </c>
      <c r="BC238" s="220">
        <f>IF(AY238-KD238=0,"",AY238-O238)</f>
        <v>101</v>
      </c>
      <c r="BD238" s="103" t="str">
        <f>IF(AND(AI238&lt;&gt;"SIM",AI238="UH"),"AA","INDENIZAÇÃO")</f>
        <v>INDENIZAÇÃO</v>
      </c>
      <c r="BE238" s="103" t="str">
        <f>IF(AND(AY238&lt;&gt;"AGUARDANDO",AY238&lt;&gt;"",N238="AUXÍLIO ALUGUEL ATÉ INDENIZAÇÃO"),"SIM","NÃO")</f>
        <v>NÃO</v>
      </c>
      <c r="BF238" s="112" t="s">
        <v>4357</v>
      </c>
      <c r="BG238" s="112" t="s">
        <v>4357</v>
      </c>
      <c r="BH238" s="112" t="s">
        <v>4357</v>
      </c>
      <c r="BI238" s="109" t="s">
        <v>4912</v>
      </c>
      <c r="BJ238" s="109"/>
      <c r="BK238" s="109"/>
      <c r="BL238" s="109"/>
      <c r="BM238" s="239"/>
      <c r="BN238" s="231"/>
      <c r="BO238" s="231"/>
    </row>
    <row r="239" spans="1:67" s="232" customFormat="1" ht="29.25" customHeight="1">
      <c r="A239" s="103">
        <v>230</v>
      </c>
      <c r="B239" s="103" t="s">
        <v>4431</v>
      </c>
      <c r="C239" s="103" t="s">
        <v>5295</v>
      </c>
      <c r="D239" s="103">
        <v>1</v>
      </c>
      <c r="E239" s="103" t="s">
        <v>4432</v>
      </c>
      <c r="F239" s="104" t="s">
        <v>5444</v>
      </c>
      <c r="G239" s="103" t="s">
        <v>4330</v>
      </c>
      <c r="H239" s="103" t="s">
        <v>4331</v>
      </c>
      <c r="I239" s="142" t="s">
        <v>4343</v>
      </c>
      <c r="J239" s="149" t="s">
        <v>5445</v>
      </c>
      <c r="K239" s="149" t="s">
        <v>5446</v>
      </c>
      <c r="L239" s="149" t="s">
        <v>5447</v>
      </c>
      <c r="M239" s="103" t="s">
        <v>4333</v>
      </c>
      <c r="N239" s="103" t="s">
        <v>4459</v>
      </c>
      <c r="O239" s="105">
        <v>45979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3"/>
      <c r="AB239" s="149" t="s">
        <v>5445</v>
      </c>
      <c r="AC239" s="149" t="s">
        <v>5446</v>
      </c>
      <c r="AD239" s="149" t="s">
        <v>5447</v>
      </c>
      <c r="AE239" s="212" t="s">
        <v>4343</v>
      </c>
      <c r="AF239" s="212" t="s">
        <v>4333</v>
      </c>
      <c r="AG239" s="194">
        <v>13517.83</v>
      </c>
      <c r="AH239" s="194">
        <f>AG239+30000</f>
        <v>43517.83</v>
      </c>
      <c r="AI239" s="103" t="s">
        <v>4336</v>
      </c>
      <c r="AJ239" s="104" t="s">
        <v>4438</v>
      </c>
      <c r="AK239" s="103">
        <v>146041333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5448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46014</v>
      </c>
      <c r="AV239" s="112" t="s">
        <v>4338</v>
      </c>
      <c r="AW239" s="103" t="s">
        <v>4338</v>
      </c>
      <c r="AX239" s="105">
        <v>46021</v>
      </c>
      <c r="AY239" s="106">
        <v>46021</v>
      </c>
      <c r="AZ239" s="111">
        <v>46017</v>
      </c>
      <c r="BA239" s="103" t="s">
        <v>4360</v>
      </c>
      <c r="BB239" s="136" t="s">
        <v>4338</v>
      </c>
      <c r="BC239" s="220">
        <f>IF(AY239-KD239=0,"",AY239-O239)</f>
        <v>42</v>
      </c>
      <c r="BD239" s="103" t="str">
        <f>IF(AND(AI239&lt;&gt;"SIM",AI239="UH"),"AA","INDENIZAÇÃO")</f>
        <v>INDENIZAÇÃO</v>
      </c>
      <c r="BE239" s="103" t="str">
        <f>IF(AND(AY239&lt;&gt;"AGUARDANDO",AY239&lt;&gt;"",N239="AUXÍLIO ALUGUEL ATÉ INDENIZAÇÃO"),"SIM","NÃO")</f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46205</v>
      </c>
      <c r="BL239" s="154" t="s">
        <v>4461</v>
      </c>
      <c r="BM239" s="237"/>
      <c r="BN239" s="231"/>
      <c r="BO239" s="231"/>
    </row>
    <row r="240" spans="1:67" s="232" customFormat="1" ht="29.25" customHeight="1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5449</v>
      </c>
      <c r="G240" s="103" t="s">
        <v>4330</v>
      </c>
      <c r="H240" s="103" t="s">
        <v>4331</v>
      </c>
      <c r="I240" s="142" t="s">
        <v>4343</v>
      </c>
      <c r="J240" s="149" t="s">
        <v>5450</v>
      </c>
      <c r="K240" s="149" t="s">
        <v>5451</v>
      </c>
      <c r="L240" s="149" t="s">
        <v>5452</v>
      </c>
      <c r="M240" s="103" t="s">
        <v>4333</v>
      </c>
      <c r="N240" s="103" t="s">
        <v>4459</v>
      </c>
      <c r="O240" s="105">
        <v>46059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5450</v>
      </c>
      <c r="AC240" s="104" t="s">
        <v>5451</v>
      </c>
      <c r="AD240" s="104" t="s">
        <v>5452</v>
      </c>
      <c r="AE240" s="165" t="s">
        <v>4343</v>
      </c>
      <c r="AF240" s="165" t="s">
        <v>4333</v>
      </c>
      <c r="AG240" s="194">
        <v>40492.53</v>
      </c>
      <c r="AH240" s="194">
        <v>60000</v>
      </c>
      <c r="AI240" s="103" t="s">
        <v>4336</v>
      </c>
      <c r="AJ240" s="104" t="s">
        <v>4438</v>
      </c>
      <c r="AK240" s="103">
        <v>149646688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5453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46153</v>
      </c>
      <c r="AV240" s="103" t="s">
        <v>4338</v>
      </c>
      <c r="AW240" s="103" t="s">
        <v>4338</v>
      </c>
      <c r="AX240" s="105">
        <v>46160</v>
      </c>
      <c r="AY240" s="106">
        <v>46160</v>
      </c>
      <c r="AZ240" s="174" t="s">
        <v>4453</v>
      </c>
      <c r="BA240" s="174" t="s">
        <v>4454</v>
      </c>
      <c r="BB240" s="112" t="s">
        <v>4338</v>
      </c>
      <c r="BC240" s="220">
        <f>IF(AY240-KD240=0,"",AY240-O240)</f>
        <v>101</v>
      </c>
      <c r="BD240" s="103" t="str">
        <f>IF(AND(AI240&lt;&gt;"SIM",AI240="UH"),"AA","INDENIZAÇÃO")</f>
        <v>INDENIZAÇÃO</v>
      </c>
      <c r="BE240" s="103" t="str">
        <f>IF(AND(AY240&lt;&gt;"AGUARDANDO",AY240&lt;&gt;"",N240="AUXÍLIO ALUGUEL ATÉ INDENIZAÇÃO"),"SIM","NÃO")</f>
        <v>NÃO</v>
      </c>
      <c r="BF240" s="112" t="s">
        <v>4357</v>
      </c>
      <c r="BG240" s="112" t="s">
        <v>4357</v>
      </c>
      <c r="BH240" s="112" t="s">
        <v>4357</v>
      </c>
      <c r="BI240" s="109" t="s">
        <v>4912</v>
      </c>
      <c r="BJ240" s="109"/>
      <c r="BK240" s="109"/>
      <c r="BL240" s="109"/>
      <c r="BM240" s="239"/>
    </row>
    <row r="241" spans="1:107" s="232" customFormat="1" ht="29.25" customHeight="1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5454</v>
      </c>
      <c r="G241" s="103" t="s">
        <v>4330</v>
      </c>
      <c r="H241" s="103" t="s">
        <v>4331</v>
      </c>
      <c r="I241" s="142" t="s">
        <v>4343</v>
      </c>
      <c r="J241" s="149" t="s">
        <v>5455</v>
      </c>
      <c r="K241" s="149" t="s">
        <v>5456</v>
      </c>
      <c r="L241" s="149" t="s">
        <v>5457</v>
      </c>
      <c r="M241" s="103" t="s">
        <v>4333</v>
      </c>
      <c r="N241" s="103" t="s">
        <v>4459</v>
      </c>
      <c r="O241" s="105">
        <v>45996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5455</v>
      </c>
      <c r="AC241" s="104" t="s">
        <v>5456</v>
      </c>
      <c r="AD241" s="104" t="s">
        <v>5457</v>
      </c>
      <c r="AE241" s="103" t="s">
        <v>4343</v>
      </c>
      <c r="AF241" s="103" t="s">
        <v>4333</v>
      </c>
      <c r="AG241" s="194">
        <v>72048.3</v>
      </c>
      <c r="AH241" s="194">
        <v>72048.3</v>
      </c>
      <c r="AI241" s="103" t="s">
        <v>4336</v>
      </c>
      <c r="AJ241" s="104" t="s">
        <v>4438</v>
      </c>
      <c r="AK241" s="103">
        <v>147039412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5458</v>
      </c>
      <c r="AQ241" s="103" t="s">
        <v>4338</v>
      </c>
      <c r="AR241" s="103" t="s">
        <v>4338</v>
      </c>
      <c r="AS241" s="143" t="s">
        <v>4338</v>
      </c>
      <c r="AT241" s="165" t="s">
        <v>4338</v>
      </c>
      <c r="AU241" s="105">
        <v>46009</v>
      </c>
      <c r="AV241" s="112" t="s">
        <v>4338</v>
      </c>
      <c r="AW241" s="103" t="s">
        <v>4338</v>
      </c>
      <c r="AX241" s="105">
        <v>46021</v>
      </c>
      <c r="AY241" s="106">
        <v>46021</v>
      </c>
      <c r="AZ241" s="106" t="s">
        <v>4453</v>
      </c>
      <c r="BA241" s="107" t="s">
        <v>4454</v>
      </c>
      <c r="BB241" s="136" t="s">
        <v>4338</v>
      </c>
      <c r="BC241" s="220">
        <f>IF(AY241-KD241=0,"",AY241-O241)</f>
        <v>25</v>
      </c>
      <c r="BD241" s="103" t="str">
        <f>IF(AND(AI241&lt;&gt;"SIM",AI241="UH"),"AA","INDENIZAÇÃO")</f>
        <v>INDENIZAÇÃO</v>
      </c>
      <c r="BE241" s="103" t="str">
        <f>IF(AND(AY241&lt;&gt;"AGUARDANDO",AY241&lt;&gt;"",N241="AUXÍLIO ALUGUEL ATÉ INDENIZAÇÃO"),"SIM","NÃO")</f>
        <v>NÃO</v>
      </c>
      <c r="BF241" s="140" t="s">
        <v>4357</v>
      </c>
      <c r="BG241" s="140" t="s">
        <v>4357</v>
      </c>
      <c r="BH241" s="140" t="s">
        <v>4357</v>
      </c>
      <c r="BI241" s="103" t="s">
        <v>4338</v>
      </c>
      <c r="BJ241" s="103" t="s">
        <v>4338</v>
      </c>
      <c r="BK241" s="105">
        <v>46205</v>
      </c>
      <c r="BL241" s="154" t="s">
        <v>4461</v>
      </c>
      <c r="BM241" s="237"/>
    </row>
    <row r="242" spans="1:107" s="232" customFormat="1" ht="29.25" customHeight="1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5459</v>
      </c>
      <c r="G242" s="103" t="s">
        <v>4330</v>
      </c>
      <c r="H242" s="103" t="s">
        <v>4331</v>
      </c>
      <c r="I242" s="142" t="s">
        <v>4343</v>
      </c>
      <c r="J242" s="149" t="s">
        <v>5460</v>
      </c>
      <c r="K242" s="149" t="s">
        <v>5461</v>
      </c>
      <c r="L242" s="149" t="s">
        <v>5462</v>
      </c>
      <c r="M242" s="103" t="s">
        <v>4333</v>
      </c>
      <c r="N242" s="103" t="s">
        <v>4459</v>
      </c>
      <c r="O242" s="105">
        <v>46059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5460</v>
      </c>
      <c r="AC242" s="104" t="s">
        <v>5461</v>
      </c>
      <c r="AD242" s="104" t="s">
        <v>5462</v>
      </c>
      <c r="AE242" s="103" t="s">
        <v>4343</v>
      </c>
      <c r="AF242" s="103" t="s">
        <v>4333</v>
      </c>
      <c r="AG242" s="194">
        <v>70103.820000000007</v>
      </c>
      <c r="AH242" s="194">
        <v>70103.820000000007</v>
      </c>
      <c r="AI242" s="103" t="s">
        <v>4336</v>
      </c>
      <c r="AJ242" s="104" t="s">
        <v>4438</v>
      </c>
      <c r="AK242" s="103">
        <v>152013359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5463</v>
      </c>
      <c r="AQ242" s="103" t="s">
        <v>4338</v>
      </c>
      <c r="AR242" s="103" t="s">
        <v>4338</v>
      </c>
      <c r="AS242" s="143" t="s">
        <v>4338</v>
      </c>
      <c r="AT242" s="103" t="s">
        <v>4338</v>
      </c>
      <c r="AU242" s="105">
        <v>46118</v>
      </c>
      <c r="AV242" s="103" t="s">
        <v>4338</v>
      </c>
      <c r="AW242" s="103" t="s">
        <v>4338</v>
      </c>
      <c r="AX242" s="105">
        <v>46122</v>
      </c>
      <c r="AY242" s="106">
        <v>46122</v>
      </c>
      <c r="AZ242" s="106" t="s">
        <v>4453</v>
      </c>
      <c r="BA242" s="107" t="s">
        <v>4454</v>
      </c>
      <c r="BB242" s="136" t="s">
        <v>4338</v>
      </c>
      <c r="BC242" s="220">
        <f>IF(AY242-KD242=0,"",AY242-O242)</f>
        <v>63</v>
      </c>
      <c r="BD242" s="103" t="str">
        <f>IF(AND(AI242&lt;&gt;"SIM",AI242="UH"),"AA","INDENIZAÇÃO")</f>
        <v>INDENIZAÇÃO</v>
      </c>
      <c r="BE242" s="103" t="str">
        <f>IF(AND(AY242&lt;&gt;"AGUARDANDO",AY242&lt;&gt;"",N242="AUXÍLIO ALUGUEL ATÉ INDENIZAÇÃO"),"SIM","NÃO")</f>
        <v>NÃO</v>
      </c>
      <c r="BF242" s="112" t="s">
        <v>4357</v>
      </c>
      <c r="BG242" s="112" t="s">
        <v>4357</v>
      </c>
      <c r="BH242" s="112" t="s">
        <v>4357</v>
      </c>
      <c r="BI242" s="109" t="s">
        <v>4912</v>
      </c>
      <c r="BJ242" s="109"/>
      <c r="BK242" s="109"/>
      <c r="BL242" s="109"/>
      <c r="BM242" s="239"/>
    </row>
    <row r="243" spans="1:107" s="232" customFormat="1" ht="29.25" customHeight="1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5464</v>
      </c>
      <c r="G243" s="103" t="s">
        <v>4330</v>
      </c>
      <c r="H243" s="103" t="s">
        <v>4331</v>
      </c>
      <c r="I243" s="142" t="s">
        <v>4343</v>
      </c>
      <c r="J243" s="149" t="s">
        <v>5465</v>
      </c>
      <c r="K243" s="149" t="s">
        <v>5466</v>
      </c>
      <c r="L243" s="149" t="s">
        <v>5467</v>
      </c>
      <c r="M243" s="103" t="s">
        <v>4333</v>
      </c>
      <c r="N243" s="103" t="s">
        <v>4459</v>
      </c>
      <c r="O243" s="105">
        <v>46045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5465</v>
      </c>
      <c r="AC243" s="104" t="s">
        <v>5466</v>
      </c>
      <c r="AD243" s="104" t="s">
        <v>5467</v>
      </c>
      <c r="AE243" s="103" t="s">
        <v>4343</v>
      </c>
      <c r="AF243" s="103" t="s">
        <v>4333</v>
      </c>
      <c r="AG243" s="194">
        <v>12093.09</v>
      </c>
      <c r="AH243" s="194">
        <f>AG243+30000</f>
        <v>42093.09</v>
      </c>
      <c r="AI243" s="103" t="s">
        <v>4336</v>
      </c>
      <c r="AJ243" s="104" t="s">
        <v>4438</v>
      </c>
      <c r="AK243" s="103">
        <v>149097459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5468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46111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>IF(AY243-KD243=0,"",AY243-O243)</f>
        <v>69</v>
      </c>
      <c r="BD243" s="103" t="str">
        <f>IF(AND(AI243&lt;&gt;"SIM",AI243="UH"),"AA","INDENIZAÇÃO")</f>
        <v>INDENIZAÇÃO</v>
      </c>
      <c r="BE243" s="103" t="str">
        <f>IF(AND(AY243&lt;&gt;"AGUARDANDO",AY243&lt;&gt;"",N243="AUXÍLIO ALUGUEL ATÉ INDENIZAÇÃO"),"SIM","NÃO")</f>
        <v>NÃO</v>
      </c>
      <c r="BF243" s="140" t="s">
        <v>4357</v>
      </c>
      <c r="BG243" s="140" t="s">
        <v>4357</v>
      </c>
      <c r="BH243" s="140" t="s">
        <v>4357</v>
      </c>
      <c r="BI243" s="154" t="s">
        <v>4912</v>
      </c>
      <c r="BJ243" s="154"/>
      <c r="BK243" s="154"/>
      <c r="BL243" s="154"/>
      <c r="BM243" s="237"/>
      <c r="BN243" s="231"/>
      <c r="BO243" s="231"/>
    </row>
    <row r="244" spans="1:107" s="232" customFormat="1" ht="29.25" customHeight="1">
      <c r="A244" s="165">
        <v>235</v>
      </c>
      <c r="B244" s="103" t="s">
        <v>4431</v>
      </c>
      <c r="C244" s="103" t="s">
        <v>5295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>IF(AY244-KD244=0,"",AY244-O244)</f>
        <v/>
      </c>
      <c r="BD244" s="103" t="str">
        <f>IF(AND(AI244&lt;&gt;"SIM",AI244="UH"),"AA","INDENIZAÇÃO")</f>
        <v>AA</v>
      </c>
      <c r="BE244" s="103" t="str">
        <f>IF(AND(AY244&lt;&gt;"AGUARDANDO",AY244&lt;&gt;"",N244="AUXÍLIO ALUGUEL ATÉ INDENIZAÇÃO"),"SIM","NÃO")</f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customHeight="1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5473</v>
      </c>
      <c r="G245" s="103" t="s">
        <v>4330</v>
      </c>
      <c r="H245" s="103" t="s">
        <v>4331</v>
      </c>
      <c r="I245" s="142" t="s">
        <v>4343</v>
      </c>
      <c r="J245" s="149" t="s">
        <v>5474</v>
      </c>
      <c r="K245" s="149" t="s">
        <v>5475</v>
      </c>
      <c r="L245" s="149" t="s">
        <v>5476</v>
      </c>
      <c r="M245" s="103" t="s">
        <v>4333</v>
      </c>
      <c r="N245" s="103" t="s">
        <v>4459</v>
      </c>
      <c r="O245" s="105">
        <v>46001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49" t="s">
        <v>5474</v>
      </c>
      <c r="AC245" s="149" t="s">
        <v>5475</v>
      </c>
      <c r="AD245" s="149" t="s">
        <v>5476</v>
      </c>
      <c r="AE245" s="165" t="s">
        <v>4343</v>
      </c>
      <c r="AF245" s="165" t="s">
        <v>4333</v>
      </c>
      <c r="AG245" s="208">
        <v>97512.55</v>
      </c>
      <c r="AH245" s="208">
        <v>97512.55</v>
      </c>
      <c r="AI245" s="165" t="s">
        <v>4336</v>
      </c>
      <c r="AJ245" s="104" t="s">
        <v>4438</v>
      </c>
      <c r="AK245" s="103">
        <v>147041642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5477</v>
      </c>
      <c r="AQ245" s="103" t="s">
        <v>4338</v>
      </c>
      <c r="AR245" s="103" t="s">
        <v>4338</v>
      </c>
      <c r="AS245" s="143" t="s">
        <v>4338</v>
      </c>
      <c r="AT245" s="103" t="s">
        <v>4338</v>
      </c>
      <c r="AU245" s="108">
        <v>46017</v>
      </c>
      <c r="AV245" s="112" t="s">
        <v>4338</v>
      </c>
      <c r="AW245" s="103" t="s">
        <v>4338</v>
      </c>
      <c r="AX245" s="108">
        <v>46024</v>
      </c>
      <c r="AY245" s="106">
        <v>46024</v>
      </c>
      <c r="AZ245" s="225" t="s">
        <v>4453</v>
      </c>
      <c r="BA245" s="174" t="s">
        <v>4454</v>
      </c>
      <c r="BB245" s="136" t="s">
        <v>4338</v>
      </c>
      <c r="BC245" s="220">
        <f>IF(AY245-KD245=0,"",AY245-O245)</f>
        <v>23</v>
      </c>
      <c r="BD245" s="103" t="str">
        <f>IF(AND(AI245&lt;&gt;"SIM",AI245="UH"),"AA","INDENIZAÇÃO")</f>
        <v>INDENIZAÇÃO</v>
      </c>
      <c r="BE245" s="103" t="str">
        <f>IF(AND(AY245&lt;&gt;"AGUARDANDO",AY245&lt;&gt;"",N245="AUXÍLIO ALUGUEL ATÉ INDENIZAÇÃO"),"SIM","NÃO")</f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46205</v>
      </c>
      <c r="BL245" s="154" t="s">
        <v>4461</v>
      </c>
      <c r="BM245" s="237"/>
    </row>
    <row r="246" spans="1:107" s="232" customFormat="1" ht="29.25" customHeight="1">
      <c r="A246" s="103">
        <v>237</v>
      </c>
      <c r="B246" s="103" t="s">
        <v>4431</v>
      </c>
      <c r="C246" s="103" t="s">
        <v>5295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>IF(AY246-KD246=0,"",AY246-O246)</f>
        <v/>
      </c>
      <c r="BD246" s="103" t="str">
        <f>IF(AND(AI246&lt;&gt;"SIM",AI246="UH"),"AA","INDENIZAÇÃO")</f>
        <v>AA</v>
      </c>
      <c r="BE246" s="103" t="str">
        <f>IF(AND(AY246&lt;&gt;"AGUARDANDO",AY246&lt;&gt;"",N246="AUXÍLIO ALUGUEL ATÉ INDENIZAÇÃO"),"SIM","NÃO")</f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customHeight="1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>
      <c r="A248" s="165">
        <v>239</v>
      </c>
      <c r="B248" s="103" t="s">
        <v>4431</v>
      </c>
      <c r="C248" s="103" t="s">
        <v>5295</v>
      </c>
      <c r="D248" s="103">
        <v>1</v>
      </c>
      <c r="E248" s="103" t="s">
        <v>4432</v>
      </c>
      <c r="F248" s="104" t="s">
        <v>5485</v>
      </c>
      <c r="G248" s="103" t="s">
        <v>4330</v>
      </c>
      <c r="H248" s="103" t="s">
        <v>4331</v>
      </c>
      <c r="I248" s="142" t="s">
        <v>4343</v>
      </c>
      <c r="J248" s="114" t="s">
        <v>5486</v>
      </c>
      <c r="K248" s="149" t="s">
        <v>5487</v>
      </c>
      <c r="L248" s="149" t="s">
        <v>5488</v>
      </c>
      <c r="M248" s="103" t="s">
        <v>4333</v>
      </c>
      <c r="N248" s="103" t="s">
        <v>4459</v>
      </c>
      <c r="O248" s="105">
        <v>45979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3"/>
      <c r="AB248" s="114" t="s">
        <v>5486</v>
      </c>
      <c r="AC248" s="104" t="s">
        <v>5487</v>
      </c>
      <c r="AD248" s="114" t="s">
        <v>5488</v>
      </c>
      <c r="AE248" s="210" t="s">
        <v>4343</v>
      </c>
      <c r="AF248" s="210" t="s">
        <v>4333</v>
      </c>
      <c r="AG248" s="194">
        <v>24189.58</v>
      </c>
      <c r="AH248" s="194">
        <f>AG248+30000</f>
        <v>54189.58</v>
      </c>
      <c r="AI248" s="103" t="s">
        <v>4336</v>
      </c>
      <c r="AJ248" s="104" t="s">
        <v>4438</v>
      </c>
      <c r="AK248" s="103">
        <v>146041972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5489</v>
      </c>
      <c r="AQ248" s="103" t="s">
        <v>4338</v>
      </c>
      <c r="AR248" s="103" t="s">
        <v>4338</v>
      </c>
      <c r="AS248" s="143" t="s">
        <v>4338</v>
      </c>
      <c r="AT248" s="103" t="s">
        <v>4338</v>
      </c>
      <c r="AU248" s="105">
        <v>46014</v>
      </c>
      <c r="AV248" s="112" t="s">
        <v>4338</v>
      </c>
      <c r="AW248" s="103" t="s">
        <v>4338</v>
      </c>
      <c r="AX248" s="105">
        <v>46021</v>
      </c>
      <c r="AY248" s="106">
        <v>46021</v>
      </c>
      <c r="AZ248" s="211">
        <v>46017</v>
      </c>
      <c r="BA248" s="165" t="s">
        <v>4360</v>
      </c>
      <c r="BB248" s="136" t="s">
        <v>4338</v>
      </c>
      <c r="BC248" s="220">
        <f>IF(AY248-KD248=0,"",AY248-O248)</f>
        <v>42</v>
      </c>
      <c r="BD248" s="103" t="str">
        <f>IF(AND(AI248&lt;&gt;"SIM",AI248="UH"),"AA","INDENIZAÇÃO")</f>
        <v>INDENIZAÇÃO</v>
      </c>
      <c r="BE248" s="103" t="str">
        <f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46205</v>
      </c>
      <c r="BL248" s="154" t="s">
        <v>4461</v>
      </c>
      <c r="BM248" s="237"/>
    </row>
    <row r="249" spans="1:107" s="233" customFormat="1" ht="29.25" customHeight="1">
      <c r="A249" s="165">
        <v>240</v>
      </c>
      <c r="B249" s="103" t="s">
        <v>4431</v>
      </c>
      <c r="C249" s="103" t="s">
        <v>5295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>IF(AY249-KD249=0,"",AY249-O249)</f>
        <v/>
      </c>
      <c r="BD249" s="103" t="str">
        <f>IF(AND(AI249&lt;&gt;"SIM",AI249="UH"),"AA","INDENIZAÇÃO")</f>
        <v>AA</v>
      </c>
      <c r="BE249" s="103" t="str">
        <f>IF(AND(AY249&lt;&gt;"AGUARDANDO",AY249&lt;&gt;"",N249="AUXÍLIO ALUGUEL ATÉ INDENIZAÇÃO"),"SIM","NÃO")</f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customHeight="1">
      <c r="A250" s="165">
        <v>241</v>
      </c>
      <c r="B250" s="103" t="s">
        <v>4431</v>
      </c>
      <c r="C250" s="103" t="s">
        <v>5295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>IF(AY250-KD250=0,"",AY250-O250)</f>
        <v/>
      </c>
      <c r="BD250" s="103" t="str">
        <f>IF(AND(AI250&lt;&gt;"SIM",AI250="UH"),"AA","INDENIZAÇÃO")</f>
        <v>AA</v>
      </c>
      <c r="BE250" s="103" t="str">
        <f>IF(AND(AY250&lt;&gt;"AGUARDANDO",AY250&lt;&gt;"",N250="AUXÍLIO ALUGUEL ATÉ INDENIZAÇÃO"),"SIM","NÃO")</f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customHeight="1">
      <c r="A251" s="103">
        <v>242</v>
      </c>
      <c r="B251" s="103" t="s">
        <v>4431</v>
      </c>
      <c r="C251" s="103" t="s">
        <v>5295</v>
      </c>
      <c r="D251" s="103">
        <v>1</v>
      </c>
      <c r="E251" s="103" t="s">
        <v>4432</v>
      </c>
      <c r="F251" s="104" t="s">
        <v>5498</v>
      </c>
      <c r="G251" s="103" t="s">
        <v>4330</v>
      </c>
      <c r="H251" s="103" t="s">
        <v>4331</v>
      </c>
      <c r="I251" s="142" t="s">
        <v>4343</v>
      </c>
      <c r="J251" s="114" t="s">
        <v>5499</v>
      </c>
      <c r="K251" s="149" t="s">
        <v>5500</v>
      </c>
      <c r="L251" s="149" t="s">
        <v>5501</v>
      </c>
      <c r="M251" s="103" t="s">
        <v>4333</v>
      </c>
      <c r="N251" s="103" t="s">
        <v>4459</v>
      </c>
      <c r="O251" s="105">
        <v>45979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5499</v>
      </c>
      <c r="AC251" s="104" t="s">
        <v>5500</v>
      </c>
      <c r="AD251" s="104" t="s">
        <v>5501</v>
      </c>
      <c r="AE251" s="210" t="s">
        <v>4343</v>
      </c>
      <c r="AF251" s="210" t="s">
        <v>4333</v>
      </c>
      <c r="AG251" s="208">
        <v>29031.33</v>
      </c>
      <c r="AH251" s="208">
        <f>AG251+30000</f>
        <v>59031.33</v>
      </c>
      <c r="AI251" s="165" t="s">
        <v>4336</v>
      </c>
      <c r="AJ251" s="104" t="s">
        <v>4438</v>
      </c>
      <c r="AK251" s="103">
        <v>146042065</v>
      </c>
      <c r="AL251" s="103" t="s">
        <v>4338</v>
      </c>
      <c r="AM251" s="103" t="s">
        <v>4338</v>
      </c>
      <c r="AN251" s="103" t="s">
        <v>4339</v>
      </c>
      <c r="AO251" s="103"/>
      <c r="AP251" s="171" t="s">
        <v>5502</v>
      </c>
      <c r="AQ251" s="103" t="s">
        <v>4338</v>
      </c>
      <c r="AR251" s="103" t="s">
        <v>4338</v>
      </c>
      <c r="AS251" s="143" t="s">
        <v>4338</v>
      </c>
      <c r="AT251" s="103" t="s">
        <v>4338</v>
      </c>
      <c r="AU251" s="105">
        <v>46008</v>
      </c>
      <c r="AV251" s="112" t="s">
        <v>4338</v>
      </c>
      <c r="AW251" s="103" t="s">
        <v>4338</v>
      </c>
      <c r="AX251" s="105">
        <v>46014</v>
      </c>
      <c r="AY251" s="106">
        <v>46014</v>
      </c>
      <c r="AZ251" s="211">
        <v>46017</v>
      </c>
      <c r="BA251" s="165" t="s">
        <v>4360</v>
      </c>
      <c r="BB251" s="136" t="s">
        <v>4338</v>
      </c>
      <c r="BC251" s="220">
        <f>IF(AY251-KD251=0,"",AY251-O251)</f>
        <v>35</v>
      </c>
      <c r="BD251" s="103" t="str">
        <f>IF(AND(AI251&lt;&gt;"SIM",AI251="UH"),"AA","INDENIZAÇÃO")</f>
        <v>INDENIZAÇÃO</v>
      </c>
      <c r="BE251" s="103" t="str">
        <f>IF(AND(AY251&lt;&gt;"AGUARDANDO",AY251&lt;&gt;"",N251="AUXÍLIO ALUGUEL ATÉ INDENIZAÇÃO"),"SIM","NÃO")</f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46205</v>
      </c>
      <c r="BL251" s="154" t="s">
        <v>4461</v>
      </c>
      <c r="BM251" s="237"/>
    </row>
    <row r="252" spans="1:107" s="232" customFormat="1" ht="29.25" customHeight="1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>IF(AY252-KD252=0,"",AY252-O252)</f>
        <v/>
      </c>
      <c r="BD252" s="103" t="str">
        <f>IF(AND(AI252&lt;&gt;"SIM",AI252="UH"),"AA","INDENIZAÇÃO")</f>
        <v>AA</v>
      </c>
      <c r="BE252" s="103" t="str">
        <f>IF(AND(AY252&lt;&gt;"AGUARDANDO",AY252&lt;&gt;"",N252="AUXÍLIO ALUGUEL ATÉ INDENIZAÇÃO"),"SIM","NÃO")</f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customHeight="1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>IF(AY253-KD253=0,"",AY253-O253)</f>
        <v/>
      </c>
      <c r="BD253" s="103" t="str">
        <f>IF(AND(AI253&lt;&gt;"SIM",AI253="UH"),"AA","INDENIZAÇÃO")</f>
        <v>AA</v>
      </c>
      <c r="BE253" s="103" t="str">
        <f>IF(AND(AY253&lt;&gt;"AGUARDANDO",AY253&lt;&gt;"",N253="AUXÍLIO ALUGUEL ATÉ INDENIZAÇÃO"),"SIM","NÃO")</f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customHeight="1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>IF(AY254-KD254=0,"",AY254-O254)</f>
        <v/>
      </c>
      <c r="BD254" s="103" t="str">
        <f>IF(AND(AI254&lt;&gt;"SIM",AI254="UH"),"AA","INDENIZAÇÃO")</f>
        <v>AA</v>
      </c>
      <c r="BE254" s="103" t="str">
        <f>IF(AND(AY254&lt;&gt;"AGUARDANDO",AY254&lt;&gt;"",N254="AUXÍLIO ALUGUEL ATÉ INDENIZAÇÃO"),"SIM","NÃO")</f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customHeight="1">
      <c r="A255" s="165">
        <v>246</v>
      </c>
      <c r="B255" s="103" t="s">
        <v>4431</v>
      </c>
      <c r="C255" s="103" t="s">
        <v>5295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>IF(AY255-KD255=0,"",AY255-O255)</f>
        <v/>
      </c>
      <c r="BD255" s="103" t="str">
        <f>IF(AND(AI255&lt;&gt;"SIM",AI255="UH"),"AA","INDENIZAÇÃO")</f>
        <v>AA</v>
      </c>
      <c r="BE255" s="103" t="str">
        <f>IF(AND(AY255&lt;&gt;"AGUARDANDO",AY255&lt;&gt;"",N255="AUXÍLIO ALUGUEL ATÉ INDENIZAÇÃO"),"SIM","NÃO")</f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customHeight="1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>IF(AY256-KD256=0,"",AY256-O256)</f>
        <v/>
      </c>
      <c r="BD256" s="103" t="str">
        <f>IF(AND(AI256&lt;&gt;"SIM",AI256="UH"),"AA","INDENIZAÇÃO")</f>
        <v>AA</v>
      </c>
      <c r="BE256" s="103" t="str">
        <f>IF(AND(AY256&lt;&gt;"AGUARDANDO",AY256&lt;&gt;"",N256="AUXÍLIO ALUGUEL ATÉ INDENIZAÇÃO"),"SIM","NÃO")</f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customHeight="1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>IF(AY257-KD257=0,"",AY257-O257)</f>
        <v/>
      </c>
      <c r="BD257" s="103" t="str">
        <f>IF(AND(AI257&lt;&gt;"SIM",AI257="UH"),"AA","INDENIZAÇÃO")</f>
        <v>INDENIZAÇÃO</v>
      </c>
      <c r="BE257" s="103" t="str">
        <f>IF(AND(AY257&lt;&gt;"AGUARDANDO",AY257&lt;&gt;"",N257="AUXÍLIO ALUGUEL ATÉ INDENIZAÇÃO"),"SIM","NÃO")</f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customHeight="1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>IF(AY258-KD258=0,"",AY258-O258)</f>
        <v/>
      </c>
      <c r="BD258" s="103" t="str">
        <f>IF(AND(AI258&lt;&gt;"SIM",AI258="UH"),"AA","INDENIZAÇÃO")</f>
        <v>AA</v>
      </c>
      <c r="BE258" s="103" t="str">
        <f>IF(AND(AY258&lt;&gt;"AGUARDANDO",AY258&lt;&gt;"",N258="AUXÍLIO ALUGUEL ATÉ INDENIZAÇÃO"),"SIM","NÃO")</f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customHeight="1">
      <c r="A259" s="103">
        <v>250</v>
      </c>
      <c r="B259" s="103" t="s">
        <v>4431</v>
      </c>
      <c r="C259" s="103" t="s">
        <v>5295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>IF(AY259-KD259=0,"",AY259-O259)</f>
        <v/>
      </c>
      <c r="BD259" s="103" t="str">
        <f>IF(AND(AI259&lt;&gt;"SIM",AI259="UH"),"AA","INDENIZAÇÃO")</f>
        <v>AA</v>
      </c>
      <c r="BE259" s="103" t="str">
        <f>IF(AND(AY259&lt;&gt;"AGUARDANDO",AY259&lt;&gt;"",N259="AUXÍLIO ALUGUEL ATÉ INDENIZAÇÃO"),"SIM","NÃO")</f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customHeight="1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>IF(AY260-KD260=0,"",AY260-O260)</f>
        <v/>
      </c>
      <c r="BD260" s="103" t="str">
        <f>IF(AND(AI260&lt;&gt;"SIM",AI260="UH"),"AA","INDENIZAÇÃO")</f>
        <v>AA</v>
      </c>
      <c r="BE260" s="103" t="str">
        <f>IF(AND(AY260&lt;&gt;"AGUARDANDO",AY260&lt;&gt;"",N260="AUXÍLIO ALUGUEL ATÉ INDENIZAÇÃO"),"SIM","NÃO")</f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customHeight="1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>IF(AY261-KD261=0,"",AY261-O261)</f>
        <v/>
      </c>
      <c r="BD261" s="103" t="str">
        <f>IF(AND(AI261&lt;&gt;"SIM",AI261="UH"),"AA","INDENIZAÇÃO")</f>
        <v>AA</v>
      </c>
      <c r="BE261" s="103" t="str">
        <f>IF(AND(AY261&lt;&gt;"AGUARDANDO",AY261&lt;&gt;"",N261="AUXÍLIO ALUGUEL ATÉ INDENIZAÇÃO"),"SIM","NÃO")</f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customHeight="1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>IF(AY262-KD262=0,"",AY262-O262)</f>
        <v/>
      </c>
      <c r="BD262" s="103" t="str">
        <f>IF(AND(AI262&lt;&gt;"SIM",AI262="UH"),"AA","INDENIZAÇÃO")</f>
        <v>AA</v>
      </c>
      <c r="BE262" s="103" t="str">
        <f>IF(AND(AY262&lt;&gt;"AGUARDANDO",AY262&lt;&gt;"",N262="AUXÍLIO ALUGUEL ATÉ INDENIZAÇÃO"),"SIM","NÃO")</f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customHeight="1">
      <c r="A263" s="103">
        <v>254</v>
      </c>
      <c r="B263" s="103" t="s">
        <v>4431</v>
      </c>
      <c r="C263" s="103" t="s">
        <v>5295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>IF(AY263-KD263=0,"",AY263-O263)</f>
        <v/>
      </c>
      <c r="BD263" s="103" t="str">
        <f>IF(AND(AI263&lt;&gt;"SIM",AI263="UH"),"AA","INDENIZAÇÃO")</f>
        <v>AA</v>
      </c>
      <c r="BE263" s="103" t="str">
        <f>IF(AND(AY263&lt;&gt;"AGUARDANDO",AY263&lt;&gt;"",N263="AUXÍLIO ALUGUEL ATÉ INDENIZAÇÃO"),"SIM","NÃO")</f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>
      <c r="A264" s="103">
        <v>255</v>
      </c>
      <c r="B264" s="103" t="s">
        <v>4431</v>
      </c>
      <c r="C264" s="103" t="s">
        <v>4359</v>
      </c>
      <c r="D264" s="103">
        <v>1</v>
      </c>
      <c r="E264" s="103" t="s">
        <v>4432</v>
      </c>
      <c r="F264" s="104" t="s">
        <v>5546</v>
      </c>
      <c r="G264" s="103" t="s">
        <v>4351</v>
      </c>
      <c r="H264" s="103" t="s">
        <v>4351</v>
      </c>
      <c r="I264" s="153" t="s">
        <v>4332</v>
      </c>
      <c r="J264" s="149" t="s">
        <v>5547</v>
      </c>
      <c r="K264" s="149" t="s">
        <v>5548</v>
      </c>
      <c r="L264" s="149" t="s">
        <v>5549</v>
      </c>
      <c r="M264" s="103" t="s">
        <v>4333</v>
      </c>
      <c r="N264" s="103" t="s">
        <v>4459</v>
      </c>
      <c r="O264" s="105">
        <v>46000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5"/>
      <c r="AB264" s="149" t="s">
        <v>5547</v>
      </c>
      <c r="AC264" s="104" t="s">
        <v>5548</v>
      </c>
      <c r="AD264" s="104" t="s">
        <v>5549</v>
      </c>
      <c r="AE264" s="218" t="s">
        <v>4332</v>
      </c>
      <c r="AF264" s="165" t="s">
        <v>4333</v>
      </c>
      <c r="AG264" s="208">
        <v>4819.3</v>
      </c>
      <c r="AH264" s="208">
        <v>34819.300000000003</v>
      </c>
      <c r="AI264" s="165" t="s">
        <v>4336</v>
      </c>
      <c r="AJ264" s="104" t="s">
        <v>4438</v>
      </c>
      <c r="AK264" s="103">
        <v>146042181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5550</v>
      </c>
      <c r="AQ264" s="103" t="s">
        <v>4338</v>
      </c>
      <c r="AR264" s="103" t="s">
        <v>4338</v>
      </c>
      <c r="AS264" s="143" t="s">
        <v>4338</v>
      </c>
      <c r="AT264" s="103" t="s">
        <v>4338</v>
      </c>
      <c r="AU264" s="105">
        <v>46014</v>
      </c>
      <c r="AV264" s="112" t="s">
        <v>4338</v>
      </c>
      <c r="AW264" s="103" t="s">
        <v>4338</v>
      </c>
      <c r="AX264" s="105">
        <v>46021</v>
      </c>
      <c r="AY264" s="106">
        <v>46021</v>
      </c>
      <c r="AZ264" s="211">
        <v>46017</v>
      </c>
      <c r="BA264" s="165" t="s">
        <v>4770</v>
      </c>
      <c r="BB264" s="136" t="s">
        <v>4338</v>
      </c>
      <c r="BC264" s="220">
        <f>IF(AY264-KD264=0,"",AY264-O264)</f>
        <v>21</v>
      </c>
      <c r="BD264" s="103" t="str">
        <f>IF(AND(AI264&lt;&gt;"SIM",AI264="UH"),"AA","INDENIZAÇÃO")</f>
        <v>INDENIZAÇÃO</v>
      </c>
      <c r="BE264" s="103" t="str">
        <f>IF(AND(AY264&lt;&gt;"AGUARDANDO",AY264&lt;&gt;"",N264="AUXÍLIO ALUGUEL ATÉ INDENIZAÇÃO"),"SIM","NÃO")</f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46205</v>
      </c>
      <c r="BL264" s="154" t="s">
        <v>4461</v>
      </c>
      <c r="BM264" s="237"/>
    </row>
    <row r="265" spans="1:107" s="232" customFormat="1" ht="29.25" customHeight="1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5546</v>
      </c>
      <c r="G265" s="103" t="s">
        <v>4330</v>
      </c>
      <c r="H265" s="103" t="s">
        <v>4331</v>
      </c>
      <c r="I265" s="142" t="s">
        <v>4343</v>
      </c>
      <c r="J265" s="149" t="s">
        <v>5551</v>
      </c>
      <c r="K265" s="149" t="s">
        <v>5552</v>
      </c>
      <c r="L265" s="149" t="s">
        <v>5553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5551</v>
      </c>
      <c r="AC265" s="104" t="s">
        <v>5552</v>
      </c>
      <c r="AD265" s="104" t="s">
        <v>5553</v>
      </c>
      <c r="AE265" s="103" t="s">
        <v>4343</v>
      </c>
      <c r="AF265" s="103" t="s">
        <v>4333</v>
      </c>
      <c r="AG265" s="194">
        <v>87857.51</v>
      </c>
      <c r="AH265" s="194">
        <v>87857.51</v>
      </c>
      <c r="AI265" s="103" t="s">
        <v>4336</v>
      </c>
      <c r="AJ265" s="104" t="s">
        <v>4438</v>
      </c>
      <c r="AK265" s="103">
        <v>148264241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5554</v>
      </c>
      <c r="AQ265" s="103" t="s">
        <v>4338</v>
      </c>
      <c r="AR265" s="103" t="s">
        <v>4338</v>
      </c>
      <c r="AS265" s="103" t="s">
        <v>4338</v>
      </c>
      <c r="AT265" s="103" t="s">
        <v>4338</v>
      </c>
      <c r="AU265" s="105">
        <v>46170</v>
      </c>
      <c r="AV265" s="103" t="s">
        <v>4338</v>
      </c>
      <c r="AW265" s="103" t="s">
        <v>4338</v>
      </c>
      <c r="AX265" s="105">
        <v>46182</v>
      </c>
      <c r="AY265" s="106">
        <v>46182</v>
      </c>
      <c r="AZ265" s="260" t="s">
        <v>4453</v>
      </c>
      <c r="BA265" s="245" t="s">
        <v>4454</v>
      </c>
      <c r="BB265" s="249" t="s">
        <v>4338</v>
      </c>
      <c r="BC265" s="220">
        <f>IF(AY265-KD265=0,"",AY265-O265)</f>
        <v>137</v>
      </c>
      <c r="BD265" s="103" t="str">
        <f>IF(AND(AI265&lt;&gt;"SIM",AI265="UH"),"AA","INDENIZAÇÃO")</f>
        <v>INDENIZAÇÃO</v>
      </c>
      <c r="BE265" s="103" t="str">
        <f>IF(AND(AY265&lt;&gt;"AGUARDANDO",AY265&lt;&gt;"",N265="AUXÍLIO ALUGUEL ATÉ INDENIZAÇÃO"),"SIM","NÃO")</f>
        <v>NÃO</v>
      </c>
      <c r="BF265" s="250" t="s">
        <v>4357</v>
      </c>
      <c r="BG265" s="250" t="s">
        <v>4357</v>
      </c>
      <c r="BH265" s="250" t="s">
        <v>4357</v>
      </c>
      <c r="BI265" s="251" t="s">
        <v>4912</v>
      </c>
      <c r="BJ265" s="154"/>
      <c r="BK265" s="154"/>
      <c r="BL265" s="154"/>
      <c r="BM265" s="237"/>
      <c r="BN265" s="231"/>
    </row>
    <row r="266" spans="1:107" s="232" customFormat="1" ht="29.25" customHeight="1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>IF(AY266-KD266=0,"",AY266-O266)</f>
        <v/>
      </c>
      <c r="BD266" s="103" t="str">
        <f>IF(AND(AI266&lt;&gt;"SIM",AI266="UH"),"AA","INDENIZAÇÃO")</f>
        <v>AA</v>
      </c>
      <c r="BE266" s="103" t="str">
        <f>IF(AND(AY266&lt;&gt;"AGUARDANDO",AY266&lt;&gt;"",N266="AUXÍLIO ALUGUEL ATÉ INDENIZAÇÃO"),"SIM","NÃO")</f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customHeight="1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5555</v>
      </c>
      <c r="G267" s="103" t="s">
        <v>4330</v>
      </c>
      <c r="H267" s="103" t="s">
        <v>4352</v>
      </c>
      <c r="I267" s="142" t="s">
        <v>4343</v>
      </c>
      <c r="J267" s="114" t="s">
        <v>5559</v>
      </c>
      <c r="K267" s="149" t="s">
        <v>5560</v>
      </c>
      <c r="L267" s="149" t="s">
        <v>5561</v>
      </c>
      <c r="M267" s="103" t="s">
        <v>4333</v>
      </c>
      <c r="N267" s="103" t="s">
        <v>4459</v>
      </c>
      <c r="O267" s="105">
        <v>46076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14" t="s">
        <v>5559</v>
      </c>
      <c r="AC267" s="149" t="s">
        <v>5560</v>
      </c>
      <c r="AD267" s="149" t="s">
        <v>5561</v>
      </c>
      <c r="AE267" s="103" t="s">
        <v>4343</v>
      </c>
      <c r="AF267" s="103" t="s">
        <v>4333</v>
      </c>
      <c r="AG267" s="194">
        <v>65063.06</v>
      </c>
      <c r="AH267" s="194">
        <v>65063.06</v>
      </c>
      <c r="AI267" s="103" t="s">
        <v>4336</v>
      </c>
      <c r="AJ267" s="104" t="s">
        <v>4438</v>
      </c>
      <c r="AK267" s="103">
        <v>150959327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5562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46118</v>
      </c>
      <c r="AV267" s="103" t="s">
        <v>4338</v>
      </c>
      <c r="AW267" s="103" t="s">
        <v>4338</v>
      </c>
      <c r="AX267" s="105">
        <v>46122</v>
      </c>
      <c r="AY267" s="106">
        <v>46122</v>
      </c>
      <c r="AZ267" s="106" t="s">
        <v>4453</v>
      </c>
      <c r="BA267" s="107" t="s">
        <v>4454</v>
      </c>
      <c r="BB267" s="136" t="s">
        <v>4338</v>
      </c>
      <c r="BC267" s="220">
        <f>IF(AY267-KD267=0,"",AY267-O267)</f>
        <v>46</v>
      </c>
      <c r="BD267" s="103" t="str">
        <f>IF(AND(AI267&lt;&gt;"SIM",AI267="UH"),"AA","INDENIZAÇÃO")</f>
        <v>INDENIZAÇÃO</v>
      </c>
      <c r="BE267" s="103" t="str">
        <f>IF(AND(AY267&lt;&gt;"AGUARDANDO",AY267&lt;&gt;"",N267="AUXÍLIO ALUGUEL ATÉ INDENIZAÇÃO"),"SIM","NÃO")</f>
        <v>NÃO</v>
      </c>
      <c r="BF267" s="112" t="s">
        <v>4357</v>
      </c>
      <c r="BG267" s="112" t="s">
        <v>4357</v>
      </c>
      <c r="BH267" s="112" t="s">
        <v>4357</v>
      </c>
      <c r="BI267" s="109" t="s">
        <v>4912</v>
      </c>
      <c r="BJ267" s="109"/>
      <c r="BK267" s="109"/>
      <c r="BL267" s="109"/>
      <c r="BM267" s="239"/>
      <c r="BN267" s="231"/>
      <c r="BO267" s="231"/>
    </row>
    <row r="268" spans="1:107" s="232" customFormat="1" ht="29.25" customHeight="1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>IF(AY268-KD268=0,"",AY268-O268)</f>
        <v/>
      </c>
      <c r="BD268" s="103" t="str">
        <f>IF(AND(AI268&lt;&gt;"SIM",AI268="UH"),"AA","INDENIZAÇÃO")</f>
        <v>AA</v>
      </c>
      <c r="BE268" s="103" t="str">
        <f>IF(AND(AY268&lt;&gt;"AGUARDANDO",AY268&lt;&gt;"",N268="AUXÍLIO ALUGUEL ATÉ INDENIZAÇÃO"),"SIM","NÃO")</f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customHeight="1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5563</v>
      </c>
      <c r="G269" s="103" t="s">
        <v>4330</v>
      </c>
      <c r="H269" s="103" t="s">
        <v>4331</v>
      </c>
      <c r="I269" s="142" t="s">
        <v>4343</v>
      </c>
      <c r="J269" s="114" t="s">
        <v>5567</v>
      </c>
      <c r="K269" s="149" t="s">
        <v>5568</v>
      </c>
      <c r="L269" s="149" t="s">
        <v>5569</v>
      </c>
      <c r="M269" s="103" t="s">
        <v>4333</v>
      </c>
      <c r="N269" s="103" t="s">
        <v>4459</v>
      </c>
      <c r="O269" s="105">
        <v>46059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3"/>
      <c r="AB269" s="114" t="s">
        <v>5567</v>
      </c>
      <c r="AC269" s="139" t="s">
        <v>5568</v>
      </c>
      <c r="AD269" s="139" t="s">
        <v>5569</v>
      </c>
      <c r="AE269" s="103" t="s">
        <v>4343</v>
      </c>
      <c r="AF269" s="103" t="s">
        <v>4333</v>
      </c>
      <c r="AG269" s="194">
        <v>32310.01</v>
      </c>
      <c r="AH269" s="194">
        <v>60000</v>
      </c>
      <c r="AI269" s="103" t="s">
        <v>4336</v>
      </c>
      <c r="AJ269" s="104" t="s">
        <v>4438</v>
      </c>
      <c r="AK269" s="103">
        <v>148264320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5570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46118</v>
      </c>
      <c r="AV269" s="103" t="s">
        <v>4338</v>
      </c>
      <c r="AW269" s="103" t="s">
        <v>4338</v>
      </c>
      <c r="AX269" s="105">
        <v>46122</v>
      </c>
      <c r="AY269" s="106">
        <v>46122</v>
      </c>
      <c r="AZ269" s="106" t="s">
        <v>4453</v>
      </c>
      <c r="BA269" s="107" t="s">
        <v>4454</v>
      </c>
      <c r="BB269" s="136" t="s">
        <v>4338</v>
      </c>
      <c r="BC269" s="220">
        <f>IF(AY269-KD269=0,"",AY269-O269)</f>
        <v>63</v>
      </c>
      <c r="BD269" s="103" t="str">
        <f>IF(AND(AI269&lt;&gt;"SIM",AI269="UH"),"AA","INDENIZAÇÃO")</f>
        <v>INDENIZAÇÃO</v>
      </c>
      <c r="BE269" s="103" t="str">
        <f>IF(AND(AY269&lt;&gt;"AGUARDANDO",AY269&lt;&gt;"",N269="AUXÍLIO ALUGUEL ATÉ INDENIZAÇÃO"),"SIM","NÃO")</f>
        <v>NÃO</v>
      </c>
      <c r="BF269" s="112" t="s">
        <v>4357</v>
      </c>
      <c r="BG269" s="112" t="s">
        <v>4357</v>
      </c>
      <c r="BH269" s="112" t="s">
        <v>4357</v>
      </c>
      <c r="BI269" s="109" t="s">
        <v>4912</v>
      </c>
      <c r="BJ269" s="109"/>
      <c r="BK269" s="109"/>
      <c r="BL269" s="109"/>
      <c r="BM269" s="239"/>
      <c r="BN269" s="231"/>
      <c r="BO269" s="231"/>
    </row>
    <row r="270" spans="1:107" s="232" customFormat="1" ht="29.25" customHeight="1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>IF(AY270-KD270=0,"",AY270-O270)</f>
        <v/>
      </c>
      <c r="BD270" s="103" t="str">
        <f>IF(AND(AI270&lt;&gt;"SIM",AI270="UH"),"AA","INDENIZAÇÃO")</f>
        <v>AA</v>
      </c>
      <c r="BE270" s="103" t="str">
        <f>IF(AND(AY270&lt;&gt;"AGUARDANDO",AY270&lt;&gt;"",N270="AUXÍLIO ALUGUEL ATÉ INDENIZAÇÃO"),"SIM","NÃO")</f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customHeight="1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5571</v>
      </c>
      <c r="G271" s="103" t="s">
        <v>4330</v>
      </c>
      <c r="H271" s="103" t="s">
        <v>4331</v>
      </c>
      <c r="I271" s="142" t="s">
        <v>4343</v>
      </c>
      <c r="J271" s="149" t="s">
        <v>5574</v>
      </c>
      <c r="K271" s="149" t="s">
        <v>5575</v>
      </c>
      <c r="L271" s="149" t="s">
        <v>5576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3"/>
      <c r="AB271" s="149" t="s">
        <v>5574</v>
      </c>
      <c r="AC271" s="104" t="s">
        <v>5575</v>
      </c>
      <c r="AD271" s="104" t="s">
        <v>5576</v>
      </c>
      <c r="AE271" s="103" t="s">
        <v>4343</v>
      </c>
      <c r="AF271" s="103" t="s">
        <v>4333</v>
      </c>
      <c r="AG271" s="194">
        <v>25490.22</v>
      </c>
      <c r="AH271" s="194">
        <f>AG271+30000</f>
        <v>55490.22</v>
      </c>
      <c r="AI271" s="103" t="s">
        <v>4336</v>
      </c>
      <c r="AJ271" s="104" t="s">
        <v>4438</v>
      </c>
      <c r="AK271" s="103">
        <v>148264453</v>
      </c>
      <c r="AL271" s="142" t="s">
        <v>4338</v>
      </c>
      <c r="AM271" s="103" t="s">
        <v>4338</v>
      </c>
      <c r="AN271" s="103" t="s">
        <v>4339</v>
      </c>
      <c r="AO271" s="103"/>
      <c r="AP271" s="171" t="s">
        <v>5577</v>
      </c>
      <c r="AQ271" s="103" t="s">
        <v>4338</v>
      </c>
      <c r="AR271" s="103" t="s">
        <v>4338</v>
      </c>
      <c r="AS271" s="103" t="s">
        <v>4338</v>
      </c>
      <c r="AT271" s="165" t="s">
        <v>4338</v>
      </c>
      <c r="AU271" s="105">
        <v>46153</v>
      </c>
      <c r="AV271" s="103" t="s">
        <v>4338</v>
      </c>
      <c r="AW271" s="103" t="s">
        <v>4338</v>
      </c>
      <c r="AX271" s="105">
        <v>46182</v>
      </c>
      <c r="AY271" s="106">
        <v>46182</v>
      </c>
      <c r="AZ271" s="260" t="s">
        <v>4453</v>
      </c>
      <c r="BA271" s="245" t="s">
        <v>4454</v>
      </c>
      <c r="BB271" s="249" t="s">
        <v>4338</v>
      </c>
      <c r="BC271" s="220">
        <f>IF(AY271-KD271=0,"",AY271-O271)</f>
        <v>137</v>
      </c>
      <c r="BD271" s="103" t="str">
        <f>IF(AND(AI271&lt;&gt;"SIM",AI271="UH"),"AA","INDENIZAÇÃO")</f>
        <v>INDENIZAÇÃO</v>
      </c>
      <c r="BE271" s="103" t="str">
        <f>IF(AND(AY271&lt;&gt;"AGUARDANDO",AY271&lt;&gt;"",N271="AUXÍLIO ALUGUEL ATÉ INDENIZAÇÃO"),"SIM","NÃO")</f>
        <v>NÃO</v>
      </c>
      <c r="BF271" s="250" t="s">
        <v>4357</v>
      </c>
      <c r="BG271" s="250" t="s">
        <v>4357</v>
      </c>
      <c r="BH271" s="250" t="s">
        <v>4357</v>
      </c>
      <c r="BI271" s="251" t="s">
        <v>4912</v>
      </c>
      <c r="BJ271" s="154"/>
      <c r="BK271" s="154"/>
      <c r="BL271" s="154"/>
      <c r="BM271" s="237"/>
      <c r="BN271" s="231"/>
    </row>
    <row r="272" spans="1:107" s="232" customFormat="1" ht="29.25" customHeight="1">
      <c r="A272" s="165">
        <v>263</v>
      </c>
      <c r="B272" s="103" t="s">
        <v>4431</v>
      </c>
      <c r="C272" s="103" t="s">
        <v>4359</v>
      </c>
      <c r="D272" s="103">
        <v>1</v>
      </c>
      <c r="E272" s="103" t="s">
        <v>4432</v>
      </c>
      <c r="F272" s="104" t="s">
        <v>5578</v>
      </c>
      <c r="G272" s="103" t="s">
        <v>4330</v>
      </c>
      <c r="H272" s="103" t="s">
        <v>4331</v>
      </c>
      <c r="I272" s="142" t="s">
        <v>4343</v>
      </c>
      <c r="J272" s="114" t="s">
        <v>5579</v>
      </c>
      <c r="K272" s="149" t="s">
        <v>5580</v>
      </c>
      <c r="L272" s="149" t="s">
        <v>5581</v>
      </c>
      <c r="M272" s="103" t="s">
        <v>4333</v>
      </c>
      <c r="N272" s="103" t="s">
        <v>4459</v>
      </c>
      <c r="O272" s="105">
        <v>45996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14" t="s">
        <v>5579</v>
      </c>
      <c r="AC272" s="104" t="s">
        <v>5580</v>
      </c>
      <c r="AD272" s="139" t="s">
        <v>5581</v>
      </c>
      <c r="AE272" s="210" t="s">
        <v>4343</v>
      </c>
      <c r="AF272" s="210" t="s">
        <v>4333</v>
      </c>
      <c r="AG272" s="208">
        <v>60000</v>
      </c>
      <c r="AH272" s="208">
        <v>60000</v>
      </c>
      <c r="AI272" s="165" t="s">
        <v>4336</v>
      </c>
      <c r="AJ272" s="104" t="s">
        <v>4438</v>
      </c>
      <c r="AK272" s="103">
        <v>149914514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5582</v>
      </c>
      <c r="AQ272" s="103" t="s">
        <v>4338</v>
      </c>
      <c r="AR272" s="103" t="s">
        <v>4338</v>
      </c>
      <c r="AS272" s="143" t="s">
        <v>4338</v>
      </c>
      <c r="AT272" s="302" t="s">
        <v>4338</v>
      </c>
      <c r="AU272" s="305">
        <v>46062</v>
      </c>
      <c r="AV272" s="112" t="s">
        <v>4338</v>
      </c>
      <c r="AW272" s="103" t="s">
        <v>4338</v>
      </c>
      <c r="AX272" s="111">
        <v>46066</v>
      </c>
      <c r="AY272" s="106">
        <v>46066</v>
      </c>
      <c r="AZ272" s="211">
        <v>46017</v>
      </c>
      <c r="BA272" s="165" t="s">
        <v>4360</v>
      </c>
      <c r="BB272" s="136" t="s">
        <v>4338</v>
      </c>
      <c r="BC272" s="220">
        <f>IF(AY272-KD272=0,"",AY272-O272)</f>
        <v>70</v>
      </c>
      <c r="BD272" s="103" t="str">
        <f>IF(AND(AI272&lt;&gt;"SIM",AI272="UH"),"AA","INDENIZAÇÃO")</f>
        <v>INDENIZAÇÃO</v>
      </c>
      <c r="BE272" s="103" t="str">
        <f>IF(AND(AY272&lt;&gt;"AGUARDANDO",AY272&lt;&gt;"",N272="AUXÍLIO ALUGUEL ATÉ INDENIZAÇÃO"),"SIM","NÃO")</f>
        <v>NÃO</v>
      </c>
      <c r="BF272" s="140" t="s">
        <v>4357</v>
      </c>
      <c r="BG272" s="140" t="s">
        <v>4357</v>
      </c>
      <c r="BH272" s="140" t="s">
        <v>4357</v>
      </c>
      <c r="BI272" s="154" t="s">
        <v>4912</v>
      </c>
      <c r="BJ272" s="154"/>
      <c r="BK272" s="154"/>
      <c r="BL272" s="154"/>
      <c r="BM272" s="237"/>
    </row>
    <row r="273" spans="1:67" s="232" customFormat="1" ht="29.25" customHeight="1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>IF(AY273-KD273=0,"",AY273-O273)</f>
        <v/>
      </c>
      <c r="BD273" s="103" t="str">
        <f>IF(AND(AI273&lt;&gt;"SIM",AI273="UH"),"AA","INDENIZAÇÃO")</f>
        <v>AA</v>
      </c>
      <c r="BE273" s="103" t="str">
        <f>IF(AND(AY273&lt;&gt;"AGUARDANDO",AY273&lt;&gt;"",N273="AUXÍLIO ALUGUEL ATÉ INDENIZAÇÃO"),"SIM","NÃO")</f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customHeight="1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>IF(AY274-KD274=0,"",AY274-O274)</f>
        <v/>
      </c>
      <c r="BD274" s="103" t="str">
        <f>IF(AND(AI274&lt;&gt;"SIM",AI274="UH"),"AA","INDENIZAÇÃO")</f>
        <v>INDENIZAÇÃO</v>
      </c>
      <c r="BE274" s="103" t="str">
        <f>IF(AND(AY274&lt;&gt;"AGUARDANDO",AY274&lt;&gt;"",N274="AUXÍLIO ALUGUEL ATÉ INDENIZAÇÃO"),"SIM","NÃO")</f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customHeight="1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>IF(AY275-KD275=0,"",AY275-O275)</f>
        <v/>
      </c>
      <c r="BD275" s="103" t="str">
        <f>IF(AND(AI275&lt;&gt;"SIM",AI275="UH"),"AA","INDENIZAÇÃO")</f>
        <v>AA</v>
      </c>
      <c r="BE275" s="103" t="str">
        <f>IF(AND(AY275&lt;&gt;"AGUARDANDO",AY275&lt;&gt;"",N275="AUXÍLIO ALUGUEL ATÉ INDENIZAÇÃO"),"SIM","NÃO")</f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5590</v>
      </c>
      <c r="G276" s="103" t="s">
        <v>4330</v>
      </c>
      <c r="H276" s="103" t="s">
        <v>4331</v>
      </c>
      <c r="I276" s="142" t="s">
        <v>4343</v>
      </c>
      <c r="J276" s="114" t="s">
        <v>5594</v>
      </c>
      <c r="K276" s="149" t="s">
        <v>4432</v>
      </c>
      <c r="L276" s="149" t="s">
        <v>5595</v>
      </c>
      <c r="M276" s="103" t="s">
        <v>4333</v>
      </c>
      <c r="N276" s="103" t="s">
        <v>4459</v>
      </c>
      <c r="O276" s="105">
        <v>46059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3"/>
      <c r="AB276" s="114" t="s">
        <v>5594</v>
      </c>
      <c r="AC276" s="104" t="s">
        <v>4432</v>
      </c>
      <c r="AD276" s="139" t="s">
        <v>5595</v>
      </c>
      <c r="AE276" s="103" t="s">
        <v>4343</v>
      </c>
      <c r="AF276" s="103" t="s">
        <v>4333</v>
      </c>
      <c r="AG276" s="194">
        <v>30346.959999999999</v>
      </c>
      <c r="AH276" s="194">
        <v>60000</v>
      </c>
      <c r="AI276" s="103" t="s">
        <v>4336</v>
      </c>
      <c r="AJ276" s="104" t="s">
        <v>4438</v>
      </c>
      <c r="AK276" s="103">
        <v>149655325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5596</v>
      </c>
      <c r="AQ276" s="103" t="s">
        <v>4338</v>
      </c>
      <c r="AR276" s="103" t="s">
        <v>4338</v>
      </c>
      <c r="AS276" s="143" t="s">
        <v>4338</v>
      </c>
      <c r="AT276" s="103" t="s">
        <v>4338</v>
      </c>
      <c r="AU276" s="105">
        <v>46118</v>
      </c>
      <c r="AV276" s="103" t="s">
        <v>4338</v>
      </c>
      <c r="AW276" s="103" t="s">
        <v>4338</v>
      </c>
      <c r="AX276" s="105">
        <v>46122</v>
      </c>
      <c r="AY276" s="106">
        <v>46122</v>
      </c>
      <c r="AZ276" s="106" t="s">
        <v>4453</v>
      </c>
      <c r="BA276" s="107" t="s">
        <v>4454</v>
      </c>
      <c r="BB276" s="136" t="s">
        <v>4338</v>
      </c>
      <c r="BC276" s="220">
        <f>IF(AY276-KD276=0,"",AY276-O276)</f>
        <v>63</v>
      </c>
      <c r="BD276" s="103" t="str">
        <f>IF(AND(AI276&lt;&gt;"SIM",AI276="UH"),"AA","INDENIZAÇÃO")</f>
        <v>INDENIZAÇÃO</v>
      </c>
      <c r="BE276" s="103" t="str">
        <f>IF(AND(AY276&lt;&gt;"AGUARDANDO",AY276&lt;&gt;"",N276="AUXÍLIO ALUGUEL ATÉ INDENIZAÇÃO"),"SIM","NÃO")</f>
        <v>NÃO</v>
      </c>
      <c r="BF276" s="112" t="s">
        <v>4357</v>
      </c>
      <c r="BG276" s="112" t="s">
        <v>4357</v>
      </c>
      <c r="BH276" s="112" t="s">
        <v>4357</v>
      </c>
      <c r="BI276" s="109" t="s">
        <v>4912</v>
      </c>
      <c r="BJ276" s="109"/>
      <c r="BK276" s="109"/>
      <c r="BL276" s="109"/>
      <c r="BM276" s="239"/>
      <c r="BN276" s="231"/>
      <c r="BO276" s="231"/>
    </row>
    <row r="277" spans="1:67" s="232" customFormat="1" ht="29.25" customHeight="1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5597</v>
      </c>
      <c r="G277" s="103" t="s">
        <v>4330</v>
      </c>
      <c r="H277" s="103" t="s">
        <v>4331</v>
      </c>
      <c r="I277" s="142" t="s">
        <v>4343</v>
      </c>
      <c r="J277" s="114" t="s">
        <v>5598</v>
      </c>
      <c r="K277" s="149" t="s">
        <v>4432</v>
      </c>
      <c r="L277" s="149" t="s">
        <v>5599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5598</v>
      </c>
      <c r="AC277" s="104" t="s">
        <v>4432</v>
      </c>
      <c r="AD277" s="139" t="s">
        <v>5599</v>
      </c>
      <c r="AE277" s="165" t="s">
        <v>4343</v>
      </c>
      <c r="AF277" s="165" t="s">
        <v>4333</v>
      </c>
      <c r="AG277" s="208">
        <v>13143.47</v>
      </c>
      <c r="AH277" s="208">
        <f>AG277+30000</f>
        <v>43143.47</v>
      </c>
      <c r="AI277" s="165" t="s">
        <v>4336</v>
      </c>
      <c r="AJ277" s="104" t="s">
        <v>4438</v>
      </c>
      <c r="AK277" s="103">
        <v>149655427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214" t="s">
        <v>4453</v>
      </c>
      <c r="BA277" s="174" t="s">
        <v>4454</v>
      </c>
      <c r="BB277" s="136" t="s">
        <v>4338</v>
      </c>
      <c r="BC277" s="220">
        <f>IF(AY277-KD277=0,"",AY277-O277)</f>
        <v>63</v>
      </c>
      <c r="BD277" s="103" t="str">
        <f>IF(AND(AI277&lt;&gt;"SIM",AI277="UH"),"AA","INDENIZAÇÃO")</f>
        <v>INDENIZAÇÃO</v>
      </c>
      <c r="BE277" s="103" t="str">
        <f>IF(AND(AY277&lt;&gt;"AGUARDANDO",AY277&lt;&gt;"",N277="AUXÍLIO ALUGUEL ATÉ INDENIZAÇÃO"),"SIM","NÃO")</f>
        <v>NÃO</v>
      </c>
      <c r="BF277" s="140" t="s">
        <v>4357</v>
      </c>
      <c r="BG277" s="140" t="s">
        <v>4357</v>
      </c>
      <c r="BH277" s="140" t="s">
        <v>4357</v>
      </c>
      <c r="BI277" s="154" t="s">
        <v>4912</v>
      </c>
      <c r="BJ277" s="154"/>
      <c r="BK277" s="154"/>
      <c r="BL277" s="154"/>
      <c r="BM277" s="237"/>
    </row>
    <row r="278" spans="1:67" s="232" customFormat="1" ht="29.25" customHeight="1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6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>IF(AY278-KD278=0,"",AY278-O278)</f>
        <v/>
      </c>
      <c r="BD278" s="103" t="str">
        <f>IF(AND(AI278&lt;&gt;"SIM",AI278="UH"),"AA","INDENIZAÇÃO")</f>
        <v>INDENIZAÇÃO</v>
      </c>
      <c r="BE278" s="103" t="str">
        <f>IF(AND(AY278&lt;&gt;"AGUARDANDO",AY278&lt;&gt;"",N278="AUXÍLIO ALUGUEL ATÉ INDENIZAÇÃO"),"SIM","NÃO")</f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customHeight="1">
      <c r="A279" s="165">
        <v>270</v>
      </c>
      <c r="B279" s="103" t="s">
        <v>4431</v>
      </c>
      <c r="C279" s="103" t="s">
        <v>4448</v>
      </c>
      <c r="D279" s="103">
        <v>1</v>
      </c>
      <c r="E279" s="103" t="s">
        <v>4432</v>
      </c>
      <c r="F279" s="104" t="s">
        <v>5601</v>
      </c>
      <c r="G279" s="103" t="s">
        <v>4330</v>
      </c>
      <c r="H279" s="103" t="s">
        <v>4331</v>
      </c>
      <c r="I279" s="142" t="s">
        <v>4343</v>
      </c>
      <c r="J279" s="114" t="s">
        <v>5604</v>
      </c>
      <c r="K279" s="149" t="s">
        <v>5605</v>
      </c>
      <c r="L279" s="149" t="s">
        <v>5606</v>
      </c>
      <c r="M279" s="103" t="s">
        <v>4333</v>
      </c>
      <c r="N279" s="103" t="s">
        <v>4459</v>
      </c>
      <c r="O279" s="105">
        <v>46059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03"/>
      <c r="AB279" s="114" t="s">
        <v>5604</v>
      </c>
      <c r="AC279" s="139" t="s">
        <v>5605</v>
      </c>
      <c r="AD279" s="139" t="s">
        <v>5606</v>
      </c>
      <c r="AE279" s="103" t="s">
        <v>4343</v>
      </c>
      <c r="AF279" s="103" t="s">
        <v>4333</v>
      </c>
      <c r="AG279" s="194">
        <v>41381.94</v>
      </c>
      <c r="AH279" s="194">
        <v>60000</v>
      </c>
      <c r="AI279" s="103" t="s">
        <v>4336</v>
      </c>
      <c r="AJ279" s="104" t="s">
        <v>4438</v>
      </c>
      <c r="AK279" s="103">
        <v>148264579</v>
      </c>
      <c r="AL279" s="103" t="s">
        <v>4338</v>
      </c>
      <c r="AM279" s="103" t="s">
        <v>4338</v>
      </c>
      <c r="AN279" s="103" t="s">
        <v>4339</v>
      </c>
      <c r="AO279" s="103"/>
      <c r="AP279" s="171" t="s">
        <v>5607</v>
      </c>
      <c r="AQ279" s="103" t="s">
        <v>4338</v>
      </c>
      <c r="AR279" s="103" t="s">
        <v>4338</v>
      </c>
      <c r="AS279" s="143" t="s">
        <v>4338</v>
      </c>
      <c r="AT279" s="302" t="s">
        <v>4338</v>
      </c>
      <c r="AU279" s="305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>IF(AY279-KD279=0,"",AY279-O279)</f>
        <v>63</v>
      </c>
      <c r="BD279" s="103" t="str">
        <f>IF(AND(AI279&lt;&gt;"SIM",AI279="UH"),"AA","INDENIZAÇÃO")</f>
        <v>INDENIZAÇÃO</v>
      </c>
      <c r="BE279" s="103" t="str">
        <f>IF(AND(AY279&lt;&gt;"AGUARDANDO",AY279&lt;&gt;"",N279="AUXÍLIO ALUGUEL ATÉ INDENIZAÇÃO"),"SIM","NÃO")</f>
        <v>NÃO</v>
      </c>
      <c r="BF279" s="112" t="s">
        <v>4357</v>
      </c>
      <c r="BG279" s="112" t="s">
        <v>4357</v>
      </c>
      <c r="BH279" s="112" t="s">
        <v>4357</v>
      </c>
      <c r="BI279" s="109" t="s">
        <v>4912</v>
      </c>
      <c r="BJ279" s="109"/>
      <c r="BK279" s="109"/>
      <c r="BL279" s="109"/>
      <c r="BM279" s="239"/>
    </row>
    <row r="280" spans="1:67" s="232" customFormat="1" ht="29.25" customHeight="1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>IF(AY280-KD280=0,"",AY280-O280)</f>
        <v/>
      </c>
      <c r="BD280" s="103" t="str">
        <f>IF(AND(AI280&lt;&gt;"SIM",AI280="UH"),"AA","INDENIZAÇÃO")</f>
        <v>AA</v>
      </c>
      <c r="BE280" s="103" t="str">
        <f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customHeight="1">
      <c r="A281" s="103">
        <v>272</v>
      </c>
      <c r="B281" s="103" t="s">
        <v>4431</v>
      </c>
      <c r="C281" s="103" t="s">
        <v>4448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5613</v>
      </c>
      <c r="L281" s="149" t="s">
        <v>5614</v>
      </c>
      <c r="M281" s="103" t="s">
        <v>4333</v>
      </c>
      <c r="N281" s="103" t="s">
        <v>4459</v>
      </c>
      <c r="O281" s="105">
        <v>46045</v>
      </c>
      <c r="P281" s="105" t="s">
        <v>4356</v>
      </c>
      <c r="Q281" s="105" t="s">
        <v>4356</v>
      </c>
      <c r="R281" s="105" t="s">
        <v>4356</v>
      </c>
      <c r="S281" s="105" t="s">
        <v>4356</v>
      </c>
      <c r="T281" s="105" t="s">
        <v>4356</v>
      </c>
      <c r="U281" s="105" t="s">
        <v>4356</v>
      </c>
      <c r="V281" s="105" t="s">
        <v>4356</v>
      </c>
      <c r="W281" s="105" t="s">
        <v>4356</v>
      </c>
      <c r="X281" s="105" t="s">
        <v>4356</v>
      </c>
      <c r="Y281" s="105" t="s">
        <v>4356</v>
      </c>
      <c r="Z281" s="105"/>
      <c r="AA281" s="105"/>
      <c r="AB281" s="149" t="s">
        <v>5612</v>
      </c>
      <c r="AC281" s="104" t="s">
        <v>5613</v>
      </c>
      <c r="AD281" s="104" t="s">
        <v>5614</v>
      </c>
      <c r="AE281" s="103" t="s">
        <v>4343</v>
      </c>
      <c r="AF281" s="103" t="s">
        <v>4333</v>
      </c>
      <c r="AG281" s="194">
        <v>20751.849999999999</v>
      </c>
      <c r="AH281" s="194">
        <f>AG281+30000</f>
        <v>50751.85</v>
      </c>
      <c r="AI281" s="103" t="s">
        <v>4336</v>
      </c>
      <c r="AJ281" s="104" t="s">
        <v>4438</v>
      </c>
      <c r="AK281" s="103">
        <v>148264683</v>
      </c>
      <c r="AL281" s="103" t="s">
        <v>4338</v>
      </c>
      <c r="AM281" s="103" t="s">
        <v>4338</v>
      </c>
      <c r="AN281" s="103" t="s">
        <v>4339</v>
      </c>
      <c r="AO281" s="103"/>
      <c r="AP281" s="171" t="s">
        <v>5615</v>
      </c>
      <c r="AQ281" s="103" t="s">
        <v>4338</v>
      </c>
      <c r="AR281" s="103" t="s">
        <v>4338</v>
      </c>
      <c r="AS281" s="143" t="s">
        <v>4338</v>
      </c>
      <c r="AT281" s="103" t="s">
        <v>4338</v>
      </c>
      <c r="AU281" s="105">
        <v>46111</v>
      </c>
      <c r="AV281" s="103" t="s">
        <v>4338</v>
      </c>
      <c r="AW281" s="103" t="s">
        <v>4338</v>
      </c>
      <c r="AX281" s="105">
        <v>46114</v>
      </c>
      <c r="AY281" s="106">
        <v>46114</v>
      </c>
      <c r="AZ281" s="214" t="s">
        <v>4453</v>
      </c>
      <c r="BA281" s="107" t="s">
        <v>4454</v>
      </c>
      <c r="BB281" s="136" t="s">
        <v>4338</v>
      </c>
      <c r="BC281" s="220">
        <f>IF(AY281-KD281=0,"",AY281-O281)</f>
        <v>69</v>
      </c>
      <c r="BD281" s="103" t="str">
        <f>IF(AND(AI281&lt;&gt;"SIM",AI281="UH"),"AA","INDENIZAÇÃO")</f>
        <v>INDENIZAÇÃO</v>
      </c>
      <c r="BE281" s="103" t="str">
        <f>IF(AND(AY281&lt;&gt;"AGUARDANDO",AY281&lt;&gt;"",N281="AUXÍLIO ALUGUEL ATÉ INDENIZAÇÃO"),"SIM","NÃO")</f>
        <v>NÃO</v>
      </c>
      <c r="BF281" s="140" t="s">
        <v>4357</v>
      </c>
      <c r="BG281" s="140" t="s">
        <v>4357</v>
      </c>
      <c r="BH281" s="140" t="s">
        <v>4357</v>
      </c>
      <c r="BI281" s="154" t="s">
        <v>4912</v>
      </c>
      <c r="BJ281" s="154"/>
      <c r="BK281" s="154"/>
      <c r="BL281" s="154"/>
      <c r="BM281" s="237"/>
    </row>
    <row r="282" spans="1:67" s="232" customFormat="1" ht="29.25" customHeight="1">
      <c r="A282" s="103">
        <v>273</v>
      </c>
      <c r="B282" s="103" t="s">
        <v>4431</v>
      </c>
      <c r="C282" s="103" t="s">
        <v>4359</v>
      </c>
      <c r="D282" s="103">
        <v>1</v>
      </c>
      <c r="E282" s="103" t="s">
        <v>4432</v>
      </c>
      <c r="F282" s="104" t="s">
        <v>5611</v>
      </c>
      <c r="G282" s="103" t="s">
        <v>4330</v>
      </c>
      <c r="H282" s="103" t="s">
        <v>4331</v>
      </c>
      <c r="I282" s="142" t="s">
        <v>4343</v>
      </c>
      <c r="J282" s="149" t="s">
        <v>5616</v>
      </c>
      <c r="K282" s="149" t="s">
        <v>4432</v>
      </c>
      <c r="L282" s="149" t="s">
        <v>5617</v>
      </c>
      <c r="M282" s="103" t="s">
        <v>4333</v>
      </c>
      <c r="N282" s="103" t="s">
        <v>4345</v>
      </c>
      <c r="O282" s="105">
        <v>45988</v>
      </c>
      <c r="P282" s="105">
        <v>46002</v>
      </c>
      <c r="Q282" s="105" t="s">
        <v>4436</v>
      </c>
      <c r="R282" s="105">
        <v>45999</v>
      </c>
      <c r="S282" s="105">
        <v>46006</v>
      </c>
      <c r="T282" s="105">
        <v>46006</v>
      </c>
      <c r="U282" s="105">
        <v>46009</v>
      </c>
      <c r="V282" s="105" t="s">
        <v>4437</v>
      </c>
      <c r="W282" s="105" t="s">
        <v>4437</v>
      </c>
      <c r="X282" s="105">
        <v>46014</v>
      </c>
      <c r="Y282" s="105">
        <v>46017</v>
      </c>
      <c r="Z282" s="105">
        <v>46017</v>
      </c>
      <c r="AA282" s="103"/>
      <c r="AB282" s="149" t="s">
        <v>5616</v>
      </c>
      <c r="AC282" s="149" t="s">
        <v>4432</v>
      </c>
      <c r="AD282" s="149" t="s">
        <v>5617</v>
      </c>
      <c r="AE282" s="212" t="s">
        <v>4343</v>
      </c>
      <c r="AF282" s="212" t="s">
        <v>4333</v>
      </c>
      <c r="AG282" s="114" t="s">
        <v>4356</v>
      </c>
      <c r="AH282" s="114" t="s">
        <v>4356</v>
      </c>
      <c r="AI282" s="212" t="s">
        <v>4355</v>
      </c>
      <c r="AJ282" s="104" t="s">
        <v>4438</v>
      </c>
      <c r="AK282" s="103"/>
      <c r="AL282" s="103"/>
      <c r="AM282" s="103"/>
      <c r="AN282" s="103"/>
      <c r="AO282" s="103"/>
      <c r="AP282" s="171"/>
      <c r="AQ282" s="103"/>
      <c r="AR282" s="103"/>
      <c r="AS282" s="107"/>
      <c r="AT282" s="103"/>
      <c r="AU282" s="105"/>
      <c r="AV282" s="112"/>
      <c r="AW282" s="103"/>
      <c r="AX282" s="105"/>
      <c r="AY282" s="166"/>
      <c r="AZ282" s="111">
        <v>46017</v>
      </c>
      <c r="BA282" s="103" t="s">
        <v>4360</v>
      </c>
      <c r="BB282" s="136"/>
      <c r="BC282" s="220" t="str">
        <f>IF(AY282-KD282=0,"",AY282-O282)</f>
        <v/>
      </c>
      <c r="BD282" s="103" t="str">
        <f>IF(AND(AI282&lt;&gt;"SIM",AI282="UH"),"AA","INDENIZAÇÃO")</f>
        <v>AA</v>
      </c>
      <c r="BE282" s="103" t="str">
        <f>IF(AND(AY282&lt;&gt;"AGUARDANDO",AY282&lt;&gt;"",N282="AUXÍLIO ALUGUEL ATÉ INDENIZAÇÃO"),"SIM","NÃO")</f>
        <v>NÃO</v>
      </c>
      <c r="BF282" s="140"/>
      <c r="BG282" s="140"/>
      <c r="BH282" s="140"/>
      <c r="BI282" s="140"/>
      <c r="BJ282" s="140"/>
      <c r="BK282" s="140"/>
      <c r="BL282" s="140"/>
      <c r="BM282" s="238"/>
    </row>
    <row r="283" spans="1:67" s="232" customFormat="1" ht="29.25" customHeight="1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>IF(AY283-KD283=0,"",AY283-O283)</f>
        <v/>
      </c>
      <c r="BD283" s="103" t="str">
        <f>IF(AND(AI283&lt;&gt;"SIM",AI283="UH"),"AA","INDENIZAÇÃO")</f>
        <v>INDENIZAÇÃO</v>
      </c>
      <c r="BE283" s="103" t="str">
        <f>IF(AND(AY283&lt;&gt;"AGUARDANDO",AY283&lt;&gt;"",N283="AUXÍLIO ALUGUEL ATÉ INDENIZAÇÃO"),"SIM","NÃO")</f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customHeight="1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>IF(AY284-KD284=0,"",AY284-O284)</f>
        <v/>
      </c>
      <c r="BD284" s="103" t="str">
        <f>IF(AND(AI284&lt;&gt;"SIM",AI284="UH"),"AA","INDENIZAÇÃO")</f>
        <v>AA</v>
      </c>
      <c r="BE284" s="103" t="str">
        <f>IF(AND(AY284&lt;&gt;"AGUARDANDO",AY284&lt;&gt;"",N284="AUXÍLIO ALUGUEL ATÉ INDENIZAÇÃO"),"SIM","NÃO")</f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customHeight="1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>IF(AY285-KD285=0,"",AY285-O285)</f>
        <v/>
      </c>
      <c r="BD285" s="103" t="str">
        <f>IF(AND(AI285&lt;&gt;"SIM",AI285="UH"),"AA","INDENIZAÇÃO")</f>
        <v>AA</v>
      </c>
      <c r="BE285" s="103" t="str">
        <f>IF(AND(AY285&lt;&gt;"AGUARDANDO",AY285&lt;&gt;"",N285="AUXÍLIO ALUGUEL ATÉ INDENIZAÇÃO"),"SIM","NÃO")</f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5628</v>
      </c>
      <c r="G286" s="103" t="s">
        <v>4330</v>
      </c>
      <c r="H286" s="103" t="s">
        <v>4331</v>
      </c>
      <c r="I286" s="142" t="s">
        <v>4343</v>
      </c>
      <c r="J286" s="149" t="s">
        <v>5629</v>
      </c>
      <c r="K286" s="149" t="s">
        <v>5630</v>
      </c>
      <c r="L286" s="149" t="s">
        <v>5631</v>
      </c>
      <c r="M286" s="103" t="s">
        <v>4333</v>
      </c>
      <c r="N286" s="103" t="s">
        <v>4459</v>
      </c>
      <c r="O286" s="105">
        <v>45996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5629</v>
      </c>
      <c r="AC286" s="104" t="s">
        <v>5630</v>
      </c>
      <c r="AD286" s="104" t="s">
        <v>5631</v>
      </c>
      <c r="AE286" s="165" t="s">
        <v>4343</v>
      </c>
      <c r="AF286" s="165" t="s">
        <v>4333</v>
      </c>
      <c r="AG286" s="208">
        <v>43498.5</v>
      </c>
      <c r="AH286" s="208">
        <v>60000</v>
      </c>
      <c r="AI286" s="165" t="s">
        <v>4336</v>
      </c>
      <c r="AJ286" s="104" t="s">
        <v>4438</v>
      </c>
      <c r="AK286" s="103">
        <v>148264803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5632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46071</v>
      </c>
      <c r="AV286" s="112" t="s">
        <v>4338</v>
      </c>
      <c r="AW286" s="112" t="s">
        <v>4338</v>
      </c>
      <c r="AX286" s="111">
        <v>46093</v>
      </c>
      <c r="AY286" s="106">
        <v>46093</v>
      </c>
      <c r="AZ286" s="214" t="s">
        <v>4453</v>
      </c>
      <c r="BA286" s="174" t="s">
        <v>4454</v>
      </c>
      <c r="BB286" s="136" t="s">
        <v>4338</v>
      </c>
      <c r="BC286" s="220">
        <f>IF(AY286-KD286=0,"",AY286-O286)</f>
        <v>97</v>
      </c>
      <c r="BD286" s="103" t="str">
        <f>IF(AND(AI286&lt;&gt;"SIM",AI286="UH"),"AA","INDENIZAÇÃO")</f>
        <v>INDENIZAÇÃO</v>
      </c>
      <c r="BE286" s="103" t="str">
        <f>IF(AND(AY286&lt;&gt;"AGUARDANDO",AY286&lt;&gt;"",N286="AUXÍLIO ALUGUEL ATÉ INDENIZAÇÃO"),"SIM","NÃO")</f>
        <v>NÃO</v>
      </c>
      <c r="BF286" s="140" t="s">
        <v>4357</v>
      </c>
      <c r="BG286" s="140" t="s">
        <v>4357</v>
      </c>
      <c r="BH286" s="140" t="s">
        <v>4357</v>
      </c>
      <c r="BI286" s="154" t="s">
        <v>4912</v>
      </c>
      <c r="BJ286" s="154"/>
      <c r="BK286" s="154"/>
      <c r="BL286" s="154"/>
      <c r="BM286" s="237"/>
    </row>
    <row r="287" spans="1:67" s="232" customFormat="1" ht="29.25" customHeight="1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>IF(AY287-KD287=0,"",AY287-O287)</f>
        <v/>
      </c>
      <c r="BD287" s="103" t="str">
        <f>IF(AND(AI287&lt;&gt;"SIM",AI287="UH"),"AA","INDENIZAÇÃO")</f>
        <v>AA</v>
      </c>
      <c r="BE287" s="103" t="str">
        <f>IF(AND(AY287&lt;&gt;"AGUARDANDO",AY287&lt;&gt;"",N287="AUXÍLIO ALUGUEL ATÉ INDENIZAÇÃO"),"SIM","NÃO")</f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customHeight="1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5636</v>
      </c>
      <c r="G288" s="103" t="s">
        <v>4330</v>
      </c>
      <c r="H288" s="103" t="s">
        <v>4331</v>
      </c>
      <c r="I288" s="142" t="s">
        <v>4343</v>
      </c>
      <c r="J288" s="149" t="s">
        <v>5637</v>
      </c>
      <c r="K288" s="149" t="s">
        <v>4432</v>
      </c>
      <c r="L288" s="149" t="s">
        <v>5638</v>
      </c>
      <c r="M288" s="103" t="s">
        <v>4333</v>
      </c>
      <c r="N288" s="103" t="s">
        <v>4459</v>
      </c>
      <c r="O288" s="105">
        <v>46077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5637</v>
      </c>
      <c r="AC288" s="104" t="s">
        <v>4432</v>
      </c>
      <c r="AD288" s="104" t="s">
        <v>5638</v>
      </c>
      <c r="AE288" s="165" t="s">
        <v>4343</v>
      </c>
      <c r="AF288" s="165" t="s">
        <v>4333</v>
      </c>
      <c r="AG288" s="194">
        <v>63448.61</v>
      </c>
      <c r="AH288" s="194">
        <v>63448.61</v>
      </c>
      <c r="AI288" s="103" t="s">
        <v>4336</v>
      </c>
      <c r="AJ288" s="104" t="s">
        <v>4438</v>
      </c>
      <c r="AK288" s="103">
        <v>151379243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5639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46111</v>
      </c>
      <c r="AV288" s="103" t="s">
        <v>4338</v>
      </c>
      <c r="AW288" s="103" t="s">
        <v>4338</v>
      </c>
      <c r="AX288" s="111">
        <v>46118</v>
      </c>
      <c r="AY288" s="106">
        <v>46118</v>
      </c>
      <c r="AZ288" s="214" t="s">
        <v>4453</v>
      </c>
      <c r="BA288" s="174" t="s">
        <v>4454</v>
      </c>
      <c r="BB288" s="136" t="s">
        <v>4338</v>
      </c>
      <c r="BC288" s="220">
        <f>IF(AY288-KD288=0,"",AY288-O288)</f>
        <v>41</v>
      </c>
      <c r="BD288" s="103" t="str">
        <f>IF(AND(AI288&lt;&gt;"SIM",AI288="UH"),"AA","INDENIZAÇÃO")</f>
        <v>INDENIZAÇÃO</v>
      </c>
      <c r="BE288" s="103" t="str">
        <f>IF(AND(AY288&lt;&gt;"AGUARDANDO",AY288&lt;&gt;"",N288="AUXÍLIO ALUGUEL ATÉ INDENIZAÇÃO"),"SIM","NÃO")</f>
        <v>NÃO</v>
      </c>
      <c r="BF288" s="140" t="s">
        <v>4357</v>
      </c>
      <c r="BG288" s="140" t="s">
        <v>4357</v>
      </c>
      <c r="BH288" s="140" t="s">
        <v>4357</v>
      </c>
      <c r="BI288" s="154" t="s">
        <v>4912</v>
      </c>
      <c r="BJ288" s="154"/>
      <c r="BK288" s="154"/>
      <c r="BL288" s="154"/>
      <c r="BM288" s="237"/>
    </row>
    <row r="289" spans="1:75" s="232" customFormat="1" ht="29.25" customHeight="1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5640</v>
      </c>
      <c r="G289" s="103" t="s">
        <v>4330</v>
      </c>
      <c r="H289" s="103" t="s">
        <v>4331</v>
      </c>
      <c r="I289" s="142" t="s">
        <v>4343</v>
      </c>
      <c r="J289" s="149" t="s">
        <v>5641</v>
      </c>
      <c r="K289" s="149" t="s">
        <v>5642</v>
      </c>
      <c r="L289" s="149" t="s">
        <v>5643</v>
      </c>
      <c r="M289" s="103" t="s">
        <v>4333</v>
      </c>
      <c r="N289" s="103" t="s">
        <v>4459</v>
      </c>
      <c r="O289" s="105">
        <v>45986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5641</v>
      </c>
      <c r="AC289" s="104" t="s">
        <v>5642</v>
      </c>
      <c r="AD289" s="104" t="s">
        <v>5643</v>
      </c>
      <c r="AE289" s="212" t="s">
        <v>4343</v>
      </c>
      <c r="AF289" s="212" t="s">
        <v>4333</v>
      </c>
      <c r="AG289" s="194">
        <v>31960.69</v>
      </c>
      <c r="AH289" s="194">
        <v>60000</v>
      </c>
      <c r="AI289" s="103" t="s">
        <v>4336</v>
      </c>
      <c r="AJ289" s="104" t="s">
        <v>4438</v>
      </c>
      <c r="AK289" s="103">
        <v>147041833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5644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46008</v>
      </c>
      <c r="AV289" s="112" t="s">
        <v>4338</v>
      </c>
      <c r="AW289" s="103" t="s">
        <v>4338</v>
      </c>
      <c r="AX289" s="111">
        <v>46021</v>
      </c>
      <c r="AY289" s="106">
        <v>46021</v>
      </c>
      <c r="AZ289" s="106" t="s">
        <v>4453</v>
      </c>
      <c r="BA289" s="107" t="s">
        <v>4454</v>
      </c>
      <c r="BB289" s="136" t="s">
        <v>4338</v>
      </c>
      <c r="BC289" s="220">
        <f>IF(AY289-KD289=0,"",AY289-O289)</f>
        <v>35</v>
      </c>
      <c r="BD289" s="103" t="str">
        <f>IF(AND(AI289&lt;&gt;"SIM",AI289="UH"),"AA","INDENIZAÇÃO")</f>
        <v>INDENIZAÇÃO</v>
      </c>
      <c r="BE289" s="103" t="str">
        <f>IF(AND(AY289&lt;&gt;"AGUARDANDO",AY289&lt;&gt;"",N289="AUXÍLIO ALUGUEL ATÉ INDENIZAÇÃO"),"SIM","NÃO")</f>
        <v>NÃO</v>
      </c>
      <c r="BF289" s="140" t="s">
        <v>4357</v>
      </c>
      <c r="BG289" s="140" t="s">
        <v>4357</v>
      </c>
      <c r="BH289" s="140" t="s">
        <v>4357</v>
      </c>
      <c r="BI289" s="103" t="s">
        <v>4338</v>
      </c>
      <c r="BJ289" s="103" t="s">
        <v>4338</v>
      </c>
      <c r="BK289" s="105">
        <v>46205</v>
      </c>
      <c r="BL289" s="154" t="s">
        <v>4461</v>
      </c>
      <c r="BM289" s="237"/>
    </row>
    <row r="290" spans="1:75" s="232" customFormat="1" ht="29.25" customHeight="1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>IF(AY290-KD290=0,"",AY290-O290)</f>
        <v/>
      </c>
      <c r="BD290" s="103" t="str">
        <f>IF(AND(AI290&lt;&gt;"SIM",AI290="UH"),"AA","INDENIZAÇÃO")</f>
        <v>AA</v>
      </c>
      <c r="BE290" s="103" t="str">
        <f>IF(AND(AY290&lt;&gt;"AGUARDANDO",AY290&lt;&gt;"",N290="AUXÍLIO ALUGUEL ATÉ INDENIZAÇÃO"),"SIM","NÃO")</f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customHeight="1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>IF(AY291-KD291=0,"",AY291-O291)</f>
        <v/>
      </c>
      <c r="BD291" s="103" t="str">
        <f>IF(AND(AI291&lt;&gt;"SIM",AI291="UH"),"AA","INDENIZAÇÃO")</f>
        <v>AA</v>
      </c>
      <c r="BE291" s="103" t="str">
        <f>IF(AND(AY291&lt;&gt;"AGUARDANDO",AY291&lt;&gt;"",N291="AUXÍLIO ALUGUEL ATÉ INDENIZAÇÃO"),"SIM","NÃO")</f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customHeight="1">
      <c r="A292" s="165">
        <v>283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5651</v>
      </c>
      <c r="G292" s="103" t="s">
        <v>4330</v>
      </c>
      <c r="H292" s="103" t="s">
        <v>4331</v>
      </c>
      <c r="I292" s="142" t="s">
        <v>4343</v>
      </c>
      <c r="J292" s="149" t="s">
        <v>5652</v>
      </c>
      <c r="K292" s="149" t="s">
        <v>5653</v>
      </c>
      <c r="L292" s="149" t="s">
        <v>5654</v>
      </c>
      <c r="M292" s="103" t="s">
        <v>4333</v>
      </c>
      <c r="N292" s="103" t="s">
        <v>4459</v>
      </c>
      <c r="O292" s="105">
        <v>46050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5652</v>
      </c>
      <c r="AC292" s="149" t="s">
        <v>5653</v>
      </c>
      <c r="AD292" s="149" t="s">
        <v>5654</v>
      </c>
      <c r="AE292" s="210" t="s">
        <v>4343</v>
      </c>
      <c r="AF292" s="210" t="s">
        <v>4333</v>
      </c>
      <c r="AG292" s="208">
        <v>28298.76</v>
      </c>
      <c r="AH292" s="208">
        <f>AG292+30000</f>
        <v>58298.759999999995</v>
      </c>
      <c r="AI292" s="165" t="s">
        <v>4336</v>
      </c>
      <c r="AJ292" s="104" t="s">
        <v>4438</v>
      </c>
      <c r="AK292" s="103">
        <v>149817884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5655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46078</v>
      </c>
      <c r="AV292" s="112" t="s">
        <v>4338</v>
      </c>
      <c r="AW292" s="112" t="s">
        <v>4338</v>
      </c>
      <c r="AX292" s="111">
        <v>46092</v>
      </c>
      <c r="AY292" s="106">
        <v>46092</v>
      </c>
      <c r="AZ292" s="211">
        <v>46017</v>
      </c>
      <c r="BA292" s="165" t="s">
        <v>4360</v>
      </c>
      <c r="BB292" s="136" t="s">
        <v>4338</v>
      </c>
      <c r="BC292" s="220">
        <f>IF(AY292-KD292=0,"",AY292-O292)</f>
        <v>42</v>
      </c>
      <c r="BD292" s="103" t="str">
        <f>IF(AND(AI292&lt;&gt;"SIM",AI292="UH"),"AA","INDENIZAÇÃO")</f>
        <v>INDENIZAÇÃO</v>
      </c>
      <c r="BE292" s="103" t="str">
        <f>IF(AND(AY292&lt;&gt;"AGUARDANDO",AY292&lt;&gt;"",N292="AUXÍLIO ALUGUEL ATÉ INDENIZAÇÃO"),"SIM","NÃO")</f>
        <v>NÃO</v>
      </c>
      <c r="BF292" s="140" t="s">
        <v>4357</v>
      </c>
      <c r="BG292" s="140" t="s">
        <v>4357</v>
      </c>
      <c r="BH292" s="140" t="s">
        <v>4357</v>
      </c>
      <c r="BI292" s="154" t="s">
        <v>4912</v>
      </c>
      <c r="BJ292" s="154"/>
      <c r="BK292" s="154"/>
      <c r="BL292" s="154"/>
      <c r="BM292" s="237"/>
    </row>
    <row r="293" spans="1:75" s="232" customFormat="1" ht="29.25" customHeight="1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>IF(AY293-KD293=0,"",AY293-O293)</f>
        <v/>
      </c>
      <c r="BD293" s="103" t="str">
        <f>IF(AND(AI293&lt;&gt;"SIM",AI293="UH"),"AA","INDENIZAÇÃO")</f>
        <v>AA</v>
      </c>
      <c r="BE293" s="103" t="str">
        <f>IF(AND(AY293&lt;&gt;"AGUARDANDO",AY293&lt;&gt;"",N293="AUXÍLIO ALUGUEL ATÉ INDENIZAÇÃO"),"SIM","NÃO")</f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customHeight="1">
      <c r="A294" s="103">
        <v>285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5660</v>
      </c>
      <c r="G294" s="103" t="s">
        <v>4330</v>
      </c>
      <c r="H294" s="103" t="s">
        <v>4331</v>
      </c>
      <c r="I294" s="142" t="s">
        <v>4343</v>
      </c>
      <c r="J294" s="149" t="s">
        <v>5661</v>
      </c>
      <c r="K294" s="149" t="s">
        <v>5662</v>
      </c>
      <c r="L294" s="149" t="s">
        <v>5663</v>
      </c>
      <c r="M294" s="103" t="s">
        <v>4333</v>
      </c>
      <c r="N294" s="103" t="s">
        <v>4459</v>
      </c>
      <c r="O294" s="105">
        <v>45979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3"/>
      <c r="AB294" s="149" t="s">
        <v>5661</v>
      </c>
      <c r="AC294" s="104" t="s">
        <v>5662</v>
      </c>
      <c r="AD294" s="139" t="s">
        <v>5663</v>
      </c>
      <c r="AE294" s="210" t="s">
        <v>4343</v>
      </c>
      <c r="AF294" s="210" t="s">
        <v>4333</v>
      </c>
      <c r="AG294" s="208">
        <v>12046</v>
      </c>
      <c r="AH294" s="208">
        <f>AG294+30000</f>
        <v>42046</v>
      </c>
      <c r="AI294" s="165" t="s">
        <v>4336</v>
      </c>
      <c r="AJ294" s="104" t="s">
        <v>4438</v>
      </c>
      <c r="AK294" s="103">
        <v>146668154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5664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46014</v>
      </c>
      <c r="AV294" s="112" t="s">
        <v>4338</v>
      </c>
      <c r="AW294" s="103" t="s">
        <v>4338</v>
      </c>
      <c r="AX294" s="111">
        <v>46042</v>
      </c>
      <c r="AY294" s="157">
        <v>46042</v>
      </c>
      <c r="AZ294" s="211">
        <v>46017</v>
      </c>
      <c r="BA294" s="165" t="s">
        <v>4360</v>
      </c>
      <c r="BB294" s="136" t="s">
        <v>4338</v>
      </c>
      <c r="BC294" s="220">
        <f>IF(AY294-KD294=0,"",AY294-O294)</f>
        <v>63</v>
      </c>
      <c r="BD294" s="103" t="str">
        <f>IF(AND(AI294&lt;&gt;"SIM",AI294="UH"),"AA","INDENIZAÇÃO")</f>
        <v>INDENIZAÇÃO</v>
      </c>
      <c r="BE294" s="103" t="str">
        <f>IF(AND(AY294&lt;&gt;"AGUARDANDO",AY294&lt;&gt;"",N294="AUXÍLIO ALUGUEL ATÉ INDENIZAÇÃO"),"SIM","NÃO")</f>
        <v>NÃO</v>
      </c>
      <c r="BF294" s="140" t="s">
        <v>4357</v>
      </c>
      <c r="BG294" s="140" t="s">
        <v>4357</v>
      </c>
      <c r="BH294" s="140" t="s">
        <v>4357</v>
      </c>
      <c r="BI294" s="154" t="s">
        <v>4912</v>
      </c>
      <c r="BJ294" s="154"/>
      <c r="BK294" s="154"/>
      <c r="BL294" s="154"/>
      <c r="BM294" s="237"/>
    </row>
    <row r="295" spans="1:75" s="232" customFormat="1" ht="29.25" customHeight="1">
      <c r="A295" s="103">
        <v>286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5665</v>
      </c>
      <c r="G295" s="103" t="s">
        <v>4330</v>
      </c>
      <c r="H295" s="103" t="s">
        <v>4331</v>
      </c>
      <c r="I295" s="142" t="s">
        <v>4343</v>
      </c>
      <c r="J295" s="114" t="s">
        <v>5666</v>
      </c>
      <c r="K295" s="149" t="s">
        <v>5667</v>
      </c>
      <c r="L295" s="149" t="s">
        <v>5668</v>
      </c>
      <c r="M295" s="103" t="s">
        <v>4333</v>
      </c>
      <c r="N295" s="103" t="s">
        <v>4459</v>
      </c>
      <c r="O295" s="105">
        <v>46052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5666</v>
      </c>
      <c r="AC295" s="114" t="s">
        <v>5667</v>
      </c>
      <c r="AD295" s="114" t="s">
        <v>5668</v>
      </c>
      <c r="AE295" s="210" t="s">
        <v>4343</v>
      </c>
      <c r="AF295" s="210" t="s">
        <v>4333</v>
      </c>
      <c r="AG295" s="208">
        <v>20212.93</v>
      </c>
      <c r="AH295" s="208">
        <f>AG295+30000</f>
        <v>50212.93</v>
      </c>
      <c r="AI295" s="165" t="s">
        <v>4336</v>
      </c>
      <c r="AJ295" s="104" t="s">
        <v>4438</v>
      </c>
      <c r="AK295" s="103">
        <v>150349588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5669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46062</v>
      </c>
      <c r="AV295" s="112" t="s">
        <v>4338</v>
      </c>
      <c r="AW295" s="103" t="s">
        <v>4338</v>
      </c>
      <c r="AX295" s="111">
        <v>46066</v>
      </c>
      <c r="AY295" s="157">
        <v>46066</v>
      </c>
      <c r="AZ295" s="211">
        <v>46017</v>
      </c>
      <c r="BA295" s="165" t="s">
        <v>4360</v>
      </c>
      <c r="BB295" s="136" t="s">
        <v>4338</v>
      </c>
      <c r="BC295" s="220">
        <f>IF(AY295-KD295=0,"",AY295-O295)</f>
        <v>14</v>
      </c>
      <c r="BD295" s="103" t="str">
        <f>IF(AND(AI295&lt;&gt;"SIM",AI295="UH"),"AA","INDENIZAÇÃO")</f>
        <v>INDENIZAÇÃO</v>
      </c>
      <c r="BE295" s="103" t="str">
        <f>IF(AND(AY295&lt;&gt;"AGUARDANDO",AY295&lt;&gt;"",N295="AUXÍLIO ALUGUEL ATÉ INDENIZAÇÃO"),"SIM","NÃO")</f>
        <v>NÃO</v>
      </c>
      <c r="BF295" s="140" t="s">
        <v>4357</v>
      </c>
      <c r="BG295" s="140" t="s">
        <v>4357</v>
      </c>
      <c r="BH295" s="140" t="s">
        <v>4357</v>
      </c>
      <c r="BI295" s="154" t="s">
        <v>4912</v>
      </c>
      <c r="BJ295" s="154"/>
      <c r="BK295" s="154"/>
      <c r="BL295" s="154"/>
      <c r="BM295" s="237"/>
    </row>
    <row r="296" spans="1:75" s="232" customFormat="1" ht="29.25" customHeight="1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>IF(AY296-KD296=0,"",AY296-O296)</f>
        <v/>
      </c>
      <c r="BD296" s="103" t="str">
        <f>IF(AND(AI296&lt;&gt;"SIM",AI296="UH"),"AA","INDENIZAÇÃO")</f>
        <v>AA</v>
      </c>
      <c r="BE296" s="103" t="str">
        <f>IF(AND(AY296&lt;&gt;"AGUARDANDO",AY296&lt;&gt;"",N296="AUXÍLIO ALUGUEL ATÉ INDENIZAÇÃO"),"SIM","NÃO")</f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customHeight="1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>IF(AY297-KD297=0,"",AY297-O297)</f>
        <v/>
      </c>
      <c r="BD297" s="103" t="str">
        <f>IF(AND(AI297&lt;&gt;"SIM",AI297="UH"),"AA","INDENIZAÇÃO")</f>
        <v>AA</v>
      </c>
      <c r="BE297" s="103" t="str">
        <f>IF(AND(AY297&lt;&gt;"AGUARDANDO",AY297&lt;&gt;"",N297="AUXÍLIO ALUGUEL ATÉ INDENIZAÇÃO"),"SIM","NÃO")</f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customHeight="1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>IF(AY298-KD298=0,"",AY298-O298)</f>
        <v/>
      </c>
      <c r="BD298" s="103" t="str">
        <f>IF(AND(AI298&lt;&gt;"SIM",AI298="UH"),"AA","INDENIZAÇÃO")</f>
        <v>AA</v>
      </c>
      <c r="BE298" s="103" t="str">
        <f>IF(AND(AY298&lt;&gt;"AGUARDANDO",AY298&lt;&gt;"",N298="AUXÍLIO ALUGUEL ATÉ INDENIZAÇÃO"),"SIM","NÃO")</f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>
      <c r="A299" s="103">
        <v>290</v>
      </c>
      <c r="B299" s="143" t="s">
        <v>4431</v>
      </c>
      <c r="C299" s="143" t="s">
        <v>4359</v>
      </c>
      <c r="D299" s="143">
        <v>1</v>
      </c>
      <c r="E299" s="143" t="s">
        <v>4432</v>
      </c>
      <c r="F299" s="144" t="s">
        <v>5682</v>
      </c>
      <c r="G299" s="143" t="s">
        <v>4330</v>
      </c>
      <c r="H299" s="143" t="s">
        <v>4331</v>
      </c>
      <c r="I299" s="152" t="s">
        <v>4926</v>
      </c>
      <c r="J299" s="149" t="s">
        <v>5683</v>
      </c>
      <c r="K299" s="169" t="s">
        <v>5684</v>
      </c>
      <c r="L299" s="169" t="s">
        <v>5685</v>
      </c>
      <c r="M299" s="143" t="s">
        <v>4333</v>
      </c>
      <c r="N299" s="103" t="s">
        <v>4345</v>
      </c>
      <c r="O299" s="111">
        <v>45979</v>
      </c>
      <c r="P299" s="111">
        <v>45986</v>
      </c>
      <c r="Q299" s="166" t="s">
        <v>4436</v>
      </c>
      <c r="R299" s="166">
        <v>45985</v>
      </c>
      <c r="S299" s="166">
        <v>45986</v>
      </c>
      <c r="T299" s="166">
        <v>45987</v>
      </c>
      <c r="U299" s="166">
        <v>45992</v>
      </c>
      <c r="V299" s="111" t="s">
        <v>4437</v>
      </c>
      <c r="W299" s="111" t="s">
        <v>4437</v>
      </c>
      <c r="X299" s="105">
        <v>45999</v>
      </c>
      <c r="Y299" s="111">
        <v>46000</v>
      </c>
      <c r="Z299" s="105">
        <v>46017</v>
      </c>
      <c r="AA299" s="111"/>
      <c r="AB299" s="169" t="s">
        <v>5686</v>
      </c>
      <c r="AC299" s="144" t="s">
        <v>5687</v>
      </c>
      <c r="AD299" s="144" t="s">
        <v>5688</v>
      </c>
      <c r="AE299" s="172" t="s">
        <v>4332</v>
      </c>
      <c r="AF299" s="224" t="s">
        <v>4333</v>
      </c>
      <c r="AG299" s="208">
        <v>32557.040000000001</v>
      </c>
      <c r="AH299" s="208">
        <v>32557.040000000001</v>
      </c>
      <c r="AI299" s="224" t="s">
        <v>4336</v>
      </c>
      <c r="AJ299" s="144" t="s">
        <v>4438</v>
      </c>
      <c r="AK299" s="143">
        <v>146668575</v>
      </c>
      <c r="AL299" s="103" t="s">
        <v>4338</v>
      </c>
      <c r="AM299" s="143" t="s">
        <v>4338</v>
      </c>
      <c r="AN299" s="143" t="s">
        <v>4339</v>
      </c>
      <c r="AO299" s="143"/>
      <c r="AP299" s="171" t="s">
        <v>5689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46126</v>
      </c>
      <c r="AY299" s="106">
        <v>46126</v>
      </c>
      <c r="AZ299" s="211">
        <v>46017</v>
      </c>
      <c r="BA299" s="165" t="s">
        <v>4770</v>
      </c>
      <c r="BB299" s="136" t="s">
        <v>4338</v>
      </c>
      <c r="BC299" s="220">
        <f>IF(AY299-KD299=0,"",AY299-O299)</f>
        <v>147</v>
      </c>
      <c r="BD299" s="103" t="str">
        <f>IF(AND(AI299&lt;&gt;"SIM",AI299="UH"),"AA","INDENIZAÇÃO")</f>
        <v>INDENIZAÇÃO</v>
      </c>
      <c r="BE299" s="103" t="str">
        <f>IF(AND(AY299&lt;&gt;"AGUARDANDO",AY299&lt;&gt;"",N299="AUXÍLIO ALUGUEL ATÉ INDENIZAÇÃO"),"SIM","NÃO")</f>
        <v>NÃO</v>
      </c>
      <c r="BF299" s="140" t="s">
        <v>4357</v>
      </c>
      <c r="BG299" s="140" t="s">
        <v>4357</v>
      </c>
      <c r="BH299" s="140" t="s">
        <v>4357</v>
      </c>
      <c r="BI299" s="154" t="s">
        <v>4912</v>
      </c>
      <c r="BJ299" s="154"/>
      <c r="BK299" s="154"/>
      <c r="BL299" s="154"/>
      <c r="BM299" s="237"/>
    </row>
    <row r="300" spans="1:75" s="232" customFormat="1" ht="29.25" customHeight="1">
      <c r="A300" s="103">
        <v>291</v>
      </c>
      <c r="B300" s="103" t="s">
        <v>4431</v>
      </c>
      <c r="C300" s="103" t="s">
        <v>4359</v>
      </c>
      <c r="D300" s="103">
        <v>1</v>
      </c>
      <c r="E300" s="103" t="s">
        <v>4432</v>
      </c>
      <c r="F300" s="104" t="s">
        <v>5690</v>
      </c>
      <c r="G300" s="103" t="s">
        <v>4330</v>
      </c>
      <c r="H300" s="103" t="s">
        <v>4331</v>
      </c>
      <c r="I300" s="142" t="s">
        <v>4343</v>
      </c>
      <c r="J300" s="149" t="s">
        <v>5691</v>
      </c>
      <c r="K300" s="149" t="s">
        <v>5692</v>
      </c>
      <c r="L300" s="149" t="s">
        <v>5693</v>
      </c>
      <c r="M300" s="103" t="s">
        <v>4333</v>
      </c>
      <c r="N300" s="103" t="s">
        <v>4459</v>
      </c>
      <c r="O300" s="105">
        <v>46041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5"/>
      <c r="AB300" s="149" t="s">
        <v>5691</v>
      </c>
      <c r="AC300" s="149" t="s">
        <v>5692</v>
      </c>
      <c r="AD300" s="149" t="s">
        <v>5693</v>
      </c>
      <c r="AE300" s="212" t="s">
        <v>4343</v>
      </c>
      <c r="AF300" s="212" t="s">
        <v>4333</v>
      </c>
      <c r="AG300" s="194">
        <v>25936.93</v>
      </c>
      <c r="AH300" s="194">
        <f>AG300+30000</f>
        <v>55936.93</v>
      </c>
      <c r="AI300" s="103" t="s">
        <v>4336</v>
      </c>
      <c r="AJ300" s="104" t="s">
        <v>4438</v>
      </c>
      <c r="AK300" s="103">
        <v>149883983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5694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46062</v>
      </c>
      <c r="AV300" s="112" t="s">
        <v>4338</v>
      </c>
      <c r="AW300" s="103" t="s">
        <v>4338</v>
      </c>
      <c r="AX300" s="111">
        <v>46066</v>
      </c>
      <c r="AY300" s="106">
        <v>46066</v>
      </c>
      <c r="AZ300" s="211">
        <v>46017</v>
      </c>
      <c r="BA300" s="103" t="s">
        <v>4360</v>
      </c>
      <c r="BB300" s="136" t="s">
        <v>4338</v>
      </c>
      <c r="BC300" s="220">
        <f>IF(AY300-KD300=0,"",AY300-O300)</f>
        <v>25</v>
      </c>
      <c r="BD300" s="103" t="str">
        <f>IF(AND(AI300&lt;&gt;"SIM",AI300="UH"),"AA","INDENIZAÇÃO")</f>
        <v>INDENIZAÇÃO</v>
      </c>
      <c r="BE300" s="103" t="str">
        <f>IF(AND(AY300&lt;&gt;"AGUARDANDO",AY300&lt;&gt;"",N300="AUXÍLIO ALUGUEL ATÉ INDENIZAÇÃO"),"SIM","NÃO")</f>
        <v>NÃO</v>
      </c>
      <c r="BF300" s="140" t="s">
        <v>4357</v>
      </c>
      <c r="BG300" s="140" t="s">
        <v>4357</v>
      </c>
      <c r="BH300" s="140" t="s">
        <v>4357</v>
      </c>
      <c r="BI300" s="154" t="s">
        <v>4912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>
      <c r="A301" s="103">
        <v>292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5695</v>
      </c>
      <c r="G301" s="103" t="s">
        <v>4351</v>
      </c>
      <c r="H301" s="103" t="s">
        <v>4351</v>
      </c>
      <c r="I301" s="153" t="s">
        <v>4332</v>
      </c>
      <c r="J301" s="149" t="s">
        <v>5696</v>
      </c>
      <c r="K301" s="149" t="s">
        <v>5697</v>
      </c>
      <c r="L301" s="149" t="s">
        <v>5698</v>
      </c>
      <c r="M301" s="103" t="s">
        <v>4333</v>
      </c>
      <c r="N301" s="103" t="s">
        <v>4459</v>
      </c>
      <c r="O301" s="105">
        <v>46076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5696</v>
      </c>
      <c r="AC301" s="149" t="s">
        <v>5697</v>
      </c>
      <c r="AD301" s="149" t="s">
        <v>5698</v>
      </c>
      <c r="AE301" s="218" t="s">
        <v>4332</v>
      </c>
      <c r="AF301" s="165" t="s">
        <v>4333</v>
      </c>
      <c r="AG301" s="208">
        <v>2131.8000000000002</v>
      </c>
      <c r="AH301" s="208">
        <v>2131.8000000000002</v>
      </c>
      <c r="AI301" s="165" t="s">
        <v>4336</v>
      </c>
      <c r="AJ301" s="104" t="s">
        <v>4438</v>
      </c>
      <c r="AK301" s="103">
        <v>151574569</v>
      </c>
      <c r="AL301" s="103" t="s">
        <v>4338</v>
      </c>
      <c r="AM301" s="103" t="s">
        <v>4338</v>
      </c>
      <c r="AN301" s="103" t="s">
        <v>4339</v>
      </c>
      <c r="AO301" s="103"/>
      <c r="AP301" s="273" t="s">
        <v>5699</v>
      </c>
      <c r="AQ301" s="103" t="s">
        <v>4338</v>
      </c>
      <c r="AR301" s="103" t="s">
        <v>4338</v>
      </c>
      <c r="AS301" s="112" t="s">
        <v>4338</v>
      </c>
      <c r="AT301" s="112" t="s">
        <v>4338</v>
      </c>
      <c r="AU301" s="105">
        <v>46216</v>
      </c>
      <c r="AV301" s="259" t="s">
        <v>4338</v>
      </c>
      <c r="AW301" s="259" t="s">
        <v>4338</v>
      </c>
      <c r="AX301" s="105">
        <v>46223</v>
      </c>
      <c r="AY301" s="282">
        <v>46223</v>
      </c>
      <c r="AZ301" s="264" t="s">
        <v>4453</v>
      </c>
      <c r="BA301" s="174" t="s">
        <v>4454</v>
      </c>
      <c r="BB301" s="136" t="s">
        <v>4338</v>
      </c>
      <c r="BC301" s="220">
        <f>IF(AY301-KD301=0,"",AY301-O301)</f>
        <v>147</v>
      </c>
      <c r="BD301" s="103" t="str">
        <f>IF(AND(AI301&lt;&gt;"SIM",AI301="UH"),"AA","INDENIZAÇÃO")</f>
        <v>INDENIZAÇÃO</v>
      </c>
      <c r="BE301" s="103" t="str">
        <f>IF(AND(AY301&lt;&gt;"AGUARDANDO",AY301&lt;&gt;"",N301="AUXÍLIO ALUGUEL ATÉ INDENIZAÇÃO"),"SIM","NÃO")</f>
        <v>NÃO</v>
      </c>
      <c r="BF301" s="140" t="s">
        <v>4357</v>
      </c>
      <c r="BG301" s="140" t="s">
        <v>4357</v>
      </c>
      <c r="BH301" s="140" t="s">
        <v>4357</v>
      </c>
      <c r="BI301" s="154" t="s">
        <v>4912</v>
      </c>
      <c r="BJ301" s="154"/>
      <c r="BK301" s="154"/>
      <c r="BL301" s="154"/>
      <c r="BM301" s="237"/>
    </row>
    <row r="302" spans="1:75" s="232" customFormat="1" ht="29.25" customHeight="1">
      <c r="A302" s="165">
        <v>293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5700</v>
      </c>
      <c r="G302" s="103" t="s">
        <v>4330</v>
      </c>
      <c r="H302" s="103" t="s">
        <v>4331</v>
      </c>
      <c r="I302" s="304" t="s">
        <v>4343</v>
      </c>
      <c r="J302" s="149" t="s">
        <v>5701</v>
      </c>
      <c r="K302" s="149" t="s">
        <v>5702</v>
      </c>
      <c r="L302" s="149" t="s">
        <v>5703</v>
      </c>
      <c r="M302" s="103" t="s">
        <v>4333</v>
      </c>
      <c r="N302" s="103" t="s">
        <v>4459</v>
      </c>
      <c r="O302" s="105">
        <v>46008</v>
      </c>
      <c r="P302" s="105">
        <v>46044</v>
      </c>
      <c r="Q302" s="108" t="s">
        <v>4436</v>
      </c>
      <c r="R302" s="108">
        <v>46043</v>
      </c>
      <c r="S302" s="108">
        <v>46044</v>
      </c>
      <c r="T302" s="108">
        <v>46045</v>
      </c>
      <c r="U302" s="105"/>
      <c r="V302" s="105" t="s">
        <v>4437</v>
      </c>
      <c r="W302" s="105" t="s">
        <v>4437</v>
      </c>
      <c r="X302" s="105">
        <v>46055</v>
      </c>
      <c r="Y302" s="105" t="s">
        <v>4457</v>
      </c>
      <c r="Z302" s="105"/>
      <c r="AA302" s="207" t="s">
        <v>5704</v>
      </c>
      <c r="AB302" s="149" t="s">
        <v>5701</v>
      </c>
      <c r="AC302" s="149" t="s">
        <v>5702</v>
      </c>
      <c r="AD302" s="149" t="s">
        <v>5703</v>
      </c>
      <c r="AE302" s="212" t="s">
        <v>4343</v>
      </c>
      <c r="AF302" s="212" t="s">
        <v>4333</v>
      </c>
      <c r="AG302" s="194">
        <v>18378.73</v>
      </c>
      <c r="AH302" s="194">
        <f>AG302+30000</f>
        <v>48378.729999999996</v>
      </c>
      <c r="AI302" s="103" t="s">
        <v>4336</v>
      </c>
      <c r="AJ302" s="104" t="s">
        <v>4438</v>
      </c>
      <c r="AK302" s="103">
        <v>149884111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5705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46062</v>
      </c>
      <c r="AV302" s="112" t="s">
        <v>4338</v>
      </c>
      <c r="AW302" s="103" t="s">
        <v>4338</v>
      </c>
      <c r="AX302" s="111">
        <v>46066</v>
      </c>
      <c r="AY302" s="157">
        <v>46066</v>
      </c>
      <c r="AZ302" s="211">
        <v>46017</v>
      </c>
      <c r="BA302" s="103" t="s">
        <v>4360</v>
      </c>
      <c r="BB302" s="136" t="s">
        <v>4338</v>
      </c>
      <c r="BC302" s="220">
        <f>IF(AY302-KD302=0,"",AY302-O302)</f>
        <v>58</v>
      </c>
      <c r="BD302" s="103" t="str">
        <f>IF(AND(AI302&lt;&gt;"SIM",AI302="UH"),"AA","INDENIZAÇÃO")</f>
        <v>INDENIZAÇÃO</v>
      </c>
      <c r="BE302" s="103" t="str">
        <f>IF(AND(AY302&lt;&gt;"AGUARDANDO",AY302&lt;&gt;"",N302="AUXÍLIO ALUGUEL ATÉ INDENIZAÇÃO"),"SIM","NÃO")</f>
        <v>NÃO</v>
      </c>
      <c r="BF302" s="140" t="s">
        <v>4357</v>
      </c>
      <c r="BG302" s="140" t="s">
        <v>4357</v>
      </c>
      <c r="BH302" s="140" t="s">
        <v>4357</v>
      </c>
      <c r="BI302" s="154" t="s">
        <v>4912</v>
      </c>
      <c r="BJ302" s="154"/>
      <c r="BK302" s="154"/>
      <c r="BL302" s="154"/>
      <c r="BM302" s="237"/>
    </row>
    <row r="303" spans="1:75" s="232" customFormat="1" ht="29.25" customHeight="1">
      <c r="A303" s="165">
        <v>294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142" t="s">
        <v>4926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4345</v>
      </c>
      <c r="O303" s="105">
        <v>46048</v>
      </c>
      <c r="P303" s="108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8">
        <v>46155</v>
      </c>
      <c r="V303" s="105" t="s">
        <v>4437</v>
      </c>
      <c r="W303" s="105" t="s">
        <v>4437</v>
      </c>
      <c r="X303" s="105">
        <v>46055</v>
      </c>
      <c r="Y303" s="105">
        <v>46058</v>
      </c>
      <c r="Z303" s="105">
        <v>46020</v>
      </c>
      <c r="AA303" s="105"/>
      <c r="AB303" s="149" t="s">
        <v>5710</v>
      </c>
      <c r="AC303" s="149" t="s">
        <v>5711</v>
      </c>
      <c r="AD303" s="149" t="s">
        <v>5712</v>
      </c>
      <c r="AE303" s="172" t="s">
        <v>4332</v>
      </c>
      <c r="AF303" s="165" t="s">
        <v>4333</v>
      </c>
      <c r="AG303" s="208">
        <v>17203.490000000002</v>
      </c>
      <c r="AH303" s="208">
        <v>17203.490000000002</v>
      </c>
      <c r="AI303" s="165" t="s">
        <v>4336</v>
      </c>
      <c r="AJ303" s="104" t="s">
        <v>4438</v>
      </c>
      <c r="AK303" s="103">
        <v>149818082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5713</v>
      </c>
      <c r="AQ303" s="103" t="s">
        <v>4338</v>
      </c>
      <c r="AR303" s="103" t="s">
        <v>4338</v>
      </c>
      <c r="AS303" s="10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65" t="s">
        <v>4770</v>
      </c>
      <c r="BB303" s="136" t="s">
        <v>4338</v>
      </c>
      <c r="BC303" s="220">
        <f>IF(AY303-KD303=0,"",AY303-O303)</f>
        <v>18</v>
      </c>
      <c r="BD303" s="103" t="str">
        <f>IF(AND(AI303&lt;&gt;"SIM",AI303="UH"),"AA","INDENIZAÇÃO")</f>
        <v>INDENIZAÇÃO</v>
      </c>
      <c r="BE303" s="103" t="str">
        <f>IF(AND(AY303&lt;&gt;"AGUARDANDO",AY303&lt;&gt;"",N303="AUXÍLIO ALUGUEL ATÉ INDENIZAÇÃO"),"SIM","NÃO")</f>
        <v>NÃO</v>
      </c>
      <c r="BF303" s="140" t="s">
        <v>4357</v>
      </c>
      <c r="BG303" s="140" t="s">
        <v>4357</v>
      </c>
      <c r="BH303" s="140" t="s">
        <v>4357</v>
      </c>
      <c r="BI303" s="103" t="s">
        <v>4338</v>
      </c>
      <c r="BJ303" s="103" t="s">
        <v>4338</v>
      </c>
      <c r="BK303" s="105">
        <v>46182</v>
      </c>
      <c r="BL303" s="103" t="s">
        <v>4338</v>
      </c>
      <c r="BM303" s="258" t="s">
        <v>4453</v>
      </c>
    </row>
    <row r="304" spans="1:75" s="232" customFormat="1" ht="29.25" customHeight="1">
      <c r="A304" s="165">
        <v>295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5714</v>
      </c>
      <c r="G304" s="103" t="s">
        <v>4351</v>
      </c>
      <c r="H304" s="103" t="s">
        <v>4351</v>
      </c>
      <c r="I304" s="153" t="s">
        <v>4332</v>
      </c>
      <c r="J304" s="149" t="s">
        <v>5715</v>
      </c>
      <c r="K304" s="149" t="s">
        <v>5716</v>
      </c>
      <c r="L304" s="149" t="s">
        <v>5717</v>
      </c>
      <c r="M304" s="103" t="s">
        <v>4333</v>
      </c>
      <c r="N304" s="103" t="s">
        <v>4459</v>
      </c>
      <c r="O304" s="105">
        <v>46051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5"/>
      <c r="AB304" s="149" t="s">
        <v>5715</v>
      </c>
      <c r="AC304" s="149" t="s">
        <v>5716</v>
      </c>
      <c r="AD304" s="149" t="s">
        <v>5717</v>
      </c>
      <c r="AE304" s="153" t="s">
        <v>4332</v>
      </c>
      <c r="AF304" s="103" t="s">
        <v>4333</v>
      </c>
      <c r="AG304" s="194">
        <v>5840.58</v>
      </c>
      <c r="AH304" s="194">
        <v>5840.58</v>
      </c>
      <c r="AI304" s="103" t="s">
        <v>4336</v>
      </c>
      <c r="AJ304" s="104" t="s">
        <v>4438</v>
      </c>
      <c r="AK304" s="103">
        <v>149821681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5718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46066</v>
      </c>
      <c r="AV304" s="112" t="s">
        <v>4338</v>
      </c>
      <c r="AW304" s="112" t="s">
        <v>4338</v>
      </c>
      <c r="AX304" s="111">
        <v>46093</v>
      </c>
      <c r="AY304" s="157">
        <v>46093</v>
      </c>
      <c r="AZ304" s="211">
        <v>46017</v>
      </c>
      <c r="BA304" s="103" t="s">
        <v>4770</v>
      </c>
      <c r="BB304" s="136" t="s">
        <v>4338</v>
      </c>
      <c r="BC304" s="220">
        <f>IF(AY304-KD304=0,"",AY304-O304)</f>
        <v>42</v>
      </c>
      <c r="BD304" s="103" t="str">
        <f>IF(AND(AI304&lt;&gt;"SIM",AI304="UH"),"AA","INDENIZAÇÃO")</f>
        <v>INDENIZAÇÃO</v>
      </c>
      <c r="BE304" s="103" t="str">
        <f>IF(AND(AY304&lt;&gt;"AGUARDANDO",AY304&lt;&gt;"",N304="AUXÍLIO ALUGUEL ATÉ INDENIZAÇÃO"),"SIM","NÃO")</f>
        <v>NÃO</v>
      </c>
      <c r="BF304" s="140" t="s">
        <v>4357</v>
      </c>
      <c r="BG304" s="140" t="s">
        <v>4357</v>
      </c>
      <c r="BH304" s="140" t="s">
        <v>4357</v>
      </c>
      <c r="BI304" s="154" t="s">
        <v>4912</v>
      </c>
      <c r="BJ304" s="154"/>
      <c r="BK304" s="154"/>
      <c r="BL304" s="154"/>
      <c r="BM304" s="237"/>
    </row>
    <row r="305" spans="1:65" s="232" customFormat="1" ht="29.25" customHeight="1">
      <c r="A305" s="103">
        <v>296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5719</v>
      </c>
      <c r="G305" s="103" t="s">
        <v>4330</v>
      </c>
      <c r="H305" s="103" t="s">
        <v>4331</v>
      </c>
      <c r="I305" s="304" t="s">
        <v>4343</v>
      </c>
      <c r="J305" s="149" t="s">
        <v>5720</v>
      </c>
      <c r="K305" s="149" t="s">
        <v>5721</v>
      </c>
      <c r="L305" s="149" t="s">
        <v>5722</v>
      </c>
      <c r="M305" s="103" t="s">
        <v>4333</v>
      </c>
      <c r="N305" s="103" t="s">
        <v>4459</v>
      </c>
      <c r="O305" s="105">
        <v>46041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5720</v>
      </c>
      <c r="AC305" s="149" t="s">
        <v>5721</v>
      </c>
      <c r="AD305" s="149" t="s">
        <v>5722</v>
      </c>
      <c r="AE305" s="212" t="s">
        <v>4343</v>
      </c>
      <c r="AF305" s="212" t="s">
        <v>4333</v>
      </c>
      <c r="AG305" s="194">
        <v>15801.58</v>
      </c>
      <c r="AH305" s="194">
        <f>AG305+30000</f>
        <v>45801.58</v>
      </c>
      <c r="AI305" s="103" t="s">
        <v>4336</v>
      </c>
      <c r="AJ305" s="104" t="s">
        <v>4438</v>
      </c>
      <c r="AK305" s="103">
        <v>149884243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5723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46062</v>
      </c>
      <c r="AV305" s="112" t="s">
        <v>4338</v>
      </c>
      <c r="AW305" s="103" t="s">
        <v>4338</v>
      </c>
      <c r="AX305" s="111">
        <v>46066</v>
      </c>
      <c r="AY305" s="157">
        <v>46066</v>
      </c>
      <c r="AZ305" s="211">
        <v>46017</v>
      </c>
      <c r="BA305" s="103" t="s">
        <v>4360</v>
      </c>
      <c r="BB305" s="136" t="s">
        <v>4338</v>
      </c>
      <c r="BC305" s="220">
        <f>IF(AY305-KD305=0,"",AY305-O305)</f>
        <v>25</v>
      </c>
      <c r="BD305" s="103" t="str">
        <f>IF(AND(AI305&lt;&gt;"SIM",AI305="UH"),"AA","INDENIZAÇÃO")</f>
        <v>INDENIZAÇÃO</v>
      </c>
      <c r="BE305" s="103" t="str">
        <f>IF(AND(AY305&lt;&gt;"AGUARDANDO",AY305&lt;&gt;"",N305="AUXÍLIO ALUGUEL ATÉ INDENIZAÇÃO"),"SIM","NÃO")</f>
        <v>NÃO</v>
      </c>
      <c r="BF305" s="140" t="s">
        <v>4357</v>
      </c>
      <c r="BG305" s="140" t="s">
        <v>4357</v>
      </c>
      <c r="BH305" s="140" t="s">
        <v>4357</v>
      </c>
      <c r="BI305" s="154" t="s">
        <v>4912</v>
      </c>
      <c r="BJ305" s="154"/>
      <c r="BK305" s="154"/>
      <c r="BL305" s="154"/>
      <c r="BM305" s="237"/>
    </row>
    <row r="306" spans="1:65" s="232" customFormat="1" ht="29.25" customHeight="1">
      <c r="A306" s="103">
        <v>297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5724</v>
      </c>
      <c r="G306" s="103" t="s">
        <v>4330</v>
      </c>
      <c r="H306" s="103" t="s">
        <v>4331</v>
      </c>
      <c r="I306" s="142" t="s">
        <v>4343</v>
      </c>
      <c r="J306" s="149" t="s">
        <v>5725</v>
      </c>
      <c r="K306" s="149" t="s">
        <v>5726</v>
      </c>
      <c r="L306" s="149" t="s">
        <v>5727</v>
      </c>
      <c r="M306" s="103" t="s">
        <v>4333</v>
      </c>
      <c r="N306" s="103" t="s">
        <v>4459</v>
      </c>
      <c r="O306" s="105">
        <v>46077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5725</v>
      </c>
      <c r="AC306" s="149" t="s">
        <v>5726</v>
      </c>
      <c r="AD306" s="149" t="s">
        <v>5727</v>
      </c>
      <c r="AE306" s="210" t="s">
        <v>4343</v>
      </c>
      <c r="AF306" s="210" t="s">
        <v>4333</v>
      </c>
      <c r="AG306" s="208">
        <v>29296.91</v>
      </c>
      <c r="AH306" s="208">
        <f>AG306+30000</f>
        <v>59296.91</v>
      </c>
      <c r="AI306" s="165" t="s">
        <v>4336</v>
      </c>
      <c r="AJ306" s="104" t="s">
        <v>4438</v>
      </c>
      <c r="AK306" s="103">
        <v>150002718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5728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46083</v>
      </c>
      <c r="AV306" s="112" t="s">
        <v>4338</v>
      </c>
      <c r="AW306" s="112" t="s">
        <v>4338</v>
      </c>
      <c r="AX306" s="111">
        <v>46091</v>
      </c>
      <c r="AY306" s="157">
        <v>46091</v>
      </c>
      <c r="AZ306" s="211">
        <v>46017</v>
      </c>
      <c r="BA306" s="165" t="s">
        <v>4360</v>
      </c>
      <c r="BB306" s="136" t="s">
        <v>4338</v>
      </c>
      <c r="BC306" s="220">
        <f>IF(AY306-KD306=0,"",AY306-O306)</f>
        <v>14</v>
      </c>
      <c r="BD306" s="103" t="str">
        <f>IF(AND(AI306&lt;&gt;"SIM",AI306="UH"),"AA","INDENIZAÇÃO")</f>
        <v>INDENIZAÇÃO</v>
      </c>
      <c r="BE306" s="103" t="str">
        <f>IF(AND(AY306&lt;&gt;"AGUARDANDO",AY306&lt;&gt;"",N306="AUXÍLIO ALUGUEL ATÉ INDENIZAÇÃO"),"SIM","NÃO")</f>
        <v>NÃO</v>
      </c>
      <c r="BF306" s="140" t="s">
        <v>4357</v>
      </c>
      <c r="BG306" s="140" t="s">
        <v>4357</v>
      </c>
      <c r="BH306" s="140" t="s">
        <v>4357</v>
      </c>
      <c r="BI306" s="154" t="s">
        <v>4912</v>
      </c>
      <c r="BJ306" s="154"/>
      <c r="BK306" s="154"/>
      <c r="BL306" s="154"/>
      <c r="BM306" s="237"/>
    </row>
    <row r="307" spans="1:65" s="232" customFormat="1" ht="29.25" customHeight="1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>IF(AY307-KD307=0,"",AY307-O307)</f>
        <v/>
      </c>
      <c r="BD307" s="103" t="str">
        <f>IF(AND(AI307&lt;&gt;"SIM",AI307="UH"),"AA","INDENIZAÇÃO")</f>
        <v>AA</v>
      </c>
      <c r="BE307" s="103" t="str">
        <f>IF(AND(AY307&lt;&gt;"AGUARDANDO",AY307&lt;&gt;"",N307="AUXÍLIO ALUGUEL ATÉ INDENIZAÇÃO"),"SIM","NÃO")</f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customHeight="1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5733</v>
      </c>
      <c r="G308" s="103" t="s">
        <v>4330</v>
      </c>
      <c r="H308" s="103" t="s">
        <v>4331</v>
      </c>
      <c r="I308" s="142" t="s">
        <v>4343</v>
      </c>
      <c r="J308" s="149" t="s">
        <v>5734</v>
      </c>
      <c r="K308" s="149" t="s">
        <v>5735</v>
      </c>
      <c r="L308" s="149" t="s">
        <v>5736</v>
      </c>
      <c r="M308" s="103" t="s">
        <v>4333</v>
      </c>
      <c r="N308" s="103" t="s">
        <v>4459</v>
      </c>
      <c r="O308" s="105">
        <v>46045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5734</v>
      </c>
      <c r="AC308" s="104" t="s">
        <v>5735</v>
      </c>
      <c r="AD308" s="104" t="s">
        <v>5736</v>
      </c>
      <c r="AE308" s="165" t="s">
        <v>4343</v>
      </c>
      <c r="AF308" s="165" t="s">
        <v>4333</v>
      </c>
      <c r="AG308" s="208">
        <v>89294.19</v>
      </c>
      <c r="AH308" s="208">
        <v>89294.19</v>
      </c>
      <c r="AI308" s="165" t="s">
        <v>4336</v>
      </c>
      <c r="AJ308" s="104" t="s">
        <v>4438</v>
      </c>
      <c r="AK308" s="103">
        <v>147041970</v>
      </c>
      <c r="AL308" s="103" t="s">
        <v>4338</v>
      </c>
      <c r="AM308" s="103" t="s">
        <v>4338</v>
      </c>
      <c r="AN308" s="103" t="s">
        <v>4339</v>
      </c>
      <c r="AO308" s="103"/>
      <c r="AP308" s="171" t="s">
        <v>5737</v>
      </c>
      <c r="AQ308" s="103" t="s">
        <v>4338</v>
      </c>
      <c r="AR308" s="103" t="s">
        <v>4338</v>
      </c>
      <c r="AS308" s="143" t="s">
        <v>4338</v>
      </c>
      <c r="AT308" s="103" t="s">
        <v>4338</v>
      </c>
      <c r="AU308" s="105">
        <v>46098</v>
      </c>
      <c r="AV308" s="103" t="s">
        <v>4338</v>
      </c>
      <c r="AW308" s="103" t="s">
        <v>4338</v>
      </c>
      <c r="AX308" s="105">
        <v>46114</v>
      </c>
      <c r="AY308" s="106">
        <v>46114</v>
      </c>
      <c r="AZ308" s="214" t="s">
        <v>4453</v>
      </c>
      <c r="BA308" s="174" t="s">
        <v>4454</v>
      </c>
      <c r="BB308" s="136" t="s">
        <v>4338</v>
      </c>
      <c r="BC308" s="220">
        <f>IF(AY308-KD308=0,"",AY308-O308)</f>
        <v>69</v>
      </c>
      <c r="BD308" s="103" t="str">
        <f>IF(AND(AI308&lt;&gt;"SIM",AI308="UH"),"AA","INDENIZAÇÃO")</f>
        <v>INDENIZAÇÃO</v>
      </c>
      <c r="BE308" s="103" t="str">
        <f>IF(AND(AY308&lt;&gt;"AGUARDANDO",AY308&lt;&gt;"",N308="AUXÍLIO ALUGUEL ATÉ INDENIZAÇÃO"),"SIM","NÃO")</f>
        <v>NÃO</v>
      </c>
      <c r="BF308" s="140" t="s">
        <v>4357</v>
      </c>
      <c r="BG308" s="140" t="s">
        <v>4357</v>
      </c>
      <c r="BH308" s="140" t="s">
        <v>4357</v>
      </c>
      <c r="BI308" s="154" t="s">
        <v>4912</v>
      </c>
      <c r="BJ308" s="154"/>
      <c r="BK308" s="154"/>
      <c r="BL308" s="154"/>
      <c r="BM308" s="237"/>
    </row>
    <row r="309" spans="1:65" s="232" customFormat="1" ht="29.25" customHeight="1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5738</v>
      </c>
      <c r="G309" s="103" t="s">
        <v>4330</v>
      </c>
      <c r="H309" s="103" t="s">
        <v>4331</v>
      </c>
      <c r="I309" s="142" t="s">
        <v>4343</v>
      </c>
      <c r="J309" s="149" t="s">
        <v>5739</v>
      </c>
      <c r="K309" s="149" t="s">
        <v>5740</v>
      </c>
      <c r="L309" s="149" t="s">
        <v>5741</v>
      </c>
      <c r="M309" s="103" t="s">
        <v>4333</v>
      </c>
      <c r="N309" s="103" t="s">
        <v>4459</v>
      </c>
      <c r="O309" s="105">
        <v>46001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5739</v>
      </c>
      <c r="AC309" s="104" t="s">
        <v>5740</v>
      </c>
      <c r="AD309" s="104" t="s">
        <v>5741</v>
      </c>
      <c r="AE309" s="103" t="s">
        <v>4343</v>
      </c>
      <c r="AF309" s="103" t="s">
        <v>4333</v>
      </c>
      <c r="AG309" s="194">
        <v>18221.38</v>
      </c>
      <c r="AH309" s="194">
        <f>AG309+30000</f>
        <v>48221.380000000005</v>
      </c>
      <c r="AI309" s="103" t="s">
        <v>4336</v>
      </c>
      <c r="AJ309" s="104" t="s">
        <v>4438</v>
      </c>
      <c r="AK309" s="103">
        <v>147042681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5742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8">
        <v>46017</v>
      </c>
      <c r="AV309" s="112" t="s">
        <v>4338</v>
      </c>
      <c r="AW309" s="103" t="s">
        <v>4338</v>
      </c>
      <c r="AX309" s="166">
        <v>46024</v>
      </c>
      <c r="AY309" s="106">
        <v>46024</v>
      </c>
      <c r="AZ309" s="157" t="s">
        <v>4453</v>
      </c>
      <c r="BA309" s="107" t="s">
        <v>4454</v>
      </c>
      <c r="BB309" s="136" t="s">
        <v>4338</v>
      </c>
      <c r="BC309" s="220">
        <f>IF(AY309-KD309=0,"",AY309-O309)</f>
        <v>23</v>
      </c>
      <c r="BD309" s="103" t="str">
        <f>IF(AND(AI309&lt;&gt;"SIM",AI309="UH"),"AA","INDENIZAÇÃO")</f>
        <v>INDENIZAÇÃO</v>
      </c>
      <c r="BE309" s="103" t="str">
        <f>IF(AND(AY309&lt;&gt;"AGUARDANDO",AY309&lt;&gt;"",N309="AUXÍLIO ALUGUEL ATÉ INDENIZAÇÃO"),"SIM","NÃO")</f>
        <v>NÃO</v>
      </c>
      <c r="BF309" s="140" t="s">
        <v>4357</v>
      </c>
      <c r="BG309" s="140" t="s">
        <v>4357</v>
      </c>
      <c r="BH309" s="140" t="s">
        <v>4357</v>
      </c>
      <c r="BI309" s="103" t="s">
        <v>4338</v>
      </c>
      <c r="BJ309" s="103" t="s">
        <v>4338</v>
      </c>
      <c r="BK309" s="105">
        <v>46205</v>
      </c>
      <c r="BL309" s="154" t="s">
        <v>4461</v>
      </c>
      <c r="BM309" s="237"/>
    </row>
    <row r="310" spans="1:65" s="232" customFormat="1" ht="29.25" customHeight="1">
      <c r="A310" s="165">
        <v>301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5743</v>
      </c>
      <c r="G310" s="103" t="s">
        <v>4330</v>
      </c>
      <c r="H310" s="103" t="s">
        <v>4331</v>
      </c>
      <c r="I310" s="142" t="s">
        <v>4343</v>
      </c>
      <c r="J310" s="149" t="s">
        <v>5744</v>
      </c>
      <c r="K310" s="149" t="s">
        <v>5745</v>
      </c>
      <c r="L310" s="149" t="s">
        <v>5746</v>
      </c>
      <c r="M310" s="103" t="s">
        <v>4333</v>
      </c>
      <c r="N310" s="103" t="s">
        <v>4459</v>
      </c>
      <c r="O310" s="105">
        <v>45986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5744</v>
      </c>
      <c r="AC310" s="104" t="s">
        <v>4432</v>
      </c>
      <c r="AD310" s="104" t="s">
        <v>5746</v>
      </c>
      <c r="AE310" s="103" t="s">
        <v>4343</v>
      </c>
      <c r="AF310" s="103" t="s">
        <v>4333</v>
      </c>
      <c r="AG310" s="194">
        <v>53466.1</v>
      </c>
      <c r="AH310" s="194">
        <v>60000</v>
      </c>
      <c r="AI310" s="103" t="s">
        <v>4336</v>
      </c>
      <c r="AJ310" s="104" t="s">
        <v>4438</v>
      </c>
      <c r="AK310" s="103">
        <v>147042839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5747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57">
        <v>46024</v>
      </c>
      <c r="AZ310" s="157" t="s">
        <v>4453</v>
      </c>
      <c r="BA310" s="107" t="s">
        <v>4454</v>
      </c>
      <c r="BB310" s="136" t="s">
        <v>4338</v>
      </c>
      <c r="BC310" s="220">
        <f>IF(AY310-KD310=0,"",AY310-O310)</f>
        <v>38</v>
      </c>
      <c r="BD310" s="103" t="str">
        <f>IF(AND(AI310&lt;&gt;"SIM",AI310="UH"),"AA","INDENIZAÇÃO")</f>
        <v>INDENIZAÇÃO</v>
      </c>
      <c r="BE310" s="103" t="str">
        <f>IF(AND(AY310&lt;&gt;"AGUARDANDO",AY310&lt;&gt;"",N310="AUXÍLIO ALUGUEL ATÉ INDENIZAÇÃO"),"SIM","NÃO")</f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customHeight="1">
      <c r="A311" s="103">
        <v>302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5748</v>
      </c>
      <c r="G311" s="103" t="s">
        <v>4330</v>
      </c>
      <c r="H311" s="103" t="s">
        <v>4331</v>
      </c>
      <c r="I311" s="142" t="s">
        <v>4343</v>
      </c>
      <c r="J311" s="149" t="s">
        <v>5749</v>
      </c>
      <c r="K311" s="149" t="s">
        <v>5750</v>
      </c>
      <c r="L311" s="149" t="s">
        <v>5751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5749</v>
      </c>
      <c r="AC311" s="104" t="s">
        <v>5750</v>
      </c>
      <c r="AD311" s="104" t="s">
        <v>5751</v>
      </c>
      <c r="AE311" s="103" t="s">
        <v>4343</v>
      </c>
      <c r="AF311" s="103" t="s">
        <v>4333</v>
      </c>
      <c r="AG311" s="194">
        <v>36525.11</v>
      </c>
      <c r="AH311" s="194">
        <v>60000</v>
      </c>
      <c r="AI311" s="103" t="s">
        <v>4336</v>
      </c>
      <c r="AJ311" s="104" t="s">
        <v>4438</v>
      </c>
      <c r="AK311" s="103">
        <v>147042956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5752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5">
        <v>46014</v>
      </c>
      <c r="AV311" s="112" t="s">
        <v>4338</v>
      </c>
      <c r="AW311" s="103" t="s">
        <v>4338</v>
      </c>
      <c r="AX311" s="111">
        <v>46021</v>
      </c>
      <c r="AY311" s="157">
        <v>46021</v>
      </c>
      <c r="AZ311" s="106" t="s">
        <v>4453</v>
      </c>
      <c r="BA311" s="107" t="s">
        <v>4454</v>
      </c>
      <c r="BB311" s="136" t="s">
        <v>4338</v>
      </c>
      <c r="BC311" s="220">
        <f>IF(AY311-KD311=0,"",AY311-O311)</f>
        <v>35</v>
      </c>
      <c r="BD311" s="103" t="str">
        <f>IF(AND(AI311&lt;&gt;"SIM",AI311="UH"),"AA","INDENIZAÇÃO")</f>
        <v>INDENIZAÇÃO</v>
      </c>
      <c r="BE311" s="103" t="str">
        <f>IF(AND(AY311&lt;&gt;"AGUARDANDO",AY311&lt;&gt;"",N311="AUXÍLIO ALUGUEL ATÉ INDENIZAÇÃO"),"SIM","NÃO")</f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customHeight="1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>IF(AY312-KD312=0,"",AY312-O312)</f>
        <v/>
      </c>
      <c r="BD312" s="103" t="str">
        <f>IF(AND(AI312&lt;&gt;"SIM",AI312="UH"),"AA","INDENIZAÇÃO")</f>
        <v>AA</v>
      </c>
      <c r="BE312" s="103" t="str">
        <f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customHeight="1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>IF(AY313-KD313=0,"",AY313-O313)</f>
        <v/>
      </c>
      <c r="BD313" s="103" t="str">
        <f>IF(AND(AI313&lt;&gt;"SIM",AI313="UH"),"AA","INDENIZAÇÃO")</f>
        <v>INDENIZAÇÃO</v>
      </c>
      <c r="BE313" s="103" t="str">
        <f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customHeight="1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>IF(AY314-KD314=0,"",AY314-O314)</f>
        <v/>
      </c>
      <c r="BD314" s="103" t="str">
        <f>IF(AND(AI314&lt;&gt;"SIM",AI314="UH"),"AA","INDENIZAÇÃO")</f>
        <v>AA</v>
      </c>
      <c r="BE314" s="103" t="str">
        <f>IF(AND(AY314&lt;&gt;"AGUARDANDO",AY314&lt;&gt;"",N314="AUXÍLIO ALUGUEL ATÉ INDENIZAÇÃO"),"SIM","NÃO")</f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customHeight="1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>IF(AY315-KD315=0,"",AY315-O315)</f>
        <v/>
      </c>
      <c r="BD315" s="103" t="str">
        <f>IF(AND(AI315&lt;&gt;"SIM",AI315="UH"),"AA","INDENIZAÇÃO")</f>
        <v>AA</v>
      </c>
      <c r="BE315" s="103" t="str">
        <f>IF(AND(AY315&lt;&gt;"AGUARDANDO",AY315&lt;&gt;"",N315="AUXÍLIO ALUGUEL ATÉ INDENIZAÇÃO"),"SIM","NÃO")</f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>
      <c r="A316" s="165">
        <v>307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5768</v>
      </c>
      <c r="G316" s="103" t="s">
        <v>4330</v>
      </c>
      <c r="H316" s="103" t="s">
        <v>4331</v>
      </c>
      <c r="I316" s="142" t="s">
        <v>4343</v>
      </c>
      <c r="J316" s="149" t="s">
        <v>5769</v>
      </c>
      <c r="K316" s="149" t="s">
        <v>5770</v>
      </c>
      <c r="L316" s="149" t="s">
        <v>5771</v>
      </c>
      <c r="M316" s="103" t="s">
        <v>4333</v>
      </c>
      <c r="N316" s="103" t="s">
        <v>4459</v>
      </c>
      <c r="O316" s="105">
        <v>46001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5769</v>
      </c>
      <c r="AC316" s="104" t="s">
        <v>5770</v>
      </c>
      <c r="AD316" s="104" t="s">
        <v>5771</v>
      </c>
      <c r="AE316" s="103" t="s">
        <v>4343</v>
      </c>
      <c r="AF316" s="103" t="s">
        <v>4333</v>
      </c>
      <c r="AG316" s="194">
        <v>34925.14</v>
      </c>
      <c r="AH316" s="194">
        <v>60000</v>
      </c>
      <c r="AI316" s="103" t="s">
        <v>4336</v>
      </c>
      <c r="AJ316" s="104" t="s">
        <v>4438</v>
      </c>
      <c r="AK316" s="103">
        <v>147043485</v>
      </c>
      <c r="AL316" s="103" t="s">
        <v>4338</v>
      </c>
      <c r="AM316" s="103" t="s">
        <v>4338</v>
      </c>
      <c r="AN316" s="103" t="s">
        <v>4339</v>
      </c>
      <c r="AO316" s="103"/>
      <c r="AP316" s="171" t="s">
        <v>5772</v>
      </c>
      <c r="AQ316" s="103" t="s">
        <v>4338</v>
      </c>
      <c r="AR316" s="103" t="s">
        <v>4338</v>
      </c>
      <c r="AS316" s="143" t="s">
        <v>4338</v>
      </c>
      <c r="AT316" s="103" t="s">
        <v>4338</v>
      </c>
      <c r="AU316" s="105">
        <v>46056</v>
      </c>
      <c r="AV316" s="112" t="s">
        <v>4338</v>
      </c>
      <c r="AW316" s="103" t="s">
        <v>4338</v>
      </c>
      <c r="AX316" s="111">
        <v>46064</v>
      </c>
      <c r="AY316" s="157">
        <v>46064</v>
      </c>
      <c r="AZ316" s="106" t="s">
        <v>4453</v>
      </c>
      <c r="BA316" s="107" t="s">
        <v>4454</v>
      </c>
      <c r="BB316" s="136" t="s">
        <v>4338</v>
      </c>
      <c r="BC316" s="220">
        <f>IF(AY316-KD316=0,"",AY316-O316)</f>
        <v>63</v>
      </c>
      <c r="BD316" s="103" t="str">
        <f>IF(AND(AI316&lt;&gt;"SIM",AI316="UH"),"AA","INDENIZAÇÃO")</f>
        <v>INDENIZAÇÃO</v>
      </c>
      <c r="BE316" s="103" t="str">
        <f>IF(AND(AY316&lt;&gt;"AGUARDANDO",AY316&lt;&gt;"",N316="AUXÍLIO ALUGUEL ATÉ INDENIZAÇÃO"),"SIM","NÃO")</f>
        <v>NÃO</v>
      </c>
      <c r="BF316" s="140" t="s">
        <v>4357</v>
      </c>
      <c r="BG316" s="140" t="s">
        <v>4357</v>
      </c>
      <c r="BH316" s="140" t="s">
        <v>4357</v>
      </c>
      <c r="BI316" s="154" t="s">
        <v>4912</v>
      </c>
      <c r="BJ316" s="154"/>
      <c r="BK316" s="154"/>
      <c r="BL316" s="154"/>
      <c r="BM316" s="237"/>
    </row>
    <row r="317" spans="1:65" s="232" customFormat="1" ht="29.25" customHeight="1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>IF(AY317-KD317=0,"",AY317-O317)</f>
        <v/>
      </c>
      <c r="BD317" s="103" t="str">
        <f>IF(AND(AI317&lt;&gt;"SIM",AI317="UH"),"AA","INDENIZAÇÃO")</f>
        <v>AA</v>
      </c>
      <c r="BE317" s="103" t="str">
        <f>IF(AND(AY317&lt;&gt;"AGUARDANDO",AY317&lt;&gt;"",N317="AUXÍLIO ALUGUEL ATÉ INDENIZAÇÃO"),"SIM","NÃO")</f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customHeight="1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>IF(AY318-KD318=0,"",AY318-O318)</f>
        <v/>
      </c>
      <c r="BD318" s="103" t="str">
        <f>IF(AND(AI318&lt;&gt;"SIM",AI318="UH"),"AA","INDENIZAÇÃO")</f>
        <v>AA</v>
      </c>
      <c r="BE318" s="103" t="str">
        <f>IF(AND(AY318&lt;&gt;"AGUARDANDO",AY318&lt;&gt;"",N318="AUXÍLIO ALUGUEL ATÉ INDENIZAÇÃO"),"SIM","NÃO")</f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customHeight="1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customHeight="1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customHeight="1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>IF(AY321-KD321=0,"",AY321-O321)</f>
        <v/>
      </c>
      <c r="BD321" s="103" t="str">
        <f>IF(AND(AI321&lt;&gt;"SIM",AI321="UH"),"AA","INDENIZAÇÃO")</f>
        <v>AA</v>
      </c>
      <c r="BE321" s="103" t="str">
        <f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>
      <c r="A322" s="165">
        <v>313</v>
      </c>
      <c r="B322" s="103" t="s">
        <v>4431</v>
      </c>
      <c r="C322" s="103" t="s">
        <v>4439</v>
      </c>
      <c r="D322" s="103">
        <v>1</v>
      </c>
      <c r="E322" s="103" t="s">
        <v>4432</v>
      </c>
      <c r="F322" s="104" t="s">
        <v>5787</v>
      </c>
      <c r="G322" s="103" t="s">
        <v>4330</v>
      </c>
      <c r="H322" s="103" t="s">
        <v>4331</v>
      </c>
      <c r="I322" s="103" t="s">
        <v>4343</v>
      </c>
      <c r="J322" s="149" t="s">
        <v>5791</v>
      </c>
      <c r="K322" s="149" t="s">
        <v>5792</v>
      </c>
      <c r="L322" s="149" t="s">
        <v>5793</v>
      </c>
      <c r="M322" s="103" t="s">
        <v>4333</v>
      </c>
      <c r="N322" s="103" t="s">
        <v>4459</v>
      </c>
      <c r="O322" s="105">
        <v>46112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12"/>
      <c r="AB322" s="149" t="s">
        <v>5791</v>
      </c>
      <c r="AC322" s="149" t="s">
        <v>5792</v>
      </c>
      <c r="AD322" s="149" t="s">
        <v>5793</v>
      </c>
      <c r="AE322" s="103" t="s">
        <v>4343</v>
      </c>
      <c r="AF322" s="103" t="s">
        <v>4333</v>
      </c>
      <c r="AG322" s="194">
        <v>107456.92</v>
      </c>
      <c r="AH322" s="194">
        <v>107456.92</v>
      </c>
      <c r="AI322" s="103" t="s">
        <v>4447</v>
      </c>
      <c r="AJ322" s="104" t="s">
        <v>4438</v>
      </c>
      <c r="AK322" s="103">
        <v>153002140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5794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46189</v>
      </c>
      <c r="AV322" s="103" t="s">
        <v>4338</v>
      </c>
      <c r="AW322" s="103" t="s">
        <v>4338</v>
      </c>
      <c r="AX322" s="105">
        <v>46196</v>
      </c>
      <c r="AY322" s="157">
        <v>46196</v>
      </c>
      <c r="AZ322" s="106" t="s">
        <v>4453</v>
      </c>
      <c r="BA322" s="107" t="s">
        <v>4454</v>
      </c>
      <c r="BB322" s="112" t="s">
        <v>4338</v>
      </c>
      <c r="BC322" s="220">
        <f>IF(AY322-KD322=0,"",AY322-O322)</f>
        <v>84</v>
      </c>
      <c r="BD322" s="103" t="str">
        <f>IF(AND(AI322&lt;&gt;"SIM",AI322="UH"),"AA","INDENIZAÇÃO")</f>
        <v>INDENIZAÇÃO</v>
      </c>
      <c r="BE322" s="103" t="str">
        <f>IF(AND(AY322&lt;&gt;"AGUARDANDO",AY322&lt;&gt;"",N322="AUXÍLIO ALUGUEL ATÉ INDENIZAÇÃO"),"SIM","NÃO")</f>
        <v>NÃO</v>
      </c>
      <c r="BF322" s="112" t="s">
        <v>4357</v>
      </c>
      <c r="BG322" s="112" t="s">
        <v>4357</v>
      </c>
      <c r="BH322" s="112" t="s">
        <v>4357</v>
      </c>
      <c r="BI322" s="109" t="s">
        <v>4912</v>
      </c>
      <c r="BJ322" s="109"/>
      <c r="BK322" s="109"/>
      <c r="BL322" s="109"/>
      <c r="BM322" s="239"/>
    </row>
    <row r="323" spans="1:67" s="232" customFormat="1" ht="29.25" customHeight="1">
      <c r="A323" s="103">
        <v>314</v>
      </c>
      <c r="B323" s="103" t="s">
        <v>4431</v>
      </c>
      <c r="C323" s="103" t="s">
        <v>4350</v>
      </c>
      <c r="D323" s="103">
        <v>1</v>
      </c>
      <c r="E323" s="103" t="s">
        <v>4432</v>
      </c>
      <c r="F323" s="104" t="s">
        <v>5787</v>
      </c>
      <c r="G323" s="103" t="s">
        <v>4330</v>
      </c>
      <c r="H323" s="103" t="s">
        <v>4331</v>
      </c>
      <c r="I323" s="142" t="s">
        <v>4343</v>
      </c>
      <c r="J323" s="149" t="s">
        <v>5795</v>
      </c>
      <c r="K323" s="149" t="s">
        <v>5796</v>
      </c>
      <c r="L323" s="149" t="s">
        <v>5797</v>
      </c>
      <c r="M323" s="103" t="s">
        <v>4333</v>
      </c>
      <c r="N323" s="103" t="s">
        <v>4459</v>
      </c>
      <c r="O323" s="105">
        <v>46142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5795</v>
      </c>
      <c r="AC323" s="149" t="s">
        <v>5796</v>
      </c>
      <c r="AD323" s="149" t="s">
        <v>5797</v>
      </c>
      <c r="AE323" s="103" t="s">
        <v>4343</v>
      </c>
      <c r="AF323" s="103" t="s">
        <v>4333</v>
      </c>
      <c r="AG323" s="194">
        <v>65393.440000000002</v>
      </c>
      <c r="AH323" s="194">
        <v>65393.440000000002</v>
      </c>
      <c r="AI323" s="103" t="s">
        <v>4336</v>
      </c>
      <c r="AJ323" s="104" t="s">
        <v>4438</v>
      </c>
      <c r="AK323" s="103">
        <v>151550519</v>
      </c>
      <c r="AL323" s="103" t="s">
        <v>4338</v>
      </c>
      <c r="AM323" s="103" t="s">
        <v>4338</v>
      </c>
      <c r="AN323" s="103" t="s">
        <v>4339</v>
      </c>
      <c r="AO323" s="259"/>
      <c r="AP323" s="273" t="s">
        <v>5798</v>
      </c>
      <c r="AQ323" s="259" t="s">
        <v>4338</v>
      </c>
      <c r="AR323" s="112" t="s">
        <v>4338</v>
      </c>
      <c r="AS323" s="112" t="s">
        <v>4338</v>
      </c>
      <c r="AT323" s="112" t="s">
        <v>4338</v>
      </c>
      <c r="AU323" s="105">
        <v>46216</v>
      </c>
      <c r="AV323" s="259" t="s">
        <v>4338</v>
      </c>
      <c r="AW323" s="259" t="s">
        <v>4338</v>
      </c>
      <c r="AX323" s="105">
        <v>46223</v>
      </c>
      <c r="AY323" s="282">
        <v>46223</v>
      </c>
      <c r="AZ323" s="109" t="s">
        <v>4453</v>
      </c>
      <c r="BA323" s="107" t="s">
        <v>4454</v>
      </c>
      <c r="BB323" s="136" t="s">
        <v>4338</v>
      </c>
      <c r="BC323" s="220">
        <f>IF(AY323-KD323=0,"",AY323-O323)</f>
        <v>81</v>
      </c>
      <c r="BD323" s="103" t="str">
        <f>IF(AND(AI323&lt;&gt;"SIM",AI323="UH"),"AA","INDENIZAÇÃO")</f>
        <v>INDENIZAÇÃO</v>
      </c>
      <c r="BE323" s="103" t="str">
        <f>IF(AND(AY323&lt;&gt;"AGUARDANDO",AY323&lt;&gt;"",N323="AUXÍLIO ALUGUEL ATÉ INDENIZAÇÃO"),"SIM","NÃO")</f>
        <v>NÃO</v>
      </c>
      <c r="BF323" s="140" t="s">
        <v>4357</v>
      </c>
      <c r="BG323" s="140" t="s">
        <v>4357</v>
      </c>
      <c r="BH323" s="140" t="s">
        <v>4357</v>
      </c>
      <c r="BI323" s="154" t="s">
        <v>4912</v>
      </c>
      <c r="BJ323" s="154"/>
      <c r="BK323" s="154"/>
      <c r="BL323" s="154"/>
      <c r="BM323" s="237"/>
    </row>
    <row r="324" spans="1:67" s="232" customFormat="1" ht="29.25" customHeight="1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>IF(AY324-KD324=0,"",AY324-O324)</f>
        <v/>
      </c>
      <c r="BD324" s="103" t="str">
        <f>IF(AND(AI324&lt;&gt;"SIM",AI324="UH"),"AA","INDENIZAÇÃO")</f>
        <v>AA</v>
      </c>
      <c r="BE324" s="103" t="str">
        <f>IF(AND(AY324&lt;&gt;"AGUARDANDO",AY324&lt;&gt;"",N324="AUXÍLIO ALUGUEL ATÉ INDENIZAÇÃO"),"SIM","NÃO")</f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customHeight="1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>IF(AY325-KD325=0,"",AY325-O325)</f>
        <v/>
      </c>
      <c r="BD325" s="103" t="str">
        <f>IF(AND(AI325&lt;&gt;"SIM",AI325="UH"),"AA","INDENIZAÇÃO")</f>
        <v>AA</v>
      </c>
      <c r="BE325" s="103" t="str">
        <f>IF(AND(AY325&lt;&gt;"AGUARDANDO",AY325&lt;&gt;"",N325="AUXÍLIO ALUGUEL ATÉ INDENIZAÇÃO"),"SIM","NÃO")</f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customHeight="1">
      <c r="A326" s="165">
        <v>317</v>
      </c>
      <c r="B326" s="103" t="s">
        <v>4431</v>
      </c>
      <c r="C326" s="103" t="s">
        <v>4439</v>
      </c>
      <c r="D326" s="103">
        <v>1</v>
      </c>
      <c r="E326" s="103" t="s">
        <v>4432</v>
      </c>
      <c r="F326" s="104" t="s">
        <v>5802</v>
      </c>
      <c r="G326" s="103" t="s">
        <v>4330</v>
      </c>
      <c r="H326" s="103" t="s">
        <v>4331</v>
      </c>
      <c r="I326" s="103" t="s">
        <v>4343</v>
      </c>
      <c r="J326" s="149" t="s">
        <v>5806</v>
      </c>
      <c r="K326" s="149" t="s">
        <v>5807</v>
      </c>
      <c r="L326" s="149" t="s">
        <v>5808</v>
      </c>
      <c r="M326" s="103" t="s">
        <v>4333</v>
      </c>
      <c r="N326" s="103" t="s">
        <v>4459</v>
      </c>
      <c r="O326" s="105">
        <v>46112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12"/>
      <c r="AB326" s="149" t="s">
        <v>5806</v>
      </c>
      <c r="AC326" s="149" t="s">
        <v>5807</v>
      </c>
      <c r="AD326" s="149" t="s">
        <v>5808</v>
      </c>
      <c r="AE326" s="103" t="s">
        <v>4343</v>
      </c>
      <c r="AF326" s="103" t="s">
        <v>4333</v>
      </c>
      <c r="AG326" s="194">
        <v>47777.760000000002</v>
      </c>
      <c r="AH326" s="194">
        <v>60000</v>
      </c>
      <c r="AI326" s="103" t="s">
        <v>4447</v>
      </c>
      <c r="AJ326" s="104" t="s">
        <v>4438</v>
      </c>
      <c r="AK326" s="103">
        <v>153002206</v>
      </c>
      <c r="AL326" s="142" t="s">
        <v>4338</v>
      </c>
      <c r="AM326" s="103" t="s">
        <v>4338</v>
      </c>
      <c r="AN326" s="103" t="s">
        <v>4339</v>
      </c>
      <c r="AO326" s="103"/>
      <c r="AP326" s="171" t="s">
        <v>5809</v>
      </c>
      <c r="AQ326" s="302" t="s">
        <v>4338</v>
      </c>
      <c r="AR326" s="103" t="s">
        <v>4338</v>
      </c>
      <c r="AS326" s="143" t="s">
        <v>4338</v>
      </c>
      <c r="AT326" s="103" t="s">
        <v>4338</v>
      </c>
      <c r="AU326" s="105">
        <v>46153</v>
      </c>
      <c r="AV326" s="103" t="s">
        <v>4338</v>
      </c>
      <c r="AW326" s="103" t="s">
        <v>4338</v>
      </c>
      <c r="AX326" s="105">
        <v>46160</v>
      </c>
      <c r="AY326" s="106">
        <v>46160</v>
      </c>
      <c r="AZ326" s="107" t="s">
        <v>4453</v>
      </c>
      <c r="BA326" s="107" t="s">
        <v>4454</v>
      </c>
      <c r="BB326" s="112" t="s">
        <v>4338</v>
      </c>
      <c r="BC326" s="220">
        <f>IF(AY326-KD326=0,"",AY326-O326)</f>
        <v>48</v>
      </c>
      <c r="BD326" s="103" t="str">
        <f>IF(AND(AI326&lt;&gt;"SIM",AI326="UH"),"AA","INDENIZAÇÃO")</f>
        <v>INDENIZAÇÃO</v>
      </c>
      <c r="BE326" s="103" t="str">
        <f>IF(AND(AY326&lt;&gt;"AGUARDANDO",AY326&lt;&gt;"",N326="AUXÍLIO ALUGUEL ATÉ INDENIZAÇÃO"),"SIM","NÃO")</f>
        <v>NÃO</v>
      </c>
      <c r="BF326" s="112" t="s">
        <v>4357</v>
      </c>
      <c r="BG326" s="112" t="s">
        <v>4357</v>
      </c>
      <c r="BH326" s="112" t="s">
        <v>4357</v>
      </c>
      <c r="BI326" s="109" t="s">
        <v>4912</v>
      </c>
      <c r="BJ326" s="109"/>
      <c r="BK326" s="109"/>
      <c r="BL326" s="109"/>
      <c r="BM326" s="239"/>
    </row>
    <row r="327" spans="1:67" s="232" customFormat="1" ht="29.25" customHeight="1">
      <c r="A327" s="165">
        <v>318</v>
      </c>
      <c r="B327" s="103" t="s">
        <v>4431</v>
      </c>
      <c r="C327" s="103" t="s">
        <v>4448</v>
      </c>
      <c r="D327" s="103">
        <v>1</v>
      </c>
      <c r="E327" s="103" t="s">
        <v>4432</v>
      </c>
      <c r="F327" s="104" t="s">
        <v>5810</v>
      </c>
      <c r="G327" s="103" t="s">
        <v>4330</v>
      </c>
      <c r="H327" s="103" t="s">
        <v>4331</v>
      </c>
      <c r="I327" s="142" t="s">
        <v>4343</v>
      </c>
      <c r="J327" s="149" t="s">
        <v>5811</v>
      </c>
      <c r="K327" s="149" t="s">
        <v>4432</v>
      </c>
      <c r="L327" s="149" t="s">
        <v>5812</v>
      </c>
      <c r="M327" s="103" t="s">
        <v>4333</v>
      </c>
      <c r="N327" s="103" t="s">
        <v>4459</v>
      </c>
      <c r="O327" s="105">
        <v>46064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3"/>
      <c r="AB327" s="149" t="s">
        <v>5811</v>
      </c>
      <c r="AC327" s="149" t="s">
        <v>4432</v>
      </c>
      <c r="AD327" s="149" t="s">
        <v>5812</v>
      </c>
      <c r="AE327" s="103" t="s">
        <v>4343</v>
      </c>
      <c r="AF327" s="103" t="s">
        <v>4333</v>
      </c>
      <c r="AG327" s="194">
        <v>21556.67</v>
      </c>
      <c r="AH327" s="194">
        <f>AG327+30000</f>
        <v>51556.67</v>
      </c>
      <c r="AI327" s="103" t="s">
        <v>4336</v>
      </c>
      <c r="AJ327" s="104" t="s">
        <v>4438</v>
      </c>
      <c r="AK327" s="103">
        <v>147043603</v>
      </c>
      <c r="AL327" s="103" t="s">
        <v>4338</v>
      </c>
      <c r="AM327" s="103" t="s">
        <v>4338</v>
      </c>
      <c r="AN327" s="103" t="s">
        <v>4339</v>
      </c>
      <c r="AO327" s="103"/>
      <c r="AP327" s="171" t="s">
        <v>5813</v>
      </c>
      <c r="AQ327" s="103" t="s">
        <v>4338</v>
      </c>
      <c r="AR327" s="165" t="s">
        <v>4338</v>
      </c>
      <c r="AS327" s="143" t="s">
        <v>4338</v>
      </c>
      <c r="AT327" s="165" t="s">
        <v>4338</v>
      </c>
      <c r="AU327" s="105">
        <v>46118</v>
      </c>
      <c r="AV327" s="103" t="s">
        <v>4338</v>
      </c>
      <c r="AW327" s="103" t="s">
        <v>4338</v>
      </c>
      <c r="AX327" s="105">
        <v>46126</v>
      </c>
      <c r="AY327" s="106">
        <v>46126</v>
      </c>
      <c r="AZ327" s="106" t="s">
        <v>4453</v>
      </c>
      <c r="BA327" s="107" t="s">
        <v>4454</v>
      </c>
      <c r="BB327" s="136" t="s">
        <v>4338</v>
      </c>
      <c r="BC327" s="220">
        <f>IF(AY327-KD327=0,"",AY327-O327)</f>
        <v>62</v>
      </c>
      <c r="BD327" s="103" t="str">
        <f>IF(AND(AI327&lt;&gt;"SIM",AI327="UH"),"AA","INDENIZAÇÃO")</f>
        <v>INDENIZAÇÃO</v>
      </c>
      <c r="BE327" s="103" t="str">
        <f>IF(AND(AY327&lt;&gt;"AGUARDANDO",AY327&lt;&gt;"",N327="AUXÍLIO ALUGUEL ATÉ INDENIZAÇÃO"),"SIM","NÃO")</f>
        <v>NÃO</v>
      </c>
      <c r="BF327" s="112" t="s">
        <v>4357</v>
      </c>
      <c r="BG327" s="112" t="s">
        <v>4357</v>
      </c>
      <c r="BH327" s="112" t="s">
        <v>4357</v>
      </c>
      <c r="BI327" s="109" t="s">
        <v>4912</v>
      </c>
      <c r="BJ327" s="109"/>
      <c r="BK327" s="109"/>
      <c r="BL327" s="109"/>
      <c r="BM327" s="239"/>
    </row>
    <row r="328" spans="1:67" s="232" customFormat="1" ht="29.25" customHeight="1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>IF(AY328-KD328=0,"",AY328-O328)</f>
        <v/>
      </c>
      <c r="BD328" s="103" t="str">
        <f>IF(AND(AI328&lt;&gt;"SIM",AI328="UH"),"AA","INDENIZAÇÃO")</f>
        <v>AA</v>
      </c>
      <c r="BE328" s="103" t="str">
        <f>IF(AND(AY328&lt;&gt;"AGUARDANDO",AY328&lt;&gt;"",N328="AUXÍLIO ALUGUEL ATÉ INDENIZAÇÃO"),"SIM","NÃO")</f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3" t="s">
        <v>4822</v>
      </c>
      <c r="AU329" s="105">
        <v>46233</v>
      </c>
      <c r="AV329" s="103" t="s">
        <v>4822</v>
      </c>
      <c r="AW329" s="103" t="s">
        <v>4822</v>
      </c>
      <c r="AX329" s="105">
        <v>46237</v>
      </c>
      <c r="AY329" s="106" t="s">
        <v>4453</v>
      </c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customHeight="1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>IF(AY330-KD330=0,"",AY330-O330)</f>
        <v/>
      </c>
      <c r="BD330" s="103" t="str">
        <f>IF(AND(AI330&lt;&gt;"SIM",AI330="UH"),"AA","INDENIZAÇÃO")</f>
        <v>AA</v>
      </c>
      <c r="BE330" s="103" t="str">
        <f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customHeight="1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5820</v>
      </c>
      <c r="G331" s="103" t="s">
        <v>4330</v>
      </c>
      <c r="H331" s="103" t="s">
        <v>4331</v>
      </c>
      <c r="I331" s="103" t="s">
        <v>4343</v>
      </c>
      <c r="J331" s="149" t="s">
        <v>5824</v>
      </c>
      <c r="K331" s="149" t="s">
        <v>5825</v>
      </c>
      <c r="L331" s="149" t="s">
        <v>5826</v>
      </c>
      <c r="M331" s="103" t="s">
        <v>4333</v>
      </c>
      <c r="N331" s="103" t="s">
        <v>4459</v>
      </c>
      <c r="O331" s="105">
        <v>46111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38"/>
      <c r="AB331" s="149" t="s">
        <v>5824</v>
      </c>
      <c r="AC331" s="149" t="s">
        <v>5825</v>
      </c>
      <c r="AD331" s="149" t="s">
        <v>5826</v>
      </c>
      <c r="AE331" s="103" t="s">
        <v>4343</v>
      </c>
      <c r="AF331" s="103" t="s">
        <v>4333</v>
      </c>
      <c r="AG331" s="194">
        <v>9221.56</v>
      </c>
      <c r="AH331" s="194">
        <v>39221.56</v>
      </c>
      <c r="AI331" s="103" t="s">
        <v>4336</v>
      </c>
      <c r="AJ331" s="104" t="s">
        <v>4438</v>
      </c>
      <c r="AK331" s="103">
        <v>151380072</v>
      </c>
      <c r="AL331" s="142" t="s">
        <v>4338</v>
      </c>
      <c r="AM331" s="103" t="s">
        <v>4338</v>
      </c>
      <c r="AN331" s="103" t="s">
        <v>4339</v>
      </c>
      <c r="AO331" s="103"/>
      <c r="AP331" s="171" t="s">
        <v>5827</v>
      </c>
      <c r="AQ331" s="103" t="s">
        <v>4338</v>
      </c>
      <c r="AR331" s="103" t="s">
        <v>4338</v>
      </c>
      <c r="AS331" s="103" t="s">
        <v>4338</v>
      </c>
      <c r="AT331" s="103" t="s">
        <v>4338</v>
      </c>
      <c r="AU331" s="105">
        <v>46170</v>
      </c>
      <c r="AV331" s="103" t="s">
        <v>4338</v>
      </c>
      <c r="AW331" s="103" t="s">
        <v>4338</v>
      </c>
      <c r="AX331" s="105">
        <v>46182</v>
      </c>
      <c r="AY331" s="106">
        <v>46182</v>
      </c>
      <c r="AZ331" s="260" t="s">
        <v>4453</v>
      </c>
      <c r="BA331" s="245" t="s">
        <v>4454</v>
      </c>
      <c r="BB331" s="249" t="s">
        <v>4338</v>
      </c>
      <c r="BC331" s="220">
        <f>IF(AY331-KD331=0,"",AY331-O331)</f>
        <v>71</v>
      </c>
      <c r="BD331" s="103" t="str">
        <f>IF(AND(AI331&lt;&gt;"SIM",AI331="UH"),"AA","INDENIZAÇÃO")</f>
        <v>INDENIZAÇÃO</v>
      </c>
      <c r="BE331" s="103" t="str">
        <f>IF(AND(AY331&lt;&gt;"AGUARDANDO",AY331&lt;&gt;"",N331="AUXÍLIO ALUGUEL ATÉ INDENIZAÇÃO"),"SIM","NÃO")</f>
        <v>NÃO</v>
      </c>
      <c r="BF331" s="250" t="s">
        <v>4357</v>
      </c>
      <c r="BG331" s="250" t="s">
        <v>4357</v>
      </c>
      <c r="BH331" s="250" t="s">
        <v>4357</v>
      </c>
      <c r="BI331" s="251" t="s">
        <v>4912</v>
      </c>
      <c r="BJ331" s="154"/>
      <c r="BK331" s="154"/>
      <c r="BL331" s="154"/>
      <c r="BM331" s="237"/>
    </row>
    <row r="332" spans="1:67" s="232" customFormat="1" ht="29.25" customHeight="1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>IF(AY332-KD332=0,"",AY332-O332)</f>
        <v/>
      </c>
      <c r="BD332" s="103" t="str">
        <f>IF(AND(AI332&lt;&gt;"SIM",AI332="UH"),"AA","INDENIZAÇÃO")</f>
        <v>AA</v>
      </c>
      <c r="BE332" s="103" t="str">
        <f>IF(AND(AY332&lt;&gt;"AGUARDANDO",AY332&lt;&gt;"",N332="AUXÍLIO ALUGUEL ATÉ INDENIZAÇÃO"),"SIM","NÃO")</f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customHeight="1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5828</v>
      </c>
      <c r="G333" s="103" t="s">
        <v>4351</v>
      </c>
      <c r="H333" s="103" t="s">
        <v>4351</v>
      </c>
      <c r="I333" s="153" t="s">
        <v>4332</v>
      </c>
      <c r="J333" s="149" t="s">
        <v>5832</v>
      </c>
      <c r="K333" s="149" t="s">
        <v>5833</v>
      </c>
      <c r="L333" s="149" t="s">
        <v>5834</v>
      </c>
      <c r="M333" s="103" t="s">
        <v>4333</v>
      </c>
      <c r="N333" s="103" t="s">
        <v>4459</v>
      </c>
      <c r="O333" s="105">
        <v>46111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5832</v>
      </c>
      <c r="AC333" s="149" t="s">
        <v>5833</v>
      </c>
      <c r="AD333" s="149" t="s">
        <v>5834</v>
      </c>
      <c r="AE333" s="153" t="s">
        <v>4332</v>
      </c>
      <c r="AF333" s="103" t="s">
        <v>4333</v>
      </c>
      <c r="AG333" s="194">
        <v>13505.97</v>
      </c>
      <c r="AH333" s="194">
        <v>43505.97</v>
      </c>
      <c r="AI333" s="103" t="s">
        <v>4336</v>
      </c>
      <c r="AJ333" s="104" t="s">
        <v>4438</v>
      </c>
      <c r="AK333" s="103">
        <v>151551053</v>
      </c>
      <c r="AL333" s="142" t="s">
        <v>4338</v>
      </c>
      <c r="AM333" s="103" t="s">
        <v>4338</v>
      </c>
      <c r="AN333" s="103" t="s">
        <v>4339</v>
      </c>
      <c r="AO333" s="103"/>
      <c r="AP333" s="171" t="s">
        <v>5835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46153</v>
      </c>
      <c r="AV333" s="103" t="s">
        <v>4338</v>
      </c>
      <c r="AW333" s="103" t="s">
        <v>4338</v>
      </c>
      <c r="AX333" s="105">
        <v>46160</v>
      </c>
      <c r="AY333" s="106">
        <v>46160</v>
      </c>
      <c r="AZ333" s="106" t="s">
        <v>4453</v>
      </c>
      <c r="BA333" s="107" t="s">
        <v>4454</v>
      </c>
      <c r="BB333" s="112" t="s">
        <v>4338</v>
      </c>
      <c r="BC333" s="220">
        <f>IF(AY333-KD333=0,"",AY333-O333)</f>
        <v>49</v>
      </c>
      <c r="BD333" s="103" t="str">
        <f>IF(AND(AI333&lt;&gt;"SIM",AI333="UH"),"AA","INDENIZAÇÃO")</f>
        <v>INDENIZAÇÃO</v>
      </c>
      <c r="BE333" s="103" t="str">
        <f>IF(AND(AY333&lt;&gt;"AGUARDANDO",AY333&lt;&gt;"",N333="AUXÍLIO ALUGUEL ATÉ INDENIZAÇÃO"),"SIM","NÃO")</f>
        <v>NÃO</v>
      </c>
      <c r="BF333" s="112" t="s">
        <v>4357</v>
      </c>
      <c r="BG333" s="112" t="s">
        <v>4357</v>
      </c>
      <c r="BH333" s="112" t="s">
        <v>4357</v>
      </c>
      <c r="BI333" s="109" t="s">
        <v>4912</v>
      </c>
      <c r="BJ333" s="109"/>
      <c r="BK333" s="109"/>
      <c r="BL333" s="109"/>
      <c r="BM333" s="239"/>
      <c r="BN333" s="231"/>
      <c r="BO333" s="231"/>
    </row>
    <row r="334" spans="1:67" s="232" customFormat="1" ht="29.25" customHeight="1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>IF(AY334-KD334=0,"",AY334-O334)</f>
        <v/>
      </c>
      <c r="BD334" s="103" t="str">
        <f>IF(AND(AI334&lt;&gt;"SIM",AI334="UH"),"AA","INDENIZAÇÃO")</f>
        <v>AA</v>
      </c>
      <c r="BE334" s="103" t="str">
        <f>IF(AND(AY334&lt;&gt;"AGUARDANDO",AY334&lt;&gt;"",N334="AUXÍLIO ALUGUEL ATÉ INDENIZAÇÃO"),"SIM","NÃO")</f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customHeight="1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>IF(AY335-KD335=0,"",AY335-O335)</f>
        <v/>
      </c>
      <c r="BD335" s="103" t="str">
        <f>IF(AND(AI335&lt;&gt;"SIM",AI335="UH"),"AA","INDENIZAÇÃO")</f>
        <v>AA</v>
      </c>
      <c r="BE335" s="103" t="str">
        <f>IF(AND(AY335&lt;&gt;"AGUARDANDO",AY335&lt;&gt;"",N335="AUXÍLIO ALUGUEL ATÉ INDENIZAÇÃO"),"SIM","NÃO")</f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5844</v>
      </c>
      <c r="G336" s="103" t="s">
        <v>4330</v>
      </c>
      <c r="H336" s="103" t="s">
        <v>4331</v>
      </c>
      <c r="I336" s="142" t="s">
        <v>4343</v>
      </c>
      <c r="J336" s="149" t="s">
        <v>5845</v>
      </c>
      <c r="K336" s="149" t="s">
        <v>5846</v>
      </c>
      <c r="L336" s="149" t="s">
        <v>5847</v>
      </c>
      <c r="M336" s="103" t="s">
        <v>4333</v>
      </c>
      <c r="N336" s="103" t="s">
        <v>4459</v>
      </c>
      <c r="O336" s="105">
        <v>45986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5845</v>
      </c>
      <c r="AC336" s="149" t="s">
        <v>5846</v>
      </c>
      <c r="AD336" s="149" t="s">
        <v>5847</v>
      </c>
      <c r="AE336" s="103" t="s">
        <v>4343</v>
      </c>
      <c r="AF336" s="103" t="s">
        <v>4333</v>
      </c>
      <c r="AG336" s="194">
        <v>11796.06</v>
      </c>
      <c r="AH336" s="194">
        <f>AG336+30000</f>
        <v>41796.06</v>
      </c>
      <c r="AI336" s="103" t="s">
        <v>4336</v>
      </c>
      <c r="AJ336" s="104" t="s">
        <v>4438</v>
      </c>
      <c r="AK336" s="103">
        <v>147043798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5848</v>
      </c>
      <c r="AQ336" s="302" t="s">
        <v>4338</v>
      </c>
      <c r="AR336" s="103" t="s">
        <v>4338</v>
      </c>
      <c r="AS336" s="143" t="s">
        <v>4338</v>
      </c>
      <c r="AT336" s="103" t="s">
        <v>4338</v>
      </c>
      <c r="AU336" s="105">
        <v>46020</v>
      </c>
      <c r="AV336" s="112" t="s">
        <v>4338</v>
      </c>
      <c r="AW336" s="103" t="s">
        <v>4338</v>
      </c>
      <c r="AX336" s="166">
        <v>46024</v>
      </c>
      <c r="AY336" s="106">
        <v>46024</v>
      </c>
      <c r="AZ336" s="157" t="s">
        <v>4453</v>
      </c>
      <c r="BA336" s="107" t="s">
        <v>4454</v>
      </c>
      <c r="BB336" s="136" t="s">
        <v>4338</v>
      </c>
      <c r="BC336" s="220">
        <f>IF(AY336-KD336=0,"",AY336-O336)</f>
        <v>38</v>
      </c>
      <c r="BD336" s="103" t="str">
        <f>IF(AND(AI336&lt;&gt;"SIM",AI336="UH"),"AA","INDENIZAÇÃO")</f>
        <v>INDENIZAÇÃO</v>
      </c>
      <c r="BE336" s="103" t="str">
        <f>IF(AND(AY336&lt;&gt;"AGUARDANDO",AY336&lt;&gt;"",N336="AUXÍLIO ALUGUEL ATÉ INDENIZAÇÃO"),"SIM","NÃO")</f>
        <v>NÃO</v>
      </c>
      <c r="BF336" s="140" t="s">
        <v>4357</v>
      </c>
      <c r="BG336" s="140" t="s">
        <v>4357</v>
      </c>
      <c r="BH336" s="140" t="s">
        <v>4357</v>
      </c>
      <c r="BI336" s="103" t="s">
        <v>4338</v>
      </c>
      <c r="BJ336" s="103" t="s">
        <v>4338</v>
      </c>
      <c r="BK336" s="105">
        <v>46205</v>
      </c>
      <c r="BL336" s="154" t="s">
        <v>4461</v>
      </c>
      <c r="BM336" s="237"/>
    </row>
    <row r="337" spans="1:107" s="232" customFormat="1" ht="29.25" customHeight="1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>IF(AY337-KD337=0,"",AY337-O337)</f>
        <v/>
      </c>
      <c r="BD337" s="103" t="str">
        <f>IF(AND(AI337&lt;&gt;"SIM",AI337="UH"),"AA","INDENIZAÇÃO")</f>
        <v>AA</v>
      </c>
      <c r="BE337" s="103" t="str">
        <f>IF(AND(AY337&lt;&gt;"AGUARDANDO",AY337&lt;&gt;"",N337="AUXÍLIO ALUGUEL ATÉ INDENIZAÇÃO"),"SIM","NÃO")</f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customHeight="1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5852</v>
      </c>
      <c r="G338" s="103" t="s">
        <v>4330</v>
      </c>
      <c r="H338" s="103" t="s">
        <v>4331</v>
      </c>
      <c r="I338" s="142" t="s">
        <v>4343</v>
      </c>
      <c r="J338" s="149" t="s">
        <v>5853</v>
      </c>
      <c r="K338" s="149" t="s">
        <v>5854</v>
      </c>
      <c r="L338" s="149" t="s">
        <v>5855</v>
      </c>
      <c r="M338" s="103" t="s">
        <v>4333</v>
      </c>
      <c r="N338" s="103" t="s">
        <v>4459</v>
      </c>
      <c r="O338" s="105">
        <v>45986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5853</v>
      </c>
      <c r="AC338" s="149" t="s">
        <v>5854</v>
      </c>
      <c r="AD338" s="149" t="s">
        <v>5855</v>
      </c>
      <c r="AE338" s="103" t="s">
        <v>4343</v>
      </c>
      <c r="AF338" s="103" t="s">
        <v>4333</v>
      </c>
      <c r="AG338" s="194">
        <v>12914.81</v>
      </c>
      <c r="AH338" s="194">
        <f>AG338+30000</f>
        <v>42914.81</v>
      </c>
      <c r="AI338" s="103" t="s">
        <v>4336</v>
      </c>
      <c r="AJ338" s="104" t="s">
        <v>4438</v>
      </c>
      <c r="AK338" s="103">
        <v>147043968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5856</v>
      </c>
      <c r="AQ338" s="103" t="s">
        <v>4338</v>
      </c>
      <c r="AR338" s="103" t="s">
        <v>4338</v>
      </c>
      <c r="AS338" s="143" t="s">
        <v>4338</v>
      </c>
      <c r="AT338" s="103" t="s">
        <v>4338</v>
      </c>
      <c r="AU338" s="105">
        <v>46021</v>
      </c>
      <c r="AV338" s="112" t="s">
        <v>4338</v>
      </c>
      <c r="AW338" s="103" t="s">
        <v>4338</v>
      </c>
      <c r="AX338" s="166">
        <v>46063</v>
      </c>
      <c r="AY338" s="106">
        <v>46063</v>
      </c>
      <c r="AZ338" s="106" t="s">
        <v>4453</v>
      </c>
      <c r="BA338" s="107" t="s">
        <v>4454</v>
      </c>
      <c r="BB338" s="136" t="s">
        <v>4338</v>
      </c>
      <c r="BC338" s="220">
        <f>IF(AY338-KD338=0,"",AY338-O338)</f>
        <v>77</v>
      </c>
      <c r="BD338" s="103" t="str">
        <f>IF(AND(AI338&lt;&gt;"SIM",AI338="UH"),"AA","INDENIZAÇÃO")</f>
        <v>INDENIZAÇÃO</v>
      </c>
      <c r="BE338" s="103" t="str">
        <f>IF(AND(AY338&lt;&gt;"AGUARDANDO",AY338&lt;&gt;"",N338="AUXÍLIO ALUGUEL ATÉ INDENIZAÇÃO"),"SIM","NÃO")</f>
        <v>NÃO</v>
      </c>
      <c r="BF338" s="140" t="s">
        <v>4357</v>
      </c>
      <c r="BG338" s="140" t="s">
        <v>4357</v>
      </c>
      <c r="BH338" s="140" t="s">
        <v>4357</v>
      </c>
      <c r="BI338" s="154" t="s">
        <v>4912</v>
      </c>
      <c r="BJ338" s="154"/>
      <c r="BK338" s="154"/>
      <c r="BL338" s="154"/>
      <c r="BM338" s="237"/>
    </row>
    <row r="339" spans="1:107" s="232" customFormat="1" ht="29.25" customHeight="1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>IF(AY339-KD339=0,"",AY339-O339)</f>
        <v/>
      </c>
      <c r="BD339" s="103" t="str">
        <f>IF(AND(AI339&lt;&gt;"SIM",AI339="UH"),"AA","INDENIZAÇÃO")</f>
        <v>AA</v>
      </c>
      <c r="BE339" s="103" t="str">
        <f>IF(AND(AY339&lt;&gt;"AGUARDANDO",AY339&lt;&gt;"",N339="AUXÍLIO ALUGUEL ATÉ INDENIZAÇÃO"),"SIM","NÃO")</f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customHeight="1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>IF(AY340-KD340=0,"",AY340-O340)</f>
        <v/>
      </c>
      <c r="BD340" s="103" t="str">
        <f>IF(AND(AI340&lt;&gt;"SIM",AI340="UH"),"AA","INDENIZAÇÃO")</f>
        <v>AA</v>
      </c>
      <c r="BE340" s="103" t="str">
        <f>IF(AND(AY340&lt;&gt;"AGUARDANDO",AY340&lt;&gt;"",N340="AUXÍLIO ALUGUEL ATÉ INDENIZAÇÃO"),"SIM","NÃO")</f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customHeight="1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>IF(AY341-KD341=0,"",AY341-O341)</f>
        <v/>
      </c>
      <c r="BD341" s="103" t="str">
        <f>IF(AND(AI341&lt;&gt;"SIM",AI341="UH"),"AA","INDENIZAÇÃO")</f>
        <v>AA</v>
      </c>
      <c r="BE341" s="103" t="str">
        <f>IF(AND(AY341&lt;&gt;"AGUARDANDO",AY341&lt;&gt;"",N341="AUXÍLIO ALUGUEL ATÉ INDENIZAÇÃO"),"SIM","NÃO")</f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customHeight="1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>IF(AY342-KD342=0,"",AY342-O342)</f>
        <v/>
      </c>
      <c r="BD342" s="103" t="str">
        <f>IF(AND(AI342&lt;&gt;"SIM",AI342="UH"),"AA","INDENIZAÇÃO")</f>
        <v>INDENIZAÇÃO</v>
      </c>
      <c r="BE342" s="103" t="str">
        <f>IF(AND(AY342&lt;&gt;"AGUARDANDO",AY342&lt;&gt;"",N342="AUXÍLIO ALUGUEL ATÉ INDENIZAÇÃO"),"SIM","NÃO")</f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customHeight="1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>IF(AY343-KD343=0,"",AY343-O343)</f>
        <v/>
      </c>
      <c r="BD343" s="103" t="str">
        <f>IF(AND(AI343&lt;&gt;"SIM",AI343="UH"),"AA","INDENIZAÇÃO")</f>
        <v>AA</v>
      </c>
      <c r="BE343" s="103" t="str">
        <f>IF(AND(AY343&lt;&gt;"AGUARDANDO",AY343&lt;&gt;"",N343="AUXÍLIO ALUGUEL ATÉ INDENIZAÇÃO"),"SIM","NÃO")</f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customHeight="1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5875</v>
      </c>
      <c r="G344" s="103" t="s">
        <v>4330</v>
      </c>
      <c r="H344" s="103" t="s">
        <v>4331</v>
      </c>
      <c r="I344" s="142" t="s">
        <v>4343</v>
      </c>
      <c r="J344" s="149" t="s">
        <v>5876</v>
      </c>
      <c r="K344" s="149" t="s">
        <v>5877</v>
      </c>
      <c r="L344" s="149" t="s">
        <v>5878</v>
      </c>
      <c r="M344" s="103" t="s">
        <v>4333</v>
      </c>
      <c r="N344" s="103" t="s">
        <v>4459</v>
      </c>
      <c r="O344" s="105">
        <v>46001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5876</v>
      </c>
      <c r="AC344" s="149" t="s">
        <v>5877</v>
      </c>
      <c r="AD344" s="149" t="s">
        <v>5878</v>
      </c>
      <c r="AE344" s="103" t="s">
        <v>4343</v>
      </c>
      <c r="AF344" s="103" t="s">
        <v>4333</v>
      </c>
      <c r="AG344" s="194">
        <v>10390.450000000001</v>
      </c>
      <c r="AH344" s="194">
        <f>AG344+30000</f>
        <v>40390.449999999997</v>
      </c>
      <c r="AI344" s="103" t="s">
        <v>4336</v>
      </c>
      <c r="AJ344" s="104" t="s">
        <v>4438</v>
      </c>
      <c r="AK344" s="103">
        <v>147044138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5879</v>
      </c>
      <c r="AQ344" s="165" t="s">
        <v>4338</v>
      </c>
      <c r="AR344" s="103" t="s">
        <v>4338</v>
      </c>
      <c r="AS344" s="143" t="s">
        <v>4338</v>
      </c>
      <c r="AT344" s="165" t="s">
        <v>4338</v>
      </c>
      <c r="AU344" s="108">
        <v>46017</v>
      </c>
      <c r="AV344" s="112" t="s">
        <v>4338</v>
      </c>
      <c r="AW344" s="103" t="s">
        <v>4338</v>
      </c>
      <c r="AX344" s="166">
        <v>46024</v>
      </c>
      <c r="AY344" s="106">
        <v>46024</v>
      </c>
      <c r="AZ344" s="157" t="s">
        <v>4453</v>
      </c>
      <c r="BA344" s="107" t="s">
        <v>4454</v>
      </c>
      <c r="BB344" s="136" t="s">
        <v>4338</v>
      </c>
      <c r="BC344" s="220">
        <f>IF(AY344-KD344=0,"",AY344-O344)</f>
        <v>23</v>
      </c>
      <c r="BD344" s="103" t="str">
        <f>IF(AND(AI344&lt;&gt;"SIM",AI344="UH"),"AA","INDENIZAÇÃO")</f>
        <v>INDENIZAÇÃO</v>
      </c>
      <c r="BE344" s="103" t="str">
        <f>IF(AND(AY344&lt;&gt;"AGUARDANDO",AY344&lt;&gt;"",N344="AUXÍLIO ALUGUEL ATÉ INDENIZAÇÃO"),"SIM","NÃO")</f>
        <v>NÃO</v>
      </c>
      <c r="BF344" s="140" t="s">
        <v>4357</v>
      </c>
      <c r="BG344" s="140" t="s">
        <v>4357</v>
      </c>
      <c r="BH344" s="140" t="s">
        <v>4357</v>
      </c>
      <c r="BI344" s="103" t="s">
        <v>4338</v>
      </c>
      <c r="BJ344" s="103" t="s">
        <v>4338</v>
      </c>
      <c r="BK344" s="105">
        <v>46205</v>
      </c>
      <c r="BL344" s="154" t="s">
        <v>4461</v>
      </c>
      <c r="BM344" s="237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customHeight="1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>IF(AY345-KD345=0,"",AY345-O345)</f>
        <v/>
      </c>
      <c r="BD345" s="103" t="str">
        <f>IF(AND(AI345&lt;&gt;"SIM",AI345="UH"),"AA","INDENIZAÇÃO")</f>
        <v>INDENIZAÇÃO</v>
      </c>
      <c r="BE345" s="103" t="str">
        <f>IF(AND(AY345&lt;&gt;"AGUARDANDO",AY345&lt;&gt;"",N345="AUXÍLIO ALUGUEL ATÉ INDENIZAÇÃO"),"SIM","NÃO")</f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customHeight="1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5883</v>
      </c>
      <c r="G346" s="103" t="s">
        <v>4330</v>
      </c>
      <c r="H346" s="103" t="s">
        <v>4331</v>
      </c>
      <c r="I346" s="142" t="s">
        <v>4343</v>
      </c>
      <c r="J346" s="149" t="s">
        <v>5884</v>
      </c>
      <c r="K346" s="149" t="s">
        <v>5885</v>
      </c>
      <c r="L346" s="149" t="s">
        <v>5886</v>
      </c>
      <c r="M346" s="103" t="s">
        <v>4333</v>
      </c>
      <c r="N346" s="103" t="s">
        <v>4459</v>
      </c>
      <c r="O346" s="105">
        <v>46001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3"/>
      <c r="AB346" s="149" t="s">
        <v>5884</v>
      </c>
      <c r="AC346" s="149" t="s">
        <v>5885</v>
      </c>
      <c r="AD346" s="149" t="s">
        <v>5886</v>
      </c>
      <c r="AE346" s="103" t="s">
        <v>4343</v>
      </c>
      <c r="AF346" s="103" t="s">
        <v>4333</v>
      </c>
      <c r="AG346" s="194">
        <v>15670.69</v>
      </c>
      <c r="AH346" s="194">
        <f>AG346+30000</f>
        <v>45670.69</v>
      </c>
      <c r="AI346" s="103" t="s">
        <v>4336</v>
      </c>
      <c r="AJ346" s="104" t="s">
        <v>4438</v>
      </c>
      <c r="AK346" s="103">
        <v>147044299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5887</v>
      </c>
      <c r="AQ346" s="103" t="s">
        <v>4338</v>
      </c>
      <c r="AR346" s="103" t="s">
        <v>4338</v>
      </c>
      <c r="AS346" s="143" t="s">
        <v>4338</v>
      </c>
      <c r="AT346" s="103" t="s">
        <v>4338</v>
      </c>
      <c r="AU346" s="105">
        <v>46056</v>
      </c>
      <c r="AV346" s="112" t="s">
        <v>4338</v>
      </c>
      <c r="AW346" s="103" t="s">
        <v>4338</v>
      </c>
      <c r="AX346" s="111">
        <v>46066</v>
      </c>
      <c r="AY346" s="157">
        <v>46066</v>
      </c>
      <c r="AZ346" s="106" t="s">
        <v>4453</v>
      </c>
      <c r="BA346" s="107" t="s">
        <v>4454</v>
      </c>
      <c r="BB346" s="136" t="s">
        <v>4338</v>
      </c>
      <c r="BC346" s="220">
        <f>IF(AY346-KD346=0,"",AY346-O346)</f>
        <v>65</v>
      </c>
      <c r="BD346" s="103" t="str">
        <f>IF(AND(AI346&lt;&gt;"SIM",AI346="UH"),"AA","INDENIZAÇÃO")</f>
        <v>INDENIZAÇÃO</v>
      </c>
      <c r="BE346" s="103" t="str">
        <f>IF(AND(AY346&lt;&gt;"AGUARDANDO",AY346&lt;&gt;"",N346="AUXÍLIO ALUGUEL ATÉ INDENIZAÇÃO"),"SIM","NÃO")</f>
        <v>NÃO</v>
      </c>
      <c r="BF346" s="140" t="s">
        <v>4357</v>
      </c>
      <c r="BG346" s="140" t="s">
        <v>4357</v>
      </c>
      <c r="BH346" s="140" t="s">
        <v>4357</v>
      </c>
      <c r="BI346" s="154" t="s">
        <v>4912</v>
      </c>
      <c r="BJ346" s="154"/>
      <c r="BK346" s="154"/>
      <c r="BL346" s="154"/>
      <c r="BM346" s="237"/>
    </row>
    <row r="347" spans="1:107" s="232" customFormat="1" ht="29.25" customHeight="1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>IF(AY347-KD347=0,"",AY347-O347)</f>
        <v/>
      </c>
      <c r="BD347" s="103" t="str">
        <f>IF(AND(AI347&lt;&gt;"SIM",AI347="UH"),"AA","INDENIZAÇÃO")</f>
        <v>AA</v>
      </c>
      <c r="BE347" s="103" t="str">
        <f>IF(AND(AY347&lt;&gt;"AGUARDANDO",AY347&lt;&gt;"",N347="AUXÍLIO ALUGUEL ATÉ INDENIZAÇÃO"),"SIM","NÃO")</f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customHeight="1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>IF(AY348-KD348=0,"",AY348-O348)</f>
        <v/>
      </c>
      <c r="BD348" s="103" t="str">
        <f>IF(AND(AI348&lt;&gt;"SIM",AI348="UH"),"AA","INDENIZAÇÃO")</f>
        <v>AA</v>
      </c>
      <c r="BE348" s="103" t="str">
        <f>IF(AND(AY348&lt;&gt;"AGUARDANDO",AY348&lt;&gt;"",N348="AUXÍLIO ALUGUEL ATÉ INDENIZAÇÃO"),"SIM","NÃO")</f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customHeight="1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>IF(AY349-KD349=0,"",AY349-O349)</f>
        <v/>
      </c>
      <c r="BD349" s="103" t="str">
        <f>IF(AND(AI349&lt;&gt;"SIM",AI349="UH"),"AA","INDENIZAÇÃO")</f>
        <v>AA</v>
      </c>
      <c r="BE349" s="103" t="str">
        <f>IF(AND(AY349&lt;&gt;"AGUARDANDO",AY349&lt;&gt;"",N349="AUXÍLIO ALUGUEL ATÉ INDENIZAÇÃO"),"SIM","NÃO")</f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customHeight="1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>IF(AY350-KD350=0,"",AY350-O350)</f>
        <v/>
      </c>
      <c r="BD350" s="103" t="str">
        <f>IF(AND(AI350&lt;&gt;"SIM",AI350="UH"),"AA","INDENIZAÇÃO")</f>
        <v>AA</v>
      </c>
      <c r="BE350" s="103" t="str">
        <f>IF(AND(AY350&lt;&gt;"AGUARDANDO",AY350&lt;&gt;"",N350="AUXÍLIO ALUGUEL ATÉ INDENIZAÇÃO"),"SIM","NÃO")</f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customHeight="1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>IF(AY351-KD351=0,"",AY351-O351)</f>
        <v/>
      </c>
      <c r="BD351" s="103" t="str">
        <f>IF(AND(AI351&lt;&gt;"SIM",AI351="UH"),"AA","INDENIZAÇÃO")</f>
        <v>INDENIZAÇÃO</v>
      </c>
      <c r="BE351" s="103" t="str">
        <f>IF(AND(AY351&lt;&gt;"AGUARDANDO",AY351&lt;&gt;"",N351="AUXÍLIO ALUGUEL ATÉ INDENIZAÇÃO"),"SIM","NÃO")</f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customHeight="1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>IF(AY352-KD352=0,"",AY352-O352)</f>
        <v/>
      </c>
      <c r="BD352" s="103" t="str">
        <f>IF(AND(AI352&lt;&gt;"SIM",AI352="UH"),"AA","INDENIZAÇÃO")</f>
        <v>AA</v>
      </c>
      <c r="BE352" s="103" t="str">
        <f>IF(AND(AY352&lt;&gt;"AGUARDANDO",AY352&lt;&gt;"",N352="AUXÍLIO ALUGUEL ATÉ INDENIZAÇÃO"),"SIM","NÃO")</f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5907</v>
      </c>
      <c r="G353" s="103" t="s">
        <v>4330</v>
      </c>
      <c r="H353" s="103" t="s">
        <v>4331</v>
      </c>
      <c r="I353" s="142" t="s">
        <v>4343</v>
      </c>
      <c r="J353" s="149" t="s">
        <v>5908</v>
      </c>
      <c r="K353" s="149" t="s">
        <v>5909</v>
      </c>
      <c r="L353" s="149" t="s">
        <v>5910</v>
      </c>
      <c r="M353" s="103" t="s">
        <v>4333</v>
      </c>
      <c r="N353" s="103" t="s">
        <v>4459</v>
      </c>
      <c r="O353" s="105">
        <v>46001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3"/>
      <c r="AB353" s="149" t="s">
        <v>5908</v>
      </c>
      <c r="AC353" s="149" t="s">
        <v>5909</v>
      </c>
      <c r="AD353" s="149" t="s">
        <v>5910</v>
      </c>
      <c r="AE353" s="103" t="s">
        <v>4343</v>
      </c>
      <c r="AF353" s="103" t="s">
        <v>4333</v>
      </c>
      <c r="AG353" s="194">
        <v>10593.05</v>
      </c>
      <c r="AH353" s="194">
        <f>AG353+30000</f>
        <v>40593.050000000003</v>
      </c>
      <c r="AI353" s="103" t="s">
        <v>4336</v>
      </c>
      <c r="AJ353" s="104" t="s">
        <v>4438</v>
      </c>
      <c r="AK353" s="103">
        <v>147044697</v>
      </c>
      <c r="AL353" s="302" t="s">
        <v>4338</v>
      </c>
      <c r="AM353" s="103" t="s">
        <v>4338</v>
      </c>
      <c r="AN353" s="103" t="s">
        <v>4339</v>
      </c>
      <c r="AO353" s="103"/>
      <c r="AP353" s="171" t="s">
        <v>5911</v>
      </c>
      <c r="AQ353" s="302" t="s">
        <v>4338</v>
      </c>
      <c r="AR353" s="103" t="s">
        <v>4338</v>
      </c>
      <c r="AS353" s="103" t="s">
        <v>4338</v>
      </c>
      <c r="AT353" s="103" t="s">
        <v>4338</v>
      </c>
      <c r="AU353" s="108">
        <v>46024</v>
      </c>
      <c r="AV353" s="112" t="s">
        <v>4338</v>
      </c>
      <c r="AW353" s="103" t="s">
        <v>4338</v>
      </c>
      <c r="AX353" s="166">
        <v>46038</v>
      </c>
      <c r="AY353" s="157">
        <v>46038</v>
      </c>
      <c r="AZ353" s="106" t="s">
        <v>4453</v>
      </c>
      <c r="BA353" s="107" t="s">
        <v>4454</v>
      </c>
      <c r="BB353" s="136" t="s">
        <v>4338</v>
      </c>
      <c r="BC353" s="220">
        <f>IF(AY353-KD353=0,"",AY353-O353)</f>
        <v>37</v>
      </c>
      <c r="BD353" s="103" t="str">
        <f>IF(AND(AI353&lt;&gt;"SIM",AI353="UH"),"AA","INDENIZAÇÃO")</f>
        <v>INDENIZAÇÃO</v>
      </c>
      <c r="BE353" s="103" t="str">
        <f>IF(AND(AY353&lt;&gt;"AGUARDANDO",AY353&lt;&gt;"",N353="AUXÍLIO ALUGUEL ATÉ INDENIZAÇÃO"),"SIM","NÃO")</f>
        <v>NÃO</v>
      </c>
      <c r="BF353" s="140" t="s">
        <v>4357</v>
      </c>
      <c r="BG353" s="140" t="s">
        <v>4357</v>
      </c>
      <c r="BH353" s="140" t="s">
        <v>4357</v>
      </c>
      <c r="BI353" s="154" t="s">
        <v>4912</v>
      </c>
      <c r="BJ353" s="154"/>
      <c r="BK353" s="154"/>
      <c r="BL353" s="154"/>
      <c r="BM353" s="237"/>
    </row>
    <row r="354" spans="1:67" s="232" customFormat="1" ht="29.25" customHeight="1">
      <c r="A354" s="103">
        <v>345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5912</v>
      </c>
      <c r="G354" s="103" t="s">
        <v>4330</v>
      </c>
      <c r="H354" s="103" t="s">
        <v>4331</v>
      </c>
      <c r="I354" s="142" t="s">
        <v>4343</v>
      </c>
      <c r="J354" s="149" t="s">
        <v>5913</v>
      </c>
      <c r="K354" s="149" t="s">
        <v>5914</v>
      </c>
      <c r="L354" s="149" t="s">
        <v>5915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5913</v>
      </c>
      <c r="AC354" s="149" t="s">
        <v>4432</v>
      </c>
      <c r="AD354" s="149" t="s">
        <v>5915</v>
      </c>
      <c r="AE354" s="103" t="s">
        <v>4343</v>
      </c>
      <c r="AF354" s="103" t="s">
        <v>4333</v>
      </c>
      <c r="AG354" s="194">
        <v>14963.19</v>
      </c>
      <c r="AH354" s="194">
        <f>AG354+30000</f>
        <v>44963.19</v>
      </c>
      <c r="AI354" s="103" t="s">
        <v>4336</v>
      </c>
      <c r="AJ354" s="104" t="s">
        <v>4438</v>
      </c>
      <c r="AK354" s="103">
        <v>147045651</v>
      </c>
      <c r="AL354" s="302" t="s">
        <v>4338</v>
      </c>
      <c r="AM354" s="103" t="s">
        <v>4338</v>
      </c>
      <c r="AN354" s="103" t="s">
        <v>4339</v>
      </c>
      <c r="AO354" s="103"/>
      <c r="AP354" s="171" t="s">
        <v>5916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46056</v>
      </c>
      <c r="AV354" s="112" t="s">
        <v>4338</v>
      </c>
      <c r="AW354" s="103" t="s">
        <v>4338</v>
      </c>
      <c r="AX354" s="111">
        <v>46065</v>
      </c>
      <c r="AY354" s="157">
        <v>46065</v>
      </c>
      <c r="AZ354" s="106" t="s">
        <v>4453</v>
      </c>
      <c r="BA354" s="107" t="s">
        <v>4454</v>
      </c>
      <c r="BB354" s="136" t="s">
        <v>4338</v>
      </c>
      <c r="BC354" s="220">
        <f>IF(AY354-KD354=0,"",AY354-O354)</f>
        <v>64</v>
      </c>
      <c r="BD354" s="103" t="str">
        <f>IF(AND(AI354&lt;&gt;"SIM",AI354="UH"),"AA","INDENIZAÇÃO")</f>
        <v>INDENIZAÇÃO</v>
      </c>
      <c r="BE354" s="103" t="str">
        <f>IF(AND(AY354&lt;&gt;"AGUARDANDO",AY354&lt;&gt;"",N354="AUXÍLIO ALUGUEL ATÉ INDENIZAÇÃO"),"SIM","NÃO")</f>
        <v>NÃO</v>
      </c>
      <c r="BF354" s="140" t="s">
        <v>4357</v>
      </c>
      <c r="BG354" s="140" t="s">
        <v>4357</v>
      </c>
      <c r="BH354" s="140" t="s">
        <v>4357</v>
      </c>
      <c r="BI354" s="154" t="s">
        <v>4912</v>
      </c>
      <c r="BJ354" s="154"/>
      <c r="BK354" s="154"/>
      <c r="BL354" s="154"/>
      <c r="BM354" s="237"/>
    </row>
    <row r="355" spans="1:67" s="232" customFormat="1" ht="29.25" customHeight="1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5917</v>
      </c>
      <c r="G355" s="103" t="s">
        <v>4330</v>
      </c>
      <c r="H355" s="103" t="s">
        <v>4331</v>
      </c>
      <c r="I355" s="142" t="s">
        <v>4343</v>
      </c>
      <c r="J355" s="149" t="s">
        <v>5918</v>
      </c>
      <c r="K355" s="149" t="s">
        <v>5919</v>
      </c>
      <c r="L355" s="149" t="s">
        <v>5920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5918</v>
      </c>
      <c r="AC355" s="149" t="s">
        <v>5919</v>
      </c>
      <c r="AD355" s="149" t="s">
        <v>5920</v>
      </c>
      <c r="AE355" s="103" t="s">
        <v>4343</v>
      </c>
      <c r="AF355" s="103" t="s">
        <v>4333</v>
      </c>
      <c r="AG355" s="194">
        <v>18920.009999999998</v>
      </c>
      <c r="AH355" s="194">
        <f>AG355+30000</f>
        <v>48920.009999999995</v>
      </c>
      <c r="AI355" s="103" t="s">
        <v>4336</v>
      </c>
      <c r="AJ355" s="104" t="s">
        <v>4438</v>
      </c>
      <c r="AK355" s="103">
        <v>147045829</v>
      </c>
      <c r="AL355" s="302" t="s">
        <v>4338</v>
      </c>
      <c r="AM355" s="103" t="s">
        <v>4338</v>
      </c>
      <c r="AN355" s="103" t="s">
        <v>4339</v>
      </c>
      <c r="AO355" s="103"/>
      <c r="AP355" s="171" t="s">
        <v>5921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46020</v>
      </c>
      <c r="AV355" s="112" t="s">
        <v>4338</v>
      </c>
      <c r="AW355" s="103" t="s">
        <v>4338</v>
      </c>
      <c r="AX355" s="166">
        <v>46024</v>
      </c>
      <c r="AY355" s="106">
        <v>46024</v>
      </c>
      <c r="AZ355" s="157" t="s">
        <v>4453</v>
      </c>
      <c r="BA355" s="107" t="s">
        <v>4454</v>
      </c>
      <c r="BB355" s="136" t="s">
        <v>4338</v>
      </c>
      <c r="BC355" s="220">
        <f>IF(AY355-KD355=0,"",AY355-O355)</f>
        <v>23</v>
      </c>
      <c r="BD355" s="103" t="str">
        <f>IF(AND(AI355&lt;&gt;"SIM",AI355="UH"),"AA","INDENIZAÇÃO")</f>
        <v>INDENIZAÇÃO</v>
      </c>
      <c r="BE355" s="103" t="str">
        <f>IF(AND(AY355&lt;&gt;"AGUARDANDO",AY355&lt;&gt;"",N355="AUXÍLIO ALUGUEL ATÉ INDENIZAÇÃO"),"SIM","NÃO")</f>
        <v>NÃO</v>
      </c>
      <c r="BF355" s="140" t="s">
        <v>4357</v>
      </c>
      <c r="BG355" s="140" t="s">
        <v>4357</v>
      </c>
      <c r="BH355" s="140" t="s">
        <v>4357</v>
      </c>
      <c r="BI355" s="103" t="s">
        <v>4338</v>
      </c>
      <c r="BJ355" s="103" t="s">
        <v>4338</v>
      </c>
      <c r="BK355" s="105">
        <v>46205</v>
      </c>
      <c r="BL355" s="154" t="s">
        <v>4461</v>
      </c>
      <c r="BM355" s="237"/>
    </row>
    <row r="356" spans="1:67" s="232" customFormat="1" ht="29.25" customHeight="1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>IF(AY356-KD356=0,"",AY356-O356)</f>
        <v/>
      </c>
      <c r="BD356" s="103" t="str">
        <f>IF(AND(AI356&lt;&gt;"SIM",AI356="UH"),"AA","INDENIZAÇÃO")</f>
        <v>AA</v>
      </c>
      <c r="BE356" s="103" t="str">
        <f>IF(AND(AY356&lt;&gt;"AGUARDANDO",AY356&lt;&gt;"",N356="AUXÍLIO ALUGUEL ATÉ INDENIZAÇÃO"),"SIM","NÃO")</f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customHeight="1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>IF(AY357-KD357=0,"",AY357-O357)</f>
        <v/>
      </c>
      <c r="BD357" s="103" t="str">
        <f>IF(AND(AI357&lt;&gt;"SIM",AI357="UH"),"AA","INDENIZAÇÃO")</f>
        <v>AA</v>
      </c>
      <c r="BE357" s="103" t="str">
        <f>IF(AND(AY357&lt;&gt;"AGUARDANDO",AY357&lt;&gt;"",N357="AUXÍLIO ALUGUEL ATÉ INDENIZAÇÃO"),"SIM","NÃO")</f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5930</v>
      </c>
      <c r="G358" s="103" t="s">
        <v>4330</v>
      </c>
      <c r="H358" s="103" t="s">
        <v>4331</v>
      </c>
      <c r="I358" s="142" t="s">
        <v>4440</v>
      </c>
      <c r="J358" s="149" t="s">
        <v>5931</v>
      </c>
      <c r="K358" s="149" t="s">
        <v>5932</v>
      </c>
      <c r="L358" s="149" t="s">
        <v>5933</v>
      </c>
      <c r="M358" s="103" t="s">
        <v>4333</v>
      </c>
      <c r="N358" s="103" t="s">
        <v>4345</v>
      </c>
      <c r="O358" s="105">
        <v>45986</v>
      </c>
      <c r="P358" s="105">
        <v>46002</v>
      </c>
      <c r="Q358" s="105" t="s">
        <v>4436</v>
      </c>
      <c r="R358" s="105">
        <v>45999</v>
      </c>
      <c r="S358" s="105">
        <v>46006</v>
      </c>
      <c r="T358" s="105">
        <v>46006</v>
      </c>
      <c r="U358" s="105">
        <v>46009</v>
      </c>
      <c r="V358" s="105" t="s">
        <v>4437</v>
      </c>
      <c r="W358" s="105" t="s">
        <v>4437</v>
      </c>
      <c r="X358" s="105">
        <v>46014</v>
      </c>
      <c r="Y358" s="105">
        <v>46049</v>
      </c>
      <c r="Z358" s="105"/>
      <c r="AA358" s="103"/>
      <c r="AB358" s="149" t="s">
        <v>5934</v>
      </c>
      <c r="AC358" s="149" t="s">
        <v>5935</v>
      </c>
      <c r="AD358" s="149" t="s">
        <v>5936</v>
      </c>
      <c r="AE358" s="142" t="s">
        <v>4332</v>
      </c>
      <c r="AF358" s="103" t="s">
        <v>4333</v>
      </c>
      <c r="AG358" s="194">
        <v>16383.53</v>
      </c>
      <c r="AH358" s="194">
        <v>16383.53</v>
      </c>
      <c r="AI358" s="103" t="s">
        <v>4336</v>
      </c>
      <c r="AJ358" s="104" t="s">
        <v>4438</v>
      </c>
      <c r="AK358" s="103">
        <v>147049215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5937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8">
        <v>46017</v>
      </c>
      <c r="AV358" s="112" t="s">
        <v>4338</v>
      </c>
      <c r="AW358" s="103" t="s">
        <v>4338</v>
      </c>
      <c r="AX358" s="166">
        <v>46024</v>
      </c>
      <c r="AY358" s="106">
        <v>46024</v>
      </c>
      <c r="AZ358" s="157" t="s">
        <v>4453</v>
      </c>
      <c r="BA358" s="107" t="s">
        <v>4454</v>
      </c>
      <c r="BB358" s="136" t="s">
        <v>4338</v>
      </c>
      <c r="BC358" s="220">
        <f>IF(AY358-KD358=0,"",AY358-O358)</f>
        <v>38</v>
      </c>
      <c r="BD358" s="103" t="str">
        <f>IF(AND(AI358&lt;&gt;"SIM",AI358="UH"),"AA","INDENIZAÇÃO")</f>
        <v>INDENIZAÇÃO</v>
      </c>
      <c r="BE358" s="103" t="str">
        <f>IF(AND(AY358&lt;&gt;"AGUARDANDO",AY358&lt;&gt;"",N358="AUXÍLIO ALUGUEL ATÉ INDENIZAÇÃO"),"SIM","NÃO")</f>
        <v>NÃO</v>
      </c>
      <c r="BF358" s="140" t="s">
        <v>4357</v>
      </c>
      <c r="BG358" s="140" t="s">
        <v>4357</v>
      </c>
      <c r="BH358" s="140" t="s">
        <v>4357</v>
      </c>
      <c r="BI358" s="103" t="s">
        <v>4338</v>
      </c>
      <c r="BJ358" s="103" t="s">
        <v>4338</v>
      </c>
      <c r="BK358" s="105">
        <v>46182</v>
      </c>
      <c r="BL358" s="103" t="s">
        <v>4338</v>
      </c>
      <c r="BM358" s="258" t="s">
        <v>4453</v>
      </c>
    </row>
    <row r="359" spans="1:67" s="232" customFormat="1" ht="29.25" customHeight="1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>IF(AY359-KD359=0,"",AY359-O359)</f>
        <v/>
      </c>
      <c r="BD359" s="103" t="str">
        <f>IF(AND(AI359&lt;&gt;"SIM",AI359="UH"),"AA","INDENIZAÇÃO")</f>
        <v>INDENIZAÇÃO</v>
      </c>
      <c r="BE359" s="103" t="str">
        <f>IF(AND(AY359&lt;&gt;"AGUARDANDO",AY359&lt;&gt;"",N359="AUXÍLIO ALUGUEL ATÉ INDENIZAÇÃO"),"SIM","NÃO")</f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customHeight="1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5946</v>
      </c>
      <c r="G360" s="103" t="s">
        <v>4330</v>
      </c>
      <c r="H360" s="103" t="s">
        <v>4331</v>
      </c>
      <c r="I360" s="142" t="s">
        <v>4343</v>
      </c>
      <c r="J360" s="149" t="s">
        <v>5947</v>
      </c>
      <c r="K360" s="149" t="s">
        <v>5948</v>
      </c>
      <c r="L360" s="149" t="s">
        <v>5949</v>
      </c>
      <c r="M360" s="103" t="s">
        <v>4333</v>
      </c>
      <c r="N360" s="103" t="s">
        <v>4459</v>
      </c>
      <c r="O360" s="105">
        <v>46038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3"/>
      <c r="AB360" s="149" t="s">
        <v>5947</v>
      </c>
      <c r="AC360" s="149" t="s">
        <v>5948</v>
      </c>
      <c r="AD360" s="149" t="s">
        <v>5949</v>
      </c>
      <c r="AE360" s="103" t="s">
        <v>4343</v>
      </c>
      <c r="AF360" s="103" t="s">
        <v>4333</v>
      </c>
      <c r="AG360" s="194">
        <v>68808.5</v>
      </c>
      <c r="AH360" s="194">
        <v>68808.5</v>
      </c>
      <c r="AI360" s="103" t="s">
        <v>4336</v>
      </c>
      <c r="AJ360" s="104" t="s">
        <v>4438</v>
      </c>
      <c r="AK360" s="103">
        <v>148264898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5950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46071</v>
      </c>
      <c r="AV360" s="112" t="s">
        <v>4338</v>
      </c>
      <c r="AW360" s="112" t="s">
        <v>4338</v>
      </c>
      <c r="AX360" s="111">
        <v>46093</v>
      </c>
      <c r="AY360" s="157">
        <v>46093</v>
      </c>
      <c r="AZ360" s="106" t="s">
        <v>4453</v>
      </c>
      <c r="BA360" s="107" t="s">
        <v>4454</v>
      </c>
      <c r="BB360" s="136" t="s">
        <v>4338</v>
      </c>
      <c r="BC360" s="220">
        <f>IF(AY360-KD360=0,"",AY360-O360)</f>
        <v>55</v>
      </c>
      <c r="BD360" s="103" t="str">
        <f>IF(AND(AI360&lt;&gt;"SIM",AI360="UH"),"AA","INDENIZAÇÃO")</f>
        <v>INDENIZAÇÃO</v>
      </c>
      <c r="BE360" s="103" t="str">
        <f>IF(AND(AY360&lt;&gt;"AGUARDANDO",AY360&lt;&gt;"",N360="AUXÍLIO ALUGUEL ATÉ INDENIZAÇÃO"),"SIM","NÃO")</f>
        <v>NÃO</v>
      </c>
      <c r="BF360" s="140" t="s">
        <v>4357</v>
      </c>
      <c r="BG360" s="140" t="s">
        <v>4357</v>
      </c>
      <c r="BH360" s="140" t="s">
        <v>4357</v>
      </c>
      <c r="BI360" s="154" t="s">
        <v>4912</v>
      </c>
      <c r="BJ360" s="154"/>
      <c r="BK360" s="154"/>
      <c r="BL360" s="154"/>
      <c r="BM360" s="237"/>
    </row>
    <row r="361" spans="1:67" s="232" customFormat="1" ht="29.25" customHeight="1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5951</v>
      </c>
      <c r="G361" s="103" t="s">
        <v>4330</v>
      </c>
      <c r="H361" s="103" t="s">
        <v>4331</v>
      </c>
      <c r="I361" s="142" t="s">
        <v>4343</v>
      </c>
      <c r="J361" s="149" t="s">
        <v>5952</v>
      </c>
      <c r="K361" s="149" t="s">
        <v>5953</v>
      </c>
      <c r="L361" s="149" t="s">
        <v>5954</v>
      </c>
      <c r="M361" s="103" t="s">
        <v>4333</v>
      </c>
      <c r="N361" s="103" t="s">
        <v>4459</v>
      </c>
      <c r="O361" s="105">
        <v>46001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5952</v>
      </c>
      <c r="AC361" s="149" t="s">
        <v>5953</v>
      </c>
      <c r="AD361" s="149" t="s">
        <v>5954</v>
      </c>
      <c r="AE361" s="103" t="s">
        <v>4343</v>
      </c>
      <c r="AF361" s="103" t="s">
        <v>4333</v>
      </c>
      <c r="AG361" s="194">
        <v>57066.87</v>
      </c>
      <c r="AH361" s="194">
        <v>60000</v>
      </c>
      <c r="AI361" s="103" t="s">
        <v>4336</v>
      </c>
      <c r="AJ361" s="104" t="s">
        <v>4438</v>
      </c>
      <c r="AK361" s="103">
        <v>147049654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5955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8">
        <v>46017</v>
      </c>
      <c r="AV361" s="112" t="s">
        <v>4338</v>
      </c>
      <c r="AW361" s="103" t="s">
        <v>4338</v>
      </c>
      <c r="AX361" s="166">
        <v>46024</v>
      </c>
      <c r="AY361" s="106">
        <v>46024</v>
      </c>
      <c r="AZ361" s="157" t="s">
        <v>4453</v>
      </c>
      <c r="BA361" s="107" t="s">
        <v>4454</v>
      </c>
      <c r="BB361" s="136" t="s">
        <v>4338</v>
      </c>
      <c r="BC361" s="220">
        <f>IF(AY361-KD361=0,"",AY361-O361)</f>
        <v>23</v>
      </c>
      <c r="BD361" s="103" t="str">
        <f>IF(AND(AI361&lt;&gt;"SIM",AI361="UH"),"AA","INDENIZAÇÃO")</f>
        <v>INDENIZAÇÃO</v>
      </c>
      <c r="BE361" s="103" t="str">
        <f>IF(AND(AY361&lt;&gt;"AGUARDANDO",AY361&lt;&gt;"",N361="AUXÍLIO ALUGUEL ATÉ INDENIZAÇÃO"),"SIM","NÃO")</f>
        <v>NÃO</v>
      </c>
      <c r="BF361" s="140" t="s">
        <v>4357</v>
      </c>
      <c r="BG361" s="140" t="s">
        <v>4357</v>
      </c>
      <c r="BH361" s="140" t="s">
        <v>4357</v>
      </c>
      <c r="BI361" s="103" t="s">
        <v>4338</v>
      </c>
      <c r="BJ361" s="103" t="s">
        <v>4338</v>
      </c>
      <c r="BK361" s="105">
        <v>46205</v>
      </c>
      <c r="BL361" s="154" t="s">
        <v>4461</v>
      </c>
      <c r="BM361" s="237"/>
    </row>
    <row r="362" spans="1:67" s="232" customFormat="1" ht="29.25" customHeight="1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>IF(AY362-KD362=0,"",AY362-O362)</f>
        <v/>
      </c>
      <c r="BD362" s="103" t="str">
        <f>IF(AND(AI362&lt;&gt;"SIM",AI362="UH"),"AA","INDENIZAÇÃO")</f>
        <v>AA</v>
      </c>
      <c r="BE362" s="103" t="str">
        <f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customHeight="1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5960</v>
      </c>
      <c r="G363" s="103" t="s">
        <v>4330</v>
      </c>
      <c r="H363" s="103" t="s">
        <v>4331</v>
      </c>
      <c r="I363" s="142" t="s">
        <v>4343</v>
      </c>
      <c r="J363" s="149" t="s">
        <v>5961</v>
      </c>
      <c r="K363" s="149" t="s">
        <v>5962</v>
      </c>
      <c r="L363" s="149" t="s">
        <v>5963</v>
      </c>
      <c r="M363" s="103" t="s">
        <v>4333</v>
      </c>
      <c r="N363" s="103" t="s">
        <v>4459</v>
      </c>
      <c r="O363" s="105">
        <v>45986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3"/>
      <c r="AB363" s="149" t="s">
        <v>5961</v>
      </c>
      <c r="AC363" s="149" t="s">
        <v>5962</v>
      </c>
      <c r="AD363" s="149" t="s">
        <v>5963</v>
      </c>
      <c r="AE363" s="103" t="s">
        <v>4343</v>
      </c>
      <c r="AF363" s="103" t="s">
        <v>4333</v>
      </c>
      <c r="AG363" s="194">
        <v>15443.8</v>
      </c>
      <c r="AH363" s="194">
        <f>AG363+30000</f>
        <v>45443.8</v>
      </c>
      <c r="AI363" s="103" t="s">
        <v>4336</v>
      </c>
      <c r="AJ363" s="104" t="s">
        <v>4438</v>
      </c>
      <c r="AK363" s="103">
        <v>147049934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5964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8">
        <v>46017</v>
      </c>
      <c r="AV363" s="112" t="s">
        <v>4338</v>
      </c>
      <c r="AW363" s="103" t="s">
        <v>4338</v>
      </c>
      <c r="AX363" s="166">
        <v>46027</v>
      </c>
      <c r="AY363" s="106">
        <v>46027</v>
      </c>
      <c r="AZ363" s="157" t="s">
        <v>4453</v>
      </c>
      <c r="BA363" s="107" t="s">
        <v>4454</v>
      </c>
      <c r="BB363" s="136" t="s">
        <v>4338</v>
      </c>
      <c r="BC363" s="220">
        <f>IF(AY363-KD363=0,"",AY363-O363)</f>
        <v>41</v>
      </c>
      <c r="BD363" s="103" t="str">
        <f>IF(AND(AI363&lt;&gt;"SIM",AI363="UH"),"AA","INDENIZAÇÃO")</f>
        <v>INDENIZAÇÃO</v>
      </c>
      <c r="BE363" s="103" t="str">
        <f>IF(AND(AY363&lt;&gt;"AGUARDANDO",AY363&lt;&gt;"",N363="AUXÍLIO ALUGUEL ATÉ INDENIZAÇÃO"),"SIM","NÃO")</f>
        <v>NÃO</v>
      </c>
      <c r="BF363" s="140" t="s">
        <v>4357</v>
      </c>
      <c r="BG363" s="140" t="s">
        <v>4357</v>
      </c>
      <c r="BH363" s="140" t="s">
        <v>4357</v>
      </c>
      <c r="BI363" s="154" t="s">
        <v>4912</v>
      </c>
      <c r="BJ363" s="154"/>
      <c r="BK363" s="154"/>
      <c r="BL363" s="154"/>
      <c r="BM363" s="237"/>
    </row>
    <row r="364" spans="1:67" s="232" customFormat="1" ht="29.25" customHeight="1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5965</v>
      </c>
      <c r="G364" s="103" t="s">
        <v>4330</v>
      </c>
      <c r="H364" s="103" t="s">
        <v>4331</v>
      </c>
      <c r="I364" s="142" t="s">
        <v>4343</v>
      </c>
      <c r="J364" s="149" t="s">
        <v>5966</v>
      </c>
      <c r="K364" s="149" t="s">
        <v>5967</v>
      </c>
      <c r="L364" s="149" t="s">
        <v>5968</v>
      </c>
      <c r="M364" s="103" t="s">
        <v>4333</v>
      </c>
      <c r="N364" s="103" t="s">
        <v>4459</v>
      </c>
      <c r="O364" s="105">
        <v>46001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5966</v>
      </c>
      <c r="AC364" s="149" t="s">
        <v>5967</v>
      </c>
      <c r="AD364" s="149" t="s">
        <v>5968</v>
      </c>
      <c r="AE364" s="103" t="s">
        <v>4343</v>
      </c>
      <c r="AF364" s="103" t="s">
        <v>4333</v>
      </c>
      <c r="AG364" s="194">
        <v>15408.46</v>
      </c>
      <c r="AH364" s="194">
        <f>AG364+30000</f>
        <v>45408.46</v>
      </c>
      <c r="AI364" s="103" t="s">
        <v>4336</v>
      </c>
      <c r="AJ364" s="104" t="s">
        <v>4438</v>
      </c>
      <c r="AK364" s="103">
        <v>147050298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5969</v>
      </c>
      <c r="AQ364" s="302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46024</v>
      </c>
      <c r="AY364" s="106">
        <v>46024</v>
      </c>
      <c r="AZ364" s="157" t="s">
        <v>4453</v>
      </c>
      <c r="BA364" s="107" t="s">
        <v>4454</v>
      </c>
      <c r="BB364" s="136" t="s">
        <v>4338</v>
      </c>
      <c r="BC364" s="220">
        <f>IF(AY364-KD364=0,"",AY364-O364)</f>
        <v>23</v>
      </c>
      <c r="BD364" s="103" t="str">
        <f>IF(AND(AI364&lt;&gt;"SIM",AI364="UH"),"AA","INDENIZAÇÃO")</f>
        <v>INDENIZAÇÃO</v>
      </c>
      <c r="BE364" s="103" t="str">
        <f>IF(AND(AY364&lt;&gt;"AGUARDANDO",AY364&lt;&gt;"",N364="AUXÍLIO ALUGUEL ATÉ INDENIZAÇÃO"),"SIM","NÃO")</f>
        <v>NÃO</v>
      </c>
      <c r="BF364" s="140" t="s">
        <v>4357</v>
      </c>
      <c r="BG364" s="140" t="s">
        <v>4357</v>
      </c>
      <c r="BH364" s="140" t="s">
        <v>4357</v>
      </c>
      <c r="BI364" s="103" t="s">
        <v>4338</v>
      </c>
      <c r="BJ364" s="103" t="s">
        <v>4338</v>
      </c>
      <c r="BK364" s="105">
        <v>46205</v>
      </c>
      <c r="BL364" s="154" t="s">
        <v>4461</v>
      </c>
      <c r="BM364" s="237"/>
    </row>
    <row r="365" spans="1:67" s="232" customFormat="1" ht="29.25" customHeight="1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5970</v>
      </c>
      <c r="G365" s="103" t="s">
        <v>4330</v>
      </c>
      <c r="H365" s="103" t="s">
        <v>4331</v>
      </c>
      <c r="I365" s="142" t="s">
        <v>4343</v>
      </c>
      <c r="J365" s="149" t="s">
        <v>5971</v>
      </c>
      <c r="K365" s="149" t="s">
        <v>5972</v>
      </c>
      <c r="L365" s="149" t="s">
        <v>5973</v>
      </c>
      <c r="M365" s="103" t="s">
        <v>4333</v>
      </c>
      <c r="N365" s="103" t="s">
        <v>4459</v>
      </c>
      <c r="O365" s="105">
        <v>46066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5971</v>
      </c>
      <c r="AC365" s="149" t="s">
        <v>5972</v>
      </c>
      <c r="AD365" s="149" t="s">
        <v>5973</v>
      </c>
      <c r="AE365" s="103" t="s">
        <v>4343</v>
      </c>
      <c r="AF365" s="103" t="s">
        <v>4333</v>
      </c>
      <c r="AG365" s="194">
        <v>15385.36</v>
      </c>
      <c r="AH365" s="194">
        <f>AG365+30000</f>
        <v>45385.36</v>
      </c>
      <c r="AI365" s="103" t="s">
        <v>4336</v>
      </c>
      <c r="AJ365" s="104" t="s">
        <v>4438</v>
      </c>
      <c r="AK365" s="103">
        <v>150604354</v>
      </c>
      <c r="AL365" s="142" t="s">
        <v>4338</v>
      </c>
      <c r="AM365" s="103" t="s">
        <v>4338</v>
      </c>
      <c r="AN365" s="103" t="s">
        <v>4339</v>
      </c>
      <c r="AO365" s="103"/>
      <c r="AP365" s="171" t="s">
        <v>5974</v>
      </c>
      <c r="AQ365" s="143" t="s">
        <v>4338</v>
      </c>
      <c r="AR365" s="143" t="s">
        <v>4338</v>
      </c>
      <c r="AS365" s="103" t="s">
        <v>4338</v>
      </c>
      <c r="AT365" s="103" t="s">
        <v>4338</v>
      </c>
      <c r="AU365" s="105">
        <v>46153</v>
      </c>
      <c r="AV365" s="103" t="s">
        <v>4338</v>
      </c>
      <c r="AW365" s="103" t="s">
        <v>4338</v>
      </c>
      <c r="AX365" s="105">
        <v>46160</v>
      </c>
      <c r="AY365" s="106">
        <v>46160</v>
      </c>
      <c r="AZ365" s="107" t="s">
        <v>4453</v>
      </c>
      <c r="BA365" s="107" t="s">
        <v>4454</v>
      </c>
      <c r="BB365" s="112" t="s">
        <v>4338</v>
      </c>
      <c r="BC365" s="220">
        <f>IF(AY365-KD365=0,"",AY365-O365)</f>
        <v>94</v>
      </c>
      <c r="BD365" s="103" t="str">
        <f>IF(AND(AI365&lt;&gt;"SIM",AI365="UH"),"AA","INDENIZAÇÃO")</f>
        <v>INDENIZAÇÃO</v>
      </c>
      <c r="BE365" s="103" t="str">
        <f>IF(AND(AY365&lt;&gt;"AGUARDANDO",AY365&lt;&gt;"",N365="AUXÍLIO ALUGUEL ATÉ INDENIZAÇÃO"),"SIM","NÃO")</f>
        <v>NÃO</v>
      </c>
      <c r="BF365" s="112" t="s">
        <v>4357</v>
      </c>
      <c r="BG365" s="112" t="s">
        <v>4357</v>
      </c>
      <c r="BH365" s="112" t="s">
        <v>4357</v>
      </c>
      <c r="BI365" s="109" t="s">
        <v>4912</v>
      </c>
      <c r="BJ365" s="109"/>
      <c r="BK365" s="109"/>
      <c r="BL365" s="109"/>
      <c r="BM365" s="239"/>
    </row>
    <row r="366" spans="1:67" s="232" customFormat="1" ht="29.25" customHeight="1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5975</v>
      </c>
      <c r="G366" s="103" t="s">
        <v>4330</v>
      </c>
      <c r="H366" s="103" t="s">
        <v>4331</v>
      </c>
      <c r="I366" s="142" t="s">
        <v>4343</v>
      </c>
      <c r="J366" s="149" t="s">
        <v>5976</v>
      </c>
      <c r="K366" s="149" t="s">
        <v>5977</v>
      </c>
      <c r="L366" s="149" t="s">
        <v>5978</v>
      </c>
      <c r="M366" s="103" t="s">
        <v>4333</v>
      </c>
      <c r="N366" s="103" t="s">
        <v>4459</v>
      </c>
      <c r="O366" s="105">
        <v>46045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5976</v>
      </c>
      <c r="AC366" s="149" t="s">
        <v>5977</v>
      </c>
      <c r="AD366" s="149" t="s">
        <v>5978</v>
      </c>
      <c r="AE366" s="103" t="s">
        <v>4343</v>
      </c>
      <c r="AF366" s="103" t="s">
        <v>4333</v>
      </c>
      <c r="AG366" s="194">
        <v>108073.38</v>
      </c>
      <c r="AH366" s="194">
        <v>108073.38</v>
      </c>
      <c r="AI366" s="103" t="s">
        <v>4336</v>
      </c>
      <c r="AJ366" s="104" t="s">
        <v>4438</v>
      </c>
      <c r="AK366" s="103">
        <v>148265011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5979</v>
      </c>
      <c r="AQ366" s="98" t="s">
        <v>4338</v>
      </c>
      <c r="AR366" s="103" t="s">
        <v>4338</v>
      </c>
      <c r="AS366" s="103" t="s">
        <v>4338</v>
      </c>
      <c r="AT366" s="165" t="s">
        <v>4338</v>
      </c>
      <c r="AU366" s="105">
        <v>46125</v>
      </c>
      <c r="AV366" s="103" t="s">
        <v>4338</v>
      </c>
      <c r="AW366" s="302" t="s">
        <v>4338</v>
      </c>
      <c r="AX366" s="105">
        <v>46139</v>
      </c>
      <c r="AY366" s="106">
        <v>46139</v>
      </c>
      <c r="AZ366" s="106" t="s">
        <v>4453</v>
      </c>
      <c r="BA366" s="107" t="s">
        <v>4454</v>
      </c>
      <c r="BB366" s="136" t="s">
        <v>4338</v>
      </c>
      <c r="BC366" s="220">
        <f>IF(AY366-KD366=0,"",AY366-O366)</f>
        <v>94</v>
      </c>
      <c r="BD366" s="103" t="str">
        <f>IF(AND(AI366&lt;&gt;"SIM",AI366="UH"),"AA","INDENIZAÇÃO")</f>
        <v>INDENIZAÇÃO</v>
      </c>
      <c r="BE366" s="103" t="str">
        <f>IF(AND(AY366&lt;&gt;"AGUARDANDO",AY366&lt;&gt;"",N366="AUXÍLIO ALUGUEL ATÉ INDENIZAÇÃO"),"SIM","NÃO")</f>
        <v>NÃO</v>
      </c>
      <c r="BF366" s="112" t="s">
        <v>4357</v>
      </c>
      <c r="BG366" s="112" t="s">
        <v>4357</v>
      </c>
      <c r="BH366" s="112" t="s">
        <v>4357</v>
      </c>
      <c r="BI366" s="109" t="s">
        <v>4912</v>
      </c>
      <c r="BJ366" s="109"/>
      <c r="BK366" s="109"/>
      <c r="BL366" s="109"/>
      <c r="BM366" s="239"/>
    </row>
    <row r="367" spans="1:67" s="232" customFormat="1" ht="29.25" customHeight="1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>IF(AY367-KD367=0,"",AY367-O367)</f>
        <v/>
      </c>
      <c r="BD367" s="103" t="str">
        <f>IF(AND(AI367&lt;&gt;"SIM",AI367="UH"),"AA","INDENIZAÇÃO")</f>
        <v>AA</v>
      </c>
      <c r="BE367" s="103" t="str">
        <f>IF(AND(AY367&lt;&gt;"AGUARDANDO",AY367&lt;&gt;"",N367="AUXÍLIO ALUGUEL ATÉ INDENIZAÇÃO"),"SIM","NÃO")</f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customHeight="1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>IF(AY368-KD368=0,"",AY368-O368)</f>
        <v/>
      </c>
      <c r="BD368" s="103" t="str">
        <f>IF(AND(AI368&lt;&gt;"SIM",AI368="UH"),"AA","INDENIZAÇÃO")</f>
        <v>AA</v>
      </c>
      <c r="BE368" s="103" t="str">
        <f>IF(AND(AY368&lt;&gt;"AGUARDANDO",AY368&lt;&gt;"",N368="AUXÍLIO ALUGUEL ATÉ INDENIZAÇÃO"),"SIM","NÃO")</f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customHeight="1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5988</v>
      </c>
      <c r="G369" s="103" t="s">
        <v>4330</v>
      </c>
      <c r="H369" s="103" t="s">
        <v>4352</v>
      </c>
      <c r="I369" s="142" t="s">
        <v>4343</v>
      </c>
      <c r="J369" s="149" t="s">
        <v>5989</v>
      </c>
      <c r="K369" s="149" t="s">
        <v>5990</v>
      </c>
      <c r="L369" s="149" t="s">
        <v>5991</v>
      </c>
      <c r="M369" s="103" t="s">
        <v>4333</v>
      </c>
      <c r="N369" s="103" t="s">
        <v>4459</v>
      </c>
      <c r="O369" s="105">
        <v>45996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5989</v>
      </c>
      <c r="AC369" s="149" t="s">
        <v>5990</v>
      </c>
      <c r="AD369" s="149" t="s">
        <v>5991</v>
      </c>
      <c r="AE369" s="103" t="s">
        <v>4343</v>
      </c>
      <c r="AF369" s="103" t="s">
        <v>4333</v>
      </c>
      <c r="AG369" s="194">
        <v>76482.22</v>
      </c>
      <c r="AH369" s="194">
        <v>76482.22</v>
      </c>
      <c r="AI369" s="103" t="s">
        <v>4336</v>
      </c>
      <c r="AJ369" s="104" t="s">
        <v>4438</v>
      </c>
      <c r="AK369" s="103">
        <v>147055826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5992</v>
      </c>
      <c r="AQ369" s="302" t="s">
        <v>4338</v>
      </c>
      <c r="AR369" s="103" t="s">
        <v>4338</v>
      </c>
      <c r="AS369" s="103" t="s">
        <v>4338</v>
      </c>
      <c r="AT369" s="103" t="s">
        <v>4338</v>
      </c>
      <c r="AU369" s="108">
        <v>46017</v>
      </c>
      <c r="AV369" s="112" t="s">
        <v>4338</v>
      </c>
      <c r="AW369" s="103" t="s">
        <v>4338</v>
      </c>
      <c r="AX369" s="166">
        <v>46024</v>
      </c>
      <c r="AY369" s="106">
        <v>46024</v>
      </c>
      <c r="AZ369" s="157" t="s">
        <v>4453</v>
      </c>
      <c r="BA369" s="107" t="s">
        <v>4454</v>
      </c>
      <c r="BB369" s="136" t="s">
        <v>4338</v>
      </c>
      <c r="BC369" s="220">
        <f>IF(AY369-KD369=0,"",AY369-O369)</f>
        <v>28</v>
      </c>
      <c r="BD369" s="103" t="str">
        <f>IF(AND(AI369&lt;&gt;"SIM",AI369="UH"),"AA","INDENIZAÇÃO")</f>
        <v>INDENIZAÇÃO</v>
      </c>
      <c r="BE369" s="103" t="str">
        <f>IF(AND(AY369&lt;&gt;"AGUARDANDO",AY369&lt;&gt;"",N369="AUXÍLIO ALUGUEL ATÉ INDENIZAÇÃO"),"SIM","NÃO")</f>
        <v>NÃO</v>
      </c>
      <c r="BF369" s="140" t="s">
        <v>4357</v>
      </c>
      <c r="BG369" s="140" t="s">
        <v>4357</v>
      </c>
      <c r="BH369" s="140" t="s">
        <v>4357</v>
      </c>
      <c r="BI369" s="154" t="s">
        <v>4912</v>
      </c>
      <c r="BJ369" s="154"/>
      <c r="BK369" s="154"/>
      <c r="BL369" s="154"/>
      <c r="BM369" s="237"/>
    </row>
    <row r="370" spans="1:67" s="232" customFormat="1" ht="29.25" customHeight="1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5993</v>
      </c>
      <c r="G370" s="103" t="s">
        <v>4330</v>
      </c>
      <c r="H370" s="103" t="s">
        <v>4331</v>
      </c>
      <c r="I370" s="142" t="s">
        <v>4343</v>
      </c>
      <c r="J370" s="149" t="s">
        <v>5994</v>
      </c>
      <c r="K370" s="149" t="s">
        <v>5995</v>
      </c>
      <c r="L370" s="149" t="s">
        <v>5996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5994</v>
      </c>
      <c r="AC370" s="149" t="s">
        <v>5995</v>
      </c>
      <c r="AD370" s="149" t="s">
        <v>5996</v>
      </c>
      <c r="AE370" s="103" t="s">
        <v>4343</v>
      </c>
      <c r="AF370" s="103" t="s">
        <v>4333</v>
      </c>
      <c r="AG370" s="194">
        <v>76127.16</v>
      </c>
      <c r="AH370" s="194">
        <v>76127.16</v>
      </c>
      <c r="AI370" s="103" t="s">
        <v>4336</v>
      </c>
      <c r="AJ370" s="104" t="s">
        <v>4438</v>
      </c>
      <c r="AK370" s="103">
        <v>148265129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5997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46153</v>
      </c>
      <c r="AV370" s="103" t="s">
        <v>4338</v>
      </c>
      <c r="AW370" s="103" t="s">
        <v>4338</v>
      </c>
      <c r="AX370" s="105">
        <v>46160</v>
      </c>
      <c r="AY370" s="106">
        <v>46160</v>
      </c>
      <c r="AZ370" s="107" t="s">
        <v>4453</v>
      </c>
      <c r="BA370" s="107" t="s">
        <v>4454</v>
      </c>
      <c r="BB370" s="112" t="s">
        <v>4338</v>
      </c>
      <c r="BC370" s="220">
        <f>IF(AY370-KD370=0,"",AY370-O370)</f>
        <v>115</v>
      </c>
      <c r="BD370" s="103" t="str">
        <f>IF(AND(AI370&lt;&gt;"SIM",AI370="UH"),"AA","INDENIZAÇÃO")</f>
        <v>INDENIZAÇÃO</v>
      </c>
      <c r="BE370" s="103" t="str">
        <f>IF(AND(AY370&lt;&gt;"AGUARDANDO",AY370&lt;&gt;"",N370="AUXÍLIO ALUGUEL ATÉ INDENIZAÇÃO"),"SIM","NÃO")</f>
        <v>NÃO</v>
      </c>
      <c r="BF370" s="112" t="s">
        <v>4357</v>
      </c>
      <c r="BG370" s="112" t="s">
        <v>4357</v>
      </c>
      <c r="BH370" s="112" t="s">
        <v>4357</v>
      </c>
      <c r="BI370" s="109" t="s">
        <v>4912</v>
      </c>
      <c r="BJ370" s="109"/>
      <c r="BK370" s="109"/>
      <c r="BL370" s="109"/>
      <c r="BM370" s="239"/>
    </row>
    <row r="371" spans="1:67" s="232" customFormat="1" ht="29.25" customHeight="1">
      <c r="A371" s="103">
        <v>362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5998</v>
      </c>
      <c r="G371" s="103" t="s">
        <v>4330</v>
      </c>
      <c r="H371" s="103" t="s">
        <v>4331</v>
      </c>
      <c r="I371" s="142" t="s">
        <v>4343</v>
      </c>
      <c r="J371" s="149" t="s">
        <v>5999</v>
      </c>
      <c r="K371" s="149" t="s">
        <v>6000</v>
      </c>
      <c r="L371" s="149" t="s">
        <v>6001</v>
      </c>
      <c r="M371" s="103" t="s">
        <v>4333</v>
      </c>
      <c r="N371" s="103" t="s">
        <v>4459</v>
      </c>
      <c r="O371" s="105">
        <v>46059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5999</v>
      </c>
      <c r="AC371" s="149" t="s">
        <v>6000</v>
      </c>
      <c r="AD371" s="149" t="s">
        <v>6001</v>
      </c>
      <c r="AE371" s="103" t="s">
        <v>4343</v>
      </c>
      <c r="AF371" s="103" t="s">
        <v>4333</v>
      </c>
      <c r="AG371" s="194">
        <v>21612.32</v>
      </c>
      <c r="AH371" s="194">
        <f>AG371+30000</f>
        <v>51612.32</v>
      </c>
      <c r="AI371" s="103" t="s">
        <v>4336</v>
      </c>
      <c r="AJ371" s="104" t="s">
        <v>4438</v>
      </c>
      <c r="AK371" s="103">
        <v>147055964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46127</v>
      </c>
      <c r="AV371" s="103" t="s">
        <v>4338</v>
      </c>
      <c r="AW371" s="165" t="s">
        <v>4338</v>
      </c>
      <c r="AX371" s="105">
        <v>46139</v>
      </c>
      <c r="AY371" s="106">
        <v>46139</v>
      </c>
      <c r="AZ371" s="106" t="s">
        <v>4453</v>
      </c>
      <c r="BA371" s="107" t="s">
        <v>4454</v>
      </c>
      <c r="BB371" s="136" t="s">
        <v>4338</v>
      </c>
      <c r="BC371" s="220">
        <f>IF(AY371-KD371=0,"",AY371-O371)</f>
        <v>80</v>
      </c>
      <c r="BD371" s="103" t="str">
        <f>IF(AND(AI371&lt;&gt;"SIM",AI371="UH"),"AA","INDENIZAÇÃO")</f>
        <v>INDENIZAÇÃO</v>
      </c>
      <c r="BE371" s="103" t="str">
        <f>IF(AND(AY371&lt;&gt;"AGUARDANDO",AY371&lt;&gt;"",N371="AUXÍLIO ALUGUEL ATÉ INDENIZAÇÃO"),"SIM","NÃO")</f>
        <v>NÃO</v>
      </c>
      <c r="BF371" s="112" t="s">
        <v>4357</v>
      </c>
      <c r="BG371" s="112" t="s">
        <v>4357</v>
      </c>
      <c r="BH371" s="112" t="s">
        <v>4357</v>
      </c>
      <c r="BI371" s="109" t="s">
        <v>4912</v>
      </c>
      <c r="BJ371" s="109"/>
      <c r="BK371" s="109"/>
      <c r="BL371" s="109"/>
      <c r="BM371" s="239"/>
      <c r="BN371" s="231"/>
      <c r="BO371" s="231"/>
    </row>
    <row r="372" spans="1:67" s="232" customFormat="1" ht="29.25" customHeight="1">
      <c r="A372" s="103">
        <v>363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6003</v>
      </c>
      <c r="G372" s="103" t="s">
        <v>4330</v>
      </c>
      <c r="H372" s="103" t="s">
        <v>4331</v>
      </c>
      <c r="I372" s="142" t="s">
        <v>4343</v>
      </c>
      <c r="J372" s="149" t="s">
        <v>6004</v>
      </c>
      <c r="K372" s="149" t="s">
        <v>6005</v>
      </c>
      <c r="L372" s="149" t="s">
        <v>6006</v>
      </c>
      <c r="M372" s="103" t="s">
        <v>4333</v>
      </c>
      <c r="N372" s="103" t="s">
        <v>4459</v>
      </c>
      <c r="O372" s="105">
        <v>46001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6004</v>
      </c>
      <c r="AC372" s="149" t="s">
        <v>6005</v>
      </c>
      <c r="AD372" s="149" t="s">
        <v>6006</v>
      </c>
      <c r="AE372" s="103" t="s">
        <v>4343</v>
      </c>
      <c r="AF372" s="103" t="s">
        <v>4333</v>
      </c>
      <c r="AG372" s="194">
        <v>10167</v>
      </c>
      <c r="AH372" s="194">
        <v>10167</v>
      </c>
      <c r="AI372" s="103" t="s">
        <v>4336</v>
      </c>
      <c r="AJ372" s="104" t="s">
        <v>4438</v>
      </c>
      <c r="AK372" s="103">
        <v>147056127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6007</v>
      </c>
      <c r="AQ372" s="103" t="s">
        <v>4338</v>
      </c>
      <c r="AR372" s="103" t="s">
        <v>4338</v>
      </c>
      <c r="AS372" s="103" t="s">
        <v>4338</v>
      </c>
      <c r="AT372" s="103" t="s">
        <v>4338</v>
      </c>
      <c r="AU372" s="105">
        <v>46020</v>
      </c>
      <c r="AV372" s="112" t="s">
        <v>4338</v>
      </c>
      <c r="AW372" s="103" t="s">
        <v>4338</v>
      </c>
      <c r="AX372" s="166">
        <v>46024</v>
      </c>
      <c r="AY372" s="106">
        <v>46024</v>
      </c>
      <c r="AZ372" s="157" t="s">
        <v>4453</v>
      </c>
      <c r="BA372" s="107" t="s">
        <v>4454</v>
      </c>
      <c r="BB372" s="136" t="s">
        <v>4338</v>
      </c>
      <c r="BC372" s="220">
        <f>IF(AY372-KD372=0,"",AY372-O372)</f>
        <v>23</v>
      </c>
      <c r="BD372" s="103" t="str">
        <f>IF(AND(AI372&lt;&gt;"SIM",AI372="UH"),"AA","INDENIZAÇÃO")</f>
        <v>INDENIZAÇÃO</v>
      </c>
      <c r="BE372" s="103" t="str">
        <f>IF(AND(AY372&lt;&gt;"AGUARDANDO",AY372&lt;&gt;"",N372="AUXÍLIO ALUGUEL ATÉ INDENIZAÇÃO"),"SIM","NÃO")</f>
        <v>NÃO</v>
      </c>
      <c r="BF372" s="140" t="s">
        <v>4357</v>
      </c>
      <c r="BG372" s="140" t="s">
        <v>4357</v>
      </c>
      <c r="BH372" s="140" t="s">
        <v>4357</v>
      </c>
      <c r="BI372" s="154" t="s">
        <v>4912</v>
      </c>
      <c r="BJ372" s="154"/>
      <c r="BK372" s="154"/>
      <c r="BL372" s="154"/>
      <c r="BM372" s="237"/>
      <c r="BN372" s="231"/>
      <c r="BO372" s="231"/>
    </row>
    <row r="373" spans="1:67" s="232" customFormat="1" ht="29.25" customHeight="1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>IF(AY373-KD373=0,"",AY373-O373)</f>
        <v/>
      </c>
      <c r="BD373" s="103" t="str">
        <f>IF(AND(AI373&lt;&gt;"SIM",AI373="UH"),"AA","INDENIZAÇÃO")</f>
        <v>AA</v>
      </c>
      <c r="BE373" s="103" t="str">
        <f>IF(AND(AY373&lt;&gt;"AGUARDANDO",AY373&lt;&gt;"",N373="AUXÍLIO ALUGUEL ATÉ INDENIZAÇÃO"),"SIM","NÃO")</f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customHeight="1">
      <c r="A374" s="165">
        <v>365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6012</v>
      </c>
      <c r="G374" s="103" t="s">
        <v>4330</v>
      </c>
      <c r="H374" s="103" t="s">
        <v>4331</v>
      </c>
      <c r="I374" s="142" t="s">
        <v>4343</v>
      </c>
      <c r="J374" s="149" t="s">
        <v>6013</v>
      </c>
      <c r="K374" s="149" t="s">
        <v>6014</v>
      </c>
      <c r="L374" s="149" t="s">
        <v>6015</v>
      </c>
      <c r="M374" s="103" t="s">
        <v>4333</v>
      </c>
      <c r="N374" s="103" t="s">
        <v>4459</v>
      </c>
      <c r="O374" s="105">
        <v>46001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3"/>
      <c r="AB374" s="149" t="s">
        <v>6013</v>
      </c>
      <c r="AC374" s="149" t="s">
        <v>6014</v>
      </c>
      <c r="AD374" s="149" t="s">
        <v>6015</v>
      </c>
      <c r="AE374" s="103" t="s">
        <v>4343</v>
      </c>
      <c r="AF374" s="103" t="s">
        <v>4333</v>
      </c>
      <c r="AG374" s="194">
        <v>9466.9699999999993</v>
      </c>
      <c r="AH374" s="194">
        <f>AG374+30000</f>
        <v>39466.97</v>
      </c>
      <c r="AI374" s="103" t="s">
        <v>4336</v>
      </c>
      <c r="AJ374" s="104" t="s">
        <v>4438</v>
      </c>
      <c r="AK374" s="103">
        <v>147056240</v>
      </c>
      <c r="AL374" s="103" t="s">
        <v>4338</v>
      </c>
      <c r="AM374" s="103" t="s">
        <v>4338</v>
      </c>
      <c r="AN374" s="103" t="s">
        <v>4339</v>
      </c>
      <c r="AO374" s="103"/>
      <c r="AP374" s="171" t="s">
        <v>6016</v>
      </c>
      <c r="AQ374" s="103" t="s">
        <v>4338</v>
      </c>
      <c r="AR374" s="103" t="s">
        <v>4338</v>
      </c>
      <c r="AS374" s="103" t="s">
        <v>4338</v>
      </c>
      <c r="AT374" s="103" t="s">
        <v>4338</v>
      </c>
      <c r="AU374" s="105">
        <v>46021</v>
      </c>
      <c r="AV374" s="112" t="s">
        <v>4338</v>
      </c>
      <c r="AW374" s="103" t="s">
        <v>4338</v>
      </c>
      <c r="AX374" s="166">
        <v>46062</v>
      </c>
      <c r="AY374" s="157">
        <v>46062</v>
      </c>
      <c r="AZ374" s="106" t="s">
        <v>4453</v>
      </c>
      <c r="BA374" s="107" t="s">
        <v>4454</v>
      </c>
      <c r="BB374" s="136" t="s">
        <v>4338</v>
      </c>
      <c r="BC374" s="220">
        <f>IF(AY374-KD374=0,"",AY374-O374)</f>
        <v>61</v>
      </c>
      <c r="BD374" s="103" t="str">
        <f>IF(AND(AI374&lt;&gt;"SIM",AI374="UH"),"AA","INDENIZAÇÃO")</f>
        <v>INDENIZAÇÃO</v>
      </c>
      <c r="BE374" s="103" t="str">
        <f>IF(AND(AY374&lt;&gt;"AGUARDANDO",AY374&lt;&gt;"",N374="AUXÍLIO ALUGUEL ATÉ INDENIZAÇÃO"),"SIM","NÃO")</f>
        <v>NÃO</v>
      </c>
      <c r="BF374" s="140" t="s">
        <v>4357</v>
      </c>
      <c r="BG374" s="140" t="s">
        <v>4357</v>
      </c>
      <c r="BH374" s="140" t="s">
        <v>4357</v>
      </c>
      <c r="BI374" s="154" t="s">
        <v>4912</v>
      </c>
      <c r="BJ374" s="154"/>
      <c r="BK374" s="154"/>
      <c r="BL374" s="154"/>
      <c r="BM374" s="237"/>
    </row>
    <row r="375" spans="1:67" s="232" customFormat="1" ht="29.25" customHeight="1">
      <c r="A375" s="165">
        <v>366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6017</v>
      </c>
      <c r="G375" s="103" t="s">
        <v>4330</v>
      </c>
      <c r="H375" s="103" t="s">
        <v>4331</v>
      </c>
      <c r="I375" s="142" t="s">
        <v>4343</v>
      </c>
      <c r="J375" s="149" t="s">
        <v>6018</v>
      </c>
      <c r="K375" s="149" t="s">
        <v>6019</v>
      </c>
      <c r="L375" s="149" t="s">
        <v>6020</v>
      </c>
      <c r="M375" s="103" t="s">
        <v>4333</v>
      </c>
      <c r="N375" s="103" t="s">
        <v>4459</v>
      </c>
      <c r="O375" s="105">
        <v>46093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6018</v>
      </c>
      <c r="AC375" s="149" t="s">
        <v>6019</v>
      </c>
      <c r="AD375" s="149" t="s">
        <v>6020</v>
      </c>
      <c r="AE375" s="103" t="s">
        <v>4343</v>
      </c>
      <c r="AF375" s="103" t="s">
        <v>4333</v>
      </c>
      <c r="AG375" s="194">
        <v>34765.089999999997</v>
      </c>
      <c r="AH375" s="194">
        <v>60000</v>
      </c>
      <c r="AI375" s="103" t="s">
        <v>4336</v>
      </c>
      <c r="AJ375" s="104" t="s">
        <v>4438</v>
      </c>
      <c r="AK375" s="103">
        <v>149655667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6021</v>
      </c>
      <c r="AQ375" s="224" t="s">
        <v>4338</v>
      </c>
      <c r="AR375" s="103" t="s">
        <v>4338</v>
      </c>
      <c r="AS375" s="103" t="s">
        <v>4338</v>
      </c>
      <c r="AT375" s="103" t="s">
        <v>4338</v>
      </c>
      <c r="AU375" s="105">
        <v>46153</v>
      </c>
      <c r="AV375" s="103" t="s">
        <v>4338</v>
      </c>
      <c r="AW375" s="103" t="s">
        <v>4338</v>
      </c>
      <c r="AX375" s="105">
        <v>46161</v>
      </c>
      <c r="AY375" s="106">
        <v>46161</v>
      </c>
      <c r="AZ375" s="107" t="s">
        <v>4453</v>
      </c>
      <c r="BA375" s="107" t="s">
        <v>4454</v>
      </c>
      <c r="BB375" s="112" t="s">
        <v>4338</v>
      </c>
      <c r="BC375" s="220">
        <f>IF(AY375-KD375=0,"",AY375-O375)</f>
        <v>68</v>
      </c>
      <c r="BD375" s="103" t="str">
        <f>IF(AND(AI375&lt;&gt;"SIM",AI375="UH"),"AA","INDENIZAÇÃO")</f>
        <v>INDENIZAÇÃO</v>
      </c>
      <c r="BE375" s="103" t="str">
        <f>IF(AND(AY375&lt;&gt;"AGUARDANDO",AY375&lt;&gt;"",N375="AUXÍLIO ALUGUEL ATÉ INDENIZAÇÃO"),"SIM","NÃO")</f>
        <v>NÃO</v>
      </c>
      <c r="BF375" s="112" t="s">
        <v>4357</v>
      </c>
      <c r="BG375" s="112" t="s">
        <v>4357</v>
      </c>
      <c r="BH375" s="112" t="s">
        <v>4357</v>
      </c>
      <c r="BI375" s="109" t="s">
        <v>4912</v>
      </c>
      <c r="BJ375" s="109"/>
      <c r="BK375" s="109"/>
      <c r="BL375" s="109"/>
      <c r="BM375" s="239"/>
    </row>
    <row r="376" spans="1:67" s="232" customFormat="1" ht="29.25" customHeight="1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6022</v>
      </c>
      <c r="G376" s="103" t="s">
        <v>4330</v>
      </c>
      <c r="H376" s="103" t="s">
        <v>4331</v>
      </c>
      <c r="I376" s="142" t="s">
        <v>4343</v>
      </c>
      <c r="J376" s="149" t="s">
        <v>6023</v>
      </c>
      <c r="K376" s="149" t="s">
        <v>6024</v>
      </c>
      <c r="L376" s="149" t="s">
        <v>6025</v>
      </c>
      <c r="M376" s="103" t="s">
        <v>4333</v>
      </c>
      <c r="N376" s="103" t="s">
        <v>4459</v>
      </c>
      <c r="O376" s="105">
        <v>46001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3"/>
      <c r="AB376" s="149" t="s">
        <v>6023</v>
      </c>
      <c r="AC376" s="149" t="s">
        <v>6024</v>
      </c>
      <c r="AD376" s="149" t="s">
        <v>6025</v>
      </c>
      <c r="AE376" s="103" t="s">
        <v>4343</v>
      </c>
      <c r="AF376" s="103" t="s">
        <v>4333</v>
      </c>
      <c r="AG376" s="194">
        <v>22123.439999999999</v>
      </c>
      <c r="AH376" s="194">
        <f>AG376+30000</f>
        <v>52123.44</v>
      </c>
      <c r="AI376" s="103" t="s">
        <v>4336</v>
      </c>
      <c r="AJ376" s="104" t="s">
        <v>4438</v>
      </c>
      <c r="AK376" s="103">
        <v>147056354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6026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8">
        <v>46017</v>
      </c>
      <c r="AV376" s="112" t="s">
        <v>4338</v>
      </c>
      <c r="AW376" s="103" t="s">
        <v>4338</v>
      </c>
      <c r="AX376" s="166">
        <v>46024</v>
      </c>
      <c r="AY376" s="157">
        <v>46024</v>
      </c>
      <c r="AZ376" s="157" t="s">
        <v>4453</v>
      </c>
      <c r="BA376" s="107" t="s">
        <v>4454</v>
      </c>
      <c r="BB376" s="136" t="s">
        <v>4338</v>
      </c>
      <c r="BC376" s="220">
        <f>IF(AY376-KD376=0,"",AY376-O376)</f>
        <v>23</v>
      </c>
      <c r="BD376" s="103" t="str">
        <f>IF(AND(AI376&lt;&gt;"SIM",AI376="UH"),"AA","INDENIZAÇÃO")</f>
        <v>INDENIZAÇÃO</v>
      </c>
      <c r="BE376" s="103" t="str">
        <f>IF(AND(AY376&lt;&gt;"AGUARDANDO",AY376&lt;&gt;"",N376="AUXÍLIO ALUGUEL ATÉ INDENIZAÇÃO"),"SIM","NÃO")</f>
        <v>NÃO</v>
      </c>
      <c r="BF376" s="140" t="s">
        <v>4357</v>
      </c>
      <c r="BG376" s="140" t="s">
        <v>4357</v>
      </c>
      <c r="BH376" s="140" t="s">
        <v>4357</v>
      </c>
      <c r="BI376" s="154" t="s">
        <v>4912</v>
      </c>
      <c r="BJ376" s="154"/>
      <c r="BK376" s="154"/>
      <c r="BL376" s="154"/>
      <c r="BM376" s="237"/>
      <c r="BN376" s="231"/>
      <c r="BO376" s="231"/>
    </row>
    <row r="377" spans="1:67" s="232" customFormat="1" ht="29.25" customHeight="1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>IF(AY377-KD377=0,"",AY377-O377)</f>
        <v/>
      </c>
      <c r="BD377" s="103" t="str">
        <f>IF(AND(AI377&lt;&gt;"SIM",AI377="UH"),"AA","INDENIZAÇÃO")</f>
        <v>AA</v>
      </c>
      <c r="BE377" s="103" t="str">
        <f>IF(AND(AY377&lt;&gt;"AGUARDANDO",AY377&lt;&gt;"",N377="AUXÍLIO ALUGUEL ATÉ INDENIZAÇÃO"),"SIM","NÃO")</f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customHeight="1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>IF(AY378-KD378=0,"",AY378-O378)</f>
        <v/>
      </c>
      <c r="BD378" s="103" t="str">
        <f>IF(AND(AI378&lt;&gt;"SIM",AI378="UH"),"AA","INDENIZAÇÃO")</f>
        <v>INDENIZAÇÃO</v>
      </c>
      <c r="BE378" s="103" t="str">
        <f>IF(AND(AY378&lt;&gt;"AGUARDANDO",AY378&lt;&gt;"",N378="AUXÍLIO ALUGUEL ATÉ INDENIZAÇÃO"),"SIM","NÃO")</f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6036</v>
      </c>
      <c r="G379" s="103" t="s">
        <v>4330</v>
      </c>
      <c r="H379" s="103" t="s">
        <v>4331</v>
      </c>
      <c r="I379" s="142" t="s">
        <v>4440</v>
      </c>
      <c r="J379" s="149" t="s">
        <v>6037</v>
      </c>
      <c r="K379" s="149" t="s">
        <v>6038</v>
      </c>
      <c r="L379" s="149" t="s">
        <v>6039</v>
      </c>
      <c r="M379" s="103" t="s">
        <v>4333</v>
      </c>
      <c r="N379" s="103" t="s">
        <v>4345</v>
      </c>
      <c r="O379" s="105">
        <v>46001</v>
      </c>
      <c r="P379" s="105">
        <v>45986</v>
      </c>
      <c r="Q379" s="108" t="s">
        <v>4436</v>
      </c>
      <c r="R379" s="108">
        <v>45985</v>
      </c>
      <c r="S379" s="108">
        <v>45986</v>
      </c>
      <c r="T379" s="108">
        <v>45987</v>
      </c>
      <c r="U379" s="108">
        <v>45992</v>
      </c>
      <c r="V379" s="105" t="s">
        <v>4437</v>
      </c>
      <c r="W379" s="105" t="s">
        <v>4437</v>
      </c>
      <c r="X379" s="105">
        <v>45999</v>
      </c>
      <c r="Y379" s="105">
        <v>46015</v>
      </c>
      <c r="Z379" s="105"/>
      <c r="AA379" s="103"/>
      <c r="AB379" s="149" t="s">
        <v>6040</v>
      </c>
      <c r="AC379" s="149">
        <v>50431772</v>
      </c>
      <c r="AD379" s="149" t="s">
        <v>6041</v>
      </c>
      <c r="AE379" s="142" t="s">
        <v>4332</v>
      </c>
      <c r="AF379" s="103" t="s">
        <v>4333</v>
      </c>
      <c r="AG379" s="194">
        <v>16615.919999999998</v>
      </c>
      <c r="AH379" s="194">
        <v>16615.919999999998</v>
      </c>
      <c r="AI379" s="103" t="s">
        <v>4336</v>
      </c>
      <c r="AJ379" s="104" t="s">
        <v>4438</v>
      </c>
      <c r="AK379" s="103">
        <v>147056772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6042</v>
      </c>
      <c r="AQ379" s="103" t="s">
        <v>4338</v>
      </c>
      <c r="AR379" s="103" t="s">
        <v>4338</v>
      </c>
      <c r="AS379" s="103" t="s">
        <v>4338</v>
      </c>
      <c r="AT379" s="103" t="s">
        <v>4338</v>
      </c>
      <c r="AU379" s="105">
        <v>46021</v>
      </c>
      <c r="AV379" s="112" t="s">
        <v>4338</v>
      </c>
      <c r="AW379" s="103" t="s">
        <v>4338</v>
      </c>
      <c r="AX379" s="111">
        <v>46041</v>
      </c>
      <c r="AY379" s="106">
        <v>46041</v>
      </c>
      <c r="AZ379" s="106" t="s">
        <v>4453</v>
      </c>
      <c r="BA379" s="107" t="s">
        <v>4454</v>
      </c>
      <c r="BB379" s="136" t="s">
        <v>4338</v>
      </c>
      <c r="BC379" s="220">
        <f>IF(AY379-KD379=0,"",AY379-O379)</f>
        <v>40</v>
      </c>
      <c r="BD379" s="103" t="str">
        <f>IF(AND(AI379&lt;&gt;"SIM",AI379="UH"),"AA","INDENIZAÇÃO")</f>
        <v>INDENIZAÇÃO</v>
      </c>
      <c r="BE379" s="103" t="str">
        <f>IF(AND(AY379&lt;&gt;"AGUARDANDO",AY379&lt;&gt;"",N379="AUXÍLIO ALUGUEL ATÉ INDENIZAÇÃO"),"SIM","NÃO")</f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46182</v>
      </c>
      <c r="BL379" s="103" t="s">
        <v>4338</v>
      </c>
      <c r="BM379" s="258" t="s">
        <v>4453</v>
      </c>
    </row>
    <row r="380" spans="1:67" s="232" customFormat="1" ht="29.25" customHeight="1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6043</v>
      </c>
      <c r="G380" s="103" t="s">
        <v>4330</v>
      </c>
      <c r="H380" s="103" t="s">
        <v>4331</v>
      </c>
      <c r="I380" s="142" t="s">
        <v>4343</v>
      </c>
      <c r="J380" s="149" t="s">
        <v>6044</v>
      </c>
      <c r="K380" s="149" t="s">
        <v>6045</v>
      </c>
      <c r="L380" s="149" t="s">
        <v>6046</v>
      </c>
      <c r="M380" s="103" t="s">
        <v>4333</v>
      </c>
      <c r="N380" s="103" t="s">
        <v>4459</v>
      </c>
      <c r="O380" s="105">
        <v>46059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3"/>
      <c r="AB380" s="149" t="s">
        <v>6044</v>
      </c>
      <c r="AC380" s="149" t="s">
        <v>6045</v>
      </c>
      <c r="AD380" s="149" t="s">
        <v>6046</v>
      </c>
      <c r="AE380" s="103" t="s">
        <v>4343</v>
      </c>
      <c r="AF380" s="103" t="s">
        <v>4333</v>
      </c>
      <c r="AG380" s="194">
        <v>27394.66</v>
      </c>
      <c r="AH380" s="194">
        <f>AG380+30000</f>
        <v>57394.66</v>
      </c>
      <c r="AI380" s="103" t="s">
        <v>4336</v>
      </c>
      <c r="AJ380" s="104" t="s">
        <v>4438</v>
      </c>
      <c r="AK380" s="103">
        <v>148265204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6047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46125</v>
      </c>
      <c r="AV380" s="103" t="s">
        <v>4338</v>
      </c>
      <c r="AW380" s="103" t="s">
        <v>4338</v>
      </c>
      <c r="AX380" s="105">
        <v>46139</v>
      </c>
      <c r="AY380" s="106">
        <v>46139</v>
      </c>
      <c r="AZ380" s="106" t="s">
        <v>4453</v>
      </c>
      <c r="BA380" s="107" t="s">
        <v>4454</v>
      </c>
      <c r="BB380" s="136" t="s">
        <v>4338</v>
      </c>
      <c r="BC380" s="220">
        <f>IF(AY380-KD380=0,"",AY380-O380)</f>
        <v>80</v>
      </c>
      <c r="BD380" s="103" t="str">
        <f>IF(AND(AI380&lt;&gt;"SIM",AI380="UH"),"AA","INDENIZAÇÃO")</f>
        <v>INDENIZAÇÃO</v>
      </c>
      <c r="BE380" s="103" t="str">
        <f>IF(AND(AY380&lt;&gt;"AGUARDANDO",AY380&lt;&gt;"",N380="AUXÍLIO ALUGUEL ATÉ INDENIZAÇÃO"),"SIM","NÃO")</f>
        <v>NÃO</v>
      </c>
      <c r="BF380" s="112" t="s">
        <v>4357</v>
      </c>
      <c r="BG380" s="112" t="s">
        <v>4357</v>
      </c>
      <c r="BH380" s="112" t="s">
        <v>4357</v>
      </c>
      <c r="BI380" s="109" t="s">
        <v>4912</v>
      </c>
      <c r="BJ380" s="109"/>
      <c r="BK380" s="109"/>
      <c r="BL380" s="109"/>
      <c r="BM380" s="239"/>
    </row>
    <row r="381" spans="1:67" s="232" customFormat="1" ht="29.25" customHeight="1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6048</v>
      </c>
      <c r="G381" s="103" t="s">
        <v>4330</v>
      </c>
      <c r="H381" s="103" t="s">
        <v>4331</v>
      </c>
      <c r="I381" s="142" t="s">
        <v>4343</v>
      </c>
      <c r="J381" s="149" t="s">
        <v>6049</v>
      </c>
      <c r="K381" s="149" t="s">
        <v>6050</v>
      </c>
      <c r="L381" s="149" t="s">
        <v>6051</v>
      </c>
      <c r="M381" s="103" t="s">
        <v>4333</v>
      </c>
      <c r="N381" s="103" t="s">
        <v>4459</v>
      </c>
      <c r="O381" s="105">
        <v>46077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6049</v>
      </c>
      <c r="AC381" s="149" t="s">
        <v>6050</v>
      </c>
      <c r="AD381" s="149" t="s">
        <v>6052</v>
      </c>
      <c r="AE381" s="103" t="s">
        <v>4343</v>
      </c>
      <c r="AF381" s="103" t="s">
        <v>4333</v>
      </c>
      <c r="AG381" s="194">
        <v>26336.83</v>
      </c>
      <c r="AH381" s="194">
        <f>AG381+30000</f>
        <v>56336.83</v>
      </c>
      <c r="AI381" s="103" t="s">
        <v>4447</v>
      </c>
      <c r="AJ381" s="104" t="s">
        <v>4438</v>
      </c>
      <c r="AK381" s="103">
        <v>150959397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6053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46111</v>
      </c>
      <c r="AV381" s="103" t="s">
        <v>4338</v>
      </c>
      <c r="AW381" s="103" t="s">
        <v>4338</v>
      </c>
      <c r="AX381" s="105">
        <v>46114</v>
      </c>
      <c r="AY381" s="106">
        <v>46114</v>
      </c>
      <c r="AZ381" s="106" t="s">
        <v>4453</v>
      </c>
      <c r="BA381" s="107" t="s">
        <v>4454</v>
      </c>
      <c r="BB381" s="136" t="s">
        <v>4338</v>
      </c>
      <c r="BC381" s="220">
        <f>IF(AY381-KD381=0,"",AY381-O381)</f>
        <v>37</v>
      </c>
      <c r="BD381" s="103" t="str">
        <f>IF(AND(AI381&lt;&gt;"SIM",AI381="UH"),"AA","INDENIZAÇÃO")</f>
        <v>INDENIZAÇÃO</v>
      </c>
      <c r="BE381" s="103" t="str">
        <f>IF(AND(AY381&lt;&gt;"AGUARDANDO",AY381&lt;&gt;"",N381="AUXÍLIO ALUGUEL ATÉ INDENIZAÇÃO"),"SIM","NÃO")</f>
        <v>NÃO</v>
      </c>
      <c r="BF381" s="140" t="s">
        <v>4357</v>
      </c>
      <c r="BG381" s="140" t="s">
        <v>4357</v>
      </c>
      <c r="BH381" s="140" t="s">
        <v>4357</v>
      </c>
      <c r="BI381" s="154" t="s">
        <v>4912</v>
      </c>
      <c r="BJ381" s="154"/>
      <c r="BK381" s="154"/>
      <c r="BL381" s="154"/>
      <c r="BM381" s="237"/>
      <c r="BN381" s="231"/>
      <c r="BO381" s="231"/>
    </row>
    <row r="382" spans="1:67" s="232" customFormat="1" ht="29.25" customHeight="1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>IF(AY382-KD382=0,"",AY382-O382)</f>
        <v/>
      </c>
      <c r="BD382" s="103" t="str">
        <f>IF(AND(AI382&lt;&gt;"SIM",AI382="UH"),"AA","INDENIZAÇÃO")</f>
        <v>AA</v>
      </c>
      <c r="BE382" s="103" t="str">
        <f>IF(AND(AY382&lt;&gt;"AGUARDANDO",AY382&lt;&gt;"",N382="AUXÍLIO ALUGUEL ATÉ INDENIZAÇÃO"),"SIM","NÃO")</f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customHeight="1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6062</v>
      </c>
      <c r="G384" s="103" t="s">
        <v>4330</v>
      </c>
      <c r="H384" s="103" t="s">
        <v>4331</v>
      </c>
      <c r="I384" s="142" t="s">
        <v>4343</v>
      </c>
      <c r="J384" s="149" t="s">
        <v>6063</v>
      </c>
      <c r="K384" s="149" t="s">
        <v>6064</v>
      </c>
      <c r="L384" s="149" t="s">
        <v>6065</v>
      </c>
      <c r="M384" s="103" t="s">
        <v>4333</v>
      </c>
      <c r="N384" s="103" t="s">
        <v>4459</v>
      </c>
      <c r="O384" s="105">
        <v>46142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3"/>
      <c r="AB384" s="149" t="s">
        <v>6063</v>
      </c>
      <c r="AC384" s="149" t="s">
        <v>6064</v>
      </c>
      <c r="AD384" s="149" t="s">
        <v>6065</v>
      </c>
      <c r="AE384" s="103" t="s">
        <v>4343</v>
      </c>
      <c r="AF384" s="103" t="s">
        <v>4333</v>
      </c>
      <c r="AG384" s="194">
        <v>60000</v>
      </c>
      <c r="AH384" s="194">
        <v>60000</v>
      </c>
      <c r="AI384" s="103" t="s">
        <v>4336</v>
      </c>
      <c r="AJ384" s="104" t="s">
        <v>4438</v>
      </c>
      <c r="AK384" s="103">
        <v>148265288</v>
      </c>
      <c r="AL384" s="103" t="s">
        <v>4338</v>
      </c>
      <c r="AM384" s="103" t="s">
        <v>4338</v>
      </c>
      <c r="AN384" s="103" t="s">
        <v>4339</v>
      </c>
      <c r="AO384" s="103"/>
      <c r="AP384" s="273" t="s">
        <v>6066</v>
      </c>
      <c r="AQ384" s="143" t="s">
        <v>4338</v>
      </c>
      <c r="AR384" s="103" t="s">
        <v>4338</v>
      </c>
      <c r="AS384" s="103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06"/>
      <c r="BA384" s="107" t="s">
        <v>4330</v>
      </c>
      <c r="BB384" s="136"/>
      <c r="BC384" s="220" t="e">
        <f>IF(AY384-KD384=0,"",AY384-O384)</f>
        <v>#VALUE!</v>
      </c>
      <c r="BD384" s="103" t="str">
        <f>IF(AND(AI384&lt;&gt;"SIM",AI384="UH"),"AA","INDENIZAÇÃO")</f>
        <v>INDENIZAÇÃO</v>
      </c>
      <c r="BE384" s="103" t="str">
        <f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>
      <c r="A385" s="103">
        <v>376</v>
      </c>
      <c r="B385" s="103" t="s">
        <v>4431</v>
      </c>
      <c r="C385" s="103" t="s">
        <v>4448</v>
      </c>
      <c r="D385" s="103">
        <v>1</v>
      </c>
      <c r="E385" s="103" t="s">
        <v>4432</v>
      </c>
      <c r="F385" s="104" t="s">
        <v>6067</v>
      </c>
      <c r="G385" s="103" t="s">
        <v>4330</v>
      </c>
      <c r="H385" s="103" t="s">
        <v>4331</v>
      </c>
      <c r="I385" s="142" t="s">
        <v>4343</v>
      </c>
      <c r="J385" s="149" t="s">
        <v>6068</v>
      </c>
      <c r="K385" s="149" t="s">
        <v>6069</v>
      </c>
      <c r="L385" s="149" t="s">
        <v>6070</v>
      </c>
      <c r="M385" s="103" t="s">
        <v>4333</v>
      </c>
      <c r="N385" s="103" t="s">
        <v>4459</v>
      </c>
      <c r="O385" s="105">
        <v>46045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3"/>
      <c r="AB385" s="149" t="s">
        <v>6068</v>
      </c>
      <c r="AC385" s="149" t="s">
        <v>6069</v>
      </c>
      <c r="AD385" s="149" t="s">
        <v>6070</v>
      </c>
      <c r="AE385" s="103" t="s">
        <v>4343</v>
      </c>
      <c r="AF385" s="103" t="s">
        <v>4333</v>
      </c>
      <c r="AG385" s="194">
        <v>27577.63</v>
      </c>
      <c r="AH385" s="194">
        <f>AG385+30000</f>
        <v>57577.630000000005</v>
      </c>
      <c r="AI385" s="103" t="s">
        <v>4336</v>
      </c>
      <c r="AJ385" s="104" t="s">
        <v>4438</v>
      </c>
      <c r="AK385" s="103">
        <v>147057200</v>
      </c>
      <c r="AL385" s="103" t="s">
        <v>4338</v>
      </c>
      <c r="AM385" s="103" t="s">
        <v>4338</v>
      </c>
      <c r="AN385" s="103" t="s">
        <v>4339</v>
      </c>
      <c r="AO385" s="103"/>
      <c r="AP385" s="171" t="s">
        <v>6071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46127</v>
      </c>
      <c r="AV385" s="103" t="s">
        <v>4338</v>
      </c>
      <c r="AW385" s="103" t="s">
        <v>4338</v>
      </c>
      <c r="AX385" s="105">
        <v>46140</v>
      </c>
      <c r="AY385" s="106">
        <v>46140</v>
      </c>
      <c r="AZ385" s="106" t="s">
        <v>4453</v>
      </c>
      <c r="BA385" s="107" t="s">
        <v>4454</v>
      </c>
      <c r="BB385" s="136" t="s">
        <v>4338</v>
      </c>
      <c r="BC385" s="220">
        <f>IF(AY385-KD385=0,"",AY385-O385)</f>
        <v>95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 t="s">
        <v>4357</v>
      </c>
      <c r="BG385" s="112" t="s">
        <v>4357</v>
      </c>
      <c r="BH385" s="112" t="s">
        <v>4357</v>
      </c>
      <c r="BI385" s="109" t="s">
        <v>4912</v>
      </c>
      <c r="BJ385" s="109"/>
      <c r="BK385" s="109"/>
      <c r="BL385" s="109"/>
      <c r="BM385" s="239"/>
    </row>
    <row r="386" spans="1:65" s="232" customFormat="1" ht="29.25" customHeight="1">
      <c r="A386" s="165">
        <v>377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6072</v>
      </c>
      <c r="G386" s="103" t="s">
        <v>4330</v>
      </c>
      <c r="H386" s="103" t="s">
        <v>4331</v>
      </c>
      <c r="I386" s="142" t="s">
        <v>4343</v>
      </c>
      <c r="J386" s="149" t="s">
        <v>6073</v>
      </c>
      <c r="K386" s="149" t="s">
        <v>6074</v>
      </c>
      <c r="L386" s="149" t="s">
        <v>6075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6073</v>
      </c>
      <c r="AC386" s="149" t="s">
        <v>6074</v>
      </c>
      <c r="AD386" s="149" t="s">
        <v>6075</v>
      </c>
      <c r="AE386" s="103" t="s">
        <v>4343</v>
      </c>
      <c r="AF386" s="103" t="s">
        <v>4333</v>
      </c>
      <c r="AG386" s="194">
        <v>20828.13</v>
      </c>
      <c r="AH386" s="194">
        <f>AG386+30000</f>
        <v>50828.130000000005</v>
      </c>
      <c r="AI386" s="103" t="s">
        <v>4336</v>
      </c>
      <c r="AJ386" s="104" t="s">
        <v>4438</v>
      </c>
      <c r="AK386" s="103">
        <v>147057289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6076</v>
      </c>
      <c r="AQ386" s="103" t="s">
        <v>4338</v>
      </c>
      <c r="AR386" s="103" t="s">
        <v>4338</v>
      </c>
      <c r="AS386" s="103" t="s">
        <v>4338</v>
      </c>
      <c r="AT386" s="103" t="s">
        <v>4338</v>
      </c>
      <c r="AU386" s="105">
        <v>46153</v>
      </c>
      <c r="AV386" s="103" t="s">
        <v>4338</v>
      </c>
      <c r="AW386" s="103" t="s">
        <v>4338</v>
      </c>
      <c r="AX386" s="105">
        <v>46161</v>
      </c>
      <c r="AY386" s="106">
        <v>46161</v>
      </c>
      <c r="AZ386" s="106" t="s">
        <v>4453</v>
      </c>
      <c r="BA386" s="107" t="s">
        <v>4454</v>
      </c>
      <c r="BB386" s="112" t="s">
        <v>4338</v>
      </c>
      <c r="BC386" s="220">
        <f>IF(AY386-KD386=0,"",AY386-O386)</f>
        <v>116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09" t="s">
        <v>4912</v>
      </c>
      <c r="BJ386" s="109"/>
      <c r="BK386" s="109"/>
      <c r="BL386" s="109"/>
      <c r="BM386" s="239"/>
    </row>
    <row r="387" spans="1:65" s="232" customFormat="1" ht="29.25" customHeight="1">
      <c r="A387" s="165">
        <v>378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42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46191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38"/>
      <c r="AB387" s="149" t="s">
        <v>6078</v>
      </c>
      <c r="AC387" s="149" t="s">
        <v>6079</v>
      </c>
      <c r="AD387" s="149" t="s">
        <v>6080</v>
      </c>
      <c r="AE387" s="142" t="s">
        <v>4343</v>
      </c>
      <c r="AF387" s="103" t="s">
        <v>4333</v>
      </c>
      <c r="AG387" s="194">
        <v>179018.85</v>
      </c>
      <c r="AH387" s="194">
        <v>179018.85</v>
      </c>
      <c r="AI387" s="103" t="s">
        <v>4447</v>
      </c>
      <c r="AJ387" s="104" t="s">
        <v>4438</v>
      </c>
      <c r="AK387" s="103">
        <v>154685023</v>
      </c>
      <c r="AL387" s="103" t="s">
        <v>4338</v>
      </c>
      <c r="AM387" s="103" t="s">
        <v>4338</v>
      </c>
      <c r="AN387" s="103" t="s">
        <v>4339</v>
      </c>
      <c r="AO387" s="259"/>
      <c r="AP387" s="273" t="s">
        <v>6081</v>
      </c>
      <c r="AQ387" s="143" t="s">
        <v>4338</v>
      </c>
      <c r="AR387" s="103" t="s">
        <v>4338</v>
      </c>
      <c r="AS387" s="112" t="s">
        <v>4338</v>
      </c>
      <c r="AT387" s="112" t="s">
        <v>4338</v>
      </c>
      <c r="AU387" s="105">
        <v>46226</v>
      </c>
      <c r="AV387" s="112" t="s">
        <v>4338</v>
      </c>
      <c r="AW387" s="112" t="s">
        <v>4338</v>
      </c>
      <c r="AX387" s="105">
        <v>46232</v>
      </c>
      <c r="AY387" s="109" t="s">
        <v>4453</v>
      </c>
      <c r="AZ387" s="157"/>
      <c r="BA387" s="109" t="s">
        <v>4330</v>
      </c>
      <c r="BB387" s="136"/>
      <c r="BC387" s="220" t="e">
        <f>IF(AY387-KD387=0,"",AY387-O387)</f>
        <v>#VALUE!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40"/>
      <c r="BG387" s="140"/>
      <c r="BH387" s="140"/>
      <c r="BI387" s="140"/>
      <c r="BJ387" s="140"/>
      <c r="BK387" s="140"/>
      <c r="BL387" s="140"/>
      <c r="BM387" s="238"/>
    </row>
    <row r="388" spans="1:65" s="232" customFormat="1" ht="29.25" customHeight="1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>IF(AY388-KD388=0,"",AY388-O388)</f>
        <v/>
      </c>
      <c r="BD388" s="103" t="str">
        <f>IF(AND(AI388&lt;&gt;"SIM",AI388="UH"),"AA","INDENIZAÇÃO")</f>
        <v>AA</v>
      </c>
      <c r="BE388" s="103" t="str">
        <f>IF(AND(AY388&lt;&gt;"AGUARDANDO",AY388&lt;&gt;"",N388="AUXÍLIO ALUGUEL ATÉ INDENIZAÇÃO"),"SIM","NÃO")</f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customHeight="1">
      <c r="A389" s="103">
        <v>380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6085</v>
      </c>
      <c r="G389" s="103" t="s">
        <v>4330</v>
      </c>
      <c r="H389" s="103" t="s">
        <v>4331</v>
      </c>
      <c r="I389" s="142" t="s">
        <v>4343</v>
      </c>
      <c r="J389" s="149" t="s">
        <v>6086</v>
      </c>
      <c r="K389" s="149" t="s">
        <v>6087</v>
      </c>
      <c r="L389" s="149" t="s">
        <v>6088</v>
      </c>
      <c r="M389" s="103" t="s">
        <v>4333</v>
      </c>
      <c r="N389" s="103" t="s">
        <v>4459</v>
      </c>
      <c r="O389" s="105">
        <v>46001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3"/>
      <c r="AB389" s="149" t="s">
        <v>6086</v>
      </c>
      <c r="AC389" s="149" t="s">
        <v>6087</v>
      </c>
      <c r="AD389" s="149" t="s">
        <v>6088</v>
      </c>
      <c r="AE389" s="103" t="s">
        <v>4343</v>
      </c>
      <c r="AF389" s="103" t="s">
        <v>4333</v>
      </c>
      <c r="AG389" s="194">
        <v>66650.02</v>
      </c>
      <c r="AH389" s="194">
        <v>66650.02</v>
      </c>
      <c r="AI389" s="103" t="s">
        <v>4336</v>
      </c>
      <c r="AJ389" s="104" t="s">
        <v>4438</v>
      </c>
      <c r="AK389" s="103">
        <v>147057425</v>
      </c>
      <c r="AL389" s="103" t="s">
        <v>4338</v>
      </c>
      <c r="AM389" s="103" t="s">
        <v>4338</v>
      </c>
      <c r="AN389" s="103" t="s">
        <v>4339</v>
      </c>
      <c r="AO389" s="103"/>
      <c r="AP389" s="171" t="s">
        <v>6089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46020</v>
      </c>
      <c r="AV389" s="112" t="s">
        <v>4338</v>
      </c>
      <c r="AW389" s="103" t="s">
        <v>4338</v>
      </c>
      <c r="AX389" s="166">
        <v>46035</v>
      </c>
      <c r="AY389" s="157">
        <v>46066</v>
      </c>
      <c r="AZ389" s="106" t="s">
        <v>4453</v>
      </c>
      <c r="BA389" s="107" t="s">
        <v>4454</v>
      </c>
      <c r="BB389" s="136" t="s">
        <v>4338</v>
      </c>
      <c r="BC389" s="220">
        <f>IF(AY389-KD389=0,"",AY389-O389)</f>
        <v>65</v>
      </c>
      <c r="BD389" s="103" t="str">
        <f>IF(AND(AI389&lt;&gt;"SIM",AI389="UH"),"AA","INDENIZAÇÃO")</f>
        <v>INDENIZAÇÃO</v>
      </c>
      <c r="BE389" s="103" t="str">
        <f>IF(AND(AY389&lt;&gt;"AGUARDANDO",AY389&lt;&gt;"",N389="AUXÍLIO ALUGUEL ATÉ INDENIZAÇÃO"),"SIM","NÃO")</f>
        <v>NÃO</v>
      </c>
      <c r="BF389" s="140" t="s">
        <v>4357</v>
      </c>
      <c r="BG389" s="140" t="s">
        <v>4357</v>
      </c>
      <c r="BH389" s="140" t="s">
        <v>4357</v>
      </c>
      <c r="BI389" s="154" t="s">
        <v>4912</v>
      </c>
      <c r="BJ389" s="154"/>
      <c r="BK389" s="154"/>
      <c r="BL389" s="154"/>
      <c r="BM389" s="237"/>
    </row>
    <row r="390" spans="1:65" s="232" customFormat="1" ht="29.25" customHeight="1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6090</v>
      </c>
      <c r="G390" s="103" t="s">
        <v>4330</v>
      </c>
      <c r="H390" s="103" t="s">
        <v>4331</v>
      </c>
      <c r="I390" s="142" t="s">
        <v>4343</v>
      </c>
      <c r="J390" s="149" t="s">
        <v>6091</v>
      </c>
      <c r="K390" s="149" t="s">
        <v>6092</v>
      </c>
      <c r="L390" s="149" t="s">
        <v>6093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6091</v>
      </c>
      <c r="AC390" s="149" t="s">
        <v>6092</v>
      </c>
      <c r="AD390" s="149" t="s">
        <v>6093</v>
      </c>
      <c r="AE390" s="103" t="s">
        <v>4343</v>
      </c>
      <c r="AF390" s="103" t="s">
        <v>4333</v>
      </c>
      <c r="AG390" s="194">
        <v>22418.93</v>
      </c>
      <c r="AH390" s="194">
        <f>AG390+30000</f>
        <v>52418.93</v>
      </c>
      <c r="AI390" s="103" t="s">
        <v>4336</v>
      </c>
      <c r="AJ390" s="104" t="s">
        <v>4438</v>
      </c>
      <c r="AK390" s="103">
        <v>147057535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6094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46009</v>
      </c>
      <c r="AV390" s="112" t="s">
        <v>4338</v>
      </c>
      <c r="AW390" s="103" t="s">
        <v>4338</v>
      </c>
      <c r="AX390" s="111">
        <v>46021</v>
      </c>
      <c r="AY390" s="106">
        <v>46021</v>
      </c>
      <c r="AZ390" s="106" t="s">
        <v>4453</v>
      </c>
      <c r="BA390" s="107" t="s">
        <v>4454</v>
      </c>
      <c r="BB390" s="136" t="s">
        <v>4338</v>
      </c>
      <c r="BC390" s="220">
        <f>IF(AY390-KD390=0,"",AY390-O390)</f>
        <v>20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03" t="s">
        <v>4338</v>
      </c>
      <c r="BJ390" s="103" t="s">
        <v>4338</v>
      </c>
      <c r="BK390" s="105">
        <v>46205</v>
      </c>
      <c r="BL390" s="154" t="s">
        <v>4461</v>
      </c>
      <c r="BM390" s="237"/>
    </row>
    <row r="391" spans="1:65" s="232" customFormat="1" ht="29.25" customHeight="1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>IF(AY391-KD391=0,"",AY391-O391)</f>
        <v/>
      </c>
      <c r="BD391" s="103" t="str">
        <f>IF(AND(AI391&lt;&gt;"SIM",AI391="UH"),"AA","INDENIZAÇÃO")</f>
        <v>AA</v>
      </c>
      <c r="BE391" s="103" t="str">
        <f>IF(AND(AY391&lt;&gt;"AGUARDANDO",AY391&lt;&gt;"",N391="AUXÍLIO ALUGUEL ATÉ INDENIZAÇÃO"),"SIM","NÃO")</f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customHeight="1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customHeight="1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4347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>IF(AY393-KD393=0,"",AY393-O393)</f>
        <v/>
      </c>
      <c r="BD393" s="103" t="str">
        <f>IF(AND(AI393&lt;&gt;"SIM",AI393="UH"),"AA","INDENIZAÇÃO")</f>
        <v>INDENIZAÇÃO</v>
      </c>
      <c r="BE393" s="103" t="str">
        <f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customHeight="1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4347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>IF(AY394-KD394=0,"",AY394-O394)</f>
        <v/>
      </c>
      <c r="BD394" s="103" t="str">
        <f>IF(AND(AI394&lt;&gt;"SIM",AI394="UH"),"AA","INDENIZAÇÃO")</f>
        <v>INDENIZAÇÃO</v>
      </c>
      <c r="BE394" s="103" t="str">
        <f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customHeight="1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>IF(AY395-KD395=0,"",AY395-O395)</f>
        <v/>
      </c>
      <c r="BD395" s="103" t="str">
        <f>IF(AND(AI395&lt;&gt;"SIM",AI395="UH"),"AA","INDENIZAÇÃO")</f>
        <v>AA</v>
      </c>
      <c r="BE395" s="103" t="str">
        <f>IF(AND(AY395&lt;&gt;"AGUARDANDO",AY395&lt;&gt;"",N395="AUXÍLIO ALUGUEL ATÉ INDENIZAÇÃO"),"SIM","NÃO")</f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customHeight="1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>IF(AY396-KD396=0,"",AY396-O396)</f>
        <v/>
      </c>
      <c r="BD396" s="103" t="str">
        <f>IF(AND(AI396&lt;&gt;"SIM",AI396="UH"),"AA","INDENIZAÇÃO")</f>
        <v>INDENIZAÇÃO</v>
      </c>
      <c r="BE396" s="103" t="str">
        <f>IF(AND(AY396&lt;&gt;"AGUARDANDO",AY396&lt;&gt;"",N396="AUXÍLIO ALUGUEL ATÉ INDENIZAÇÃO"),"SIM","NÃO")</f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customHeight="1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>IF(AY397-KD397=0,"",AY397-O397)</f>
        <v/>
      </c>
      <c r="BD397" s="103" t="str">
        <f>IF(AND(AI397&lt;&gt;"SIM",AI397="UH"),"AA","INDENIZAÇÃO")</f>
        <v>INDENIZAÇÃO</v>
      </c>
      <c r="BE397" s="103" t="str">
        <f>IF(AND(AY397&lt;&gt;"AGUARDANDO",AY397&lt;&gt;"",N397="AUXÍLIO ALUGUEL ATÉ INDENIZAÇÃO"),"SIM","NÃO")</f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customHeight="1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>IF(AY398-KD398=0,"",AY398-O398)</f>
        <v/>
      </c>
      <c r="BD398" s="103" t="str">
        <f>IF(AND(AI398&lt;&gt;"SIM",AI398="UH"),"AA","INDENIZAÇÃO")</f>
        <v>INDENIZAÇÃO</v>
      </c>
      <c r="BE398" s="103" t="str">
        <f>IF(AND(AY398&lt;&gt;"AGUARDANDO",AY398&lt;&gt;"",N398="AUXÍLIO ALUGUEL ATÉ INDENIZAÇÃO"),"SIM","NÃO")</f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customHeight="1">
      <c r="A399" s="165">
        <v>389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6129</v>
      </c>
      <c r="G399" s="103" t="s">
        <v>4330</v>
      </c>
      <c r="H399" s="103" t="s">
        <v>4331</v>
      </c>
      <c r="I399" s="142" t="s">
        <v>4343</v>
      </c>
      <c r="J399" s="149" t="s">
        <v>6130</v>
      </c>
      <c r="K399" s="149">
        <v>33837673</v>
      </c>
      <c r="L399" s="149" t="s">
        <v>6131</v>
      </c>
      <c r="M399" s="103" t="s">
        <v>4333</v>
      </c>
      <c r="N399" s="103" t="s">
        <v>4459</v>
      </c>
      <c r="O399" s="105">
        <v>45996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3"/>
      <c r="AB399" s="149" t="s">
        <v>6130</v>
      </c>
      <c r="AC399" s="149">
        <v>33837673</v>
      </c>
      <c r="AD399" s="149" t="s">
        <v>6131</v>
      </c>
      <c r="AE399" s="103" t="s">
        <v>4343</v>
      </c>
      <c r="AF399" s="103" t="s">
        <v>4333</v>
      </c>
      <c r="AG399" s="194">
        <v>68165.39</v>
      </c>
      <c r="AH399" s="194">
        <v>68165.39</v>
      </c>
      <c r="AI399" s="103" t="s">
        <v>4336</v>
      </c>
      <c r="AJ399" s="104" t="s">
        <v>4438</v>
      </c>
      <c r="AK399" s="103">
        <v>147057729</v>
      </c>
      <c r="AL399" s="103" t="s">
        <v>4338</v>
      </c>
      <c r="AM399" s="103" t="s">
        <v>4338</v>
      </c>
      <c r="AN399" s="103" t="s">
        <v>4339</v>
      </c>
      <c r="AO399" s="103"/>
      <c r="AP399" s="171" t="s">
        <v>6132</v>
      </c>
      <c r="AQ399" s="302" t="s">
        <v>4338</v>
      </c>
      <c r="AR399" s="103" t="s">
        <v>4338</v>
      </c>
      <c r="AS399" s="103" t="s">
        <v>4338</v>
      </c>
      <c r="AT399" s="103" t="s">
        <v>4338</v>
      </c>
      <c r="AU399" s="105">
        <v>46009</v>
      </c>
      <c r="AV399" s="112" t="s">
        <v>4338</v>
      </c>
      <c r="AW399" s="103" t="s">
        <v>4338</v>
      </c>
      <c r="AX399" s="111">
        <v>46021</v>
      </c>
      <c r="AY399" s="106">
        <v>46021</v>
      </c>
      <c r="AZ399" s="106" t="s">
        <v>4453</v>
      </c>
      <c r="BA399" s="107" t="s">
        <v>4454</v>
      </c>
      <c r="BB399" s="136" t="s">
        <v>4338</v>
      </c>
      <c r="BC399" s="220">
        <f>IF(AY399-KD399=0,"",AY399-O399)</f>
        <v>25</v>
      </c>
      <c r="BD399" s="103" t="str">
        <f>IF(AND(AI399&lt;&gt;"SIM",AI399="UH"),"AA","INDENIZAÇÃO")</f>
        <v>INDENIZAÇÃO</v>
      </c>
      <c r="BE399" s="103" t="str">
        <f>IF(AND(AY399&lt;&gt;"AGUARDANDO",AY399&lt;&gt;"",N399="AUXÍLIO ALUGUEL ATÉ INDENIZAÇÃO"),"SIM","NÃO")</f>
        <v>NÃO</v>
      </c>
      <c r="BF399" s="140" t="s">
        <v>4357</v>
      </c>
      <c r="BG399" s="140" t="s">
        <v>4357</v>
      </c>
      <c r="BH399" s="140" t="s">
        <v>4357</v>
      </c>
      <c r="BI399" s="103" t="s">
        <v>4338</v>
      </c>
      <c r="BJ399" s="103" t="s">
        <v>4338</v>
      </c>
      <c r="BK399" s="105">
        <v>46205</v>
      </c>
      <c r="BL399" s="154" t="s">
        <v>4461</v>
      </c>
      <c r="BM399" s="237"/>
    </row>
    <row r="400" spans="1:65" s="232" customFormat="1" ht="29.25" customHeight="1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>IF(AY400-KD400=0,"",AY400-O400)</f>
        <v/>
      </c>
      <c r="BD400" s="103" t="str">
        <f>IF(AND(AI400&lt;&gt;"SIM",AI400="UH"),"AA","INDENIZAÇÃO")</f>
        <v>AA</v>
      </c>
      <c r="BE400" s="103" t="str">
        <f>IF(AND(AY400&lt;&gt;"AGUARDANDO",AY400&lt;&gt;"",N400="AUXÍLIO ALUGUEL ATÉ INDENIZAÇÃO"),"SIM","NÃO")</f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customHeight="1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>IF(AY401-KD401=0,"",AY401-O401)</f>
        <v/>
      </c>
      <c r="BD401" s="103" t="str">
        <f>IF(AND(AI401&lt;&gt;"SIM",AI401="UH"),"AA","INDENIZAÇÃO")</f>
        <v>AA</v>
      </c>
      <c r="BE401" s="103" t="str">
        <f>IF(AND(AY401&lt;&gt;"AGUARDANDO",AY401&lt;&gt;"",N401="AUXÍLIO ALUGUEL ATÉ INDENIZAÇÃO"),"SIM","NÃO")</f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customHeight="1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>IF(AY402-KD402=0,"",AY402-O402)</f>
        <v/>
      </c>
      <c r="BD402" s="103" t="str">
        <f>IF(AND(AI402&lt;&gt;"SIM",AI402="UH"),"AA","INDENIZAÇÃO")</f>
        <v>AA</v>
      </c>
      <c r="BE402" s="103" t="str">
        <f>IF(AND(AY402&lt;&gt;"AGUARDANDO",AY402&lt;&gt;"",N402="AUXÍLIO ALUGUEL ATÉ INDENIZAÇÃO"),"SIM","NÃO")</f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customHeight="1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>IF(AY403-KD403=0,"",AY403-O403)</f>
        <v/>
      </c>
      <c r="BD403" s="103" t="str">
        <f>IF(AND(AI403&lt;&gt;"SIM",AI403="UH"),"AA","INDENIZAÇÃO")</f>
        <v>AA</v>
      </c>
      <c r="BE403" s="103" t="str">
        <f>IF(AND(AY403&lt;&gt;"AGUARDANDO",AY403&lt;&gt;"",N403="AUXÍLIO ALUGUEL ATÉ INDENIZAÇÃO"),"SIM","NÃO")</f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customHeight="1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>IF(AY404-KD404=0,"",AY404-O404)</f>
        <v/>
      </c>
      <c r="BD404" s="103" t="str">
        <f>IF(AND(AI404&lt;&gt;"SIM",AI404="UH"),"AA","INDENIZAÇÃO")</f>
        <v>AA</v>
      </c>
      <c r="BE404" s="103" t="str">
        <f>IF(AND(AY404&lt;&gt;"AGUARDANDO",AY404&lt;&gt;"",N404="AUXÍLIO ALUGUEL ATÉ INDENIZAÇÃO"),"SIM","NÃO")</f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customHeight="1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>IF(AY405-KD405=0,"",AY405-O405)</f>
        <v/>
      </c>
      <c r="BD405" s="103" t="str">
        <f>IF(AND(AI405&lt;&gt;"SIM",AI405="UH"),"AA","INDENIZAÇÃO")</f>
        <v>AA</v>
      </c>
      <c r="BE405" s="103" t="str">
        <f>IF(AND(AY405&lt;&gt;"AGUARDANDO",AY405&lt;&gt;"",N405="AUXÍLIO ALUGUEL ATÉ INDENIZAÇÃO"),"SIM","NÃO")</f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customHeight="1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6152</v>
      </c>
      <c r="G406" s="103" t="s">
        <v>4330</v>
      </c>
      <c r="H406" s="103" t="s">
        <v>4331</v>
      </c>
      <c r="I406" s="142" t="s">
        <v>4343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4459</v>
      </c>
      <c r="O406" s="105">
        <v>46160</v>
      </c>
      <c r="P406" s="105" t="s">
        <v>4356</v>
      </c>
      <c r="Q406" s="105" t="s">
        <v>4356</v>
      </c>
      <c r="R406" s="105" t="s">
        <v>4356</v>
      </c>
      <c r="S406" s="105" t="s">
        <v>4356</v>
      </c>
      <c r="T406" s="105" t="s">
        <v>4356</v>
      </c>
      <c r="U406" s="105" t="s">
        <v>4356</v>
      </c>
      <c r="V406" s="105" t="s">
        <v>4356</v>
      </c>
      <c r="W406" s="105" t="s">
        <v>4356</v>
      </c>
      <c r="X406" s="105" t="s">
        <v>4356</v>
      </c>
      <c r="Y406" s="105" t="s">
        <v>4356</v>
      </c>
      <c r="Z406" s="105"/>
      <c r="AA406" s="103"/>
      <c r="AB406" s="149" t="s">
        <v>6156</v>
      </c>
      <c r="AC406" s="149" t="s">
        <v>6157</v>
      </c>
      <c r="AD406" s="149" t="s">
        <v>6158</v>
      </c>
      <c r="AE406" s="103" t="s">
        <v>4343</v>
      </c>
      <c r="AF406" s="103" t="s">
        <v>4333</v>
      </c>
      <c r="AG406" s="194">
        <v>71123.05</v>
      </c>
      <c r="AH406" s="194">
        <v>71123.05</v>
      </c>
      <c r="AI406" s="103" t="s">
        <v>4447</v>
      </c>
      <c r="AJ406" s="104" t="s">
        <v>4438</v>
      </c>
      <c r="AK406" s="103">
        <v>154685258</v>
      </c>
      <c r="AL406" s="103" t="s">
        <v>4338</v>
      </c>
      <c r="AM406" s="103" t="s">
        <v>4338</v>
      </c>
      <c r="AN406" s="103" t="s">
        <v>4339</v>
      </c>
      <c r="AO406" s="259"/>
      <c r="AP406" s="273" t="s">
        <v>6159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36"/>
      <c r="BC406" s="220" t="e">
        <f>IF(AY406-KD406=0,"",AY406-O406)</f>
        <v>#VALUE!</v>
      </c>
      <c r="BD406" s="103" t="str">
        <f>IF(AND(AI406&lt;&gt;"SIM",AI406="UH"),"AA","INDENIZAÇÃO")</f>
        <v>INDENIZAÇÃO</v>
      </c>
      <c r="BE406" s="103" t="str">
        <f>IF(AND(AY406&lt;&gt;"AGUARDANDO",AY406&lt;&gt;"",N406="AUXÍLIO ALUGUEL ATÉ INDENIZAÇÃO"),"SIM","NÃO")</f>
        <v>NÃO</v>
      </c>
      <c r="BF406" s="140"/>
      <c r="BG406" s="140"/>
      <c r="BH406" s="140"/>
      <c r="BI406" s="140"/>
      <c r="BJ406" s="140"/>
      <c r="BK406" s="140"/>
      <c r="BL406" s="140"/>
      <c r="BM406" s="238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6160</v>
      </c>
      <c r="G407" s="103" t="s">
        <v>4330</v>
      </c>
      <c r="H407" s="103" t="s">
        <v>4342</v>
      </c>
      <c r="I407" s="103" t="s">
        <v>4332</v>
      </c>
      <c r="J407" s="149" t="s">
        <v>6161</v>
      </c>
      <c r="K407" s="149" t="s">
        <v>6162</v>
      </c>
      <c r="L407" s="149" t="s">
        <v>6163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6164</v>
      </c>
      <c r="AC407" s="149" t="s">
        <v>6162</v>
      </c>
      <c r="AD407" s="149" t="s">
        <v>6163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6165</v>
      </c>
      <c r="AQ407" s="165" t="s">
        <v>4822</v>
      </c>
      <c r="AR407" s="103" t="s">
        <v>4822</v>
      </c>
      <c r="AS407" s="103" t="s">
        <v>4822</v>
      </c>
      <c r="AT407" s="103" t="s">
        <v>4822</v>
      </c>
      <c r="AU407" s="105">
        <v>46233</v>
      </c>
      <c r="AV407" s="103" t="s">
        <v>4822</v>
      </c>
      <c r="AW407" s="103" t="s">
        <v>4822</v>
      </c>
      <c r="AX407" s="105">
        <v>46237</v>
      </c>
      <c r="AY407" s="106" t="s">
        <v>4453</v>
      </c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6166</v>
      </c>
      <c r="G408" s="103" t="s">
        <v>4330</v>
      </c>
      <c r="H408" s="103" t="s">
        <v>4331</v>
      </c>
      <c r="I408" s="103" t="s">
        <v>4343</v>
      </c>
      <c r="J408" s="149" t="s">
        <v>6167</v>
      </c>
      <c r="K408" s="149" t="s">
        <v>6168</v>
      </c>
      <c r="L408" s="149" t="s">
        <v>6169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6167</v>
      </c>
      <c r="AC408" s="149" t="s">
        <v>6168</v>
      </c>
      <c r="AD408" s="149" t="s">
        <v>6169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customHeight="1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6170</v>
      </c>
      <c r="G409" s="103" t="s">
        <v>4330</v>
      </c>
      <c r="H409" s="103" t="s">
        <v>4331</v>
      </c>
      <c r="I409" s="103" t="s">
        <v>4343</v>
      </c>
      <c r="J409" s="149" t="s">
        <v>6171</v>
      </c>
      <c r="K409" s="149" t="s">
        <v>6172</v>
      </c>
      <c r="L409" s="149" t="s">
        <v>6173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6171</v>
      </c>
      <c r="AC409" s="149" t="s">
        <v>6172</v>
      </c>
      <c r="AD409" s="149" t="s">
        <v>6173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customHeight="1">
      <c r="A410" s="103">
        <v>400</v>
      </c>
      <c r="B410" s="103" t="s">
        <v>4431</v>
      </c>
      <c r="C410" s="103" t="s">
        <v>4448</v>
      </c>
      <c r="D410" s="103">
        <v>1</v>
      </c>
      <c r="E410" s="103" t="s">
        <v>4432</v>
      </c>
      <c r="F410" s="104" t="s">
        <v>6174</v>
      </c>
      <c r="G410" s="103" t="s">
        <v>4330</v>
      </c>
      <c r="H410" s="103" t="s">
        <v>4352</v>
      </c>
      <c r="I410" s="142" t="s">
        <v>4343</v>
      </c>
      <c r="J410" s="149" t="s">
        <v>6175</v>
      </c>
      <c r="K410" s="149" t="s">
        <v>6176</v>
      </c>
      <c r="L410" s="149" t="s">
        <v>6177</v>
      </c>
      <c r="M410" s="103" t="s">
        <v>4333</v>
      </c>
      <c r="N410" s="103" t="s">
        <v>4459</v>
      </c>
      <c r="O410" s="105">
        <v>46045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3"/>
      <c r="AB410" s="149" t="s">
        <v>6175</v>
      </c>
      <c r="AC410" s="149" t="s">
        <v>6176</v>
      </c>
      <c r="AD410" s="149" t="s">
        <v>6177</v>
      </c>
      <c r="AE410" s="103" t="s">
        <v>4343</v>
      </c>
      <c r="AF410" s="112" t="s">
        <v>4333</v>
      </c>
      <c r="AG410" s="194">
        <v>103783.01</v>
      </c>
      <c r="AH410" s="194">
        <v>103783.01</v>
      </c>
      <c r="AI410" s="103" t="s">
        <v>4336</v>
      </c>
      <c r="AJ410" s="104" t="s">
        <v>4438</v>
      </c>
      <c r="AK410" s="103">
        <v>148265385</v>
      </c>
      <c r="AL410" s="103" t="s">
        <v>4338</v>
      </c>
      <c r="AM410" s="103" t="s">
        <v>4338</v>
      </c>
      <c r="AN410" s="103" t="s">
        <v>4339</v>
      </c>
      <c r="AO410" s="103"/>
      <c r="AP410" s="171" t="s">
        <v>6178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46125</v>
      </c>
      <c r="AV410" s="103" t="s">
        <v>4338</v>
      </c>
      <c r="AW410" s="103" t="s">
        <v>4338</v>
      </c>
      <c r="AX410" s="105">
        <v>46140</v>
      </c>
      <c r="AY410" s="106">
        <v>46140</v>
      </c>
      <c r="AZ410" s="106" t="s">
        <v>4453</v>
      </c>
      <c r="BA410" s="107" t="s">
        <v>4454</v>
      </c>
      <c r="BB410" s="136" t="s">
        <v>4338</v>
      </c>
      <c r="BC410" s="220">
        <f>IF(AY410-KD410=0,"",AY410-O410)</f>
        <v>95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09" t="s">
        <v>4912</v>
      </c>
      <c r="BJ410" s="109"/>
      <c r="BK410" s="109"/>
      <c r="BL410" s="109"/>
      <c r="BM410" s="239"/>
    </row>
    <row r="411" spans="1:107" s="232" customFormat="1" ht="29.25" customHeight="1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6174</v>
      </c>
      <c r="G411" s="103" t="s">
        <v>4330</v>
      </c>
      <c r="H411" s="103" t="s">
        <v>4331</v>
      </c>
      <c r="I411" s="103" t="s">
        <v>4343</v>
      </c>
      <c r="J411" s="149" t="s">
        <v>6179</v>
      </c>
      <c r="K411" s="149" t="s">
        <v>6180</v>
      </c>
      <c r="L411" s="149" t="s">
        <v>6181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6179</v>
      </c>
      <c r="AC411" s="149" t="s">
        <v>6180</v>
      </c>
      <c r="AD411" s="149" t="s">
        <v>6181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6182</v>
      </c>
      <c r="AQ411" s="259" t="s">
        <v>4822</v>
      </c>
      <c r="AR411" s="259" t="s">
        <v>4822</v>
      </c>
      <c r="AS411" s="259" t="s">
        <v>4822</v>
      </c>
      <c r="AT411" s="109" t="s">
        <v>4453</v>
      </c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customHeight="1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6183</v>
      </c>
      <c r="G412" s="103" t="s">
        <v>4330</v>
      </c>
      <c r="H412" s="103" t="s">
        <v>4331</v>
      </c>
      <c r="I412" s="142" t="s">
        <v>4926</v>
      </c>
      <c r="J412" s="149" t="s">
        <v>6184</v>
      </c>
      <c r="K412" s="149"/>
      <c r="L412" s="149" t="s">
        <v>6185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6186</v>
      </c>
      <c r="AC412" s="149" t="s">
        <v>4457</v>
      </c>
      <c r="AD412" s="149" t="s">
        <v>6185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customHeight="1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6183</v>
      </c>
      <c r="G413" s="103" t="s">
        <v>4330</v>
      </c>
      <c r="H413" s="103" t="s">
        <v>4331</v>
      </c>
      <c r="I413" s="103" t="s">
        <v>4343</v>
      </c>
      <c r="J413" s="149" t="s">
        <v>6187</v>
      </c>
      <c r="K413" s="149" t="s">
        <v>6188</v>
      </c>
      <c r="L413" s="149" t="s">
        <v>6189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6187</v>
      </c>
      <c r="AC413" s="149" t="s">
        <v>6188</v>
      </c>
      <c r="AD413" s="149" t="s">
        <v>6189</v>
      </c>
      <c r="AE413" s="103" t="s">
        <v>4343</v>
      </c>
      <c r="AF413" s="112" t="s">
        <v>5045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customHeight="1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6190</v>
      </c>
      <c r="G414" s="103" t="s">
        <v>4330</v>
      </c>
      <c r="H414" s="103" t="s">
        <v>4331</v>
      </c>
      <c r="I414" s="103" t="s">
        <v>4343</v>
      </c>
      <c r="J414" s="149" t="s">
        <v>6191</v>
      </c>
      <c r="K414" s="149"/>
      <c r="L414" s="149" t="s">
        <v>6192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customHeight="1">
      <c r="A415" s="103">
        <v>405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6193</v>
      </c>
      <c r="G415" s="103" t="s">
        <v>4330</v>
      </c>
      <c r="H415" s="103" t="s">
        <v>4331</v>
      </c>
      <c r="I415" s="103" t="s">
        <v>4343</v>
      </c>
      <c r="J415" s="149" t="s">
        <v>6194</v>
      </c>
      <c r="K415" s="149" t="s">
        <v>6195</v>
      </c>
      <c r="L415" s="149" t="s">
        <v>6196</v>
      </c>
      <c r="M415" s="103" t="s">
        <v>4333</v>
      </c>
      <c r="N415" s="103" t="s">
        <v>4459</v>
      </c>
      <c r="O415" s="105">
        <v>46129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05"/>
      <c r="AB415" s="149" t="s">
        <v>6194</v>
      </c>
      <c r="AC415" s="149" t="s">
        <v>6195</v>
      </c>
      <c r="AD415" s="149" t="s">
        <v>6196</v>
      </c>
      <c r="AE415" s="103" t="s">
        <v>4343</v>
      </c>
      <c r="AF415" s="103" t="s">
        <v>4333</v>
      </c>
      <c r="AG415" s="194">
        <v>15451.91</v>
      </c>
      <c r="AH415" s="194">
        <f>AG415+30000</f>
        <v>45451.91</v>
      </c>
      <c r="AI415" s="103" t="s">
        <v>4447</v>
      </c>
      <c r="AJ415" s="104" t="s">
        <v>4438</v>
      </c>
      <c r="AK415" s="103">
        <v>153977563</v>
      </c>
      <c r="AL415" s="103" t="s">
        <v>4338</v>
      </c>
      <c r="AM415" s="103" t="s">
        <v>4338</v>
      </c>
      <c r="AN415" s="103" t="s">
        <v>4339</v>
      </c>
      <c r="AO415" s="112"/>
      <c r="AP415" s="273" t="s">
        <v>6197</v>
      </c>
      <c r="AQ415" s="10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12"/>
      <c r="BC415" s="220" t="e">
        <f>IF(AY415-KD415=0,"",AY415-O415)</f>
        <v>#VALUE!</v>
      </c>
      <c r="BD415" s="103" t="str">
        <f>IF(AND(AI415&lt;&gt;"SIM",AI415="UH"),"AA","INDENIZAÇÃO")</f>
        <v>INDENIZAÇÃO</v>
      </c>
      <c r="BE415" s="103" t="str">
        <f>IF(AND(AY415&lt;&gt;"AGUARDANDO",AY415&lt;&gt;"",N415="AUXÍLIO ALUGUEL ATÉ INDENIZAÇÃO"),"SIM","NÃO")</f>
        <v>NÃO</v>
      </c>
      <c r="BF415" s="112"/>
      <c r="BG415" s="147"/>
      <c r="BH415" s="147"/>
      <c r="BI415" s="112"/>
      <c r="BJ415" s="112"/>
      <c r="BK415" s="112"/>
      <c r="BL415" s="112"/>
      <c r="BM415" s="236"/>
    </row>
    <row r="416" spans="1:107" s="232" customFormat="1" ht="29.25" customHeight="1">
      <c r="A416" s="103">
        <v>406</v>
      </c>
      <c r="B416" s="103" t="s">
        <v>4431</v>
      </c>
      <c r="C416" s="103" t="s">
        <v>4448</v>
      </c>
      <c r="D416" s="103">
        <v>1</v>
      </c>
      <c r="E416" s="103" t="s">
        <v>4432</v>
      </c>
      <c r="F416" s="104" t="s">
        <v>6193</v>
      </c>
      <c r="G416" s="103" t="s">
        <v>4330</v>
      </c>
      <c r="H416" s="103" t="s">
        <v>4331</v>
      </c>
      <c r="I416" s="142" t="s">
        <v>4440</v>
      </c>
      <c r="J416" s="149" t="s">
        <v>6198</v>
      </c>
      <c r="K416" s="149" t="s">
        <v>6199</v>
      </c>
      <c r="L416" s="149" t="s">
        <v>6200</v>
      </c>
      <c r="M416" s="103" t="s">
        <v>4333</v>
      </c>
      <c r="N416" s="103" t="s">
        <v>4345</v>
      </c>
      <c r="O416" s="108">
        <v>46066</v>
      </c>
      <c r="P416" s="105">
        <v>46065</v>
      </c>
      <c r="Q416" s="108" t="s">
        <v>4436</v>
      </c>
      <c r="R416" s="105">
        <v>46072</v>
      </c>
      <c r="S416" s="108">
        <v>46072</v>
      </c>
      <c r="T416" s="108">
        <v>46080</v>
      </c>
      <c r="U416" s="105">
        <v>46083</v>
      </c>
      <c r="V416" s="105" t="s">
        <v>4437</v>
      </c>
      <c r="W416" s="105" t="s">
        <v>4437</v>
      </c>
      <c r="X416" s="108">
        <v>46055</v>
      </c>
      <c r="Y416" s="108" t="s">
        <v>4457</v>
      </c>
      <c r="Z416" s="305"/>
      <c r="AA416" s="112" t="s">
        <v>6201</v>
      </c>
      <c r="AB416" s="149" t="s">
        <v>6202</v>
      </c>
      <c r="AC416" s="149" t="s">
        <v>6203</v>
      </c>
      <c r="AD416" s="149" t="s">
        <v>6204</v>
      </c>
      <c r="AE416" s="142" t="s">
        <v>4332</v>
      </c>
      <c r="AF416" s="112" t="s">
        <v>4333</v>
      </c>
      <c r="AG416" s="194">
        <v>17725.560000000001</v>
      </c>
      <c r="AH416" s="194">
        <v>17725.560000000001</v>
      </c>
      <c r="AI416" s="103" t="s">
        <v>4336</v>
      </c>
      <c r="AJ416" s="104" t="s">
        <v>4438</v>
      </c>
      <c r="AK416" s="103">
        <v>150610221</v>
      </c>
      <c r="AL416" s="103" t="s">
        <v>4338</v>
      </c>
      <c r="AM416" s="103" t="s">
        <v>4338</v>
      </c>
      <c r="AN416" s="103" t="s">
        <v>4339</v>
      </c>
      <c r="AO416" s="112"/>
      <c r="AP416" s="273" t="s">
        <v>6205</v>
      </c>
      <c r="AQ416" s="143" t="s">
        <v>4338</v>
      </c>
      <c r="AR416" s="103" t="s">
        <v>4338</v>
      </c>
      <c r="AS416" s="112" t="s">
        <v>4338</v>
      </c>
      <c r="AT416" s="112" t="s">
        <v>4338</v>
      </c>
      <c r="AU416" s="105">
        <v>46226</v>
      </c>
      <c r="AV416" s="112" t="s">
        <v>4338</v>
      </c>
      <c r="AW416" s="112" t="s">
        <v>4338</v>
      </c>
      <c r="AX416" s="105">
        <v>46233</v>
      </c>
      <c r="AY416" s="109" t="s">
        <v>4453</v>
      </c>
      <c r="AZ416" s="157"/>
      <c r="BA416" s="109" t="s">
        <v>4330</v>
      </c>
      <c r="BB416" s="112"/>
      <c r="BC416" s="220" t="e">
        <f>IF(AY416-KD416=0,"",AY416-O416)</f>
        <v>#VALUE!</v>
      </c>
      <c r="BD416" s="103" t="str">
        <f>IF(AND(AI416&lt;&gt;"SIM",AI416="UH"),"AA","INDENIZAÇÃO")</f>
        <v>INDENIZAÇÃO</v>
      </c>
      <c r="BE416" s="103" t="str">
        <f>IF(AND(AY416&lt;&gt;"AGUARDANDO",AY416&lt;&gt;"",N416="AUXÍLIO ALUGUEL ATÉ INDENIZAÇÃO"),"SIM","NÃO")</f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customHeight="1">
      <c r="A417" s="165">
        <v>407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6206</v>
      </c>
      <c r="G417" s="112" t="s">
        <v>4330</v>
      </c>
      <c r="H417" s="112" t="s">
        <v>4331</v>
      </c>
      <c r="I417" s="112" t="s">
        <v>4343</v>
      </c>
      <c r="J417" s="150" t="s">
        <v>6207</v>
      </c>
      <c r="K417" s="150" t="s">
        <v>6208</v>
      </c>
      <c r="L417" s="141" t="s">
        <v>6209</v>
      </c>
      <c r="M417" s="112" t="s">
        <v>4333</v>
      </c>
      <c r="N417" s="112" t="s">
        <v>4334</v>
      </c>
      <c r="O417" s="105">
        <v>46129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305"/>
      <c r="AA417" s="105"/>
      <c r="AB417" s="150" t="s">
        <v>6207</v>
      </c>
      <c r="AC417" s="150" t="s">
        <v>6208</v>
      </c>
      <c r="AD417" s="141" t="s">
        <v>6209</v>
      </c>
      <c r="AE417" s="103" t="s">
        <v>4343</v>
      </c>
      <c r="AF417" s="112" t="s">
        <v>4333</v>
      </c>
      <c r="AG417" s="194">
        <v>51505.83</v>
      </c>
      <c r="AH417" s="194">
        <v>60000</v>
      </c>
      <c r="AI417" s="103" t="s">
        <v>4336</v>
      </c>
      <c r="AJ417" s="104" t="s">
        <v>4438</v>
      </c>
      <c r="AK417" s="103">
        <v>153978824</v>
      </c>
      <c r="AL417" s="103" t="s">
        <v>4338</v>
      </c>
      <c r="AM417" s="103" t="s">
        <v>4338</v>
      </c>
      <c r="AN417" s="103" t="s">
        <v>4339</v>
      </c>
      <c r="AO417" s="112"/>
      <c r="AP417" s="273" t="s">
        <v>6210</v>
      </c>
      <c r="AQ417" s="259" t="s">
        <v>4338</v>
      </c>
      <c r="AR417" s="259" t="s">
        <v>4338</v>
      </c>
      <c r="AS417" s="103" t="s">
        <v>4338</v>
      </c>
      <c r="AT417" s="103" t="s">
        <v>4338</v>
      </c>
      <c r="AU417" s="105">
        <v>46226</v>
      </c>
      <c r="AV417" s="112" t="s">
        <v>4338</v>
      </c>
      <c r="AW417" s="112" t="s">
        <v>4338</v>
      </c>
      <c r="AX417" s="105">
        <v>46232</v>
      </c>
      <c r="AY417" s="109" t="s">
        <v>4453</v>
      </c>
      <c r="AZ417" s="157"/>
      <c r="BA417" s="109" t="s">
        <v>4330</v>
      </c>
      <c r="BB417" s="112"/>
      <c r="BC417" s="220" t="e">
        <f>IF(AY417-KD417=0,"",AY417-O417)</f>
        <v>#VALUE!</v>
      </c>
      <c r="BD417" s="103" t="str">
        <f>IF(AND(AI417&lt;&gt;"SIM",AI417="UH"),"AA","INDENIZAÇÃO")</f>
        <v>INDENIZAÇÃO</v>
      </c>
      <c r="BE417" s="103" t="str">
        <f>IF(AND(AY417&lt;&gt;"AGUARDANDO",AY417&lt;&gt;"",N417="AUXÍLIO ALUGUEL ATÉ INDENIZAÇÃO"),"SIM","NÃO")</f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>
      <c r="A418" s="165">
        <v>408</v>
      </c>
      <c r="B418" s="103" t="s">
        <v>4431</v>
      </c>
      <c r="C418" s="103" t="s">
        <v>4448</v>
      </c>
      <c r="D418" s="103">
        <v>1</v>
      </c>
      <c r="E418" s="103" t="s">
        <v>4432</v>
      </c>
      <c r="F418" s="104" t="s">
        <v>6206</v>
      </c>
      <c r="G418" s="103" t="s">
        <v>4330</v>
      </c>
      <c r="H418" s="103" t="s">
        <v>4331</v>
      </c>
      <c r="I418" s="142" t="s">
        <v>4343</v>
      </c>
      <c r="J418" s="150" t="s">
        <v>6211</v>
      </c>
      <c r="K418" s="149" t="s">
        <v>6212</v>
      </c>
      <c r="L418" s="149" t="s">
        <v>6213</v>
      </c>
      <c r="M418" s="103" t="s">
        <v>4333</v>
      </c>
      <c r="N418" s="103" t="s">
        <v>4345</v>
      </c>
      <c r="O418" s="108"/>
      <c r="P418" s="108">
        <v>46031</v>
      </c>
      <c r="Q418" s="105" t="s">
        <v>4436</v>
      </c>
      <c r="R418" s="108">
        <v>46030</v>
      </c>
      <c r="S418" s="108">
        <v>46031</v>
      </c>
      <c r="T418" s="108">
        <v>46036</v>
      </c>
      <c r="U418" s="108">
        <v>46045</v>
      </c>
      <c r="V418" s="108" t="s">
        <v>4437</v>
      </c>
      <c r="W418" s="108" t="s">
        <v>4437</v>
      </c>
      <c r="X418" s="105">
        <v>46055</v>
      </c>
      <c r="Y418" s="105">
        <v>46056</v>
      </c>
      <c r="Z418" s="108"/>
      <c r="AA418" s="112"/>
      <c r="AB418" s="150" t="s">
        <v>6211</v>
      </c>
      <c r="AC418" s="149" t="s">
        <v>6212</v>
      </c>
      <c r="AD418" s="149" t="s">
        <v>6213</v>
      </c>
      <c r="AE418" s="142" t="s">
        <v>4343</v>
      </c>
      <c r="AF418" s="103" t="s">
        <v>4333</v>
      </c>
      <c r="AG418" s="194" t="s">
        <v>4356</v>
      </c>
      <c r="AH418" s="194" t="s">
        <v>4356</v>
      </c>
      <c r="AI418" s="103" t="s">
        <v>4355</v>
      </c>
      <c r="AJ418" s="104" t="s">
        <v>4438</v>
      </c>
      <c r="AK418" s="103"/>
      <c r="AL418" s="103"/>
      <c r="AM418" s="103"/>
      <c r="AN418" s="103"/>
      <c r="AO418" s="112"/>
      <c r="AP418" s="171"/>
      <c r="AQ418" s="112"/>
      <c r="AR418" s="112"/>
      <c r="AS418" s="112"/>
      <c r="AT418" s="112"/>
      <c r="AU418" s="112"/>
      <c r="AV418" s="112"/>
      <c r="AW418" s="112"/>
      <c r="AX418" s="112"/>
      <c r="AY418" s="166"/>
      <c r="AZ418" s="108"/>
      <c r="BA418" s="112"/>
      <c r="BB418" s="112"/>
      <c r="BC418" s="220" t="str">
        <f>IF(AY418-KD418=0,"",AY418-O418)</f>
        <v/>
      </c>
      <c r="BD418" s="103" t="str">
        <f>IF(AND(AI418&lt;&gt;"SIM",AI418="UH"),"AA","INDENIZAÇÃO")</f>
        <v>AA</v>
      </c>
      <c r="BE418" s="103" t="str">
        <f>IF(AND(AY418&lt;&gt;"AGUARDANDO",AY418&lt;&gt;"",N418="AUXÍLIO ALUGUEL ATÉ INDENIZAÇÃO"),"SIM","NÃO")</f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customHeight="1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6214</v>
      </c>
      <c r="G419" s="103" t="s">
        <v>4330</v>
      </c>
      <c r="H419" s="103" t="s">
        <v>4331</v>
      </c>
      <c r="I419" s="103" t="s">
        <v>4343</v>
      </c>
      <c r="J419" s="149" t="s">
        <v>6215</v>
      </c>
      <c r="K419" s="149" t="s">
        <v>6216</v>
      </c>
      <c r="L419" s="149" t="s">
        <v>6217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6215</v>
      </c>
      <c r="AC419" s="149" t="s">
        <v>6216</v>
      </c>
      <c r="AD419" s="149" t="s">
        <v>6217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>IF(AY419-KD419=0,"",AY419-O419)</f>
        <v/>
      </c>
      <c r="BD419" s="103" t="str">
        <f>IF(AND(AI419&lt;&gt;"SIM",AI419="UH"),"AA","INDENIZAÇÃO")</f>
        <v>AA</v>
      </c>
      <c r="BE419" s="103" t="str">
        <f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customHeight="1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6218</v>
      </c>
      <c r="G420" s="103" t="s">
        <v>4330</v>
      </c>
      <c r="H420" s="103" t="s">
        <v>4331</v>
      </c>
      <c r="I420" s="142" t="s">
        <v>4343</v>
      </c>
      <c r="J420" s="149" t="s">
        <v>6219</v>
      </c>
      <c r="K420" s="149" t="s">
        <v>6220</v>
      </c>
      <c r="L420" s="149" t="s">
        <v>6221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6219</v>
      </c>
      <c r="AC420" s="149" t="s">
        <v>6220</v>
      </c>
      <c r="AD420" s="149" t="s">
        <v>6221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>IF(AY420-KD420=0,"",AY420-O420)</f>
        <v/>
      </c>
      <c r="BD420" s="103" t="str">
        <f>IF(AND(AI420&lt;&gt;"SIM",AI420="UH"),"AA","INDENIZAÇÃO")</f>
        <v>AA</v>
      </c>
      <c r="BE420" s="103" t="str">
        <f>IF(AND(AY420&lt;&gt;"AGUARDANDO",AY420&lt;&gt;"",N420="AUXÍLIO ALUGUEL ATÉ INDENIZAÇÃO"),"SIM","NÃO")</f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customHeight="1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6218</v>
      </c>
      <c r="G421" s="112" t="s">
        <v>4330</v>
      </c>
      <c r="H421" s="112" t="s">
        <v>4331</v>
      </c>
      <c r="I421" s="112" t="s">
        <v>4343</v>
      </c>
      <c r="J421" s="150" t="s">
        <v>6222</v>
      </c>
      <c r="K421" s="150" t="s">
        <v>6223</v>
      </c>
      <c r="L421" s="150" t="s">
        <v>6224</v>
      </c>
      <c r="M421" s="112" t="s">
        <v>4333</v>
      </c>
      <c r="N421" s="112" t="s">
        <v>4334</v>
      </c>
      <c r="O421" s="108">
        <v>46127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6222</v>
      </c>
      <c r="AC421" s="150" t="s">
        <v>6223</v>
      </c>
      <c r="AD421" s="150" t="s">
        <v>6224</v>
      </c>
      <c r="AE421" s="112" t="s">
        <v>4343</v>
      </c>
      <c r="AF421" s="112" t="s">
        <v>4333</v>
      </c>
      <c r="AG421" s="194">
        <v>182371.02</v>
      </c>
      <c r="AH421" s="194">
        <v>182371.02</v>
      </c>
      <c r="AI421" s="165" t="s">
        <v>4447</v>
      </c>
      <c r="AJ421" s="104" t="s">
        <v>4438</v>
      </c>
      <c r="AK421" s="103">
        <v>153979063</v>
      </c>
      <c r="AL421" s="103" t="s">
        <v>4338</v>
      </c>
      <c r="AM421" s="103" t="s">
        <v>4338</v>
      </c>
      <c r="AN421" s="103" t="s">
        <v>4339</v>
      </c>
      <c r="AO421" s="112"/>
      <c r="AP421" s="273" t="s">
        <v>6225</v>
      </c>
      <c r="AQ421" s="259" t="s">
        <v>4338</v>
      </c>
      <c r="AR421" s="112" t="s">
        <v>4338</v>
      </c>
      <c r="AS421" s="112" t="s">
        <v>4338</v>
      </c>
      <c r="AT421" s="112" t="s">
        <v>4338</v>
      </c>
      <c r="AU421" s="105">
        <v>46216</v>
      </c>
      <c r="AV421" s="259" t="s">
        <v>4338</v>
      </c>
      <c r="AW421" s="259" t="s">
        <v>4338</v>
      </c>
      <c r="AX421" s="105">
        <v>46223</v>
      </c>
      <c r="AY421" s="282">
        <v>46223</v>
      </c>
      <c r="AZ421" s="109" t="s">
        <v>4453</v>
      </c>
      <c r="BA421" s="107" t="s">
        <v>4454</v>
      </c>
      <c r="BB421" s="136" t="s">
        <v>4338</v>
      </c>
      <c r="BC421" s="220">
        <f>IF(AY421-KD421=0,"",AY421-O421)</f>
        <v>96</v>
      </c>
      <c r="BD421" s="103" t="str">
        <f>IF(AND(AI421&lt;&gt;"SIM",AI421="UH"),"AA","INDENIZAÇÃO")</f>
        <v>INDENIZAÇÃO</v>
      </c>
      <c r="BE421" s="103" t="str">
        <f>IF(AND(AY421&lt;&gt;"AGUARDANDO",AY421&lt;&gt;"",N421="AUXÍLIO ALUGUEL ATÉ INDENIZAÇÃO"),"SIM","NÃO")</f>
        <v>NÃO</v>
      </c>
      <c r="BF421" s="140" t="s">
        <v>4357</v>
      </c>
      <c r="BG421" s="140" t="s">
        <v>4357</v>
      </c>
      <c r="BH421" s="140" t="s">
        <v>4357</v>
      </c>
      <c r="BI421" s="154" t="s">
        <v>4912</v>
      </c>
      <c r="BJ421" s="154"/>
      <c r="BK421" s="154"/>
      <c r="BL421" s="154"/>
      <c r="BM421" s="237"/>
    </row>
    <row r="422" spans="1:107" s="232" customFormat="1" ht="29.25" customHeight="1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6226</v>
      </c>
      <c r="G422" s="103" t="s">
        <v>4330</v>
      </c>
      <c r="H422" s="103" t="s">
        <v>4331</v>
      </c>
      <c r="I422" s="142" t="s">
        <v>4343</v>
      </c>
      <c r="J422" s="149" t="s">
        <v>6227</v>
      </c>
      <c r="K422" s="149" t="s">
        <v>6228</v>
      </c>
      <c r="L422" s="149" t="s">
        <v>6229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6227</v>
      </c>
      <c r="AC422" s="204" t="s">
        <v>6228</v>
      </c>
      <c r="AD422" s="204" t="s">
        <v>6229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>IF(AY422-KD422=0,"",AY422-O422)</f>
        <v/>
      </c>
      <c r="BD422" s="103" t="str">
        <f>IF(AND(AI422&lt;&gt;"SIM",AI422="UH"),"AA","INDENIZAÇÃO")</f>
        <v>AA</v>
      </c>
      <c r="BE422" s="103" t="str">
        <f>IF(AND(AY422&lt;&gt;"AGUARDANDO",AY422&lt;&gt;"",N422="AUXÍLIO ALUGUEL ATÉ INDENIZAÇÃO"),"SIM","NÃO")</f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customHeight="1">
      <c r="A423" s="165">
        <v>413</v>
      </c>
      <c r="B423" s="103" t="s">
        <v>4431</v>
      </c>
      <c r="C423" s="103" t="s">
        <v>4448</v>
      </c>
      <c r="D423" s="103">
        <v>1</v>
      </c>
      <c r="E423" s="103" t="s">
        <v>4432</v>
      </c>
      <c r="F423" s="104" t="s">
        <v>6230</v>
      </c>
      <c r="G423" s="103" t="s">
        <v>4330</v>
      </c>
      <c r="H423" s="103" t="s">
        <v>4342</v>
      </c>
      <c r="I423" s="153" t="s">
        <v>4332</v>
      </c>
      <c r="J423" s="149" t="s">
        <v>6231</v>
      </c>
      <c r="K423" s="149" t="s">
        <v>6232</v>
      </c>
      <c r="L423" s="149" t="s">
        <v>6233</v>
      </c>
      <c r="M423" s="103" t="s">
        <v>4333</v>
      </c>
      <c r="N423" s="103" t="s">
        <v>4459</v>
      </c>
      <c r="O423" s="105">
        <v>46066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6231</v>
      </c>
      <c r="AC423" s="149" t="s">
        <v>6232</v>
      </c>
      <c r="AD423" s="149" t="s">
        <v>6233</v>
      </c>
      <c r="AE423" s="153" t="s">
        <v>4332</v>
      </c>
      <c r="AF423" s="103" t="s">
        <v>4333</v>
      </c>
      <c r="AG423" s="194">
        <v>19667.93</v>
      </c>
      <c r="AH423" s="194">
        <f>AG423+30000</f>
        <v>49667.93</v>
      </c>
      <c r="AI423" s="103" t="s">
        <v>4447</v>
      </c>
      <c r="AJ423" s="104" t="s">
        <v>4438</v>
      </c>
      <c r="AK423" s="103">
        <v>150610340</v>
      </c>
      <c r="AL423" s="103" t="s">
        <v>4338</v>
      </c>
      <c r="AM423" s="103" t="s">
        <v>4338</v>
      </c>
      <c r="AN423" s="103" t="s">
        <v>4339</v>
      </c>
      <c r="AO423" s="103"/>
      <c r="AP423" s="171" t="s">
        <v>6234</v>
      </c>
      <c r="AQ423" s="103" t="s">
        <v>4338</v>
      </c>
      <c r="AR423" s="103" t="s">
        <v>4338</v>
      </c>
      <c r="AS423" s="103" t="s">
        <v>4338</v>
      </c>
      <c r="AT423" s="103" t="s">
        <v>4338</v>
      </c>
      <c r="AU423" s="105">
        <v>46127</v>
      </c>
      <c r="AV423" s="103" t="s">
        <v>4338</v>
      </c>
      <c r="AW423" s="103" t="s">
        <v>4338</v>
      </c>
      <c r="AX423" s="105">
        <v>46139</v>
      </c>
      <c r="AY423" s="106">
        <v>46139</v>
      </c>
      <c r="AZ423" s="106" t="s">
        <v>4453</v>
      </c>
      <c r="BA423" s="107" t="s">
        <v>4454</v>
      </c>
      <c r="BB423" s="136" t="s">
        <v>4338</v>
      </c>
      <c r="BC423" s="220">
        <f>IF(AY423-KD423=0,"",AY423-O423)</f>
        <v>73</v>
      </c>
      <c r="BD423" s="103" t="str">
        <f>IF(AND(AI423&lt;&gt;"SIM",AI423="UH"),"AA","INDENIZAÇÃO")</f>
        <v>INDENIZAÇÃO</v>
      </c>
      <c r="BE423" s="103" t="str">
        <f>IF(AND(AY423&lt;&gt;"AGUARDANDO",AY423&lt;&gt;"",N423="AUXÍLIO ALUGUEL ATÉ INDENIZAÇÃO"),"SIM","NÃO")</f>
        <v>NÃO</v>
      </c>
      <c r="BF423" s="112" t="s">
        <v>4357</v>
      </c>
      <c r="BG423" s="112" t="s">
        <v>4357</v>
      </c>
      <c r="BH423" s="112" t="s">
        <v>4357</v>
      </c>
      <c r="BI423" s="109" t="s">
        <v>4912</v>
      </c>
      <c r="BJ423" s="109"/>
      <c r="BK423" s="109"/>
      <c r="BL423" s="109"/>
      <c r="BM423" s="239"/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customHeight="1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6230</v>
      </c>
      <c r="G424" s="103" t="s">
        <v>4330</v>
      </c>
      <c r="H424" s="103" t="s">
        <v>4331</v>
      </c>
      <c r="I424" s="98" t="s">
        <v>4343</v>
      </c>
      <c r="J424" s="149" t="s">
        <v>6235</v>
      </c>
      <c r="K424" s="149" t="s">
        <v>6236</v>
      </c>
      <c r="L424" s="149" t="s">
        <v>6237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6235</v>
      </c>
      <c r="AC424" s="149" t="s">
        <v>6236</v>
      </c>
      <c r="AD424" s="149" t="s">
        <v>6237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>IF(AY424-KD424=0,"",AY424-O424)</f>
        <v/>
      </c>
      <c r="BD424" s="103" t="str">
        <f>IF(AND(AI424&lt;&gt;"SIM",AI424="UH"),"AA","INDENIZAÇÃO")</f>
        <v>INDENIZAÇÃO</v>
      </c>
      <c r="BE424" s="103" t="str">
        <f>IF(AND(AY424&lt;&gt;"AGUARDANDO",AY424&lt;&gt;"",N424="AUXÍLIO ALUGUEL ATÉ INDENIZAÇÃO"),"SIM","NÃO")</f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customHeight="1">
      <c r="A425" s="165">
        <v>415</v>
      </c>
      <c r="B425" s="103" t="s">
        <v>4431</v>
      </c>
      <c r="C425" s="103" t="s">
        <v>4448</v>
      </c>
      <c r="D425" s="103">
        <v>1</v>
      </c>
      <c r="E425" s="103" t="s">
        <v>4432</v>
      </c>
      <c r="F425" s="104" t="s">
        <v>6238</v>
      </c>
      <c r="G425" s="103" t="s">
        <v>4330</v>
      </c>
      <c r="H425" s="103" t="s">
        <v>4331</v>
      </c>
      <c r="I425" s="142" t="s">
        <v>4343</v>
      </c>
      <c r="J425" s="149" t="s">
        <v>6239</v>
      </c>
      <c r="K425" s="149" t="s">
        <v>6240</v>
      </c>
      <c r="L425" s="149" t="s">
        <v>6241</v>
      </c>
      <c r="M425" s="103" t="s">
        <v>4333</v>
      </c>
      <c r="N425" s="103" t="s">
        <v>4459</v>
      </c>
      <c r="O425" s="105">
        <v>46048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6239</v>
      </c>
      <c r="AC425" s="149" t="s">
        <v>6240</v>
      </c>
      <c r="AD425" s="149" t="s">
        <v>6241</v>
      </c>
      <c r="AE425" s="103" t="s">
        <v>4343</v>
      </c>
      <c r="AF425" s="103" t="s">
        <v>4333</v>
      </c>
      <c r="AG425" s="194">
        <v>11043.71</v>
      </c>
      <c r="AH425" s="194">
        <f>AG425+30000</f>
        <v>41043.71</v>
      </c>
      <c r="AI425" s="103" t="s">
        <v>4447</v>
      </c>
      <c r="AJ425" s="104" t="s">
        <v>4438</v>
      </c>
      <c r="AK425" s="103">
        <v>150959451</v>
      </c>
      <c r="AL425" s="103" t="s">
        <v>4338</v>
      </c>
      <c r="AM425" s="103" t="s">
        <v>4338</v>
      </c>
      <c r="AN425" s="103" t="s">
        <v>4339</v>
      </c>
      <c r="AO425" s="103"/>
      <c r="AP425" s="171" t="s">
        <v>6242</v>
      </c>
      <c r="AQ425" s="103" t="s">
        <v>4338</v>
      </c>
      <c r="AR425" s="103" t="s">
        <v>4338</v>
      </c>
      <c r="AS425" s="103" t="s">
        <v>4338</v>
      </c>
      <c r="AT425" s="103" t="s">
        <v>4338</v>
      </c>
      <c r="AU425" s="105">
        <v>46127</v>
      </c>
      <c r="AV425" s="103" t="s">
        <v>4338</v>
      </c>
      <c r="AW425" s="103" t="s">
        <v>4338</v>
      </c>
      <c r="AX425" s="105">
        <v>46139</v>
      </c>
      <c r="AY425" s="106">
        <v>46139</v>
      </c>
      <c r="AZ425" s="106" t="s">
        <v>4453</v>
      </c>
      <c r="BA425" s="107" t="s">
        <v>4454</v>
      </c>
      <c r="BB425" s="136" t="s">
        <v>4338</v>
      </c>
      <c r="BC425" s="220">
        <f>IF(AY425-KD425=0,"",AY425-O425)</f>
        <v>91</v>
      </c>
      <c r="BD425" s="103" t="str">
        <f>IF(AND(AI425&lt;&gt;"SIM",AI425="UH"),"AA","INDENIZAÇÃO")</f>
        <v>INDENIZAÇÃO</v>
      </c>
      <c r="BE425" s="103" t="str">
        <f>IF(AND(AY425&lt;&gt;"AGUARDANDO",AY425&lt;&gt;"",N425="AUXÍLIO ALUGUEL ATÉ INDENIZAÇÃO"),"SIM","NÃO")</f>
        <v>NÃO</v>
      </c>
      <c r="BF425" s="112" t="s">
        <v>4357</v>
      </c>
      <c r="BG425" s="112" t="s">
        <v>4357</v>
      </c>
      <c r="BH425" s="112" t="s">
        <v>4357</v>
      </c>
      <c r="BI425" s="109" t="s">
        <v>4912</v>
      </c>
      <c r="BJ425" s="109"/>
      <c r="BK425" s="109"/>
      <c r="BL425" s="109"/>
      <c r="BM425" s="239"/>
    </row>
    <row r="426" spans="1:107" s="232" customFormat="1" ht="29.25" customHeight="1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6238</v>
      </c>
      <c r="G426" s="103" t="s">
        <v>4330</v>
      </c>
      <c r="H426" s="103" t="s">
        <v>4331</v>
      </c>
      <c r="I426" s="103" t="s">
        <v>4343</v>
      </c>
      <c r="J426" s="149" t="s">
        <v>6243</v>
      </c>
      <c r="K426" s="149" t="s">
        <v>6244</v>
      </c>
      <c r="L426" s="149" t="s">
        <v>6245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6243</v>
      </c>
      <c r="AC426" s="149" t="s">
        <v>6244</v>
      </c>
      <c r="AD426" s="149" t="s">
        <v>6245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>IF(AY426-KD426=0,"",AY426-O426)</f>
        <v/>
      </c>
      <c r="BD426" s="103" t="str">
        <f>IF(AND(AI426&lt;&gt;"SIM",AI426="UH"),"AA","INDENIZAÇÃO")</f>
        <v>AA</v>
      </c>
      <c r="BE426" s="103" t="str">
        <f>IF(AND(AY426&lt;&gt;"AGUARDANDO",AY426&lt;&gt;"",N426="AUXÍLIO ALUGUEL ATÉ INDENIZAÇÃO"),"SIM","NÃO")</f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customHeight="1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6246</v>
      </c>
      <c r="G427" s="103" t="s">
        <v>4330</v>
      </c>
      <c r="H427" s="103" t="s">
        <v>4331</v>
      </c>
      <c r="I427" s="142" t="s">
        <v>4440</v>
      </c>
      <c r="J427" s="149" t="s">
        <v>6247</v>
      </c>
      <c r="K427" s="149" t="s">
        <v>6248</v>
      </c>
      <c r="L427" s="149" t="s">
        <v>6249</v>
      </c>
      <c r="M427" s="103" t="s">
        <v>4333</v>
      </c>
      <c r="N427" s="103" t="s">
        <v>4345</v>
      </c>
      <c r="O427" s="105">
        <v>46111</v>
      </c>
      <c r="P427" s="105">
        <v>46002</v>
      </c>
      <c r="Q427" s="105" t="s">
        <v>4436</v>
      </c>
      <c r="R427" s="105">
        <v>45999</v>
      </c>
      <c r="S427" s="105">
        <v>46006</v>
      </c>
      <c r="T427" s="105">
        <v>46006</v>
      </c>
      <c r="U427" s="105">
        <v>46009</v>
      </c>
      <c r="V427" s="105" t="s">
        <v>4437</v>
      </c>
      <c r="W427" s="105" t="s">
        <v>4437</v>
      </c>
      <c r="X427" s="105">
        <v>46014</v>
      </c>
      <c r="Y427" s="105">
        <v>46017</v>
      </c>
      <c r="Z427" s="105"/>
      <c r="AA427" s="103"/>
      <c r="AB427" s="149" t="s">
        <v>6250</v>
      </c>
      <c r="AC427" s="149" t="s">
        <v>6251</v>
      </c>
      <c r="AD427" s="149" t="s">
        <v>6252</v>
      </c>
      <c r="AE427" s="142" t="s">
        <v>4332</v>
      </c>
      <c r="AF427" s="103" t="s">
        <v>4333</v>
      </c>
      <c r="AG427" s="194">
        <v>24255.09</v>
      </c>
      <c r="AH427" s="194">
        <v>24255.09</v>
      </c>
      <c r="AI427" s="103" t="s">
        <v>4447</v>
      </c>
      <c r="AJ427" s="104" t="s">
        <v>4438</v>
      </c>
      <c r="AK427" s="103">
        <v>150610433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6253</v>
      </c>
      <c r="AQ427" s="143" t="s">
        <v>4338</v>
      </c>
      <c r="AR427" s="143" t="s">
        <v>4338</v>
      </c>
      <c r="AS427" s="103" t="s">
        <v>4338</v>
      </c>
      <c r="AT427" s="103" t="s">
        <v>4338</v>
      </c>
      <c r="AU427" s="105">
        <v>46150</v>
      </c>
      <c r="AV427" s="103" t="s">
        <v>4338</v>
      </c>
      <c r="AW427" s="103" t="s">
        <v>4338</v>
      </c>
      <c r="AX427" s="105">
        <v>46161</v>
      </c>
      <c r="AY427" s="106">
        <v>46161</v>
      </c>
      <c r="AZ427" s="107" t="s">
        <v>4453</v>
      </c>
      <c r="BA427" s="107" t="s">
        <v>4454</v>
      </c>
      <c r="BB427" s="112" t="s">
        <v>4338</v>
      </c>
      <c r="BC427" s="220">
        <f>IF(AY427-KD427=0,"",AY427-O427)</f>
        <v>50</v>
      </c>
      <c r="BD427" s="103" t="str">
        <f>IF(AND(AI427&lt;&gt;"SIM",AI427="UH"),"AA","INDENIZAÇÃO")</f>
        <v>INDENIZAÇÃO</v>
      </c>
      <c r="BE427" s="103" t="str">
        <f>IF(AND(AY427&lt;&gt;"AGUARDANDO",AY427&lt;&gt;"",N427="AUXÍLIO ALUGUEL ATÉ INDENIZAÇÃO"),"SIM","NÃO")</f>
        <v>NÃO</v>
      </c>
      <c r="BF427" s="112" t="s">
        <v>4357</v>
      </c>
      <c r="BG427" s="112" t="s">
        <v>4357</v>
      </c>
      <c r="BH427" s="112" t="s">
        <v>4357</v>
      </c>
      <c r="BI427" s="109" t="s">
        <v>4912</v>
      </c>
      <c r="BJ427" s="109"/>
      <c r="BK427" s="109"/>
      <c r="BL427" s="109"/>
      <c r="BM427" s="239"/>
      <c r="BN427" s="231"/>
      <c r="BO427" s="231"/>
    </row>
    <row r="428" spans="1:107" s="232" customFormat="1" ht="29.25" customHeight="1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6254</v>
      </c>
      <c r="G428" s="103" t="s">
        <v>4330</v>
      </c>
      <c r="H428" s="103" t="s">
        <v>4331</v>
      </c>
      <c r="I428" s="142" t="s">
        <v>4343</v>
      </c>
      <c r="J428" s="149" t="s">
        <v>6255</v>
      </c>
      <c r="K428" s="149" t="s">
        <v>4432</v>
      </c>
      <c r="L428" s="149" t="s">
        <v>6256</v>
      </c>
      <c r="M428" s="103" t="s">
        <v>4333</v>
      </c>
      <c r="N428" s="103" t="s">
        <v>4459</v>
      </c>
      <c r="O428" s="105">
        <v>46001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6255</v>
      </c>
      <c r="AC428" s="149" t="s">
        <v>4432</v>
      </c>
      <c r="AD428" s="149" t="s">
        <v>6256</v>
      </c>
      <c r="AE428" s="103" t="s">
        <v>4343</v>
      </c>
      <c r="AF428" s="103" t="s">
        <v>4333</v>
      </c>
      <c r="AG428" s="194">
        <v>24160.23</v>
      </c>
      <c r="AH428" s="194">
        <f>AG428+30000</f>
        <v>54160.229999999996</v>
      </c>
      <c r="AI428" s="103" t="s">
        <v>4336</v>
      </c>
      <c r="AJ428" s="104" t="s">
        <v>4438</v>
      </c>
      <c r="AK428" s="103">
        <v>147058442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6257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46020</v>
      </c>
      <c r="AV428" s="112" t="s">
        <v>4338</v>
      </c>
      <c r="AW428" s="103" t="s">
        <v>4338</v>
      </c>
      <c r="AX428" s="166">
        <v>46024</v>
      </c>
      <c r="AY428" s="106">
        <v>46024</v>
      </c>
      <c r="AZ428" s="157" t="s">
        <v>4453</v>
      </c>
      <c r="BA428" s="107" t="s">
        <v>4454</v>
      </c>
      <c r="BB428" s="136" t="s">
        <v>4338</v>
      </c>
      <c r="BC428" s="220">
        <f>IF(AY428-KD428=0,"",AY428-O428)</f>
        <v>23</v>
      </c>
      <c r="BD428" s="103" t="str">
        <f>IF(AND(AI428&lt;&gt;"SIM",AI428="UH"),"AA","INDENIZAÇÃO")</f>
        <v>INDENIZAÇÃO</v>
      </c>
      <c r="BE428" s="103" t="str">
        <f>IF(AND(AY428&lt;&gt;"AGUARDANDO",AY428&lt;&gt;"",N428="AUXÍLIO ALUGUEL ATÉ INDENIZAÇÃO"),"SIM","NÃO")</f>
        <v>NÃO</v>
      </c>
      <c r="BF428" s="140" t="s">
        <v>4357</v>
      </c>
      <c r="BG428" s="140" t="s">
        <v>4357</v>
      </c>
      <c r="BH428" s="140" t="s">
        <v>4357</v>
      </c>
      <c r="BI428" s="154" t="s">
        <v>4912</v>
      </c>
      <c r="BJ428" s="154"/>
      <c r="BK428" s="154"/>
      <c r="BL428" s="154"/>
      <c r="BM428" s="237"/>
    </row>
    <row r="429" spans="1:107" s="232" customFormat="1" ht="29.25" customHeight="1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4343</v>
      </c>
      <c r="J429" s="149" t="s">
        <v>6259</v>
      </c>
      <c r="K429" s="149" t="s">
        <v>6260</v>
      </c>
      <c r="L429" s="149" t="s">
        <v>6261</v>
      </c>
      <c r="M429" s="103" t="s">
        <v>4333</v>
      </c>
      <c r="N429" s="103" t="s">
        <v>4459</v>
      </c>
      <c r="O429" s="105">
        <v>46001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6259</v>
      </c>
      <c r="AC429" s="149" t="s">
        <v>6260</v>
      </c>
      <c r="AD429" s="149" t="s">
        <v>6261</v>
      </c>
      <c r="AE429" s="103" t="s">
        <v>4343</v>
      </c>
      <c r="AF429" s="103" t="s">
        <v>4333</v>
      </c>
      <c r="AG429" s="194">
        <v>22050.51</v>
      </c>
      <c r="AH429" s="194">
        <f>AG429+30000</f>
        <v>52050.509999999995</v>
      </c>
      <c r="AI429" s="103" t="s">
        <v>4336</v>
      </c>
      <c r="AJ429" s="104" t="s">
        <v>4438</v>
      </c>
      <c r="AK429" s="103">
        <v>147058948</v>
      </c>
      <c r="AL429" s="103" t="s">
        <v>4338</v>
      </c>
      <c r="AM429" s="103" t="s">
        <v>4338</v>
      </c>
      <c r="AN429" s="103" t="s">
        <v>4339</v>
      </c>
      <c r="AO429" s="112"/>
      <c r="AP429" s="171" t="s">
        <v>6262</v>
      </c>
      <c r="AQ429" s="103" t="s">
        <v>4338</v>
      </c>
      <c r="AR429" s="103" t="s">
        <v>4338</v>
      </c>
      <c r="AS429" s="103" t="s">
        <v>4338</v>
      </c>
      <c r="AT429" s="103" t="s">
        <v>4338</v>
      </c>
      <c r="AU429" s="105">
        <v>46009</v>
      </c>
      <c r="AV429" s="112" t="s">
        <v>4338</v>
      </c>
      <c r="AW429" s="103" t="s">
        <v>4338</v>
      </c>
      <c r="AX429" s="111">
        <v>46021</v>
      </c>
      <c r="AY429" s="157">
        <v>46021</v>
      </c>
      <c r="AZ429" s="106" t="s">
        <v>4453</v>
      </c>
      <c r="BA429" s="107" t="s">
        <v>4454</v>
      </c>
      <c r="BB429" s="136" t="s">
        <v>4338</v>
      </c>
      <c r="BC429" s="220">
        <f>IF(AY429-KD429=0,"",AY429-O429)</f>
        <v>20</v>
      </c>
      <c r="BD429" s="103" t="str">
        <f>IF(AND(AI429&lt;&gt;"SIM",AI429="UH"),"AA","INDENIZAÇÃO")</f>
        <v>INDENIZAÇÃO</v>
      </c>
      <c r="BE429" s="103" t="str">
        <f>IF(AND(AY429&lt;&gt;"AGUARDANDO",AY429&lt;&gt;"",N429="AUXÍLIO ALUGUEL ATÉ INDENIZAÇÃO"),"SIM","NÃO")</f>
        <v>NÃO</v>
      </c>
      <c r="BF429" s="140" t="s">
        <v>4357</v>
      </c>
      <c r="BG429" s="140" t="s">
        <v>4357</v>
      </c>
      <c r="BH429" s="140" t="s">
        <v>4357</v>
      </c>
      <c r="BI429" s="103" t="s">
        <v>4338</v>
      </c>
      <c r="BJ429" s="103" t="s">
        <v>4338</v>
      </c>
      <c r="BK429" s="105">
        <v>46205</v>
      </c>
      <c r="BL429" s="154" t="s">
        <v>4461</v>
      </c>
      <c r="BM429" s="237"/>
    </row>
    <row r="430" spans="1:107" s="232" customFormat="1" ht="29.25" customHeight="1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6263</v>
      </c>
      <c r="G430" s="103" t="s">
        <v>4330</v>
      </c>
      <c r="H430" s="103" t="s">
        <v>4331</v>
      </c>
      <c r="I430" s="142" t="s">
        <v>4440</v>
      </c>
      <c r="J430" s="149" t="s">
        <v>6264</v>
      </c>
      <c r="K430" s="149" t="s">
        <v>6265</v>
      </c>
      <c r="L430" s="149" t="s">
        <v>6266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6267</v>
      </c>
      <c r="AC430" s="149" t="s">
        <v>6265</v>
      </c>
      <c r="AD430" s="149" t="s">
        <v>6268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>IF(AY430-KD430=0,"",AY430-O430)</f>
        <v/>
      </c>
      <c r="BD430" s="103" t="str">
        <f>IF(AND(AI430&lt;&gt;"SIM",AI430="UH"),"AA","INDENIZAÇÃO")</f>
        <v>INDENIZAÇÃO</v>
      </c>
      <c r="BE430" s="103" t="str">
        <f>IF(AND(AY430&lt;&gt;"AGUARDANDO",AY430&lt;&gt;"",N430="AUXÍLIO ALUGUEL ATÉ INDENIZAÇÃO"),"SIM","NÃO")</f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customHeight="1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6269</v>
      </c>
      <c r="G431" s="103" t="s">
        <v>4330</v>
      </c>
      <c r="H431" s="103" t="s">
        <v>4331</v>
      </c>
      <c r="I431" s="142" t="s">
        <v>4343</v>
      </c>
      <c r="J431" s="149" t="s">
        <v>6270</v>
      </c>
      <c r="K431" s="149" t="s">
        <v>6271</v>
      </c>
      <c r="L431" s="149" t="s">
        <v>6272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6270</v>
      </c>
      <c r="AC431" s="149" t="s">
        <v>6271</v>
      </c>
      <c r="AD431" s="149" t="s">
        <v>6272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>IF(AY431-KD431=0,"",AY431-O431)</f>
        <v/>
      </c>
      <c r="BD431" s="103" t="str">
        <f>IF(AND(AI431&lt;&gt;"SIM",AI431="UH"),"AA","INDENIZAÇÃO")</f>
        <v>AA</v>
      </c>
      <c r="BE431" s="103" t="str">
        <f>IF(AND(AY431&lt;&gt;"AGUARDANDO",AY431&lt;&gt;"",N431="AUXÍLIO ALUGUEL ATÉ INDENIZAÇÃO"),"SIM","NÃO")</f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customHeight="1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6273</v>
      </c>
      <c r="G432" s="103" t="s">
        <v>4330</v>
      </c>
      <c r="H432" s="103" t="s">
        <v>4331</v>
      </c>
      <c r="I432" s="142" t="s">
        <v>4343</v>
      </c>
      <c r="J432" s="149" t="s">
        <v>6274</v>
      </c>
      <c r="K432" s="149" t="s">
        <v>6275</v>
      </c>
      <c r="L432" s="149" t="s">
        <v>6276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6274</v>
      </c>
      <c r="AC432" s="149" t="s">
        <v>6275</v>
      </c>
      <c r="AD432" s="149" t="s">
        <v>6276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>IF(AY432-KD432=0,"",AY432-O432)</f>
        <v/>
      </c>
      <c r="BD432" s="103" t="str">
        <f>IF(AND(AI432&lt;&gt;"SIM",AI432="UH"),"AA","INDENIZAÇÃO")</f>
        <v>AA</v>
      </c>
      <c r="BE432" s="103" t="str">
        <f>IF(AND(AY432&lt;&gt;"AGUARDANDO",AY432&lt;&gt;"",N432="AUXÍLIO ALUGUEL ATÉ INDENIZAÇÃO"),"SIM","NÃO")</f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6277</v>
      </c>
      <c r="G433" s="103" t="s">
        <v>4330</v>
      </c>
      <c r="H433" s="103" t="s">
        <v>4331</v>
      </c>
      <c r="I433" s="142" t="s">
        <v>4343</v>
      </c>
      <c r="J433" s="149" t="s">
        <v>6278</v>
      </c>
      <c r="K433" s="149" t="s">
        <v>4432</v>
      </c>
      <c r="L433" s="149" t="s">
        <v>6279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6278</v>
      </c>
      <c r="AC433" s="204" t="s">
        <v>4432</v>
      </c>
      <c r="AD433" s="204" t="s">
        <v>6279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6280</v>
      </c>
      <c r="AQ433" s="143" t="s">
        <v>4338</v>
      </c>
      <c r="AR433" s="103" t="s">
        <v>4338</v>
      </c>
      <c r="AS433" s="103" t="s">
        <v>4822</v>
      </c>
      <c r="AT433" s="103" t="s">
        <v>4822</v>
      </c>
      <c r="AU433" s="105">
        <v>46233</v>
      </c>
      <c r="AV433" s="103" t="s">
        <v>4822</v>
      </c>
      <c r="AW433" s="103" t="s">
        <v>4822</v>
      </c>
      <c r="AX433" s="105">
        <v>46234</v>
      </c>
      <c r="AY433" s="106" t="s">
        <v>4453</v>
      </c>
      <c r="AZ433" s="106"/>
      <c r="BA433" s="107" t="s">
        <v>4330</v>
      </c>
      <c r="BB433" s="136"/>
      <c r="BC433" s="220" t="e">
        <f>IF(AY433-KD433=0,"",AY433-O433)</f>
        <v>#VALUE!</v>
      </c>
      <c r="BD433" s="103" t="str">
        <f>IF(AND(AI433&lt;&gt;"SIM",AI433="UH"),"AA","INDENIZAÇÃO")</f>
        <v>INDENIZAÇÃO</v>
      </c>
      <c r="BE433" s="103" t="str">
        <f>IF(AND(AY433&lt;&gt;"AGUARDANDO",AY433&lt;&gt;"",N433="AUXÍLIO ALUGUEL ATÉ INDENIZAÇÃO"),"SIM","NÃO")</f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customHeight="1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6281</v>
      </c>
      <c r="G434" s="103" t="s">
        <v>4330</v>
      </c>
      <c r="H434" s="103" t="s">
        <v>4331</v>
      </c>
      <c r="I434" s="142" t="s">
        <v>4343</v>
      </c>
      <c r="J434" s="149" t="s">
        <v>6282</v>
      </c>
      <c r="K434" s="149" t="s">
        <v>6283</v>
      </c>
      <c r="L434" s="149" t="s">
        <v>6284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6282</v>
      </c>
      <c r="AC434" s="149" t="s">
        <v>6283</v>
      </c>
      <c r="AD434" s="149" t="s">
        <v>6284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>IF(AY434-KD434=0,"",AY434-O434)</f>
        <v/>
      </c>
      <c r="BD434" s="103" t="str">
        <f>IF(AND(AI434&lt;&gt;"SIM",AI434="UH"),"AA","INDENIZAÇÃO")</f>
        <v>AA</v>
      </c>
      <c r="BE434" s="103" t="str">
        <f>IF(AND(AY434&lt;&gt;"AGUARDANDO",AY434&lt;&gt;"",N434="AUXÍLIO ALUGUEL ATÉ INDENIZAÇÃO"),"SIM","NÃO")</f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customHeight="1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6285</v>
      </c>
      <c r="G435" s="103" t="s">
        <v>4330</v>
      </c>
      <c r="H435" s="103" t="s">
        <v>4331</v>
      </c>
      <c r="I435" s="142" t="s">
        <v>4343</v>
      </c>
      <c r="J435" s="149" t="s">
        <v>6286</v>
      </c>
      <c r="K435" s="149" t="s">
        <v>6287</v>
      </c>
      <c r="L435" s="149" t="s">
        <v>6288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6286</v>
      </c>
      <c r="AC435" s="149" t="s">
        <v>6287</v>
      </c>
      <c r="AD435" s="149" t="s">
        <v>6288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>IF(AY435-KD435=0,"",AY435-O435)</f>
        <v/>
      </c>
      <c r="BD435" s="103" t="str">
        <f>IF(AND(AI435&lt;&gt;"SIM",AI435="UH"),"AA","INDENIZAÇÃO")</f>
        <v>AA</v>
      </c>
      <c r="BE435" s="103" t="str">
        <f>IF(AND(AY435&lt;&gt;"AGUARDANDO",AY435&lt;&gt;"",N435="AUXÍLIO ALUGUEL ATÉ INDENIZAÇÃO"),"SIM","NÃO")</f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customHeight="1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6289</v>
      </c>
      <c r="G436" s="103" t="s">
        <v>4330</v>
      </c>
      <c r="H436" s="103" t="s">
        <v>4331</v>
      </c>
      <c r="I436" s="142" t="s">
        <v>4343</v>
      </c>
      <c r="J436" s="114" t="s">
        <v>6290</v>
      </c>
      <c r="K436" s="149" t="s">
        <v>6291</v>
      </c>
      <c r="L436" s="149" t="s">
        <v>6292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6290</v>
      </c>
      <c r="AC436" s="149" t="s">
        <v>6291</v>
      </c>
      <c r="AD436" s="149" t="s">
        <v>6292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>IF(AY436-KD436=0,"",AY436-O436)</f>
        <v/>
      </c>
      <c r="BD436" s="103" t="str">
        <f>IF(AND(AI436&lt;&gt;"SIM",AI436="UH"),"AA","INDENIZAÇÃO")</f>
        <v>AA</v>
      </c>
      <c r="BE436" s="103" t="str">
        <f>IF(AND(AY436&lt;&gt;"AGUARDANDO",AY436&lt;&gt;"",N436="AUXÍLIO ALUGUEL ATÉ INDENIZAÇÃO"),"SIM","NÃO")</f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customHeight="1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6293</v>
      </c>
      <c r="G437" s="103" t="s">
        <v>4330</v>
      </c>
      <c r="H437" s="103" t="s">
        <v>4331</v>
      </c>
      <c r="I437" s="142" t="s">
        <v>4343</v>
      </c>
      <c r="J437" s="149" t="s">
        <v>6294</v>
      </c>
      <c r="K437" s="149" t="s">
        <v>4457</v>
      </c>
      <c r="L437" s="149" t="s">
        <v>6295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6294</v>
      </c>
      <c r="AC437" s="149" t="s">
        <v>4457</v>
      </c>
      <c r="AD437" s="149" t="s">
        <v>6295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>IF(AY437-KD437=0,"",AY437-O437)</f>
        <v/>
      </c>
      <c r="BD437" s="103" t="str">
        <f>IF(AND(AI437&lt;&gt;"SIM",AI437="UH"),"AA","INDENIZAÇÃO")</f>
        <v>AA</v>
      </c>
      <c r="BE437" s="103" t="str">
        <f>IF(AND(AY437&lt;&gt;"AGUARDANDO",AY437&lt;&gt;"",N437="AUXÍLIO ALUGUEL ATÉ INDENIZAÇÃO"),"SIM","NÃO")</f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customHeight="1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6296</v>
      </c>
      <c r="G438" s="103" t="s">
        <v>4330</v>
      </c>
      <c r="H438" s="103" t="s">
        <v>4331</v>
      </c>
      <c r="I438" s="142" t="s">
        <v>4343</v>
      </c>
      <c r="J438" s="149" t="s">
        <v>6297</v>
      </c>
      <c r="K438" s="149" t="s">
        <v>4457</v>
      </c>
      <c r="L438" s="149" t="s">
        <v>6298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6297</v>
      </c>
      <c r="AC438" s="204" t="s">
        <v>4457</v>
      </c>
      <c r="AD438" s="204" t="s">
        <v>6298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>IF(AY438-KD438=0,"",AY438-O438)</f>
        <v/>
      </c>
      <c r="BD438" s="103" t="str">
        <f>IF(AND(AI438&lt;&gt;"SIM",AI438="UH"),"AA","INDENIZAÇÃO")</f>
        <v>AA</v>
      </c>
      <c r="BE438" s="103" t="str">
        <f>IF(AND(AY438&lt;&gt;"AGUARDANDO",AY438&lt;&gt;"",N438="AUXÍLIO ALUGUEL ATÉ INDENIZAÇÃO"),"SIM","NÃO")</f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customHeight="1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6299</v>
      </c>
      <c r="G439" s="103" t="s">
        <v>4330</v>
      </c>
      <c r="H439" s="103" t="s">
        <v>4331</v>
      </c>
      <c r="I439" s="142" t="s">
        <v>4343</v>
      </c>
      <c r="J439" s="149" t="s">
        <v>6300</v>
      </c>
      <c r="K439" s="149" t="s">
        <v>6301</v>
      </c>
      <c r="L439" s="149" t="s">
        <v>6302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6300</v>
      </c>
      <c r="AC439" s="149" t="s">
        <v>6303</v>
      </c>
      <c r="AD439" s="149" t="s">
        <v>6302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4347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>IF(AY439-KD439=0,"",AY439-O439)</f>
        <v/>
      </c>
      <c r="BD439" s="103" t="str">
        <f>IF(AND(AI439&lt;&gt;"SIM",AI439="UH"),"AA","INDENIZAÇÃO")</f>
        <v>INDENIZAÇÃO</v>
      </c>
      <c r="BE439" s="103" t="str">
        <f>IF(AND(AY439&lt;&gt;"AGUARDANDO",AY439&lt;&gt;"",N439="AUXÍLIO ALUGUEL ATÉ INDENIZAÇÃO"),"SIM","NÃO")</f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customHeight="1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6304</v>
      </c>
      <c r="G440" s="103" t="s">
        <v>4351</v>
      </c>
      <c r="H440" s="103" t="s">
        <v>4351</v>
      </c>
      <c r="I440" s="153" t="s">
        <v>4332</v>
      </c>
      <c r="J440" s="149" t="s">
        <v>6305</v>
      </c>
      <c r="K440" s="149" t="s">
        <v>6306</v>
      </c>
      <c r="L440" s="149" t="s">
        <v>6307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6305</v>
      </c>
      <c r="AC440" s="149" t="s">
        <v>6306</v>
      </c>
      <c r="AD440" s="149" t="s">
        <v>6307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>IF(AY440-KD440=0,"",AY440-O440)</f>
        <v/>
      </c>
      <c r="BD440" s="103" t="str">
        <f>IF(AND(AI440&lt;&gt;"SIM",AI440="UH"),"AA","INDENIZAÇÃO")</f>
        <v>INDENIZAÇÃO</v>
      </c>
      <c r="BE440" s="103" t="str">
        <f>IF(AND(AY440&lt;&gt;"AGUARDANDO",AY440&lt;&gt;"",N440="AUXÍLIO ALUGUEL ATÉ INDENIZAÇÃO"),"SIM","NÃO")</f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customHeight="1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6308</v>
      </c>
      <c r="G441" s="103" t="s">
        <v>4330</v>
      </c>
      <c r="H441" s="103" t="s">
        <v>4331</v>
      </c>
      <c r="I441" s="246" t="s">
        <v>4343</v>
      </c>
      <c r="J441" s="149" t="s">
        <v>6309</v>
      </c>
      <c r="K441" s="149" t="s">
        <v>6310</v>
      </c>
      <c r="L441" s="149" t="s">
        <v>6311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6309</v>
      </c>
      <c r="AC441" s="149" t="s">
        <v>6310</v>
      </c>
      <c r="AD441" s="149" t="s">
        <v>6311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>IF(AY441-KD441=0,"",AY441-O441)</f>
        <v/>
      </c>
      <c r="BD441" s="103" t="str">
        <f>IF(AND(AI441&lt;&gt;"SIM",AI441="UH"),"AA","INDENIZAÇÃO")</f>
        <v>AA</v>
      </c>
      <c r="BE441" s="103" t="str">
        <f>IF(AND(AY441&lt;&gt;"AGUARDANDO",AY441&lt;&gt;"",N441="AUXÍLIO ALUGUEL ATÉ INDENIZAÇÃO"),"SIM","NÃO")</f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6312</v>
      </c>
      <c r="G442" s="103" t="s">
        <v>4330</v>
      </c>
      <c r="H442" s="103" t="s">
        <v>4331</v>
      </c>
      <c r="I442" s="142" t="s">
        <v>4343</v>
      </c>
      <c r="J442" s="149" t="s">
        <v>6313</v>
      </c>
      <c r="K442" s="149" t="s">
        <v>6314</v>
      </c>
      <c r="L442" s="149" t="s">
        <v>6315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6316</v>
      </c>
      <c r="AC442" s="204" t="s">
        <v>6314</v>
      </c>
      <c r="AD442" s="204" t="s">
        <v>6315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6317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4453</v>
      </c>
      <c r="AZ442" s="106"/>
      <c r="BA442" s="107" t="s">
        <v>4330</v>
      </c>
      <c r="BB442" s="136"/>
      <c r="BC442" s="220" t="e">
        <f>IF(AY442-KD442=0,"",AY442-O442)</f>
        <v>#VALUE!</v>
      </c>
      <c r="BD442" s="103" t="str">
        <f>IF(AND(AI442&lt;&gt;"SIM",AI442="UH"),"AA","INDENIZAÇÃO")</f>
        <v>INDENIZAÇÃO</v>
      </c>
      <c r="BE442" s="103" t="str">
        <f>IF(AND(AY442&lt;&gt;"AGUARDANDO",AY442&lt;&gt;"",N442="AUXÍLIO ALUGUEL ATÉ INDENIZAÇÃO"),"SIM","NÃO")</f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6318</v>
      </c>
      <c r="G443" s="103" t="s">
        <v>4330</v>
      </c>
      <c r="H443" s="103" t="s">
        <v>4342</v>
      </c>
      <c r="I443" s="153" t="s">
        <v>4332</v>
      </c>
      <c r="J443" s="149" t="s">
        <v>6319</v>
      </c>
      <c r="K443" s="149" t="s">
        <v>6320</v>
      </c>
      <c r="L443" s="149" t="s">
        <v>6321</v>
      </c>
      <c r="M443" s="103" t="s">
        <v>4333</v>
      </c>
      <c r="N443" s="103" t="s">
        <v>4459</v>
      </c>
      <c r="O443" s="105">
        <v>46111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306" t="s">
        <v>6319</v>
      </c>
      <c r="AC443" s="149" t="s">
        <v>6320</v>
      </c>
      <c r="AD443" s="149" t="s">
        <v>6321</v>
      </c>
      <c r="AE443" s="153" t="s">
        <v>4332</v>
      </c>
      <c r="AF443" s="103" t="s">
        <v>4333</v>
      </c>
      <c r="AG443" s="194">
        <v>88066.78</v>
      </c>
      <c r="AH443" s="194">
        <v>88066.78</v>
      </c>
      <c r="AI443" s="103" t="s">
        <v>4336</v>
      </c>
      <c r="AJ443" s="104" t="s">
        <v>4438</v>
      </c>
      <c r="AK443" s="103">
        <v>150610887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6322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46161</v>
      </c>
      <c r="AY443" s="106">
        <v>46161</v>
      </c>
      <c r="AZ443" s="106" t="s">
        <v>4453</v>
      </c>
      <c r="BA443" s="107" t="s">
        <v>4454</v>
      </c>
      <c r="BB443" s="112" t="s">
        <v>4338</v>
      </c>
      <c r="BC443" s="220">
        <f>IF(AY443-KD443=0,"",AY443-O443)</f>
        <v>50</v>
      </c>
      <c r="BD443" s="103" t="str">
        <f>IF(AND(AI443&lt;&gt;"SIM",AI443="UH"),"AA","INDENIZAÇÃO")</f>
        <v>INDENIZAÇÃO</v>
      </c>
      <c r="BE443" s="103" t="str">
        <f>IF(AND(AY443&lt;&gt;"AGUARDANDO",AY443&lt;&gt;"",N443="AUXÍLIO ALUGUEL ATÉ INDENIZAÇÃO"),"SIM","NÃO")</f>
        <v>NÃO</v>
      </c>
      <c r="BF443" s="112" t="s">
        <v>4357</v>
      </c>
      <c r="BG443" s="112" t="s">
        <v>4357</v>
      </c>
      <c r="BH443" s="112" t="s">
        <v>4357</v>
      </c>
      <c r="BI443" s="109" t="s">
        <v>4912</v>
      </c>
      <c r="BJ443" s="109"/>
      <c r="BK443" s="109"/>
      <c r="BL443" s="109"/>
      <c r="BM443" s="239"/>
    </row>
    <row r="444" spans="1:65" s="232" customFormat="1" ht="29.25" customHeight="1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6323</v>
      </c>
      <c r="G444" s="103" t="s">
        <v>4330</v>
      </c>
      <c r="H444" s="103" t="s">
        <v>4352</v>
      </c>
      <c r="I444" s="304" t="s">
        <v>4343</v>
      </c>
      <c r="J444" s="149" t="s">
        <v>6324</v>
      </c>
      <c r="K444" s="149" t="s">
        <v>6325</v>
      </c>
      <c r="L444" s="149" t="s">
        <v>6326</v>
      </c>
      <c r="M444" s="103" t="s">
        <v>4333</v>
      </c>
      <c r="N444" s="103" t="s">
        <v>4459</v>
      </c>
      <c r="O444" s="105">
        <v>46045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6324</v>
      </c>
      <c r="AC444" s="149" t="s">
        <v>6325</v>
      </c>
      <c r="AD444" s="149" t="s">
        <v>6326</v>
      </c>
      <c r="AE444" s="103" t="s">
        <v>4343</v>
      </c>
      <c r="AF444" s="103" t="s">
        <v>4333</v>
      </c>
      <c r="AG444" s="194">
        <v>52681.2</v>
      </c>
      <c r="AH444" s="194">
        <v>60000</v>
      </c>
      <c r="AI444" s="103" t="s">
        <v>4336</v>
      </c>
      <c r="AJ444" s="104" t="s">
        <v>4438</v>
      </c>
      <c r="AK444" s="103">
        <v>148265516</v>
      </c>
      <c r="AL444" s="103" t="s">
        <v>4338</v>
      </c>
      <c r="AM444" s="103" t="s">
        <v>4338</v>
      </c>
      <c r="AN444" s="103" t="s">
        <v>4339</v>
      </c>
      <c r="AO444" s="103"/>
      <c r="AP444" s="171" t="s">
        <v>6327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46153</v>
      </c>
      <c r="AV444" s="103" t="s">
        <v>4338</v>
      </c>
      <c r="AW444" s="103" t="s">
        <v>4338</v>
      </c>
      <c r="AX444" s="105">
        <v>46161</v>
      </c>
      <c r="AY444" s="106">
        <v>46161</v>
      </c>
      <c r="AZ444" s="106" t="s">
        <v>4453</v>
      </c>
      <c r="BA444" s="107" t="s">
        <v>4454</v>
      </c>
      <c r="BB444" s="112" t="s">
        <v>4338</v>
      </c>
      <c r="BC444" s="220">
        <f>IF(AY444-KD444=0,"",AY444-O444)</f>
        <v>116</v>
      </c>
      <c r="BD444" s="103" t="str">
        <f>IF(AND(AI444&lt;&gt;"SIM",AI444="UH"),"AA","INDENIZAÇÃO")</f>
        <v>INDENIZAÇÃO</v>
      </c>
      <c r="BE444" s="103" t="str">
        <f>IF(AND(AY444&lt;&gt;"AGUARDANDO",AY444&lt;&gt;"",N444="AUXÍLIO ALUGUEL ATÉ INDENIZAÇÃO"),"SIM","NÃO")</f>
        <v>NÃO</v>
      </c>
      <c r="BF444" s="112" t="s">
        <v>4357</v>
      </c>
      <c r="BG444" s="112" t="s">
        <v>4357</v>
      </c>
      <c r="BH444" s="112" t="s">
        <v>4357</v>
      </c>
      <c r="BI444" s="109" t="s">
        <v>4912</v>
      </c>
      <c r="BJ444" s="109"/>
      <c r="BK444" s="109"/>
      <c r="BL444" s="109"/>
      <c r="BM444" s="239"/>
    </row>
    <row r="445" spans="1:65" s="232" customFormat="1" ht="29.25" customHeight="1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6328</v>
      </c>
      <c r="G445" s="103" t="s">
        <v>4330</v>
      </c>
      <c r="H445" s="103" t="s">
        <v>4331</v>
      </c>
      <c r="I445" s="142" t="s">
        <v>4343</v>
      </c>
      <c r="J445" s="149" t="s">
        <v>6329</v>
      </c>
      <c r="K445" s="149" t="s">
        <v>6330</v>
      </c>
      <c r="L445" s="149" t="s">
        <v>6331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6329</v>
      </c>
      <c r="AC445" s="149" t="s">
        <v>6330</v>
      </c>
      <c r="AD445" s="149" t="s">
        <v>6331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>IF(AY445-KD445=0,"",AY445-O445)</f>
        <v/>
      </c>
      <c r="BD445" s="103" t="str">
        <f>IF(AND(AI445&lt;&gt;"SIM",AI445="UH"),"AA","INDENIZAÇÃO")</f>
        <v>AA</v>
      </c>
      <c r="BE445" s="103" t="str">
        <f>IF(AND(AY445&lt;&gt;"AGUARDANDO",AY445&lt;&gt;"",N445="AUXÍLIO ALUGUEL ATÉ INDENIZAÇÃO"),"SIM","NÃO")</f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customHeight="1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>IF(AY446-KD446=0,"",AY446-O446)</f>
        <v/>
      </c>
      <c r="BD446" s="103" t="str">
        <f>IF(AND(AI446&lt;&gt;"SIM",AI446="UH"),"AA","INDENIZAÇÃO")</f>
        <v>AA</v>
      </c>
      <c r="BE446" s="103" t="str">
        <f>IF(AND(AY446&lt;&gt;"AGUARDANDO",AY446&lt;&gt;"",N446="AUXÍLIO ALUGUEL ATÉ INDENIZAÇÃO"),"SIM","NÃO")</f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customHeight="1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>IF(AY447-KD447=0,"",AY447-O447)</f>
        <v/>
      </c>
      <c r="BD447" s="103" t="str">
        <f>IF(AND(AI447&lt;&gt;"SIM",AI447="UH"),"AA","INDENIZAÇÃO")</f>
        <v>AA</v>
      </c>
      <c r="BE447" s="103" t="str">
        <f>IF(AND(AY447&lt;&gt;"AGUARDANDO",AY447&lt;&gt;"",N447="AUXÍLIO ALUGUEL ATÉ INDENIZAÇÃO"),"SIM","NÃO")</f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customHeight="1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49" t="s">
        <v>6341</v>
      </c>
      <c r="K448" s="149" t="s">
        <v>6342</v>
      </c>
      <c r="L448" s="149" t="s">
        <v>6343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6341</v>
      </c>
      <c r="AC448" s="149" t="s">
        <v>6342</v>
      </c>
      <c r="AD448" s="149" t="s">
        <v>6343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>IF(AY448-KD448=0,"",AY448-O448)</f>
        <v/>
      </c>
      <c r="BD448" s="103" t="str">
        <f>IF(AND(AI448&lt;&gt;"SIM",AI448="UH"),"AA","INDENIZAÇÃO")</f>
        <v>AA</v>
      </c>
      <c r="BE448" s="103" t="str">
        <f>IF(AND(AY448&lt;&gt;"AGUARDANDO",AY448&lt;&gt;"",N448="AUXÍLIO ALUGUEL ATÉ INDENIZAÇÃO"),"SIM","NÃO")</f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customHeight="1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6344</v>
      </c>
      <c r="G449" s="103" t="s">
        <v>4330</v>
      </c>
      <c r="H449" s="103" t="s">
        <v>4331</v>
      </c>
      <c r="I449" s="142" t="s">
        <v>4343</v>
      </c>
      <c r="J449" s="114" t="s">
        <v>6345</v>
      </c>
      <c r="K449" s="149" t="s">
        <v>6346</v>
      </c>
      <c r="L449" s="149" t="s">
        <v>6347</v>
      </c>
      <c r="M449" s="103" t="s">
        <v>4333</v>
      </c>
      <c r="N449" s="103" t="s">
        <v>4459</v>
      </c>
      <c r="O449" s="105">
        <v>46001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6345</v>
      </c>
      <c r="AC449" s="204" t="s">
        <v>6346</v>
      </c>
      <c r="AD449" s="204" t="s">
        <v>6347</v>
      </c>
      <c r="AE449" s="165" t="s">
        <v>4343</v>
      </c>
      <c r="AF449" s="165" t="s">
        <v>4333</v>
      </c>
      <c r="AG449" s="208">
        <v>57756.74</v>
      </c>
      <c r="AH449" s="208">
        <v>60000</v>
      </c>
      <c r="AI449" s="165" t="s">
        <v>4336</v>
      </c>
      <c r="AJ449" s="104" t="s">
        <v>4438</v>
      </c>
      <c r="AK449" s="103">
        <v>147059234</v>
      </c>
      <c r="AL449" s="103" t="s">
        <v>4338</v>
      </c>
      <c r="AM449" s="103" t="s">
        <v>4338</v>
      </c>
      <c r="AN449" s="103" t="s">
        <v>4339</v>
      </c>
      <c r="AO449" s="103"/>
      <c r="AP449" s="171" t="s">
        <v>6348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8">
        <v>46024</v>
      </c>
      <c r="AV449" s="112" t="s">
        <v>4338</v>
      </c>
      <c r="AW449" s="103" t="s">
        <v>4338</v>
      </c>
      <c r="AX449" s="111">
        <v>46063</v>
      </c>
      <c r="AY449" s="157">
        <v>46063</v>
      </c>
      <c r="AZ449" s="106" t="s">
        <v>4453</v>
      </c>
      <c r="BA449" s="107" t="s">
        <v>4454</v>
      </c>
      <c r="BB449" s="136" t="s">
        <v>4338</v>
      </c>
      <c r="BC449" s="220">
        <f>IF(AY449-KD449=0,"",AY449-O449)</f>
        <v>62</v>
      </c>
      <c r="BD449" s="103" t="str">
        <f>IF(AND(AI449&lt;&gt;"SIM",AI449="UH"),"AA","INDENIZAÇÃO")</f>
        <v>INDENIZAÇÃO</v>
      </c>
      <c r="BE449" s="103" t="str">
        <f>IF(AND(AY449&lt;&gt;"AGUARDANDO",AY449&lt;&gt;"",N449="AUXÍLIO ALUGUEL ATÉ INDENIZAÇÃO"),"SIM","NÃO")</f>
        <v>NÃO</v>
      </c>
      <c r="BF449" s="140" t="s">
        <v>4357</v>
      </c>
      <c r="BG449" s="140" t="s">
        <v>4357</v>
      </c>
      <c r="BH449" s="140" t="s">
        <v>4357</v>
      </c>
      <c r="BI449" s="154" t="s">
        <v>4912</v>
      </c>
      <c r="BJ449" s="154"/>
      <c r="BK449" s="154"/>
      <c r="BL449" s="154"/>
      <c r="BM449" s="237"/>
    </row>
    <row r="450" spans="1:107" s="232" customFormat="1" ht="29.25" customHeight="1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6349</v>
      </c>
      <c r="G450" s="103" t="s">
        <v>4330</v>
      </c>
      <c r="H450" s="103" t="s">
        <v>4331</v>
      </c>
      <c r="I450" s="142" t="s">
        <v>4343</v>
      </c>
      <c r="J450" s="114" t="s">
        <v>6350</v>
      </c>
      <c r="K450" s="149" t="s">
        <v>6351</v>
      </c>
      <c r="L450" s="149" t="s">
        <v>6352</v>
      </c>
      <c r="M450" s="103" t="s">
        <v>4333</v>
      </c>
      <c r="N450" s="103" t="s">
        <v>4459</v>
      </c>
      <c r="O450" s="105">
        <v>46077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6350</v>
      </c>
      <c r="AC450" s="149" t="s">
        <v>6351</v>
      </c>
      <c r="AD450" s="149" t="s">
        <v>6352</v>
      </c>
      <c r="AE450" s="103" t="s">
        <v>4343</v>
      </c>
      <c r="AF450" s="103" t="s">
        <v>4333</v>
      </c>
      <c r="AG450" s="194">
        <v>30689.66</v>
      </c>
      <c r="AH450" s="194">
        <v>60000</v>
      </c>
      <c r="AI450" s="103" t="s">
        <v>4336</v>
      </c>
      <c r="AJ450" s="104" t="s">
        <v>4438</v>
      </c>
      <c r="AK450" s="103">
        <v>150611129</v>
      </c>
      <c r="AL450" s="103" t="s">
        <v>4338</v>
      </c>
      <c r="AM450" s="103" t="s">
        <v>4338</v>
      </c>
      <c r="AN450" s="103" t="s">
        <v>4339</v>
      </c>
      <c r="AO450" s="103"/>
      <c r="AP450" s="171" t="s">
        <v>6353</v>
      </c>
      <c r="AQ450" s="103" t="s">
        <v>4338</v>
      </c>
      <c r="AR450" s="103" t="s">
        <v>4338</v>
      </c>
      <c r="AS450" s="103" t="s">
        <v>4338</v>
      </c>
      <c r="AT450" s="103" t="s">
        <v>4338</v>
      </c>
      <c r="AU450" s="105">
        <v>46127</v>
      </c>
      <c r="AV450" s="103" t="s">
        <v>4338</v>
      </c>
      <c r="AW450" s="103" t="s">
        <v>4338</v>
      </c>
      <c r="AX450" s="105">
        <v>46154</v>
      </c>
      <c r="AY450" s="106">
        <v>46154</v>
      </c>
      <c r="AZ450" s="106" t="s">
        <v>4453</v>
      </c>
      <c r="BA450" s="107" t="s">
        <v>4454</v>
      </c>
      <c r="BB450" s="136" t="s">
        <v>4338</v>
      </c>
      <c r="BC450" s="220">
        <f>IF(AY450-KD450=0,"",AY450-O450)</f>
        <v>77</v>
      </c>
      <c r="BD450" s="103" t="str">
        <f>IF(AND(AI450&lt;&gt;"SIM",AI450="UH"),"AA","INDENIZAÇÃO")</f>
        <v>INDENIZAÇÃO</v>
      </c>
      <c r="BE450" s="103" t="str">
        <f>IF(AND(AY450&lt;&gt;"AGUARDANDO",AY450&lt;&gt;"",N450="AUXÍLIO ALUGUEL ATÉ INDENIZAÇÃO"),"SIM","NÃO")</f>
        <v>NÃO</v>
      </c>
      <c r="BF450" s="140" t="s">
        <v>4357</v>
      </c>
      <c r="BG450" s="140" t="s">
        <v>4357</v>
      </c>
      <c r="BH450" s="140" t="s">
        <v>4357</v>
      </c>
      <c r="BI450" s="154" t="s">
        <v>4912</v>
      </c>
      <c r="BJ450" s="154"/>
      <c r="BK450" s="154"/>
      <c r="BL450" s="154"/>
      <c r="BM450" s="237"/>
    </row>
    <row r="451" spans="1:107" s="232" customFormat="1" ht="29.25" customHeight="1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6354</v>
      </c>
      <c r="G451" s="103" t="s">
        <v>4330</v>
      </c>
      <c r="H451" s="103" t="s">
        <v>4331</v>
      </c>
      <c r="I451" s="142" t="s">
        <v>4343</v>
      </c>
      <c r="J451" s="114" t="s">
        <v>6355</v>
      </c>
      <c r="K451" s="149" t="s">
        <v>6356</v>
      </c>
      <c r="L451" s="149" t="s">
        <v>6357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6355</v>
      </c>
      <c r="AC451" s="149" t="s">
        <v>6356</v>
      </c>
      <c r="AD451" s="149" t="s">
        <v>6357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>IF(AY451-KD451=0,"",AY451-O451)</f>
        <v/>
      </c>
      <c r="BD451" s="103" t="str">
        <f>IF(AND(AI451&lt;&gt;"SIM",AI451="UH"),"AA","INDENIZAÇÃO")</f>
        <v>AA</v>
      </c>
      <c r="BE451" s="103" t="str">
        <f>IF(AND(AY451&lt;&gt;"AGUARDANDO",AY451&lt;&gt;"",N451="AUXÍLIO ALUGUEL ATÉ INDENIZAÇÃO"),"SIM","NÃO")</f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customHeight="1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49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>IF(AY452-KD452=0,"",AY452-O452)</f>
        <v/>
      </c>
      <c r="BD452" s="103" t="str">
        <f>IF(AND(AI452&lt;&gt;"SIM",AI452="UH"),"AA","INDENIZAÇÃO")</f>
        <v>AA</v>
      </c>
      <c r="BE452" s="103" t="str">
        <f>IF(AND(AY452&lt;&gt;"AGUARDANDO",AY452&lt;&gt;"",N452="AUXÍLIO ALUGUEL ATÉ INDENIZAÇÃO"),"SIM","NÃO")</f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customHeight="1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>IF(AY453-KD453=0,"",AY453-O453)</f>
        <v/>
      </c>
      <c r="BD453" s="103" t="str">
        <f>IF(AND(AI453&lt;&gt;"SIM",AI453="UH"),"AA","INDENIZAÇÃO")</f>
        <v>AA</v>
      </c>
      <c r="BE453" s="103" t="str">
        <f>IF(AND(AY453&lt;&gt;"AGUARDANDO",AY453&lt;&gt;"",N453="AUXÍLIO ALUGUEL ATÉ INDENIZAÇÃO"),"SIM","NÃO")</f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customHeight="1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>IF(AY454-KD454=0,"",AY454-O454)</f>
        <v/>
      </c>
      <c r="BD454" s="103" t="str">
        <f>IF(AND(AI454&lt;&gt;"SIM",AI454="UH"),"AA","INDENIZAÇÃO")</f>
        <v>AA</v>
      </c>
      <c r="BE454" s="103" t="str">
        <f>IF(AND(AY454&lt;&gt;"AGUARDANDO",AY454&lt;&gt;"",N454="AUXÍLIO ALUGUEL ATÉ INDENIZAÇÃO"),"SIM","NÃO")</f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customHeight="1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6370</v>
      </c>
      <c r="G455" s="103" t="s">
        <v>4330</v>
      </c>
      <c r="H455" s="103" t="s">
        <v>4331</v>
      </c>
      <c r="I455" s="142" t="s">
        <v>4343</v>
      </c>
      <c r="J455" s="149" t="s">
        <v>6371</v>
      </c>
      <c r="K455" s="149" t="s">
        <v>6372</v>
      </c>
      <c r="L455" s="149" t="s">
        <v>6373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6371</v>
      </c>
      <c r="AC455" s="149" t="s">
        <v>6372</v>
      </c>
      <c r="AD455" s="149" t="s">
        <v>6373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>IF(AY455-KD455=0,"",AY455-O455)</f>
        <v/>
      </c>
      <c r="BD455" s="103" t="str">
        <f>IF(AND(AI455&lt;&gt;"SIM",AI455="UH"),"AA","INDENIZAÇÃO")</f>
        <v>AA</v>
      </c>
      <c r="BE455" s="103" t="str">
        <f>IF(AND(AY455&lt;&gt;"AGUARDANDO",AY455&lt;&gt;"",N455="AUXÍLIO ALUGUEL ATÉ INDENIZAÇÃO"),"SIM","NÃO")</f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6370</v>
      </c>
      <c r="G456" s="112" t="s">
        <v>4330</v>
      </c>
      <c r="H456" s="112" t="s">
        <v>4331</v>
      </c>
      <c r="I456" s="112" t="s">
        <v>4343</v>
      </c>
      <c r="J456" s="150" t="s">
        <v>6374</v>
      </c>
      <c r="K456" s="150" t="s">
        <v>6375</v>
      </c>
      <c r="L456" s="150" t="s">
        <v>6376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6374</v>
      </c>
      <c r="AC456" s="150" t="s">
        <v>6375</v>
      </c>
      <c r="AD456" s="150" t="s">
        <v>6376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6377</v>
      </c>
      <c r="AQ456" s="259" t="s">
        <v>4338</v>
      </c>
      <c r="AR456" s="112" t="s">
        <v>4338</v>
      </c>
      <c r="AS456" s="103" t="s">
        <v>4822</v>
      </c>
      <c r="AT456" s="103" t="s">
        <v>4822</v>
      </c>
      <c r="AU456" s="105">
        <v>46233</v>
      </c>
      <c r="AV456" s="103" t="s">
        <v>4822</v>
      </c>
      <c r="AW456" s="103" t="s">
        <v>4822</v>
      </c>
      <c r="AX456" s="105">
        <v>46234</v>
      </c>
      <c r="AY456" s="106" t="s">
        <v>4453</v>
      </c>
      <c r="AZ456" s="157"/>
      <c r="BA456" s="107" t="s">
        <v>4330</v>
      </c>
      <c r="BB456" s="112"/>
      <c r="BC456" s="220" t="e">
        <f>IF(AY456-KD456=0,"",AY456-O456)</f>
        <v>#VALUE!</v>
      </c>
      <c r="BD456" s="103" t="str">
        <f>IF(AND(AI456&lt;&gt;"SIM",AI456="UH"),"AA","INDENIZAÇÃO")</f>
        <v>INDENIZAÇÃO</v>
      </c>
      <c r="BE456" s="103" t="str">
        <f>IF(AND(AY456&lt;&gt;"AGUARDANDO",AY456&lt;&gt;"",N456="AUXÍLIO ALUGUEL ATÉ INDENIZAÇÃO"),"SIM","NÃO")</f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customHeight="1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6378</v>
      </c>
      <c r="G457" s="103" t="s">
        <v>4330</v>
      </c>
      <c r="H457" s="103" t="s">
        <v>4331</v>
      </c>
      <c r="I457" s="103" t="s">
        <v>4343</v>
      </c>
      <c r="J457" s="149" t="s">
        <v>6379</v>
      </c>
      <c r="K457" s="149" t="s">
        <v>6380</v>
      </c>
      <c r="L457" s="149" t="s">
        <v>6381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6379</v>
      </c>
      <c r="AC457" s="204" t="s">
        <v>6380</v>
      </c>
      <c r="AD457" s="204" t="s">
        <v>6381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customHeight="1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6378</v>
      </c>
      <c r="G458" s="103" t="s">
        <v>4330</v>
      </c>
      <c r="H458" s="103" t="s">
        <v>4331</v>
      </c>
      <c r="I458" s="142" t="s">
        <v>4343</v>
      </c>
      <c r="J458" s="149" t="s">
        <v>6382</v>
      </c>
      <c r="K458" s="149" t="s">
        <v>6383</v>
      </c>
      <c r="L458" s="149" t="s">
        <v>6384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6382</v>
      </c>
      <c r="AC458" s="149" t="s">
        <v>6383</v>
      </c>
      <c r="AD458" s="149" t="s">
        <v>6384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customHeight="1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6385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6385</v>
      </c>
      <c r="G460" s="103" t="s">
        <v>4330</v>
      </c>
      <c r="H460" s="103" t="s">
        <v>4331</v>
      </c>
      <c r="I460" s="142" t="s">
        <v>4343</v>
      </c>
      <c r="J460" s="149" t="s">
        <v>6386</v>
      </c>
      <c r="K460" s="149" t="s">
        <v>6387</v>
      </c>
      <c r="L460" s="149" t="s">
        <v>6388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6386</v>
      </c>
      <c r="AC460" s="204" t="s">
        <v>6387</v>
      </c>
      <c r="AD460" s="204" t="s">
        <v>6388</v>
      </c>
      <c r="AE460" s="165" t="s">
        <v>4343</v>
      </c>
      <c r="AF460" s="165" t="s">
        <v>4333</v>
      </c>
      <c r="AG460" s="208" t="s">
        <v>6389</v>
      </c>
      <c r="AH460" s="208" t="s">
        <v>6390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6391</v>
      </c>
      <c r="AQ460" s="143" t="s">
        <v>4338</v>
      </c>
      <c r="AR460" s="103" t="s">
        <v>4338</v>
      </c>
      <c r="AS460" s="103" t="s">
        <v>4822</v>
      </c>
      <c r="AT460" s="103" t="s">
        <v>4822</v>
      </c>
      <c r="AU460" s="105">
        <v>46233</v>
      </c>
      <c r="AV460" s="103" t="s">
        <v>4822</v>
      </c>
      <c r="AW460" s="103" t="s">
        <v>4822</v>
      </c>
      <c r="AX460" s="105">
        <v>46234</v>
      </c>
      <c r="AY460" s="106" t="s">
        <v>4453</v>
      </c>
      <c r="AZ460" s="106"/>
      <c r="BA460" s="107" t="s">
        <v>4330</v>
      </c>
      <c r="BB460" s="136"/>
      <c r="BC460" s="220" t="e">
        <f>IF(AY460-KD460=0,"",AY460-O460)</f>
        <v>#VALUE!</v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customHeight="1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6392</v>
      </c>
      <c r="G461" s="103" t="s">
        <v>4330</v>
      </c>
      <c r="H461" s="103" t="s">
        <v>4331</v>
      </c>
      <c r="I461" s="142" t="s">
        <v>4343</v>
      </c>
      <c r="J461" s="149" t="s">
        <v>6393</v>
      </c>
      <c r="K461" s="149" t="s">
        <v>6394</v>
      </c>
      <c r="L461" s="149" t="s">
        <v>6395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customHeight="1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6396</v>
      </c>
      <c r="G462" s="103" t="s">
        <v>4330</v>
      </c>
      <c r="H462" s="103" t="s">
        <v>4331</v>
      </c>
      <c r="I462" s="142" t="s">
        <v>4343</v>
      </c>
      <c r="J462" s="149" t="s">
        <v>6397</v>
      </c>
      <c r="K462" s="149" t="s">
        <v>6398</v>
      </c>
      <c r="L462" s="149" t="s">
        <v>6399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6397</v>
      </c>
      <c r="AC462" s="149" t="s">
        <v>6398</v>
      </c>
      <c r="AD462" s="149" t="s">
        <v>6399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>IF(AY462-KD462=0,"",AY462-O462)</f>
        <v/>
      </c>
      <c r="BD462" s="103" t="str">
        <f>IF(AND(AI462&lt;&gt;"SIM",AI462="UH"),"AA","INDENIZAÇÃO")</f>
        <v>AA</v>
      </c>
      <c r="BE462" s="103" t="str">
        <f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customHeight="1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6396</v>
      </c>
      <c r="G463" s="103" t="s">
        <v>4330</v>
      </c>
      <c r="H463" s="103" t="s">
        <v>4331</v>
      </c>
      <c r="I463" s="103" t="s">
        <v>4343</v>
      </c>
      <c r="J463" s="149" t="s">
        <v>6400</v>
      </c>
      <c r="K463" s="149" t="s">
        <v>6401</v>
      </c>
      <c r="L463" s="149" t="s">
        <v>6402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6400</v>
      </c>
      <c r="AC463" s="149" t="s">
        <v>6401</v>
      </c>
      <c r="AD463" s="149" t="s">
        <v>6402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>IF(AY463-KD463=0,"",AY463-O463)</f>
        <v/>
      </c>
      <c r="BD463" s="103" t="str">
        <f>IF(AND(AI463&lt;&gt;"SIM",AI463="UH"),"AA","INDENIZAÇÃO")</f>
        <v>INDENIZAÇÃO</v>
      </c>
      <c r="BE463" s="103" t="str">
        <f>IF(AND(AY463&lt;&gt;"AGUARDANDO",AY463&lt;&gt;"",N463="AUXÍLIO ALUGUEL ATÉ INDENIZAÇÃO"),"SIM","NÃO")</f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customHeight="1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6403</v>
      </c>
      <c r="G464" s="103" t="s">
        <v>4330</v>
      </c>
      <c r="H464" s="103" t="s">
        <v>4331</v>
      </c>
      <c r="I464" s="142" t="s">
        <v>4343</v>
      </c>
      <c r="J464" s="149" t="s">
        <v>6404</v>
      </c>
      <c r="K464" s="149" t="s">
        <v>6405</v>
      </c>
      <c r="L464" s="149" t="s">
        <v>6406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6404</v>
      </c>
      <c r="AC464" s="204" t="s">
        <v>6405</v>
      </c>
      <c r="AD464" s="204" t="s">
        <v>6406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>IF(AY464-KD464=0,"",AY464-O464)</f>
        <v/>
      </c>
      <c r="BD464" s="103" t="str">
        <f>IF(AND(AI464&lt;&gt;"SIM",AI464="UH"),"AA","INDENIZAÇÃO")</f>
        <v>AA</v>
      </c>
      <c r="BE464" s="103" t="str">
        <f>IF(AND(AY464&lt;&gt;"AGUARDANDO",AY464&lt;&gt;"",N464="AUXÍLIO ALUGUEL ATÉ INDENIZAÇÃO"),"SIM","NÃO")</f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customHeight="1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6403</v>
      </c>
      <c r="G465" s="103" t="s">
        <v>4330</v>
      </c>
      <c r="H465" s="103" t="s">
        <v>4331</v>
      </c>
      <c r="I465" s="103" t="s">
        <v>4343</v>
      </c>
      <c r="J465" s="149" t="s">
        <v>6407</v>
      </c>
      <c r="K465" s="149" t="s">
        <v>6408</v>
      </c>
      <c r="L465" s="149" t="s">
        <v>6409</v>
      </c>
      <c r="M465" s="103" t="s">
        <v>4333</v>
      </c>
      <c r="N465" s="103" t="s">
        <v>4459</v>
      </c>
      <c r="O465" s="105">
        <v>46129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49" t="s">
        <v>6407</v>
      </c>
      <c r="AC465" s="149" t="s">
        <v>6408</v>
      </c>
      <c r="AD465" s="149" t="s">
        <v>6409</v>
      </c>
      <c r="AE465" s="103" t="s">
        <v>4343</v>
      </c>
      <c r="AF465" s="103" t="s">
        <v>4333</v>
      </c>
      <c r="AG465" s="194">
        <v>39497.07</v>
      </c>
      <c r="AH465" s="194">
        <v>60000</v>
      </c>
      <c r="AI465" s="103" t="s">
        <v>4336</v>
      </c>
      <c r="AJ465" s="104" t="s">
        <v>4438</v>
      </c>
      <c r="AK465" s="103">
        <v>153979535</v>
      </c>
      <c r="AL465" s="103" t="s">
        <v>4338</v>
      </c>
      <c r="AM465" s="103" t="s">
        <v>4338</v>
      </c>
      <c r="AN465" s="103" t="s">
        <v>4339</v>
      </c>
      <c r="AO465" s="112"/>
      <c r="AP465" s="273" t="s">
        <v>6410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46216</v>
      </c>
      <c r="AV465" s="259" t="s">
        <v>4338</v>
      </c>
      <c r="AW465" s="259" t="s">
        <v>4338</v>
      </c>
      <c r="AX465" s="105">
        <v>46223</v>
      </c>
      <c r="AY465" s="282">
        <v>46223</v>
      </c>
      <c r="AZ465" s="109" t="s">
        <v>4453</v>
      </c>
      <c r="BA465" s="107" t="s">
        <v>4454</v>
      </c>
      <c r="BB465" s="136" t="s">
        <v>4338</v>
      </c>
      <c r="BC465" s="220">
        <f>IF(AY465-KD465=0,"",AY465-O465)</f>
        <v>94</v>
      </c>
      <c r="BD465" s="103" t="str">
        <f>IF(AND(AI465&lt;&gt;"SIM",AI465="UH"),"AA","INDENIZAÇÃO")</f>
        <v>INDENIZAÇÃO</v>
      </c>
      <c r="BE465" s="103" t="str">
        <f>IF(AND(AY465&lt;&gt;"AGUARDANDO",AY465&lt;&gt;"",N465="AUXÍLIO ALUGUEL ATÉ INDENIZAÇÃO"),"SIM","NÃO")</f>
        <v>NÃO</v>
      </c>
      <c r="BF465" s="140" t="s">
        <v>4357</v>
      </c>
      <c r="BG465" s="140" t="s">
        <v>4357</v>
      </c>
      <c r="BH465" s="140" t="s">
        <v>4357</v>
      </c>
      <c r="BI465" s="154" t="s">
        <v>4912</v>
      </c>
      <c r="BJ465" s="154"/>
      <c r="BK465" s="154"/>
      <c r="BL465" s="154"/>
      <c r="BM465" s="237"/>
    </row>
    <row r="466" spans="1:107" s="232" customFormat="1" ht="29.25" customHeight="1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6411</v>
      </c>
      <c r="G466" s="103" t="s">
        <v>4330</v>
      </c>
      <c r="H466" s="103" t="s">
        <v>4331</v>
      </c>
      <c r="I466" s="103" t="s">
        <v>4343</v>
      </c>
      <c r="J466" s="149" t="s">
        <v>6412</v>
      </c>
      <c r="K466" s="149" t="s">
        <v>6413</v>
      </c>
      <c r="L466" s="149" t="s">
        <v>6414</v>
      </c>
      <c r="M466" s="103" t="s">
        <v>4333</v>
      </c>
      <c r="N466" s="103" t="s">
        <v>4459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49" t="s">
        <v>6412</v>
      </c>
      <c r="AC466" s="149" t="s">
        <v>6413</v>
      </c>
      <c r="AD466" s="149" t="s">
        <v>6414</v>
      </c>
      <c r="AE466" s="103" t="s">
        <v>4343</v>
      </c>
      <c r="AF466" s="103" t="s">
        <v>4333</v>
      </c>
      <c r="AG466" s="208">
        <v>137659.72</v>
      </c>
      <c r="AH466" s="208">
        <v>137659.72</v>
      </c>
      <c r="AI466" s="165" t="s">
        <v>4336</v>
      </c>
      <c r="AJ466" s="104" t="s">
        <v>4438</v>
      </c>
      <c r="AK466" s="103">
        <v>153980746</v>
      </c>
      <c r="AL466" s="103" t="s">
        <v>4338</v>
      </c>
      <c r="AM466" s="103" t="s">
        <v>4338</v>
      </c>
      <c r="AN466" s="103" t="s">
        <v>4339</v>
      </c>
      <c r="AO466" s="112"/>
      <c r="AP466" s="273" t="s">
        <v>6415</v>
      </c>
      <c r="AQ466" s="259" t="s">
        <v>4338</v>
      </c>
      <c r="AR466" s="112" t="s">
        <v>4338</v>
      </c>
      <c r="AS466" s="103" t="s">
        <v>4338</v>
      </c>
      <c r="AT466" s="103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>IF(AY466-KD466=0,"",AY466-O466)</f>
        <v>#VALUE!</v>
      </c>
      <c r="BD466" s="103" t="str">
        <f>IF(AND(AI466&lt;&gt;"SIM",AI466="UH"),"AA","INDENIZAÇÃO")</f>
        <v>INDENIZAÇÃO</v>
      </c>
      <c r="BE466" s="103" t="str">
        <f>IF(AND(AY466&lt;&gt;"AGUARDANDO",AY466&lt;&gt;"",N466="AUXÍLIO ALUGUEL ATÉ INDENIZAÇÃO"),"SIM","NÃO")</f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customHeight="1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6416</v>
      </c>
      <c r="G467" s="103" t="s">
        <v>4330</v>
      </c>
      <c r="H467" s="103" t="s">
        <v>4331</v>
      </c>
      <c r="I467" s="142" t="s">
        <v>4343</v>
      </c>
      <c r="J467" s="149" t="s">
        <v>6417</v>
      </c>
      <c r="K467" s="149" t="s">
        <v>6418</v>
      </c>
      <c r="L467" s="149" t="s">
        <v>6419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6417</v>
      </c>
      <c r="AC467" s="149" t="s">
        <v>6418</v>
      </c>
      <c r="AD467" s="149" t="s">
        <v>6419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>IF(AY467-KD467=0,"",AY467-O467)</f>
        <v/>
      </c>
      <c r="BD467" s="103" t="str">
        <f>IF(AND(AI467&lt;&gt;"SIM",AI467="UH"),"AA","INDENIZAÇÃO")</f>
        <v>AA</v>
      </c>
      <c r="BE467" s="103" t="str">
        <f>IF(AND(AY467&lt;&gt;"AGUARDANDO",AY467&lt;&gt;"",N467="AUXÍLIO ALUGUEL ATÉ INDENIZAÇÃO"),"SIM","NÃO")</f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6416</v>
      </c>
      <c r="G468" s="103" t="s">
        <v>4330</v>
      </c>
      <c r="H468" s="103" t="s">
        <v>4331</v>
      </c>
      <c r="I468" s="103" t="s">
        <v>4343</v>
      </c>
      <c r="J468" s="149" t="s">
        <v>6420</v>
      </c>
      <c r="K468" s="149" t="s">
        <v>6421</v>
      </c>
      <c r="L468" s="149" t="s">
        <v>6422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6420</v>
      </c>
      <c r="AC468" s="149" t="s">
        <v>6421</v>
      </c>
      <c r="AD468" s="149" t="s">
        <v>6422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6423</v>
      </c>
      <c r="AQ468" s="259" t="s">
        <v>4338</v>
      </c>
      <c r="AR468" s="112" t="s">
        <v>4338</v>
      </c>
      <c r="AS468" s="103" t="s">
        <v>4822</v>
      </c>
      <c r="AT468" s="103" t="s">
        <v>4822</v>
      </c>
      <c r="AU468" s="105">
        <v>46233</v>
      </c>
      <c r="AV468" s="103" t="s">
        <v>4822</v>
      </c>
      <c r="AW468" s="103" t="s">
        <v>4822</v>
      </c>
      <c r="AX468" s="105">
        <v>46234</v>
      </c>
      <c r="AY468" s="106" t="s">
        <v>4453</v>
      </c>
      <c r="AZ468" s="157"/>
      <c r="BA468" s="107" t="s">
        <v>4330</v>
      </c>
      <c r="BB468" s="112"/>
      <c r="BC468" s="220" t="e">
        <f>IF(AY468-KD468=0,"",AY468-O468)</f>
        <v>#VALUE!</v>
      </c>
      <c r="BD468" s="103" t="str">
        <f>IF(AND(AI468&lt;&gt;"SIM",AI468="UH"),"AA","INDENIZAÇÃO")</f>
        <v>INDENIZAÇÃO</v>
      </c>
      <c r="BE468" s="103" t="str">
        <f>IF(AND(AY468&lt;&gt;"AGUARDANDO",AY468&lt;&gt;"",N468="AUXÍLIO ALUGUEL ATÉ INDENIZAÇÃO"),"SIM","NÃO")</f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customHeight="1">
      <c r="A469" s="103">
        <v>459</v>
      </c>
      <c r="B469" s="103" t="s">
        <v>4431</v>
      </c>
      <c r="C469" s="103" t="s">
        <v>4439</v>
      </c>
      <c r="D469" s="103">
        <v>1</v>
      </c>
      <c r="E469" s="103" t="s">
        <v>4432</v>
      </c>
      <c r="F469" s="104" t="s">
        <v>6424</v>
      </c>
      <c r="G469" s="103" t="s">
        <v>4330</v>
      </c>
      <c r="H469" s="103" t="s">
        <v>4331</v>
      </c>
      <c r="I469" s="103" t="s">
        <v>4343</v>
      </c>
      <c r="J469" s="149" t="s">
        <v>6425</v>
      </c>
      <c r="K469" s="149" t="s">
        <v>6426</v>
      </c>
      <c r="L469" s="149" t="s">
        <v>6427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6425</v>
      </c>
      <c r="AC469" s="149" t="s">
        <v>6426</v>
      </c>
      <c r="AD469" s="149" t="s">
        <v>6427</v>
      </c>
      <c r="AE469" s="103" t="s">
        <v>4343</v>
      </c>
      <c r="AF469" s="103" t="s">
        <v>4333</v>
      </c>
      <c r="AG469" s="194">
        <v>8623.86</v>
      </c>
      <c r="AH469" s="194">
        <f>AG469+30000</f>
        <v>38623.86</v>
      </c>
      <c r="AI469" s="103" t="s">
        <v>4336</v>
      </c>
      <c r="AJ469" s="104" t="s">
        <v>4438</v>
      </c>
      <c r="AK469" s="103">
        <v>153980952</v>
      </c>
      <c r="AL469" s="103" t="s">
        <v>4338</v>
      </c>
      <c r="AM469" s="103" t="s">
        <v>4338</v>
      </c>
      <c r="AN469" s="103" t="s">
        <v>4339</v>
      </c>
      <c r="AO469" s="112"/>
      <c r="AP469" s="273" t="s">
        <v>6428</v>
      </c>
      <c r="AQ469" s="259" t="s">
        <v>4338</v>
      </c>
      <c r="AR469" s="112" t="s">
        <v>4338</v>
      </c>
      <c r="AS469" s="103" t="s">
        <v>4338</v>
      </c>
      <c r="AT469" s="103" t="s">
        <v>4338</v>
      </c>
      <c r="AU469" s="105">
        <v>46226</v>
      </c>
      <c r="AV469" s="112" t="s">
        <v>4338</v>
      </c>
      <c r="AW469" s="112" t="s">
        <v>4338</v>
      </c>
      <c r="AX469" s="105">
        <v>46233</v>
      </c>
      <c r="AY469" s="109" t="s">
        <v>4453</v>
      </c>
      <c r="AZ469" s="157"/>
      <c r="BA469" s="109" t="s">
        <v>4330</v>
      </c>
      <c r="BB469" s="112"/>
      <c r="BC469" s="220" t="e">
        <f>IF(AY469-KD469=0,"",AY469-O469)</f>
        <v>#VALUE!</v>
      </c>
      <c r="BD469" s="103" t="str">
        <f>IF(AND(AI469&lt;&gt;"SIM",AI469="UH"),"AA","INDENIZAÇÃO")</f>
        <v>INDENIZAÇÃO</v>
      </c>
      <c r="BE469" s="103" t="str">
        <f>IF(AND(AY469&lt;&gt;"AGUARDANDO",AY469&lt;&gt;"",N469="AUXÍLIO ALUGUEL ATÉ INDENIZAÇÃO"),"SIM","NÃO")</f>
        <v>NÃO</v>
      </c>
      <c r="BF469" s="112"/>
      <c r="BG469" s="147"/>
      <c r="BH469" s="147"/>
      <c r="BI469" s="112"/>
      <c r="BJ469" s="112"/>
      <c r="BK469" s="112"/>
      <c r="BL469" s="112"/>
      <c r="BM469" s="236"/>
    </row>
    <row r="470" spans="1:107" s="232" customFormat="1" ht="29.25" customHeight="1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6429</v>
      </c>
      <c r="G470" s="103" t="s">
        <v>4330</v>
      </c>
      <c r="H470" s="103" t="s">
        <v>4331</v>
      </c>
      <c r="I470" s="142" t="s">
        <v>4343</v>
      </c>
      <c r="J470" s="149" t="s">
        <v>6430</v>
      </c>
      <c r="K470" s="149" t="s">
        <v>6431</v>
      </c>
      <c r="L470" s="149" t="s">
        <v>6432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6430</v>
      </c>
      <c r="AC470" s="149" t="s">
        <v>6431</v>
      </c>
      <c r="AD470" s="149" t="s">
        <v>6432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>IF(AY470-KD470=0,"",AY470-O470)</f>
        <v/>
      </c>
      <c r="BD470" s="103" t="str">
        <f>IF(AND(AI470&lt;&gt;"SIM",AI470="UH"),"AA","INDENIZAÇÃO")</f>
        <v>AA</v>
      </c>
      <c r="BE470" s="103" t="str">
        <f>IF(AND(AY470&lt;&gt;"AGUARDANDO",AY470&lt;&gt;"",N470="AUXÍLIO ALUGUEL ATÉ INDENIZAÇÃO"),"SIM","NÃO")</f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customHeight="1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6429</v>
      </c>
      <c r="G471" s="103" t="s">
        <v>4330</v>
      </c>
      <c r="H471" s="103" t="s">
        <v>4331</v>
      </c>
      <c r="I471" s="103" t="s">
        <v>4343</v>
      </c>
      <c r="J471" s="149" t="s">
        <v>6433</v>
      </c>
      <c r="K471" s="149" t="s">
        <v>6434</v>
      </c>
      <c r="L471" s="149" t="s">
        <v>6435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6436</v>
      </c>
      <c r="AB471" s="149" t="s">
        <v>6433</v>
      </c>
      <c r="AC471" s="149" t="s">
        <v>6434</v>
      </c>
      <c r="AD471" s="149" t="s">
        <v>6435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>IF(AY471-KD471=0,"",AY471-O471)</f>
        <v/>
      </c>
      <c r="BD471" s="103" t="str">
        <f>IF(AND(AI471&lt;&gt;"SIM",AI471="UH"),"AA","INDENIZAÇÃO")</f>
        <v>AA</v>
      </c>
      <c r="BE471" s="103" t="str">
        <f>IF(AND(AY471&lt;&gt;"AGUARDANDO",AY471&lt;&gt;"",N471="AUXÍLIO ALUGUEL ATÉ INDENIZAÇÃO"),"SIM","NÃO")</f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customHeight="1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6437</v>
      </c>
      <c r="G472" s="103" t="s">
        <v>4330</v>
      </c>
      <c r="H472" s="103" t="s">
        <v>4331</v>
      </c>
      <c r="I472" s="103" t="s">
        <v>4343</v>
      </c>
      <c r="J472" s="149" t="s">
        <v>6438</v>
      </c>
      <c r="K472" s="149" t="s">
        <v>6439</v>
      </c>
      <c r="L472" s="149" t="s">
        <v>6440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6438</v>
      </c>
      <c r="AC472" s="149" t="s">
        <v>6439</v>
      </c>
      <c r="AD472" s="149" t="s">
        <v>6440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>IF(AY472-KD472=0,"",AY472-O472)</f>
        <v/>
      </c>
      <c r="BD472" s="103" t="str">
        <f>IF(AND(AI472&lt;&gt;"SIM",AI472="UH"),"AA","INDENIZAÇÃO")</f>
        <v>AA</v>
      </c>
      <c r="BE472" s="103" t="str">
        <f>IF(AND(AY472&lt;&gt;"AGUARDANDO",AY472&lt;&gt;"",N472="AUXÍLIO ALUGUEL ATÉ INDENIZAÇÃO"),"SIM","NÃO")</f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customHeight="1">
      <c r="A473" s="165">
        <v>463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6441</v>
      </c>
      <c r="G473" s="103" t="s">
        <v>4330</v>
      </c>
      <c r="H473" s="103" t="s">
        <v>4331</v>
      </c>
      <c r="I473" s="103" t="s">
        <v>4343</v>
      </c>
      <c r="J473" s="149" t="s">
        <v>6442</v>
      </c>
      <c r="K473" s="149" t="s">
        <v>6443</v>
      </c>
      <c r="L473" s="149" t="s">
        <v>6444</v>
      </c>
      <c r="M473" s="103" t="s">
        <v>4333</v>
      </c>
      <c r="N473" s="103" t="s">
        <v>4459</v>
      </c>
      <c r="O473" s="105">
        <v>46147</v>
      </c>
      <c r="P473" s="105" t="s">
        <v>4356</v>
      </c>
      <c r="Q473" s="105" t="s">
        <v>4356</v>
      </c>
      <c r="R473" s="105" t="s">
        <v>4356</v>
      </c>
      <c r="S473" s="105" t="s">
        <v>4356</v>
      </c>
      <c r="T473" s="105" t="s">
        <v>4356</v>
      </c>
      <c r="U473" s="105" t="s">
        <v>4356</v>
      </c>
      <c r="V473" s="105" t="s">
        <v>4356</v>
      </c>
      <c r="W473" s="105" t="s">
        <v>4356</v>
      </c>
      <c r="X473" s="105" t="s">
        <v>4356</v>
      </c>
      <c r="Y473" s="105" t="s">
        <v>4356</v>
      </c>
      <c r="Z473" s="105"/>
      <c r="AA473" s="138"/>
      <c r="AB473" s="149" t="s">
        <v>6442</v>
      </c>
      <c r="AC473" s="149" t="s">
        <v>6443</v>
      </c>
      <c r="AD473" s="149" t="s">
        <v>6444</v>
      </c>
      <c r="AE473" s="103" t="s">
        <v>4343</v>
      </c>
      <c r="AF473" s="103" t="s">
        <v>4333</v>
      </c>
      <c r="AG473" s="194">
        <v>33748.89</v>
      </c>
      <c r="AH473" s="194">
        <v>60000</v>
      </c>
      <c r="AI473" s="103" t="s">
        <v>4447</v>
      </c>
      <c r="AJ473" s="104" t="s">
        <v>4438</v>
      </c>
      <c r="AK473" s="103">
        <v>153981037</v>
      </c>
      <c r="AL473" s="103" t="s">
        <v>4338</v>
      </c>
      <c r="AM473" s="103" t="s">
        <v>4338</v>
      </c>
      <c r="AN473" s="103" t="s">
        <v>4339</v>
      </c>
      <c r="AO473" s="112"/>
      <c r="AP473" s="171" t="s">
        <v>6445</v>
      </c>
      <c r="AQ473" s="259" t="s">
        <v>4338</v>
      </c>
      <c r="AR473" s="259" t="s">
        <v>4338</v>
      </c>
      <c r="AS473" s="103" t="s">
        <v>4822</v>
      </c>
      <c r="AT473" s="103" t="s">
        <v>4822</v>
      </c>
      <c r="AU473" s="105">
        <v>46233</v>
      </c>
      <c r="AV473" s="103" t="s">
        <v>4822</v>
      </c>
      <c r="AW473" s="103" t="s">
        <v>4822</v>
      </c>
      <c r="AX473" s="105">
        <v>46234</v>
      </c>
      <c r="AY473" s="106" t="s">
        <v>4453</v>
      </c>
      <c r="AZ473" s="157"/>
      <c r="BA473" s="107" t="s">
        <v>4330</v>
      </c>
      <c r="BB473" s="112"/>
      <c r="BC473" s="220" t="e">
        <f>IF(AY473-KD473=0,"",AY473-O473)</f>
        <v>#VALUE!</v>
      </c>
      <c r="BD473" s="103" t="str">
        <f>IF(AND(AI473&lt;&gt;"SIM",AI473="UH"),"AA","INDENIZAÇÃO")</f>
        <v>INDENIZAÇÃO</v>
      </c>
      <c r="BE473" s="103" t="str">
        <f>IF(AND(AY473&lt;&gt;"AGUARDANDO",AY473&lt;&gt;"",N473="AUXÍLIO ALUGUEL ATÉ INDENIZAÇÃO"),"SIM","NÃO")</f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107" s="232" customFormat="1" ht="29.25" customHeight="1">
      <c r="A474" s="103">
        <v>464</v>
      </c>
      <c r="B474" s="103" t="s">
        <v>4431</v>
      </c>
      <c r="C474" s="103" t="s">
        <v>4448</v>
      </c>
      <c r="D474" s="103">
        <v>1</v>
      </c>
      <c r="E474" s="103" t="s">
        <v>4432</v>
      </c>
      <c r="F474" s="104" t="s">
        <v>6441</v>
      </c>
      <c r="G474" s="103" t="s">
        <v>4330</v>
      </c>
      <c r="H474" s="103" t="s">
        <v>4331</v>
      </c>
      <c r="I474" s="142" t="s">
        <v>4343</v>
      </c>
      <c r="J474" s="114" t="s">
        <v>6446</v>
      </c>
      <c r="K474" s="149" t="s">
        <v>6447</v>
      </c>
      <c r="L474" s="149" t="s">
        <v>6448</v>
      </c>
      <c r="M474" s="103" t="s">
        <v>4333</v>
      </c>
      <c r="N474" s="103" t="s">
        <v>4345</v>
      </c>
      <c r="O474" s="105">
        <v>45980</v>
      </c>
      <c r="P474" s="105">
        <v>45986</v>
      </c>
      <c r="Q474" s="108" t="s">
        <v>4436</v>
      </c>
      <c r="R474" s="108">
        <v>45985</v>
      </c>
      <c r="S474" s="108">
        <v>45986</v>
      </c>
      <c r="T474" s="108">
        <v>45987</v>
      </c>
      <c r="U474" s="108">
        <v>45992</v>
      </c>
      <c r="V474" s="105" t="s">
        <v>4437</v>
      </c>
      <c r="W474" s="105" t="s">
        <v>4437</v>
      </c>
      <c r="X474" s="105">
        <v>45999</v>
      </c>
      <c r="Y474" s="105">
        <v>46001</v>
      </c>
      <c r="Z474" s="105"/>
      <c r="AA474" s="103"/>
      <c r="AB474" s="114" t="s">
        <v>6446</v>
      </c>
      <c r="AC474" s="149" t="s">
        <v>6447</v>
      </c>
      <c r="AD474" s="149" t="s">
        <v>6448</v>
      </c>
      <c r="AE474" s="142" t="s">
        <v>4343</v>
      </c>
      <c r="AF474" s="103" t="s">
        <v>4333</v>
      </c>
      <c r="AG474" s="208" t="s">
        <v>4356</v>
      </c>
      <c r="AH474" s="208" t="s">
        <v>4356</v>
      </c>
      <c r="AI474" s="210" t="s">
        <v>4355</v>
      </c>
      <c r="AJ474" s="104" t="s">
        <v>4438</v>
      </c>
      <c r="AK474" s="103"/>
      <c r="AL474" s="103"/>
      <c r="AM474" s="103"/>
      <c r="AN474" s="103"/>
      <c r="AO474" s="103"/>
      <c r="AP474" s="171"/>
      <c r="AQ474" s="284"/>
      <c r="AR474" s="284"/>
      <c r="AS474" s="103" t="s">
        <v>4356</v>
      </c>
      <c r="AT474" s="103" t="s">
        <v>4356</v>
      </c>
      <c r="AU474" s="103" t="s">
        <v>4356</v>
      </c>
      <c r="AV474" s="103" t="s">
        <v>4356</v>
      </c>
      <c r="AW474" s="103"/>
      <c r="AX474" s="105"/>
      <c r="AY474" s="166"/>
      <c r="AZ474" s="105"/>
      <c r="BA474" s="103"/>
      <c r="BB474" s="136"/>
      <c r="BC474" s="220" t="str">
        <f>IF(AY474-KD474=0,"",AY474-O474)</f>
        <v/>
      </c>
      <c r="BD474" s="103" t="str">
        <f>IF(AND(AI474&lt;&gt;"SIM",AI474="UH"),"AA","INDENIZAÇÃO")</f>
        <v>AA</v>
      </c>
      <c r="BE474" s="103" t="str">
        <f>IF(AND(AY474&lt;&gt;"AGUARDANDO",AY474&lt;&gt;"",N474="AUXÍLIO ALUGUEL ATÉ INDENIZAÇÃO"),"SIM","NÃO")</f>
        <v>NÃO</v>
      </c>
      <c r="BF474" s="140"/>
      <c r="BG474" s="140"/>
      <c r="BH474" s="140"/>
      <c r="BI474" s="140"/>
      <c r="BJ474" s="140"/>
      <c r="BK474" s="140"/>
      <c r="BL474" s="140"/>
      <c r="BM474" s="238"/>
    </row>
    <row r="475" spans="1:107" s="232" customFormat="1" ht="29.25" customHeight="1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6449</v>
      </c>
      <c r="G475" s="103" t="s">
        <v>4330</v>
      </c>
      <c r="H475" s="103" t="s">
        <v>4331</v>
      </c>
      <c r="I475" s="142" t="s">
        <v>4343</v>
      </c>
      <c r="J475" s="149" t="s">
        <v>6450</v>
      </c>
      <c r="K475" s="149" t="s">
        <v>6451</v>
      </c>
      <c r="L475" s="149" t="s">
        <v>6452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6450</v>
      </c>
      <c r="AC475" s="149" t="s">
        <v>6453</v>
      </c>
      <c r="AD475" s="149" t="s">
        <v>6452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>IF(AY475-KD475=0,"",AY475-O475)</f>
        <v/>
      </c>
      <c r="BD475" s="103" t="str">
        <f>IF(AND(AI475&lt;&gt;"SIM",AI475="UH"),"AA","INDENIZAÇÃO")</f>
        <v>AA</v>
      </c>
      <c r="BE475" s="103" t="str">
        <f>IF(AND(AY475&lt;&gt;"AGUARDANDO",AY475&lt;&gt;"",N475="AUXÍLIO ALUGUEL ATÉ INDENIZAÇÃO"),"SIM","NÃO")</f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6455</v>
      </c>
      <c r="AC476" s="149" t="s">
        <v>6456</v>
      </c>
      <c r="AD476" s="149" t="s">
        <v>6457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6458</v>
      </c>
      <c r="AQ476" s="165" t="s">
        <v>4822</v>
      </c>
      <c r="AR476" s="103" t="s">
        <v>4822</v>
      </c>
      <c r="AS476" s="103" t="s">
        <v>4822</v>
      </c>
      <c r="AT476" s="103" t="s">
        <v>4822</v>
      </c>
      <c r="AU476" s="105">
        <v>46233</v>
      </c>
      <c r="AV476" s="103" t="s">
        <v>4822</v>
      </c>
      <c r="AW476" s="103" t="s">
        <v>4822</v>
      </c>
      <c r="AX476" s="105">
        <v>46234</v>
      </c>
      <c r="AY476" s="106" t="s">
        <v>4453</v>
      </c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customHeight="1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6454</v>
      </c>
      <c r="G477" s="103" t="s">
        <v>4330</v>
      </c>
      <c r="H477" s="103" t="s">
        <v>4331</v>
      </c>
      <c r="I477" s="142" t="s">
        <v>4343</v>
      </c>
      <c r="J477" s="149" t="s">
        <v>6459</v>
      </c>
      <c r="K477" s="149" t="s">
        <v>6460</v>
      </c>
      <c r="L477" s="149" t="s">
        <v>6461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6459</v>
      </c>
      <c r="AC477" s="149" t="s">
        <v>6460</v>
      </c>
      <c r="AD477" s="149" t="s">
        <v>6461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0"/>
      <c r="AR477" s="271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>IF(AY477-KD477=0,"",AY477-O477)</f>
        <v/>
      </c>
      <c r="BD477" s="103" t="str">
        <f>IF(AND(AI477&lt;&gt;"SIM",AI477="UH"),"AA","INDENIZAÇÃO")</f>
        <v>AA</v>
      </c>
      <c r="BE477" s="103" t="str">
        <f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customHeight="1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6462</v>
      </c>
      <c r="G478" s="103" t="s">
        <v>4330</v>
      </c>
      <c r="H478" s="103" t="s">
        <v>4361</v>
      </c>
      <c r="I478" s="103" t="s">
        <v>4361</v>
      </c>
      <c r="J478" s="149" t="s">
        <v>6463</v>
      </c>
      <c r="K478" s="149" t="s">
        <v>6464</v>
      </c>
      <c r="L478" s="149" t="s">
        <v>6465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6463</v>
      </c>
      <c r="AC478" s="149" t="s">
        <v>6464</v>
      </c>
      <c r="AD478" s="149" t="s">
        <v>6465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>IF(AY478-KD478=0,"",AY478-O478)</f>
        <v/>
      </c>
      <c r="BD478" s="103" t="str">
        <f>IF(AND(AI478&lt;&gt;"SIM",AI478="UH"),"AA","INDENIZAÇÃO")</f>
        <v>AA</v>
      </c>
      <c r="BE478" s="103" t="str">
        <f>IF(AND(AY478&lt;&gt;"AGUARDANDO",AY478&lt;&gt;"",N478="AUXÍLIO ALUGUEL ATÉ INDENIZAÇÃO"),"SIM","NÃO")</f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6466</v>
      </c>
      <c r="G479" s="103" t="s">
        <v>4330</v>
      </c>
      <c r="H479" s="103" t="s">
        <v>4331</v>
      </c>
      <c r="I479" s="103" t="s">
        <v>4343</v>
      </c>
      <c r="J479" s="149" t="s">
        <v>6467</v>
      </c>
      <c r="K479" s="149" t="s">
        <v>6468</v>
      </c>
      <c r="L479" s="149" t="s">
        <v>6469</v>
      </c>
      <c r="M479" s="103" t="s">
        <v>4333</v>
      </c>
      <c r="N479" s="103" t="s">
        <v>4334</v>
      </c>
      <c r="O479" s="105">
        <v>46188</v>
      </c>
      <c r="P479" s="105" t="s">
        <v>6470</v>
      </c>
      <c r="Q479" s="105" t="s">
        <v>6470</v>
      </c>
      <c r="R479" s="105" t="s">
        <v>6470</v>
      </c>
      <c r="S479" s="105" t="s">
        <v>6470</v>
      </c>
      <c r="T479" s="105" t="s">
        <v>6470</v>
      </c>
      <c r="U479" s="105" t="s">
        <v>6470</v>
      </c>
      <c r="V479" s="105" t="s">
        <v>6470</v>
      </c>
      <c r="W479" s="105" t="s">
        <v>6470</v>
      </c>
      <c r="X479" s="105" t="s">
        <v>6470</v>
      </c>
      <c r="Y479" s="105" t="s">
        <v>6470</v>
      </c>
      <c r="Z479" s="105"/>
      <c r="AA479" s="105" t="s">
        <v>6470</v>
      </c>
      <c r="AB479" s="204" t="s">
        <v>6467</v>
      </c>
      <c r="AC479" s="204" t="s">
        <v>6468</v>
      </c>
      <c r="AD479" s="204" t="s">
        <v>6469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6471</v>
      </c>
      <c r="AQ479" s="103" t="s">
        <v>4338</v>
      </c>
      <c r="AR479" s="165" t="s">
        <v>4338</v>
      </c>
      <c r="AS479" s="103" t="s">
        <v>4822</v>
      </c>
      <c r="AT479" s="103" t="s">
        <v>4822</v>
      </c>
      <c r="AU479" s="105">
        <v>46233</v>
      </c>
      <c r="AV479" s="103" t="s">
        <v>4822</v>
      </c>
      <c r="AW479" s="103" t="s">
        <v>4822</v>
      </c>
      <c r="AX479" s="105">
        <v>46234</v>
      </c>
      <c r="AY479" s="106" t="s">
        <v>4453</v>
      </c>
      <c r="AZ479" s="157"/>
      <c r="BA479" s="107" t="s">
        <v>4330</v>
      </c>
      <c r="BB479" s="112"/>
      <c r="BC479" s="220" t="e">
        <f>IF(AY479-KD479=0,"",AY479-O479)</f>
        <v>#VALUE!</v>
      </c>
      <c r="BD479" s="103" t="str">
        <f>IF(AND(AI479&lt;&gt;"SIM",AI479="UH"),"AA","INDENIZAÇÃO")</f>
        <v>INDENIZAÇÃO</v>
      </c>
      <c r="BE479" s="103" t="str">
        <f>IF(AND(AY479&lt;&gt;"AGUARDANDO",AY479&lt;&gt;"",N479="AUXÍLIO ALUGUEL ATÉ INDENIZAÇÃO"),"SIM","NÃO")</f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customHeight="1">
      <c r="A480" s="103">
        <v>470</v>
      </c>
      <c r="B480" s="103" t="s">
        <v>4431</v>
      </c>
      <c r="C480" s="103" t="s">
        <v>4448</v>
      </c>
      <c r="D480" s="103">
        <v>1</v>
      </c>
      <c r="E480" s="103" t="s">
        <v>4432</v>
      </c>
      <c r="F480" s="104" t="s">
        <v>6466</v>
      </c>
      <c r="G480" s="103" t="s">
        <v>4330</v>
      </c>
      <c r="H480" s="103" t="s">
        <v>4331</v>
      </c>
      <c r="I480" s="142" t="s">
        <v>4343</v>
      </c>
      <c r="J480" s="149" t="s">
        <v>6472</v>
      </c>
      <c r="K480" s="149" t="s">
        <v>6473</v>
      </c>
      <c r="L480" s="149" t="s">
        <v>6474</v>
      </c>
      <c r="M480" s="103" t="s">
        <v>4333</v>
      </c>
      <c r="N480" s="103" t="s">
        <v>4459</v>
      </c>
      <c r="O480" s="105">
        <v>46064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6472</v>
      </c>
      <c r="AC480" s="149" t="s">
        <v>6473</v>
      </c>
      <c r="AD480" s="149" t="s">
        <v>6474</v>
      </c>
      <c r="AE480" s="103" t="s">
        <v>4343</v>
      </c>
      <c r="AF480" s="112" t="s">
        <v>4333</v>
      </c>
      <c r="AG480" s="194">
        <v>29415.63</v>
      </c>
      <c r="AH480" s="194">
        <f>AG480+30000</f>
        <v>59415.630000000005</v>
      </c>
      <c r="AI480" s="103" t="s">
        <v>4447</v>
      </c>
      <c r="AJ480" s="104" t="s">
        <v>4438</v>
      </c>
      <c r="AK480" s="103">
        <v>153413980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6475</v>
      </c>
      <c r="AQ480" s="103" t="s">
        <v>4338</v>
      </c>
      <c r="AR480" s="103" t="s">
        <v>4338</v>
      </c>
      <c r="AS480" s="103" t="s">
        <v>4338</v>
      </c>
      <c r="AT480" s="103" t="s">
        <v>4338</v>
      </c>
      <c r="AU480" s="105">
        <v>46153</v>
      </c>
      <c r="AV480" s="103" t="s">
        <v>4338</v>
      </c>
      <c r="AW480" s="103" t="s">
        <v>4338</v>
      </c>
      <c r="AX480" s="105">
        <v>46161</v>
      </c>
      <c r="AY480" s="106">
        <v>46161</v>
      </c>
      <c r="AZ480" s="106" t="s">
        <v>4453</v>
      </c>
      <c r="BA480" s="107" t="s">
        <v>4454</v>
      </c>
      <c r="BB480" s="112" t="s">
        <v>4338</v>
      </c>
      <c r="BC480" s="220">
        <f>IF(AY480-KD480=0,"",AY480-O480)</f>
        <v>97</v>
      </c>
      <c r="BD480" s="103" t="str">
        <f>IF(AND(AI480&lt;&gt;"SIM",AI480="UH"),"AA","INDENIZAÇÃO")</f>
        <v>INDENIZAÇÃO</v>
      </c>
      <c r="BE480" s="103" t="str">
        <f>IF(AND(AY480&lt;&gt;"AGUARDANDO",AY480&lt;&gt;"",N480="AUXÍLIO ALUGUEL ATÉ INDENIZAÇÃO"),"SIM","NÃO")</f>
        <v>NÃO</v>
      </c>
      <c r="BF480" s="112" t="s">
        <v>4357</v>
      </c>
      <c r="BG480" s="112" t="s">
        <v>4357</v>
      </c>
      <c r="BH480" s="112" t="s">
        <v>4357</v>
      </c>
      <c r="BI480" s="109" t="s">
        <v>4912</v>
      </c>
      <c r="BJ480" s="109"/>
      <c r="BK480" s="109"/>
      <c r="BL480" s="109"/>
      <c r="BM480" s="239"/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customHeight="1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6476</v>
      </c>
      <c r="G481" s="103" t="s">
        <v>4330</v>
      </c>
      <c r="H481" s="103" t="s">
        <v>4331</v>
      </c>
      <c r="I481" s="103" t="s">
        <v>4343</v>
      </c>
      <c r="J481" s="149" t="s">
        <v>6477</v>
      </c>
      <c r="K481" s="149" t="s">
        <v>6478</v>
      </c>
      <c r="L481" s="149" t="s">
        <v>6479</v>
      </c>
      <c r="M481" s="103" t="s">
        <v>4333</v>
      </c>
      <c r="N481" s="103" t="s">
        <v>4459</v>
      </c>
      <c r="O481" s="105">
        <v>46093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6477</v>
      </c>
      <c r="AC481" s="149" t="s">
        <v>6478</v>
      </c>
      <c r="AD481" s="149" t="s">
        <v>6479</v>
      </c>
      <c r="AE481" s="103" t="s">
        <v>4343</v>
      </c>
      <c r="AF481" s="103" t="s">
        <v>4333</v>
      </c>
      <c r="AG481" s="194">
        <v>83679.75</v>
      </c>
      <c r="AH481" s="194">
        <v>83679.75</v>
      </c>
      <c r="AI481" s="103" t="s">
        <v>4336</v>
      </c>
      <c r="AJ481" s="104" t="s">
        <v>4438</v>
      </c>
      <c r="AK481" s="103">
        <v>150531066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6480</v>
      </c>
      <c r="AQ481" s="103" t="s">
        <v>4338</v>
      </c>
      <c r="AR481" s="103" t="s">
        <v>4338</v>
      </c>
      <c r="AS481" s="103" t="s">
        <v>4338</v>
      </c>
      <c r="AT481" s="165" t="s">
        <v>4338</v>
      </c>
      <c r="AU481" s="105">
        <v>46128</v>
      </c>
      <c r="AV481" s="103" t="s">
        <v>4338</v>
      </c>
      <c r="AW481" s="165" t="s">
        <v>4338</v>
      </c>
      <c r="AX481" s="105">
        <v>46139</v>
      </c>
      <c r="AY481" s="106">
        <v>46139</v>
      </c>
      <c r="AZ481" s="106" t="s">
        <v>4453</v>
      </c>
      <c r="BA481" s="107" t="s">
        <v>4454</v>
      </c>
      <c r="BB481" s="136" t="s">
        <v>4338</v>
      </c>
      <c r="BC481" s="220">
        <f>IF(AY481-KD481=0,"",AY481-O481)</f>
        <v>46</v>
      </c>
      <c r="BD481" s="103" t="str">
        <f>IF(AND(AI481&lt;&gt;"SIM",AI481="UH"),"AA","INDENIZAÇÃO")</f>
        <v>INDENIZAÇÃO</v>
      </c>
      <c r="BE481" s="103" t="str">
        <f>IF(AND(AY481&lt;&gt;"AGUARDANDO",AY481&lt;&gt;"",N481="AUXÍLIO ALUGUEL ATÉ INDENIZAÇÃO"),"SIM","NÃO")</f>
        <v>NÃO</v>
      </c>
      <c r="BF481" s="112" t="s">
        <v>4357</v>
      </c>
      <c r="BG481" s="112" t="s">
        <v>4357</v>
      </c>
      <c r="BH481" s="112" t="s">
        <v>4357</v>
      </c>
      <c r="BI481" s="109" t="s">
        <v>4912</v>
      </c>
      <c r="BJ481" s="109"/>
      <c r="BK481" s="109"/>
      <c r="BL481" s="109"/>
      <c r="BM481" s="239"/>
    </row>
    <row r="482" spans="1:69" s="232" customFormat="1" ht="29.25" customHeight="1">
      <c r="A482" s="103">
        <v>472</v>
      </c>
      <c r="B482" s="103" t="s">
        <v>4431</v>
      </c>
      <c r="C482" s="103" t="s">
        <v>4448</v>
      </c>
      <c r="D482" s="103">
        <v>1</v>
      </c>
      <c r="E482" s="103" t="s">
        <v>4432</v>
      </c>
      <c r="F482" s="104" t="s">
        <v>6476</v>
      </c>
      <c r="G482" s="103" t="s">
        <v>4330</v>
      </c>
      <c r="H482" s="103" t="s">
        <v>4342</v>
      </c>
      <c r="I482" s="153" t="s">
        <v>4332</v>
      </c>
      <c r="J482" s="149" t="s">
        <v>6481</v>
      </c>
      <c r="K482" s="149" t="s">
        <v>6482</v>
      </c>
      <c r="L482" s="149" t="s">
        <v>6483</v>
      </c>
      <c r="M482" s="103" t="s">
        <v>4333</v>
      </c>
      <c r="N482" s="103" t="s">
        <v>4459</v>
      </c>
      <c r="O482" s="105">
        <v>46059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6481</v>
      </c>
      <c r="AC482" s="149" t="s">
        <v>6482</v>
      </c>
      <c r="AD482" s="149" t="s">
        <v>6483</v>
      </c>
      <c r="AE482" s="153" t="s">
        <v>4332</v>
      </c>
      <c r="AF482" s="103" t="s">
        <v>4333</v>
      </c>
      <c r="AG482" s="194">
        <v>77783.350000000006</v>
      </c>
      <c r="AH482" s="194">
        <v>77783.350000000006</v>
      </c>
      <c r="AI482" s="103" t="s">
        <v>4336</v>
      </c>
      <c r="AJ482" s="104" t="s">
        <v>4438</v>
      </c>
      <c r="AK482" s="103">
        <v>150531066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6484</v>
      </c>
      <c r="AQ482" s="103" t="s">
        <v>4338</v>
      </c>
      <c r="AR482" s="103" t="s">
        <v>4338</v>
      </c>
      <c r="AS482" s="103" t="s">
        <v>4338</v>
      </c>
      <c r="AT482" s="103" t="s">
        <v>4338</v>
      </c>
      <c r="AU482" s="105">
        <v>46128</v>
      </c>
      <c r="AV482" s="103" t="s">
        <v>4338</v>
      </c>
      <c r="AW482" s="103" t="s">
        <v>4338</v>
      </c>
      <c r="AX482" s="105">
        <v>46139</v>
      </c>
      <c r="AY482" s="106">
        <v>46139</v>
      </c>
      <c r="AZ482" s="106" t="s">
        <v>4453</v>
      </c>
      <c r="BA482" s="107" t="s">
        <v>4454</v>
      </c>
      <c r="BB482" s="136" t="s">
        <v>4338</v>
      </c>
      <c r="BC482" s="220">
        <f>IF(AY482-KD482=0,"",AY482-O482)</f>
        <v>80</v>
      </c>
      <c r="BD482" s="103" t="str">
        <f>IF(AND(AI482&lt;&gt;"SIM",AI482="UH"),"AA","INDENIZAÇÃO")</f>
        <v>INDENIZAÇÃO</v>
      </c>
      <c r="BE482" s="103" t="str">
        <f>IF(AND(AY482&lt;&gt;"AGUARDANDO",AY482&lt;&gt;"",N482="AUXÍLIO ALUGUEL ATÉ INDENIZAÇÃO"),"SIM","NÃO")</f>
        <v>NÃO</v>
      </c>
      <c r="BF482" s="112" t="s">
        <v>4357</v>
      </c>
      <c r="BG482" s="112" t="s">
        <v>4357</v>
      </c>
      <c r="BH482" s="112" t="s">
        <v>4357</v>
      </c>
      <c r="BI482" s="109" t="s">
        <v>4912</v>
      </c>
      <c r="BJ482" s="109"/>
      <c r="BK482" s="109"/>
      <c r="BL482" s="109"/>
      <c r="BM482" s="239"/>
    </row>
    <row r="483" spans="1:69" s="232" customFormat="1" ht="29.25" customHeight="1">
      <c r="A483" s="165">
        <v>473</v>
      </c>
      <c r="B483" s="103" t="s">
        <v>4431</v>
      </c>
      <c r="C483" s="103" t="s">
        <v>4448</v>
      </c>
      <c r="D483" s="103">
        <v>1</v>
      </c>
      <c r="E483" s="103" t="s">
        <v>4432</v>
      </c>
      <c r="F483" s="104" t="s">
        <v>6485</v>
      </c>
      <c r="G483" s="103" t="s">
        <v>6486</v>
      </c>
      <c r="H483" s="103" t="s">
        <v>6486</v>
      </c>
      <c r="I483" s="303" t="s">
        <v>4332</v>
      </c>
      <c r="J483" s="149" t="s">
        <v>6487</v>
      </c>
      <c r="K483" s="149" t="s">
        <v>6488</v>
      </c>
      <c r="L483" s="149" t="s">
        <v>6489</v>
      </c>
      <c r="M483" s="103" t="s">
        <v>4333</v>
      </c>
      <c r="N483" s="103" t="s">
        <v>4459</v>
      </c>
      <c r="O483" s="105">
        <v>46076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6487</v>
      </c>
      <c r="AC483" s="149" t="s">
        <v>6488</v>
      </c>
      <c r="AD483" s="149" t="s">
        <v>6489</v>
      </c>
      <c r="AE483" s="153" t="s">
        <v>4332</v>
      </c>
      <c r="AF483" s="103" t="s">
        <v>4333</v>
      </c>
      <c r="AG483" s="194">
        <v>66126.44</v>
      </c>
      <c r="AH483" s="194">
        <v>66126.44</v>
      </c>
      <c r="AI483" s="103" t="s">
        <v>4336</v>
      </c>
      <c r="AJ483" s="104" t="s">
        <v>4438</v>
      </c>
      <c r="AK483" s="103">
        <v>148266044</v>
      </c>
      <c r="AL483" s="103" t="s">
        <v>4338</v>
      </c>
      <c r="AM483" s="103" t="s">
        <v>4338</v>
      </c>
      <c r="AN483" s="103" t="s">
        <v>4339</v>
      </c>
      <c r="AO483" s="112"/>
      <c r="AP483" s="171" t="s">
        <v>6490</v>
      </c>
      <c r="AQ483" s="302" t="s">
        <v>4338</v>
      </c>
      <c r="AR483" s="103" t="s">
        <v>4338</v>
      </c>
      <c r="AS483" s="10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46182</v>
      </c>
      <c r="AY483" s="106">
        <v>46182</v>
      </c>
      <c r="AZ483" s="311" t="s">
        <v>4453</v>
      </c>
      <c r="BA483" s="312" t="s">
        <v>4454</v>
      </c>
      <c r="BB483" s="314" t="s">
        <v>4338</v>
      </c>
      <c r="BC483" s="220">
        <f>IF(AY483-KD483=0,"",AY483-O483)</f>
        <v>106</v>
      </c>
      <c r="BD483" s="103" t="str">
        <f>IF(AND(AI483&lt;&gt;"SIM",AI483="UH"),"AA","INDENIZAÇÃO")</f>
        <v>INDENIZAÇÃO</v>
      </c>
      <c r="BE483" s="103" t="str">
        <f>IF(AND(AY483&lt;&gt;"AGUARDANDO",AY483&lt;&gt;"",N483="AUXÍLIO ALUGUEL ATÉ INDENIZAÇÃO"),"SIM","NÃO")</f>
        <v>NÃO</v>
      </c>
      <c r="BF483" s="316" t="s">
        <v>4357</v>
      </c>
      <c r="BG483" s="250" t="s">
        <v>4357</v>
      </c>
      <c r="BH483" s="250" t="s">
        <v>4357</v>
      </c>
      <c r="BI483" s="318" t="s">
        <v>4912</v>
      </c>
      <c r="BJ483" s="154"/>
      <c r="BK483" s="154"/>
      <c r="BL483" s="154"/>
      <c r="BM483" s="237"/>
    </row>
    <row r="484" spans="1:69" s="232" customFormat="1" ht="29.25" customHeight="1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6491</v>
      </c>
      <c r="G484" s="103" t="s">
        <v>4330</v>
      </c>
      <c r="H484" s="103" t="s">
        <v>4331</v>
      </c>
      <c r="I484" s="98" t="s">
        <v>4343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>IF(AY484-KD484=0,"",AY484-O484)</f>
        <v/>
      </c>
      <c r="BD484" s="103" t="str">
        <f>IF(AND(AI484&lt;&gt;"SIM",AI484="UH"),"AA","INDENIZAÇÃO")</f>
        <v>AA</v>
      </c>
      <c r="BE484" s="103" t="str">
        <f>IF(AND(AY484&lt;&gt;"AGUARDANDO",AY484&lt;&gt;"",N484="AUXÍLIO ALUGUEL ATÉ INDENIZAÇÃO"),"SIM","NÃO")</f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customHeight="1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6495</v>
      </c>
      <c r="G485" s="103" t="s">
        <v>4330</v>
      </c>
      <c r="H485" s="103" t="s">
        <v>4331</v>
      </c>
      <c r="I485" s="103" t="s">
        <v>4343</v>
      </c>
      <c r="J485" s="149" t="s">
        <v>6496</v>
      </c>
      <c r="K485" s="149" t="s">
        <v>6497</v>
      </c>
      <c r="L485" s="149" t="s">
        <v>6498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6496</v>
      </c>
      <c r="AC485" s="149" t="s">
        <v>6497</v>
      </c>
      <c r="AD485" s="149" t="s">
        <v>6498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>IF(AY485-KD485=0,"",AY485-O485)</f>
        <v/>
      </c>
      <c r="BD485" s="103" t="str">
        <f>IF(AND(AI485&lt;&gt;"SIM",AI485="UH"),"AA","INDENIZAÇÃO")</f>
        <v>AA</v>
      </c>
      <c r="BE485" s="103" t="str">
        <f>IF(AND(AY485&lt;&gt;"AGUARDANDO",AY485&lt;&gt;"",N485="AUXÍLIO ALUGUEL ATÉ INDENIZAÇÃO"),"SIM","NÃO")</f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customHeight="1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6499</v>
      </c>
      <c r="G486" s="103" t="s">
        <v>4330</v>
      </c>
      <c r="H486" s="103" t="s">
        <v>4331</v>
      </c>
      <c r="I486" s="103" t="s">
        <v>4343</v>
      </c>
      <c r="J486" s="149" t="s">
        <v>6500</v>
      </c>
      <c r="K486" s="149" t="s">
        <v>6501</v>
      </c>
      <c r="L486" s="149" t="s">
        <v>6502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6500</v>
      </c>
      <c r="AC486" s="149" t="s">
        <v>6501</v>
      </c>
      <c r="AD486" s="149" t="s">
        <v>6502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>IF(AY486-KD486=0,"",AY486-O486)</f>
        <v/>
      </c>
      <c r="BD486" s="103" t="str">
        <f>IF(AND(AI486&lt;&gt;"SIM",AI486="UH"),"AA","INDENIZAÇÃO")</f>
        <v>AA</v>
      </c>
      <c r="BE486" s="103" t="str">
        <f>IF(AND(AY486&lt;&gt;"AGUARDANDO",AY486&lt;&gt;"",N486="AUXÍLIO ALUGUEL ATÉ INDENIZAÇÃO"),"SIM","NÃO")</f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customHeight="1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6503</v>
      </c>
      <c r="G487" s="103" t="s">
        <v>4330</v>
      </c>
      <c r="H487" s="103" t="s">
        <v>4331</v>
      </c>
      <c r="I487" s="103" t="s">
        <v>4343</v>
      </c>
      <c r="J487" s="149" t="s">
        <v>6504</v>
      </c>
      <c r="K487" s="149" t="s">
        <v>6505</v>
      </c>
      <c r="L487" s="149" t="s">
        <v>6506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6504</v>
      </c>
      <c r="AC487" s="149" t="s">
        <v>6505</v>
      </c>
      <c r="AD487" s="149" t="s">
        <v>6506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>IF(AY487-KD487=0,"",AY487-O487)</f>
        <v/>
      </c>
      <c r="BD487" s="103" t="str">
        <f>IF(AND(AI487&lt;&gt;"SIM",AI487="UH"),"AA","INDENIZAÇÃO")</f>
        <v>AA</v>
      </c>
      <c r="BE487" s="103" t="str">
        <f>IF(AND(AY487&lt;&gt;"AGUARDANDO",AY487&lt;&gt;"",N487="AUXÍLIO ALUGUEL ATÉ INDENIZAÇÃO"),"SIM","NÃO")</f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>
      <c r="A488" s="103">
        <v>478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6507</v>
      </c>
      <c r="G488" s="103" t="s">
        <v>4330</v>
      </c>
      <c r="H488" s="103" t="s">
        <v>4331</v>
      </c>
      <c r="I488" s="103" t="s">
        <v>4343</v>
      </c>
      <c r="J488" s="149" t="s">
        <v>6508</v>
      </c>
      <c r="K488" s="149" t="s">
        <v>6509</v>
      </c>
      <c r="L488" s="149" t="s">
        <v>6510</v>
      </c>
      <c r="M488" s="103" t="s">
        <v>4333</v>
      </c>
      <c r="N488" s="103" t="s">
        <v>4459</v>
      </c>
      <c r="O488" s="105">
        <v>46129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5"/>
      <c r="AB488" s="149" t="s">
        <v>6508</v>
      </c>
      <c r="AC488" s="149" t="s">
        <v>6509</v>
      </c>
      <c r="AD488" s="149" t="s">
        <v>6510</v>
      </c>
      <c r="AE488" s="103" t="s">
        <v>4343</v>
      </c>
      <c r="AF488" s="103" t="s">
        <v>4333</v>
      </c>
      <c r="AG488" s="194">
        <v>27649.74</v>
      </c>
      <c r="AH488" s="194">
        <f>AG488+30000</f>
        <v>57649.740000000005</v>
      </c>
      <c r="AI488" s="103" t="s">
        <v>4447</v>
      </c>
      <c r="AJ488" s="104" t="s">
        <v>4438</v>
      </c>
      <c r="AK488" s="103">
        <v>153982110</v>
      </c>
      <c r="AL488" s="103" t="s">
        <v>4338</v>
      </c>
      <c r="AM488" s="103" t="s">
        <v>4338</v>
      </c>
      <c r="AN488" s="103" t="s">
        <v>4339</v>
      </c>
      <c r="AO488" s="112"/>
      <c r="AP488" s="273" t="s">
        <v>6511</v>
      </c>
      <c r="AQ488" s="259" t="s">
        <v>4338</v>
      </c>
      <c r="AR488" s="112" t="s">
        <v>4338</v>
      </c>
      <c r="AS488" s="112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57"/>
      <c r="BA488" s="109" t="s">
        <v>4330</v>
      </c>
      <c r="BB488" s="112"/>
      <c r="BC488" s="220" t="e">
        <f>IF(AY488-KD488=0,"",AY488-O488)</f>
        <v>#VALUE!</v>
      </c>
      <c r="BD488" s="103" t="str">
        <f>IF(AND(AI488&lt;&gt;"SIM",AI488="UH"),"AA","INDENIZAÇÃO")</f>
        <v>INDENIZAÇÃO</v>
      </c>
      <c r="BE488" s="103" t="str">
        <f>IF(AND(AY488&lt;&gt;"AGUARDANDO",AY488&lt;&gt;"",N488="AUXÍLIO ALUGUEL ATÉ INDENIZAÇÃO"),"SIM","NÃO")</f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69" s="232" customFormat="1" ht="29.25" customHeight="1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4343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6513</v>
      </c>
      <c r="AC489" s="149" t="s">
        <v>6514</v>
      </c>
      <c r="AD489" s="149" t="s">
        <v>6515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>IF(AY489-KD489=0,"",AY489-O489)</f>
        <v/>
      </c>
      <c r="BD489" s="103" t="str">
        <f>IF(AND(AI489&lt;&gt;"SIM",AI489="UH"),"AA","INDENIZAÇÃO")</f>
        <v>AA</v>
      </c>
      <c r="BE489" s="103" t="str">
        <f>IF(AND(AY489&lt;&gt;"AGUARDANDO",AY489&lt;&gt;"",N489="AUXÍLIO ALUGUEL ATÉ INDENIZAÇÃO"),"SIM","NÃO")</f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customHeight="1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6516</v>
      </c>
      <c r="G490" s="103" t="s">
        <v>4330</v>
      </c>
      <c r="H490" s="103" t="s">
        <v>4331</v>
      </c>
      <c r="I490" s="103" t="s">
        <v>4343</v>
      </c>
      <c r="J490" s="149" t="s">
        <v>6517</v>
      </c>
      <c r="K490" s="149" t="s">
        <v>6518</v>
      </c>
      <c r="L490" s="149" t="s">
        <v>6519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6517</v>
      </c>
      <c r="AC490" s="149" t="s">
        <v>6518</v>
      </c>
      <c r="AD490" s="149" t="s">
        <v>6519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>IF(AY490-KD490=0,"",AY490-O490)</f>
        <v/>
      </c>
      <c r="BD490" s="103" t="str">
        <f>IF(AND(AI490&lt;&gt;"SIM",AI490="UH"),"AA","INDENIZAÇÃO")</f>
        <v>AA</v>
      </c>
      <c r="BE490" s="103" t="str">
        <f>IF(AND(AY490&lt;&gt;"AGUARDANDO",AY490&lt;&gt;"",N490="AUXÍLIO ALUGUEL ATÉ INDENIZAÇÃO"),"SIM","NÃO")</f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customHeight="1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6520</v>
      </c>
      <c r="G491" s="103" t="s">
        <v>4330</v>
      </c>
      <c r="H491" s="103" t="s">
        <v>4331</v>
      </c>
      <c r="I491" s="142" t="s">
        <v>6521</v>
      </c>
      <c r="J491" s="149" t="s">
        <v>6522</v>
      </c>
      <c r="K491" s="149" t="s">
        <v>4432</v>
      </c>
      <c r="L491" s="149" t="s">
        <v>6523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6522</v>
      </c>
      <c r="AC491" s="149" t="s">
        <v>4432</v>
      </c>
      <c r="AD491" s="149" t="s">
        <v>6523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>IF(AY491-KD491=0,"",AY491-O491)</f>
        <v/>
      </c>
      <c r="BD491" s="103" t="str">
        <f>IF(AND(AI491&lt;&gt;"SIM",AI491="UH"),"AA","INDENIZAÇÃO")</f>
        <v>AA</v>
      </c>
      <c r="BE491" s="103" t="str">
        <f>IF(AND(AY491&lt;&gt;"AGUARDANDO",AY491&lt;&gt;"",N491="AUXÍLIO ALUGUEL ATÉ INDENIZAÇÃO"),"SIM","NÃO")</f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customHeight="1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6524</v>
      </c>
      <c r="G492" s="103" t="s">
        <v>4330</v>
      </c>
      <c r="H492" s="103" t="s">
        <v>4331</v>
      </c>
      <c r="I492" s="142" t="s">
        <v>4343</v>
      </c>
      <c r="J492" s="149" t="s">
        <v>6525</v>
      </c>
      <c r="K492" s="149" t="s">
        <v>6526</v>
      </c>
      <c r="L492" s="149" t="s">
        <v>6527</v>
      </c>
      <c r="M492" s="103" t="s">
        <v>4333</v>
      </c>
      <c r="N492" s="103" t="s">
        <v>4459</v>
      </c>
      <c r="O492" s="105">
        <v>46076</v>
      </c>
      <c r="P492" s="105" t="s">
        <v>4356</v>
      </c>
      <c r="Q492" s="105" t="s">
        <v>4356</v>
      </c>
      <c r="R492" s="105" t="s">
        <v>4356</v>
      </c>
      <c r="S492" s="105" t="s">
        <v>4356</v>
      </c>
      <c r="T492" s="105" t="s">
        <v>4356</v>
      </c>
      <c r="U492" s="105" t="s">
        <v>4356</v>
      </c>
      <c r="V492" s="105" t="s">
        <v>4356</v>
      </c>
      <c r="W492" s="105" t="s">
        <v>4356</v>
      </c>
      <c r="X492" s="105" t="s">
        <v>4356</v>
      </c>
      <c r="Y492" s="105" t="s">
        <v>4356</v>
      </c>
      <c r="Z492" s="105"/>
      <c r="AA492" s="105"/>
      <c r="AB492" s="149" t="s">
        <v>6525</v>
      </c>
      <c r="AC492" s="149" t="s">
        <v>6526</v>
      </c>
      <c r="AD492" s="149" t="s">
        <v>6527</v>
      </c>
      <c r="AE492" s="103" t="s">
        <v>4343</v>
      </c>
      <c r="AF492" s="112" t="s">
        <v>4333</v>
      </c>
      <c r="AG492" s="194">
        <v>42817.58</v>
      </c>
      <c r="AH492" s="194">
        <v>60000</v>
      </c>
      <c r="AI492" s="103" t="s">
        <v>4447</v>
      </c>
      <c r="AJ492" s="104" t="s">
        <v>4438</v>
      </c>
      <c r="AK492" s="103">
        <v>150611783</v>
      </c>
      <c r="AL492" s="103" t="s">
        <v>4338</v>
      </c>
      <c r="AM492" s="103" t="s">
        <v>4338</v>
      </c>
      <c r="AN492" s="103" t="s">
        <v>4339</v>
      </c>
      <c r="AO492" s="112"/>
      <c r="AP492" s="171" t="s">
        <v>6528</v>
      </c>
      <c r="AQ492" s="103" t="s">
        <v>4338</v>
      </c>
      <c r="AR492" s="103" t="s">
        <v>4338</v>
      </c>
      <c r="AS492" s="103" t="s">
        <v>4338</v>
      </c>
      <c r="AT492" s="103" t="s">
        <v>4338</v>
      </c>
      <c r="AU492" s="105">
        <v>46118</v>
      </c>
      <c r="AV492" s="103" t="s">
        <v>4338</v>
      </c>
      <c r="AW492" s="103" t="s">
        <v>4338</v>
      </c>
      <c r="AX492" s="105">
        <v>46126</v>
      </c>
      <c r="AY492" s="106">
        <v>46126</v>
      </c>
      <c r="AZ492" s="106" t="s">
        <v>4453</v>
      </c>
      <c r="BA492" s="174" t="s">
        <v>4454</v>
      </c>
      <c r="BB492" s="136" t="s">
        <v>4338</v>
      </c>
      <c r="BC492" s="220">
        <f>IF(AY492-KD492=0,"",AY492-O492)</f>
        <v>50</v>
      </c>
      <c r="BD492" s="103" t="str">
        <f>IF(AND(AI492&lt;&gt;"SIM",AI492="UH"),"AA","INDENIZAÇÃO")</f>
        <v>INDENIZAÇÃO</v>
      </c>
      <c r="BE492" s="103" t="str">
        <f>IF(AND(AY492&lt;&gt;"AGUARDANDO",AY492&lt;&gt;"",N492="AUXÍLIO ALUGUEL ATÉ INDENIZAÇÃO"),"SIM","NÃO")</f>
        <v>NÃO</v>
      </c>
      <c r="BF492" s="140" t="s">
        <v>4357</v>
      </c>
      <c r="BG492" s="140" t="s">
        <v>4357</v>
      </c>
      <c r="BH492" s="140" t="s">
        <v>4357</v>
      </c>
      <c r="BI492" s="154" t="s">
        <v>4912</v>
      </c>
      <c r="BJ492" s="154"/>
      <c r="BK492" s="154"/>
      <c r="BL492" s="154"/>
      <c r="BM492" s="237"/>
      <c r="BN492" s="231"/>
      <c r="BO492" s="231"/>
      <c r="BP492" s="231"/>
      <c r="BQ492" s="231"/>
    </row>
    <row r="493" spans="1:69" s="232" customFormat="1" ht="29.25" customHeight="1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6529</v>
      </c>
      <c r="G493" s="103" t="s">
        <v>4330</v>
      </c>
      <c r="H493" s="103" t="s">
        <v>4331</v>
      </c>
      <c r="I493" s="142" t="s">
        <v>4343</v>
      </c>
      <c r="J493" s="149" t="s">
        <v>6530</v>
      </c>
      <c r="K493" s="149" t="s">
        <v>4432</v>
      </c>
      <c r="L493" s="149" t="s">
        <v>6531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6530</v>
      </c>
      <c r="AC493" s="149" t="s">
        <v>4432</v>
      </c>
      <c r="AD493" s="149" t="s">
        <v>6531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>IF(AY493-KD493=0,"",AY493-O493)</f>
        <v/>
      </c>
      <c r="BD493" s="103" t="str">
        <f>IF(AND(AI493&lt;&gt;"SIM",AI493="UH"),"AA","INDENIZAÇÃO")</f>
        <v>AA</v>
      </c>
      <c r="BE493" s="103" t="str">
        <f>IF(AND(AY493&lt;&gt;"AGUARDANDO",AY493&lt;&gt;"",N493="AUXÍLIO ALUGUEL ATÉ INDENIZAÇÃO"),"SIM","NÃO")</f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customHeight="1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6532</v>
      </c>
      <c r="G494" s="103" t="s">
        <v>4330</v>
      </c>
      <c r="H494" s="103" t="s">
        <v>4331</v>
      </c>
      <c r="I494" s="142" t="s">
        <v>4343</v>
      </c>
      <c r="J494" s="149" t="s">
        <v>6533</v>
      </c>
      <c r="K494" s="149" t="s">
        <v>6534</v>
      </c>
      <c r="L494" s="149" t="s">
        <v>6535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6533</v>
      </c>
      <c r="AC494" s="149" t="s">
        <v>6534</v>
      </c>
      <c r="AD494" s="149" t="s">
        <v>6535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>IF(AY494-KD494=0,"",AY494-O494)</f>
        <v/>
      </c>
      <c r="BD494" s="103" t="str">
        <f>IF(AND(AI494&lt;&gt;"SIM",AI494="UH"),"AA","INDENIZAÇÃO")</f>
        <v>AA</v>
      </c>
      <c r="BE494" s="103" t="str">
        <f>IF(AND(AY494&lt;&gt;"AGUARDANDO",AY494&lt;&gt;"",N494="AUXÍLIO ALUGUEL ATÉ INDENIZAÇÃO"),"SIM","NÃO")</f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customHeight="1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6536</v>
      </c>
      <c r="G495" s="103" t="s">
        <v>4330</v>
      </c>
      <c r="H495" s="103" t="s">
        <v>4331</v>
      </c>
      <c r="I495" s="142" t="s">
        <v>4343</v>
      </c>
      <c r="J495" s="149" t="s">
        <v>6537</v>
      </c>
      <c r="K495" s="149" t="s">
        <v>6538</v>
      </c>
      <c r="L495" s="149" t="s">
        <v>6539</v>
      </c>
      <c r="M495" s="103" t="s">
        <v>4333</v>
      </c>
      <c r="N495" s="103" t="s">
        <v>4459</v>
      </c>
      <c r="O495" s="105">
        <v>46097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5"/>
      <c r="AB495" s="204" t="s">
        <v>6537</v>
      </c>
      <c r="AC495" s="204" t="s">
        <v>6538</v>
      </c>
      <c r="AD495" s="204" t="s">
        <v>6539</v>
      </c>
      <c r="AE495" s="165" t="s">
        <v>4343</v>
      </c>
      <c r="AF495" s="165" t="s">
        <v>4333</v>
      </c>
      <c r="AG495" s="208">
        <v>60697.24</v>
      </c>
      <c r="AH495" s="208">
        <v>60697.24</v>
      </c>
      <c r="AI495" s="165" t="s">
        <v>4336</v>
      </c>
      <c r="AJ495" s="104" t="s">
        <v>4438</v>
      </c>
      <c r="AK495" s="103">
        <v>150997684</v>
      </c>
      <c r="AL495" s="142" t="s">
        <v>4338</v>
      </c>
      <c r="AM495" s="103" t="s">
        <v>4338</v>
      </c>
      <c r="AN495" s="103" t="s">
        <v>4339</v>
      </c>
      <c r="AO495" s="103"/>
      <c r="AP495" s="171" t="s">
        <v>6540</v>
      </c>
      <c r="AQ495" s="103" t="s">
        <v>4338</v>
      </c>
      <c r="AR495" s="103" t="s">
        <v>4338</v>
      </c>
      <c r="AS495" s="10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46157</v>
      </c>
      <c r="AY495" s="106">
        <v>46157</v>
      </c>
      <c r="AZ495" s="106" t="s">
        <v>4453</v>
      </c>
      <c r="BA495" s="107" t="s">
        <v>4454</v>
      </c>
      <c r="BB495" s="136" t="s">
        <v>4338</v>
      </c>
      <c r="BC495" s="220">
        <f>IF(AY495-KD495=0,"",AY495-O495)</f>
        <v>60</v>
      </c>
      <c r="BD495" s="103" t="str">
        <f>IF(AND(AI495&lt;&gt;"SIM",AI495="UH"),"AA","INDENIZAÇÃO")</f>
        <v>INDENIZAÇÃO</v>
      </c>
      <c r="BE495" s="103" t="str">
        <f>IF(AND(AY495&lt;&gt;"AGUARDANDO",AY495&lt;&gt;"",N495="AUXÍLIO ALUGUEL ATÉ INDENIZAÇÃO"),"SIM","NÃO")</f>
        <v>NÃO</v>
      </c>
      <c r="BF495" s="140" t="s">
        <v>4357</v>
      </c>
      <c r="BG495" s="140" t="s">
        <v>4357</v>
      </c>
      <c r="BH495" s="140" t="s">
        <v>4357</v>
      </c>
      <c r="BI495" s="154" t="s">
        <v>4912</v>
      </c>
      <c r="BJ495" s="154"/>
      <c r="BK495" s="154"/>
      <c r="BL495" s="154"/>
      <c r="BM495" s="237"/>
    </row>
    <row r="496" spans="1:69" s="232" customFormat="1" ht="29.25" customHeight="1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6541</v>
      </c>
      <c r="G496" s="103" t="s">
        <v>4330</v>
      </c>
      <c r="H496" s="103" t="s">
        <v>4331</v>
      </c>
      <c r="I496" s="142" t="s">
        <v>4343</v>
      </c>
      <c r="J496" s="149" t="s">
        <v>6542</v>
      </c>
      <c r="K496" s="149" t="s">
        <v>6543</v>
      </c>
      <c r="L496" s="149" t="s">
        <v>6544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6542</v>
      </c>
      <c r="AC496" s="149" t="s">
        <v>6543</v>
      </c>
      <c r="AD496" s="149" t="s">
        <v>6544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>IF(AY496-KD496=0,"",AY496-O496)</f>
        <v/>
      </c>
      <c r="BD496" s="103" t="str">
        <f>IF(AND(AI496&lt;&gt;"SIM",AI496="UH"),"AA","INDENIZAÇÃO")</f>
        <v>AA</v>
      </c>
      <c r="BE496" s="103" t="str">
        <f>IF(AND(AY496&lt;&gt;"AGUARDANDO",AY496&lt;&gt;"",N496="AUXÍLIO ALUGUEL ATÉ INDENIZAÇÃO"),"SIM","NÃO")</f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customHeight="1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6545</v>
      </c>
      <c r="G497" s="103" t="s">
        <v>4330</v>
      </c>
      <c r="H497" s="103" t="s">
        <v>4331</v>
      </c>
      <c r="I497" s="142" t="s">
        <v>4343</v>
      </c>
      <c r="J497" s="149" t="s">
        <v>6546</v>
      </c>
      <c r="K497" s="149"/>
      <c r="L497" s="149" t="s">
        <v>6547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customHeight="1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6548</v>
      </c>
      <c r="G498" s="103" t="s">
        <v>4330</v>
      </c>
      <c r="H498" s="103" t="s">
        <v>4331</v>
      </c>
      <c r="I498" s="142" t="s">
        <v>4343</v>
      </c>
      <c r="J498" s="149" t="s">
        <v>6549</v>
      </c>
      <c r="K498" s="149" t="s">
        <v>6550</v>
      </c>
      <c r="L498" s="149" t="s">
        <v>6551</v>
      </c>
      <c r="M498" s="103" t="s">
        <v>4333</v>
      </c>
      <c r="N498" s="103" t="s">
        <v>4459</v>
      </c>
      <c r="O498" s="105">
        <v>46233</v>
      </c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6549</v>
      </c>
      <c r="AC498" s="149" t="s">
        <v>6550</v>
      </c>
      <c r="AD498" s="149" t="s">
        <v>6551</v>
      </c>
      <c r="AE498" s="103" t="s">
        <v>6108</v>
      </c>
      <c r="AF498" s="103" t="s">
        <v>5045</v>
      </c>
      <c r="AG498" s="194">
        <v>73073.350000000006</v>
      </c>
      <c r="AH498" s="194">
        <v>73073.350000000006</v>
      </c>
      <c r="AI498" s="103" t="s">
        <v>6552</v>
      </c>
      <c r="AJ498" s="104" t="s">
        <v>4438</v>
      </c>
      <c r="AK498" s="104">
        <v>161832348</v>
      </c>
      <c r="AL498" s="142" t="s">
        <v>4364</v>
      </c>
      <c r="AM498" s="103" t="s">
        <v>4348</v>
      </c>
      <c r="AN498" s="103"/>
      <c r="AO498" s="103" t="s">
        <v>6553</v>
      </c>
      <c r="AP498" s="171"/>
      <c r="AQ498" s="107"/>
      <c r="AR498" s="107"/>
      <c r="AS498" s="107"/>
      <c r="AT498" s="174"/>
      <c r="AU498" s="106"/>
      <c r="AV498" s="109"/>
      <c r="AW498" s="277"/>
      <c r="AX498" s="278"/>
      <c r="AY498" s="166"/>
      <c r="AZ498" s="106"/>
      <c r="BA498" s="107"/>
      <c r="BB498" s="136"/>
      <c r="BC498" s="220" t="str">
        <f>IF(AY498-KD498=0,"",AY498-O498)</f>
        <v/>
      </c>
      <c r="BD498" s="103" t="str">
        <f>IF(AND(AI498&lt;&gt;"SIM",AI498="UH"),"AA","INDENIZAÇÃO")</f>
        <v>INDENIZAÇÃO</v>
      </c>
      <c r="BE498" s="103" t="str">
        <f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customHeight="1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6554</v>
      </c>
      <c r="G499" s="103" t="s">
        <v>4330</v>
      </c>
      <c r="H499" s="103" t="s">
        <v>4331</v>
      </c>
      <c r="I499" s="142" t="s">
        <v>4343</v>
      </c>
      <c r="J499" s="149" t="s">
        <v>6555</v>
      </c>
      <c r="K499" s="149" t="s">
        <v>6556</v>
      </c>
      <c r="L499" s="149" t="s">
        <v>6557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6555</v>
      </c>
      <c r="AC499" s="149" t="s">
        <v>6556</v>
      </c>
      <c r="AD499" s="149" t="s">
        <v>6557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>IF(AY499-KD499=0,"",AY499-O499)</f>
        <v/>
      </c>
      <c r="BD499" s="103" t="str">
        <f>IF(AND(AI499&lt;&gt;"SIM",AI499="UH"),"AA","INDENIZAÇÃO")</f>
        <v>AA</v>
      </c>
      <c r="BE499" s="103" t="str">
        <f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customHeight="1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6558</v>
      </c>
      <c r="G500" s="103" t="s">
        <v>4330</v>
      </c>
      <c r="H500" s="103" t="s">
        <v>4331</v>
      </c>
      <c r="I500" s="142" t="s">
        <v>4343</v>
      </c>
      <c r="J500" s="149" t="s">
        <v>6559</v>
      </c>
      <c r="K500" s="149" t="s">
        <v>6560</v>
      </c>
      <c r="L500" s="149" t="s">
        <v>6561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6559</v>
      </c>
      <c r="AC500" s="149" t="s">
        <v>6560</v>
      </c>
      <c r="AD500" s="149" t="s">
        <v>6561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>IF(AY500-KD500=0,"",AY500-O500)</f>
        <v/>
      </c>
      <c r="BD500" s="103" t="str">
        <f>IF(AND(AI500&lt;&gt;"SIM",AI500="UH"),"AA","INDENIZAÇÃO")</f>
        <v>AA</v>
      </c>
      <c r="BE500" s="103" t="str">
        <f>IF(AND(AY500&lt;&gt;"AGUARDANDO",AY500&lt;&gt;"",N500="AUXÍLIO ALUGUEL ATÉ INDENIZAÇÃO"),"SIM","NÃO")</f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customHeight="1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6562</v>
      </c>
      <c r="G501" s="103" t="s">
        <v>4330</v>
      </c>
      <c r="H501" s="103" t="s">
        <v>4331</v>
      </c>
      <c r="I501" s="142" t="s">
        <v>4343</v>
      </c>
      <c r="J501" s="149" t="s">
        <v>6563</v>
      </c>
      <c r="K501" s="149" t="s">
        <v>6564</v>
      </c>
      <c r="L501" s="149" t="s">
        <v>6565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6563</v>
      </c>
      <c r="AC501" s="149" t="s">
        <v>6564</v>
      </c>
      <c r="AD501" s="149" t="s">
        <v>6565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>IF(AY501-KD501=0,"",AY501-O501)</f>
        <v/>
      </c>
      <c r="BD501" s="103" t="str">
        <f>IF(AND(AI501&lt;&gt;"SIM",AI501="UH"),"AA","INDENIZAÇÃO")</f>
        <v>AA</v>
      </c>
      <c r="BE501" s="103" t="str">
        <f>IF(AND(AY501&lt;&gt;"AGUARDANDO",AY501&lt;&gt;"",N501="AUXÍLIO ALUGUEL ATÉ INDENIZAÇÃO"),"SIM","NÃO")</f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customHeight="1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6566</v>
      </c>
      <c r="G502" s="103" t="s">
        <v>4330</v>
      </c>
      <c r="H502" s="103" t="s">
        <v>4331</v>
      </c>
      <c r="I502" s="142" t="s">
        <v>4343</v>
      </c>
      <c r="J502" s="149" t="s">
        <v>6567</v>
      </c>
      <c r="K502" s="149" t="s">
        <v>6568</v>
      </c>
      <c r="L502" s="149" t="s">
        <v>6569</v>
      </c>
      <c r="M502" s="103" t="s">
        <v>4333</v>
      </c>
      <c r="N502" s="103" t="s">
        <v>4459</v>
      </c>
      <c r="O502" s="105">
        <v>46059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5"/>
      <c r="AB502" s="149" t="s">
        <v>6567</v>
      </c>
      <c r="AC502" s="149" t="s">
        <v>6568</v>
      </c>
      <c r="AD502" s="149" t="s">
        <v>6569</v>
      </c>
      <c r="AE502" s="103" t="s">
        <v>4343</v>
      </c>
      <c r="AF502" s="103" t="s">
        <v>4333</v>
      </c>
      <c r="AG502" s="194">
        <v>40843.19</v>
      </c>
      <c r="AH502" s="194">
        <v>60000</v>
      </c>
      <c r="AI502" s="103" t="s">
        <v>4336</v>
      </c>
      <c r="AJ502" s="104" t="s">
        <v>4438</v>
      </c>
      <c r="AK502" s="103">
        <v>147059440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6570</v>
      </c>
      <c r="AQ502" s="103" t="s">
        <v>4338</v>
      </c>
      <c r="AR502" s="103" t="s">
        <v>4338</v>
      </c>
      <c r="AS502" s="103" t="s">
        <v>4338</v>
      </c>
      <c r="AT502" s="103" t="s">
        <v>4338</v>
      </c>
      <c r="AU502" s="105">
        <v>46128</v>
      </c>
      <c r="AV502" s="103" t="s">
        <v>4338</v>
      </c>
      <c r="AW502" s="103" t="s">
        <v>4338</v>
      </c>
      <c r="AX502" s="105">
        <v>46139</v>
      </c>
      <c r="AY502" s="106">
        <v>46139</v>
      </c>
      <c r="AZ502" s="106" t="s">
        <v>4453</v>
      </c>
      <c r="BA502" s="107" t="s">
        <v>4454</v>
      </c>
      <c r="BB502" s="136" t="s">
        <v>4338</v>
      </c>
      <c r="BC502" s="220">
        <f>IF(AY502-KD502=0,"",AY502-O502)</f>
        <v>80</v>
      </c>
      <c r="BD502" s="103" t="str">
        <f>IF(AND(AI502&lt;&gt;"SIM",AI502="UH"),"AA","INDENIZAÇÃO")</f>
        <v>INDENIZAÇÃO</v>
      </c>
      <c r="BE502" s="103" t="str">
        <f>IF(AND(AY502&lt;&gt;"AGUARDANDO",AY502&lt;&gt;"",N502="AUXÍLIO ALUGUEL ATÉ INDENIZAÇÃO"),"SIM","NÃO")</f>
        <v>NÃO</v>
      </c>
      <c r="BF502" s="112" t="s">
        <v>4357</v>
      </c>
      <c r="BG502" s="112" t="s">
        <v>4357</v>
      </c>
      <c r="BH502" s="112" t="s">
        <v>4357</v>
      </c>
      <c r="BI502" s="109" t="s">
        <v>4912</v>
      </c>
      <c r="BJ502" s="109"/>
      <c r="BK502" s="109"/>
      <c r="BL502" s="109"/>
      <c r="BM502" s="239"/>
    </row>
    <row r="503" spans="1:65" s="232" customFormat="1" ht="29.25" customHeight="1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6571</v>
      </c>
      <c r="G503" s="103" t="s">
        <v>4330</v>
      </c>
      <c r="H503" s="103" t="s">
        <v>4331</v>
      </c>
      <c r="I503" s="142" t="s">
        <v>4343</v>
      </c>
      <c r="J503" s="149" t="s">
        <v>6572</v>
      </c>
      <c r="K503" s="149" t="s">
        <v>6573</v>
      </c>
      <c r="L503" s="149" t="s">
        <v>6574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6572</v>
      </c>
      <c r="AC503" s="149" t="s">
        <v>6573</v>
      </c>
      <c r="AD503" s="149" t="s">
        <v>6574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>IF(AY503-KD503=0,"",AY503-O503)</f>
        <v/>
      </c>
      <c r="BD503" s="103" t="str">
        <f>IF(AND(AI503&lt;&gt;"SIM",AI503="UH"),"AA","INDENIZAÇÃO")</f>
        <v>AA</v>
      </c>
      <c r="BE503" s="103" t="str">
        <f>IF(AND(AY503&lt;&gt;"AGUARDANDO",AY503&lt;&gt;"",N503="AUXÍLIO ALUGUEL ATÉ INDENIZAÇÃO"),"SIM","NÃO")</f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customHeight="1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6575</v>
      </c>
      <c r="G504" s="103" t="s">
        <v>4330</v>
      </c>
      <c r="H504" s="103" t="s">
        <v>4331</v>
      </c>
      <c r="I504" s="142" t="s">
        <v>4343</v>
      </c>
      <c r="J504" s="149" t="s">
        <v>6576</v>
      </c>
      <c r="K504" s="149" t="s">
        <v>6577</v>
      </c>
      <c r="L504" s="149" t="s">
        <v>6578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6576</v>
      </c>
      <c r="AC504" s="149" t="s">
        <v>6577</v>
      </c>
      <c r="AD504" s="149" t="s">
        <v>6578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>IF(AY504-KD504=0,"",AY504-O504)</f>
        <v/>
      </c>
      <c r="BD504" s="103" t="str">
        <f>IF(AND(AI504&lt;&gt;"SIM",AI504="UH"),"AA","INDENIZAÇÃO")</f>
        <v>AA</v>
      </c>
      <c r="BE504" s="103" t="str">
        <f>IF(AND(AY504&lt;&gt;"AGUARDANDO",AY504&lt;&gt;"",N504="AUXÍLIO ALUGUEL ATÉ INDENIZAÇÃO"),"SIM","NÃO")</f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customHeight="1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6579</v>
      </c>
      <c r="G505" s="103" t="s">
        <v>4330</v>
      </c>
      <c r="H505" s="103" t="s">
        <v>4331</v>
      </c>
      <c r="I505" s="142" t="s">
        <v>4343</v>
      </c>
      <c r="J505" s="149" t="s">
        <v>6580</v>
      </c>
      <c r="K505" s="149" t="s">
        <v>6581</v>
      </c>
      <c r="L505" s="149" t="s">
        <v>6582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6580</v>
      </c>
      <c r="AC505" s="204" t="s">
        <v>6581</v>
      </c>
      <c r="AD505" s="204" t="s">
        <v>6582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>IF(AY505-KD505=0,"",AY505-O505)</f>
        <v/>
      </c>
      <c r="BD505" s="103" t="str">
        <f>IF(AND(AI505&lt;&gt;"SIM",AI505="UH"),"AA","INDENIZAÇÃO")</f>
        <v>INDENIZAÇÃO</v>
      </c>
      <c r="BE505" s="103" t="str">
        <f>IF(AND(AY505&lt;&gt;"AGUARDANDO",AY505&lt;&gt;"",N505="AUXÍLIO ALUGUEL ATÉ INDENIZAÇÃO"),"SIM","NÃO")</f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customHeight="1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6583</v>
      </c>
      <c r="G506" s="103" t="s">
        <v>4330</v>
      </c>
      <c r="H506" s="103" t="s">
        <v>4331</v>
      </c>
      <c r="I506" s="142" t="s">
        <v>4343</v>
      </c>
      <c r="J506" s="149" t="s">
        <v>6584</v>
      </c>
      <c r="K506" s="149" t="s">
        <v>6585</v>
      </c>
      <c r="L506" s="149" t="s">
        <v>6586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6584</v>
      </c>
      <c r="AC506" s="149" t="s">
        <v>6585</v>
      </c>
      <c r="AD506" s="149" t="s">
        <v>6586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>IF(AY506-KD506=0,"",AY506-O506)</f>
        <v/>
      </c>
      <c r="BD506" s="103" t="str">
        <f>IF(AND(AI506&lt;&gt;"SIM",AI506="UH"),"AA","INDENIZAÇÃO")</f>
        <v>AA</v>
      </c>
      <c r="BE506" s="103" t="str">
        <f>IF(AND(AY506&lt;&gt;"AGUARDANDO",AY506&lt;&gt;"",N506="AUXÍLIO ALUGUEL ATÉ INDENIZAÇÃO"),"SIM","NÃO")</f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customHeight="1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6587</v>
      </c>
      <c r="G507" s="103" t="s">
        <v>4330</v>
      </c>
      <c r="H507" s="103" t="s">
        <v>4331</v>
      </c>
      <c r="I507" s="142" t="s">
        <v>4343</v>
      </c>
      <c r="J507" s="149" t="s">
        <v>6588</v>
      </c>
      <c r="K507" s="149" t="s">
        <v>6589</v>
      </c>
      <c r="L507" s="149" t="s">
        <v>6590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6588</v>
      </c>
      <c r="AC507" s="149" t="s">
        <v>6589</v>
      </c>
      <c r="AD507" s="149" t="s">
        <v>6590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>IF(AY507-KD507=0,"",AY507-O507)</f>
        <v/>
      </c>
      <c r="BD507" s="103" t="str">
        <f>IF(AND(AI507&lt;&gt;"SIM",AI507="UH"),"AA","INDENIZAÇÃO")</f>
        <v>AA</v>
      </c>
      <c r="BE507" s="103" t="str">
        <f>IF(AND(AY507&lt;&gt;"AGUARDANDO",AY507&lt;&gt;"",N507="AUXÍLIO ALUGUEL ATÉ INDENIZAÇÃO"),"SIM","NÃO")</f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customHeight="1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6591</v>
      </c>
      <c r="G508" s="103" t="s">
        <v>4330</v>
      </c>
      <c r="H508" s="103" t="s">
        <v>4331</v>
      </c>
      <c r="I508" s="142" t="s">
        <v>4343</v>
      </c>
      <c r="J508" s="149" t="s">
        <v>6592</v>
      </c>
      <c r="K508" s="149" t="s">
        <v>6593</v>
      </c>
      <c r="L508" s="149" t="s">
        <v>6594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6592</v>
      </c>
      <c r="AC508" s="149" t="s">
        <v>6593</v>
      </c>
      <c r="AD508" s="149" t="s">
        <v>6594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>IF(AY508-KD508=0,"",AY508-O508)</f>
        <v/>
      </c>
      <c r="BD508" s="103" t="str">
        <f>IF(AND(AI508&lt;&gt;"SIM",AI508="UH"),"AA","INDENIZAÇÃO")</f>
        <v>AA</v>
      </c>
      <c r="BE508" s="103" t="str">
        <f>IF(AND(AY508&lt;&gt;"AGUARDANDO",AY508&lt;&gt;"",N508="AUXÍLIO ALUGUEL ATÉ INDENIZAÇÃO"),"SIM","NÃO")</f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customHeight="1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6595</v>
      </c>
      <c r="G509" s="103" t="s">
        <v>4330</v>
      </c>
      <c r="H509" s="103" t="s">
        <v>4331</v>
      </c>
      <c r="I509" s="142" t="s">
        <v>4343</v>
      </c>
      <c r="J509" s="114" t="s">
        <v>6596</v>
      </c>
      <c r="K509" s="149" t="s">
        <v>6597</v>
      </c>
      <c r="L509" s="149" t="s">
        <v>6598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6596</v>
      </c>
      <c r="AC509" s="149" t="s">
        <v>6597</v>
      </c>
      <c r="AD509" s="149" t="s">
        <v>6598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>IF(AY509-KD509=0,"",AY509-O509)</f>
        <v/>
      </c>
      <c r="BD509" s="103" t="str">
        <f>IF(AND(AI509&lt;&gt;"SIM",AI509="UH"),"AA","INDENIZAÇÃO")</f>
        <v>AA</v>
      </c>
      <c r="BE509" s="103" t="str">
        <f>IF(AND(AY509&lt;&gt;"AGUARDANDO",AY509&lt;&gt;"",N509="AUXÍLIO ALUGUEL ATÉ INDENIZAÇÃO"),"SIM","NÃO")</f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customHeight="1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6599</v>
      </c>
      <c r="G510" s="103" t="s">
        <v>4330</v>
      </c>
      <c r="H510" s="103" t="s">
        <v>4331</v>
      </c>
      <c r="I510" s="142" t="s">
        <v>4343</v>
      </c>
      <c r="J510" s="149" t="s">
        <v>6600</v>
      </c>
      <c r="K510" s="149" t="s">
        <v>6601</v>
      </c>
      <c r="L510" s="149" t="s">
        <v>6602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6600</v>
      </c>
      <c r="AC510" s="149" t="s">
        <v>6601</v>
      </c>
      <c r="AD510" s="149" t="s">
        <v>6602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>IF(AY510-KD510=0,"",AY510-O510)</f>
        <v/>
      </c>
      <c r="BD510" s="103" t="str">
        <f>IF(AND(AI510&lt;&gt;"SIM",AI510="UH"),"AA","INDENIZAÇÃO")</f>
        <v>AA</v>
      </c>
      <c r="BE510" s="103" t="str">
        <f>IF(AND(AY510&lt;&gt;"AGUARDANDO",AY510&lt;&gt;"",N510="AUXÍLIO ALUGUEL ATÉ INDENIZAÇÃO"),"SIM","NÃO")</f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customHeight="1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6603</v>
      </c>
      <c r="G511" s="103" t="s">
        <v>4330</v>
      </c>
      <c r="H511" s="103" t="s">
        <v>4331</v>
      </c>
      <c r="I511" s="103" t="s">
        <v>4343</v>
      </c>
      <c r="J511" s="149" t="s">
        <v>6604</v>
      </c>
      <c r="K511" s="149" t="s">
        <v>6581</v>
      </c>
      <c r="L511" s="149" t="s">
        <v>6605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6604</v>
      </c>
      <c r="AC511" s="149" t="s">
        <v>6581</v>
      </c>
      <c r="AD511" s="149" t="s">
        <v>6605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>IF(AY511-KD511=0,"",AY511-O511)</f>
        <v/>
      </c>
      <c r="BD511" s="103" t="str">
        <f>IF(AND(AI511&lt;&gt;"SIM",AI511="UH"),"AA","INDENIZAÇÃO")</f>
        <v>AA</v>
      </c>
      <c r="BE511" s="103" t="str">
        <f>IF(AND(AY511&lt;&gt;"AGUARDANDO",AY511&lt;&gt;"",N511="AUXÍLIO ALUGUEL ATÉ INDENIZAÇÃO"),"SIM","NÃO")</f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customHeight="1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6603</v>
      </c>
      <c r="G512" s="103" t="s">
        <v>4330</v>
      </c>
      <c r="H512" s="103" t="s">
        <v>4331</v>
      </c>
      <c r="I512" s="103" t="s">
        <v>4343</v>
      </c>
      <c r="J512" s="149" t="s">
        <v>6606</v>
      </c>
      <c r="K512" s="149" t="s">
        <v>6607</v>
      </c>
      <c r="L512" s="149" t="s">
        <v>6608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6609</v>
      </c>
      <c r="AC512" s="204" t="s">
        <v>6607</v>
      </c>
      <c r="AD512" s="204" t="s">
        <v>6608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>IF(AY512-KD512=0,"",AY512-O512)</f>
        <v/>
      </c>
      <c r="BD512" s="103" t="str">
        <f>IF(AND(AI512&lt;&gt;"SIM",AI512="UH"),"AA","INDENIZAÇÃO")</f>
        <v>AA</v>
      </c>
      <c r="BE512" s="103" t="str">
        <f>IF(AND(AY512&lt;&gt;"AGUARDANDO",AY512&lt;&gt;"",N512="AUXÍLIO ALUGUEL ATÉ INDENIZAÇÃO"),"SIM","NÃO")</f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customHeight="1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6610</v>
      </c>
      <c r="G513" s="103" t="s">
        <v>4330</v>
      </c>
      <c r="H513" s="103" t="s">
        <v>4331</v>
      </c>
      <c r="I513" s="103" t="s">
        <v>4343</v>
      </c>
      <c r="J513" s="149" t="s">
        <v>6611</v>
      </c>
      <c r="K513" s="149" t="s">
        <v>4432</v>
      </c>
      <c r="L513" s="149" t="s">
        <v>6612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6611</v>
      </c>
      <c r="AC513" s="149" t="s">
        <v>4432</v>
      </c>
      <c r="AD513" s="149" t="s">
        <v>6612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>IF(AY513-KD513=0,"",AY513-O513)</f>
        <v/>
      </c>
      <c r="BD513" s="103" t="str">
        <f>IF(AND(AI513&lt;&gt;"SIM",AI513="UH"),"AA","INDENIZAÇÃO")</f>
        <v>AA</v>
      </c>
      <c r="BE513" s="103" t="str">
        <f>IF(AND(AY513&lt;&gt;"AGUARDANDO",AY513&lt;&gt;"",N513="AUXÍLIO ALUGUEL ATÉ INDENIZAÇÃO"),"SIM","NÃO")</f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customHeight="1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6610</v>
      </c>
      <c r="G514" s="103" t="s">
        <v>4330</v>
      </c>
      <c r="H514" s="103" t="s">
        <v>4331</v>
      </c>
      <c r="I514" s="142" t="s">
        <v>4926</v>
      </c>
      <c r="J514" s="149" t="s">
        <v>6613</v>
      </c>
      <c r="K514" s="149" t="s">
        <v>6614</v>
      </c>
      <c r="L514" s="149" t="s">
        <v>6615</v>
      </c>
      <c r="M514" s="103" t="s">
        <v>4333</v>
      </c>
      <c r="N514" s="103" t="s">
        <v>4345</v>
      </c>
      <c r="O514" s="105">
        <v>46064</v>
      </c>
      <c r="P514" s="108">
        <v>46031</v>
      </c>
      <c r="Q514" s="105" t="s">
        <v>4436</v>
      </c>
      <c r="R514" s="108">
        <v>46030</v>
      </c>
      <c r="S514" s="108">
        <v>46031</v>
      </c>
      <c r="T514" s="108">
        <v>46036</v>
      </c>
      <c r="U514" s="108">
        <v>46045</v>
      </c>
      <c r="V514" s="108" t="s">
        <v>4437</v>
      </c>
      <c r="W514" s="108" t="s">
        <v>4437</v>
      </c>
      <c r="X514" s="105">
        <v>46055</v>
      </c>
      <c r="Y514" s="105" t="s">
        <v>4457</v>
      </c>
      <c r="Z514" s="105"/>
      <c r="AA514" s="103" t="s">
        <v>6616</v>
      </c>
      <c r="AB514" s="149" t="s">
        <v>6617</v>
      </c>
      <c r="AC514" s="149" t="s">
        <v>6618</v>
      </c>
      <c r="AD514" s="149" t="s">
        <v>6619</v>
      </c>
      <c r="AE514" s="142" t="s">
        <v>4332</v>
      </c>
      <c r="AF514" s="103" t="s">
        <v>4333</v>
      </c>
      <c r="AG514" s="194">
        <v>29437.08</v>
      </c>
      <c r="AH514" s="194">
        <v>29437.08</v>
      </c>
      <c r="AI514" s="103" t="s">
        <v>4336</v>
      </c>
      <c r="AJ514" s="104" t="s">
        <v>4438</v>
      </c>
      <c r="AK514" s="103">
        <v>150612303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6620</v>
      </c>
      <c r="AQ514" s="103" t="s">
        <v>4338</v>
      </c>
      <c r="AR514" s="103" t="s">
        <v>4338</v>
      </c>
      <c r="AS514" s="103" t="s">
        <v>4338</v>
      </c>
      <c r="AT514" s="103" t="s">
        <v>4338</v>
      </c>
      <c r="AU514" s="105">
        <v>46170</v>
      </c>
      <c r="AV514" s="103" t="s">
        <v>4338</v>
      </c>
      <c r="AW514" s="103" t="s">
        <v>4338</v>
      </c>
      <c r="AX514" s="105">
        <v>46182</v>
      </c>
      <c r="AY514" s="106">
        <v>46182</v>
      </c>
      <c r="AZ514" s="106" t="s">
        <v>4453</v>
      </c>
      <c r="BA514" s="107" t="s">
        <v>4454</v>
      </c>
      <c r="BB514" s="136" t="s">
        <v>4338</v>
      </c>
      <c r="BC514" s="220">
        <f>IF(AY514-KD514=0,"",AY514-O514)</f>
        <v>118</v>
      </c>
      <c r="BD514" s="103" t="str">
        <f>IF(AND(AI514&lt;&gt;"SIM",AI514="UH"),"AA","INDENIZAÇÃO")</f>
        <v>INDENIZAÇÃO</v>
      </c>
      <c r="BE514" s="103" t="str">
        <f>IF(AND(AY514&lt;&gt;"AGUARDANDO",AY514&lt;&gt;"",N514="AUXÍLIO ALUGUEL ATÉ INDENIZAÇÃO"),"SIM","NÃO")</f>
        <v>NÃO</v>
      </c>
      <c r="BF514" s="140" t="s">
        <v>4357</v>
      </c>
      <c r="BG514" s="140" t="s">
        <v>4357</v>
      </c>
      <c r="BH514" s="140" t="s">
        <v>4357</v>
      </c>
      <c r="BI514" s="154" t="s">
        <v>4912</v>
      </c>
      <c r="BJ514" s="154"/>
      <c r="BK514" s="154"/>
      <c r="BL514" s="154"/>
      <c r="BM514" s="237"/>
      <c r="BN514" s="231"/>
    </row>
    <row r="515" spans="1:107" s="232" customFormat="1" ht="29.25" customHeight="1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6621</v>
      </c>
      <c r="G515" s="103" t="s">
        <v>4330</v>
      </c>
      <c r="H515" s="103" t="s">
        <v>4331</v>
      </c>
      <c r="I515" s="103" t="s">
        <v>4343</v>
      </c>
      <c r="J515" s="149" t="s">
        <v>6622</v>
      </c>
      <c r="K515" s="149" t="s">
        <v>4432</v>
      </c>
      <c r="L515" s="149" t="s">
        <v>6623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6622</v>
      </c>
      <c r="AC515" s="149" t="s">
        <v>4432</v>
      </c>
      <c r="AD515" s="149" t="s">
        <v>6623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>IF(AY515-KD515=0,"",AY515-O515)</f>
        <v/>
      </c>
      <c r="BD515" s="103" t="str">
        <f>IF(AND(AI515&lt;&gt;"SIM",AI515="UH"),"AA","INDENIZAÇÃO")</f>
        <v>AA</v>
      </c>
      <c r="BE515" s="103" t="str">
        <f>IF(AND(AY515&lt;&gt;"AGUARDANDO",AY515&lt;&gt;"",N515="AUXÍLIO ALUGUEL ATÉ INDENIZAÇÃO"),"SIM","NÃO")</f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customHeight="1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6624</v>
      </c>
      <c r="G516" s="103" t="s">
        <v>4330</v>
      </c>
      <c r="H516" s="103" t="s">
        <v>4331</v>
      </c>
      <c r="I516" s="103" t="s">
        <v>4343</v>
      </c>
      <c r="J516" s="149" t="s">
        <v>6625</v>
      </c>
      <c r="K516" s="149" t="s">
        <v>6626</v>
      </c>
      <c r="L516" s="149" t="s">
        <v>6627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6625</v>
      </c>
      <c r="AC516" s="149" t="s">
        <v>6626</v>
      </c>
      <c r="AD516" s="149" t="s">
        <v>6627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>IF(AY516-KD516=0,"",AY516-O516)</f>
        <v/>
      </c>
      <c r="BD516" s="103" t="str">
        <f>IF(AND(AI516&lt;&gt;"SIM",AI516="UH"),"AA","INDENIZAÇÃO")</f>
        <v>AA</v>
      </c>
      <c r="BE516" s="103" t="str">
        <f>IF(AND(AY516&lt;&gt;"AGUARDANDO",AY516&lt;&gt;"",N516="AUXÍLIO ALUGUEL ATÉ INDENIZAÇÃO"),"SIM","NÃO")</f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customHeight="1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6628</v>
      </c>
      <c r="G517" s="103" t="s">
        <v>4330</v>
      </c>
      <c r="H517" s="103" t="s">
        <v>4331</v>
      </c>
      <c r="I517" s="103" t="s">
        <v>4343</v>
      </c>
      <c r="J517" s="149" t="s">
        <v>6629</v>
      </c>
      <c r="K517" s="149" t="s">
        <v>6630</v>
      </c>
      <c r="L517" s="149" t="s">
        <v>6631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6629</v>
      </c>
      <c r="AC517" s="149" t="s">
        <v>6630</v>
      </c>
      <c r="AD517" s="149" t="s">
        <v>6631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>IF(AY517-KD517=0,"",AY517-O517)</f>
        <v/>
      </c>
      <c r="BD517" s="103" t="str">
        <f>IF(AND(AI517&lt;&gt;"SIM",AI517="UH"),"AA","INDENIZAÇÃO")</f>
        <v>AA</v>
      </c>
      <c r="BE517" s="103" t="str">
        <f>IF(AND(AY517&lt;&gt;"AGUARDANDO",AY517&lt;&gt;"",N517="AUXÍLIO ALUGUEL ATÉ INDENIZAÇÃO"),"SIM","NÃO")</f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customHeight="1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6632</v>
      </c>
      <c r="G518" s="103" t="s">
        <v>4330</v>
      </c>
      <c r="H518" s="103" t="s">
        <v>4331</v>
      </c>
      <c r="I518" s="103" t="s">
        <v>4343</v>
      </c>
      <c r="J518" s="149" t="s">
        <v>6633</v>
      </c>
      <c r="K518" s="149" t="s">
        <v>6634</v>
      </c>
      <c r="L518" s="149" t="s">
        <v>6635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6633</v>
      </c>
      <c r="AC518" s="149" t="s">
        <v>6634</v>
      </c>
      <c r="AD518" s="149" t="s">
        <v>6635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>IF(AY518-KD518=0,"",AY518-O518)</f>
        <v/>
      </c>
      <c r="BD518" s="103" t="str">
        <f>IF(AND(AI518&lt;&gt;"SIM",AI518="UH"),"AA","INDENIZAÇÃO")</f>
        <v>AA</v>
      </c>
      <c r="BE518" s="103" t="str">
        <f>IF(AND(AY518&lt;&gt;"AGUARDANDO",AY518&lt;&gt;"",N518="AUXÍLIO ALUGUEL ATÉ INDENIZAÇÃO"),"SIM","NÃO")</f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customHeight="1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6636</v>
      </c>
      <c r="G519" s="103" t="s">
        <v>4330</v>
      </c>
      <c r="H519" s="103" t="s">
        <v>4331</v>
      </c>
      <c r="I519" s="103" t="s">
        <v>4343</v>
      </c>
      <c r="J519" s="149" t="s">
        <v>6637</v>
      </c>
      <c r="K519" s="149" t="s">
        <v>6638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6637</v>
      </c>
      <c r="AC519" s="149" t="s">
        <v>6638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>IF(AY519-KD519=0,"",AY519-O519)</f>
        <v/>
      </c>
      <c r="BD519" s="103" t="str">
        <f>IF(AND(AI519&lt;&gt;"SIM",AI519="UH"),"AA","INDENIZAÇÃO")</f>
        <v>AA</v>
      </c>
      <c r="BE519" s="103" t="str">
        <f>IF(AND(AY519&lt;&gt;"AGUARDANDO",AY519&lt;&gt;"",N519="AUXÍLIO ALUGUEL ATÉ INDENIZAÇÃO"),"SIM","NÃO")</f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customHeight="1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6639</v>
      </c>
      <c r="G520" s="103" t="s">
        <v>4330</v>
      </c>
      <c r="H520" s="103" t="s">
        <v>4331</v>
      </c>
      <c r="I520" s="103" t="s">
        <v>4343</v>
      </c>
      <c r="J520" s="149" t="s">
        <v>6640</v>
      </c>
      <c r="K520" s="149" t="s">
        <v>6641</v>
      </c>
      <c r="L520" s="149" t="s">
        <v>6642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6640</v>
      </c>
      <c r="AC520" s="149" t="s">
        <v>6641</v>
      </c>
      <c r="AD520" s="149" t="s">
        <v>6642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>IF(AY520-KD520=0,"",AY520-O520)</f>
        <v/>
      </c>
      <c r="BD520" s="103" t="str">
        <f>IF(AND(AI520&lt;&gt;"SIM",AI520="UH"),"AA","INDENIZAÇÃO")</f>
        <v>AA</v>
      </c>
      <c r="BE520" s="103" t="str">
        <f>IF(AND(AY520&lt;&gt;"AGUARDANDO",AY520&lt;&gt;"",N520="AUXÍLIO ALUGUEL ATÉ INDENIZAÇÃO"),"SIM","NÃO")</f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customHeight="1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6643</v>
      </c>
      <c r="G521" s="103" t="s">
        <v>4330</v>
      </c>
      <c r="H521" s="103" t="s">
        <v>4331</v>
      </c>
      <c r="I521" s="103" t="s">
        <v>4343</v>
      </c>
      <c r="J521" s="149" t="s">
        <v>6644</v>
      </c>
      <c r="K521" s="149" t="s">
        <v>6645</v>
      </c>
      <c r="L521" s="149" t="s">
        <v>6646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6644</v>
      </c>
      <c r="AC521" s="149" t="s">
        <v>6645</v>
      </c>
      <c r="AD521" s="149" t="s">
        <v>6646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>IF(AY521-KD521=0,"",AY521-O521)</f>
        <v/>
      </c>
      <c r="BD521" s="103" t="str">
        <f>IF(AND(AI521&lt;&gt;"SIM",AI521="UH"),"AA","INDENIZAÇÃO")</f>
        <v>AA</v>
      </c>
      <c r="BE521" s="103" t="str">
        <f>IF(AND(AY521&lt;&gt;"AGUARDANDO",AY521&lt;&gt;"",N521="AUXÍLIO ALUGUEL ATÉ INDENIZAÇÃO"),"SIM","NÃO")</f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customHeight="1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6647</v>
      </c>
      <c r="G522" s="103" t="s">
        <v>4330</v>
      </c>
      <c r="H522" s="103" t="s">
        <v>4331</v>
      </c>
      <c r="I522" s="103" t="s">
        <v>4343</v>
      </c>
      <c r="J522" s="149" t="s">
        <v>6648</v>
      </c>
      <c r="K522" s="149" t="s">
        <v>6649</v>
      </c>
      <c r="L522" s="149" t="s">
        <v>6650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6648</v>
      </c>
      <c r="AC522" s="149" t="s">
        <v>6649</v>
      </c>
      <c r="AD522" s="149" t="s">
        <v>6650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>IF(AY522-KD522=0,"",AY522-O522)</f>
        <v/>
      </c>
      <c r="BD522" s="103" t="str">
        <f>IF(AND(AI522&lt;&gt;"SIM",AI522="UH"),"AA","INDENIZAÇÃO")</f>
        <v>AA</v>
      </c>
      <c r="BE522" s="103" t="str">
        <f>IF(AND(AY522&lt;&gt;"AGUARDANDO",AY522&lt;&gt;"",N522="AUXÍLIO ALUGUEL ATÉ INDENIZAÇÃO"),"SIM","NÃO")</f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6651</v>
      </c>
      <c r="G523" s="103" t="s">
        <v>4330</v>
      </c>
      <c r="H523" s="103" t="s">
        <v>4331</v>
      </c>
      <c r="I523" s="103" t="s">
        <v>4343</v>
      </c>
      <c r="J523" s="149" t="s">
        <v>6652</v>
      </c>
      <c r="K523" s="149" t="s">
        <v>6653</v>
      </c>
      <c r="L523" s="149" t="s">
        <v>6654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6652</v>
      </c>
      <c r="AC523" s="149" t="s">
        <v>6653</v>
      </c>
      <c r="AD523" s="149" t="s">
        <v>6654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6655</v>
      </c>
      <c r="AQ523" s="103" t="s">
        <v>4338</v>
      </c>
      <c r="AR523" s="165" t="s">
        <v>4338</v>
      </c>
      <c r="AS523" s="103" t="s">
        <v>4822</v>
      </c>
      <c r="AT523" s="103" t="s">
        <v>4822</v>
      </c>
      <c r="AU523" s="105">
        <v>46233</v>
      </c>
      <c r="AV523" s="103" t="s">
        <v>4822</v>
      </c>
      <c r="AW523" s="103" t="s">
        <v>4822</v>
      </c>
      <c r="AX523" s="105">
        <v>46234</v>
      </c>
      <c r="AY523" s="106" t="s">
        <v>4453</v>
      </c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6656</v>
      </c>
      <c r="G524" s="103" t="s">
        <v>4330</v>
      </c>
      <c r="H524" s="103" t="s">
        <v>4331</v>
      </c>
      <c r="I524" s="103" t="s">
        <v>4343</v>
      </c>
      <c r="J524" s="149" t="s">
        <v>6657</v>
      </c>
      <c r="K524" s="149" t="s">
        <v>6658</v>
      </c>
      <c r="L524" s="149" t="s">
        <v>6659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6657</v>
      </c>
      <c r="AC524" s="149" t="s">
        <v>6658</v>
      </c>
      <c r="AD524" s="149" t="s">
        <v>6659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>IF(AY524-KD524=0,"",AY524-O524)</f>
        <v/>
      </c>
      <c r="BD524" s="103" t="str">
        <f>IF(AND(AI524&lt;&gt;"SIM",AI524="UH"),"AA","INDENIZAÇÃO")</f>
        <v>AA</v>
      </c>
      <c r="BE524" s="103" t="str">
        <f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customHeight="1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6660</v>
      </c>
      <c r="G525" s="103" t="s">
        <v>4330</v>
      </c>
      <c r="H525" s="103" t="s">
        <v>4331</v>
      </c>
      <c r="I525" s="103" t="s">
        <v>4343</v>
      </c>
      <c r="J525" s="149" t="s">
        <v>6661</v>
      </c>
      <c r="K525" s="149" t="s">
        <v>6662</v>
      </c>
      <c r="L525" s="149" t="s">
        <v>6663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6661</v>
      </c>
      <c r="AC525" s="149" t="s">
        <v>6662</v>
      </c>
      <c r="AD525" s="149" t="s">
        <v>6663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>IF(AY525-KD525=0,"",AY525-O525)</f>
        <v/>
      </c>
      <c r="BD525" s="103" t="str">
        <f>IF(AND(AI525&lt;&gt;"SIM",AI525="UH"),"AA","INDENIZAÇÃO")</f>
        <v>AA</v>
      </c>
      <c r="BE525" s="103" t="str">
        <f>IF(AND(AY525&lt;&gt;"AGUARDANDO",AY525&lt;&gt;"",N525="AUXÍLIO ALUGUEL ATÉ INDENIZAÇÃO"),"SIM","NÃO")</f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customHeight="1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6664</v>
      </c>
      <c r="G526" s="103" t="s">
        <v>4330</v>
      </c>
      <c r="H526" s="103" t="s">
        <v>4331</v>
      </c>
      <c r="I526" s="103" t="s">
        <v>4343</v>
      </c>
      <c r="J526" s="149" t="s">
        <v>6665</v>
      </c>
      <c r="K526" s="149" t="s">
        <v>6666</v>
      </c>
      <c r="L526" s="149" t="s">
        <v>6667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6665</v>
      </c>
      <c r="AC526" s="149" t="s">
        <v>6666</v>
      </c>
      <c r="AD526" s="149" t="s">
        <v>6667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>IF(AY526-KD526=0,"",AY526-O526)</f>
        <v/>
      </c>
      <c r="BD526" s="103" t="str">
        <f>IF(AND(AI526&lt;&gt;"SIM",AI526="UH"),"AA","INDENIZAÇÃO")</f>
        <v>AA</v>
      </c>
      <c r="BE526" s="103" t="str">
        <f>IF(AND(AY526&lt;&gt;"AGUARDANDO",AY526&lt;&gt;"",N526="AUXÍLIO ALUGUEL ATÉ INDENIZAÇÃO"),"SIM","NÃO")</f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customHeight="1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6668</v>
      </c>
      <c r="G527" s="103" t="s">
        <v>4330</v>
      </c>
      <c r="H527" s="103" t="s">
        <v>4331</v>
      </c>
      <c r="I527" s="103" t="s">
        <v>4343</v>
      </c>
      <c r="J527" s="149" t="s">
        <v>6669</v>
      </c>
      <c r="K527" s="149" t="s">
        <v>6670</v>
      </c>
      <c r="L527" s="149" t="s">
        <v>6671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6669</v>
      </c>
      <c r="AC527" s="149" t="s">
        <v>6670</v>
      </c>
      <c r="AD527" s="149" t="s">
        <v>6671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>IF(AY527-KD527=0,"",AY527-O527)</f>
        <v/>
      </c>
      <c r="BD527" s="103" t="str">
        <f>IF(AND(AI527&lt;&gt;"SIM",AI527="UH"),"AA","INDENIZAÇÃO")</f>
        <v>AA</v>
      </c>
      <c r="BE527" s="103" t="str">
        <f>IF(AND(AY527&lt;&gt;"AGUARDANDO",AY527&lt;&gt;"",N527="AUXÍLIO ALUGUEL ATÉ INDENIZAÇÃO"),"SIM","NÃO")</f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customHeight="1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6672</v>
      </c>
      <c r="G528" s="103" t="s">
        <v>4330</v>
      </c>
      <c r="H528" s="103" t="s">
        <v>4331</v>
      </c>
      <c r="I528" s="103" t="s">
        <v>4343</v>
      </c>
      <c r="J528" s="149" t="s">
        <v>6673</v>
      </c>
      <c r="K528" s="149" t="s">
        <v>6674</v>
      </c>
      <c r="L528" s="149" t="s">
        <v>6675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6673</v>
      </c>
      <c r="AC528" s="149" t="s">
        <v>6674</v>
      </c>
      <c r="AD528" s="149" t="s">
        <v>6675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>IF(AY528-KD528=0,"",AY528-O528)</f>
        <v/>
      </c>
      <c r="BD528" s="103" t="str">
        <f>IF(AND(AI528&lt;&gt;"SIM",AI528="UH"),"AA","INDENIZAÇÃO")</f>
        <v>AA</v>
      </c>
      <c r="BE528" s="103" t="str">
        <f>IF(AND(AY528&lt;&gt;"AGUARDANDO",AY528&lt;&gt;"",N528="AUXÍLIO ALUGUEL ATÉ INDENIZAÇÃO"),"SIM","NÃO")</f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customHeight="1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6676</v>
      </c>
      <c r="G529" s="103" t="s">
        <v>4330</v>
      </c>
      <c r="H529" s="103" t="s">
        <v>4331</v>
      </c>
      <c r="I529" s="103" t="s">
        <v>4343</v>
      </c>
      <c r="J529" s="149" t="s">
        <v>6677</v>
      </c>
      <c r="K529" s="149" t="s">
        <v>6678</v>
      </c>
      <c r="L529" s="149" t="s">
        <v>6679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6677</v>
      </c>
      <c r="AC529" s="149" t="s">
        <v>6678</v>
      </c>
      <c r="AD529" s="149" t="s">
        <v>6679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>IF(AY529-KD529=0,"",AY529-O529)</f>
        <v/>
      </c>
      <c r="BD529" s="103" t="str">
        <f>IF(AND(AI529&lt;&gt;"SIM",AI529="UH"),"AA","INDENIZAÇÃO")</f>
        <v>AA</v>
      </c>
      <c r="BE529" s="103" t="str">
        <f>IF(AND(AY529&lt;&gt;"AGUARDANDO",AY529&lt;&gt;"",N529="AUXÍLIO ALUGUEL ATÉ INDENIZAÇÃO"),"SIM","NÃO")</f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customHeight="1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6680</v>
      </c>
      <c r="G530" s="103" t="s">
        <v>4330</v>
      </c>
      <c r="H530" s="103" t="s">
        <v>4331</v>
      </c>
      <c r="I530" s="103" t="s">
        <v>4343</v>
      </c>
      <c r="J530" s="149" t="s">
        <v>6681</v>
      </c>
      <c r="K530" s="149">
        <v>30.475688000000002</v>
      </c>
      <c r="L530" s="149" t="s">
        <v>6682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6681</v>
      </c>
      <c r="AC530" s="149">
        <v>30.475688000000002</v>
      </c>
      <c r="AD530" s="149" t="s">
        <v>6682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>IF(AY530-KD530=0,"",AY530-O530)</f>
        <v/>
      </c>
      <c r="BD530" s="103" t="str">
        <f>IF(AND(AI530&lt;&gt;"SIM",AI530="UH"),"AA","INDENIZAÇÃO")</f>
        <v>AA</v>
      </c>
      <c r="BE530" s="103" t="str">
        <f>IF(AND(AY530&lt;&gt;"AGUARDANDO",AY530&lt;&gt;"",N530="AUXÍLIO ALUGUEL ATÉ INDENIZAÇÃO"),"SIM","NÃO")</f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customHeight="1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6683</v>
      </c>
      <c r="G531" s="103" t="s">
        <v>4330</v>
      </c>
      <c r="H531" s="103" t="s">
        <v>4331</v>
      </c>
      <c r="I531" s="103" t="s">
        <v>4343</v>
      </c>
      <c r="J531" s="149" t="s">
        <v>6684</v>
      </c>
      <c r="K531" s="149"/>
      <c r="L531" s="149" t="s">
        <v>6685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customHeight="1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6686</v>
      </c>
      <c r="G532" s="103" t="s">
        <v>4330</v>
      </c>
      <c r="H532" s="103" t="s">
        <v>4331</v>
      </c>
      <c r="I532" s="103" t="s">
        <v>4343</v>
      </c>
      <c r="J532" s="149" t="s">
        <v>6687</v>
      </c>
      <c r="K532" s="149" t="s">
        <v>6688</v>
      </c>
      <c r="L532" s="149" t="s">
        <v>6689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6687</v>
      </c>
      <c r="AC532" s="149" t="s">
        <v>6688</v>
      </c>
      <c r="AD532" s="149" t="s">
        <v>6689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>IF(AY532-KD532=0,"",AY532-O532)</f>
        <v/>
      </c>
      <c r="BD532" s="103" t="str">
        <f>IF(AND(AI532&lt;&gt;"SIM",AI532="UH"),"AA","INDENIZAÇÃO")</f>
        <v>AA</v>
      </c>
      <c r="BE532" s="103" t="str">
        <f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customHeight="1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6690</v>
      </c>
      <c r="G533" s="103" t="s">
        <v>4330</v>
      </c>
      <c r="H533" s="103" t="s">
        <v>4331</v>
      </c>
      <c r="I533" s="103" t="s">
        <v>4343</v>
      </c>
      <c r="J533" s="149" t="s">
        <v>6691</v>
      </c>
      <c r="K533" s="149" t="s">
        <v>6692</v>
      </c>
      <c r="L533" s="149" t="s">
        <v>6693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6691</v>
      </c>
      <c r="AC533" s="149" t="s">
        <v>6692</v>
      </c>
      <c r="AD533" s="149" t="s">
        <v>6693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>IF(AY533-KD533=0,"",AY533-O533)</f>
        <v/>
      </c>
      <c r="BD533" s="103" t="str">
        <f>IF(AND(AI533&lt;&gt;"SIM",AI533="UH"),"AA","INDENIZAÇÃO")</f>
        <v>AA</v>
      </c>
      <c r="BE533" s="103" t="str">
        <f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customHeight="1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6694</v>
      </c>
      <c r="G534" s="103" t="s">
        <v>4330</v>
      </c>
      <c r="H534" s="103" t="s">
        <v>4331</v>
      </c>
      <c r="I534" s="103" t="s">
        <v>4343</v>
      </c>
      <c r="J534" s="149" t="s">
        <v>6695</v>
      </c>
      <c r="K534" s="149" t="s">
        <v>6696</v>
      </c>
      <c r="L534" s="149" t="s">
        <v>6697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6695</v>
      </c>
      <c r="AC534" s="149" t="s">
        <v>6696</v>
      </c>
      <c r="AD534" s="149" t="s">
        <v>6697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>IF(AY534-KD534=0,"",AY534-O534)</f>
        <v/>
      </c>
      <c r="BD534" s="103" t="str">
        <f>IF(AND(AI534&lt;&gt;"SIM",AI534="UH"),"AA","INDENIZAÇÃO")</f>
        <v>AA</v>
      </c>
      <c r="BE534" s="103" t="str">
        <f>IF(AND(AY534&lt;&gt;"AGUARDANDO",AY534&lt;&gt;"",N534="AUXÍLIO ALUGUEL ATÉ INDENIZAÇÃO"),"SIM","NÃO")</f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customHeight="1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6698</v>
      </c>
      <c r="G535" s="103" t="s">
        <v>4330</v>
      </c>
      <c r="H535" s="103" t="s">
        <v>4331</v>
      </c>
      <c r="I535" s="103" t="s">
        <v>4343</v>
      </c>
      <c r="J535" s="149" t="s">
        <v>6699</v>
      </c>
      <c r="K535" s="149" t="s">
        <v>6700</v>
      </c>
      <c r="L535" s="149" t="s">
        <v>6701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6699</v>
      </c>
      <c r="AC535" s="149" t="s">
        <v>6700</v>
      </c>
      <c r="AD535" s="149" t="s">
        <v>6701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>IF(AY535-KD535=0,"",AY535-O535)</f>
        <v/>
      </c>
      <c r="BD535" s="103" t="str">
        <f>IF(AND(AI535&lt;&gt;"SIM",AI535="UH"),"AA","INDENIZAÇÃO")</f>
        <v>AA</v>
      </c>
      <c r="BE535" s="103" t="str">
        <f>IF(AND(AY535&lt;&gt;"AGUARDANDO",AY535&lt;&gt;"",N535="AUXÍLIO ALUGUEL ATÉ INDENIZAÇÃO"),"SIM","NÃO")</f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customHeight="1">
      <c r="A536" s="103">
        <v>526</v>
      </c>
      <c r="B536" s="103" t="s">
        <v>4431</v>
      </c>
      <c r="C536" s="103" t="s">
        <v>4448</v>
      </c>
      <c r="D536" s="103">
        <v>1</v>
      </c>
      <c r="E536" s="103" t="s">
        <v>4432</v>
      </c>
      <c r="F536" s="104" t="s">
        <v>6702</v>
      </c>
      <c r="G536" s="103" t="s">
        <v>4330</v>
      </c>
      <c r="H536" s="103" t="s">
        <v>4331</v>
      </c>
      <c r="I536" s="142" t="s">
        <v>4343</v>
      </c>
      <c r="J536" s="149" t="s">
        <v>6703</v>
      </c>
      <c r="K536" s="149" t="s">
        <v>6704</v>
      </c>
      <c r="L536" s="149" t="s">
        <v>6705</v>
      </c>
      <c r="M536" s="103" t="s">
        <v>4333</v>
      </c>
      <c r="N536" s="103" t="s">
        <v>4459</v>
      </c>
      <c r="O536" s="105">
        <v>45980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05"/>
      <c r="AB536" s="149" t="s">
        <v>6703</v>
      </c>
      <c r="AC536" s="149" t="s">
        <v>6704</v>
      </c>
      <c r="AD536" s="149" t="s">
        <v>6705</v>
      </c>
      <c r="AE536" s="103" t="s">
        <v>4343</v>
      </c>
      <c r="AF536" s="112" t="s">
        <v>4333</v>
      </c>
      <c r="AG536" s="194">
        <v>61026.98</v>
      </c>
      <c r="AH536" s="194">
        <v>61026.98</v>
      </c>
      <c r="AI536" s="103" t="s">
        <v>4336</v>
      </c>
      <c r="AJ536" s="104" t="s">
        <v>4438</v>
      </c>
      <c r="AK536" s="103">
        <v>146668756</v>
      </c>
      <c r="AL536" s="103" t="s">
        <v>4338</v>
      </c>
      <c r="AM536" s="103" t="s">
        <v>4338</v>
      </c>
      <c r="AN536" s="103" t="s">
        <v>4339</v>
      </c>
      <c r="AO536" s="112"/>
      <c r="AP536" s="171" t="s">
        <v>6706</v>
      </c>
      <c r="AQ536" s="103" t="s">
        <v>4338</v>
      </c>
      <c r="AR536" s="103" t="s">
        <v>4338</v>
      </c>
      <c r="AS536" s="103" t="s">
        <v>4338</v>
      </c>
      <c r="AT536" s="103" t="s">
        <v>4338</v>
      </c>
      <c r="AU536" s="108">
        <v>46024</v>
      </c>
      <c r="AV536" s="112" t="s">
        <v>4338</v>
      </c>
      <c r="AW536" s="103" t="s">
        <v>4338</v>
      </c>
      <c r="AX536" s="166">
        <v>46038</v>
      </c>
      <c r="AY536" s="157">
        <v>46038</v>
      </c>
      <c r="AZ536" s="106" t="s">
        <v>4453</v>
      </c>
      <c r="BA536" s="107" t="s">
        <v>4454</v>
      </c>
      <c r="BB536" s="136" t="s">
        <v>4338</v>
      </c>
      <c r="BC536" s="220">
        <f>IF(AY536-KD536=0,"",AY536-O536)</f>
        <v>58</v>
      </c>
      <c r="BD536" s="103" t="str">
        <f>IF(AND(AI536&lt;&gt;"SIM",AI536="UH"),"AA","INDENIZAÇÃO")</f>
        <v>INDENIZAÇÃO</v>
      </c>
      <c r="BE536" s="103" t="str">
        <f>IF(AND(AY536&lt;&gt;"AGUARDANDO",AY536&lt;&gt;"",N536="AUXÍLIO ALUGUEL ATÉ INDENIZAÇÃO"),"SIM","NÃO")</f>
        <v>NÃO</v>
      </c>
      <c r="BF536" s="140" t="s">
        <v>4357</v>
      </c>
      <c r="BG536" s="140" t="s">
        <v>4357</v>
      </c>
      <c r="BH536" s="140" t="s">
        <v>4357</v>
      </c>
      <c r="BI536" s="154" t="s">
        <v>4912</v>
      </c>
      <c r="BJ536" s="154"/>
      <c r="BK536" s="154"/>
      <c r="BL536" s="154"/>
      <c r="BM536" s="237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customHeight="1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6702</v>
      </c>
      <c r="G537" s="103" t="s">
        <v>4330</v>
      </c>
      <c r="H537" s="103" t="s">
        <v>4331</v>
      </c>
      <c r="I537" s="103" t="s">
        <v>4343</v>
      </c>
      <c r="J537" s="149" t="s">
        <v>6707</v>
      </c>
      <c r="K537" s="149" t="s">
        <v>6708</v>
      </c>
      <c r="L537" s="149" t="s">
        <v>6709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6707</v>
      </c>
      <c r="AC537" s="149" t="s">
        <v>6708</v>
      </c>
      <c r="AD537" s="149" t="s">
        <v>6709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>IF(AY537-KD537=0,"",AY537-O537)</f>
        <v/>
      </c>
      <c r="BD537" s="103" t="str">
        <f>IF(AND(AI537&lt;&gt;"SIM",AI537="UH"),"AA","INDENIZAÇÃO")</f>
        <v>AA</v>
      </c>
      <c r="BE537" s="103" t="str">
        <f>IF(AND(AY537&lt;&gt;"AGUARDANDO",AY537&lt;&gt;"",N537="AUXÍLIO ALUGUEL ATÉ INDENIZAÇÃO"),"SIM","NÃO")</f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customHeight="1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6710</v>
      </c>
      <c r="G538" s="103" t="s">
        <v>4330</v>
      </c>
      <c r="H538" s="103" t="s">
        <v>4331</v>
      </c>
      <c r="I538" s="142" t="s">
        <v>4343</v>
      </c>
      <c r="J538" s="149" t="s">
        <v>6711</v>
      </c>
      <c r="K538" s="149" t="s">
        <v>6712</v>
      </c>
      <c r="L538" s="149" t="s">
        <v>6713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6711</v>
      </c>
      <c r="AC538" s="149" t="s">
        <v>6712</v>
      </c>
      <c r="AD538" s="149" t="s">
        <v>6713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>IF(AY538-KD538=0,"",AY538-O538)</f>
        <v/>
      </c>
      <c r="BD538" s="103" t="str">
        <f>IF(AND(AI538&lt;&gt;"SIM",AI538="UH"),"AA","INDENIZAÇÃO")</f>
        <v>AA</v>
      </c>
      <c r="BE538" s="103" t="str">
        <f>IF(AND(AY538&lt;&gt;"AGUARDANDO",AY538&lt;&gt;"",N538="AUXÍLIO ALUGUEL ATÉ INDENIZAÇÃO"),"SIM","NÃO")</f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customHeight="1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6710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>IF(AY539-KD539=0,"",AY539-O539)</f>
        <v/>
      </c>
      <c r="BD539" s="103" t="str">
        <f>IF(AND(AI539&lt;&gt;"SIM",AI539="UH"),"AA","INDENIZAÇÃO")</f>
        <v>AA</v>
      </c>
      <c r="BE539" s="103" t="str">
        <f>IF(AND(AY539&lt;&gt;"AGUARDANDO",AY539&lt;&gt;"",N539="AUXÍLIO ALUGUEL ATÉ INDENIZAÇÃO"),"SIM","NÃO")</f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customHeight="1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6714</v>
      </c>
      <c r="G540" s="103" t="s">
        <v>4330</v>
      </c>
      <c r="H540" s="103" t="s">
        <v>4331</v>
      </c>
      <c r="I540" s="103" t="s">
        <v>4361</v>
      </c>
      <c r="J540" s="149" t="s">
        <v>6715</v>
      </c>
      <c r="K540" s="149" t="s">
        <v>6716</v>
      </c>
      <c r="L540" s="149" t="s">
        <v>6717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6715</v>
      </c>
      <c r="AC540" s="149" t="s">
        <v>6716</v>
      </c>
      <c r="AD540" s="149" t="s">
        <v>6717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>IF(AY540-KD540=0,"",AY540-O540)</f>
        <v/>
      </c>
      <c r="BD540" s="103" t="str">
        <f>IF(AND(AI540&lt;&gt;"SIM",AI540="UH"),"AA","INDENIZAÇÃO")</f>
        <v>AA</v>
      </c>
      <c r="BE540" s="103" t="str">
        <f>IF(AND(AY540&lt;&gt;"AGUARDANDO",AY540&lt;&gt;"",N540="AUXÍLIO ALUGUEL ATÉ INDENIZAÇÃO"),"SIM","NÃO")</f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customHeight="1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6718</v>
      </c>
      <c r="G541" s="103" t="s">
        <v>4330</v>
      </c>
      <c r="H541" s="103" t="s">
        <v>4331</v>
      </c>
      <c r="I541" s="142" t="s">
        <v>4343</v>
      </c>
      <c r="J541" s="149" t="s">
        <v>6719</v>
      </c>
      <c r="K541" s="149" t="s">
        <v>4457</v>
      </c>
      <c r="L541" s="149" t="s">
        <v>6720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6719</v>
      </c>
      <c r="AC541" s="149" t="s">
        <v>4457</v>
      </c>
      <c r="AD541" s="149" t="s">
        <v>6720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>IF(AY541-KD541=0,"",AY541-O541)</f>
        <v/>
      </c>
      <c r="BD541" s="103" t="str">
        <f>IF(AND(AI541&lt;&gt;"SIM",AI541="UH"),"AA","INDENIZAÇÃO")</f>
        <v>AA</v>
      </c>
      <c r="BE541" s="103" t="str">
        <f>IF(AND(AY541&lt;&gt;"AGUARDANDO",AY541&lt;&gt;"",N541="AUXÍLIO ALUGUEL ATÉ INDENIZAÇÃO"),"SIM","NÃO")</f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customHeight="1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6718</v>
      </c>
      <c r="G542" s="103" t="s">
        <v>4330</v>
      </c>
      <c r="H542" s="103" t="s">
        <v>4331</v>
      </c>
      <c r="I542" s="103" t="s">
        <v>4343</v>
      </c>
      <c r="J542" s="149" t="s">
        <v>6721</v>
      </c>
      <c r="K542" s="149" t="s">
        <v>6722</v>
      </c>
      <c r="L542" s="149" t="s">
        <v>6723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6721</v>
      </c>
      <c r="AC542" s="149" t="s">
        <v>6722</v>
      </c>
      <c r="AD542" s="149" t="s">
        <v>6723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>IF(AY542-KD542=0,"",AY542-O542)</f>
        <v/>
      </c>
      <c r="BD542" s="103" t="str">
        <f>IF(AND(AI542&lt;&gt;"SIM",AI542="UH"),"AA","INDENIZAÇÃO")</f>
        <v>AA</v>
      </c>
      <c r="BE542" s="103" t="str">
        <f>IF(AND(AY542&lt;&gt;"AGUARDANDO",AY542&lt;&gt;"",N542="AUXÍLIO ALUGUEL ATÉ INDENIZAÇÃO"),"SIM","NÃO")</f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customHeight="1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6724</v>
      </c>
      <c r="G543" s="103" t="s">
        <v>4330</v>
      </c>
      <c r="H543" s="103" t="s">
        <v>4331</v>
      </c>
      <c r="I543" s="142" t="s">
        <v>4343</v>
      </c>
      <c r="J543" s="149" t="s">
        <v>6725</v>
      </c>
      <c r="K543" s="149" t="s">
        <v>6726</v>
      </c>
      <c r="L543" s="149" t="s">
        <v>6727</v>
      </c>
      <c r="M543" s="103" t="s">
        <v>4333</v>
      </c>
      <c r="N543" s="103" t="s">
        <v>4459</v>
      </c>
      <c r="O543" s="105">
        <v>46045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6725</v>
      </c>
      <c r="AC543" s="149" t="s">
        <v>6726</v>
      </c>
      <c r="AD543" s="149" t="s">
        <v>6727</v>
      </c>
      <c r="AE543" s="103" t="s">
        <v>4343</v>
      </c>
      <c r="AF543" s="112" t="s">
        <v>4333</v>
      </c>
      <c r="AG543" s="194">
        <v>22110.02</v>
      </c>
      <c r="AH543" s="194">
        <f>AG543+30000</f>
        <v>52110.020000000004</v>
      </c>
      <c r="AI543" s="103" t="s">
        <v>4336</v>
      </c>
      <c r="AJ543" s="104" t="s">
        <v>4438</v>
      </c>
      <c r="AK543" s="103">
        <v>148266193</v>
      </c>
      <c r="AL543" s="103" t="s">
        <v>4338</v>
      </c>
      <c r="AM543" s="103" t="s">
        <v>4338</v>
      </c>
      <c r="AN543" s="103" t="s">
        <v>4339</v>
      </c>
      <c r="AO543" s="112"/>
      <c r="AP543" s="171" t="s">
        <v>6728</v>
      </c>
      <c r="AQ543" s="103" t="s">
        <v>4338</v>
      </c>
      <c r="AR543" s="103" t="s">
        <v>4338</v>
      </c>
      <c r="AS543" s="103" t="s">
        <v>4338</v>
      </c>
      <c r="AT543" s="103" t="s">
        <v>4338</v>
      </c>
      <c r="AU543" s="105">
        <v>46118</v>
      </c>
      <c r="AV543" s="103" t="s">
        <v>4338</v>
      </c>
      <c r="AW543" s="103" t="s">
        <v>4338</v>
      </c>
      <c r="AX543" s="105">
        <v>46126</v>
      </c>
      <c r="AY543" s="106">
        <v>46126</v>
      </c>
      <c r="AZ543" s="106" t="s">
        <v>4453</v>
      </c>
      <c r="BA543" s="174" t="s">
        <v>4454</v>
      </c>
      <c r="BB543" s="136" t="s">
        <v>4338</v>
      </c>
      <c r="BC543" s="220">
        <f>IF(AY543-KD543=0,"",AY543-O543)</f>
        <v>81</v>
      </c>
      <c r="BD543" s="103" t="str">
        <f>IF(AND(AI543&lt;&gt;"SIM",AI543="UH"),"AA","INDENIZAÇÃO")</f>
        <v>INDENIZAÇÃO</v>
      </c>
      <c r="BE543" s="103" t="str">
        <f>IF(AND(AY543&lt;&gt;"AGUARDANDO",AY543&lt;&gt;"",N543="AUXÍLIO ALUGUEL ATÉ INDENIZAÇÃO"),"SIM","NÃO")</f>
        <v>NÃO</v>
      </c>
      <c r="BF543" s="112" t="s">
        <v>4357</v>
      </c>
      <c r="BG543" s="112" t="s">
        <v>4357</v>
      </c>
      <c r="BH543" s="112" t="s">
        <v>4357</v>
      </c>
      <c r="BI543" s="109" t="s">
        <v>4912</v>
      </c>
      <c r="BJ543" s="109"/>
      <c r="BK543" s="109"/>
      <c r="BL543" s="109"/>
      <c r="BM543" s="239"/>
      <c r="BN543" s="231"/>
      <c r="BO543" s="231"/>
    </row>
    <row r="544" spans="1:107" s="232" customFormat="1" ht="29.25" customHeight="1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6724</v>
      </c>
      <c r="G544" s="103" t="s">
        <v>4330</v>
      </c>
      <c r="H544" s="103" t="s">
        <v>4331</v>
      </c>
      <c r="I544" s="103" t="s">
        <v>4343</v>
      </c>
      <c r="J544" s="149" t="s">
        <v>6729</v>
      </c>
      <c r="K544" s="149" t="s">
        <v>6730</v>
      </c>
      <c r="L544" s="149" t="s">
        <v>6731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6729</v>
      </c>
      <c r="AC544" s="149" t="s">
        <v>6730</v>
      </c>
      <c r="AD544" s="149" t="s">
        <v>6731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>IF(AY544-KD544=0,"",AY544-O544)</f>
        <v/>
      </c>
      <c r="BD544" s="103" t="str">
        <f>IF(AND(AI544&lt;&gt;"SIM",AI544="UH"),"AA","INDENIZAÇÃO")</f>
        <v>AA</v>
      </c>
      <c r="BE544" s="103" t="str">
        <f>IF(AND(AY544&lt;&gt;"AGUARDANDO",AY544&lt;&gt;"",N544="AUXÍLIO ALUGUEL ATÉ INDENIZAÇÃO"),"SIM","NÃO")</f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customHeight="1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6732</v>
      </c>
      <c r="G545" s="103" t="s">
        <v>4330</v>
      </c>
      <c r="H545" s="103" t="s">
        <v>4331</v>
      </c>
      <c r="I545" s="103" t="s">
        <v>4343</v>
      </c>
      <c r="J545" s="149" t="s">
        <v>6733</v>
      </c>
      <c r="K545" s="149" t="s">
        <v>6734</v>
      </c>
      <c r="L545" s="149" t="s">
        <v>6735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6733</v>
      </c>
      <c r="AC545" s="149" t="s">
        <v>6734</v>
      </c>
      <c r="AD545" s="149" t="s">
        <v>6735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>IF(AY545-KD545=0,"",AY545-O545)</f>
        <v/>
      </c>
      <c r="BD545" s="103" t="str">
        <f>IF(AND(AI545&lt;&gt;"SIM",AI545="UH"),"AA","INDENIZAÇÃO")</f>
        <v>AA</v>
      </c>
      <c r="BE545" s="103" t="str">
        <f>IF(AND(AY545&lt;&gt;"AGUARDANDO",AY545&lt;&gt;"",N545="AUXÍLIO ALUGUEL ATÉ INDENIZAÇÃO"),"SIM","NÃO")</f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customHeight="1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6736</v>
      </c>
      <c r="G546" s="103" t="s">
        <v>4330</v>
      </c>
      <c r="H546" s="103" t="s">
        <v>4331</v>
      </c>
      <c r="I546" s="103" t="s">
        <v>4343</v>
      </c>
      <c r="J546" s="149" t="s">
        <v>6737</v>
      </c>
      <c r="K546" s="149" t="s">
        <v>6738</v>
      </c>
      <c r="L546" s="149" t="s">
        <v>6739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6737</v>
      </c>
      <c r="AC546" s="149" t="s">
        <v>6738</v>
      </c>
      <c r="AD546" s="149" t="s">
        <v>6739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>IF(AY546-KD546=0,"",AY546-O546)</f>
        <v/>
      </c>
      <c r="BD546" s="103" t="str">
        <f>IF(AND(AI546&lt;&gt;"SIM",AI546="UH"),"AA","INDENIZAÇÃO")</f>
        <v>AA</v>
      </c>
      <c r="BE546" s="103" t="str">
        <f>IF(AND(AY546&lt;&gt;"AGUARDANDO",AY546&lt;&gt;"",N546="AUXÍLIO ALUGUEL ATÉ INDENIZAÇÃO"),"SIM","NÃO")</f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customHeight="1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6736</v>
      </c>
      <c r="G547" s="103" t="s">
        <v>4330</v>
      </c>
      <c r="H547" s="103" t="s">
        <v>4331</v>
      </c>
      <c r="I547" s="103" t="s">
        <v>4343</v>
      </c>
      <c r="J547" s="149" t="s">
        <v>6740</v>
      </c>
      <c r="K547" s="149" t="s">
        <v>6741</v>
      </c>
      <c r="L547" s="149" t="s">
        <v>6742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6740</v>
      </c>
      <c r="AC547" s="149" t="s">
        <v>6741</v>
      </c>
      <c r="AD547" s="149" t="s">
        <v>6742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>IF(AY547-KD547=0,"",AY547-O547)</f>
        <v/>
      </c>
      <c r="BD547" s="103" t="str">
        <f>IF(AND(AI547&lt;&gt;"SIM",AI547="UH"),"AA","INDENIZAÇÃO")</f>
        <v>AA</v>
      </c>
      <c r="BE547" s="103" t="str">
        <f>IF(AND(AY547&lt;&gt;"AGUARDANDO",AY547&lt;&gt;"",N547="AUXÍLIO ALUGUEL ATÉ INDENIZAÇÃO"),"SIM","NÃO")</f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customHeight="1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6743</v>
      </c>
      <c r="G548" s="103" t="s">
        <v>4330</v>
      </c>
      <c r="H548" s="103" t="s">
        <v>4331</v>
      </c>
      <c r="I548" s="142" t="s">
        <v>4343</v>
      </c>
      <c r="J548" s="149" t="s">
        <v>6744</v>
      </c>
      <c r="K548" s="149" t="s">
        <v>6745</v>
      </c>
      <c r="L548" s="149" t="s">
        <v>6746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6744</v>
      </c>
      <c r="AC548" s="149" t="s">
        <v>6745</v>
      </c>
      <c r="AD548" s="149" t="s">
        <v>6746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>IF(AY548-KD548=0,"",AY548-O548)</f>
        <v/>
      </c>
      <c r="BD548" s="103" t="str">
        <f>IF(AND(AI548&lt;&gt;"SIM",AI548="UH"),"AA","INDENIZAÇÃO")</f>
        <v>AA</v>
      </c>
      <c r="BE548" s="103" t="str">
        <f>IF(AND(AY548&lt;&gt;"AGUARDANDO",AY548&lt;&gt;"",N548="AUXÍLIO ALUGUEL ATÉ INDENIZAÇÃO"),"SIM","NÃO")</f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customHeight="1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6743</v>
      </c>
      <c r="G549" s="103" t="s">
        <v>4330</v>
      </c>
      <c r="H549" s="103" t="s">
        <v>4331</v>
      </c>
      <c r="I549" s="103" t="s">
        <v>4343</v>
      </c>
      <c r="J549" s="149" t="s">
        <v>6747</v>
      </c>
      <c r="K549" s="149" t="s">
        <v>6748</v>
      </c>
      <c r="L549" s="149" t="s">
        <v>6749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6747</v>
      </c>
      <c r="AC549" s="149" t="s">
        <v>6748</v>
      </c>
      <c r="AD549" s="149" t="s">
        <v>6749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>IF(AY549-KD549=0,"",AY549-O549)</f>
        <v/>
      </c>
      <c r="BD549" s="103" t="str">
        <f>IF(AND(AI549&lt;&gt;"SIM",AI549="UH"),"AA","INDENIZAÇÃO")</f>
        <v>AA</v>
      </c>
      <c r="BE549" s="103" t="str">
        <f>IF(AND(AY549&lt;&gt;"AGUARDANDO",AY549&lt;&gt;"",N549="AUXÍLIO ALUGUEL ATÉ INDENIZAÇÃO"),"SIM","NÃO")</f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customHeight="1">
      <c r="A550" s="165">
        <v>540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6750</v>
      </c>
      <c r="G550" s="103" t="s">
        <v>4330</v>
      </c>
      <c r="H550" s="103" t="s">
        <v>4331</v>
      </c>
      <c r="I550" s="103" t="s">
        <v>4343</v>
      </c>
      <c r="J550" s="149" t="s">
        <v>6751</v>
      </c>
      <c r="K550" s="149" t="s">
        <v>6752</v>
      </c>
      <c r="L550" s="149" t="s">
        <v>6753</v>
      </c>
      <c r="M550" s="103" t="s">
        <v>4333</v>
      </c>
      <c r="N550" s="103" t="s">
        <v>4459</v>
      </c>
      <c r="O550" s="105">
        <v>46188</v>
      </c>
      <c r="P550" s="105" t="s">
        <v>4356</v>
      </c>
      <c r="Q550" s="105" t="s">
        <v>4356</v>
      </c>
      <c r="R550" s="105" t="s">
        <v>4356</v>
      </c>
      <c r="S550" s="105" t="s">
        <v>4356</v>
      </c>
      <c r="T550" s="105" t="s">
        <v>4356</v>
      </c>
      <c r="U550" s="105" t="s">
        <v>4356</v>
      </c>
      <c r="V550" s="105" t="s">
        <v>4356</v>
      </c>
      <c r="W550" s="105" t="s">
        <v>4356</v>
      </c>
      <c r="X550" s="105" t="s">
        <v>4356</v>
      </c>
      <c r="Y550" s="105" t="s">
        <v>4356</v>
      </c>
      <c r="Z550" s="105"/>
      <c r="AA550" s="207" t="s">
        <v>6754</v>
      </c>
      <c r="AB550" s="149" t="s">
        <v>6751</v>
      </c>
      <c r="AC550" s="149" t="s">
        <v>6752</v>
      </c>
      <c r="AD550" s="149" t="s">
        <v>6753</v>
      </c>
      <c r="AE550" s="103" t="s">
        <v>4343</v>
      </c>
      <c r="AF550" s="103" t="s">
        <v>4333</v>
      </c>
      <c r="AG550" s="194">
        <v>58835.11</v>
      </c>
      <c r="AH550" s="194">
        <v>60000</v>
      </c>
      <c r="AI550" s="103" t="s">
        <v>4336</v>
      </c>
      <c r="AJ550" s="104" t="s">
        <v>4438</v>
      </c>
      <c r="AK550" s="103">
        <v>158682956</v>
      </c>
      <c r="AL550" s="103" t="s">
        <v>4338</v>
      </c>
      <c r="AM550" s="103" t="s">
        <v>4338</v>
      </c>
      <c r="AN550" s="103" t="s">
        <v>4339</v>
      </c>
      <c r="AO550" s="112"/>
      <c r="AP550" s="171" t="s">
        <v>6755</v>
      </c>
      <c r="AQ550" s="103" t="s">
        <v>4822</v>
      </c>
      <c r="AR550" s="103" t="s">
        <v>4822</v>
      </c>
      <c r="AS550" s="103" t="s">
        <v>4822</v>
      </c>
      <c r="AT550" s="103" t="s">
        <v>4822</v>
      </c>
      <c r="AU550" s="105">
        <v>46233</v>
      </c>
      <c r="AV550" s="103" t="s">
        <v>4822</v>
      </c>
      <c r="AW550" s="103" t="s">
        <v>4822</v>
      </c>
      <c r="AX550" s="105">
        <v>46234</v>
      </c>
      <c r="AY550" s="106" t="s">
        <v>4453</v>
      </c>
      <c r="AZ550" s="157"/>
      <c r="BA550" s="107" t="s">
        <v>4330</v>
      </c>
      <c r="BB550" s="112"/>
      <c r="BC550" s="220" t="e">
        <f>IF(AY550-KD550=0,"",AY550-O550)</f>
        <v>#VALUE!</v>
      </c>
      <c r="BD550" s="103" t="str">
        <f>IF(AND(AI550&lt;&gt;"SIM",AI550="UH"),"AA","INDENIZAÇÃO")</f>
        <v>INDENIZAÇÃO</v>
      </c>
      <c r="BE550" s="103" t="str">
        <f>IF(AND(AY550&lt;&gt;"AGUARDANDO",AY550&lt;&gt;"",N550="AUXÍLIO ALUGUEL ATÉ INDENIZAÇÃO"),"SIM","NÃO")</f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>
      <c r="A551" s="165">
        <v>541</v>
      </c>
      <c r="B551" s="103" t="s">
        <v>4431</v>
      </c>
      <c r="C551" s="103" t="s">
        <v>4448</v>
      </c>
      <c r="D551" s="103">
        <v>1</v>
      </c>
      <c r="E551" s="103" t="s">
        <v>4432</v>
      </c>
      <c r="F551" s="104" t="s">
        <v>6750</v>
      </c>
      <c r="G551" s="103" t="s">
        <v>4330</v>
      </c>
      <c r="H551" s="103" t="s">
        <v>4331</v>
      </c>
      <c r="I551" s="103" t="s">
        <v>4343</v>
      </c>
      <c r="J551" s="149" t="s">
        <v>6756</v>
      </c>
      <c r="K551" s="149" t="s">
        <v>6757</v>
      </c>
      <c r="L551" s="149" t="s">
        <v>6758</v>
      </c>
      <c r="M551" s="103" t="s">
        <v>4333</v>
      </c>
      <c r="N551" s="103" t="s">
        <v>4345</v>
      </c>
      <c r="O551" s="105"/>
      <c r="P551" s="105">
        <v>46126</v>
      </c>
      <c r="Q551" s="105" t="s">
        <v>4436</v>
      </c>
      <c r="R551" s="108">
        <v>46126</v>
      </c>
      <c r="S551" s="108">
        <v>46126</v>
      </c>
      <c r="T551" s="108">
        <v>46136</v>
      </c>
      <c r="U551" s="108">
        <v>46140</v>
      </c>
      <c r="V551" s="108" t="s">
        <v>4437</v>
      </c>
      <c r="W551" s="108" t="s">
        <v>4437</v>
      </c>
      <c r="X551" s="105">
        <v>46153</v>
      </c>
      <c r="Y551" s="105">
        <v>46154</v>
      </c>
      <c r="Z551" s="105"/>
      <c r="AA551" s="105"/>
      <c r="AB551" s="149" t="s">
        <v>6756</v>
      </c>
      <c r="AC551" s="149" t="s">
        <v>6757</v>
      </c>
      <c r="AD551" s="149" t="s">
        <v>6758</v>
      </c>
      <c r="AE551" s="153" t="s">
        <v>4343</v>
      </c>
      <c r="AF551" s="112" t="s">
        <v>4333</v>
      </c>
      <c r="AG551" s="194" t="s">
        <v>4356</v>
      </c>
      <c r="AH551" s="194" t="s">
        <v>4356</v>
      </c>
      <c r="AI551" s="103" t="s">
        <v>4355</v>
      </c>
      <c r="AJ551" s="104" t="s">
        <v>4438</v>
      </c>
      <c r="AK551" s="103"/>
      <c r="AL551" s="103"/>
      <c r="AM551" s="103"/>
      <c r="AN551" s="103"/>
      <c r="AO551" s="112"/>
      <c r="AP551" s="171"/>
      <c r="AQ551" s="195"/>
      <c r="AR551" s="112"/>
      <c r="AS551" s="112"/>
      <c r="AT551" s="112"/>
      <c r="AU551" s="112"/>
      <c r="AV551" s="112"/>
      <c r="AW551" s="112"/>
      <c r="AX551" s="112"/>
      <c r="AY551" s="166"/>
      <c r="AZ551" s="108"/>
      <c r="BA551" s="112"/>
      <c r="BB551" s="112"/>
      <c r="BC551" s="220" t="str">
        <f>IF(AY551-KD551=0,"",AY551-O551)</f>
        <v/>
      </c>
      <c r="BD551" s="103" t="str">
        <f>IF(AND(AI551&lt;&gt;"SIM",AI551="UH"),"AA","INDENIZAÇÃO")</f>
        <v>AA</v>
      </c>
      <c r="BE551" s="103" t="str">
        <f>IF(AND(AY551&lt;&gt;"AGUARDANDO",AY551&lt;&gt;"",N551="AUXÍLIO ALUGUEL ATÉ INDENIZAÇÃO"),"SIM","NÃO")</f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>
      <c r="A552" s="103">
        <v>542</v>
      </c>
      <c r="B552" s="103" t="s">
        <v>4431</v>
      </c>
      <c r="C552" s="103" t="s">
        <v>4439</v>
      </c>
      <c r="D552" s="103">
        <v>1</v>
      </c>
      <c r="E552" s="103" t="s">
        <v>4432</v>
      </c>
      <c r="F552" s="104" t="s">
        <v>6759</v>
      </c>
      <c r="G552" s="112" t="s">
        <v>4330</v>
      </c>
      <c r="H552" s="112" t="s">
        <v>4331</v>
      </c>
      <c r="I552" s="112" t="s">
        <v>4343</v>
      </c>
      <c r="J552" s="150" t="s">
        <v>6760</v>
      </c>
      <c r="K552" s="150" t="s">
        <v>6761</v>
      </c>
      <c r="L552" s="150" t="s">
        <v>6762</v>
      </c>
      <c r="M552" s="112" t="s">
        <v>4333</v>
      </c>
      <c r="N552" s="112" t="s">
        <v>4334</v>
      </c>
      <c r="O552" s="108">
        <v>46129</v>
      </c>
      <c r="P552" s="105" t="s">
        <v>4356</v>
      </c>
      <c r="Q552" s="105" t="s">
        <v>4356</v>
      </c>
      <c r="R552" s="105" t="s">
        <v>4356</v>
      </c>
      <c r="S552" s="105" t="s">
        <v>4356</v>
      </c>
      <c r="T552" s="105" t="s">
        <v>4356</v>
      </c>
      <c r="U552" s="105" t="s">
        <v>4356</v>
      </c>
      <c r="V552" s="105" t="s">
        <v>4356</v>
      </c>
      <c r="W552" s="105" t="s">
        <v>4356</v>
      </c>
      <c r="X552" s="105" t="s">
        <v>4356</v>
      </c>
      <c r="Y552" s="105" t="s">
        <v>4356</v>
      </c>
      <c r="Z552" s="105"/>
      <c r="AA552" s="105"/>
      <c r="AB552" s="150" t="s">
        <v>6760</v>
      </c>
      <c r="AC552" s="150" t="s">
        <v>6761</v>
      </c>
      <c r="AD552" s="150" t="s">
        <v>6762</v>
      </c>
      <c r="AE552" s="112" t="s">
        <v>4343</v>
      </c>
      <c r="AF552" s="112" t="s">
        <v>4333</v>
      </c>
      <c r="AG552" s="194">
        <v>39507.480000000003</v>
      </c>
      <c r="AH552" s="194">
        <v>60000</v>
      </c>
      <c r="AI552" s="103" t="s">
        <v>4336</v>
      </c>
      <c r="AJ552" s="104" t="s">
        <v>4438</v>
      </c>
      <c r="AK552" s="112">
        <v>153982402</v>
      </c>
      <c r="AL552" s="103" t="s">
        <v>4338</v>
      </c>
      <c r="AM552" s="103" t="s">
        <v>4338</v>
      </c>
      <c r="AN552" s="103" t="s">
        <v>4339</v>
      </c>
      <c r="AO552" s="112"/>
      <c r="AP552" s="281" t="s">
        <v>6763</v>
      </c>
      <c r="AQ552" s="259" t="s">
        <v>4338</v>
      </c>
      <c r="AR552" s="112" t="s">
        <v>4338</v>
      </c>
      <c r="AS552" s="103" t="s">
        <v>4338</v>
      </c>
      <c r="AT552" s="103" t="s">
        <v>4338</v>
      </c>
      <c r="AU552" s="105">
        <v>46226</v>
      </c>
      <c r="AV552" s="112" t="s">
        <v>4338</v>
      </c>
      <c r="AW552" s="112" t="s">
        <v>4338</v>
      </c>
      <c r="AX552" s="105">
        <v>46232</v>
      </c>
      <c r="AY552" s="109" t="s">
        <v>4453</v>
      </c>
      <c r="AZ552" s="157"/>
      <c r="BA552" s="109" t="s">
        <v>4330</v>
      </c>
      <c r="BB552" s="112"/>
      <c r="BC552" s="220" t="e">
        <f>IF(AY552-KD552=0,"",AY552-O552)</f>
        <v>#VALUE!</v>
      </c>
      <c r="BD552" s="103" t="str">
        <f>IF(AND(AI552&lt;&gt;"SIM",AI552="UH"),"AA","INDENIZAÇÃO")</f>
        <v>INDENIZAÇÃO</v>
      </c>
      <c r="BE552" s="103" t="str">
        <f>IF(AND(AY552&lt;&gt;"AGUARDANDO",AY552&lt;&gt;"",N552="AUXÍLIO ALUGUEL ATÉ INDENIZAÇÃO"),"SIM","NÃO")</f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6759</v>
      </c>
      <c r="G553" s="103" t="s">
        <v>4330</v>
      </c>
      <c r="H553" s="103" t="s">
        <v>4331</v>
      </c>
      <c r="I553" s="103" t="s">
        <v>4343</v>
      </c>
      <c r="J553" s="149" t="s">
        <v>6764</v>
      </c>
      <c r="K553" s="149" t="s">
        <v>6765</v>
      </c>
      <c r="L553" s="149" t="s">
        <v>6766</v>
      </c>
      <c r="M553" s="103" t="s">
        <v>4333</v>
      </c>
      <c r="N553" s="103" t="s">
        <v>4345</v>
      </c>
      <c r="O553" s="105"/>
      <c r="P553" s="105">
        <v>46126</v>
      </c>
      <c r="Q553" s="105" t="s">
        <v>4436</v>
      </c>
      <c r="R553" s="108">
        <v>46126</v>
      </c>
      <c r="S553" s="108">
        <v>46126</v>
      </c>
      <c r="T553" s="108">
        <v>46136</v>
      </c>
      <c r="U553" s="108">
        <v>46140</v>
      </c>
      <c r="V553" s="108" t="s">
        <v>4437</v>
      </c>
      <c r="W553" s="108" t="s">
        <v>4437</v>
      </c>
      <c r="X553" s="105">
        <v>46153</v>
      </c>
      <c r="Y553" s="105">
        <v>46154</v>
      </c>
      <c r="Z553" s="105"/>
      <c r="AA553" s="138"/>
      <c r="AB553" s="149" t="s">
        <v>6764</v>
      </c>
      <c r="AC553" s="149" t="s">
        <v>6765</v>
      </c>
      <c r="AD553" s="149" t="s">
        <v>6766</v>
      </c>
      <c r="AE553" s="103" t="s">
        <v>4343</v>
      </c>
      <c r="AF553" s="103" t="s">
        <v>4333</v>
      </c>
      <c r="AG553" s="194" t="s">
        <v>4356</v>
      </c>
      <c r="AH553" s="194" t="s">
        <v>4356</v>
      </c>
      <c r="AI553" s="103" t="s">
        <v>4355</v>
      </c>
      <c r="AJ553" s="104" t="s">
        <v>4438</v>
      </c>
      <c r="AK553" s="103"/>
      <c r="AL553" s="103"/>
      <c r="AM553" s="103"/>
      <c r="AN553" s="103"/>
      <c r="AO553" s="112"/>
      <c r="AP553" s="171"/>
      <c r="AQ553" s="112"/>
      <c r="AR553" s="112"/>
      <c r="AS553" s="112"/>
      <c r="AT553" s="112"/>
      <c r="AU553" s="112"/>
      <c r="AV553" s="112"/>
      <c r="AW553" s="112"/>
      <c r="AX553" s="112"/>
      <c r="AY553" s="166"/>
      <c r="AZ553" s="108"/>
      <c r="BA553" s="112"/>
      <c r="BB553" s="112"/>
      <c r="BC553" s="220" t="str">
        <f>IF(AY553-KD553=0,"",AY553-O553)</f>
        <v/>
      </c>
      <c r="BD553" s="103" t="str">
        <f>IF(AND(AI553&lt;&gt;"SIM",AI553="UH"),"AA","INDENIZAÇÃO")</f>
        <v>AA</v>
      </c>
      <c r="BE553" s="103" t="str">
        <f>IF(AND(AY553&lt;&gt;"AGUARDANDO",AY553&lt;&gt;"",N553="AUXÍLIO ALUGUEL ATÉ INDENIZAÇÃO"),"SIM","NÃO")</f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customHeight="1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6767</v>
      </c>
      <c r="G554" s="103" t="s">
        <v>4330</v>
      </c>
      <c r="H554" s="103" t="s">
        <v>4331</v>
      </c>
      <c r="I554" s="103" t="s">
        <v>4343</v>
      </c>
      <c r="J554" s="149" t="s">
        <v>6768</v>
      </c>
      <c r="K554" s="149" t="s">
        <v>6769</v>
      </c>
      <c r="L554" s="149" t="s">
        <v>6770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6768</v>
      </c>
      <c r="AC554" s="149" t="s">
        <v>6769</v>
      </c>
      <c r="AD554" s="149" t="s">
        <v>6770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>IF(AY554-KD554=0,"",AY554-O554)</f>
        <v/>
      </c>
      <c r="BD554" s="103" t="str">
        <f>IF(AND(AI554&lt;&gt;"SIM",AI554="UH"),"AA","INDENIZAÇÃO")</f>
        <v>AA</v>
      </c>
      <c r="BE554" s="103" t="str">
        <f>IF(AND(AY554&lt;&gt;"AGUARDANDO",AY554&lt;&gt;"",N554="AUXÍLIO ALUGUEL ATÉ INDENIZAÇÃO"),"SIM","NÃO")</f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customHeight="1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6767</v>
      </c>
      <c r="G555" s="103" t="s">
        <v>4330</v>
      </c>
      <c r="H555" s="103" t="s">
        <v>4331</v>
      </c>
      <c r="I555" s="142" t="s">
        <v>4343</v>
      </c>
      <c r="J555" s="149" t="s">
        <v>6771</v>
      </c>
      <c r="K555" s="149" t="s">
        <v>6772</v>
      </c>
      <c r="L555" s="149" t="s">
        <v>6773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6771</v>
      </c>
      <c r="AC555" s="149" t="s">
        <v>6772</v>
      </c>
      <c r="AD555" s="149" t="s">
        <v>6773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>IF(AY555-KD555=0,"",AY555-O555)</f>
        <v/>
      </c>
      <c r="BD555" s="103" t="str">
        <f>IF(AND(AI555&lt;&gt;"SIM",AI555="UH"),"AA","INDENIZAÇÃO")</f>
        <v>AA</v>
      </c>
      <c r="BE555" s="103" t="str">
        <f>IF(AND(AY555&lt;&gt;"AGUARDANDO",AY555&lt;&gt;"",N555="AUXÍLIO ALUGUEL ATÉ INDENIZAÇÃO"),"SIM","NÃO")</f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customHeight="1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6774</v>
      </c>
      <c r="G556" s="103" t="s">
        <v>4330</v>
      </c>
      <c r="H556" s="103" t="s">
        <v>4331</v>
      </c>
      <c r="I556" s="142" t="s">
        <v>4343</v>
      </c>
      <c r="J556" s="149" t="s">
        <v>6775</v>
      </c>
      <c r="K556" s="149" t="s">
        <v>6776</v>
      </c>
      <c r="L556" s="149" t="s">
        <v>6777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6775</v>
      </c>
      <c r="AC556" s="149" t="s">
        <v>6776</v>
      </c>
      <c r="AD556" s="149" t="s">
        <v>6777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>IF(AY556-KD556=0,"",AY556-O556)</f>
        <v/>
      </c>
      <c r="BD556" s="103" t="str">
        <f>IF(AND(AI556&lt;&gt;"SIM",AI556="UH"),"AA","INDENIZAÇÃO")</f>
        <v>AA</v>
      </c>
      <c r="BE556" s="103" t="str">
        <f>IF(AND(AY556&lt;&gt;"AGUARDANDO",AY556&lt;&gt;"",N556="AUXÍLIO ALUGUEL ATÉ INDENIZAÇÃO"),"SIM","NÃO")</f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customHeight="1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6774</v>
      </c>
      <c r="G557" s="103" t="s">
        <v>4330</v>
      </c>
      <c r="H557" s="103" t="s">
        <v>4331</v>
      </c>
      <c r="I557" s="103" t="s">
        <v>4343</v>
      </c>
      <c r="J557" s="149" t="s">
        <v>6778</v>
      </c>
      <c r="K557" s="149" t="s">
        <v>6779</v>
      </c>
      <c r="L557" s="149" t="s">
        <v>6780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6778</v>
      </c>
      <c r="AC557" s="149" t="s">
        <v>6779</v>
      </c>
      <c r="AD557" s="149" t="s">
        <v>6780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>IF(AY557-KD557=0,"",AY557-O557)</f>
        <v/>
      </c>
      <c r="BD557" s="103" t="str">
        <f>IF(AND(AI557&lt;&gt;"SIM",AI557="UH"),"AA","INDENIZAÇÃO")</f>
        <v>AA</v>
      </c>
      <c r="BE557" s="103" t="str">
        <f>IF(AND(AY557&lt;&gt;"AGUARDANDO",AY557&lt;&gt;"",N557="AUXÍLIO ALUGUEL ATÉ INDENIZAÇÃO"),"SIM","NÃO")</f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customHeight="1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6781</v>
      </c>
      <c r="G558" s="103" t="s">
        <v>4330</v>
      </c>
      <c r="H558" s="103" t="s">
        <v>4331</v>
      </c>
      <c r="I558" s="103" t="s">
        <v>4343</v>
      </c>
      <c r="J558" s="149" t="s">
        <v>6782</v>
      </c>
      <c r="K558" s="149" t="s">
        <v>6783</v>
      </c>
      <c r="L558" s="149" t="s">
        <v>6784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6782</v>
      </c>
      <c r="AC558" s="149" t="s">
        <v>6783</v>
      </c>
      <c r="AD558" s="149" t="s">
        <v>6784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>IF(AY558-KD558=0,"",AY558-O558)</f>
        <v/>
      </c>
      <c r="BD558" s="103" t="str">
        <f>IF(AND(AI558&lt;&gt;"SIM",AI558="UH"),"AA","INDENIZAÇÃO")</f>
        <v>AA</v>
      </c>
      <c r="BE558" s="103" t="str">
        <f>IF(AND(AY558&lt;&gt;"AGUARDANDO",AY558&lt;&gt;"",N558="AUXÍLIO ALUGUEL ATÉ INDENIZAÇÃO"),"SIM","NÃO")</f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customHeight="1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6785</v>
      </c>
      <c r="G559" s="103" t="s">
        <v>4330</v>
      </c>
      <c r="H559" s="103" t="s">
        <v>4331</v>
      </c>
      <c r="I559" s="103" t="s">
        <v>4343</v>
      </c>
      <c r="J559" s="149" t="s">
        <v>6786</v>
      </c>
      <c r="K559" s="149" t="s">
        <v>6787</v>
      </c>
      <c r="L559" s="149" t="s">
        <v>6788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6786</v>
      </c>
      <c r="AC559" s="149" t="s">
        <v>6787</v>
      </c>
      <c r="AD559" s="149" t="s">
        <v>6788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>IF(AY559-KD559=0,"",AY559-O559)</f>
        <v/>
      </c>
      <c r="BD559" s="103" t="str">
        <f>IF(AND(AI559&lt;&gt;"SIM",AI559="UH"),"AA","INDENIZAÇÃO")</f>
        <v>AA</v>
      </c>
      <c r="BE559" s="103" t="str">
        <f>IF(AND(AY559&lt;&gt;"AGUARDANDO",AY559&lt;&gt;"",N559="AUXÍLIO ALUGUEL ATÉ INDENIZAÇÃO"),"SIM","NÃO")</f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customHeight="1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6789</v>
      </c>
      <c r="G560" s="103" t="s">
        <v>4330</v>
      </c>
      <c r="H560" s="103" t="s">
        <v>4331</v>
      </c>
      <c r="I560" s="142" t="s">
        <v>4343</v>
      </c>
      <c r="J560" s="149" t="s">
        <v>6790</v>
      </c>
      <c r="K560" s="149" t="s">
        <v>6791</v>
      </c>
      <c r="L560" s="149" t="s">
        <v>6792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6790</v>
      </c>
      <c r="AC560" s="149" t="s">
        <v>6791</v>
      </c>
      <c r="AD560" s="149" t="s">
        <v>6792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>IF(AY560-KD560=0,"",AY560-O560)</f>
        <v/>
      </c>
      <c r="BD560" s="103" t="str">
        <f>IF(AND(AI560&lt;&gt;"SIM",AI560="UH"),"AA","INDENIZAÇÃO")</f>
        <v>AA</v>
      </c>
      <c r="BE560" s="103" t="str">
        <f>IF(AND(AY560&lt;&gt;"AGUARDANDO",AY560&lt;&gt;"",N560="AUXÍLIO ALUGUEL ATÉ INDENIZAÇÃO"),"SIM","NÃO")</f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customHeight="1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6789</v>
      </c>
      <c r="G561" s="103" t="s">
        <v>4330</v>
      </c>
      <c r="H561" s="103" t="s">
        <v>4331</v>
      </c>
      <c r="I561" s="103" t="s">
        <v>4343</v>
      </c>
      <c r="J561" s="149" t="s">
        <v>6793</v>
      </c>
      <c r="K561" s="149" t="s">
        <v>6794</v>
      </c>
      <c r="L561" s="149" t="s">
        <v>6795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6793</v>
      </c>
      <c r="AC561" s="149" t="s">
        <v>6794</v>
      </c>
      <c r="AD561" s="149" t="s">
        <v>6795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>IF(AY561-KD561=0,"",AY561-O561)</f>
        <v/>
      </c>
      <c r="BD561" s="103" t="str">
        <f>IF(AND(AI561&lt;&gt;"SIM",AI561="UH"),"AA","INDENIZAÇÃO")</f>
        <v>AA</v>
      </c>
      <c r="BE561" s="103" t="str">
        <f>IF(AND(AY561&lt;&gt;"AGUARDANDO",AY561&lt;&gt;"",N561="AUXÍLIO ALUGUEL ATÉ INDENIZAÇÃO"),"SIM","NÃO")</f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customHeight="1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6796</v>
      </c>
      <c r="G562" s="103" t="s">
        <v>4330</v>
      </c>
      <c r="H562" s="103" t="s">
        <v>4331</v>
      </c>
      <c r="I562" s="103" t="s">
        <v>4343</v>
      </c>
      <c r="J562" s="149" t="s">
        <v>6797</v>
      </c>
      <c r="K562" s="149" t="s">
        <v>6798</v>
      </c>
      <c r="L562" s="149" t="s">
        <v>6799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6797</v>
      </c>
      <c r="AC562" s="149" t="s">
        <v>6798</v>
      </c>
      <c r="AD562" s="149" t="s">
        <v>6799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>IF(AY562-KD562=0,"",AY562-O562)</f>
        <v/>
      </c>
      <c r="BD562" s="103" t="str">
        <f>IF(AND(AI562&lt;&gt;"SIM",AI562="UH"),"AA","INDENIZAÇÃO")</f>
        <v>AA</v>
      </c>
      <c r="BE562" s="103" t="str">
        <f>IF(AND(AY562&lt;&gt;"AGUARDANDO",AY562&lt;&gt;"",N562="AUXÍLIO ALUGUEL ATÉ INDENIZAÇÃO"),"SIM","NÃO")</f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customHeight="1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6800</v>
      </c>
      <c r="G563" s="103" t="s">
        <v>4330</v>
      </c>
      <c r="H563" s="103" t="s">
        <v>4331</v>
      </c>
      <c r="I563" s="142" t="s">
        <v>4343</v>
      </c>
      <c r="J563" s="149" t="s">
        <v>6801</v>
      </c>
      <c r="K563" s="149" t="s">
        <v>6802</v>
      </c>
      <c r="L563" s="149" t="s">
        <v>6803</v>
      </c>
      <c r="M563" s="103" t="s">
        <v>4333</v>
      </c>
      <c r="N563" s="103" t="s">
        <v>4459</v>
      </c>
      <c r="O563" s="105">
        <v>45996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5"/>
      <c r="AB563" s="149" t="s">
        <v>6801</v>
      </c>
      <c r="AC563" s="149" t="s">
        <v>6802</v>
      </c>
      <c r="AD563" s="149" t="s">
        <v>6803</v>
      </c>
      <c r="AE563" s="103" t="s">
        <v>4343</v>
      </c>
      <c r="AF563" s="103" t="s">
        <v>4333</v>
      </c>
      <c r="AG563" s="194">
        <v>21477.18</v>
      </c>
      <c r="AH563" s="194">
        <f>AG563+30000</f>
        <v>51477.18</v>
      </c>
      <c r="AI563" s="103" t="s">
        <v>4336</v>
      </c>
      <c r="AJ563" s="104" t="s">
        <v>4438</v>
      </c>
      <c r="AK563" s="103">
        <v>146670420</v>
      </c>
      <c r="AL563" s="103" t="s">
        <v>4338</v>
      </c>
      <c r="AM563" s="103" t="s">
        <v>4338</v>
      </c>
      <c r="AN563" s="103" t="s">
        <v>4339</v>
      </c>
      <c r="AO563" s="112"/>
      <c r="AP563" s="171" t="s">
        <v>6804</v>
      </c>
      <c r="AQ563" s="103" t="s">
        <v>4338</v>
      </c>
      <c r="AR563" s="103" t="s">
        <v>4338</v>
      </c>
      <c r="AS563" s="103" t="s">
        <v>4338</v>
      </c>
      <c r="AT563" s="103" t="s">
        <v>4338</v>
      </c>
      <c r="AU563" s="105">
        <v>46020</v>
      </c>
      <c r="AV563" s="112" t="s">
        <v>4338</v>
      </c>
      <c r="AW563" s="103" t="s">
        <v>4338</v>
      </c>
      <c r="AX563" s="166">
        <v>46027</v>
      </c>
      <c r="AY563" s="106">
        <v>46027</v>
      </c>
      <c r="AZ563" s="157" t="s">
        <v>4453</v>
      </c>
      <c r="BA563" s="107" t="s">
        <v>4454</v>
      </c>
      <c r="BB563" s="136" t="s">
        <v>4338</v>
      </c>
      <c r="BC563" s="220">
        <f>IF(AY563-KD563=0,"",AY563-O563)</f>
        <v>31</v>
      </c>
      <c r="BD563" s="103" t="str">
        <f>IF(AND(AI563&lt;&gt;"SIM",AI563="UH"),"AA","INDENIZAÇÃO")</f>
        <v>INDENIZAÇÃO</v>
      </c>
      <c r="BE563" s="103" t="str">
        <f>IF(AND(AY563&lt;&gt;"AGUARDANDO",AY563&lt;&gt;"",N563="AUXÍLIO ALUGUEL ATÉ INDENIZAÇÃO"),"SIM","NÃO")</f>
        <v>NÃO</v>
      </c>
      <c r="BF563" s="140" t="s">
        <v>4357</v>
      </c>
      <c r="BG563" s="140" t="s">
        <v>4357</v>
      </c>
      <c r="BH563" s="140" t="s">
        <v>4357</v>
      </c>
      <c r="BI563" s="154" t="s">
        <v>4912</v>
      </c>
      <c r="BJ563" s="154"/>
      <c r="BK563" s="154"/>
      <c r="BL563" s="154"/>
      <c r="BM563" s="237"/>
    </row>
    <row r="564" spans="1:107" s="232" customFormat="1" ht="29.25" customHeight="1">
      <c r="A564" s="103">
        <v>554</v>
      </c>
      <c r="B564" s="103" t="s">
        <v>4431</v>
      </c>
      <c r="C564" s="103" t="s">
        <v>4439</v>
      </c>
      <c r="D564" s="103">
        <v>1</v>
      </c>
      <c r="E564" s="103" t="s">
        <v>4432</v>
      </c>
      <c r="F564" s="104" t="s">
        <v>6800</v>
      </c>
      <c r="G564" s="112" t="s">
        <v>4330</v>
      </c>
      <c r="H564" s="112" t="s">
        <v>4331</v>
      </c>
      <c r="I564" s="112" t="s">
        <v>4343</v>
      </c>
      <c r="J564" s="150" t="s">
        <v>6805</v>
      </c>
      <c r="K564" s="150" t="s">
        <v>6806</v>
      </c>
      <c r="L564" s="150" t="s">
        <v>6807</v>
      </c>
      <c r="M564" s="112" t="s">
        <v>4333</v>
      </c>
      <c r="N564" s="112" t="s">
        <v>4334</v>
      </c>
      <c r="O564" s="108">
        <v>46125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50" t="s">
        <v>6805</v>
      </c>
      <c r="AC564" s="150" t="s">
        <v>6806</v>
      </c>
      <c r="AD564" s="150" t="s">
        <v>6807</v>
      </c>
      <c r="AE564" s="112" t="s">
        <v>4343</v>
      </c>
      <c r="AF564" s="112" t="s">
        <v>4333</v>
      </c>
      <c r="AG564" s="194">
        <v>16467.03</v>
      </c>
      <c r="AH564" s="194">
        <f>AG564+30000</f>
        <v>46467.03</v>
      </c>
      <c r="AI564" s="103" t="s">
        <v>4336</v>
      </c>
      <c r="AJ564" s="104" t="s">
        <v>4438</v>
      </c>
      <c r="AK564" s="103">
        <v>153982499</v>
      </c>
      <c r="AL564" s="103" t="s">
        <v>4338</v>
      </c>
      <c r="AM564" s="103" t="s">
        <v>4338</v>
      </c>
      <c r="AN564" s="103" t="s">
        <v>4339</v>
      </c>
      <c r="AO564" s="112"/>
      <c r="AP564" s="273" t="s">
        <v>6808</v>
      </c>
      <c r="AQ564" s="259" t="s">
        <v>4338</v>
      </c>
      <c r="AR564" s="112" t="s">
        <v>4338</v>
      </c>
      <c r="AS564" s="112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57"/>
      <c r="BA564" s="109" t="s">
        <v>4330</v>
      </c>
      <c r="BB564" s="112"/>
      <c r="BC564" s="220" t="e">
        <f>IF(AY564-KD564=0,"",AY564-O564)</f>
        <v>#VALUE!</v>
      </c>
      <c r="BD564" s="103" t="str">
        <f>IF(AND(AI564&lt;&gt;"SIM",AI564="UH"),"AA","INDENIZAÇÃO")</f>
        <v>INDENIZAÇÃO</v>
      </c>
      <c r="BE564" s="103" t="str">
        <f>IF(AND(AY564&lt;&gt;"AGUARDANDO",AY564&lt;&gt;"",N564="AUXÍLIO ALUGUEL ATÉ INDENIZAÇÃO"),"SIM","NÃO")</f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customHeight="1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6809</v>
      </c>
      <c r="G565" s="103" t="s">
        <v>4330</v>
      </c>
      <c r="H565" s="103" t="s">
        <v>4331</v>
      </c>
      <c r="I565" s="103" t="s">
        <v>4343</v>
      </c>
      <c r="J565" s="149" t="s">
        <v>6810</v>
      </c>
      <c r="K565" s="149" t="s">
        <v>6811</v>
      </c>
      <c r="L565" s="149" t="s">
        <v>6812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6810</v>
      </c>
      <c r="AC565" s="149" t="s">
        <v>6811</v>
      </c>
      <c r="AD565" s="149" t="s">
        <v>6812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>IF(AY565-KD565=0,"",AY565-O565)</f>
        <v/>
      </c>
      <c r="BD565" s="103" t="str">
        <f>IF(AND(AI565&lt;&gt;"SIM",AI565="UH"),"AA","INDENIZAÇÃO")</f>
        <v>AA</v>
      </c>
      <c r="BE565" s="103" t="str">
        <f>IF(AND(AY565&lt;&gt;"AGUARDANDO",AY565&lt;&gt;"",N565="AUXÍLIO ALUGUEL ATÉ INDENIZAÇÃO"),"SIM","NÃO")</f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customHeight="1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6809</v>
      </c>
      <c r="G566" s="103" t="s">
        <v>4330</v>
      </c>
      <c r="H566" s="103" t="s">
        <v>4331</v>
      </c>
      <c r="I566" s="142" t="s">
        <v>4343</v>
      </c>
      <c r="J566" s="149" t="s">
        <v>6813</v>
      </c>
      <c r="K566" s="149" t="s">
        <v>6814</v>
      </c>
      <c r="L566" s="149" t="s">
        <v>6815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6813</v>
      </c>
      <c r="AC566" s="149" t="s">
        <v>6814</v>
      </c>
      <c r="AD566" s="149" t="s">
        <v>6815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>IF(AY566-KD566=0,"",AY566-O566)</f>
        <v/>
      </c>
      <c r="BD566" s="103" t="str">
        <f>IF(AND(AI566&lt;&gt;"SIM",AI566="UH"),"AA","INDENIZAÇÃO")</f>
        <v>AA</v>
      </c>
      <c r="BE566" s="103" t="str">
        <f>IF(AND(AY566&lt;&gt;"AGUARDANDO",AY566&lt;&gt;"",N566="AUXÍLIO ALUGUEL ATÉ INDENIZAÇÃO"),"SIM","NÃO")</f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customHeight="1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6816</v>
      </c>
      <c r="G567" s="103" t="s">
        <v>4330</v>
      </c>
      <c r="H567" s="103" t="s">
        <v>4331</v>
      </c>
      <c r="I567" s="103" t="s">
        <v>4343</v>
      </c>
      <c r="J567" s="149" t="s">
        <v>6817</v>
      </c>
      <c r="K567" s="149" t="s">
        <v>6818</v>
      </c>
      <c r="L567" s="149" t="s">
        <v>6819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6817</v>
      </c>
      <c r="AC567" s="149" t="s">
        <v>6818</v>
      </c>
      <c r="AD567" s="149" t="s">
        <v>6819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>IF(AY567-KD567=0,"",AY567-O567)</f>
        <v/>
      </c>
      <c r="BD567" s="103" t="str">
        <f>IF(AND(AI567&lt;&gt;"SIM",AI567="UH"),"AA","INDENIZAÇÃO")</f>
        <v>AA</v>
      </c>
      <c r="BE567" s="103" t="str">
        <f>IF(AND(AY567&lt;&gt;"AGUARDANDO",AY567&lt;&gt;"",N567="AUXÍLIO ALUGUEL ATÉ INDENIZAÇÃO"),"SIM","NÃO")</f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customHeight="1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6820</v>
      </c>
      <c r="G568" s="103" t="s">
        <v>4330</v>
      </c>
      <c r="H568" s="103" t="s">
        <v>4331</v>
      </c>
      <c r="I568" s="103" t="s">
        <v>4343</v>
      </c>
      <c r="J568" s="149" t="s">
        <v>6821</v>
      </c>
      <c r="K568" s="149" t="s">
        <v>6822</v>
      </c>
      <c r="L568" s="149" t="s">
        <v>6823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6821</v>
      </c>
      <c r="AC568" s="149" t="s">
        <v>6822</v>
      </c>
      <c r="AD568" s="149" t="s">
        <v>6823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>IF(AY568-KD568=0,"",AY568-O568)</f>
        <v/>
      </c>
      <c r="BD568" s="103" t="str">
        <f>IF(AND(AI568&lt;&gt;"SIM",AI568="UH"),"AA","INDENIZAÇÃO")</f>
        <v>AA</v>
      </c>
      <c r="BE568" s="103" t="str">
        <f>IF(AND(AY568&lt;&gt;"AGUARDANDO",AY568&lt;&gt;"",N568="AUXÍLIO ALUGUEL ATÉ INDENIZAÇÃO"),"SIM","NÃO")</f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customHeight="1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6824</v>
      </c>
      <c r="G569" s="103" t="s">
        <v>4330</v>
      </c>
      <c r="H569" s="103" t="s">
        <v>4331</v>
      </c>
      <c r="I569" s="103" t="s">
        <v>4343</v>
      </c>
      <c r="J569" s="149" t="s">
        <v>6825</v>
      </c>
      <c r="K569" s="149" t="s">
        <v>4432</v>
      </c>
      <c r="L569" s="149" t="s">
        <v>6826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6825</v>
      </c>
      <c r="AC569" s="149" t="s">
        <v>4432</v>
      </c>
      <c r="AD569" s="149" t="s">
        <v>6826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>IF(AY569-KD569=0,"",AY569-O569)</f>
        <v/>
      </c>
      <c r="BD569" s="103" t="str">
        <f>IF(AND(AI569&lt;&gt;"SIM",AI569="UH"),"AA","INDENIZAÇÃO")</f>
        <v>AA</v>
      </c>
      <c r="BE569" s="103" t="str">
        <f>IF(AND(AY569&lt;&gt;"AGUARDANDO",AY569&lt;&gt;"",N569="AUXÍLIO ALUGUEL ATÉ INDENIZAÇÃO"),"SIM","NÃO")</f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customHeight="1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6827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6828</v>
      </c>
      <c r="L570" s="149" t="s">
        <v>6829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6828</v>
      </c>
      <c r="AD570" s="149" t="s">
        <v>6829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>IF(AY570-KD570=0,"",AY570-O570)</f>
        <v/>
      </c>
      <c r="BD570" s="103" t="str">
        <f>IF(AND(AI570&lt;&gt;"SIM",AI570="UH"),"AA","INDENIZAÇÃO")</f>
        <v>AA</v>
      </c>
      <c r="BE570" s="103" t="str">
        <f>IF(AND(AY570&lt;&gt;"AGUARDANDO",AY570&lt;&gt;"",N570="AUXÍLIO ALUGUEL ATÉ INDENIZAÇÃO"),"SIM","NÃO")</f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customHeight="1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6830</v>
      </c>
      <c r="G571" s="103" t="s">
        <v>4330</v>
      </c>
      <c r="H571" s="103" t="s">
        <v>4331</v>
      </c>
      <c r="I571" s="103" t="s">
        <v>4343</v>
      </c>
      <c r="J571" s="149" t="s">
        <v>6831</v>
      </c>
      <c r="K571" s="149" t="s">
        <v>6832</v>
      </c>
      <c r="L571" s="149" t="s">
        <v>6833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6831</v>
      </c>
      <c r="AC571" s="149" t="s">
        <v>6832</v>
      </c>
      <c r="AD571" s="149" t="s">
        <v>6833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>IF(AY571-KD571=0,"",AY571-O571)</f>
        <v/>
      </c>
      <c r="BD571" s="103" t="str">
        <f>IF(AND(AI571&lt;&gt;"SIM",AI571="UH"),"AA","INDENIZAÇÃO")</f>
        <v>AA</v>
      </c>
      <c r="BE571" s="103" t="str">
        <f>IF(AND(AY571&lt;&gt;"AGUARDANDO",AY571&lt;&gt;"",N571="AUXÍLIO ALUGUEL ATÉ INDENIZAÇÃO"),"SIM","NÃO")</f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customHeight="1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6830</v>
      </c>
      <c r="G572" s="103" t="s">
        <v>4330</v>
      </c>
      <c r="H572" s="103" t="s">
        <v>4331</v>
      </c>
      <c r="I572" s="142" t="s">
        <v>4343</v>
      </c>
      <c r="J572" s="150" t="s">
        <v>6834</v>
      </c>
      <c r="K572" s="149" t="s">
        <v>6835</v>
      </c>
      <c r="L572" s="149" t="s">
        <v>6836</v>
      </c>
      <c r="M572" s="103" t="s">
        <v>4333</v>
      </c>
      <c r="N572" s="103" t="s">
        <v>4459</v>
      </c>
      <c r="O572" s="105">
        <v>46077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5"/>
      <c r="AB572" s="149" t="s">
        <v>6834</v>
      </c>
      <c r="AC572" s="149" t="s">
        <v>6835</v>
      </c>
      <c r="AD572" s="149" t="s">
        <v>6836</v>
      </c>
      <c r="AE572" s="103" t="s">
        <v>4343</v>
      </c>
      <c r="AF572" s="103" t="s">
        <v>4333</v>
      </c>
      <c r="AG572" s="194">
        <v>13868.89</v>
      </c>
      <c r="AH572" s="194">
        <f>AG572+30000</f>
        <v>43868.89</v>
      </c>
      <c r="AI572" s="103" t="s">
        <v>4336</v>
      </c>
      <c r="AJ572" s="104" t="s">
        <v>4438</v>
      </c>
      <c r="AK572" s="103">
        <v>150959517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6837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46182</v>
      </c>
      <c r="AY572" s="106">
        <v>46182</v>
      </c>
      <c r="AZ572" s="260" t="s">
        <v>4453</v>
      </c>
      <c r="BA572" s="245" t="s">
        <v>4454</v>
      </c>
      <c r="BB572" s="249" t="s">
        <v>4338</v>
      </c>
      <c r="BC572" s="220">
        <f>IF(AY572-KD572=0,"",AY572-O572)</f>
        <v>105</v>
      </c>
      <c r="BD572" s="103" t="str">
        <f>IF(AND(AI572&lt;&gt;"SIM",AI572="UH"),"AA","INDENIZAÇÃO")</f>
        <v>INDENIZAÇÃO</v>
      </c>
      <c r="BE572" s="103" t="str">
        <f>IF(AND(AY572&lt;&gt;"AGUARDANDO",AY572&lt;&gt;"",N572="AUXÍLIO ALUGUEL ATÉ INDENIZAÇÃO"),"SIM","NÃO")</f>
        <v>NÃO</v>
      </c>
      <c r="BF572" s="250" t="s">
        <v>4357</v>
      </c>
      <c r="BG572" s="250" t="s">
        <v>4357</v>
      </c>
      <c r="BH572" s="250" t="s">
        <v>4357</v>
      </c>
      <c r="BI572" s="251" t="s">
        <v>4912</v>
      </c>
      <c r="BJ572" s="154"/>
      <c r="BK572" s="154"/>
      <c r="BL572" s="154"/>
      <c r="BM572" s="237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customHeight="1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6838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4457</v>
      </c>
      <c r="L573" s="149" t="s">
        <v>6840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6839</v>
      </c>
      <c r="AC573" s="149" t="s">
        <v>4457</v>
      </c>
      <c r="AD573" s="149" t="s">
        <v>6840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>IF(AY573-KD573=0,"",AY573-O573)</f>
        <v/>
      </c>
      <c r="BD573" s="103" t="str">
        <f>IF(AND(AI573&lt;&gt;"SIM",AI573="UH"),"AA","INDENIZAÇÃO")</f>
        <v>AA</v>
      </c>
      <c r="BE573" s="103" t="str">
        <f>IF(AND(AY573&lt;&gt;"AGUARDANDO",AY573&lt;&gt;"",N573="AUXÍLIO ALUGUEL ATÉ INDENIZAÇÃO"),"SIM","NÃO")</f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customHeight="1">
      <c r="A574" s="165">
        <v>564</v>
      </c>
      <c r="B574" s="103" t="s">
        <v>4431</v>
      </c>
      <c r="C574" s="103" t="s">
        <v>4448</v>
      </c>
      <c r="D574" s="103">
        <v>1</v>
      </c>
      <c r="E574" s="103" t="s">
        <v>4432</v>
      </c>
      <c r="F574" s="104" t="s">
        <v>6841</v>
      </c>
      <c r="G574" s="103" t="s">
        <v>4330</v>
      </c>
      <c r="H574" s="103" t="s">
        <v>4331</v>
      </c>
      <c r="I574" s="142" t="s">
        <v>4343</v>
      </c>
      <c r="J574" s="149" t="s">
        <v>6842</v>
      </c>
      <c r="K574" s="149" t="s">
        <v>6843</v>
      </c>
      <c r="L574" s="149" t="s">
        <v>6844</v>
      </c>
      <c r="M574" s="103" t="s">
        <v>4333</v>
      </c>
      <c r="N574" s="103" t="s">
        <v>4459</v>
      </c>
      <c r="O574" s="108">
        <v>46076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05"/>
      <c r="AB574" s="149" t="s">
        <v>6842</v>
      </c>
      <c r="AC574" s="149" t="s">
        <v>6843</v>
      </c>
      <c r="AD574" s="149" t="s">
        <v>6844</v>
      </c>
      <c r="AE574" s="103" t="s">
        <v>4343</v>
      </c>
      <c r="AF574" s="103" t="s">
        <v>4333</v>
      </c>
      <c r="AG574" s="194">
        <v>26148.19</v>
      </c>
      <c r="AH574" s="194">
        <v>56148.19</v>
      </c>
      <c r="AI574" s="103" t="s">
        <v>4336</v>
      </c>
      <c r="AJ574" s="104" t="s">
        <v>4438</v>
      </c>
      <c r="AK574" s="103">
        <v>150959625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6845</v>
      </c>
      <c r="AQ574" s="103" t="s">
        <v>4338</v>
      </c>
      <c r="AR574" s="103" t="s">
        <v>4338</v>
      </c>
      <c r="AS574" s="103" t="s">
        <v>4338</v>
      </c>
      <c r="AT574" s="103" t="s">
        <v>4338</v>
      </c>
      <c r="AU574" s="105">
        <v>46118</v>
      </c>
      <c r="AV574" s="103" t="s">
        <v>4338</v>
      </c>
      <c r="AW574" s="103" t="s">
        <v>4338</v>
      </c>
      <c r="AX574" s="105">
        <v>46126</v>
      </c>
      <c r="AY574" s="106">
        <v>46126</v>
      </c>
      <c r="AZ574" s="106" t="s">
        <v>4453</v>
      </c>
      <c r="BA574" s="107" t="s">
        <v>4454</v>
      </c>
      <c r="BB574" s="136" t="s">
        <v>4338</v>
      </c>
      <c r="BC574" s="220">
        <f>IF(AY574-KD574=0,"",AY574-O574)</f>
        <v>50</v>
      </c>
      <c r="BD574" s="103" t="str">
        <f>IF(AND(AI574&lt;&gt;"SIM",AI574="UH"),"AA","INDENIZAÇÃO")</f>
        <v>INDENIZAÇÃO</v>
      </c>
      <c r="BE574" s="103" t="str">
        <f>IF(AND(AY574&lt;&gt;"AGUARDANDO",AY574&lt;&gt;"",N574="AUXÍLIO ALUGUEL ATÉ INDENIZAÇÃO"),"SIM","NÃO")</f>
        <v>NÃO</v>
      </c>
      <c r="BF574" s="112" t="s">
        <v>4357</v>
      </c>
      <c r="BG574" s="112" t="s">
        <v>4357</v>
      </c>
      <c r="BH574" s="112" t="s">
        <v>4357</v>
      </c>
      <c r="BI574" s="109" t="s">
        <v>4912</v>
      </c>
      <c r="BJ574" s="109"/>
      <c r="BK574" s="109"/>
      <c r="BL574" s="109"/>
      <c r="BM574" s="239"/>
    </row>
    <row r="575" spans="1:107" ht="30" customHeight="1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6841</v>
      </c>
      <c r="G575" s="103" t="s">
        <v>4330</v>
      </c>
      <c r="H575" s="103" t="s">
        <v>4331</v>
      </c>
      <c r="I575" s="142" t="s">
        <v>4343</v>
      </c>
      <c r="J575" s="149" t="s">
        <v>6846</v>
      </c>
      <c r="K575" s="149" t="s">
        <v>6847</v>
      </c>
      <c r="L575" s="149" t="s">
        <v>6848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4347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customHeight="1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customHeight="1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6853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customHeight="1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customHeight="1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14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6862</v>
      </c>
      <c r="AC579" s="149" t="s">
        <v>6863</v>
      </c>
      <c r="AD579" s="149" t="s">
        <v>6864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6865</v>
      </c>
      <c r="G580" s="103" t="s">
        <v>4351</v>
      </c>
      <c r="H580" s="103" t="s">
        <v>6486</v>
      </c>
      <c r="I580" s="153" t="s">
        <v>4332</v>
      </c>
      <c r="J580" s="149" t="s">
        <v>6866</v>
      </c>
      <c r="K580" s="149" t="s">
        <v>6867</v>
      </c>
      <c r="L580" s="149" t="s">
        <v>6868</v>
      </c>
      <c r="M580" s="103" t="s">
        <v>4333</v>
      </c>
      <c r="N580" s="103" t="s">
        <v>4459</v>
      </c>
      <c r="O580" s="105">
        <v>46066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6866</v>
      </c>
      <c r="AC580" s="204" t="s">
        <v>6867</v>
      </c>
      <c r="AD580" s="204" t="s">
        <v>6868</v>
      </c>
      <c r="AE580" s="218" t="s">
        <v>4332</v>
      </c>
      <c r="AF580" s="165" t="s">
        <v>4333</v>
      </c>
      <c r="AG580" s="208">
        <v>25687.49</v>
      </c>
      <c r="AH580" s="208">
        <v>25687.49</v>
      </c>
      <c r="AI580" s="165" t="s">
        <v>4336</v>
      </c>
      <c r="AJ580" s="104" t="s">
        <v>4438</v>
      </c>
      <c r="AK580" s="103">
        <v>150614018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6869</v>
      </c>
      <c r="AQ580" s="112" t="s">
        <v>4338</v>
      </c>
      <c r="AR580" s="112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46170</v>
      </c>
      <c r="AY580" s="106">
        <v>46170</v>
      </c>
      <c r="AZ580" s="106" t="s">
        <v>4453</v>
      </c>
      <c r="BA580" s="245" t="s">
        <v>4454</v>
      </c>
      <c r="BB580" s="249" t="s">
        <v>4338</v>
      </c>
      <c r="BC580" s="220">
        <f>IF(AY580-KD580=0,"",AY580-O580)</f>
        <v>104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250" t="s">
        <v>4357</v>
      </c>
      <c r="BG580" s="250" t="s">
        <v>4357</v>
      </c>
      <c r="BH580" s="250" t="s">
        <v>4357</v>
      </c>
      <c r="BI580" s="251" t="s">
        <v>4912</v>
      </c>
      <c r="BJ580" s="154"/>
      <c r="BK580" s="154"/>
      <c r="BL580" s="154"/>
      <c r="BM580" s="237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customHeight="1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6870</v>
      </c>
      <c r="G581" s="103" t="s">
        <v>4330</v>
      </c>
      <c r="H581" s="103" t="s">
        <v>4331</v>
      </c>
      <c r="I581" s="246" t="s">
        <v>4343</v>
      </c>
      <c r="J581" s="149" t="s">
        <v>6871</v>
      </c>
      <c r="K581" s="149" t="s">
        <v>6872</v>
      </c>
      <c r="L581" s="149" t="s">
        <v>6873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6871</v>
      </c>
      <c r="AC581" s="149" t="s">
        <v>6872</v>
      </c>
      <c r="AD581" s="149" t="s">
        <v>6873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customHeight="1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6874</v>
      </c>
      <c r="G582" s="103" t="s">
        <v>4330</v>
      </c>
      <c r="H582" s="103" t="s">
        <v>4331</v>
      </c>
      <c r="I582" s="246" t="s">
        <v>4343</v>
      </c>
      <c r="J582" s="149" t="s">
        <v>6875</v>
      </c>
      <c r="K582" s="149" t="s">
        <v>6876</v>
      </c>
      <c r="L582" s="149" t="s">
        <v>6877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customHeight="1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103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customHeight="1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103" t="s">
        <v>4343</v>
      </c>
      <c r="J584" s="114" t="s">
        <v>6883</v>
      </c>
      <c r="K584" s="149" t="s">
        <v>4457</v>
      </c>
      <c r="L584" s="149" t="s">
        <v>6884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6883</v>
      </c>
      <c r="AC584" s="149" t="s">
        <v>4457</v>
      </c>
      <c r="AD584" s="149" t="s">
        <v>6884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customHeight="1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6885</v>
      </c>
      <c r="G585" s="103" t="s">
        <v>4330</v>
      </c>
      <c r="H585" s="103" t="s">
        <v>4331</v>
      </c>
      <c r="I585" s="103" t="s">
        <v>4343</v>
      </c>
      <c r="J585" s="114" t="s">
        <v>6886</v>
      </c>
      <c r="K585" s="149" t="s">
        <v>4457</v>
      </c>
      <c r="L585" s="149" t="s">
        <v>6887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6886</v>
      </c>
      <c r="AC585" s="149" t="s">
        <v>4457</v>
      </c>
      <c r="AD585" s="149" t="s">
        <v>6887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customHeight="1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6888</v>
      </c>
      <c r="G586" s="103" t="s">
        <v>4330</v>
      </c>
      <c r="H586" s="103" t="s">
        <v>4331</v>
      </c>
      <c r="I586" s="142" t="s">
        <v>4343</v>
      </c>
      <c r="J586" s="114" t="s">
        <v>6889</v>
      </c>
      <c r="K586" s="149" t="s">
        <v>6890</v>
      </c>
      <c r="L586" s="149" t="s">
        <v>6891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6889</v>
      </c>
      <c r="AC586" s="149" t="s">
        <v>6890</v>
      </c>
      <c r="AD586" s="149" t="s">
        <v>6891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>
      <c r="A587" s="165">
        <v>577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6892</v>
      </c>
      <c r="G587" s="103" t="s">
        <v>4330</v>
      </c>
      <c r="H587" s="103" t="s">
        <v>4331</v>
      </c>
      <c r="I587" s="142" t="s">
        <v>4343</v>
      </c>
      <c r="J587" s="149" t="s">
        <v>6893</v>
      </c>
      <c r="K587" s="149" t="s">
        <v>6894</v>
      </c>
      <c r="L587" s="149" t="s">
        <v>6895</v>
      </c>
      <c r="M587" s="103" t="s">
        <v>4333</v>
      </c>
      <c r="N587" s="103" t="s">
        <v>4459</v>
      </c>
      <c r="O587" s="105">
        <v>46129</v>
      </c>
      <c r="P587" s="105" t="s">
        <v>4356</v>
      </c>
      <c r="Q587" s="105" t="s">
        <v>4356</v>
      </c>
      <c r="R587" s="105" t="s">
        <v>4356</v>
      </c>
      <c r="S587" s="105" t="s">
        <v>4356</v>
      </c>
      <c r="T587" s="105" t="s">
        <v>4356</v>
      </c>
      <c r="U587" s="105" t="s">
        <v>4356</v>
      </c>
      <c r="V587" s="105" t="s">
        <v>4356</v>
      </c>
      <c r="W587" s="105" t="s">
        <v>4356</v>
      </c>
      <c r="X587" s="105" t="s">
        <v>4356</v>
      </c>
      <c r="Y587" s="105" t="s">
        <v>4356</v>
      </c>
      <c r="Z587" s="105"/>
      <c r="AA587" s="105"/>
      <c r="AB587" s="149" t="s">
        <v>6893</v>
      </c>
      <c r="AC587" s="149" t="s">
        <v>6894</v>
      </c>
      <c r="AD587" s="149" t="s">
        <v>6895</v>
      </c>
      <c r="AE587" s="103" t="s">
        <v>4343</v>
      </c>
      <c r="AF587" s="103" t="s">
        <v>4333</v>
      </c>
      <c r="AG587" s="194">
        <v>55469.48</v>
      </c>
      <c r="AH587" s="194">
        <v>60000</v>
      </c>
      <c r="AI587" s="103" t="s">
        <v>4336</v>
      </c>
      <c r="AJ587" s="104" t="s">
        <v>4438</v>
      </c>
      <c r="AK587" s="103">
        <v>151143591</v>
      </c>
      <c r="AL587" s="142" t="s">
        <v>4338</v>
      </c>
      <c r="AM587" s="103" t="s">
        <v>4338</v>
      </c>
      <c r="AN587" s="103" t="s">
        <v>4339</v>
      </c>
      <c r="AO587" s="103"/>
      <c r="AP587" s="273" t="s">
        <v>6896</v>
      </c>
      <c r="AQ587" s="143" t="s">
        <v>4338</v>
      </c>
      <c r="AR587" s="103" t="s">
        <v>4338</v>
      </c>
      <c r="AS587" s="103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06"/>
      <c r="BA587" s="107" t="s">
        <v>4330</v>
      </c>
      <c r="BB587" s="136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40"/>
      <c r="BG587" s="140"/>
      <c r="BH587" s="140"/>
      <c r="BI587" s="140"/>
      <c r="BJ587" s="140"/>
      <c r="BK587" s="140"/>
      <c r="BL587" s="140"/>
      <c r="BM587" s="238"/>
    </row>
    <row r="588" spans="1:107" ht="30" customHeight="1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6897</v>
      </c>
      <c r="G588" s="103" t="s">
        <v>4330</v>
      </c>
      <c r="H588" s="103" t="s">
        <v>4331</v>
      </c>
      <c r="I588" s="142" t="s">
        <v>4343</v>
      </c>
      <c r="J588" s="114" t="s">
        <v>6898</v>
      </c>
      <c r="K588" s="149" t="s">
        <v>6899</v>
      </c>
      <c r="L588" s="149" t="s">
        <v>6900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6898</v>
      </c>
      <c r="AC588" s="149" t="s">
        <v>6899</v>
      </c>
      <c r="AD588" s="149" t="s">
        <v>6900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4347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customHeight="1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6901</v>
      </c>
      <c r="G589" s="103" t="s">
        <v>4330</v>
      </c>
      <c r="H589" s="103" t="s">
        <v>4331</v>
      </c>
      <c r="I589" s="142" t="s">
        <v>4343</v>
      </c>
      <c r="J589" s="149" t="s">
        <v>6902</v>
      </c>
      <c r="K589" s="149" t="s">
        <v>6903</v>
      </c>
      <c r="L589" s="149" t="s">
        <v>6904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6902</v>
      </c>
      <c r="AC589" s="149" t="s">
        <v>6903</v>
      </c>
      <c r="AD589" s="149" t="s">
        <v>6904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customHeight="1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6905</v>
      </c>
      <c r="G590" s="103" t="s">
        <v>4330</v>
      </c>
      <c r="H590" s="103" t="s">
        <v>4331</v>
      </c>
      <c r="I590" s="142" t="s">
        <v>4343</v>
      </c>
      <c r="J590" s="114" t="s">
        <v>6906</v>
      </c>
      <c r="K590" s="149" t="s">
        <v>6907</v>
      </c>
      <c r="L590" s="149" t="s">
        <v>6908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6906</v>
      </c>
      <c r="AC590" s="149" t="s">
        <v>6907</v>
      </c>
      <c r="AD590" s="149" t="s">
        <v>6908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customHeight="1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6909</v>
      </c>
      <c r="G591" s="103" t="s">
        <v>4330</v>
      </c>
      <c r="H591" s="103" t="s">
        <v>4331</v>
      </c>
      <c r="I591" s="142" t="s">
        <v>4343</v>
      </c>
      <c r="J591" s="114" t="s">
        <v>6910</v>
      </c>
      <c r="K591" s="149" t="s">
        <v>6911</v>
      </c>
      <c r="L591" s="149" t="s">
        <v>6912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6910</v>
      </c>
      <c r="AC591" s="149" t="s">
        <v>6911</v>
      </c>
      <c r="AD591" s="149" t="s">
        <v>6912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 t="s">
        <v>4337</v>
      </c>
      <c r="AM591" s="103" t="s">
        <v>4338</v>
      </c>
      <c r="AN591" s="103" t="s">
        <v>4368</v>
      </c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customHeight="1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6913</v>
      </c>
      <c r="G592" s="103" t="s">
        <v>4330</v>
      </c>
      <c r="H592" s="103" t="s">
        <v>4331</v>
      </c>
      <c r="I592" s="142" t="s">
        <v>4343</v>
      </c>
      <c r="J592" s="114" t="s">
        <v>6914</v>
      </c>
      <c r="K592" s="149"/>
      <c r="L592" s="149" t="s">
        <v>6915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customHeight="1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6916</v>
      </c>
      <c r="G593" s="103" t="s">
        <v>4330</v>
      </c>
      <c r="H593" s="103" t="s">
        <v>4331</v>
      </c>
      <c r="I593" s="142" t="s">
        <v>4343</v>
      </c>
      <c r="J593" s="149" t="s">
        <v>6917</v>
      </c>
      <c r="K593" s="149" t="s">
        <v>6918</v>
      </c>
      <c r="L593" s="149" t="s">
        <v>6919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6917</v>
      </c>
      <c r="AC593" s="149" t="s">
        <v>6918</v>
      </c>
      <c r="AD593" s="149" t="s">
        <v>6919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6920</v>
      </c>
      <c r="G594" s="103" t="s">
        <v>4330</v>
      </c>
      <c r="H594" s="103" t="s">
        <v>4331</v>
      </c>
      <c r="I594" s="142" t="s">
        <v>4343</v>
      </c>
      <c r="J594" s="149" t="s">
        <v>6921</v>
      </c>
      <c r="K594" s="149" t="s">
        <v>6922</v>
      </c>
      <c r="L594" s="149" t="s">
        <v>6923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6921</v>
      </c>
      <c r="AC594" s="204" t="s">
        <v>6922</v>
      </c>
      <c r="AD594" s="204" t="s">
        <v>6923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6924</v>
      </c>
      <c r="AQ594" s="143" t="s">
        <v>4338</v>
      </c>
      <c r="AR594" s="103" t="s">
        <v>4338</v>
      </c>
      <c r="AS594" s="103" t="s">
        <v>4822</v>
      </c>
      <c r="AT594" s="103" t="s">
        <v>4822</v>
      </c>
      <c r="AU594" s="105">
        <v>46233</v>
      </c>
      <c r="AV594" s="106" t="s">
        <v>6925</v>
      </c>
      <c r="AW594" s="106"/>
      <c r="AX594" s="106"/>
      <c r="AY594" s="157"/>
      <c r="AZ594" s="106"/>
      <c r="BA594" s="107" t="s">
        <v>4330</v>
      </c>
      <c r="BB594" s="136"/>
      <c r="BC594" s="220" t="str">
        <f>IF(AY594-KD594=0,"",AY594-O594)</f>
        <v/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customHeight="1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6926</v>
      </c>
      <c r="G595" s="103" t="s">
        <v>4330</v>
      </c>
      <c r="H595" s="103" t="s">
        <v>4331</v>
      </c>
      <c r="I595" s="142" t="s">
        <v>4343</v>
      </c>
      <c r="J595" s="149" t="s">
        <v>6927</v>
      </c>
      <c r="K595" s="149" t="s">
        <v>6928</v>
      </c>
      <c r="L595" s="149" t="s">
        <v>6929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6927</v>
      </c>
      <c r="AC595" s="149" t="s">
        <v>6928</v>
      </c>
      <c r="AD595" s="149" t="s">
        <v>6929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>IF(AY595-KD595=0,"",AY595-O595)</f>
        <v/>
      </c>
      <c r="BD595" s="103" t="str">
        <f>IF(AND(AI595&lt;&gt;"SIM",AI595="UH"),"AA","INDENIZAÇÃO")</f>
        <v>AA</v>
      </c>
      <c r="BE595" s="103" t="str">
        <f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6930</v>
      </c>
      <c r="G596" s="103" t="s">
        <v>4330</v>
      </c>
      <c r="H596" s="103" t="s">
        <v>4331</v>
      </c>
      <c r="I596" s="142" t="s">
        <v>4343</v>
      </c>
      <c r="J596" s="149" t="s">
        <v>6931</v>
      </c>
      <c r="K596" s="149" t="s">
        <v>6932</v>
      </c>
      <c r="L596" s="149" t="s">
        <v>6933</v>
      </c>
      <c r="M596" s="103" t="s">
        <v>4333</v>
      </c>
      <c r="N596" s="103" t="s">
        <v>4459</v>
      </c>
      <c r="O596" s="105">
        <v>46001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5"/>
      <c r="AB596" s="149" t="s">
        <v>6931</v>
      </c>
      <c r="AC596" s="149" t="s">
        <v>6932</v>
      </c>
      <c r="AD596" s="149" t="s">
        <v>6933</v>
      </c>
      <c r="AE596" s="103" t="s">
        <v>4343</v>
      </c>
      <c r="AF596" s="103" t="s">
        <v>4333</v>
      </c>
      <c r="AG596" s="194">
        <v>28530.17</v>
      </c>
      <c r="AH596" s="194">
        <f>AG596+30000</f>
        <v>58530.17</v>
      </c>
      <c r="AI596" s="103" t="s">
        <v>4336</v>
      </c>
      <c r="AJ596" s="104" t="s">
        <v>4438</v>
      </c>
      <c r="AK596" s="103">
        <v>146670504</v>
      </c>
      <c r="AL596" s="103" t="s">
        <v>4338</v>
      </c>
      <c r="AM596" s="103" t="s">
        <v>4338</v>
      </c>
      <c r="AN596" s="103" t="s">
        <v>4339</v>
      </c>
      <c r="AO596" s="112"/>
      <c r="AP596" s="171" t="s">
        <v>6934</v>
      </c>
      <c r="AQ596" s="302" t="s">
        <v>4338</v>
      </c>
      <c r="AR596" s="103" t="s">
        <v>4338</v>
      </c>
      <c r="AS596" s="103" t="s">
        <v>4338</v>
      </c>
      <c r="AT596" s="103" t="s">
        <v>4338</v>
      </c>
      <c r="AU596" s="108">
        <v>46017</v>
      </c>
      <c r="AV596" s="112" t="s">
        <v>4338</v>
      </c>
      <c r="AW596" s="103" t="s">
        <v>4338</v>
      </c>
      <c r="AX596" s="166">
        <v>46024</v>
      </c>
      <c r="AY596" s="106">
        <v>46024</v>
      </c>
      <c r="AZ596" s="157" t="s">
        <v>4453</v>
      </c>
      <c r="BA596" s="107" t="s">
        <v>4454</v>
      </c>
      <c r="BB596" s="136" t="s">
        <v>4338</v>
      </c>
      <c r="BC596" s="220">
        <f>IF(AY596-KD596=0,"",AY596-O596)</f>
        <v>23</v>
      </c>
      <c r="BD596" s="103" t="str">
        <f>IF(AND(AI596&lt;&gt;"SIM",AI596="UH"),"AA","INDENIZAÇÃO")</f>
        <v>INDENIZAÇÃO</v>
      </c>
      <c r="BE596" s="103" t="str">
        <f>IF(AND(AY596&lt;&gt;"AGUARDANDO",AY596&lt;&gt;"",N596="AUXÍLIO ALUGUEL ATÉ INDENIZAÇÃO"),"SIM","NÃO")</f>
        <v>NÃO</v>
      </c>
      <c r="BF596" s="140" t="s">
        <v>4357</v>
      </c>
      <c r="BG596" s="140" t="s">
        <v>4357</v>
      </c>
      <c r="BH596" s="140" t="s">
        <v>4357</v>
      </c>
      <c r="BI596" s="154" t="s">
        <v>4912</v>
      </c>
      <c r="BJ596" s="154"/>
      <c r="BK596" s="154"/>
      <c r="BL596" s="154"/>
      <c r="BM596" s="237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customHeight="1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6935</v>
      </c>
      <c r="G597" s="103" t="s">
        <v>4330</v>
      </c>
      <c r="H597" s="103" t="s">
        <v>4331</v>
      </c>
      <c r="I597" s="142" t="s">
        <v>4343</v>
      </c>
      <c r="J597" s="150" t="s">
        <v>6936</v>
      </c>
      <c r="K597" s="149" t="s">
        <v>6937</v>
      </c>
      <c r="L597" s="149" t="s">
        <v>6938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6936</v>
      </c>
      <c r="AC597" s="149" t="s">
        <v>6937</v>
      </c>
      <c r="AD597" s="149" t="s">
        <v>6938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>IF(AY597-KD597=0,"",AY597-O597)</f>
        <v/>
      </c>
      <c r="BD597" s="103" t="str">
        <f>IF(AND(AI597&lt;&gt;"SIM",AI597="UH"),"AA","INDENIZAÇÃO")</f>
        <v>AA</v>
      </c>
      <c r="BE597" s="103" t="str">
        <f>IF(AND(AY597&lt;&gt;"AGUARDANDO",AY597&lt;&gt;"",N597="AUXÍLIO ALUGUEL ATÉ INDENIZAÇÃO"),"SIM","NÃO")</f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customHeight="1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6939</v>
      </c>
      <c r="G598" s="103" t="s">
        <v>4330</v>
      </c>
      <c r="H598" s="103" t="s">
        <v>4331</v>
      </c>
      <c r="I598" s="142" t="s">
        <v>4343</v>
      </c>
      <c r="J598" s="114" t="s">
        <v>6940</v>
      </c>
      <c r="K598" s="149" t="s">
        <v>6941</v>
      </c>
      <c r="L598" s="149" t="s">
        <v>6942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6940</v>
      </c>
      <c r="AC598" s="149" t="s">
        <v>6941</v>
      </c>
      <c r="AD598" s="149" t="s">
        <v>6942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>IF(AY598-KD598=0,"",AY598-O598)</f>
        <v/>
      </c>
      <c r="BD598" s="103" t="str">
        <f>IF(AND(AI598&lt;&gt;"SIM",AI598="UH"),"AA","INDENIZAÇÃO")</f>
        <v>AA</v>
      </c>
      <c r="BE598" s="103" t="str">
        <f>IF(AND(AY598&lt;&gt;"AGUARDANDO",AY598&lt;&gt;"",N598="AUXÍLIO ALUGUEL ATÉ INDENIZAÇÃO"),"SIM","NÃO")</f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customHeight="1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6943</v>
      </c>
      <c r="G599" s="103" t="s">
        <v>4330</v>
      </c>
      <c r="H599" s="103" t="s">
        <v>4331</v>
      </c>
      <c r="I599" s="142" t="s">
        <v>4343</v>
      </c>
      <c r="J599" s="149" t="s">
        <v>6944</v>
      </c>
      <c r="K599" s="149" t="s">
        <v>6945</v>
      </c>
      <c r="L599" s="149" t="s">
        <v>6946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6944</v>
      </c>
      <c r="AC599" s="149" t="s">
        <v>6945</v>
      </c>
      <c r="AD599" s="149" t="s">
        <v>6946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>IF(AY599-KD599=0,"",AY599-O599)</f>
        <v/>
      </c>
      <c r="BD599" s="103" t="str">
        <f>IF(AND(AI599&lt;&gt;"SIM",AI599="UH"),"AA","INDENIZAÇÃO")</f>
        <v>AA</v>
      </c>
      <c r="BE599" s="103" t="str">
        <f>IF(AND(AY599&lt;&gt;"AGUARDANDO",AY599&lt;&gt;"",N599="AUXÍLIO ALUGUEL ATÉ INDENIZAÇÃO"),"SIM","NÃO")</f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customHeight="1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6947</v>
      </c>
      <c r="G600" s="103" t="s">
        <v>4330</v>
      </c>
      <c r="H600" s="103" t="s">
        <v>4331</v>
      </c>
      <c r="I600" s="142" t="s">
        <v>4343</v>
      </c>
      <c r="J600" s="149" t="s">
        <v>6948</v>
      </c>
      <c r="K600" s="149" t="s">
        <v>6949</v>
      </c>
      <c r="L600" s="149" t="s">
        <v>6950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6948</v>
      </c>
      <c r="AC600" s="149" t="s">
        <v>6949</v>
      </c>
      <c r="AD600" s="149" t="s">
        <v>6950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>IF(AY600-KD600=0,"",AY600-O600)</f>
        <v/>
      </c>
      <c r="BD600" s="103" t="str">
        <f>IF(AND(AI600&lt;&gt;"SIM",AI600="UH"),"AA","INDENIZAÇÃO")</f>
        <v>AA</v>
      </c>
      <c r="BE600" s="103" t="str">
        <f>IF(AND(AY600&lt;&gt;"AGUARDANDO",AY600&lt;&gt;"",N600="AUXÍLIO ALUGUEL ATÉ INDENIZAÇÃO"),"SIM","NÃO")</f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customHeight="1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6951</v>
      </c>
      <c r="G601" s="103" t="s">
        <v>4330</v>
      </c>
      <c r="H601" s="103" t="s">
        <v>4331</v>
      </c>
      <c r="I601" s="142" t="s">
        <v>4343</v>
      </c>
      <c r="J601" s="149" t="s">
        <v>6952</v>
      </c>
      <c r="K601" s="149" t="s">
        <v>6953</v>
      </c>
      <c r="L601" s="149" t="s">
        <v>6954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6952</v>
      </c>
      <c r="AC601" s="149" t="s">
        <v>6953</v>
      </c>
      <c r="AD601" s="149" t="s">
        <v>6954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>IF(AY601-KD601=0,"",AY601-O601)</f>
        <v/>
      </c>
      <c r="BD601" s="103" t="str">
        <f>IF(AND(AI601&lt;&gt;"SIM",AI601="UH"),"AA","INDENIZAÇÃO")</f>
        <v>AA</v>
      </c>
      <c r="BE601" s="103" t="str">
        <f>IF(AND(AY601&lt;&gt;"AGUARDANDO",AY601&lt;&gt;"",N601="AUXÍLIO ALUGUEL ATÉ INDENIZAÇÃO"),"SIM","NÃO")</f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customHeight="1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6955</v>
      </c>
      <c r="G602" s="103" t="s">
        <v>4330</v>
      </c>
      <c r="H602" s="103" t="s">
        <v>4331</v>
      </c>
      <c r="I602" s="142" t="s">
        <v>4343</v>
      </c>
      <c r="J602" s="149" t="s">
        <v>6956</v>
      </c>
      <c r="K602" s="149" t="s">
        <v>6957</v>
      </c>
      <c r="L602" s="149" t="s">
        <v>6958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6956</v>
      </c>
      <c r="AC602" s="149" t="s">
        <v>6957</v>
      </c>
      <c r="AD602" s="149" t="s">
        <v>6958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>IF(AY602-KD602=0,"",AY602-O602)</f>
        <v/>
      </c>
      <c r="BD602" s="103" t="str">
        <f>IF(AND(AI602&lt;&gt;"SIM",AI602="UH"),"AA","INDENIZAÇÃO")</f>
        <v>AA</v>
      </c>
      <c r="BE602" s="103" t="str">
        <f>IF(AND(AY602&lt;&gt;"AGUARDANDO",AY602&lt;&gt;"",N602="AUXÍLIO ALUGUEL ATÉ INDENIZAÇÃO"),"SIM","NÃO")</f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customHeight="1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6959</v>
      </c>
      <c r="G603" s="103" t="s">
        <v>4330</v>
      </c>
      <c r="H603" s="103" t="s">
        <v>4331</v>
      </c>
      <c r="I603" s="142" t="s">
        <v>4343</v>
      </c>
      <c r="J603" s="149" t="s">
        <v>6960</v>
      </c>
      <c r="K603" s="149" t="s">
        <v>6961</v>
      </c>
      <c r="L603" s="149" t="s">
        <v>6962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6960</v>
      </c>
      <c r="AC603" s="149" t="s">
        <v>6961</v>
      </c>
      <c r="AD603" s="149" t="s">
        <v>6962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>IF(AY603-KD603=0,"",AY603-O603)</f>
        <v/>
      </c>
      <c r="BD603" s="103" t="str">
        <f>IF(AND(AI603&lt;&gt;"SIM",AI603="UH"),"AA","INDENIZAÇÃO")</f>
        <v>AA</v>
      </c>
      <c r="BE603" s="103" t="str">
        <f>IF(AND(AY603&lt;&gt;"AGUARDANDO",AY603&lt;&gt;"",N603="AUXÍLIO ALUGUEL ATÉ INDENIZAÇÃO"),"SIM","NÃO")</f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customHeight="1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6963</v>
      </c>
      <c r="G604" s="103" t="s">
        <v>4330</v>
      </c>
      <c r="H604" s="103" t="s">
        <v>4331</v>
      </c>
      <c r="I604" s="142" t="s">
        <v>4343</v>
      </c>
      <c r="J604" s="149" t="s">
        <v>6964</v>
      </c>
      <c r="K604" s="149" t="s">
        <v>6965</v>
      </c>
      <c r="L604" s="149" t="s">
        <v>6966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customHeight="1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6967</v>
      </c>
      <c r="G605" s="103" t="s">
        <v>4330</v>
      </c>
      <c r="H605" s="103" t="s">
        <v>4331</v>
      </c>
      <c r="I605" s="142" t="s">
        <v>4343</v>
      </c>
      <c r="J605" s="149" t="s">
        <v>6968</v>
      </c>
      <c r="K605" s="149" t="s">
        <v>6969</v>
      </c>
      <c r="L605" s="149" t="s">
        <v>6970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customHeight="1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6971</v>
      </c>
      <c r="G606" s="103" t="s">
        <v>4330</v>
      </c>
      <c r="H606" s="103" t="s">
        <v>4331</v>
      </c>
      <c r="I606" s="142" t="s">
        <v>4343</v>
      </c>
      <c r="J606" s="149" t="s">
        <v>6972</v>
      </c>
      <c r="K606" s="149" t="s">
        <v>6973</v>
      </c>
      <c r="L606" s="149" t="s">
        <v>6974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6972</v>
      </c>
      <c r="AC606" s="149" t="s">
        <v>6973</v>
      </c>
      <c r="AD606" s="149" t="s">
        <v>6974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customHeight="1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6975</v>
      </c>
      <c r="G607" s="103" t="s">
        <v>4330</v>
      </c>
      <c r="H607" s="103" t="s">
        <v>4331</v>
      </c>
      <c r="I607" s="142" t="s">
        <v>4343</v>
      </c>
      <c r="J607" s="149" t="s">
        <v>6976</v>
      </c>
      <c r="K607" s="149" t="s">
        <v>6977</v>
      </c>
      <c r="L607" s="149" t="s">
        <v>6978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6979</v>
      </c>
      <c r="G608" s="112" t="s">
        <v>4341</v>
      </c>
      <c r="H608" s="103" t="s">
        <v>6486</v>
      </c>
      <c r="I608" s="153" t="s">
        <v>4332</v>
      </c>
      <c r="J608" s="149" t="s">
        <v>6980</v>
      </c>
      <c r="K608" s="149" t="s">
        <v>6981</v>
      </c>
      <c r="L608" s="149" t="s">
        <v>6982</v>
      </c>
      <c r="M608" s="103" t="s">
        <v>4333</v>
      </c>
      <c r="N608" s="103" t="s">
        <v>4459</v>
      </c>
      <c r="O608" s="105">
        <v>46045</v>
      </c>
      <c r="P608" s="105" t="s">
        <v>4356</v>
      </c>
      <c r="Q608" s="105" t="s">
        <v>4356</v>
      </c>
      <c r="R608" s="105" t="s">
        <v>4356</v>
      </c>
      <c r="S608" s="105" t="s">
        <v>4356</v>
      </c>
      <c r="T608" s="105" t="s">
        <v>4356</v>
      </c>
      <c r="U608" s="105" t="s">
        <v>4356</v>
      </c>
      <c r="V608" s="105" t="s">
        <v>4356</v>
      </c>
      <c r="W608" s="105" t="s">
        <v>4356</v>
      </c>
      <c r="X608" s="105" t="s">
        <v>4356</v>
      </c>
      <c r="Y608" s="105" t="s">
        <v>4356</v>
      </c>
      <c r="Z608" s="105"/>
      <c r="AA608" s="105"/>
      <c r="AB608" s="149" t="s">
        <v>6980</v>
      </c>
      <c r="AC608" s="149" t="s">
        <v>6981</v>
      </c>
      <c r="AD608" s="149" t="s">
        <v>6982</v>
      </c>
      <c r="AE608" s="153" t="s">
        <v>4332</v>
      </c>
      <c r="AF608" s="103" t="s">
        <v>4333</v>
      </c>
      <c r="AG608" s="194">
        <v>23244.14</v>
      </c>
      <c r="AH608" s="194">
        <f>AG608+30000</f>
        <v>53244.14</v>
      </c>
      <c r="AI608" s="103" t="s">
        <v>4336</v>
      </c>
      <c r="AJ608" s="104" t="s">
        <v>4438</v>
      </c>
      <c r="AK608" s="103">
        <v>146670595</v>
      </c>
      <c r="AL608" s="103" t="s">
        <v>4338</v>
      </c>
      <c r="AM608" s="103" t="s">
        <v>4338</v>
      </c>
      <c r="AN608" s="103" t="s">
        <v>4339</v>
      </c>
      <c r="AO608" s="103"/>
      <c r="AP608" s="171" t="s">
        <v>6983</v>
      </c>
      <c r="AQ608" s="165" t="s">
        <v>4338</v>
      </c>
      <c r="AR608" s="103" t="s">
        <v>4338</v>
      </c>
      <c r="AS608" s="103" t="s">
        <v>4338</v>
      </c>
      <c r="AT608" s="103" t="s">
        <v>4338</v>
      </c>
      <c r="AU608" s="105">
        <v>46127</v>
      </c>
      <c r="AV608" s="103" t="s">
        <v>4338</v>
      </c>
      <c r="AW608" s="103" t="s">
        <v>4338</v>
      </c>
      <c r="AX608" s="105">
        <v>46139</v>
      </c>
      <c r="AY608" s="106">
        <v>46139</v>
      </c>
      <c r="AZ608" s="106" t="s">
        <v>4453</v>
      </c>
      <c r="BA608" s="107" t="s">
        <v>4454</v>
      </c>
      <c r="BB608" s="136" t="s">
        <v>4338</v>
      </c>
      <c r="BC608" s="220">
        <f>IF(AY608-KD608=0,"",AY608-O608)</f>
        <v>94</v>
      </c>
      <c r="BD608" s="103" t="str">
        <f>IF(AND(AI608&lt;&gt;"SIM",AI608="UH"),"AA","INDENIZAÇÃO")</f>
        <v>INDENIZAÇÃO</v>
      </c>
      <c r="BE608" s="103" t="str">
        <f>IF(AND(AY608&lt;&gt;"AGUARDANDO",AY608&lt;&gt;"",N608="AUXÍLIO ALUGUEL ATÉ INDENIZAÇÃO"),"SIM","NÃO")</f>
        <v>NÃO</v>
      </c>
      <c r="BF608" s="140" t="s">
        <v>4357</v>
      </c>
      <c r="BG608" s="140" t="s">
        <v>4357</v>
      </c>
      <c r="BH608" s="140" t="s">
        <v>4357</v>
      </c>
      <c r="BI608" s="154" t="s">
        <v>4912</v>
      </c>
      <c r="BJ608" s="154"/>
      <c r="BK608" s="154"/>
      <c r="BL608" s="154"/>
      <c r="BM608" s="237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6984</v>
      </c>
      <c r="G609" s="302" t="s">
        <v>4330</v>
      </c>
      <c r="H609" s="103" t="s">
        <v>4331</v>
      </c>
      <c r="I609" s="304" t="s">
        <v>4343</v>
      </c>
      <c r="J609" s="149" t="s">
        <v>6985</v>
      </c>
      <c r="K609" s="149" t="s">
        <v>6986</v>
      </c>
      <c r="L609" s="149" t="s">
        <v>6987</v>
      </c>
      <c r="M609" s="103" t="s">
        <v>4333</v>
      </c>
      <c r="N609" s="103" t="s">
        <v>4459</v>
      </c>
      <c r="O609" s="105">
        <v>46045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6985</v>
      </c>
      <c r="AC609" s="149" t="s">
        <v>6986</v>
      </c>
      <c r="AD609" s="149" t="s">
        <v>6987</v>
      </c>
      <c r="AE609" s="103" t="s">
        <v>4343</v>
      </c>
      <c r="AF609" s="103" t="s">
        <v>4333</v>
      </c>
      <c r="AG609" s="194">
        <v>59568.93</v>
      </c>
      <c r="AH609" s="194">
        <v>60000</v>
      </c>
      <c r="AI609" s="103" t="s">
        <v>4336</v>
      </c>
      <c r="AJ609" s="104" t="s">
        <v>4438</v>
      </c>
      <c r="AK609" s="103">
        <v>146041017</v>
      </c>
      <c r="AL609" s="103" t="s">
        <v>4338</v>
      </c>
      <c r="AM609" s="103" t="s">
        <v>4338</v>
      </c>
      <c r="AN609" s="103" t="s">
        <v>4339</v>
      </c>
      <c r="AO609" s="103"/>
      <c r="AP609" s="171" t="s">
        <v>6988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46084</v>
      </c>
      <c r="AV609" s="112" t="s">
        <v>4338</v>
      </c>
      <c r="AW609" s="112" t="s">
        <v>4338</v>
      </c>
      <c r="AX609" s="111">
        <v>46092</v>
      </c>
      <c r="AY609" s="106">
        <v>46092</v>
      </c>
      <c r="AZ609" s="157" t="s">
        <v>4453</v>
      </c>
      <c r="BA609" s="107" t="s">
        <v>4454</v>
      </c>
      <c r="BB609" s="136" t="s">
        <v>4338</v>
      </c>
      <c r="BC609" s="220">
        <f>IF(AY609-KD609=0,"",AY609-O609)</f>
        <v>47</v>
      </c>
      <c r="BD609" s="103" t="str">
        <f>IF(AND(AI609&lt;&gt;"SIM",AI609="UH"),"AA","INDENIZAÇÃO")</f>
        <v>INDENIZAÇÃO</v>
      </c>
      <c r="BE609" s="103" t="str">
        <f>IF(AND(AY609&lt;&gt;"AGUARDANDO",AY609&lt;&gt;"",N609="AUXÍLIO ALUGUEL ATÉ INDENIZAÇÃO"),"SIM","NÃO")</f>
        <v>NÃO</v>
      </c>
      <c r="BF609" s="140" t="s">
        <v>4357</v>
      </c>
      <c r="BG609" s="140" t="s">
        <v>4357</v>
      </c>
      <c r="BH609" s="140" t="s">
        <v>4357</v>
      </c>
      <c r="BI609" s="154" t="s">
        <v>4912</v>
      </c>
      <c r="BJ609" s="154"/>
      <c r="BK609" s="154"/>
      <c r="BL609" s="154"/>
      <c r="BM609" s="237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6989</v>
      </c>
      <c r="G610" s="112" t="s">
        <v>4341</v>
      </c>
      <c r="H610" s="103" t="s">
        <v>6486</v>
      </c>
      <c r="I610" s="153" t="s">
        <v>4332</v>
      </c>
      <c r="J610" s="149" t="s">
        <v>6990</v>
      </c>
      <c r="K610" s="149" t="s">
        <v>6991</v>
      </c>
      <c r="L610" s="149" t="s">
        <v>6992</v>
      </c>
      <c r="M610" s="103" t="s">
        <v>4333</v>
      </c>
      <c r="N610" s="103" t="s">
        <v>4459</v>
      </c>
      <c r="O610" s="105">
        <v>46051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6990</v>
      </c>
      <c r="AC610" s="149" t="s">
        <v>6991</v>
      </c>
      <c r="AD610" s="149" t="s">
        <v>6992</v>
      </c>
      <c r="AE610" s="153" t="s">
        <v>4332</v>
      </c>
      <c r="AF610" s="103" t="s">
        <v>4333</v>
      </c>
      <c r="AG610" s="194">
        <v>23021.02</v>
      </c>
      <c r="AH610" s="194">
        <v>23021.02</v>
      </c>
      <c r="AI610" s="103" t="s">
        <v>4336</v>
      </c>
      <c r="AJ610" s="104" t="s">
        <v>4438</v>
      </c>
      <c r="AK610" s="103">
        <v>148267124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6993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46157</v>
      </c>
      <c r="AY610" s="106">
        <v>46157</v>
      </c>
      <c r="AZ610" s="106" t="s">
        <v>4453</v>
      </c>
      <c r="BA610" s="107" t="s">
        <v>4454</v>
      </c>
      <c r="BB610" s="136" t="s">
        <v>4338</v>
      </c>
      <c r="BC610" s="220">
        <f>IF(AY610-KD610=0,"",AY610-O610)</f>
        <v>106</v>
      </c>
      <c r="BD610" s="103" t="str">
        <f>IF(AND(AI610&lt;&gt;"SIM",AI610="UH"),"AA","INDENIZAÇÃO")</f>
        <v>INDENIZAÇÃO</v>
      </c>
      <c r="BE610" s="103" t="str">
        <f>IF(AND(AY610&lt;&gt;"AGUARDANDO",AY610&lt;&gt;"",N610="AUXÍLIO ALUGUEL ATÉ INDENIZAÇÃO"),"SIM","NÃO")</f>
        <v>NÃO</v>
      </c>
      <c r="BF610" s="140" t="s">
        <v>4357</v>
      </c>
      <c r="BG610" s="140" t="s">
        <v>4357</v>
      </c>
      <c r="BH610" s="140" t="s">
        <v>4357</v>
      </c>
      <c r="BI610" s="154" t="s">
        <v>4912</v>
      </c>
      <c r="BJ610" s="154"/>
      <c r="BK610" s="154"/>
      <c r="BL610" s="154"/>
      <c r="BM610" s="237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6994</v>
      </c>
      <c r="G611" s="302" t="s">
        <v>4330</v>
      </c>
      <c r="H611" s="103" t="s">
        <v>4331</v>
      </c>
      <c r="I611" s="304" t="s">
        <v>4343</v>
      </c>
      <c r="J611" s="149" t="s">
        <v>6995</v>
      </c>
      <c r="K611" s="149" t="s">
        <v>6996</v>
      </c>
      <c r="L611" s="149" t="s">
        <v>6997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6995</v>
      </c>
      <c r="AC611" s="149" t="s">
        <v>6996</v>
      </c>
      <c r="AD611" s="149" t="s">
        <v>6997</v>
      </c>
      <c r="AE611" s="103" t="s">
        <v>4343</v>
      </c>
      <c r="AF611" s="103" t="s">
        <v>4333</v>
      </c>
      <c r="AG611" s="194">
        <v>26293.73</v>
      </c>
      <c r="AH611" s="194">
        <v>56293.73</v>
      </c>
      <c r="AI611" s="103" t="s">
        <v>4336</v>
      </c>
      <c r="AJ611" s="104" t="s">
        <v>4438</v>
      </c>
      <c r="AK611" s="103">
        <v>150614301</v>
      </c>
      <c r="AL611" s="103" t="s">
        <v>4338</v>
      </c>
      <c r="AM611" s="103" t="s">
        <v>4338</v>
      </c>
      <c r="AN611" s="103" t="s">
        <v>4339</v>
      </c>
      <c r="AO611" s="103"/>
      <c r="AP611" s="171" t="s">
        <v>6998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46127</v>
      </c>
      <c r="AV611" s="103" t="s">
        <v>4338</v>
      </c>
      <c r="AW611" s="165" t="s">
        <v>4338</v>
      </c>
      <c r="AX611" s="105">
        <v>46139</v>
      </c>
      <c r="AY611" s="106">
        <v>46139</v>
      </c>
      <c r="AZ611" s="106" t="s">
        <v>4453</v>
      </c>
      <c r="BA611" s="107" t="s">
        <v>4454</v>
      </c>
      <c r="BB611" s="136" t="s">
        <v>4338</v>
      </c>
      <c r="BC611" s="220">
        <f>IF(AY611-KD611=0,"",AY611-O611)</f>
        <v>75</v>
      </c>
      <c r="BD611" s="103" t="str">
        <f>IF(AND(AI611&lt;&gt;"SIM",AI611="UH"),"AA","INDENIZAÇÃO")</f>
        <v>INDENIZAÇÃO</v>
      </c>
      <c r="BE611" s="103" t="str">
        <f>IF(AND(AY611&lt;&gt;"AGUARDANDO",AY611&lt;&gt;"",N611="AUXÍLIO ALUGUEL ATÉ INDENIZAÇÃO"),"SIM","NÃO")</f>
        <v>NÃO</v>
      </c>
      <c r="BF611" s="112" t="s">
        <v>4357</v>
      </c>
      <c r="BG611" s="112" t="s">
        <v>4357</v>
      </c>
      <c r="BH611" s="112" t="s">
        <v>4357</v>
      </c>
      <c r="BI611" s="109" t="s">
        <v>4912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customHeight="1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6999</v>
      </c>
      <c r="G612" s="103" t="s">
        <v>4330</v>
      </c>
      <c r="H612" s="103" t="s">
        <v>4331</v>
      </c>
      <c r="I612" s="142" t="s">
        <v>4343</v>
      </c>
      <c r="J612" s="149" t="s">
        <v>7000</v>
      </c>
      <c r="K612" s="149" t="s">
        <v>7001</v>
      </c>
      <c r="L612" s="149" t="s">
        <v>7002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7000</v>
      </c>
      <c r="AC612" s="149" t="s">
        <v>7001</v>
      </c>
      <c r="AD612" s="149" t="s">
        <v>7002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>IF(AY612-KD612=0,"",AY612-O612)</f>
        <v/>
      </c>
      <c r="BD612" s="103" t="str">
        <f>IF(AND(AI612&lt;&gt;"SIM",AI612="UH"),"AA","INDENIZAÇÃO")</f>
        <v>AA</v>
      </c>
      <c r="BE612" s="103" t="str">
        <f>IF(AND(AY612&lt;&gt;"AGUARDANDO",AY612&lt;&gt;"",N612="AUXÍLIO ALUGUEL ATÉ INDENIZAÇÃO"),"SIM","NÃO")</f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customHeight="1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7003</v>
      </c>
      <c r="G613" s="103" t="s">
        <v>4330</v>
      </c>
      <c r="H613" s="103" t="s">
        <v>4331</v>
      </c>
      <c r="I613" s="142" t="s">
        <v>7004</v>
      </c>
      <c r="J613" s="149" t="s">
        <v>7005</v>
      </c>
      <c r="K613" s="149" t="s">
        <v>7006</v>
      </c>
      <c r="L613" s="149" t="s">
        <v>7007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7005</v>
      </c>
      <c r="AC613" s="149" t="s">
        <v>7006</v>
      </c>
      <c r="AD613" s="149" t="s">
        <v>7007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>IF(AY613-KD613=0,"",AY613-O613)</f>
        <v/>
      </c>
      <c r="BD613" s="103" t="str">
        <f>IF(AND(AI613&lt;&gt;"SIM",AI613="UH"),"AA","INDENIZAÇÃO")</f>
        <v>AA</v>
      </c>
      <c r="BE613" s="103" t="str">
        <f>IF(AND(AY613&lt;&gt;"AGUARDANDO",AY613&lt;&gt;"",N613="AUXÍLIO ALUGUEL ATÉ INDENIZAÇÃO"),"SIM","NÃO")</f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customHeight="1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7008</v>
      </c>
      <c r="G614" s="103" t="s">
        <v>4330</v>
      </c>
      <c r="H614" s="103" t="s">
        <v>4331</v>
      </c>
      <c r="I614" s="142" t="s">
        <v>4343</v>
      </c>
      <c r="J614" s="149" t="s">
        <v>7009</v>
      </c>
      <c r="K614" s="149" t="s">
        <v>7010</v>
      </c>
      <c r="L614" s="149" t="s">
        <v>7011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7009</v>
      </c>
      <c r="AC614" s="149" t="s">
        <v>7010</v>
      </c>
      <c r="AD614" s="149" t="s">
        <v>7011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>IF(AY614-KD614=0,"",AY614-O614)</f>
        <v/>
      </c>
      <c r="BD614" s="103" t="str">
        <f>IF(AND(AI614&lt;&gt;"SIM",AI614="UH"),"AA","INDENIZAÇÃO")</f>
        <v>AA</v>
      </c>
      <c r="BE614" s="103" t="str">
        <f>IF(AND(AY614&lt;&gt;"AGUARDANDO",AY614&lt;&gt;"",N614="AUXÍLIO ALUGUEL ATÉ INDENIZAÇÃO"),"SIM","NÃO")</f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customHeight="1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7012</v>
      </c>
      <c r="G615" s="103" t="s">
        <v>4330</v>
      </c>
      <c r="H615" s="103" t="s">
        <v>4331</v>
      </c>
      <c r="I615" s="142" t="s">
        <v>7004</v>
      </c>
      <c r="J615" s="149" t="s">
        <v>7013</v>
      </c>
      <c r="K615" s="149" t="s">
        <v>7014</v>
      </c>
      <c r="L615" s="149" t="s">
        <v>7015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7013</v>
      </c>
      <c r="AC615" s="149" t="s">
        <v>7014</v>
      </c>
      <c r="AD615" s="149" t="s">
        <v>7015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>IF(AY615-KD615=0,"",AY615-O615)</f>
        <v/>
      </c>
      <c r="BD615" s="103" t="str">
        <f>IF(AND(AI615&lt;&gt;"SIM",AI615="UH"),"AA","INDENIZAÇÃO")</f>
        <v>AA</v>
      </c>
      <c r="BE615" s="103" t="str">
        <f>IF(AND(AY615&lt;&gt;"AGUARDANDO",AY615&lt;&gt;"",N615="AUXÍLIO ALUGUEL ATÉ INDENIZAÇÃO"),"SIM","NÃO")</f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customHeight="1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7016</v>
      </c>
      <c r="G616" s="103" t="s">
        <v>4330</v>
      </c>
      <c r="H616" s="103" t="s">
        <v>4331</v>
      </c>
      <c r="I616" s="142" t="s">
        <v>4343</v>
      </c>
      <c r="J616" s="149" t="s">
        <v>7017</v>
      </c>
      <c r="K616" s="149" t="s">
        <v>7018</v>
      </c>
      <c r="L616" s="149" t="s">
        <v>7019</v>
      </c>
      <c r="M616" s="103" t="s">
        <v>4333</v>
      </c>
      <c r="N616" s="103" t="s">
        <v>4459</v>
      </c>
      <c r="O616" s="105">
        <v>45980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7017</v>
      </c>
      <c r="AC616" s="204" t="s">
        <v>7018</v>
      </c>
      <c r="AD616" s="204" t="s">
        <v>7019</v>
      </c>
      <c r="AE616" s="165" t="s">
        <v>4343</v>
      </c>
      <c r="AF616" s="165" t="s">
        <v>4333</v>
      </c>
      <c r="AG616" s="208">
        <v>30282.02</v>
      </c>
      <c r="AH616" s="208">
        <v>60000</v>
      </c>
      <c r="AI616" s="165" t="s">
        <v>4336</v>
      </c>
      <c r="AJ616" s="104" t="s">
        <v>4438</v>
      </c>
      <c r="AK616" s="103">
        <v>146670767</v>
      </c>
      <c r="AL616" s="103" t="s">
        <v>4338</v>
      </c>
      <c r="AM616" s="103" t="s">
        <v>4338</v>
      </c>
      <c r="AN616" s="103" t="s">
        <v>4339</v>
      </c>
      <c r="AO616" s="112"/>
      <c r="AP616" s="171" t="s">
        <v>7020</v>
      </c>
      <c r="AQ616" s="103" t="s">
        <v>4338</v>
      </c>
      <c r="AR616" s="103" t="s">
        <v>4338</v>
      </c>
      <c r="AS616" s="103" t="s">
        <v>4338</v>
      </c>
      <c r="AT616" s="103" t="s">
        <v>4338</v>
      </c>
      <c r="AU616" s="105">
        <v>46020</v>
      </c>
      <c r="AV616" s="112" t="s">
        <v>4338</v>
      </c>
      <c r="AW616" s="103" t="s">
        <v>4338</v>
      </c>
      <c r="AX616" s="166">
        <v>46024</v>
      </c>
      <c r="AY616" s="157">
        <v>46024</v>
      </c>
      <c r="AZ616" s="157" t="s">
        <v>4453</v>
      </c>
      <c r="BA616" s="107" t="s">
        <v>4454</v>
      </c>
      <c r="BB616" s="136" t="s">
        <v>4338</v>
      </c>
      <c r="BC616" s="220">
        <f>IF(AY616-KD616=0,"",AY616-O616)</f>
        <v>44</v>
      </c>
      <c r="BD616" s="103" t="str">
        <f>IF(AND(AI616&lt;&gt;"SIM",AI616="UH"),"AA","INDENIZAÇÃO")</f>
        <v>INDENIZAÇÃO</v>
      </c>
      <c r="BE616" s="103" t="str">
        <f>IF(AND(AY616&lt;&gt;"AGUARDANDO",AY616&lt;&gt;"",N616="AUXÍLIO ALUGUEL ATÉ INDENIZAÇÃO"),"SIM","NÃO")</f>
        <v>NÃO</v>
      </c>
      <c r="BF616" s="140" t="s">
        <v>4357</v>
      </c>
      <c r="BG616" s="140" t="s">
        <v>4357</v>
      </c>
      <c r="BH616" s="140" t="s">
        <v>4357</v>
      </c>
      <c r="BI616" s="154" t="s">
        <v>4912</v>
      </c>
      <c r="BJ616" s="154"/>
      <c r="BK616" s="154"/>
      <c r="BL616" s="154"/>
      <c r="BM616" s="237"/>
    </row>
    <row r="617" spans="1:107" ht="30" customHeight="1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7021</v>
      </c>
      <c r="G617" s="103" t="s">
        <v>4330</v>
      </c>
      <c r="H617" s="103" t="s">
        <v>4331</v>
      </c>
      <c r="I617" s="142" t="s">
        <v>4343</v>
      </c>
      <c r="J617" s="149" t="s">
        <v>7022</v>
      </c>
      <c r="K617" s="149" t="s">
        <v>7023</v>
      </c>
      <c r="L617" s="149" t="s">
        <v>7024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7022</v>
      </c>
      <c r="AC617" s="149" t="s">
        <v>7023</v>
      </c>
      <c r="AD617" s="149" t="s">
        <v>7024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>IF(AY617-KD617=0,"",AY617-O617)</f>
        <v/>
      </c>
      <c r="BD617" s="103" t="str">
        <f>IF(AND(AI617&lt;&gt;"SIM",AI617="UH"),"AA","INDENIZAÇÃO")</f>
        <v>AA</v>
      </c>
      <c r="BE617" s="103" t="str">
        <f>IF(AND(AY617&lt;&gt;"AGUARDANDO",AY617&lt;&gt;"",N617="AUXÍLIO ALUGUEL ATÉ INDENIZAÇÃO"),"SIM","NÃO")</f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customHeight="1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7025</v>
      </c>
      <c r="G618" s="103" t="s">
        <v>4330</v>
      </c>
      <c r="H618" s="103" t="s">
        <v>4331</v>
      </c>
      <c r="I618" s="142" t="s">
        <v>4343</v>
      </c>
      <c r="J618" s="114" t="s">
        <v>7026</v>
      </c>
      <c r="K618" s="149" t="s">
        <v>7027</v>
      </c>
      <c r="L618" s="149" t="s">
        <v>7028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7026</v>
      </c>
      <c r="AC618" s="149" t="s">
        <v>7027</v>
      </c>
      <c r="AD618" s="149" t="s">
        <v>7028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>IF(AY618-KD618=0,"",AY618-O618)</f>
        <v/>
      </c>
      <c r="BD618" s="103" t="str">
        <f>IF(AND(AI618&lt;&gt;"SIM",AI618="UH"),"AA","INDENIZAÇÃO")</f>
        <v>AA</v>
      </c>
      <c r="BE618" s="103" t="str">
        <f>IF(AND(AY618&lt;&gt;"AGUARDANDO",AY618&lt;&gt;"",N618="AUXÍLIO ALUGUEL ATÉ INDENIZAÇÃO"),"SIM","NÃO")</f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customHeight="1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7029</v>
      </c>
      <c r="G619" s="103" t="s">
        <v>4351</v>
      </c>
      <c r="H619" s="103" t="s">
        <v>4351</v>
      </c>
      <c r="I619" s="153" t="s">
        <v>4332</v>
      </c>
      <c r="J619" s="149" t="s">
        <v>7030</v>
      </c>
      <c r="K619" s="149" t="s">
        <v>7031</v>
      </c>
      <c r="L619" s="149" t="s">
        <v>7032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7030</v>
      </c>
      <c r="AC619" s="204" t="s">
        <v>7031</v>
      </c>
      <c r="AD619" s="204" t="s">
        <v>7032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>IF(AY619-KD619=0,"",AY619-O619)</f>
        <v/>
      </c>
      <c r="BD619" s="103" t="str">
        <f>IF(AND(AI619&lt;&gt;"SIM",AI619="UH"),"AA","INDENIZAÇÃO")</f>
        <v>INDENIZAÇÃO</v>
      </c>
      <c r="BE619" s="103" t="str">
        <f>IF(AND(AY619&lt;&gt;"AGUARDANDO",AY619&lt;&gt;"",N619="AUXÍLIO ALUGUEL ATÉ INDENIZAÇÃO"),"SIM","NÃO")</f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customHeight="1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7033</v>
      </c>
      <c r="G620" s="103" t="s">
        <v>4330</v>
      </c>
      <c r="H620" s="103" t="s">
        <v>4331</v>
      </c>
      <c r="I620" s="246" t="s">
        <v>4343</v>
      </c>
      <c r="J620" s="149" t="s">
        <v>7034</v>
      </c>
      <c r="K620" s="149" t="s">
        <v>4457</v>
      </c>
      <c r="L620" s="149" t="s">
        <v>7035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7034</v>
      </c>
      <c r="AC620" s="149" t="s">
        <v>4457</v>
      </c>
      <c r="AD620" s="149" t="s">
        <v>7035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>IF(AY620-KD620=0,"",AY620-O620)</f>
        <v/>
      </c>
      <c r="BD620" s="103" t="str">
        <f>IF(AND(AI620&lt;&gt;"SIM",AI620="UH"),"AA","INDENIZAÇÃO")</f>
        <v>AA</v>
      </c>
      <c r="BE620" s="103" t="str">
        <f>IF(AND(AY620&lt;&gt;"AGUARDANDO",AY620&lt;&gt;"",N620="AUXÍLIO ALUGUEL ATÉ INDENIZAÇÃO"),"SIM","NÃO")</f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customHeight="1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7036</v>
      </c>
      <c r="G621" s="103" t="s">
        <v>4330</v>
      </c>
      <c r="H621" s="103" t="s">
        <v>4331</v>
      </c>
      <c r="I621" s="142" t="s">
        <v>4343</v>
      </c>
      <c r="J621" s="149" t="s">
        <v>7037</v>
      </c>
      <c r="K621" s="149" t="s">
        <v>7038</v>
      </c>
      <c r="L621" s="149" t="s">
        <v>7039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7037</v>
      </c>
      <c r="AC621" s="149" t="s">
        <v>7038</v>
      </c>
      <c r="AD621" s="149" t="s">
        <v>7039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>IF(AY621-KD621=0,"",AY621-O621)</f>
        <v/>
      </c>
      <c r="BD621" s="103" t="str">
        <f>IF(AND(AI621&lt;&gt;"SIM",AI621="UH"),"AA","INDENIZAÇÃO")</f>
        <v>AA</v>
      </c>
      <c r="BE621" s="103" t="str">
        <f>IF(AND(AY621&lt;&gt;"AGUARDANDO",AY621&lt;&gt;"",N621="AUXÍLIO ALUGUEL ATÉ INDENIZAÇÃO"),"SIM","NÃO")</f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customHeight="1">
      <c r="A622" s="165">
        <v>611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7040</v>
      </c>
      <c r="G622" s="103" t="s">
        <v>4330</v>
      </c>
      <c r="H622" s="103" t="s">
        <v>4331</v>
      </c>
      <c r="I622" s="142" t="s">
        <v>4343</v>
      </c>
      <c r="J622" s="149" t="s">
        <v>7041</v>
      </c>
      <c r="K622" s="149" t="s">
        <v>7042</v>
      </c>
      <c r="L622" s="149" t="s">
        <v>7043</v>
      </c>
      <c r="M622" s="103" t="s">
        <v>4333</v>
      </c>
      <c r="N622" s="103" t="s">
        <v>4459</v>
      </c>
      <c r="O622" s="105">
        <v>45980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7041</v>
      </c>
      <c r="AC622" s="204" t="s">
        <v>7042</v>
      </c>
      <c r="AD622" s="204" t="s">
        <v>7043</v>
      </c>
      <c r="AE622" s="165" t="s">
        <v>4343</v>
      </c>
      <c r="AF622" s="165" t="s">
        <v>4333</v>
      </c>
      <c r="AG622" s="208">
        <v>22842.9</v>
      </c>
      <c r="AH622" s="208">
        <f>AG622+30000</f>
        <v>52842.9</v>
      </c>
      <c r="AI622" s="165" t="s">
        <v>4336</v>
      </c>
      <c r="AJ622" s="104" t="s">
        <v>4438</v>
      </c>
      <c r="AK622" s="103">
        <v>146671194</v>
      </c>
      <c r="AL622" s="103" t="s">
        <v>4338</v>
      </c>
      <c r="AM622" s="103" t="s">
        <v>4338</v>
      </c>
      <c r="AN622" s="103" t="s">
        <v>4339</v>
      </c>
      <c r="AO622" s="112"/>
      <c r="AP622" s="171" t="s">
        <v>7044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46009</v>
      </c>
      <c r="AV622" s="112" t="s">
        <v>4338</v>
      </c>
      <c r="AW622" s="103" t="s">
        <v>4338</v>
      </c>
      <c r="AX622" s="111">
        <v>46021</v>
      </c>
      <c r="AY622" s="106">
        <v>46021</v>
      </c>
      <c r="AZ622" s="157" t="s">
        <v>4453</v>
      </c>
      <c r="BA622" s="107" t="s">
        <v>4454</v>
      </c>
      <c r="BB622" s="136" t="s">
        <v>4338</v>
      </c>
      <c r="BC622" s="220">
        <f>IF(AY622-KD622=0,"",AY622-O622)</f>
        <v>41</v>
      </c>
      <c r="BD622" s="103" t="str">
        <f>IF(AND(AI622&lt;&gt;"SIM",AI622="UH"),"AA","INDENIZAÇÃO")</f>
        <v>INDENIZAÇÃO</v>
      </c>
      <c r="BE622" s="103" t="str">
        <f>IF(AND(AY622&lt;&gt;"AGUARDANDO",AY622&lt;&gt;"",N622="AUXÍLIO ALUGUEL ATÉ INDENIZAÇÃO"),"SIM","NÃO")</f>
        <v>NÃO</v>
      </c>
      <c r="BF622" s="140" t="s">
        <v>4357</v>
      </c>
      <c r="BG622" s="140" t="s">
        <v>4357</v>
      </c>
      <c r="BH622" s="140" t="s">
        <v>4357</v>
      </c>
      <c r="BI622" s="103" t="s">
        <v>4338</v>
      </c>
      <c r="BJ622" s="103" t="s">
        <v>4338</v>
      </c>
      <c r="BK622" s="105">
        <v>46205</v>
      </c>
      <c r="BL622" s="154" t="s">
        <v>4461</v>
      </c>
      <c r="BM622" s="237"/>
    </row>
    <row r="623" spans="1:107" ht="30" customHeight="1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7045</v>
      </c>
      <c r="G623" s="103" t="s">
        <v>4330</v>
      </c>
      <c r="H623" s="103" t="s">
        <v>4352</v>
      </c>
      <c r="I623" s="142" t="s">
        <v>4343</v>
      </c>
      <c r="J623" s="149" t="s">
        <v>7046</v>
      </c>
      <c r="K623" s="149" t="s">
        <v>4457</v>
      </c>
      <c r="L623" s="149" t="s">
        <v>7047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7046</v>
      </c>
      <c r="AC623" s="149" t="s">
        <v>4457</v>
      </c>
      <c r="AD623" s="149" t="s">
        <v>7047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>IF(AY623-KD623=0,"",AY623-O623)</f>
        <v/>
      </c>
      <c r="BD623" s="103" t="str">
        <f>IF(AND(AI623&lt;&gt;"SIM",AI623="UH"),"AA","INDENIZAÇÃO")</f>
        <v>AA</v>
      </c>
      <c r="BE623" s="103" t="str">
        <f>IF(AND(AY623&lt;&gt;"AGUARDANDO",AY623&lt;&gt;"",N623="AUXÍLIO ALUGUEL ATÉ INDENIZAÇÃO"),"SIM","NÃO")</f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customHeight="1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7048</v>
      </c>
      <c r="G624" s="103" t="s">
        <v>4330</v>
      </c>
      <c r="H624" s="103" t="s">
        <v>4331</v>
      </c>
      <c r="I624" s="142" t="s">
        <v>4343</v>
      </c>
      <c r="J624" s="149" t="s">
        <v>7049</v>
      </c>
      <c r="K624" s="149" t="s">
        <v>7050</v>
      </c>
      <c r="L624" s="149" t="s">
        <v>7051</v>
      </c>
      <c r="M624" s="103" t="s">
        <v>4333</v>
      </c>
      <c r="N624" s="103" t="s">
        <v>4459</v>
      </c>
      <c r="O624" s="105">
        <v>45980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5"/>
      <c r="AB624" s="149" t="s">
        <v>7049</v>
      </c>
      <c r="AC624" s="149" t="s">
        <v>7050</v>
      </c>
      <c r="AD624" s="149" t="s">
        <v>7051</v>
      </c>
      <c r="AE624" s="103" t="s">
        <v>4343</v>
      </c>
      <c r="AF624" s="103" t="s">
        <v>4333</v>
      </c>
      <c r="AG624" s="194">
        <v>23178.12</v>
      </c>
      <c r="AH624" s="194">
        <f>AG624+30000</f>
        <v>53178.119999999995</v>
      </c>
      <c r="AI624" s="103" t="s">
        <v>4336</v>
      </c>
      <c r="AJ624" s="104" t="s">
        <v>4438</v>
      </c>
      <c r="AK624" s="103">
        <v>146671460</v>
      </c>
      <c r="AL624" s="103" t="s">
        <v>4338</v>
      </c>
      <c r="AM624" s="103" t="s">
        <v>4338</v>
      </c>
      <c r="AN624" s="103" t="s">
        <v>4339</v>
      </c>
      <c r="AO624" s="112"/>
      <c r="AP624" s="171" t="s">
        <v>7052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8">
        <v>46017</v>
      </c>
      <c r="AV624" s="112" t="s">
        <v>4338</v>
      </c>
      <c r="AW624" s="103" t="s">
        <v>4338</v>
      </c>
      <c r="AX624" s="166">
        <v>46024</v>
      </c>
      <c r="AY624" s="106">
        <v>46024</v>
      </c>
      <c r="AZ624" s="157" t="s">
        <v>4453</v>
      </c>
      <c r="BA624" s="107" t="s">
        <v>4454</v>
      </c>
      <c r="BB624" s="136" t="s">
        <v>4338</v>
      </c>
      <c r="BC624" s="220">
        <f>IF(AY624-KD624=0,"",AY624-O624)</f>
        <v>44</v>
      </c>
      <c r="BD624" s="103" t="str">
        <f>IF(AND(AI624&lt;&gt;"SIM",AI624="UH"),"AA","INDENIZAÇÃO")</f>
        <v>INDENIZAÇÃO</v>
      </c>
      <c r="BE624" s="103" t="str">
        <f>IF(AND(AY624&lt;&gt;"AGUARDANDO",AY624&lt;&gt;"",N624="AUXÍLIO ALUGUEL ATÉ INDENIZAÇÃO"),"SIM","NÃO")</f>
        <v>NÃO</v>
      </c>
      <c r="BF624" s="140" t="s">
        <v>4357</v>
      </c>
      <c r="BG624" s="140" t="s">
        <v>4357</v>
      </c>
      <c r="BH624" s="140" t="s">
        <v>4357</v>
      </c>
      <c r="BI624" s="154" t="s">
        <v>4912</v>
      </c>
      <c r="BJ624" s="154"/>
      <c r="BK624" s="154"/>
      <c r="BL624" s="154"/>
      <c r="BM624" s="237"/>
      <c r="BN624" s="232"/>
    </row>
    <row r="625" spans="1:67" ht="30" customHeight="1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7053</v>
      </c>
      <c r="G625" s="103" t="s">
        <v>4330</v>
      </c>
      <c r="H625" s="103" t="s">
        <v>4331</v>
      </c>
      <c r="I625" s="142" t="s">
        <v>4343</v>
      </c>
      <c r="J625" s="149" t="s">
        <v>7054</v>
      </c>
      <c r="K625" s="149" t="s">
        <v>7055</v>
      </c>
      <c r="L625" s="149" t="s">
        <v>7056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7054</v>
      </c>
      <c r="AC625" s="149" t="s">
        <v>7055</v>
      </c>
      <c r="AD625" s="149" t="s">
        <v>7056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>IF(AY625-KD625=0,"",AY625-O625)</f>
        <v/>
      </c>
      <c r="BD625" s="103" t="str">
        <f>IF(AND(AI625&lt;&gt;"SIM",AI625="UH"),"AA","INDENIZAÇÃO")</f>
        <v>AA</v>
      </c>
      <c r="BE625" s="103" t="str">
        <f>IF(AND(AY625&lt;&gt;"AGUARDANDO",AY625&lt;&gt;"",N625="AUXÍLIO ALUGUEL ATÉ INDENIZAÇÃO"),"SIM","NÃO")</f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customHeight="1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7057</v>
      </c>
      <c r="G626" s="103" t="s">
        <v>4330</v>
      </c>
      <c r="H626" s="103" t="s">
        <v>4331</v>
      </c>
      <c r="I626" s="142" t="s">
        <v>4343</v>
      </c>
      <c r="J626" s="114" t="s">
        <v>7058</v>
      </c>
      <c r="K626" s="149" t="s">
        <v>7059</v>
      </c>
      <c r="L626" s="149" t="s">
        <v>7060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7058</v>
      </c>
      <c r="AC626" s="149" t="s">
        <v>7059</v>
      </c>
      <c r="AD626" s="149" t="s">
        <v>7060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>IF(AY626-KD626=0,"",AY626-O626)</f>
        <v/>
      </c>
      <c r="BD626" s="103" t="str">
        <f>IF(AND(AI626&lt;&gt;"SIM",AI626="UH"),"AA","INDENIZAÇÃO")</f>
        <v>AA</v>
      </c>
      <c r="BE626" s="103" t="str">
        <f>IF(AND(AY626&lt;&gt;"AGUARDANDO",AY626&lt;&gt;"",N626="AUXÍLIO ALUGUEL ATÉ INDENIZAÇÃO"),"SIM","NÃO")</f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customHeight="1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7061</v>
      </c>
      <c r="G627" s="103" t="s">
        <v>4330</v>
      </c>
      <c r="H627" s="103" t="s">
        <v>4331</v>
      </c>
      <c r="I627" s="142" t="s">
        <v>4343</v>
      </c>
      <c r="J627" s="114" t="s">
        <v>7062</v>
      </c>
      <c r="K627" s="149" t="s">
        <v>4457</v>
      </c>
      <c r="L627" s="149" t="s">
        <v>7063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7062</v>
      </c>
      <c r="AC627" s="149" t="s">
        <v>4457</v>
      </c>
      <c r="AD627" s="149" t="s">
        <v>7063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>IF(AY627-KD627=0,"",AY627-O627)</f>
        <v/>
      </c>
      <c r="BD627" s="103" t="str">
        <f>IF(AND(AI627&lt;&gt;"SIM",AI627="UH"),"AA","INDENIZAÇÃO")</f>
        <v>AA</v>
      </c>
      <c r="BE627" s="103" t="str">
        <f>IF(AND(AY627&lt;&gt;"AGUARDANDO",AY627&lt;&gt;"",N627="AUXÍLIO ALUGUEL ATÉ INDENIZAÇÃO"),"SIM","NÃO")</f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customHeight="1">
      <c r="A628" s="165">
        <v>617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7064</v>
      </c>
      <c r="G628" s="103" t="s">
        <v>4330</v>
      </c>
      <c r="H628" s="103" t="s">
        <v>4331</v>
      </c>
      <c r="I628" s="142" t="s">
        <v>4440</v>
      </c>
      <c r="J628" s="114" t="s">
        <v>7065</v>
      </c>
      <c r="K628" s="149" t="s">
        <v>7066</v>
      </c>
      <c r="L628" s="149" t="s">
        <v>7067</v>
      </c>
      <c r="M628" s="103" t="s">
        <v>4333</v>
      </c>
      <c r="N628" s="103" t="s">
        <v>4345</v>
      </c>
      <c r="O628" s="105">
        <v>45980</v>
      </c>
      <c r="P628" s="105">
        <v>45986</v>
      </c>
      <c r="Q628" s="108" t="s">
        <v>4436</v>
      </c>
      <c r="R628" s="108">
        <v>45985</v>
      </c>
      <c r="S628" s="108">
        <v>45986</v>
      </c>
      <c r="T628" s="108">
        <v>45987</v>
      </c>
      <c r="U628" s="108">
        <v>45992</v>
      </c>
      <c r="V628" s="105" t="s">
        <v>4437</v>
      </c>
      <c r="W628" s="105" t="s">
        <v>4437</v>
      </c>
      <c r="X628" s="105">
        <v>45999</v>
      </c>
      <c r="Y628" s="105">
        <v>46002</v>
      </c>
      <c r="Z628" s="105"/>
      <c r="AA628" s="103"/>
      <c r="AB628" s="149" t="s">
        <v>7068</v>
      </c>
      <c r="AC628" s="149" t="s">
        <v>4432</v>
      </c>
      <c r="AD628" s="149" t="s">
        <v>7069</v>
      </c>
      <c r="AE628" s="142" t="s">
        <v>4332</v>
      </c>
      <c r="AF628" s="103" t="s">
        <v>4333</v>
      </c>
      <c r="AG628" s="194">
        <v>6316.23</v>
      </c>
      <c r="AH628" s="194">
        <v>6316.23</v>
      </c>
      <c r="AI628" s="103" t="s">
        <v>4336</v>
      </c>
      <c r="AJ628" s="104" t="s">
        <v>4438</v>
      </c>
      <c r="AK628" s="103">
        <v>146671536</v>
      </c>
      <c r="AL628" s="103" t="s">
        <v>4338</v>
      </c>
      <c r="AM628" s="103" t="s">
        <v>4338</v>
      </c>
      <c r="AN628" s="103" t="s">
        <v>4339</v>
      </c>
      <c r="AO628" s="112"/>
      <c r="AP628" s="171" t="s">
        <v>7070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8">
        <v>46017</v>
      </c>
      <c r="AV628" s="112" t="s">
        <v>4338</v>
      </c>
      <c r="AW628" s="103" t="s">
        <v>4338</v>
      </c>
      <c r="AX628" s="166">
        <v>46024</v>
      </c>
      <c r="AY628" s="106">
        <v>46024</v>
      </c>
      <c r="AZ628" s="157" t="s">
        <v>4453</v>
      </c>
      <c r="BA628" s="107" t="s">
        <v>4454</v>
      </c>
      <c r="BB628" s="136" t="s">
        <v>4338</v>
      </c>
      <c r="BC628" s="220">
        <f>IF(AY628-KD628=0,"",AY628-O628)</f>
        <v>44</v>
      </c>
      <c r="BD628" s="103" t="str">
        <f>IF(AND(AI628&lt;&gt;"SIM",AI628="UH"),"AA","INDENIZAÇÃO")</f>
        <v>INDENIZAÇÃO</v>
      </c>
      <c r="BE628" s="103" t="str">
        <f>IF(AND(AY628&lt;&gt;"AGUARDANDO",AY628&lt;&gt;"",N628="AUXÍLIO ALUGUEL ATÉ INDENIZAÇÃO"),"SIM","NÃO")</f>
        <v>NÃO</v>
      </c>
      <c r="BF628" s="140" t="s">
        <v>4357</v>
      </c>
      <c r="BG628" s="140" t="s">
        <v>4357</v>
      </c>
      <c r="BH628" s="140" t="s">
        <v>4357</v>
      </c>
      <c r="BI628" s="154" t="s">
        <v>4912</v>
      </c>
      <c r="BJ628" s="154"/>
      <c r="BK628" s="154"/>
      <c r="BL628" s="154"/>
      <c r="BM628" s="237"/>
    </row>
    <row r="629" spans="1:67" ht="30" customHeight="1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7071</v>
      </c>
      <c r="G629" s="103" t="s">
        <v>4330</v>
      </c>
      <c r="H629" s="103" t="s">
        <v>4331</v>
      </c>
      <c r="I629" s="142" t="s">
        <v>4343</v>
      </c>
      <c r="J629" s="149" t="s">
        <v>7072</v>
      </c>
      <c r="K629" s="149" t="s">
        <v>7073</v>
      </c>
      <c r="L629" s="149" t="s">
        <v>7074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7072</v>
      </c>
      <c r="AC629" s="149" t="s">
        <v>7073</v>
      </c>
      <c r="AD629" s="149" t="s">
        <v>7074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>IF(AY629-KD629=0,"",AY629-O629)</f>
        <v/>
      </c>
      <c r="BD629" s="103" t="str">
        <f>IF(AND(AI629&lt;&gt;"SIM",AI629="UH"),"AA","INDENIZAÇÃO")</f>
        <v>AA</v>
      </c>
      <c r="BE629" s="103" t="str">
        <f>IF(AND(AY629&lt;&gt;"AGUARDANDO",AY629&lt;&gt;"",N629="AUXÍLIO ALUGUEL ATÉ INDENIZAÇÃO"),"SIM","NÃO")</f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customHeight="1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7075</v>
      </c>
      <c r="G630" s="103" t="s">
        <v>4330</v>
      </c>
      <c r="H630" s="103" t="s">
        <v>4331</v>
      </c>
      <c r="I630" s="142" t="s">
        <v>4343</v>
      </c>
      <c r="J630" s="149" t="s">
        <v>7076</v>
      </c>
      <c r="K630" s="149" t="s">
        <v>7077</v>
      </c>
      <c r="L630" s="149" t="s">
        <v>7078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7076</v>
      </c>
      <c r="AC630" s="149" t="s">
        <v>7077</v>
      </c>
      <c r="AD630" s="149" t="s">
        <v>7078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>IF(AY630-KD630=0,"",AY630-O630)</f>
        <v/>
      </c>
      <c r="BD630" s="103" t="str">
        <f>IF(AND(AI630&lt;&gt;"SIM",AI630="UH"),"AA","INDENIZAÇÃO")</f>
        <v>AA</v>
      </c>
      <c r="BE630" s="103" t="str">
        <f>IF(AND(AY630&lt;&gt;"AGUARDANDO",AY630&lt;&gt;"",N630="AUXÍLIO ALUGUEL ATÉ INDENIZAÇÃO"),"SIM","NÃO")</f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customHeight="1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7079</v>
      </c>
      <c r="G631" s="103" t="s">
        <v>4330</v>
      </c>
      <c r="H631" s="103" t="s">
        <v>4331</v>
      </c>
      <c r="I631" s="142" t="s">
        <v>4343</v>
      </c>
      <c r="J631" s="149" t="s">
        <v>7080</v>
      </c>
      <c r="K631" s="149" t="s">
        <v>7081</v>
      </c>
      <c r="L631" s="149" t="s">
        <v>7082</v>
      </c>
      <c r="M631" s="103" t="s">
        <v>4333</v>
      </c>
      <c r="N631" s="103" t="s">
        <v>4459</v>
      </c>
      <c r="O631" s="105">
        <v>46001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05"/>
      <c r="AB631" s="204" t="s">
        <v>7080</v>
      </c>
      <c r="AC631" s="204" t="s">
        <v>7081</v>
      </c>
      <c r="AD631" s="204" t="s">
        <v>7082</v>
      </c>
      <c r="AE631" s="165" t="s">
        <v>4343</v>
      </c>
      <c r="AF631" s="165" t="s">
        <v>4333</v>
      </c>
      <c r="AG631" s="208">
        <v>41025.519999999997</v>
      </c>
      <c r="AH631" s="208">
        <v>60000</v>
      </c>
      <c r="AI631" s="165" t="s">
        <v>4336</v>
      </c>
      <c r="AJ631" s="104" t="s">
        <v>4438</v>
      </c>
      <c r="AK631" s="103">
        <v>146671616</v>
      </c>
      <c r="AL631" s="103" t="s">
        <v>4338</v>
      </c>
      <c r="AM631" s="103" t="s">
        <v>4338</v>
      </c>
      <c r="AN631" s="103" t="s">
        <v>4339</v>
      </c>
      <c r="AO631" s="176"/>
      <c r="AP631" s="171" t="s">
        <v>7083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8">
        <v>46024</v>
      </c>
      <c r="AV631" s="112" t="s">
        <v>4338</v>
      </c>
      <c r="AW631" s="103" t="s">
        <v>4338</v>
      </c>
      <c r="AX631" s="166">
        <v>46038</v>
      </c>
      <c r="AY631" s="157">
        <v>46038</v>
      </c>
      <c r="AZ631" s="157" t="s">
        <v>4453</v>
      </c>
      <c r="BA631" s="107" t="s">
        <v>4454</v>
      </c>
      <c r="BB631" s="136" t="s">
        <v>4338</v>
      </c>
      <c r="BC631" s="220">
        <f>IF(AY631-KD631=0,"",AY631-O631)</f>
        <v>37</v>
      </c>
      <c r="BD631" s="103" t="str">
        <f>IF(AND(AI631&lt;&gt;"SIM",AI631="UH"),"AA","INDENIZAÇÃO")</f>
        <v>INDENIZAÇÃO</v>
      </c>
      <c r="BE631" s="103" t="str">
        <f>IF(AND(AY631&lt;&gt;"AGUARDANDO",AY631&lt;&gt;"",N631="AUXÍLIO ALUGUEL ATÉ INDENIZAÇÃO"),"SIM","NÃO")</f>
        <v>NÃO</v>
      </c>
      <c r="BF631" s="140" t="s">
        <v>4357</v>
      </c>
      <c r="BG631" s="140" t="s">
        <v>4357</v>
      </c>
      <c r="BH631" s="140" t="s">
        <v>4357</v>
      </c>
      <c r="BI631" s="154" t="s">
        <v>4912</v>
      </c>
      <c r="BJ631" s="154"/>
      <c r="BK631" s="154"/>
      <c r="BL631" s="154"/>
      <c r="BM631" s="237"/>
    </row>
    <row r="632" spans="1:67" ht="30" customHeight="1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7084</v>
      </c>
      <c r="G632" s="103" t="s">
        <v>4330</v>
      </c>
      <c r="H632" s="103" t="s">
        <v>4331</v>
      </c>
      <c r="I632" s="142" t="s">
        <v>4343</v>
      </c>
      <c r="J632" s="149" t="s">
        <v>7085</v>
      </c>
      <c r="K632" s="149" t="s">
        <v>7086</v>
      </c>
      <c r="L632" s="149" t="s">
        <v>7087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7085</v>
      </c>
      <c r="AC632" s="149" t="s">
        <v>7086</v>
      </c>
      <c r="AD632" s="149" t="s">
        <v>7087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>IF(AY632-KD632=0,"",AY632-O632)</f>
        <v/>
      </c>
      <c r="BD632" s="103" t="str">
        <f>IF(AND(AI632&lt;&gt;"SIM",AI632="UH"),"AA","INDENIZAÇÃO")</f>
        <v>AA</v>
      </c>
      <c r="BE632" s="103" t="str">
        <f>IF(AND(AY632&lt;&gt;"AGUARDANDO",AY632&lt;&gt;"",N632="AUXÍLIO ALUGUEL ATÉ INDENIZAÇÃO"),"SIM","NÃO")</f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customHeight="1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7088</v>
      </c>
      <c r="G633" s="103" t="s">
        <v>4330</v>
      </c>
      <c r="H633" s="103" t="s">
        <v>4331</v>
      </c>
      <c r="I633" s="142" t="s">
        <v>4343</v>
      </c>
      <c r="J633" s="114" t="s">
        <v>7089</v>
      </c>
      <c r="K633" s="149" t="s">
        <v>7090</v>
      </c>
      <c r="L633" s="149" t="s">
        <v>7091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7089</v>
      </c>
      <c r="AC633" s="204" t="s">
        <v>7090</v>
      </c>
      <c r="AD633" s="204" t="s">
        <v>7091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>IF(AY633-KD633=0,"",AY633-O633)</f>
        <v/>
      </c>
      <c r="BD633" s="103" t="str">
        <f>IF(AND(AI633&lt;&gt;"SIM",AI633="UH"),"AA","INDENIZAÇÃO")</f>
        <v>AA</v>
      </c>
      <c r="BE633" s="103" t="str">
        <f>IF(AND(AY633&lt;&gt;"AGUARDANDO",AY633&lt;&gt;"",N633="AUXÍLIO ALUGUEL ATÉ INDENIZAÇÃO"),"SIM","NÃO")</f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customHeight="1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7092</v>
      </c>
      <c r="G634" s="103" t="s">
        <v>4330</v>
      </c>
      <c r="H634" s="103" t="s">
        <v>4331</v>
      </c>
      <c r="I634" s="142" t="s">
        <v>4343</v>
      </c>
      <c r="J634" s="149" t="s">
        <v>7093</v>
      </c>
      <c r="K634" s="149" t="s">
        <v>7094</v>
      </c>
      <c r="L634" s="149" t="s">
        <v>7095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7093</v>
      </c>
      <c r="AC634" s="149" t="s">
        <v>7094</v>
      </c>
      <c r="AD634" s="149" t="s">
        <v>7095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>IF(AY634-KD634=0,"",AY634-O634)</f>
        <v/>
      </c>
      <c r="BD634" s="103" t="str">
        <f>IF(AND(AI634&lt;&gt;"SIM",AI634="UH"),"AA","INDENIZAÇÃO")</f>
        <v>AA</v>
      </c>
      <c r="BE634" s="103" t="str">
        <f>IF(AND(AY634&lt;&gt;"AGUARDANDO",AY634&lt;&gt;"",N634="AUXÍLIO ALUGUEL ATÉ INDENIZAÇÃO"),"SIM","NÃO")</f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customHeight="1">
      <c r="A635" s="165">
        <v>624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7096</v>
      </c>
      <c r="G635" s="103" t="s">
        <v>4330</v>
      </c>
      <c r="H635" s="103" t="s">
        <v>4331</v>
      </c>
      <c r="I635" s="142" t="s">
        <v>4343</v>
      </c>
      <c r="J635" s="149" t="s">
        <v>7097</v>
      </c>
      <c r="K635" s="149" t="s">
        <v>4457</v>
      </c>
      <c r="L635" s="149" t="s">
        <v>7098</v>
      </c>
      <c r="M635" s="103" t="s">
        <v>4333</v>
      </c>
      <c r="N635" s="103" t="s">
        <v>4459</v>
      </c>
      <c r="O635" s="105">
        <v>46064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7097</v>
      </c>
      <c r="AC635" s="149" t="s">
        <v>4457</v>
      </c>
      <c r="AD635" s="149" t="s">
        <v>7098</v>
      </c>
      <c r="AE635" s="103" t="s">
        <v>4343</v>
      </c>
      <c r="AF635" s="103" t="s">
        <v>5045</v>
      </c>
      <c r="AG635" s="194">
        <v>19603.16</v>
      </c>
      <c r="AH635" s="194">
        <v>49603.16</v>
      </c>
      <c r="AI635" s="103" t="s">
        <v>4336</v>
      </c>
      <c r="AJ635" s="104" t="s">
        <v>4438</v>
      </c>
      <c r="AK635" s="103">
        <v>150614345</v>
      </c>
      <c r="AL635" s="103" t="s">
        <v>4338</v>
      </c>
      <c r="AM635" s="103" t="s">
        <v>4338</v>
      </c>
      <c r="AN635" s="103" t="s">
        <v>4339</v>
      </c>
      <c r="AO635" s="103"/>
      <c r="AP635" s="171" t="s">
        <v>7099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46111</v>
      </c>
      <c r="AV635" s="103" t="s">
        <v>4338</v>
      </c>
      <c r="AW635" s="103" t="s">
        <v>4338</v>
      </c>
      <c r="AX635" s="105">
        <v>46114</v>
      </c>
      <c r="AY635" s="106">
        <v>46114</v>
      </c>
      <c r="AZ635" s="106" t="s">
        <v>4453</v>
      </c>
      <c r="BA635" s="107" t="s">
        <v>4454</v>
      </c>
      <c r="BB635" s="136" t="s">
        <v>4338</v>
      </c>
      <c r="BC635" s="220">
        <f>IF(AY635-KD635=0,"",AY635-O635)</f>
        <v>50</v>
      </c>
      <c r="BD635" s="103" t="str">
        <f>IF(AND(AI635&lt;&gt;"SIM",AI635="UH"),"AA","INDENIZAÇÃO")</f>
        <v>INDENIZAÇÃO</v>
      </c>
      <c r="BE635" s="103" t="str">
        <f>IF(AND(AY635&lt;&gt;"AGUARDANDO",AY635&lt;&gt;"",N635="AUXÍLIO ALUGUEL ATÉ INDENIZAÇÃO"),"SIM","NÃO")</f>
        <v>NÃO</v>
      </c>
      <c r="BF635" s="140" t="s">
        <v>4357</v>
      </c>
      <c r="BG635" s="140" t="s">
        <v>4357</v>
      </c>
      <c r="BH635" s="140" t="s">
        <v>4357</v>
      </c>
      <c r="BI635" s="154" t="s">
        <v>4912</v>
      </c>
      <c r="BJ635" s="154"/>
      <c r="BK635" s="154"/>
      <c r="BL635" s="154"/>
      <c r="BM635" s="237"/>
    </row>
    <row r="636" spans="1:67" ht="30" customHeight="1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7100</v>
      </c>
      <c r="G636" s="103" t="s">
        <v>4330</v>
      </c>
      <c r="H636" s="103" t="s">
        <v>4331</v>
      </c>
      <c r="I636" s="142" t="s">
        <v>4343</v>
      </c>
      <c r="J636" s="149" t="s">
        <v>7101</v>
      </c>
      <c r="K636" s="149" t="s">
        <v>7102</v>
      </c>
      <c r="L636" s="149" t="s">
        <v>7103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7101</v>
      </c>
      <c r="AC636" s="149" t="s">
        <v>7102</v>
      </c>
      <c r="AD636" s="149" t="s">
        <v>7103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>IF(AY636-KD636=0,"",AY636-O636)</f>
        <v/>
      </c>
      <c r="BD636" s="103" t="str">
        <f>IF(AND(AI636&lt;&gt;"SIM",AI636="UH"),"AA","INDENIZAÇÃO")</f>
        <v>AA</v>
      </c>
      <c r="BE636" s="103" t="str">
        <f>IF(AND(AY636&lt;&gt;"AGUARDANDO",AY636&lt;&gt;"",N636="AUXÍLIO ALUGUEL ATÉ INDENIZAÇÃO"),"SIM","NÃO")</f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customHeight="1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7104</v>
      </c>
      <c r="G637" s="103" t="s">
        <v>4330</v>
      </c>
      <c r="H637" s="103" t="s">
        <v>4331</v>
      </c>
      <c r="I637" s="142" t="s">
        <v>4343</v>
      </c>
      <c r="J637" s="149" t="s">
        <v>7105</v>
      </c>
      <c r="K637" s="149" t="s">
        <v>7106</v>
      </c>
      <c r="L637" s="149" t="s">
        <v>7107</v>
      </c>
      <c r="M637" s="103" t="s">
        <v>4333</v>
      </c>
      <c r="N637" s="103" t="s">
        <v>4459</v>
      </c>
      <c r="O637" s="105">
        <v>45980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5"/>
      <c r="AB637" s="204" t="s">
        <v>7105</v>
      </c>
      <c r="AC637" s="204" t="s">
        <v>7106</v>
      </c>
      <c r="AD637" s="204" t="s">
        <v>7107</v>
      </c>
      <c r="AE637" s="165" t="s">
        <v>4343</v>
      </c>
      <c r="AF637" s="165" t="s">
        <v>4333</v>
      </c>
      <c r="AG637" s="208">
        <v>47877.65</v>
      </c>
      <c r="AH637" s="208">
        <v>60000</v>
      </c>
      <c r="AI637" s="165" t="s">
        <v>4336</v>
      </c>
      <c r="AJ637" s="104" t="s">
        <v>4438</v>
      </c>
      <c r="AK637" s="103">
        <v>146672002</v>
      </c>
      <c r="AL637" s="103" t="s">
        <v>4338</v>
      </c>
      <c r="AM637" s="103" t="s">
        <v>4338</v>
      </c>
      <c r="AN637" s="103" t="s">
        <v>4339</v>
      </c>
      <c r="AO637" s="112"/>
      <c r="AP637" s="171" t="s">
        <v>7108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46008</v>
      </c>
      <c r="AV637" s="112" t="s">
        <v>4338</v>
      </c>
      <c r="AW637" s="103" t="s">
        <v>4338</v>
      </c>
      <c r="AX637" s="111">
        <v>46049</v>
      </c>
      <c r="AY637" s="157">
        <v>46049</v>
      </c>
      <c r="AZ637" s="157" t="s">
        <v>4453</v>
      </c>
      <c r="BA637" s="107" t="s">
        <v>4454</v>
      </c>
      <c r="BB637" s="136" t="s">
        <v>4338</v>
      </c>
      <c r="BC637" s="220">
        <f>IF(AY637-KD637=0,"",AY637-O637)</f>
        <v>69</v>
      </c>
      <c r="BD637" s="103" t="str">
        <f>IF(AND(AI637&lt;&gt;"SIM",AI637="UH"),"AA","INDENIZAÇÃO")</f>
        <v>INDENIZAÇÃO</v>
      </c>
      <c r="BE637" s="103" t="str">
        <f>IF(AND(AY637&lt;&gt;"AGUARDANDO",AY637&lt;&gt;"",N637="AUXÍLIO ALUGUEL ATÉ INDENIZAÇÃO"),"SIM","NÃO")</f>
        <v>NÃO</v>
      </c>
      <c r="BF637" s="140" t="s">
        <v>4357</v>
      </c>
      <c r="BG637" s="140" t="s">
        <v>4357</v>
      </c>
      <c r="BH637" s="140" t="s">
        <v>4357</v>
      </c>
      <c r="BI637" s="154" t="s">
        <v>4912</v>
      </c>
      <c r="BJ637" s="154"/>
      <c r="BK637" s="154"/>
      <c r="BL637" s="154"/>
      <c r="BM637" s="237"/>
    </row>
    <row r="638" spans="1:67" ht="30" customHeight="1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7109</v>
      </c>
      <c r="G638" s="103" t="s">
        <v>4330</v>
      </c>
      <c r="H638" s="103" t="s">
        <v>4331</v>
      </c>
      <c r="I638" s="142" t="s">
        <v>4343</v>
      </c>
      <c r="J638" s="149" t="s">
        <v>7110</v>
      </c>
      <c r="K638" s="149" t="s">
        <v>7111</v>
      </c>
      <c r="L638" s="149" t="s">
        <v>7112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7110</v>
      </c>
      <c r="AC638" s="149" t="s">
        <v>7111</v>
      </c>
      <c r="AD638" s="149" t="s">
        <v>7112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>IF(AY638-KD638=0,"",AY638-O638)</f>
        <v/>
      </c>
      <c r="BD638" s="103" t="str">
        <f>IF(AND(AI638&lt;&gt;"SIM",AI638="UH"),"AA","INDENIZAÇÃO")</f>
        <v>AA</v>
      </c>
      <c r="BE638" s="103" t="str">
        <f>IF(AND(AY638&lt;&gt;"AGUARDANDO",AY638&lt;&gt;"",N638="AUXÍLIO ALUGUEL ATÉ INDENIZAÇÃO"),"SIM","NÃO")</f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customHeight="1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7113</v>
      </c>
      <c r="G639" s="103" t="s">
        <v>4330</v>
      </c>
      <c r="H639" s="103" t="s">
        <v>4331</v>
      </c>
      <c r="I639" s="142" t="s">
        <v>4440</v>
      </c>
      <c r="J639" s="114" t="s">
        <v>7114</v>
      </c>
      <c r="K639" s="149" t="s">
        <v>7115</v>
      </c>
      <c r="L639" s="149" t="s">
        <v>7116</v>
      </c>
      <c r="M639" s="103" t="s">
        <v>4333</v>
      </c>
      <c r="N639" s="103" t="s">
        <v>4345</v>
      </c>
      <c r="O639" s="105">
        <v>45996</v>
      </c>
      <c r="P639" s="105">
        <v>46002</v>
      </c>
      <c r="Q639" s="105" t="s">
        <v>4436</v>
      </c>
      <c r="R639" s="105">
        <v>45999</v>
      </c>
      <c r="S639" s="105">
        <v>46006</v>
      </c>
      <c r="T639" s="105">
        <v>46006</v>
      </c>
      <c r="U639" s="105">
        <v>46009</v>
      </c>
      <c r="V639" s="105" t="s">
        <v>4437</v>
      </c>
      <c r="W639" s="105" t="s">
        <v>4437</v>
      </c>
      <c r="X639" s="105">
        <v>46014</v>
      </c>
      <c r="Y639" s="108">
        <v>46044</v>
      </c>
      <c r="Z639" s="108"/>
      <c r="AA639" s="112"/>
      <c r="AB639" s="204" t="s">
        <v>7117</v>
      </c>
      <c r="AC639" s="204" t="s">
        <v>7118</v>
      </c>
      <c r="AD639" s="204" t="s">
        <v>7119</v>
      </c>
      <c r="AE639" s="172" t="s">
        <v>4332</v>
      </c>
      <c r="AF639" s="195" t="s">
        <v>4333</v>
      </c>
      <c r="AG639" s="208">
        <v>60200.27</v>
      </c>
      <c r="AH639" s="208">
        <v>60200.27</v>
      </c>
      <c r="AI639" s="165" t="s">
        <v>4336</v>
      </c>
      <c r="AJ639" s="104" t="s">
        <v>4438</v>
      </c>
      <c r="AK639" s="103">
        <v>148267225</v>
      </c>
      <c r="AL639" s="103" t="s">
        <v>4338</v>
      </c>
      <c r="AM639" s="103" t="s">
        <v>4338</v>
      </c>
      <c r="AN639" s="103" t="s">
        <v>4339</v>
      </c>
      <c r="AO639" s="112"/>
      <c r="AP639" s="171" t="s">
        <v>7120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46118</v>
      </c>
      <c r="AV639" s="103" t="s">
        <v>4338</v>
      </c>
      <c r="AW639" s="103" t="s">
        <v>4338</v>
      </c>
      <c r="AX639" s="105">
        <v>46126</v>
      </c>
      <c r="AY639" s="106">
        <v>46126</v>
      </c>
      <c r="AZ639" s="106" t="s">
        <v>4453</v>
      </c>
      <c r="BA639" s="107" t="s">
        <v>4454</v>
      </c>
      <c r="BB639" s="136" t="s">
        <v>4338</v>
      </c>
      <c r="BC639" s="220">
        <f>IF(AY639-KD639=0,"",AY639-O639)</f>
        <v>130</v>
      </c>
      <c r="BD639" s="103" t="str">
        <f>IF(AND(AI639&lt;&gt;"SIM",AI639="UH"),"AA","INDENIZAÇÃO")</f>
        <v>INDENIZAÇÃO</v>
      </c>
      <c r="BE639" s="103" t="str">
        <f>IF(AND(AY639&lt;&gt;"AGUARDANDO",AY639&lt;&gt;"",N639="AUXÍLIO ALUGUEL ATÉ INDENIZAÇÃO"),"SIM","NÃO")</f>
        <v>NÃO</v>
      </c>
      <c r="BF639" s="112" t="s">
        <v>4357</v>
      </c>
      <c r="BG639" s="112" t="s">
        <v>4357</v>
      </c>
      <c r="BH639" s="112" t="s">
        <v>4357</v>
      </c>
      <c r="BI639" s="109" t="s">
        <v>4912</v>
      </c>
      <c r="BJ639" s="109"/>
      <c r="BK639" s="109"/>
      <c r="BL639" s="109"/>
      <c r="BM639" s="239"/>
    </row>
    <row r="640" spans="1:67" ht="30" customHeight="1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7121</v>
      </c>
      <c r="G640" s="103" t="s">
        <v>4330</v>
      </c>
      <c r="H640" s="103" t="s">
        <v>4331</v>
      </c>
      <c r="I640" s="142" t="s">
        <v>4343</v>
      </c>
      <c r="J640" s="114" t="s">
        <v>7122</v>
      </c>
      <c r="K640" s="149" t="s">
        <v>7123</v>
      </c>
      <c r="L640" s="149" t="s">
        <v>7124</v>
      </c>
      <c r="M640" s="103" t="s">
        <v>4333</v>
      </c>
      <c r="N640" s="103" t="s">
        <v>4459</v>
      </c>
      <c r="O640" s="105">
        <v>45980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149" t="s">
        <v>7122</v>
      </c>
      <c r="AC640" s="149" t="s">
        <v>7123</v>
      </c>
      <c r="AD640" s="149" t="s">
        <v>7124</v>
      </c>
      <c r="AE640" s="103" t="s">
        <v>4343</v>
      </c>
      <c r="AF640" s="103" t="s">
        <v>4333</v>
      </c>
      <c r="AG640" s="194">
        <v>34520.269999999997</v>
      </c>
      <c r="AH640" s="194">
        <v>60000</v>
      </c>
      <c r="AI640" s="103" t="s">
        <v>4336</v>
      </c>
      <c r="AJ640" s="104" t="s">
        <v>4438</v>
      </c>
      <c r="AK640" s="103">
        <v>146672083</v>
      </c>
      <c r="AL640" s="103" t="s">
        <v>4338</v>
      </c>
      <c r="AM640" s="103" t="s">
        <v>4338</v>
      </c>
      <c r="AN640" s="103" t="s">
        <v>4339</v>
      </c>
      <c r="AO640" s="112"/>
      <c r="AP640" s="171" t="s">
        <v>7125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8">
        <v>46017</v>
      </c>
      <c r="AV640" s="112" t="s">
        <v>4338</v>
      </c>
      <c r="AW640" s="103" t="s">
        <v>4338</v>
      </c>
      <c r="AX640" s="166">
        <v>46024</v>
      </c>
      <c r="AY640" s="157">
        <v>46024</v>
      </c>
      <c r="AZ640" s="157" t="s">
        <v>4453</v>
      </c>
      <c r="BA640" s="174" t="s">
        <v>4454</v>
      </c>
      <c r="BB640" s="136" t="s">
        <v>4338</v>
      </c>
      <c r="BC640" s="220">
        <f>IF(AY640-KD640=0,"",AY640-O640)</f>
        <v>44</v>
      </c>
      <c r="BD640" s="103" t="str">
        <f>IF(AND(AI640&lt;&gt;"SIM",AI640="UH"),"AA","INDENIZAÇÃO")</f>
        <v>INDENIZAÇÃO</v>
      </c>
      <c r="BE640" s="103" t="str">
        <f>IF(AND(AY640&lt;&gt;"AGUARDANDO",AY640&lt;&gt;"",N640="AUXÍLIO ALUGUEL ATÉ INDENIZAÇÃO"),"SIM","NÃO")</f>
        <v>NÃO</v>
      </c>
      <c r="BF640" s="140" t="s">
        <v>4357</v>
      </c>
      <c r="BG640" s="140" t="s">
        <v>4357</v>
      </c>
      <c r="BH640" s="140" t="s">
        <v>4357</v>
      </c>
      <c r="BI640" s="154" t="s">
        <v>4912</v>
      </c>
      <c r="BJ640" s="154"/>
      <c r="BK640" s="154"/>
      <c r="BL640" s="154"/>
      <c r="BM640" s="237"/>
      <c r="BN640" s="231"/>
      <c r="BO640" s="231"/>
    </row>
    <row r="641" spans="1:66" ht="30" customHeight="1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7126</v>
      </c>
      <c r="G641" s="103" t="s">
        <v>4330</v>
      </c>
      <c r="H641" s="103" t="s">
        <v>4331</v>
      </c>
      <c r="I641" s="142" t="s">
        <v>4343</v>
      </c>
      <c r="J641" s="149" t="s">
        <v>7127</v>
      </c>
      <c r="K641" s="149" t="s">
        <v>7128</v>
      </c>
      <c r="L641" s="149" t="s">
        <v>7129</v>
      </c>
      <c r="M641" s="103" t="s">
        <v>4333</v>
      </c>
      <c r="N641" s="103" t="s">
        <v>4459</v>
      </c>
      <c r="O641" s="105">
        <v>46001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05"/>
      <c r="AB641" s="149" t="s">
        <v>7127</v>
      </c>
      <c r="AC641" s="149" t="s">
        <v>7128</v>
      </c>
      <c r="AD641" s="149" t="s">
        <v>7129</v>
      </c>
      <c r="AE641" s="103" t="s">
        <v>4343</v>
      </c>
      <c r="AF641" s="103" t="s">
        <v>4333</v>
      </c>
      <c r="AG641" s="194">
        <v>106038.77</v>
      </c>
      <c r="AH641" s="194">
        <v>106038.77</v>
      </c>
      <c r="AI641" s="103" t="s">
        <v>4336</v>
      </c>
      <c r="AJ641" s="104" t="s">
        <v>4438</v>
      </c>
      <c r="AK641" s="103">
        <v>147998553</v>
      </c>
      <c r="AL641" s="103" t="s">
        <v>4338</v>
      </c>
      <c r="AM641" s="103" t="s">
        <v>4338</v>
      </c>
      <c r="AN641" s="103" t="s">
        <v>4339</v>
      </c>
      <c r="AO641" s="103"/>
      <c r="AP641" s="171" t="s">
        <v>7130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46021</v>
      </c>
      <c r="AV641" s="103" t="s">
        <v>4338</v>
      </c>
      <c r="AW641" s="103" t="s">
        <v>4338</v>
      </c>
      <c r="AX641" s="105">
        <v>46105</v>
      </c>
      <c r="AY641" s="157">
        <v>46105</v>
      </c>
      <c r="AZ641" s="157" t="s">
        <v>4453</v>
      </c>
      <c r="BA641" s="174" t="s">
        <v>4454</v>
      </c>
      <c r="BB641" s="136" t="s">
        <v>4338</v>
      </c>
      <c r="BC641" s="220">
        <f>IF(AY641-KD641=0,"",AY641-O641)</f>
        <v>104</v>
      </c>
      <c r="BD641" s="103" t="str">
        <f>IF(AND(AI641&lt;&gt;"SIM",AI641="UH"),"AA","INDENIZAÇÃO")</f>
        <v>INDENIZAÇÃO</v>
      </c>
      <c r="BE641" s="103" t="str">
        <f>IF(AND(AY641&lt;&gt;"AGUARDANDO",AY641&lt;&gt;"",N641="AUXÍLIO ALUGUEL ATÉ INDENIZAÇÃO"),"SIM","NÃO")</f>
        <v>NÃO</v>
      </c>
      <c r="BF641" s="140" t="s">
        <v>4357</v>
      </c>
      <c r="BG641" s="140" t="s">
        <v>4357</v>
      </c>
      <c r="BH641" s="140" t="s">
        <v>4357</v>
      </c>
      <c r="BI641" s="154" t="s">
        <v>4912</v>
      </c>
      <c r="BJ641" s="154"/>
      <c r="BK641" s="154"/>
      <c r="BL641" s="154"/>
      <c r="BM641" s="237"/>
      <c r="BN641" s="231"/>
    </row>
    <row r="642" spans="1:66" ht="30" customHeight="1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7131</v>
      </c>
      <c r="G642" s="103" t="s">
        <v>4330</v>
      </c>
      <c r="H642" s="103" t="s">
        <v>4331</v>
      </c>
      <c r="I642" s="142" t="s">
        <v>4343</v>
      </c>
      <c r="J642" s="149" t="s">
        <v>7132</v>
      </c>
      <c r="K642" s="149" t="s">
        <v>7133</v>
      </c>
      <c r="L642" s="149" t="s">
        <v>7134</v>
      </c>
      <c r="M642" s="103" t="s">
        <v>4333</v>
      </c>
      <c r="N642" s="103" t="s">
        <v>4459</v>
      </c>
      <c r="O642" s="105">
        <v>46001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7132</v>
      </c>
      <c r="AC642" s="149" t="s">
        <v>7133</v>
      </c>
      <c r="AD642" s="149" t="s">
        <v>7134</v>
      </c>
      <c r="AE642" s="103" t="s">
        <v>4343</v>
      </c>
      <c r="AF642" s="103" t="s">
        <v>4333</v>
      </c>
      <c r="AG642" s="194">
        <v>50410.89</v>
      </c>
      <c r="AH642" s="194">
        <v>60000</v>
      </c>
      <c r="AI642" s="103" t="s">
        <v>4336</v>
      </c>
      <c r="AJ642" s="104" t="s">
        <v>4438</v>
      </c>
      <c r="AK642" s="103">
        <v>147998835</v>
      </c>
      <c r="AL642" s="103" t="s">
        <v>4338</v>
      </c>
      <c r="AM642" s="103" t="s">
        <v>4338</v>
      </c>
      <c r="AN642" s="103" t="s">
        <v>4339</v>
      </c>
      <c r="AO642" s="103"/>
      <c r="AP642" s="171" t="s">
        <v>7135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46021</v>
      </c>
      <c r="AV642" s="112" t="s">
        <v>4338</v>
      </c>
      <c r="AW642" s="103" t="s">
        <v>4338</v>
      </c>
      <c r="AX642" s="111">
        <v>46041</v>
      </c>
      <c r="AY642" s="157">
        <v>46041</v>
      </c>
      <c r="AZ642" s="157" t="s">
        <v>4453</v>
      </c>
      <c r="BA642" s="174" t="s">
        <v>4454</v>
      </c>
      <c r="BB642" s="136" t="s">
        <v>4338</v>
      </c>
      <c r="BC642" s="220">
        <f>IF(AY642-KD642=0,"",AY642-O642)</f>
        <v>40</v>
      </c>
      <c r="BD642" s="103" t="str">
        <f>IF(AND(AI642&lt;&gt;"SIM",AI642="UH"),"AA","INDENIZAÇÃO")</f>
        <v>INDENIZAÇÃO</v>
      </c>
      <c r="BE642" s="103" t="str">
        <f>IF(AND(AY642&lt;&gt;"AGUARDANDO",AY642&lt;&gt;"",N642="AUXÍLIO ALUGUEL ATÉ INDENIZAÇÃO"),"SIM","NÃO")</f>
        <v>NÃO</v>
      </c>
      <c r="BF642" s="140" t="s">
        <v>4357</v>
      </c>
      <c r="BG642" s="140" t="s">
        <v>4357</v>
      </c>
      <c r="BH642" s="140" t="s">
        <v>4357</v>
      </c>
      <c r="BI642" s="154" t="s">
        <v>4912</v>
      </c>
      <c r="BJ642" s="154"/>
      <c r="BK642" s="154"/>
      <c r="BL642" s="154"/>
      <c r="BM642" s="237"/>
      <c r="BN642" s="231"/>
    </row>
    <row r="643" spans="1:66" ht="30" customHeight="1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7136</v>
      </c>
      <c r="G643" s="103" t="s">
        <v>4330</v>
      </c>
      <c r="H643" s="103" t="s">
        <v>4331</v>
      </c>
      <c r="I643" s="142" t="s">
        <v>4343</v>
      </c>
      <c r="J643" s="149" t="s">
        <v>7137</v>
      </c>
      <c r="K643" s="149" t="s">
        <v>7138</v>
      </c>
      <c r="L643" s="149" t="s">
        <v>7139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7137</v>
      </c>
      <c r="AC643" s="149" t="s">
        <v>7138</v>
      </c>
      <c r="AD643" s="149" t="s">
        <v>7139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>IF(AY643-KD643=0,"",AY643-O643)</f>
        <v/>
      </c>
      <c r="BD643" s="103" t="str">
        <f>IF(AND(AI643&lt;&gt;"SIM",AI643="UH"),"AA","INDENIZAÇÃO")</f>
        <v>AA</v>
      </c>
      <c r="BE643" s="103" t="str">
        <f>IF(AND(AY643&lt;&gt;"AGUARDANDO",AY643&lt;&gt;"",N643="AUXÍLIO ALUGUEL ATÉ INDENIZAÇÃO"),"SIM","NÃO")</f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customHeight="1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7140</v>
      </c>
      <c r="G644" s="103" t="s">
        <v>4330</v>
      </c>
      <c r="H644" s="103" t="s">
        <v>4331</v>
      </c>
      <c r="I644" s="142" t="s">
        <v>4343</v>
      </c>
      <c r="J644" s="149" t="s">
        <v>7141</v>
      </c>
      <c r="K644" s="149" t="s">
        <v>7142</v>
      </c>
      <c r="L644" s="149" t="s">
        <v>7143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7141</v>
      </c>
      <c r="AC644" s="149" t="s">
        <v>7142</v>
      </c>
      <c r="AD644" s="149" t="s">
        <v>7143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>IF(AY644-KD644=0,"",AY644-O644)</f>
        <v/>
      </c>
      <c r="BD644" s="103" t="str">
        <f>IF(AND(AI644&lt;&gt;"SIM",AI644="UH"),"AA","INDENIZAÇÃO")</f>
        <v>AA</v>
      </c>
      <c r="BE644" s="103" t="str">
        <f>IF(AND(AY644&lt;&gt;"AGUARDANDO",AY644&lt;&gt;"",N644="AUXÍLIO ALUGUEL ATÉ INDENIZAÇÃO"),"SIM","NÃO")</f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customHeight="1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7144</v>
      </c>
      <c r="G645" s="103" t="s">
        <v>4330</v>
      </c>
      <c r="H645" s="103" t="s">
        <v>4331</v>
      </c>
      <c r="I645" s="142" t="s">
        <v>4343</v>
      </c>
      <c r="J645" s="149" t="s">
        <v>7145</v>
      </c>
      <c r="K645" s="149" t="s">
        <v>7146</v>
      </c>
      <c r="L645" s="149" t="s">
        <v>7147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7145</v>
      </c>
      <c r="AC645" s="149" t="s">
        <v>7146</v>
      </c>
      <c r="AD645" s="149" t="s">
        <v>7147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>IF(AY645-KD645=0,"",AY645-O645)</f>
        <v/>
      </c>
      <c r="BD645" s="103" t="str">
        <f>IF(AND(AI645&lt;&gt;"SIM",AI645="UH"),"AA","INDENIZAÇÃO")</f>
        <v>AA</v>
      </c>
      <c r="BE645" s="103" t="str">
        <f>IF(AND(AY645&lt;&gt;"AGUARDANDO",AY645&lt;&gt;"",N645="AUXÍLIO ALUGUEL ATÉ INDENIZAÇÃO"),"SIM","NÃO")</f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customHeight="1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7148</v>
      </c>
      <c r="G646" s="103" t="s">
        <v>4330</v>
      </c>
      <c r="H646" s="103" t="s">
        <v>4331</v>
      </c>
      <c r="I646" s="142" t="s">
        <v>4343</v>
      </c>
      <c r="J646" s="149" t="s">
        <v>7149</v>
      </c>
      <c r="K646" s="149" t="s">
        <v>7150</v>
      </c>
      <c r="L646" s="149" t="s">
        <v>7151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7149</v>
      </c>
      <c r="AC646" s="149" t="s">
        <v>7150</v>
      </c>
      <c r="AD646" s="149" t="s">
        <v>7151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>IF(AY646-KD646=0,"",AY646-O646)</f>
        <v/>
      </c>
      <c r="BD646" s="103" t="str">
        <f>IF(AND(AI646&lt;&gt;"SIM",AI646="UH"),"AA","INDENIZAÇÃO")</f>
        <v>AA</v>
      </c>
      <c r="BE646" s="103" t="str">
        <f>IF(AND(AY646&lt;&gt;"AGUARDANDO",AY646&lt;&gt;"",N646="AUXÍLIO ALUGUEL ATÉ INDENIZAÇÃO"),"SIM","NÃO")</f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customHeight="1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7152</v>
      </c>
      <c r="G647" s="103" t="s">
        <v>4330</v>
      </c>
      <c r="H647" s="103" t="s">
        <v>4331</v>
      </c>
      <c r="I647" s="142" t="s">
        <v>4343</v>
      </c>
      <c r="J647" s="149" t="s">
        <v>7153</v>
      </c>
      <c r="K647" s="149" t="s">
        <v>7154</v>
      </c>
      <c r="L647" s="149" t="s">
        <v>7155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7153</v>
      </c>
      <c r="AC647" s="149" t="s">
        <v>7154</v>
      </c>
      <c r="AD647" s="149" t="s">
        <v>7155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>IF(AY647-KD647=0,"",AY647-O647)</f>
        <v/>
      </c>
      <c r="BD647" s="103" t="str">
        <f>IF(AND(AI647&lt;&gt;"SIM",AI647="UH"),"AA","INDENIZAÇÃO")</f>
        <v>AA</v>
      </c>
      <c r="BE647" s="103" t="str">
        <f>IF(AND(AY647&lt;&gt;"AGUARDANDO",AY647&lt;&gt;"",N647="AUXÍLIO ALUGUEL ATÉ INDENIZAÇÃO"),"SIM","NÃO")</f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customHeight="1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7156</v>
      </c>
      <c r="G648" s="103" t="s">
        <v>4330</v>
      </c>
      <c r="H648" s="103" t="s">
        <v>4331</v>
      </c>
      <c r="I648" s="142" t="s">
        <v>4343</v>
      </c>
      <c r="J648" s="149" t="s">
        <v>7157</v>
      </c>
      <c r="K648" s="149" t="s">
        <v>7158</v>
      </c>
      <c r="L648" s="149" t="s">
        <v>7159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7157</v>
      </c>
      <c r="AC648" s="149" t="s">
        <v>7158</v>
      </c>
      <c r="AD648" s="149" t="s">
        <v>7159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>IF(AY648-KD648=0,"",AY648-O648)</f>
        <v/>
      </c>
      <c r="BD648" s="103" t="str">
        <f>IF(AND(AI648&lt;&gt;"SIM",AI648="UH"),"AA","INDENIZAÇÃO")</f>
        <v>AA</v>
      </c>
      <c r="BE648" s="103" t="str">
        <f>IF(AND(AY648&lt;&gt;"AGUARDANDO",AY648&lt;&gt;"",N648="AUXÍLIO ALUGUEL ATÉ INDENIZAÇÃO"),"SIM","NÃO")</f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customHeight="1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7160</v>
      </c>
      <c r="G649" s="112" t="s">
        <v>4341</v>
      </c>
      <c r="H649" s="103" t="s">
        <v>4351</v>
      </c>
      <c r="I649" s="153" t="s">
        <v>4332</v>
      </c>
      <c r="J649" s="149" t="s">
        <v>7161</v>
      </c>
      <c r="K649" s="149" t="s">
        <v>7162</v>
      </c>
      <c r="L649" s="149" t="s">
        <v>7163</v>
      </c>
      <c r="M649" s="103" t="s">
        <v>4333</v>
      </c>
      <c r="N649" s="103" t="s">
        <v>4459</v>
      </c>
      <c r="O649" s="105">
        <v>46106</v>
      </c>
      <c r="P649" s="105" t="s">
        <v>4356</v>
      </c>
      <c r="Q649" s="105" t="s">
        <v>4356</v>
      </c>
      <c r="R649" s="105" t="s">
        <v>4356</v>
      </c>
      <c r="S649" s="105" t="s">
        <v>4356</v>
      </c>
      <c r="T649" s="105" t="s">
        <v>4356</v>
      </c>
      <c r="U649" s="105" t="s">
        <v>4356</v>
      </c>
      <c r="V649" s="105" t="s">
        <v>4356</v>
      </c>
      <c r="W649" s="105" t="s">
        <v>4356</v>
      </c>
      <c r="X649" s="105" t="s">
        <v>4356</v>
      </c>
      <c r="Y649" s="105" t="s">
        <v>4356</v>
      </c>
      <c r="Z649" s="105"/>
      <c r="AA649" s="105"/>
      <c r="AB649" s="149" t="s">
        <v>7161</v>
      </c>
      <c r="AC649" s="149" t="s">
        <v>7162</v>
      </c>
      <c r="AD649" s="149" t="s">
        <v>7163</v>
      </c>
      <c r="AE649" s="153" t="s">
        <v>4332</v>
      </c>
      <c r="AF649" s="103" t="s">
        <v>4333</v>
      </c>
      <c r="AG649" s="194">
        <v>9923.85</v>
      </c>
      <c r="AH649" s="194">
        <v>9923.85</v>
      </c>
      <c r="AI649" s="103" t="s">
        <v>4336</v>
      </c>
      <c r="AJ649" s="104" t="s">
        <v>4438</v>
      </c>
      <c r="AK649" s="103">
        <v>151380424</v>
      </c>
      <c r="AL649" s="142" t="s">
        <v>4338</v>
      </c>
      <c r="AM649" s="103" t="s">
        <v>4338</v>
      </c>
      <c r="AN649" s="103" t="s">
        <v>4339</v>
      </c>
      <c r="AO649" s="103"/>
      <c r="AP649" s="171" t="s">
        <v>7164</v>
      </c>
      <c r="AQ649" s="224" t="s">
        <v>4338</v>
      </c>
      <c r="AR649" s="143" t="s">
        <v>4338</v>
      </c>
      <c r="AS649" s="103" t="s">
        <v>4338</v>
      </c>
      <c r="AT649" s="103" t="s">
        <v>4338</v>
      </c>
      <c r="AU649" s="105">
        <v>46150</v>
      </c>
      <c r="AV649" s="103" t="s">
        <v>4338</v>
      </c>
      <c r="AW649" s="103" t="s">
        <v>4338</v>
      </c>
      <c r="AX649" s="105">
        <v>46157</v>
      </c>
      <c r="AY649" s="106">
        <v>46157</v>
      </c>
      <c r="AZ649" s="106" t="s">
        <v>4453</v>
      </c>
      <c r="BA649" s="174" t="s">
        <v>4454</v>
      </c>
      <c r="BB649" s="136" t="s">
        <v>4338</v>
      </c>
      <c r="BC649" s="220">
        <f>IF(AY649-KD649=0,"",AY649-O649)</f>
        <v>51</v>
      </c>
      <c r="BD649" s="103" t="str">
        <f>IF(AND(AI649&lt;&gt;"SIM",AI649="UH"),"AA","INDENIZAÇÃO")</f>
        <v>INDENIZAÇÃO</v>
      </c>
      <c r="BE649" s="103" t="str">
        <f>IF(AND(AY649&lt;&gt;"AGUARDANDO",AY649&lt;&gt;"",N649="AUXÍLIO ALUGUEL ATÉ INDENIZAÇÃO"),"SIM","NÃO")</f>
        <v>NÃO</v>
      </c>
      <c r="BF649" s="140" t="s">
        <v>4357</v>
      </c>
      <c r="BG649" s="140" t="s">
        <v>4357</v>
      </c>
      <c r="BH649" s="140" t="s">
        <v>4357</v>
      </c>
      <c r="BI649" s="154" t="s">
        <v>4912</v>
      </c>
      <c r="BJ649" s="154"/>
      <c r="BK649" s="154"/>
      <c r="BL649" s="154"/>
      <c r="BM649" s="237"/>
      <c r="BN649" s="231"/>
    </row>
    <row r="650" spans="1:66" ht="30" customHeight="1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7165</v>
      </c>
      <c r="G650" s="98" t="s">
        <v>4330</v>
      </c>
      <c r="H650" s="103" t="s">
        <v>4331</v>
      </c>
      <c r="I650" s="246" t="s">
        <v>4343</v>
      </c>
      <c r="J650" s="149" t="s">
        <v>7166</v>
      </c>
      <c r="K650" s="149" t="s">
        <v>7167</v>
      </c>
      <c r="L650" s="149" t="s">
        <v>7168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7166</v>
      </c>
      <c r="AC650" s="149" t="s">
        <v>7167</v>
      </c>
      <c r="AD650" s="149" t="s">
        <v>7168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>IF(AY650-KD650=0,"",AY650-O650)</f>
        <v/>
      </c>
      <c r="BD650" s="103" t="str">
        <f>IF(AND(AI650&lt;&gt;"SIM",AI650="UH"),"AA","INDENIZAÇÃO")</f>
        <v>AA</v>
      </c>
      <c r="BE650" s="103" t="str">
        <f>IF(AND(AY650&lt;&gt;"AGUARDANDO",AY650&lt;&gt;"",N650="AUXÍLIO ALUGUEL ATÉ INDENIZAÇÃO"),"SIM","NÃO")</f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customHeight="1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7169</v>
      </c>
      <c r="G651" s="103" t="s">
        <v>4330</v>
      </c>
      <c r="H651" s="103" t="s">
        <v>4331</v>
      </c>
      <c r="I651" s="142" t="s">
        <v>4343</v>
      </c>
      <c r="J651" s="149" t="s">
        <v>7170</v>
      </c>
      <c r="K651" s="149" t="s">
        <v>7171</v>
      </c>
      <c r="L651" s="149" t="s">
        <v>7172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7170</v>
      </c>
      <c r="AC651" s="149" t="s">
        <v>7171</v>
      </c>
      <c r="AD651" s="149" t="s">
        <v>7172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>IF(AY651-KD651=0,"",AY651-O651)</f>
        <v/>
      </c>
      <c r="BD651" s="103" t="str">
        <f>IF(AND(AI651&lt;&gt;"SIM",AI651="UH"),"AA","INDENIZAÇÃO")</f>
        <v>AA</v>
      </c>
      <c r="BE651" s="103" t="str">
        <f>IF(AND(AY651&lt;&gt;"AGUARDANDO",AY651&lt;&gt;"",N651="AUXÍLIO ALUGUEL ATÉ INDENIZAÇÃO"),"SIM","NÃO")</f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customHeight="1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7173</v>
      </c>
      <c r="G652" s="103" t="s">
        <v>4330</v>
      </c>
      <c r="H652" s="103" t="s">
        <v>4331</v>
      </c>
      <c r="I652" s="142" t="s">
        <v>7004</v>
      </c>
      <c r="J652" s="149" t="s">
        <v>7174</v>
      </c>
      <c r="K652" s="149" t="s">
        <v>7175</v>
      </c>
      <c r="L652" s="149" t="s">
        <v>7176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7174</v>
      </c>
      <c r="AC652" s="149" t="s">
        <v>7175</v>
      </c>
      <c r="AD652" s="149" t="s">
        <v>7176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>IF(AY652-KD652=0,"",AY652-O652)</f>
        <v/>
      </c>
      <c r="BD652" s="103" t="str">
        <f>IF(AND(AI652&lt;&gt;"SIM",AI652="UH"),"AA","INDENIZAÇÃO")</f>
        <v>AA</v>
      </c>
      <c r="BE652" s="103" t="str">
        <f>IF(AND(AY652&lt;&gt;"AGUARDANDO",AY652&lt;&gt;"",N652="AUXÍLIO ALUGUEL ATÉ INDENIZAÇÃO"),"SIM","NÃO")</f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customHeight="1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7177</v>
      </c>
      <c r="G653" s="103" t="s">
        <v>4330</v>
      </c>
      <c r="H653" s="103" t="s">
        <v>4331</v>
      </c>
      <c r="I653" s="142" t="s">
        <v>4440</v>
      </c>
      <c r="J653" s="149" t="s">
        <v>7178</v>
      </c>
      <c r="K653" s="149" t="s">
        <v>7179</v>
      </c>
      <c r="L653" s="149" t="s">
        <v>7180</v>
      </c>
      <c r="M653" s="103" t="s">
        <v>4333</v>
      </c>
      <c r="N653" s="103" t="s">
        <v>4345</v>
      </c>
      <c r="O653" s="105">
        <v>46094</v>
      </c>
      <c r="P653" s="105">
        <v>46217</v>
      </c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49" t="s">
        <v>7181</v>
      </c>
      <c r="AC653" s="149" t="s">
        <v>7182</v>
      </c>
      <c r="AD653" s="149" t="s">
        <v>7183</v>
      </c>
      <c r="AE653" s="142" t="s">
        <v>4332</v>
      </c>
      <c r="AF653" s="142" t="s">
        <v>4343</v>
      </c>
      <c r="AG653" s="194">
        <v>117246.92</v>
      </c>
      <c r="AH653" s="194">
        <v>117246.92</v>
      </c>
      <c r="AI653" s="103" t="s">
        <v>4447</v>
      </c>
      <c r="AJ653" s="104" t="s">
        <v>4438</v>
      </c>
      <c r="AK653" s="103">
        <v>151553351</v>
      </c>
      <c r="AL653" s="142" t="s">
        <v>4338</v>
      </c>
      <c r="AM653" s="103" t="s">
        <v>4338</v>
      </c>
      <c r="AN653" s="103" t="s">
        <v>4339</v>
      </c>
      <c r="AO653" s="112"/>
      <c r="AP653" s="171" t="s">
        <v>7184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46170</v>
      </c>
      <c r="AV653" s="103" t="s">
        <v>4338</v>
      </c>
      <c r="AW653" s="103" t="s">
        <v>4338</v>
      </c>
      <c r="AX653" s="105">
        <v>46182</v>
      </c>
      <c r="AY653" s="106">
        <v>46179</v>
      </c>
      <c r="AZ653" s="106" t="s">
        <v>4453</v>
      </c>
      <c r="BA653" s="107" t="s">
        <v>4454</v>
      </c>
      <c r="BB653" s="112" t="s">
        <v>4338</v>
      </c>
      <c r="BC653" s="220">
        <f>IF(AY653-KD653=0,"",AY653-O653)</f>
        <v>85</v>
      </c>
      <c r="BD653" s="103" t="str">
        <f>IF(AND(AI653&lt;&gt;"SIM",AI653="UH"),"AA","INDENIZAÇÃO")</f>
        <v>INDENIZAÇÃO</v>
      </c>
      <c r="BE653" s="103" t="str">
        <f>IF(AND(AY653&lt;&gt;"AGUARDANDO",AY653&lt;&gt;"",N653="AUXÍLIO ALUGUEL ATÉ INDENIZAÇÃO"),"SIM","NÃO")</f>
        <v>NÃO</v>
      </c>
      <c r="BF653" s="112" t="s">
        <v>4357</v>
      </c>
      <c r="BG653" s="112" t="s">
        <v>4357</v>
      </c>
      <c r="BH653" s="112" t="s">
        <v>4357</v>
      </c>
      <c r="BI653" s="154" t="s">
        <v>4912</v>
      </c>
      <c r="BJ653" s="109"/>
      <c r="BK653" s="109"/>
      <c r="BL653" s="109"/>
      <c r="BM653" s="239"/>
    </row>
    <row r="654" spans="1:66" ht="30" customHeight="1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7185</v>
      </c>
      <c r="G654" s="103" t="s">
        <v>4330</v>
      </c>
      <c r="H654" s="103" t="s">
        <v>4331</v>
      </c>
      <c r="I654" s="142" t="s">
        <v>4343</v>
      </c>
      <c r="J654" s="149" t="s">
        <v>7186</v>
      </c>
      <c r="K654" s="149" t="s">
        <v>7187</v>
      </c>
      <c r="L654" s="149" t="s">
        <v>7188</v>
      </c>
      <c r="M654" s="103" t="s">
        <v>4333</v>
      </c>
      <c r="N654" s="103" t="s">
        <v>4459</v>
      </c>
      <c r="O654" s="105">
        <v>46106</v>
      </c>
      <c r="P654" s="105" t="s">
        <v>4356</v>
      </c>
      <c r="Q654" s="105" t="s">
        <v>4356</v>
      </c>
      <c r="R654" s="105" t="s">
        <v>4356</v>
      </c>
      <c r="S654" s="105" t="s">
        <v>4356</v>
      </c>
      <c r="T654" s="105" t="s">
        <v>4356</v>
      </c>
      <c r="U654" s="105" t="s">
        <v>4356</v>
      </c>
      <c r="V654" s="105" t="s">
        <v>4356</v>
      </c>
      <c r="W654" s="105" t="s">
        <v>4356</v>
      </c>
      <c r="X654" s="105" t="s">
        <v>4356</v>
      </c>
      <c r="Y654" s="105" t="s">
        <v>4356</v>
      </c>
      <c r="Z654" s="105"/>
      <c r="AA654" s="105"/>
      <c r="AB654" s="149" t="s">
        <v>7186</v>
      </c>
      <c r="AC654" s="149" t="s">
        <v>7187</v>
      </c>
      <c r="AD654" s="149" t="s">
        <v>7188</v>
      </c>
      <c r="AE654" s="165" t="s">
        <v>4343</v>
      </c>
      <c r="AF654" s="165" t="s">
        <v>4333</v>
      </c>
      <c r="AG654" s="208">
        <v>208913.76</v>
      </c>
      <c r="AH654" s="208">
        <v>208913.76</v>
      </c>
      <c r="AI654" s="165" t="s">
        <v>4447</v>
      </c>
      <c r="AJ654" s="104" t="s">
        <v>4438</v>
      </c>
      <c r="AK654" s="103">
        <v>153362453</v>
      </c>
      <c r="AL654" s="142" t="s">
        <v>4338</v>
      </c>
      <c r="AM654" s="103" t="s">
        <v>4338</v>
      </c>
      <c r="AN654" s="103" t="s">
        <v>4339</v>
      </c>
      <c r="AO654" s="103"/>
      <c r="AP654" s="171" t="s">
        <v>7189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46153</v>
      </c>
      <c r="AV654" s="103" t="s">
        <v>4338</v>
      </c>
      <c r="AW654" s="103" t="s">
        <v>4338</v>
      </c>
      <c r="AX654" s="105">
        <v>46157</v>
      </c>
      <c r="AY654" s="106">
        <v>46157</v>
      </c>
      <c r="AZ654" s="106" t="s">
        <v>4453</v>
      </c>
      <c r="BA654" s="174" t="s">
        <v>4454</v>
      </c>
      <c r="BB654" s="136" t="s">
        <v>4338</v>
      </c>
      <c r="BC654" s="220">
        <f>IF(AY654-KD654=0,"",AY654-O654)</f>
        <v>51</v>
      </c>
      <c r="BD654" s="103" t="str">
        <f>IF(AND(AI654&lt;&gt;"SIM",AI654="UH"),"AA","INDENIZAÇÃO")</f>
        <v>INDENIZAÇÃO</v>
      </c>
      <c r="BE654" s="103" t="str">
        <f>IF(AND(AY654&lt;&gt;"AGUARDANDO",AY654&lt;&gt;"",N654="AUXÍLIO ALUGUEL ATÉ INDENIZAÇÃO"),"SIM","NÃO")</f>
        <v>NÃO</v>
      </c>
      <c r="BF654" s="140" t="s">
        <v>4357</v>
      </c>
      <c r="BG654" s="140" t="s">
        <v>4357</v>
      </c>
      <c r="BH654" s="140" t="s">
        <v>4357</v>
      </c>
      <c r="BI654" s="154" t="s">
        <v>4912</v>
      </c>
      <c r="BJ654" s="154"/>
      <c r="BK654" s="154"/>
      <c r="BL654" s="154"/>
      <c r="BM654" s="237"/>
      <c r="BN654" s="231"/>
    </row>
    <row r="655" spans="1:66" ht="30" customHeight="1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7190</v>
      </c>
      <c r="G655" s="103" t="s">
        <v>4330</v>
      </c>
      <c r="H655" s="103" t="s">
        <v>4331</v>
      </c>
      <c r="I655" s="142" t="s">
        <v>4343</v>
      </c>
      <c r="J655" s="149" t="s">
        <v>7191</v>
      </c>
      <c r="K655" s="149" t="s">
        <v>7192</v>
      </c>
      <c r="L655" s="149" t="s">
        <v>7193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7191</v>
      </c>
      <c r="AC655" s="149" t="s">
        <v>7192</v>
      </c>
      <c r="AD655" s="149" t="s">
        <v>7193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>IF(AY655-KD655=0,"",AY655-O655)</f>
        <v/>
      </c>
      <c r="BD655" s="103" t="str">
        <f>IF(AND(AI655&lt;&gt;"SIM",AI655="UH"),"AA","INDENIZAÇÃO")</f>
        <v>AA</v>
      </c>
      <c r="BE655" s="103" t="str">
        <f>IF(AND(AY655&lt;&gt;"AGUARDANDO",AY655&lt;&gt;"",N655="AUXÍLIO ALUGUEL ATÉ INDENIZAÇÃO"),"SIM","NÃO")</f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customHeight="1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7194</v>
      </c>
      <c r="G656" s="103" t="s">
        <v>4330</v>
      </c>
      <c r="H656" s="103" t="s">
        <v>4331</v>
      </c>
      <c r="I656" s="142" t="s">
        <v>4440</v>
      </c>
      <c r="J656" s="149" t="s">
        <v>7195</v>
      </c>
      <c r="K656" s="149" t="s">
        <v>6581</v>
      </c>
      <c r="L656" s="149" t="s">
        <v>7196</v>
      </c>
      <c r="M656" s="103" t="s">
        <v>4333</v>
      </c>
      <c r="N656" s="103" t="s">
        <v>4345</v>
      </c>
      <c r="O656" s="105">
        <v>46079</v>
      </c>
      <c r="P656" s="105">
        <v>46002</v>
      </c>
      <c r="Q656" s="105" t="s">
        <v>4436</v>
      </c>
      <c r="R656" s="105">
        <v>45999</v>
      </c>
      <c r="S656" s="105">
        <v>46006</v>
      </c>
      <c r="T656" s="105">
        <v>46006</v>
      </c>
      <c r="U656" s="105">
        <v>46009</v>
      </c>
      <c r="V656" s="105" t="s">
        <v>4437</v>
      </c>
      <c r="W656" s="105" t="s">
        <v>4437</v>
      </c>
      <c r="X656" s="105">
        <v>46014</v>
      </c>
      <c r="Y656" s="105">
        <v>46020</v>
      </c>
      <c r="Z656" s="105"/>
      <c r="AA656" s="103"/>
      <c r="AB656" s="149" t="s">
        <v>7197</v>
      </c>
      <c r="AC656" s="149" t="s">
        <v>7198</v>
      </c>
      <c r="AD656" s="149" t="s">
        <v>7199</v>
      </c>
      <c r="AE656" s="142" t="s">
        <v>4332</v>
      </c>
      <c r="AF656" s="103" t="s">
        <v>4333</v>
      </c>
      <c r="AG656" s="194">
        <v>24631.83</v>
      </c>
      <c r="AH656" s="194">
        <v>24631.83</v>
      </c>
      <c r="AI656" s="103" t="s">
        <v>4336</v>
      </c>
      <c r="AJ656" s="104" t="s">
        <v>4438</v>
      </c>
      <c r="AK656" s="103">
        <v>150959722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7200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46210</v>
      </c>
      <c r="AY656" s="106">
        <v>46210</v>
      </c>
      <c r="AZ656" s="272" t="s">
        <v>4453</v>
      </c>
      <c r="BA656" s="107" t="s">
        <v>4454</v>
      </c>
      <c r="BB656" s="136" t="s">
        <v>4338</v>
      </c>
      <c r="BC656" s="220">
        <f>IF(AY656-KD656=0,"",AY656-O656)</f>
        <v>131</v>
      </c>
      <c r="BD656" s="103" t="str">
        <f>IF(AND(AI656&lt;&gt;"SIM",AI656="UH"),"AA","INDENIZAÇÃO")</f>
        <v>INDENIZAÇÃO</v>
      </c>
      <c r="BE656" s="103" t="str">
        <f>IF(AND(AY656&lt;&gt;"AGUARDANDO",AY656&lt;&gt;"",N656="AUXÍLIO ALUGUEL ATÉ INDENIZAÇÃO"),"SIM","NÃO")</f>
        <v>NÃO</v>
      </c>
      <c r="BF656" s="140" t="s">
        <v>4357</v>
      </c>
      <c r="BG656" s="140" t="s">
        <v>4357</v>
      </c>
      <c r="BH656" s="140" t="s">
        <v>4357</v>
      </c>
      <c r="BI656" s="154" t="s">
        <v>4912</v>
      </c>
      <c r="BJ656" s="154"/>
      <c r="BK656" s="154"/>
      <c r="BL656" s="154"/>
      <c r="BM656" s="237"/>
    </row>
    <row r="657" spans="1:69" ht="30" customHeight="1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7201</v>
      </c>
      <c r="G657" s="103" t="s">
        <v>4330</v>
      </c>
      <c r="H657" s="103" t="s">
        <v>4331</v>
      </c>
      <c r="I657" s="142" t="s">
        <v>4343</v>
      </c>
      <c r="J657" s="149" t="s">
        <v>7202</v>
      </c>
      <c r="K657" s="149" t="s">
        <v>7203</v>
      </c>
      <c r="L657" s="149" t="s">
        <v>7204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7202</v>
      </c>
      <c r="AC657" s="149" t="s">
        <v>7203</v>
      </c>
      <c r="AD657" s="149" t="s">
        <v>7204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>IF(AY657-KD657=0,"",AY657-O657)</f>
        <v/>
      </c>
      <c r="BD657" s="103" t="str">
        <f>IF(AND(AI657&lt;&gt;"SIM",AI657="UH"),"AA","INDENIZAÇÃO")</f>
        <v>INDENIZAÇÃO</v>
      </c>
      <c r="BE657" s="103" t="str">
        <f>IF(AND(AY657&lt;&gt;"AGUARDANDO",AY657&lt;&gt;"",N657="AUXÍLIO ALUGUEL ATÉ INDENIZAÇÃO"),"SIM","NÃO")</f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customHeight="1">
      <c r="A658" s="165">
        <v>647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7205</v>
      </c>
      <c r="G658" s="103" t="s">
        <v>4330</v>
      </c>
      <c r="H658" s="103" t="s">
        <v>4331</v>
      </c>
      <c r="I658" s="142" t="s">
        <v>4343</v>
      </c>
      <c r="J658" s="149" t="s">
        <v>7206</v>
      </c>
      <c r="K658" s="149" t="s">
        <v>7207</v>
      </c>
      <c r="L658" s="149" t="s">
        <v>7208</v>
      </c>
      <c r="M658" s="103" t="s">
        <v>4333</v>
      </c>
      <c r="N658" s="103" t="s">
        <v>4459</v>
      </c>
      <c r="O658" s="105">
        <v>46002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7206</v>
      </c>
      <c r="AC658" s="149" t="s">
        <v>7207</v>
      </c>
      <c r="AD658" s="149" t="s">
        <v>7208</v>
      </c>
      <c r="AE658" s="103" t="s">
        <v>4343</v>
      </c>
      <c r="AF658" s="103" t="s">
        <v>4333</v>
      </c>
      <c r="AG658" s="194">
        <v>25529.98</v>
      </c>
      <c r="AH658" s="194">
        <f>AG658+30000</f>
        <v>55529.979999999996</v>
      </c>
      <c r="AI658" s="103" t="s">
        <v>4336</v>
      </c>
      <c r="AJ658" s="104" t="s">
        <v>4438</v>
      </c>
      <c r="AK658" s="103">
        <v>150614435</v>
      </c>
      <c r="AL658" s="103" t="s">
        <v>4338</v>
      </c>
      <c r="AM658" s="103" t="s">
        <v>4338</v>
      </c>
      <c r="AN658" s="103" t="s">
        <v>4339</v>
      </c>
      <c r="AO658" s="103"/>
      <c r="AP658" s="171" t="s">
        <v>7209</v>
      </c>
      <c r="AQ658" s="103" t="s">
        <v>4338</v>
      </c>
      <c r="AR658" s="103" t="s">
        <v>4338</v>
      </c>
      <c r="AS658" s="103" t="s">
        <v>4338</v>
      </c>
      <c r="AT658" s="103" t="s">
        <v>4338</v>
      </c>
      <c r="AU658" s="105">
        <v>46128</v>
      </c>
      <c r="AV658" s="103" t="s">
        <v>4338</v>
      </c>
      <c r="AW658" s="103" t="s">
        <v>4338</v>
      </c>
      <c r="AX658" s="105">
        <v>46139</v>
      </c>
      <c r="AY658" s="106">
        <v>46139</v>
      </c>
      <c r="AZ658" s="106" t="s">
        <v>4453</v>
      </c>
      <c r="BA658" s="174" t="s">
        <v>4454</v>
      </c>
      <c r="BB658" s="136" t="s">
        <v>4338</v>
      </c>
      <c r="BC658" s="220">
        <f>IF(AY658-KD658=0,"",AY658-O658)</f>
        <v>137</v>
      </c>
      <c r="BD658" s="103" t="str">
        <f>IF(AND(AI658&lt;&gt;"SIM",AI658="UH"),"AA","INDENIZAÇÃO")</f>
        <v>INDENIZAÇÃO</v>
      </c>
      <c r="BE658" s="103" t="str">
        <f>IF(AND(AY658&lt;&gt;"AGUARDANDO",AY658&lt;&gt;"",N658="AUXÍLIO ALUGUEL ATÉ INDENIZAÇÃO"),"SIM","NÃO")</f>
        <v>NÃO</v>
      </c>
      <c r="BF658" s="112" t="s">
        <v>4357</v>
      </c>
      <c r="BG658" s="112" t="s">
        <v>4357</v>
      </c>
      <c r="BH658" s="112" t="s">
        <v>4357</v>
      </c>
      <c r="BI658" s="109" t="s">
        <v>4912</v>
      </c>
      <c r="BJ658" s="109"/>
      <c r="BK658" s="109"/>
      <c r="BL658" s="109"/>
      <c r="BM658" s="239"/>
      <c r="BN658" s="231"/>
    </row>
    <row r="659" spans="1:69" ht="30" customHeight="1">
      <c r="A659" s="165">
        <v>648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7210</v>
      </c>
      <c r="G659" s="103" t="s">
        <v>4330</v>
      </c>
      <c r="H659" s="103" t="s">
        <v>4331</v>
      </c>
      <c r="I659" s="142" t="s">
        <v>4343</v>
      </c>
      <c r="J659" s="149" t="s">
        <v>7211</v>
      </c>
      <c r="K659" s="149" t="s">
        <v>7212</v>
      </c>
      <c r="L659" s="149" t="s">
        <v>7213</v>
      </c>
      <c r="M659" s="103" t="s">
        <v>4333</v>
      </c>
      <c r="N659" s="103" t="s">
        <v>4459</v>
      </c>
      <c r="O659" s="105">
        <v>46045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05"/>
      <c r="AB659" s="149" t="s">
        <v>7211</v>
      </c>
      <c r="AC659" s="149" t="s">
        <v>7212</v>
      </c>
      <c r="AD659" s="149" t="s">
        <v>7213</v>
      </c>
      <c r="AE659" s="103" t="s">
        <v>4343</v>
      </c>
      <c r="AF659" s="103" t="s">
        <v>4333</v>
      </c>
      <c r="AG659" s="194">
        <v>1249.72</v>
      </c>
      <c r="AH659" s="194">
        <f>AG659+30000</f>
        <v>31249.72</v>
      </c>
      <c r="AI659" s="103" t="s">
        <v>4336</v>
      </c>
      <c r="AJ659" s="104" t="s">
        <v>4438</v>
      </c>
      <c r="AK659" s="103">
        <v>148267354</v>
      </c>
      <c r="AL659" s="103" t="s">
        <v>4338</v>
      </c>
      <c r="AM659" s="103" t="s">
        <v>4338</v>
      </c>
      <c r="AN659" s="103" t="s">
        <v>4339</v>
      </c>
      <c r="AO659" s="103"/>
      <c r="AP659" s="171" t="s">
        <v>7214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46084</v>
      </c>
      <c r="AV659" s="112" t="s">
        <v>4338</v>
      </c>
      <c r="AW659" s="112" t="s">
        <v>4338</v>
      </c>
      <c r="AX659" s="111">
        <v>46092</v>
      </c>
      <c r="AY659" s="157">
        <v>46092</v>
      </c>
      <c r="AZ659" s="157" t="s">
        <v>4453</v>
      </c>
      <c r="BA659" s="174" t="s">
        <v>4454</v>
      </c>
      <c r="BB659" s="136" t="s">
        <v>4338</v>
      </c>
      <c r="BC659" s="220">
        <f>IF(AY659-KD659=0,"",AY659-O659)</f>
        <v>47</v>
      </c>
      <c r="BD659" s="103" t="str">
        <f>IF(AND(AI659&lt;&gt;"SIM",AI659="UH"),"AA","INDENIZAÇÃO")</f>
        <v>INDENIZAÇÃO</v>
      </c>
      <c r="BE659" s="103" t="str">
        <f>IF(AND(AY659&lt;&gt;"AGUARDANDO",AY659&lt;&gt;"",N659="AUXÍLIO ALUGUEL ATÉ INDENIZAÇÃO"),"SIM","NÃO")</f>
        <v>NÃO</v>
      </c>
      <c r="BF659" s="140" t="s">
        <v>4357</v>
      </c>
      <c r="BG659" s="140" t="s">
        <v>4357</v>
      </c>
      <c r="BH659" s="140" t="s">
        <v>4357</v>
      </c>
      <c r="BI659" s="154" t="s">
        <v>4912</v>
      </c>
      <c r="BJ659" s="154"/>
      <c r="BK659" s="154"/>
      <c r="BL659" s="154"/>
      <c r="BM659" s="237"/>
      <c r="BN659" s="231"/>
    </row>
    <row r="660" spans="1:69" ht="30" customHeight="1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7215</v>
      </c>
      <c r="G660" s="103" t="s">
        <v>4330</v>
      </c>
      <c r="H660" s="103" t="s">
        <v>4331</v>
      </c>
      <c r="I660" s="142" t="s">
        <v>4343</v>
      </c>
      <c r="J660" s="114" t="s">
        <v>7216</v>
      </c>
      <c r="K660" s="149" t="s">
        <v>7217</v>
      </c>
      <c r="L660" s="149" t="s">
        <v>7218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7216</v>
      </c>
      <c r="AC660" s="149" t="s">
        <v>7217</v>
      </c>
      <c r="AD660" s="149" t="s">
        <v>7218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>IF(AY660-KD660=0,"",AY660-O660)</f>
        <v/>
      </c>
      <c r="BD660" s="103" t="str">
        <f>IF(AND(AI660&lt;&gt;"SIM",AI660="UH"),"AA","INDENIZAÇÃO")</f>
        <v>AA</v>
      </c>
      <c r="BE660" s="103" t="str">
        <f>IF(AND(AY660&lt;&gt;"AGUARDANDO",AY660&lt;&gt;"",N660="AUXÍLIO ALUGUEL ATÉ INDENIZAÇÃO"),"SIM","NÃO")</f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customHeight="1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7219</v>
      </c>
      <c r="G661" s="103" t="s">
        <v>4330</v>
      </c>
      <c r="H661" s="103" t="s">
        <v>4331</v>
      </c>
      <c r="I661" s="142" t="s">
        <v>4343</v>
      </c>
      <c r="J661" s="114" t="s">
        <v>7220</v>
      </c>
      <c r="K661" s="149" t="s">
        <v>7221</v>
      </c>
      <c r="L661" s="149" t="s">
        <v>7222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7220</v>
      </c>
      <c r="AC661" s="149" t="s">
        <v>7221</v>
      </c>
      <c r="AD661" s="149" t="s">
        <v>7222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>IF(AY661-KD661=0,"",AY661-O661)</f>
        <v/>
      </c>
      <c r="BD661" s="103" t="str">
        <f>IF(AND(AI661&lt;&gt;"SIM",AI661="UH"),"AA","INDENIZAÇÃO")</f>
        <v>AA</v>
      </c>
      <c r="BE661" s="103" t="str">
        <f>IF(AND(AY661&lt;&gt;"AGUARDANDO",AY661&lt;&gt;"",N661="AUXÍLIO ALUGUEL ATÉ INDENIZAÇÃO"),"SIM","NÃO")</f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customHeight="1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7223</v>
      </c>
      <c r="G662" s="103" t="s">
        <v>4330</v>
      </c>
      <c r="H662" s="103" t="s">
        <v>4331</v>
      </c>
      <c r="I662" s="142" t="s">
        <v>4343</v>
      </c>
      <c r="J662" s="149" t="s">
        <v>7224</v>
      </c>
      <c r="K662" s="149" t="s">
        <v>4457</v>
      </c>
      <c r="L662" s="149" t="s">
        <v>7225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7224</v>
      </c>
      <c r="AC662" s="149" t="s">
        <v>4457</v>
      </c>
      <c r="AD662" s="149" t="s">
        <v>7225</v>
      </c>
      <c r="AE662" s="103" t="s">
        <v>5216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>IF(AY662-KD662=0,"",AY662-O662)</f>
        <v/>
      </c>
      <c r="BD662" s="103" t="str">
        <f>IF(AND(AI662&lt;&gt;"SIM",AI662="UH"),"AA","INDENIZAÇÃO")</f>
        <v>INDENIZAÇÃO</v>
      </c>
      <c r="BE662" s="103" t="str">
        <f>IF(AND(AY662&lt;&gt;"AGUARDANDO",AY662&lt;&gt;"",N662="AUXÍLIO ALUGUEL ATÉ INDENIZAÇÃO"),"SIM","NÃO")</f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customHeight="1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7226</v>
      </c>
      <c r="G663" s="103" t="s">
        <v>4330</v>
      </c>
      <c r="H663" s="103" t="s">
        <v>4331</v>
      </c>
      <c r="I663" s="142" t="s">
        <v>4440</v>
      </c>
      <c r="J663" s="149" t="s">
        <v>7227</v>
      </c>
      <c r="K663" s="149" t="s">
        <v>7228</v>
      </c>
      <c r="L663" s="149" t="s">
        <v>7229</v>
      </c>
      <c r="M663" s="103" t="s">
        <v>4333</v>
      </c>
      <c r="N663" s="103" t="s">
        <v>4345</v>
      </c>
      <c r="O663" s="105">
        <v>46093</v>
      </c>
      <c r="P663" s="105">
        <v>46058</v>
      </c>
      <c r="Q663" s="108" t="s">
        <v>4436</v>
      </c>
      <c r="R663" s="105">
        <v>46058</v>
      </c>
      <c r="S663" s="105">
        <v>46058</v>
      </c>
      <c r="T663" s="105">
        <v>46059</v>
      </c>
      <c r="U663" s="105">
        <v>46063</v>
      </c>
      <c r="V663" s="105" t="s">
        <v>4437</v>
      </c>
      <c r="W663" s="105" t="s">
        <v>4437</v>
      </c>
      <c r="X663" s="108">
        <v>46073</v>
      </c>
      <c r="Y663" s="105" t="s">
        <v>4457</v>
      </c>
      <c r="Z663" s="105"/>
      <c r="AA663" s="103" t="s">
        <v>6201</v>
      </c>
      <c r="AB663" s="149" t="s">
        <v>7230</v>
      </c>
      <c r="AC663" s="149" t="s">
        <v>7231</v>
      </c>
      <c r="AD663" s="149" t="s">
        <v>7232</v>
      </c>
      <c r="AE663" s="142" t="s">
        <v>4332</v>
      </c>
      <c r="AF663" s="103" t="s">
        <v>4333</v>
      </c>
      <c r="AG663" s="194">
        <v>12254.75</v>
      </c>
      <c r="AH663" s="194">
        <v>12254.75</v>
      </c>
      <c r="AI663" s="103" t="s">
        <v>4336</v>
      </c>
      <c r="AJ663" s="104" t="s">
        <v>4438</v>
      </c>
      <c r="AK663" s="103">
        <v>154260453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7233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46170</v>
      </c>
      <c r="AV663" s="103" t="s">
        <v>4338</v>
      </c>
      <c r="AW663" s="103" t="s">
        <v>4338</v>
      </c>
      <c r="AX663" s="105">
        <v>46182</v>
      </c>
      <c r="AY663" s="106">
        <v>46182</v>
      </c>
      <c r="AZ663" s="106" t="s">
        <v>4453</v>
      </c>
      <c r="BA663" s="107" t="s">
        <v>4454</v>
      </c>
      <c r="BB663" s="136" t="s">
        <v>4338</v>
      </c>
      <c r="BC663" s="220">
        <f>IF(AY663-KD663=0,"",AY663-O663)</f>
        <v>89</v>
      </c>
      <c r="BD663" s="103" t="str">
        <f>IF(AND(AI663&lt;&gt;"SIM",AI663="UH"),"AA","INDENIZAÇÃO")</f>
        <v>INDENIZAÇÃO</v>
      </c>
      <c r="BE663" s="103" t="str">
        <f>IF(AND(AY663&lt;&gt;"AGUARDANDO",AY663&lt;&gt;"",N663="AUXÍLIO ALUGUEL ATÉ INDENIZAÇÃO"),"SIM","NÃO")</f>
        <v>NÃO</v>
      </c>
      <c r="BF663" s="140" t="s">
        <v>4357</v>
      </c>
      <c r="BG663" s="140" t="s">
        <v>4357</v>
      </c>
      <c r="BH663" s="140" t="s">
        <v>4357</v>
      </c>
      <c r="BI663" s="154" t="s">
        <v>4912</v>
      </c>
      <c r="BJ663" s="154"/>
      <c r="BK663" s="154"/>
      <c r="BL663" s="154"/>
      <c r="BM663" s="237"/>
      <c r="BN663" s="232"/>
      <c r="BO663" s="232"/>
      <c r="BP663" s="232"/>
      <c r="BQ663" s="232"/>
    </row>
    <row r="664" spans="1:69" ht="30" customHeight="1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7234</v>
      </c>
      <c r="G664" s="103" t="s">
        <v>4330</v>
      </c>
      <c r="H664" s="103" t="s">
        <v>4331</v>
      </c>
      <c r="I664" s="142" t="s">
        <v>4343</v>
      </c>
      <c r="J664" s="149" t="s">
        <v>7235</v>
      </c>
      <c r="K664" s="149" t="s">
        <v>7236</v>
      </c>
      <c r="L664" s="149" t="s">
        <v>7237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7235</v>
      </c>
      <c r="AC664" s="149" t="s">
        <v>7236</v>
      </c>
      <c r="AD664" s="149" t="s">
        <v>7237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>IF(AY664-KD664=0,"",AY664-O664)</f>
        <v/>
      </c>
      <c r="BD664" s="103" t="str">
        <f>IF(AND(AI664&lt;&gt;"SIM",AI664="UH"),"AA","INDENIZAÇÃO")</f>
        <v>AA</v>
      </c>
      <c r="BE664" s="103" t="str">
        <f>IF(AND(AY664&lt;&gt;"AGUARDANDO",AY664&lt;&gt;"",N664="AUXÍLIO ALUGUEL ATÉ INDENIZAÇÃO"),"SIM","NÃO")</f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customHeight="1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7238</v>
      </c>
      <c r="G665" s="103" t="s">
        <v>4330</v>
      </c>
      <c r="H665" s="103" t="s">
        <v>4331</v>
      </c>
      <c r="I665" s="142" t="s">
        <v>4343</v>
      </c>
      <c r="J665" s="149" t="s">
        <v>7239</v>
      </c>
      <c r="K665" s="149" t="s">
        <v>7240</v>
      </c>
      <c r="L665" s="149" t="s">
        <v>7241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7239</v>
      </c>
      <c r="AC665" s="149" t="s">
        <v>7240</v>
      </c>
      <c r="AD665" s="149" t="s">
        <v>7241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>IF(AY665-KD665=0,"",AY665-O665)</f>
        <v/>
      </c>
      <c r="BD665" s="103" t="str">
        <f>IF(AND(AI665&lt;&gt;"SIM",AI665="UH"),"AA","INDENIZAÇÃO")</f>
        <v>AA</v>
      </c>
      <c r="BE665" s="103" t="str">
        <f>IF(AND(AY665&lt;&gt;"AGUARDANDO",AY665&lt;&gt;"",N665="AUXÍLIO ALUGUEL ATÉ INDENIZAÇÃO"),"SIM","NÃO")</f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customHeight="1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7242</v>
      </c>
      <c r="G666" s="103" t="s">
        <v>4330</v>
      </c>
      <c r="H666" s="103" t="s">
        <v>4331</v>
      </c>
      <c r="I666" s="142" t="s">
        <v>4343</v>
      </c>
      <c r="J666" s="149" t="s">
        <v>7243</v>
      </c>
      <c r="K666" s="149" t="s">
        <v>7244</v>
      </c>
      <c r="L666" s="149" t="s">
        <v>7245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7246</v>
      </c>
      <c r="AB666" s="149" t="s">
        <v>7243</v>
      </c>
      <c r="AC666" s="149" t="s">
        <v>7244</v>
      </c>
      <c r="AD666" s="149" t="s">
        <v>7245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>IF(AY666-KD666=0,"",AY666-O666)</f>
        <v/>
      </c>
      <c r="BD666" s="103" t="str">
        <f>IF(AND(AI666&lt;&gt;"SIM",AI666="UH"),"AA","INDENIZAÇÃO")</f>
        <v>AA</v>
      </c>
      <c r="BE666" s="103" t="str">
        <f>IF(AND(AY666&lt;&gt;"AGUARDANDO",AY666&lt;&gt;"",N666="AUXÍLIO ALUGUEL ATÉ INDENIZAÇÃO"),"SIM","NÃO")</f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customHeight="1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7247</v>
      </c>
      <c r="G667" s="103" t="s">
        <v>4330</v>
      </c>
      <c r="H667" s="103" t="s">
        <v>4331</v>
      </c>
      <c r="I667" s="142" t="s">
        <v>4343</v>
      </c>
      <c r="J667" s="149" t="s">
        <v>7248</v>
      </c>
      <c r="K667" s="149" t="s">
        <v>7249</v>
      </c>
      <c r="L667" s="149" t="s">
        <v>7250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7248</v>
      </c>
      <c r="AC667" s="149" t="s">
        <v>7249</v>
      </c>
      <c r="AD667" s="149" t="s">
        <v>7250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>IF(AY667-KD667=0,"",AY667-O667)</f>
        <v/>
      </c>
      <c r="BD667" s="103" t="str">
        <f>IF(AND(AI667&lt;&gt;"SIM",AI667="UH"),"AA","INDENIZAÇÃO")</f>
        <v>AA</v>
      </c>
      <c r="BE667" s="103" t="str">
        <f>IF(AND(AY667&lt;&gt;"AGUARDANDO",AY667&lt;&gt;"",N667="AUXÍLIO ALUGUEL ATÉ INDENIZAÇÃO"),"SIM","NÃO")</f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customHeight="1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7251</v>
      </c>
      <c r="G668" s="103" t="s">
        <v>4330</v>
      </c>
      <c r="H668" s="103" t="s">
        <v>4331</v>
      </c>
      <c r="I668" s="142" t="s">
        <v>4343</v>
      </c>
      <c r="J668" s="149" t="s">
        <v>7252</v>
      </c>
      <c r="K668" s="149" t="s">
        <v>4457</v>
      </c>
      <c r="L668" s="149" t="s">
        <v>7253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7252</v>
      </c>
      <c r="AC668" s="149" t="s">
        <v>4457</v>
      </c>
      <c r="AD668" s="149" t="s">
        <v>7253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>IF(AY668-KD668=0,"",AY668-O668)</f>
        <v/>
      </c>
      <c r="BD668" s="103" t="str">
        <f>IF(AND(AI668&lt;&gt;"SIM",AI668="UH"),"AA","INDENIZAÇÃO")</f>
        <v>AA</v>
      </c>
      <c r="BE668" s="103" t="str">
        <f>IF(AND(AY668&lt;&gt;"AGUARDANDO",AY668&lt;&gt;"",N668="AUXÍLIO ALUGUEL ATÉ INDENIZAÇÃO"),"SIM","NÃO")</f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customHeight="1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7254</v>
      </c>
      <c r="G669" s="103" t="s">
        <v>4330</v>
      </c>
      <c r="H669" s="103" t="s">
        <v>4331</v>
      </c>
      <c r="I669" s="142" t="s">
        <v>4343</v>
      </c>
      <c r="J669" s="149" t="s">
        <v>7255</v>
      </c>
      <c r="K669" s="149" t="s">
        <v>7256</v>
      </c>
      <c r="L669" s="149" t="s">
        <v>7257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7258</v>
      </c>
      <c r="AB669" s="149" t="s">
        <v>7255</v>
      </c>
      <c r="AC669" s="149" t="s">
        <v>7256</v>
      </c>
      <c r="AD669" s="149" t="s">
        <v>7257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>IF(AY669-KD669=0,"",AY669-O669)</f>
        <v/>
      </c>
      <c r="BD669" s="103" t="str">
        <f>IF(AND(AI669&lt;&gt;"SIM",AI669="UH"),"AA","INDENIZAÇÃO")</f>
        <v>AA</v>
      </c>
      <c r="BE669" s="103" t="str">
        <f>IF(AND(AY669&lt;&gt;"AGUARDANDO",AY669&lt;&gt;"",N669="AUXÍLIO ALUGUEL ATÉ INDENIZAÇÃO"),"SIM","NÃO")</f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customHeight="1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7259</v>
      </c>
      <c r="G670" s="103" t="s">
        <v>4330</v>
      </c>
      <c r="H670" s="103" t="s">
        <v>4331</v>
      </c>
      <c r="I670" s="142" t="s">
        <v>4343</v>
      </c>
      <c r="J670" s="149" t="s">
        <v>7260</v>
      </c>
      <c r="K670" s="149" t="s">
        <v>7261</v>
      </c>
      <c r="L670" s="149" t="s">
        <v>7262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7260</v>
      </c>
      <c r="AC670" s="149" t="s">
        <v>7261</v>
      </c>
      <c r="AD670" s="149" t="s">
        <v>7262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>IF(AY670-KD670=0,"",AY670-O670)</f>
        <v/>
      </c>
      <c r="BD670" s="103" t="str">
        <f>IF(AND(AI670&lt;&gt;"SIM",AI670="UH"),"AA","INDENIZAÇÃO")</f>
        <v>AA</v>
      </c>
      <c r="BE670" s="103" t="str">
        <f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>
      <c r="A671" s="165">
        <v>660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7263</v>
      </c>
      <c r="G671" s="103" t="s">
        <v>4330</v>
      </c>
      <c r="H671" s="103" t="s">
        <v>4331</v>
      </c>
      <c r="I671" s="103" t="s">
        <v>4343</v>
      </c>
      <c r="J671" s="149" t="s">
        <v>7264</v>
      </c>
      <c r="K671" s="175" t="s">
        <v>6581</v>
      </c>
      <c r="L671" s="149" t="s">
        <v>7265</v>
      </c>
      <c r="M671" s="103" t="s">
        <v>4333</v>
      </c>
      <c r="N671" s="103" t="s">
        <v>4459</v>
      </c>
      <c r="O671" s="105">
        <v>46093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5"/>
      <c r="AB671" s="204" t="s">
        <v>7264</v>
      </c>
      <c r="AC671" s="307" t="s">
        <v>6581</v>
      </c>
      <c r="AD671" s="204" t="s">
        <v>7265</v>
      </c>
      <c r="AE671" s="165" t="s">
        <v>4343</v>
      </c>
      <c r="AF671" s="165" t="s">
        <v>4333</v>
      </c>
      <c r="AG671" s="208">
        <v>9643.0400000000009</v>
      </c>
      <c r="AH671" s="208">
        <v>39643.040000000001</v>
      </c>
      <c r="AI671" s="165" t="s">
        <v>4447</v>
      </c>
      <c r="AJ671" s="104" t="s">
        <v>4438</v>
      </c>
      <c r="AK671" s="103">
        <v>151553826</v>
      </c>
      <c r="AL671" s="142" t="s">
        <v>4338</v>
      </c>
      <c r="AM671" s="103" t="s">
        <v>4338</v>
      </c>
      <c r="AN671" s="103" t="s">
        <v>4339</v>
      </c>
      <c r="AO671" s="112"/>
      <c r="AP671" s="171" t="s">
        <v>7266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46150</v>
      </c>
      <c r="AV671" s="103" t="s">
        <v>4338</v>
      </c>
      <c r="AW671" s="103" t="s">
        <v>4338</v>
      </c>
      <c r="AX671" s="105">
        <v>46157</v>
      </c>
      <c r="AY671" s="106">
        <v>46157</v>
      </c>
      <c r="AZ671" s="106" t="s">
        <v>4453</v>
      </c>
      <c r="BA671" s="107" t="s">
        <v>4454</v>
      </c>
      <c r="BB671" s="136" t="s">
        <v>4338</v>
      </c>
      <c r="BC671" s="220">
        <f>IF(AY671-KD671=0,"",AY671-O671)</f>
        <v>64</v>
      </c>
      <c r="BD671" s="103" t="str">
        <f>IF(AND(AI671&lt;&gt;"SIM",AI671="UH"),"AA","INDENIZAÇÃO")</f>
        <v>INDENIZAÇÃO</v>
      </c>
      <c r="BE671" s="103" t="str">
        <f>IF(AND(AY671&lt;&gt;"AGUARDANDO",AY671&lt;&gt;"",N671="AUXÍLIO ALUGUEL ATÉ INDENIZAÇÃO"),"SIM","NÃO")</f>
        <v>NÃO</v>
      </c>
      <c r="BF671" s="140" t="s">
        <v>4357</v>
      </c>
      <c r="BG671" s="140" t="s">
        <v>4357</v>
      </c>
      <c r="BH671" s="140" t="s">
        <v>4357</v>
      </c>
      <c r="BI671" s="154" t="s">
        <v>4912</v>
      </c>
      <c r="BJ671" s="154"/>
      <c r="BK671" s="154"/>
      <c r="BL671" s="154"/>
      <c r="BM671" s="237"/>
    </row>
    <row r="672" spans="1:69" ht="30" customHeight="1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7267</v>
      </c>
      <c r="G672" s="103" t="s">
        <v>4330</v>
      </c>
      <c r="H672" s="103" t="s">
        <v>4331</v>
      </c>
      <c r="I672" s="142" t="s">
        <v>4343</v>
      </c>
      <c r="J672" s="149" t="s">
        <v>7268</v>
      </c>
      <c r="K672" s="149" t="s">
        <v>7269</v>
      </c>
      <c r="L672" s="149" t="s">
        <v>7270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7268</v>
      </c>
      <c r="AC672" s="149" t="s">
        <v>7269</v>
      </c>
      <c r="AD672" s="149" t="s">
        <v>7270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>IF(AY672-KD672=0,"",AY672-O672)</f>
        <v/>
      </c>
      <c r="BD672" s="103" t="str">
        <f>IF(AND(AI672&lt;&gt;"SIM",AI672="UH"),"AA","INDENIZAÇÃO")</f>
        <v>AA</v>
      </c>
      <c r="BE672" s="103" t="str">
        <f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customHeight="1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7271</v>
      </c>
      <c r="G673" s="103" t="s">
        <v>4330</v>
      </c>
      <c r="H673" s="103" t="s">
        <v>4331</v>
      </c>
      <c r="I673" s="142" t="s">
        <v>4343</v>
      </c>
      <c r="J673" s="149" t="s">
        <v>7272</v>
      </c>
      <c r="K673" s="149" t="s">
        <v>7273</v>
      </c>
      <c r="L673" s="149" t="s">
        <v>7274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7272</v>
      </c>
      <c r="AC673" s="149" t="s">
        <v>7273</v>
      </c>
      <c r="AD673" s="149" t="s">
        <v>7274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>IF(AY673-KD673=0,"",AY673-O673)</f>
        <v/>
      </c>
      <c r="BD673" s="103" t="str">
        <f>IF(AND(AI673&lt;&gt;"SIM",AI673="UH"),"AA","INDENIZAÇÃO")</f>
        <v>AA</v>
      </c>
      <c r="BE673" s="103" t="str">
        <f>IF(AND(AY673&lt;&gt;"AGUARDANDO",AY673&lt;&gt;"",N673="AUXÍLIO ALUGUEL ATÉ INDENIZAÇÃO"),"SIM","NÃO")</f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customHeight="1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7275</v>
      </c>
      <c r="G674" s="103" t="s">
        <v>4330</v>
      </c>
      <c r="H674" s="103" t="s">
        <v>4331</v>
      </c>
      <c r="I674" s="142" t="s">
        <v>4343</v>
      </c>
      <c r="J674" s="150" t="s">
        <v>7276</v>
      </c>
      <c r="K674" s="149" t="s">
        <v>7277</v>
      </c>
      <c r="L674" s="149" t="s">
        <v>7278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7276</v>
      </c>
      <c r="AC674" s="149" t="s">
        <v>7277</v>
      </c>
      <c r="AD674" s="149" t="s">
        <v>7278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>IF(AY674-KD674=0,"",AY674-O674)</f>
        <v/>
      </c>
      <c r="BD674" s="103" t="str">
        <f>IF(AND(AI674&lt;&gt;"SIM",AI674="UH"),"AA","INDENIZAÇÃO")</f>
        <v>AA</v>
      </c>
      <c r="BE674" s="103" t="str">
        <f>IF(AND(AY674&lt;&gt;"AGUARDANDO",AY674&lt;&gt;"",N674="AUXÍLIO ALUGUEL ATÉ INDENIZAÇÃO"),"SIM","NÃO")</f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customHeight="1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7279</v>
      </c>
      <c r="G675" s="103" t="s">
        <v>4330</v>
      </c>
      <c r="H675" s="103" t="s">
        <v>4331</v>
      </c>
      <c r="I675" s="142" t="s">
        <v>4343</v>
      </c>
      <c r="J675" s="150" t="s">
        <v>7280</v>
      </c>
      <c r="K675" s="149" t="s">
        <v>7281</v>
      </c>
      <c r="L675" s="149" t="s">
        <v>7282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7280</v>
      </c>
      <c r="AC675" s="149" t="s">
        <v>7281</v>
      </c>
      <c r="AD675" s="149" t="s">
        <v>7282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>IF(AY675-KD675=0,"",AY675-O675)</f>
        <v/>
      </c>
      <c r="BD675" s="103" t="str">
        <f>IF(AND(AI675&lt;&gt;"SIM",AI675="UH"),"AA","INDENIZAÇÃO")</f>
        <v>AA</v>
      </c>
      <c r="BE675" s="103" t="str">
        <f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customHeight="1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7283</v>
      </c>
      <c r="G676" s="103" t="s">
        <v>4330</v>
      </c>
      <c r="H676" s="103" t="s">
        <v>4331</v>
      </c>
      <c r="I676" s="142" t="s">
        <v>4343</v>
      </c>
      <c r="J676" s="150" t="s">
        <v>7284</v>
      </c>
      <c r="K676" s="149" t="s">
        <v>4457</v>
      </c>
      <c r="L676" s="149" t="s">
        <v>7285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7284</v>
      </c>
      <c r="AC676" s="149" t="s">
        <v>4457</v>
      </c>
      <c r="AD676" s="149" t="s">
        <v>7285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>IF(AY676-KD676=0,"",AY676-O676)</f>
        <v/>
      </c>
      <c r="BD676" s="103" t="str">
        <f>IF(AND(AI676&lt;&gt;"SIM",AI676="UH"),"AA","INDENIZAÇÃO")</f>
        <v>AA</v>
      </c>
      <c r="BE676" s="103" t="str">
        <f>IF(AND(AY676&lt;&gt;"AGUARDANDO",AY676&lt;&gt;"",N676="AUXÍLIO ALUGUEL ATÉ INDENIZAÇÃO"),"SIM","NÃO")</f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customHeight="1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7286</v>
      </c>
      <c r="G677" s="103" t="s">
        <v>4330</v>
      </c>
      <c r="H677" s="103" t="s">
        <v>4331</v>
      </c>
      <c r="I677" s="142" t="s">
        <v>4343</v>
      </c>
      <c r="J677" s="150" t="s">
        <v>7287</v>
      </c>
      <c r="K677" s="149" t="s">
        <v>7288</v>
      </c>
      <c r="L677" s="149" t="s">
        <v>7289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7287</v>
      </c>
      <c r="AC677" s="149" t="s">
        <v>7288</v>
      </c>
      <c r="AD677" s="149" t="s">
        <v>7289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>IF(AY677-KD677=0,"",AY677-O677)</f>
        <v/>
      </c>
      <c r="BD677" s="103" t="str">
        <f>IF(AND(AI677&lt;&gt;"SIM",AI677="UH"),"AA","INDENIZAÇÃO")</f>
        <v>AA</v>
      </c>
      <c r="BE677" s="103" t="str">
        <f>IF(AND(AY677&lt;&gt;"AGUARDANDO",AY677&lt;&gt;"",N677="AUXÍLIO ALUGUEL ATÉ INDENIZAÇÃO"),"SIM","NÃO")</f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customHeight="1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7290</v>
      </c>
      <c r="G678" s="103" t="s">
        <v>4330</v>
      </c>
      <c r="H678" s="103" t="s">
        <v>4331</v>
      </c>
      <c r="I678" s="142" t="s">
        <v>4343</v>
      </c>
      <c r="J678" s="150" t="s">
        <v>7291</v>
      </c>
      <c r="K678" s="149" t="s">
        <v>7292</v>
      </c>
      <c r="L678" s="149" t="s">
        <v>7293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7291</v>
      </c>
      <c r="AC678" s="149" t="s">
        <v>7292</v>
      </c>
      <c r="AD678" s="149" t="s">
        <v>7293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>IF(AY678-KD678=0,"",AY678-O678)</f>
        <v/>
      </c>
      <c r="BD678" s="103" t="str">
        <f>IF(AND(AI678&lt;&gt;"SIM",AI678="UH"),"AA","INDENIZAÇÃO")</f>
        <v>AA</v>
      </c>
      <c r="BE678" s="103" t="str">
        <f>IF(AND(AY678&lt;&gt;"AGUARDANDO",AY678&lt;&gt;"",N678="AUXÍLIO ALUGUEL ATÉ INDENIZAÇÃO"),"SIM","NÃO")</f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customHeight="1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7294</v>
      </c>
      <c r="G679" s="103" t="s">
        <v>4330</v>
      </c>
      <c r="H679" s="103" t="s">
        <v>4352</v>
      </c>
      <c r="I679" s="142" t="s">
        <v>4343</v>
      </c>
      <c r="J679" s="149" t="s">
        <v>7295</v>
      </c>
      <c r="K679" s="149" t="s">
        <v>7296</v>
      </c>
      <c r="L679" s="149" t="s">
        <v>7297</v>
      </c>
      <c r="M679" s="103" t="s">
        <v>4333</v>
      </c>
      <c r="N679" s="103" t="s">
        <v>4459</v>
      </c>
      <c r="O679" s="105">
        <v>45980</v>
      </c>
      <c r="P679" s="105" t="s">
        <v>4356</v>
      </c>
      <c r="Q679" s="105" t="s">
        <v>4356</v>
      </c>
      <c r="R679" s="105" t="s">
        <v>4356</v>
      </c>
      <c r="S679" s="105" t="s">
        <v>4356</v>
      </c>
      <c r="T679" s="105" t="s">
        <v>4356</v>
      </c>
      <c r="U679" s="105" t="s">
        <v>4356</v>
      </c>
      <c r="V679" s="105" t="s">
        <v>4356</v>
      </c>
      <c r="W679" s="105" t="s">
        <v>4356</v>
      </c>
      <c r="X679" s="105" t="s">
        <v>4356</v>
      </c>
      <c r="Y679" s="105" t="s">
        <v>4356</v>
      </c>
      <c r="Z679" s="105"/>
      <c r="AA679" s="105"/>
      <c r="AB679" s="149" t="s">
        <v>7295</v>
      </c>
      <c r="AC679" s="149" t="s">
        <v>7296</v>
      </c>
      <c r="AD679" s="149" t="s">
        <v>7297</v>
      </c>
      <c r="AE679" s="103" t="s">
        <v>4343</v>
      </c>
      <c r="AF679" s="103" t="s">
        <v>4333</v>
      </c>
      <c r="AG679" s="194">
        <v>46615.76</v>
      </c>
      <c r="AH679" s="194">
        <v>60000</v>
      </c>
      <c r="AI679" s="103" t="s">
        <v>4336</v>
      </c>
      <c r="AJ679" s="104" t="s">
        <v>4438</v>
      </c>
      <c r="AK679" s="103">
        <v>146672713</v>
      </c>
      <c r="AL679" s="103" t="s">
        <v>4338</v>
      </c>
      <c r="AM679" s="103" t="s">
        <v>4338</v>
      </c>
      <c r="AN679" s="103" t="s">
        <v>4339</v>
      </c>
      <c r="AO679" s="112"/>
      <c r="AP679" s="171" t="s">
        <v>7298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46021</v>
      </c>
      <c r="AV679" s="112" t="s">
        <v>4338</v>
      </c>
      <c r="AW679" s="103" t="s">
        <v>4338</v>
      </c>
      <c r="AX679" s="111">
        <v>46041</v>
      </c>
      <c r="AY679" s="157">
        <v>46041</v>
      </c>
      <c r="AZ679" s="157" t="s">
        <v>4453</v>
      </c>
      <c r="BA679" s="174" t="s">
        <v>4454</v>
      </c>
      <c r="BB679" s="136" t="s">
        <v>4338</v>
      </c>
      <c r="BC679" s="220">
        <f>IF(AY679-KD679=0,"",AY679-O679)</f>
        <v>61</v>
      </c>
      <c r="BD679" s="103" t="str">
        <f>IF(AND(AI679&lt;&gt;"SIM",AI679="UH"),"AA","INDENIZAÇÃO")</f>
        <v>INDENIZAÇÃO</v>
      </c>
      <c r="BE679" s="103" t="str">
        <f>IF(AND(AY679&lt;&gt;"AGUARDANDO",AY679&lt;&gt;"",N679="AUXÍLIO ALUGUEL ATÉ INDENIZAÇÃO"),"SIM","NÃO")</f>
        <v>NÃO</v>
      </c>
      <c r="BF679" s="140" t="s">
        <v>4357</v>
      </c>
      <c r="BG679" s="140" t="s">
        <v>4357</v>
      </c>
      <c r="BH679" s="140" t="s">
        <v>4357</v>
      </c>
      <c r="BI679" s="154" t="s">
        <v>4912</v>
      </c>
      <c r="BJ679" s="154"/>
      <c r="BK679" s="154"/>
      <c r="BL679" s="154"/>
      <c r="BM679" s="237"/>
      <c r="BN679" s="231"/>
    </row>
    <row r="680" spans="1:66" ht="30" customHeight="1">
      <c r="A680" s="103">
        <v>669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7299</v>
      </c>
      <c r="G680" s="103" t="s">
        <v>4330</v>
      </c>
      <c r="H680" s="103" t="s">
        <v>4331</v>
      </c>
      <c r="I680" s="142" t="s">
        <v>4343</v>
      </c>
      <c r="J680" s="149" t="s">
        <v>7300</v>
      </c>
      <c r="K680" s="149" t="s">
        <v>7301</v>
      </c>
      <c r="L680" s="149" t="s">
        <v>7302</v>
      </c>
      <c r="M680" s="103" t="s">
        <v>4333</v>
      </c>
      <c r="N680" s="103" t="s">
        <v>4459</v>
      </c>
      <c r="O680" s="105">
        <v>46001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05"/>
      <c r="AB680" s="149" t="s">
        <v>7303</v>
      </c>
      <c r="AC680" s="149" t="s">
        <v>7301</v>
      </c>
      <c r="AD680" s="149" t="s">
        <v>7302</v>
      </c>
      <c r="AE680" s="103" t="s">
        <v>4343</v>
      </c>
      <c r="AF680" s="103" t="s">
        <v>4333</v>
      </c>
      <c r="AG680" s="194">
        <v>31783.47</v>
      </c>
      <c r="AH680" s="194">
        <v>60000</v>
      </c>
      <c r="AI680" s="103" t="s">
        <v>4336</v>
      </c>
      <c r="AJ680" s="104" t="s">
        <v>4438</v>
      </c>
      <c r="AK680" s="103">
        <v>146672782</v>
      </c>
      <c r="AL680" s="103" t="s">
        <v>4338</v>
      </c>
      <c r="AM680" s="103" t="s">
        <v>4338</v>
      </c>
      <c r="AN680" s="103" t="s">
        <v>4339</v>
      </c>
      <c r="AO680" s="112"/>
      <c r="AP680" s="171" t="s">
        <v>7304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8">
        <v>46024</v>
      </c>
      <c r="AV680" s="112" t="s">
        <v>4338</v>
      </c>
      <c r="AW680" s="103" t="s">
        <v>4338</v>
      </c>
      <c r="AX680" s="166">
        <v>46038</v>
      </c>
      <c r="AY680" s="157">
        <v>46038</v>
      </c>
      <c r="AZ680" s="157" t="s">
        <v>4453</v>
      </c>
      <c r="BA680" s="107" t="s">
        <v>4454</v>
      </c>
      <c r="BB680" s="136" t="s">
        <v>4338</v>
      </c>
      <c r="BC680" s="220">
        <f>IF(AY680-KD680=0,"",AY680-O680)</f>
        <v>37</v>
      </c>
      <c r="BD680" s="103" t="str">
        <f>IF(AND(AI680&lt;&gt;"SIM",AI680="UH"),"AA","INDENIZAÇÃO")</f>
        <v>INDENIZAÇÃO</v>
      </c>
      <c r="BE680" s="103" t="str">
        <f>IF(AND(AY680&lt;&gt;"AGUARDANDO",AY680&lt;&gt;"",N680="AUXÍLIO ALUGUEL ATÉ INDENIZAÇÃO"),"SIM","NÃO")</f>
        <v>NÃO</v>
      </c>
      <c r="BF680" s="140" t="s">
        <v>4357</v>
      </c>
      <c r="BG680" s="140" t="s">
        <v>4357</v>
      </c>
      <c r="BH680" s="140" t="s">
        <v>4357</v>
      </c>
      <c r="BI680" s="154" t="s">
        <v>4912</v>
      </c>
      <c r="BJ680" s="154"/>
      <c r="BK680" s="154"/>
      <c r="BL680" s="154"/>
      <c r="BM680" s="237"/>
      <c r="BN680" s="231"/>
    </row>
    <row r="681" spans="1:66" ht="30" customHeight="1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7305</v>
      </c>
      <c r="G681" s="103" t="s">
        <v>4330</v>
      </c>
      <c r="H681" s="103" t="s">
        <v>4331</v>
      </c>
      <c r="I681" s="142" t="s">
        <v>4343</v>
      </c>
      <c r="J681" s="149" t="s">
        <v>7306</v>
      </c>
      <c r="K681" s="149" t="s">
        <v>7307</v>
      </c>
      <c r="L681" s="149" t="s">
        <v>7308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7306</v>
      </c>
      <c r="AC681" s="149" t="s">
        <v>7307</v>
      </c>
      <c r="AD681" s="149" t="s">
        <v>7308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>IF(AY681-KD681=0,"",AY681-O681)</f>
        <v/>
      </c>
      <c r="BD681" s="103" t="str">
        <f>IF(AND(AI681&lt;&gt;"SIM",AI681="UH"),"AA","INDENIZAÇÃO")</f>
        <v>AA</v>
      </c>
      <c r="BE681" s="103" t="str">
        <f>IF(AND(AY681&lt;&gt;"AGUARDANDO",AY681&lt;&gt;"",N681="AUXÍLIO ALUGUEL ATÉ INDENIZAÇÃO"),"SIM","NÃO")</f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customHeight="1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7309</v>
      </c>
      <c r="G682" s="103" t="s">
        <v>4330</v>
      </c>
      <c r="H682" s="103" t="s">
        <v>4331</v>
      </c>
      <c r="I682" s="142" t="s">
        <v>4343</v>
      </c>
      <c r="J682" s="149" t="s">
        <v>7303</v>
      </c>
      <c r="K682" s="149" t="s">
        <v>7310</v>
      </c>
      <c r="L682" s="149" t="s">
        <v>7311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7303</v>
      </c>
      <c r="AC682" s="149" t="s">
        <v>7310</v>
      </c>
      <c r="AD682" s="149" t="s">
        <v>7311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>IF(AY682-KD682=0,"",AY682-O682)</f>
        <v/>
      </c>
      <c r="BD682" s="103" t="str">
        <f>IF(AND(AI682&lt;&gt;"SIM",AI682="UH"),"AA","INDENIZAÇÃO")</f>
        <v>AA</v>
      </c>
      <c r="BE682" s="103" t="str">
        <f>IF(AND(AY682&lt;&gt;"AGUARDANDO",AY682&lt;&gt;"",N682="AUXÍLIO ALUGUEL ATÉ INDENIZAÇÃO"),"SIM","NÃO")</f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customHeight="1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7312</v>
      </c>
      <c r="G683" s="103" t="s">
        <v>4330</v>
      </c>
      <c r="H683" s="103" t="s">
        <v>4331</v>
      </c>
      <c r="I683" s="142" t="s">
        <v>4343</v>
      </c>
      <c r="J683" s="149" t="s">
        <v>7313</v>
      </c>
      <c r="K683" s="149" t="s">
        <v>7314</v>
      </c>
      <c r="L683" s="149" t="s">
        <v>7315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7313</v>
      </c>
      <c r="AC683" s="149" t="s">
        <v>7314</v>
      </c>
      <c r="AD683" s="149" t="s">
        <v>7315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>IF(AY683-KD683=0,"",AY683-O683)</f>
        <v/>
      </c>
      <c r="BD683" s="103" t="str">
        <f>IF(AND(AI683&lt;&gt;"SIM",AI683="UH"),"AA","INDENIZAÇÃO")</f>
        <v>AA</v>
      </c>
      <c r="BE683" s="103" t="str">
        <f>IF(AND(AY683&lt;&gt;"AGUARDANDO",AY683&lt;&gt;"",N683="AUXÍLIO ALUGUEL ATÉ INDENIZAÇÃO"),"SIM","NÃO")</f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customHeight="1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7316</v>
      </c>
      <c r="G684" s="103" t="s">
        <v>4330</v>
      </c>
      <c r="H684" s="103" t="s">
        <v>4331</v>
      </c>
      <c r="I684" s="142" t="s">
        <v>7004</v>
      </c>
      <c r="J684" s="149" t="s">
        <v>7317</v>
      </c>
      <c r="K684" s="149" t="s">
        <v>7318</v>
      </c>
      <c r="L684" s="149" t="s">
        <v>7319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7317</v>
      </c>
      <c r="AC684" s="149" t="s">
        <v>7318</v>
      </c>
      <c r="AD684" s="149" t="s">
        <v>7319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>IF(AY684-KD684=0,"",AY684-O684)</f>
        <v/>
      </c>
      <c r="BD684" s="103" t="str">
        <f>IF(AND(AI684&lt;&gt;"SIM",AI684="UH"),"AA","INDENIZAÇÃO")</f>
        <v>AA</v>
      </c>
      <c r="BE684" s="103" t="str">
        <f>IF(AND(AY684&lt;&gt;"AGUARDANDO",AY684&lt;&gt;"",N684="AUXÍLIO ALUGUEL ATÉ INDENIZAÇÃO"),"SIM","NÃO")</f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customHeight="1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7320</v>
      </c>
      <c r="G685" s="103" t="s">
        <v>4330</v>
      </c>
      <c r="H685" s="103" t="s">
        <v>4331</v>
      </c>
      <c r="I685" s="142" t="s">
        <v>4343</v>
      </c>
      <c r="J685" s="149" t="s">
        <v>7321</v>
      </c>
      <c r="K685" s="149" t="s">
        <v>7322</v>
      </c>
      <c r="L685" s="149" t="s">
        <v>7323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7321</v>
      </c>
      <c r="AC685" s="149" t="s">
        <v>7322</v>
      </c>
      <c r="AD685" s="149" t="s">
        <v>7323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>IF(AY685-KD685=0,"",AY685-O685)</f>
        <v/>
      </c>
      <c r="BD685" s="103" t="str">
        <f>IF(AND(AI685&lt;&gt;"SIM",AI685="UH"),"AA","INDENIZAÇÃO")</f>
        <v>AA</v>
      </c>
      <c r="BE685" s="103" t="str">
        <f>IF(AND(AY685&lt;&gt;"AGUARDANDO",AY685&lt;&gt;"",N685="AUXÍLIO ALUGUEL ATÉ INDENIZAÇÃO"),"SIM","NÃO")</f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customHeight="1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7324</v>
      </c>
      <c r="G686" s="103" t="s">
        <v>4330</v>
      </c>
      <c r="H686" s="103" t="s">
        <v>4331</v>
      </c>
      <c r="I686" s="142" t="s">
        <v>4343</v>
      </c>
      <c r="J686" s="149" t="s">
        <v>7325</v>
      </c>
      <c r="K686" s="149" t="s">
        <v>7326</v>
      </c>
      <c r="L686" s="149" t="s">
        <v>7327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7325</v>
      </c>
      <c r="AC686" s="149" t="s">
        <v>7326</v>
      </c>
      <c r="AD686" s="149" t="s">
        <v>7327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>IF(AY686-KD686=0,"",AY686-O686)</f>
        <v/>
      </c>
      <c r="BD686" s="103" t="str">
        <f>IF(AND(AI686&lt;&gt;"SIM",AI686="UH"),"AA","INDENIZAÇÃO")</f>
        <v>AA</v>
      </c>
      <c r="BE686" s="103" t="str">
        <f>IF(AND(AY686&lt;&gt;"AGUARDANDO",AY686&lt;&gt;"",N686="AUXÍLIO ALUGUEL ATÉ INDENIZAÇÃO"),"SIM","NÃO")</f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customHeight="1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7328</v>
      </c>
      <c r="G687" s="103" t="s">
        <v>4330</v>
      </c>
      <c r="H687" s="103" t="s">
        <v>4331</v>
      </c>
      <c r="I687" s="142" t="s">
        <v>4343</v>
      </c>
      <c r="J687" s="149" t="s">
        <v>7329</v>
      </c>
      <c r="K687" s="149" t="s">
        <v>7330</v>
      </c>
      <c r="L687" s="149" t="s">
        <v>7331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7329</v>
      </c>
      <c r="AC687" s="149" t="s">
        <v>7330</v>
      </c>
      <c r="AD687" s="149" t="s">
        <v>7331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>IF(AY687-KD687=0,"",AY687-O687)</f>
        <v/>
      </c>
      <c r="BD687" s="103" t="str">
        <f>IF(AND(AI687&lt;&gt;"SIM",AI687="UH"),"AA","INDENIZAÇÃO")</f>
        <v>AA</v>
      </c>
      <c r="BE687" s="103" t="str">
        <f>IF(AND(AY687&lt;&gt;"AGUARDANDO",AY687&lt;&gt;"",N687="AUXÍLIO ALUGUEL ATÉ INDENIZAÇÃO"),"SIM","NÃO")</f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customHeight="1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7332</v>
      </c>
      <c r="G688" s="103" t="s">
        <v>4330</v>
      </c>
      <c r="H688" s="103" t="s">
        <v>4331</v>
      </c>
      <c r="I688" s="142" t="s">
        <v>4343</v>
      </c>
      <c r="J688" s="149" t="s">
        <v>7333</v>
      </c>
      <c r="K688" s="149" t="s">
        <v>7334</v>
      </c>
      <c r="L688" s="149" t="s">
        <v>7335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7333</v>
      </c>
      <c r="AC688" s="149" t="s">
        <v>7334</v>
      </c>
      <c r="AD688" s="149" t="s">
        <v>7335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>IF(AY688-KD688=0,"",AY688-O688)</f>
        <v/>
      </c>
      <c r="BD688" s="103" t="str">
        <f>IF(AND(AI688&lt;&gt;"SIM",AI688="UH"),"AA","INDENIZAÇÃO")</f>
        <v>AA</v>
      </c>
      <c r="BE688" s="103" t="str">
        <f>IF(AND(AY688&lt;&gt;"AGUARDANDO",AY688&lt;&gt;"",N688="AUXÍLIO ALUGUEL ATÉ INDENIZAÇÃO"),"SIM","NÃO")</f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customHeight="1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7336</v>
      </c>
      <c r="G689" s="103" t="s">
        <v>4330</v>
      </c>
      <c r="H689" s="103" t="s">
        <v>4331</v>
      </c>
      <c r="I689" s="142" t="s">
        <v>4343</v>
      </c>
      <c r="J689" s="114" t="s">
        <v>7337</v>
      </c>
      <c r="K689" s="149" t="s">
        <v>7338</v>
      </c>
      <c r="L689" s="149" t="s">
        <v>7339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7337</v>
      </c>
      <c r="AC689" s="149" t="s">
        <v>7338</v>
      </c>
      <c r="AD689" s="149" t="s">
        <v>7339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>IF(AY689-KD689=0,"",AY689-O689)</f>
        <v/>
      </c>
      <c r="BD689" s="103" t="str">
        <f>IF(AND(AI689&lt;&gt;"SIM",AI689="UH"),"AA","INDENIZAÇÃO")</f>
        <v>AA</v>
      </c>
      <c r="BE689" s="103" t="str">
        <f>IF(AND(AY689&lt;&gt;"AGUARDANDO",AY689&lt;&gt;"",N689="AUXÍLIO ALUGUEL ATÉ INDENIZAÇÃO"),"SIM","NÃO")</f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customHeight="1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7340</v>
      </c>
      <c r="G690" s="103" t="s">
        <v>4330</v>
      </c>
      <c r="H690" s="103" t="s">
        <v>4331</v>
      </c>
      <c r="I690" s="142" t="s">
        <v>4343</v>
      </c>
      <c r="J690" s="114" t="s">
        <v>7341</v>
      </c>
      <c r="K690" s="149" t="s">
        <v>7342</v>
      </c>
      <c r="L690" s="149" t="s">
        <v>7343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7341</v>
      </c>
      <c r="AC690" s="149" t="s">
        <v>7342</v>
      </c>
      <c r="AD690" s="149" t="s">
        <v>7343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>IF(AY690-KD690=0,"",AY690-O690)</f>
        <v/>
      </c>
      <c r="BD690" s="103" t="str">
        <f>IF(AND(AI690&lt;&gt;"SIM",AI690="UH"),"AA","INDENIZAÇÃO")</f>
        <v>AA</v>
      </c>
      <c r="BE690" s="103" t="str">
        <f>IF(AND(AY690&lt;&gt;"AGUARDANDO",AY690&lt;&gt;"",N690="AUXÍLIO ALUGUEL ATÉ INDENIZAÇÃO"),"SIM","NÃO")</f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customHeight="1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7344</v>
      </c>
      <c r="G691" s="103" t="s">
        <v>4330</v>
      </c>
      <c r="H691" s="103" t="s">
        <v>4331</v>
      </c>
      <c r="I691" s="142" t="s">
        <v>4343</v>
      </c>
      <c r="J691" s="149" t="s">
        <v>7345</v>
      </c>
      <c r="K691" s="149" t="s">
        <v>7346</v>
      </c>
      <c r="L691" s="149" t="s">
        <v>7347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7345</v>
      </c>
      <c r="AC691" s="149" t="s">
        <v>7346</v>
      </c>
      <c r="AD691" s="149" t="s">
        <v>7347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>IF(AY691-KD691=0,"",AY691-O691)</f>
        <v/>
      </c>
      <c r="BD691" s="103" t="str">
        <f>IF(AND(AI691&lt;&gt;"SIM",AI691="UH"),"AA","INDENIZAÇÃO")</f>
        <v>AA</v>
      </c>
      <c r="BE691" s="103" t="str">
        <f>IF(AND(AY691&lt;&gt;"AGUARDANDO",AY691&lt;&gt;"",N691="AUXÍLIO ALUGUEL ATÉ INDENIZAÇÃO"),"SIM","NÃO")</f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customHeight="1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7348</v>
      </c>
      <c r="G692" s="103" t="s">
        <v>4330</v>
      </c>
      <c r="H692" s="103" t="s">
        <v>4331</v>
      </c>
      <c r="I692" s="142" t="s">
        <v>4343</v>
      </c>
      <c r="J692" s="149" t="s">
        <v>7349</v>
      </c>
      <c r="K692" s="149" t="s">
        <v>7350</v>
      </c>
      <c r="L692" s="149" t="s">
        <v>7351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7349</v>
      </c>
      <c r="AC692" s="149" t="s">
        <v>7350</v>
      </c>
      <c r="AD692" s="149" t="s">
        <v>7351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>IF(AY692-KD692=0,"",AY692-O692)</f>
        <v/>
      </c>
      <c r="BD692" s="103" t="str">
        <f>IF(AND(AI692&lt;&gt;"SIM",AI692="UH"),"AA","INDENIZAÇÃO")</f>
        <v>AA</v>
      </c>
      <c r="BE692" s="103" t="str">
        <f>IF(AND(AY692&lt;&gt;"AGUARDANDO",AY692&lt;&gt;"",N692="AUXÍLIO ALUGUEL ATÉ INDENIZAÇÃO"),"SIM","NÃO")</f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customHeight="1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7352</v>
      </c>
      <c r="G693" s="103" t="s">
        <v>4330</v>
      </c>
      <c r="H693" s="103" t="s">
        <v>4331</v>
      </c>
      <c r="I693" s="142" t="s">
        <v>4343</v>
      </c>
      <c r="J693" s="149" t="s">
        <v>7353</v>
      </c>
      <c r="K693" s="149" t="s">
        <v>7354</v>
      </c>
      <c r="L693" s="149" t="s">
        <v>7355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7353</v>
      </c>
      <c r="AC693" s="149" t="s">
        <v>7354</v>
      </c>
      <c r="AD693" s="149" t="s">
        <v>7355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>IF(AY693-KD693=0,"",AY693-O693)</f>
        <v/>
      </c>
      <c r="BD693" s="103" t="str">
        <f>IF(AND(AI693&lt;&gt;"SIM",AI693="UH"),"AA","INDENIZAÇÃO")</f>
        <v>AA</v>
      </c>
      <c r="BE693" s="103" t="str">
        <f>IF(AND(AY693&lt;&gt;"AGUARDANDO",AY693&lt;&gt;"",N693="AUXÍLIO ALUGUEL ATÉ INDENIZAÇÃO"),"SIM","NÃO")</f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customHeight="1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7356</v>
      </c>
      <c r="G694" s="103" t="s">
        <v>4330</v>
      </c>
      <c r="H694" s="103" t="s">
        <v>4331</v>
      </c>
      <c r="I694" s="142" t="s">
        <v>4343</v>
      </c>
      <c r="J694" s="149" t="s">
        <v>7357</v>
      </c>
      <c r="K694" s="149" t="s">
        <v>7358</v>
      </c>
      <c r="L694" s="149" t="s">
        <v>7359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7357</v>
      </c>
      <c r="AC694" s="149" t="s">
        <v>7358</v>
      </c>
      <c r="AD694" s="149" t="s">
        <v>7359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>IF(AY694-KD694=0,"",AY694-O694)</f>
        <v/>
      </c>
      <c r="BD694" s="103" t="str">
        <f>IF(AND(AI694&lt;&gt;"SIM",AI694="UH"),"AA","INDENIZAÇÃO")</f>
        <v>AA</v>
      </c>
      <c r="BE694" s="103" t="str">
        <f>IF(AND(AY694&lt;&gt;"AGUARDANDO",AY694&lt;&gt;"",N694="AUXÍLIO ALUGUEL ATÉ INDENIZAÇÃO"),"SIM","NÃO")</f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customHeight="1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7360</v>
      </c>
      <c r="G695" s="103" t="s">
        <v>4330</v>
      </c>
      <c r="H695" s="103" t="s">
        <v>4331</v>
      </c>
      <c r="I695" s="142" t="s">
        <v>4343</v>
      </c>
      <c r="J695" s="149" t="s">
        <v>7361</v>
      </c>
      <c r="K695" s="149" t="s">
        <v>4457</v>
      </c>
      <c r="L695" s="149" t="s">
        <v>7362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7361</v>
      </c>
      <c r="AC695" s="149" t="s">
        <v>4457</v>
      </c>
      <c r="AD695" s="149" t="s">
        <v>7362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>IF(AY695-KD695=0,"",AY695-O695)</f>
        <v/>
      </c>
      <c r="BD695" s="103" t="str">
        <f>IF(AND(AI695&lt;&gt;"SIM",AI695="UH"),"AA","INDENIZAÇÃO")</f>
        <v>AA</v>
      </c>
      <c r="BE695" s="103" t="str">
        <f>IF(AND(AY695&lt;&gt;"AGUARDANDO",AY695&lt;&gt;"",N695="AUXÍLIO ALUGUEL ATÉ INDENIZAÇÃO"),"SIM","NÃO")</f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>
      <c r="A696" s="165">
        <v>685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7363</v>
      </c>
      <c r="G696" s="103" t="s">
        <v>4330</v>
      </c>
      <c r="H696" s="103" t="s">
        <v>4331</v>
      </c>
      <c r="I696" s="142" t="s">
        <v>4343</v>
      </c>
      <c r="J696" s="149" t="s">
        <v>7364</v>
      </c>
      <c r="K696" s="149" t="s">
        <v>7365</v>
      </c>
      <c r="L696" s="149" t="s">
        <v>7366</v>
      </c>
      <c r="M696" s="103" t="s">
        <v>4333</v>
      </c>
      <c r="N696" s="103" t="s">
        <v>4459</v>
      </c>
      <c r="O696" s="105">
        <v>46077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05"/>
      <c r="AB696" s="149" t="s">
        <v>7367</v>
      </c>
      <c r="AC696" s="149" t="s">
        <v>7365</v>
      </c>
      <c r="AD696" s="149" t="s">
        <v>7366</v>
      </c>
      <c r="AE696" s="103" t="s">
        <v>4343</v>
      </c>
      <c r="AF696" s="103" t="s">
        <v>4333</v>
      </c>
      <c r="AG696" s="194">
        <v>2812.4</v>
      </c>
      <c r="AH696" s="194">
        <f>AG696+30000</f>
        <v>32812.400000000001</v>
      </c>
      <c r="AI696" s="103" t="s">
        <v>4336</v>
      </c>
      <c r="AJ696" s="104" t="s">
        <v>4438</v>
      </c>
      <c r="AK696" s="103">
        <v>150959865</v>
      </c>
      <c r="AL696" s="103" t="s">
        <v>4338</v>
      </c>
      <c r="AM696" s="103" t="s">
        <v>4338</v>
      </c>
      <c r="AN696" s="103" t="s">
        <v>4339</v>
      </c>
      <c r="AO696" s="112"/>
      <c r="AP696" s="171" t="s">
        <v>7368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46127</v>
      </c>
      <c r="AV696" s="103" t="s">
        <v>4338</v>
      </c>
      <c r="AW696" s="103" t="s">
        <v>4338</v>
      </c>
      <c r="AX696" s="105">
        <v>46139</v>
      </c>
      <c r="AY696" s="106">
        <v>46139</v>
      </c>
      <c r="AZ696" s="106" t="s">
        <v>4453</v>
      </c>
      <c r="BA696" s="174" t="s">
        <v>4454</v>
      </c>
      <c r="BB696" s="136" t="s">
        <v>4338</v>
      </c>
      <c r="BC696" s="220">
        <f>IF(AY696-KD696=0,"",AY696-O696)</f>
        <v>62</v>
      </c>
      <c r="BD696" s="103" t="str">
        <f>IF(AND(AI696&lt;&gt;"SIM",AI696="UH"),"AA","INDENIZAÇÃO")</f>
        <v>INDENIZAÇÃO</v>
      </c>
      <c r="BE696" s="103" t="str">
        <f>IF(AND(AY696&lt;&gt;"AGUARDANDO",AY696&lt;&gt;"",N696="AUXÍLIO ALUGUEL ATÉ INDENIZAÇÃO"),"SIM","NÃO")</f>
        <v>NÃO</v>
      </c>
      <c r="BF696" s="112" t="s">
        <v>4357</v>
      </c>
      <c r="BG696" s="112" t="s">
        <v>4357</v>
      </c>
      <c r="BH696" s="112" t="s">
        <v>4357</v>
      </c>
      <c r="BI696" s="109" t="s">
        <v>4912</v>
      </c>
      <c r="BJ696" s="109"/>
      <c r="BK696" s="109"/>
      <c r="BL696" s="109"/>
      <c r="BM696" s="239"/>
      <c r="BN696" s="231"/>
    </row>
    <row r="697" spans="1:66" ht="30" customHeight="1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7369</v>
      </c>
      <c r="G697" s="103" t="s">
        <v>4330</v>
      </c>
      <c r="H697" s="103" t="s">
        <v>4331</v>
      </c>
      <c r="I697" s="142" t="s">
        <v>4343</v>
      </c>
      <c r="J697" s="149" t="s">
        <v>7370</v>
      </c>
      <c r="K697" s="149" t="s">
        <v>7371</v>
      </c>
      <c r="L697" s="149" t="s">
        <v>7372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7370</v>
      </c>
      <c r="AC697" s="149" t="s">
        <v>7371</v>
      </c>
      <c r="AD697" s="149" t="s">
        <v>7372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>IF(AY697-KD697=0,"",AY697-O697)</f>
        <v/>
      </c>
      <c r="BD697" s="103" t="str">
        <f>IF(AND(AI697&lt;&gt;"SIM",AI697="UH"),"AA","INDENIZAÇÃO")</f>
        <v>AA</v>
      </c>
      <c r="BE697" s="103" t="str">
        <f>IF(AND(AY697&lt;&gt;"AGUARDANDO",AY697&lt;&gt;"",N697="AUXÍLIO ALUGUEL ATÉ INDENIZAÇÃO"),"SIM","NÃO")</f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customHeight="1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7373</v>
      </c>
      <c r="G698" s="103" t="s">
        <v>4330</v>
      </c>
      <c r="H698" s="103" t="s">
        <v>4331</v>
      </c>
      <c r="I698" s="142" t="s">
        <v>4343</v>
      </c>
      <c r="J698" s="149" t="s">
        <v>7374</v>
      </c>
      <c r="K698" s="149" t="s">
        <v>4457</v>
      </c>
      <c r="L698" s="149" t="s">
        <v>7375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7374</v>
      </c>
      <c r="AC698" s="149" t="s">
        <v>4457</v>
      </c>
      <c r="AD698" s="149" t="s">
        <v>7375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>IF(AY698-KD698=0,"",AY698-O698)</f>
        <v/>
      </c>
      <c r="BD698" s="103" t="str">
        <f>IF(AND(AI698&lt;&gt;"SIM",AI698="UH"),"AA","INDENIZAÇÃO")</f>
        <v>AA</v>
      </c>
      <c r="BE698" s="103" t="str">
        <f>IF(AND(AY698&lt;&gt;"AGUARDANDO",AY698&lt;&gt;"",N698="AUXÍLIO ALUGUEL ATÉ INDENIZAÇÃO"),"SIM","NÃO")</f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customHeight="1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7376</v>
      </c>
      <c r="G699" s="103" t="s">
        <v>4330</v>
      </c>
      <c r="H699" s="103" t="s">
        <v>4331</v>
      </c>
      <c r="I699" s="142" t="s">
        <v>4343</v>
      </c>
      <c r="J699" s="149" t="s">
        <v>7377</v>
      </c>
      <c r="K699" s="149" t="s">
        <v>7378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7377</v>
      </c>
      <c r="AC699" s="149" t="s">
        <v>7378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>IF(AY699-KD699=0,"",AY699-O699)</f>
        <v/>
      </c>
      <c r="BD699" s="103" t="str">
        <f>IF(AND(AI699&lt;&gt;"SIM",AI699="UH"),"AA","INDENIZAÇÃO")</f>
        <v>AA</v>
      </c>
      <c r="BE699" s="103" t="str">
        <f>IF(AND(AY699&lt;&gt;"AGUARDANDO",AY699&lt;&gt;"",N699="AUXÍLIO ALUGUEL ATÉ INDENIZAÇÃO"),"SIM","NÃO")</f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customHeight="1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7379</v>
      </c>
      <c r="G700" s="103" t="s">
        <v>4330</v>
      </c>
      <c r="H700" s="103" t="s">
        <v>4331</v>
      </c>
      <c r="I700" s="142" t="s">
        <v>4343</v>
      </c>
      <c r="J700" s="149" t="s">
        <v>7380</v>
      </c>
      <c r="K700" s="149" t="s">
        <v>4457</v>
      </c>
      <c r="L700" s="149" t="s">
        <v>7381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7380</v>
      </c>
      <c r="AC700" s="149" t="s">
        <v>4457</v>
      </c>
      <c r="AD700" s="149" t="s">
        <v>7381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>IF(AY700-KD700=0,"",AY700-O700)</f>
        <v/>
      </c>
      <c r="BD700" s="103" t="str">
        <f>IF(AND(AI700&lt;&gt;"SIM",AI700="UH"),"AA","INDENIZAÇÃO")</f>
        <v>AA</v>
      </c>
      <c r="BE700" s="103" t="str">
        <f>IF(AND(AY700&lt;&gt;"AGUARDANDO",AY700&lt;&gt;"",N700="AUXÍLIO ALUGUEL ATÉ INDENIZAÇÃO"),"SIM","NÃO")</f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customHeight="1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7382</v>
      </c>
      <c r="G701" s="103" t="s">
        <v>4330</v>
      </c>
      <c r="H701" s="103" t="s">
        <v>4331</v>
      </c>
      <c r="I701" s="142" t="s">
        <v>4343</v>
      </c>
      <c r="J701" s="149" t="s">
        <v>7383</v>
      </c>
      <c r="K701" s="149" t="s">
        <v>7384</v>
      </c>
      <c r="L701" s="149" t="s">
        <v>7385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7383</v>
      </c>
      <c r="AC701" s="149" t="s">
        <v>7384</v>
      </c>
      <c r="AD701" s="149" t="s">
        <v>7385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>IF(AY701-KD701=0,"",AY701-O701)</f>
        <v/>
      </c>
      <c r="BD701" s="103" t="str">
        <f>IF(AND(AI701&lt;&gt;"SIM",AI701="UH"),"AA","INDENIZAÇÃO")</f>
        <v>AA</v>
      </c>
      <c r="BE701" s="103" t="str">
        <f>IF(AND(AY701&lt;&gt;"AGUARDANDO",AY701&lt;&gt;"",N701="AUXÍLIO ALUGUEL ATÉ INDENIZAÇÃO"),"SIM","NÃO")</f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customHeight="1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7386</v>
      </c>
      <c r="G702" s="103" t="s">
        <v>4330</v>
      </c>
      <c r="H702" s="103" t="s">
        <v>4331</v>
      </c>
      <c r="I702" s="142" t="s">
        <v>4343</v>
      </c>
      <c r="J702" s="149" t="s">
        <v>7387</v>
      </c>
      <c r="K702" s="149" t="s">
        <v>4457</v>
      </c>
      <c r="L702" s="149" t="s">
        <v>7388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7387</v>
      </c>
      <c r="AC702" s="149" t="s">
        <v>4457</v>
      </c>
      <c r="AD702" s="149" t="s">
        <v>7388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>IF(AY702-KD702=0,"",AY702-O702)</f>
        <v/>
      </c>
      <c r="BD702" s="103" t="str">
        <f>IF(AND(AI702&lt;&gt;"SIM",AI702="UH"),"AA","INDENIZAÇÃO")</f>
        <v>AA</v>
      </c>
      <c r="BE702" s="103" t="str">
        <f>IF(AND(AY702&lt;&gt;"AGUARDANDO",AY702&lt;&gt;"",N702="AUXÍLIO ALUGUEL ATÉ INDENIZAÇÃO"),"SIM","NÃO")</f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customHeight="1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7389</v>
      </c>
      <c r="G703" s="103" t="s">
        <v>4330</v>
      </c>
      <c r="H703" s="103" t="s">
        <v>4331</v>
      </c>
      <c r="I703" s="142" t="s">
        <v>4343</v>
      </c>
      <c r="J703" s="149" t="s">
        <v>7390</v>
      </c>
      <c r="K703" s="149" t="s">
        <v>7391</v>
      </c>
      <c r="L703" s="149" t="s">
        <v>7392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7390</v>
      </c>
      <c r="AC703" s="149" t="s">
        <v>7391</v>
      </c>
      <c r="AD703" s="149" t="s">
        <v>7392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>IF(AY703-KD703=0,"",AY703-O703)</f>
        <v/>
      </c>
      <c r="BD703" s="103" t="str">
        <f>IF(AND(AI703&lt;&gt;"SIM",AI703="UH"),"AA","INDENIZAÇÃO")</f>
        <v>AA</v>
      </c>
      <c r="BE703" s="103" t="str">
        <f>IF(AND(AY703&lt;&gt;"AGUARDANDO",AY703&lt;&gt;"",N703="AUXÍLIO ALUGUEL ATÉ INDENIZAÇÃO"),"SIM","NÃO")</f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customHeight="1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7393</v>
      </c>
      <c r="G704" s="103" t="s">
        <v>4330</v>
      </c>
      <c r="H704" s="103" t="s">
        <v>4331</v>
      </c>
      <c r="I704" s="142" t="s">
        <v>4343</v>
      </c>
      <c r="J704" s="149" t="s">
        <v>7394</v>
      </c>
      <c r="K704" s="149" t="s">
        <v>7395</v>
      </c>
      <c r="L704" s="149" t="s">
        <v>7396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7394</v>
      </c>
      <c r="AC704" s="149" t="s">
        <v>7395</v>
      </c>
      <c r="AD704" s="149" t="s">
        <v>7396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>IF(AY704-KD704=0,"",AY704-O704)</f>
        <v/>
      </c>
      <c r="BD704" s="103" t="str">
        <f>IF(AND(AI704&lt;&gt;"SIM",AI704="UH"),"AA","INDENIZAÇÃO")</f>
        <v>AA</v>
      </c>
      <c r="BE704" s="103" t="str">
        <f>IF(AND(AY704&lt;&gt;"AGUARDANDO",AY704&lt;&gt;"",N704="AUXÍLIO ALUGUEL ATÉ INDENIZAÇÃO"),"SIM","NÃO")</f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customHeight="1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7397</v>
      </c>
      <c r="G705" s="103" t="s">
        <v>4330</v>
      </c>
      <c r="H705" s="103" t="s">
        <v>4331</v>
      </c>
      <c r="I705" s="142" t="s">
        <v>4343</v>
      </c>
      <c r="J705" s="149" t="s">
        <v>7398</v>
      </c>
      <c r="K705" s="149" t="s">
        <v>7399</v>
      </c>
      <c r="L705" s="149" t="s">
        <v>7400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7398</v>
      </c>
      <c r="AC705" s="149" t="s">
        <v>7399</v>
      </c>
      <c r="AD705" s="149" t="s">
        <v>7400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>IF(AY705-KD705=0,"",AY705-O705)</f>
        <v/>
      </c>
      <c r="BD705" s="103" t="str">
        <f>IF(AND(AI705&lt;&gt;"SIM",AI705="UH"),"AA","INDENIZAÇÃO")</f>
        <v>AA</v>
      </c>
      <c r="BE705" s="103" t="str">
        <f>IF(AND(AY705&lt;&gt;"AGUARDANDO",AY705&lt;&gt;"",N705="AUXÍLIO ALUGUEL ATÉ INDENIZAÇÃO"),"SIM","NÃO")</f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customHeight="1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7401</v>
      </c>
      <c r="G706" s="103" t="s">
        <v>4330</v>
      </c>
      <c r="H706" s="103" t="s">
        <v>4331</v>
      </c>
      <c r="I706" s="142" t="s">
        <v>4343</v>
      </c>
      <c r="J706" s="149" t="s">
        <v>7402</v>
      </c>
      <c r="K706" s="149" t="s">
        <v>7403</v>
      </c>
      <c r="L706" s="149" t="s">
        <v>7404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7402</v>
      </c>
      <c r="AC706" s="149" t="s">
        <v>7403</v>
      </c>
      <c r="AD706" s="149" t="s">
        <v>7404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>IF(AY706-KD706=0,"",AY706-O706)</f>
        <v/>
      </c>
      <c r="BD706" s="103" t="str">
        <f>IF(AND(AI706&lt;&gt;"SIM",AI706="UH"),"AA","INDENIZAÇÃO")</f>
        <v>AA</v>
      </c>
      <c r="BE706" s="103" t="str">
        <f>IF(AND(AY706&lt;&gt;"AGUARDANDO",AY706&lt;&gt;"",N706="AUXÍLIO ALUGUEL ATÉ INDENIZAÇÃO"),"SIM","NÃO")</f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customHeight="1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7405</v>
      </c>
      <c r="G707" s="103" t="s">
        <v>4330</v>
      </c>
      <c r="H707" s="103" t="s">
        <v>4331</v>
      </c>
      <c r="I707" s="142" t="s">
        <v>4343</v>
      </c>
      <c r="J707" s="149" t="s">
        <v>7406</v>
      </c>
      <c r="K707" s="149" t="s">
        <v>7407</v>
      </c>
      <c r="L707" s="149" t="s">
        <v>7408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7406</v>
      </c>
      <c r="AC707" s="149" t="s">
        <v>7407</v>
      </c>
      <c r="AD707" s="149" t="s">
        <v>7408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>IF(AY707-KD707=0,"",AY707-O707)</f>
        <v/>
      </c>
      <c r="BD707" s="103" t="str">
        <f>IF(AND(AI707&lt;&gt;"SIM",AI707="UH"),"AA","INDENIZAÇÃO")</f>
        <v>AA</v>
      </c>
      <c r="BE707" s="103" t="str">
        <f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customHeight="1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7409</v>
      </c>
      <c r="G708" s="103" t="s">
        <v>4330</v>
      </c>
      <c r="H708" s="103" t="s">
        <v>4331</v>
      </c>
      <c r="I708" s="142" t="s">
        <v>4343</v>
      </c>
      <c r="J708" s="149" t="s">
        <v>7410</v>
      </c>
      <c r="K708" s="149" t="s">
        <v>7411</v>
      </c>
      <c r="L708" s="149" t="s">
        <v>7412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7410</v>
      </c>
      <c r="AC708" s="149" t="s">
        <v>7411</v>
      </c>
      <c r="AD708" s="149" t="s">
        <v>7412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>IF(AY708-KD708=0,"",AY708-O708)</f>
        <v/>
      </c>
      <c r="BD708" s="103" t="str">
        <f>IF(AND(AI708&lt;&gt;"SIM",AI708="UH"),"AA","INDENIZAÇÃO")</f>
        <v>AA</v>
      </c>
      <c r="BE708" s="103" t="str">
        <f>IF(AND(AY708&lt;&gt;"AGUARDANDO",AY708&lt;&gt;"",N708="AUXÍLIO ALUGUEL ATÉ INDENIZAÇÃO"),"SIM","NÃO")</f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customHeight="1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7413</v>
      </c>
      <c r="G709" s="103" t="s">
        <v>4330</v>
      </c>
      <c r="H709" s="103" t="s">
        <v>4331</v>
      </c>
      <c r="I709" s="142" t="s">
        <v>4343</v>
      </c>
      <c r="J709" s="149" t="s">
        <v>7414</v>
      </c>
      <c r="K709" s="149" t="s">
        <v>7415</v>
      </c>
      <c r="L709" s="149" t="s">
        <v>7416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7414</v>
      </c>
      <c r="AC709" s="149" t="s">
        <v>7415</v>
      </c>
      <c r="AD709" s="149" t="s">
        <v>7416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>IF(AY709-KD709=0,"",AY709-O709)</f>
        <v/>
      </c>
      <c r="BD709" s="103" t="str">
        <f>IF(AND(AI709&lt;&gt;"SIM",AI709="UH"),"AA","INDENIZAÇÃO")</f>
        <v>AA</v>
      </c>
      <c r="BE709" s="103" t="str">
        <f>IF(AND(AY709&lt;&gt;"AGUARDANDO",AY709&lt;&gt;"",N709="AUXÍLIO ALUGUEL ATÉ INDENIZAÇÃO"),"SIM","NÃO")</f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customHeight="1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7417</v>
      </c>
      <c r="G710" s="103" t="s">
        <v>4330</v>
      </c>
      <c r="H710" s="103" t="s">
        <v>4331</v>
      </c>
      <c r="I710" s="142" t="s">
        <v>4343</v>
      </c>
      <c r="J710" s="149" t="s">
        <v>7418</v>
      </c>
      <c r="K710" s="149" t="s">
        <v>7419</v>
      </c>
      <c r="L710" s="149" t="s">
        <v>7420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7418</v>
      </c>
      <c r="AC710" s="149" t="s">
        <v>7419</v>
      </c>
      <c r="AD710" s="149" t="s">
        <v>7420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>IF(AY710-KD710=0,"",AY710-O710)</f>
        <v/>
      </c>
      <c r="BD710" s="103" t="str">
        <f>IF(AND(AI710&lt;&gt;"SIM",AI710="UH"),"AA","INDENIZAÇÃO")</f>
        <v>AA</v>
      </c>
      <c r="BE710" s="103" t="str">
        <f>IF(AND(AY710&lt;&gt;"AGUARDANDO",AY710&lt;&gt;"",N710="AUXÍLIO ALUGUEL ATÉ INDENIZAÇÃO"),"SIM","NÃO")</f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customHeight="1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7421</v>
      </c>
      <c r="G711" s="103" t="s">
        <v>4330</v>
      </c>
      <c r="H711" s="103" t="s">
        <v>4331</v>
      </c>
      <c r="I711" s="142" t="s">
        <v>4343</v>
      </c>
      <c r="J711" s="149" t="s">
        <v>7422</v>
      </c>
      <c r="K711" s="149" t="s">
        <v>4457</v>
      </c>
      <c r="L711" s="149" t="s">
        <v>7423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7422</v>
      </c>
      <c r="AC711" s="149" t="s">
        <v>4457</v>
      </c>
      <c r="AD711" s="149" t="s">
        <v>7423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>IF(AY711-KD711=0,"",AY711-O711)</f>
        <v/>
      </c>
      <c r="BD711" s="103" t="str">
        <f>IF(AND(AI711&lt;&gt;"SIM",AI711="UH"),"AA","INDENIZAÇÃO")</f>
        <v>AA</v>
      </c>
      <c r="BE711" s="103" t="str">
        <f>IF(AND(AY711&lt;&gt;"AGUARDANDO",AY711&lt;&gt;"",N711="AUXÍLIO ALUGUEL ATÉ INDENIZAÇÃO"),"SIM","NÃO")</f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customHeight="1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7424</v>
      </c>
      <c r="G712" s="103" t="s">
        <v>4330</v>
      </c>
      <c r="H712" s="103" t="s">
        <v>4331</v>
      </c>
      <c r="I712" s="142" t="s">
        <v>4343</v>
      </c>
      <c r="J712" s="149" t="s">
        <v>7425</v>
      </c>
      <c r="K712" s="149" t="s">
        <v>7426</v>
      </c>
      <c r="L712" s="149" t="s">
        <v>7427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7425</v>
      </c>
      <c r="AC712" s="149" t="s">
        <v>7426</v>
      </c>
      <c r="AD712" s="149" t="s">
        <v>7427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>IF(AY712-KD712=0,"",AY712-O712)</f>
        <v/>
      </c>
      <c r="BD712" s="103" t="str">
        <f>IF(AND(AI712&lt;&gt;"SIM",AI712="UH"),"AA","INDENIZAÇÃO")</f>
        <v>AA</v>
      </c>
      <c r="BE712" s="103" t="str">
        <f>IF(AND(AY712&lt;&gt;"AGUARDANDO",AY712&lt;&gt;"",N712="AUXÍLIO ALUGUEL ATÉ INDENIZAÇÃO"),"SIM","NÃO")</f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customHeight="1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7428</v>
      </c>
      <c r="G713" s="103" t="s">
        <v>4330</v>
      </c>
      <c r="H713" s="103" t="s">
        <v>4331</v>
      </c>
      <c r="I713" s="142" t="s">
        <v>4343</v>
      </c>
      <c r="J713" s="149" t="s">
        <v>7429</v>
      </c>
      <c r="K713" s="149" t="s">
        <v>7430</v>
      </c>
      <c r="L713" s="149" t="s">
        <v>7431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7429</v>
      </c>
      <c r="AC713" s="149" t="s">
        <v>7430</v>
      </c>
      <c r="AD713" s="149" t="s">
        <v>7431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>IF(AY713-KD713=0,"",AY713-O713)</f>
        <v/>
      </c>
      <c r="BD713" s="103" t="str">
        <f>IF(AND(AI713&lt;&gt;"SIM",AI713="UH"),"AA","INDENIZAÇÃO")</f>
        <v>AA</v>
      </c>
      <c r="BE713" s="103" t="str">
        <f>IF(AND(AY713&lt;&gt;"AGUARDANDO",AY713&lt;&gt;"",N713="AUXÍLIO ALUGUEL ATÉ INDENIZAÇÃO"),"SIM","NÃO")</f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customHeight="1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7432</v>
      </c>
      <c r="G714" s="103" t="s">
        <v>4330</v>
      </c>
      <c r="H714" s="103" t="s">
        <v>4331</v>
      </c>
      <c r="I714" s="142" t="s">
        <v>4343</v>
      </c>
      <c r="J714" s="150" t="s">
        <v>7433</v>
      </c>
      <c r="K714" s="149" t="s">
        <v>7434</v>
      </c>
      <c r="L714" s="149" t="s">
        <v>7435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7433</v>
      </c>
      <c r="AC714" s="149" t="s">
        <v>7434</v>
      </c>
      <c r="AD714" s="149" t="s">
        <v>7435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>IF(AY714-KD714=0,"",AY714-O714)</f>
        <v/>
      </c>
      <c r="BD714" s="103" t="str">
        <f>IF(AND(AI714&lt;&gt;"SIM",AI714="UH"),"AA","INDENIZAÇÃO")</f>
        <v>AA</v>
      </c>
      <c r="BE714" s="103" t="str">
        <f>IF(AND(AY714&lt;&gt;"AGUARDANDO",AY714&lt;&gt;"",N714="AUXÍLIO ALUGUEL ATÉ INDENIZAÇÃO"),"SIM","NÃO")</f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customHeight="1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7436</v>
      </c>
      <c r="G715" s="103" t="s">
        <v>4330</v>
      </c>
      <c r="H715" s="103" t="s">
        <v>4331</v>
      </c>
      <c r="I715" s="142" t="s">
        <v>4343</v>
      </c>
      <c r="J715" s="114" t="s">
        <v>7437</v>
      </c>
      <c r="K715" s="149" t="s">
        <v>7438</v>
      </c>
      <c r="L715" s="149" t="s">
        <v>7439</v>
      </c>
      <c r="M715" s="103" t="s">
        <v>4333</v>
      </c>
      <c r="N715" s="103" t="s">
        <v>4459</v>
      </c>
      <c r="O715" s="105">
        <v>46038</v>
      </c>
      <c r="P715" s="105" t="s">
        <v>4356</v>
      </c>
      <c r="Q715" s="105" t="s">
        <v>4356</v>
      </c>
      <c r="R715" s="105" t="s">
        <v>4356</v>
      </c>
      <c r="S715" s="105" t="s">
        <v>4356</v>
      </c>
      <c r="T715" s="105" t="s">
        <v>4356</v>
      </c>
      <c r="U715" s="105" t="s">
        <v>4356</v>
      </c>
      <c r="V715" s="105" t="s">
        <v>4356</v>
      </c>
      <c r="W715" s="105" t="s">
        <v>4356</v>
      </c>
      <c r="X715" s="105" t="s">
        <v>4356</v>
      </c>
      <c r="Y715" s="105" t="s">
        <v>4356</v>
      </c>
      <c r="Z715" s="105"/>
      <c r="AA715" s="105"/>
      <c r="AB715" s="114" t="s">
        <v>7437</v>
      </c>
      <c r="AC715" s="149" t="s">
        <v>7438</v>
      </c>
      <c r="AD715" s="149" t="s">
        <v>7439</v>
      </c>
      <c r="AE715" s="103" t="s">
        <v>4343</v>
      </c>
      <c r="AF715" s="103" t="s">
        <v>4333</v>
      </c>
      <c r="AG715" s="194">
        <v>4137.6400000000003</v>
      </c>
      <c r="AH715" s="194">
        <f>AG715+30000</f>
        <v>34137.64</v>
      </c>
      <c r="AI715" s="103" t="s">
        <v>4336</v>
      </c>
      <c r="AJ715" s="104" t="s">
        <v>4438</v>
      </c>
      <c r="AK715" s="103">
        <v>148267454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7440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46084</v>
      </c>
      <c r="AV715" s="112" t="s">
        <v>4338</v>
      </c>
      <c r="AW715" s="112" t="s">
        <v>4338</v>
      </c>
      <c r="AX715" s="111">
        <v>46092</v>
      </c>
      <c r="AY715" s="157">
        <v>46092</v>
      </c>
      <c r="AZ715" s="157" t="s">
        <v>4453</v>
      </c>
      <c r="BA715" s="107" t="s">
        <v>4454</v>
      </c>
      <c r="BB715" s="136" t="s">
        <v>4338</v>
      </c>
      <c r="BC715" s="220">
        <f>IF(AY715-KD715=0,"",AY715-O715)</f>
        <v>54</v>
      </c>
      <c r="BD715" s="103" t="str">
        <f>IF(AND(AI715&lt;&gt;"SIM",AI715="UH"),"AA","INDENIZAÇÃO")</f>
        <v>INDENIZAÇÃO</v>
      </c>
      <c r="BE715" s="103" t="str">
        <f>IF(AND(AY715&lt;&gt;"AGUARDANDO",AY715&lt;&gt;"",N715="AUXÍLIO ALUGUEL ATÉ INDENIZAÇÃO"),"SIM","NÃO")</f>
        <v>NÃO</v>
      </c>
      <c r="BF715" s="140" t="s">
        <v>4357</v>
      </c>
      <c r="BG715" s="140" t="s">
        <v>4357</v>
      </c>
      <c r="BH715" s="140" t="s">
        <v>4357</v>
      </c>
      <c r="BI715" s="154" t="s">
        <v>4912</v>
      </c>
      <c r="BJ715" s="154"/>
      <c r="BK715" s="154"/>
      <c r="BL715" s="154"/>
      <c r="BM715" s="237"/>
      <c r="BN715" s="231"/>
    </row>
    <row r="716" spans="1:69" ht="30" customHeight="1">
      <c r="A716" s="103">
        <v>705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7441</v>
      </c>
      <c r="G716" s="103" t="s">
        <v>4330</v>
      </c>
      <c r="H716" s="103" t="s">
        <v>4331</v>
      </c>
      <c r="I716" s="142" t="s">
        <v>4343</v>
      </c>
      <c r="J716" s="149" t="s">
        <v>7442</v>
      </c>
      <c r="K716" s="149" t="s">
        <v>7443</v>
      </c>
      <c r="L716" s="149" t="s">
        <v>7444</v>
      </c>
      <c r="M716" s="103" t="s">
        <v>4333</v>
      </c>
      <c r="N716" s="103" t="s">
        <v>4459</v>
      </c>
      <c r="O716" s="105">
        <v>46086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7445</v>
      </c>
      <c r="AC716" s="149" t="s">
        <v>7443</v>
      </c>
      <c r="AD716" s="149" t="s">
        <v>7444</v>
      </c>
      <c r="AE716" s="103" t="s">
        <v>4343</v>
      </c>
      <c r="AF716" s="103" t="s">
        <v>4333</v>
      </c>
      <c r="AG716" s="194">
        <v>882.38</v>
      </c>
      <c r="AH716" s="194">
        <f>AG716+30000</f>
        <v>30882.38</v>
      </c>
      <c r="AI716" s="103" t="s">
        <v>4447</v>
      </c>
      <c r="AJ716" s="104" t="s">
        <v>4438</v>
      </c>
      <c r="AK716" s="103">
        <v>150959925</v>
      </c>
      <c r="AL716" s="103" t="s">
        <v>4338</v>
      </c>
      <c r="AM716" s="103" t="s">
        <v>4338</v>
      </c>
      <c r="AN716" s="103" t="s">
        <v>4339</v>
      </c>
      <c r="AO716" s="112"/>
      <c r="AP716" s="171" t="s">
        <v>7446</v>
      </c>
      <c r="AQ716" s="103" t="s">
        <v>4338</v>
      </c>
      <c r="AR716" s="103" t="s">
        <v>4338</v>
      </c>
      <c r="AS716" s="103" t="s">
        <v>4338</v>
      </c>
      <c r="AT716" s="103" t="s">
        <v>4338</v>
      </c>
      <c r="AU716" s="105">
        <v>46153</v>
      </c>
      <c r="AV716" s="103" t="s">
        <v>4338</v>
      </c>
      <c r="AW716" s="103" t="s">
        <v>4338</v>
      </c>
      <c r="AX716" s="105">
        <v>46157</v>
      </c>
      <c r="AY716" s="106">
        <v>46157</v>
      </c>
      <c r="AZ716" s="106" t="s">
        <v>4453</v>
      </c>
      <c r="BA716" s="174" t="s">
        <v>4454</v>
      </c>
      <c r="BB716" s="136" t="s">
        <v>4338</v>
      </c>
      <c r="BC716" s="220">
        <f>IF(AY716-KD716=0,"",AY716-O716)</f>
        <v>71</v>
      </c>
      <c r="BD716" s="103" t="str">
        <f>IF(AND(AI716&lt;&gt;"SIM",AI716="UH"),"AA","INDENIZAÇÃO")</f>
        <v>INDENIZAÇÃO</v>
      </c>
      <c r="BE716" s="103" t="str">
        <f>IF(AND(AY716&lt;&gt;"AGUARDANDO",AY716&lt;&gt;"",N716="AUXÍLIO ALUGUEL ATÉ INDENIZAÇÃO"),"SIM","NÃO")</f>
        <v>NÃO</v>
      </c>
      <c r="BF716" s="140" t="s">
        <v>4357</v>
      </c>
      <c r="BG716" s="140" t="s">
        <v>4357</v>
      </c>
      <c r="BH716" s="140" t="s">
        <v>4357</v>
      </c>
      <c r="BI716" s="154" t="s">
        <v>4912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customHeight="1">
      <c r="A717" s="103">
        <v>706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7447</v>
      </c>
      <c r="G717" s="103" t="s">
        <v>4330</v>
      </c>
      <c r="H717" s="103" t="s">
        <v>4331</v>
      </c>
      <c r="I717" s="142" t="s">
        <v>4343</v>
      </c>
      <c r="J717" s="114" t="s">
        <v>7448</v>
      </c>
      <c r="K717" s="149" t="s">
        <v>7449</v>
      </c>
      <c r="L717" s="149" t="s">
        <v>7450</v>
      </c>
      <c r="M717" s="103" t="s">
        <v>4333</v>
      </c>
      <c r="N717" s="103" t="s">
        <v>4459</v>
      </c>
      <c r="O717" s="105">
        <v>45980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7451</v>
      </c>
      <c r="AC717" s="149" t="s">
        <v>7449</v>
      </c>
      <c r="AD717" s="149" t="s">
        <v>7450</v>
      </c>
      <c r="AE717" s="103" t="s">
        <v>4343</v>
      </c>
      <c r="AF717" s="103" t="s">
        <v>4333</v>
      </c>
      <c r="AG717" s="194">
        <v>4668.95</v>
      </c>
      <c r="AH717" s="194">
        <f>AG717+30000</f>
        <v>34668.949999999997</v>
      </c>
      <c r="AI717" s="103" t="s">
        <v>4336</v>
      </c>
      <c r="AJ717" s="104" t="s">
        <v>4438</v>
      </c>
      <c r="AK717" s="103">
        <v>146672839</v>
      </c>
      <c r="AL717" s="103" t="s">
        <v>4338</v>
      </c>
      <c r="AM717" s="103" t="s">
        <v>4338</v>
      </c>
      <c r="AN717" s="103" t="s">
        <v>4339</v>
      </c>
      <c r="AO717" s="112"/>
      <c r="AP717" s="171" t="s">
        <v>7452</v>
      </c>
      <c r="AQ717" s="103" t="s">
        <v>4338</v>
      </c>
      <c r="AR717" s="103" t="s">
        <v>4338</v>
      </c>
      <c r="AS717" s="103" t="s">
        <v>4338</v>
      </c>
      <c r="AT717" s="165" t="s">
        <v>4338</v>
      </c>
      <c r="AU717" s="105">
        <v>46008</v>
      </c>
      <c r="AV717" s="112" t="s">
        <v>4338</v>
      </c>
      <c r="AW717" s="103" t="s">
        <v>4338</v>
      </c>
      <c r="AX717" s="111">
        <v>46021</v>
      </c>
      <c r="AY717" s="106">
        <v>46021</v>
      </c>
      <c r="AZ717" s="157" t="s">
        <v>4453</v>
      </c>
      <c r="BA717" s="174" t="s">
        <v>4454</v>
      </c>
      <c r="BB717" s="136" t="s">
        <v>4338</v>
      </c>
      <c r="BC717" s="220">
        <f>IF(AY717-KD717=0,"",AY717-O717)</f>
        <v>41</v>
      </c>
      <c r="BD717" s="103" t="str">
        <f>IF(AND(AI717&lt;&gt;"SIM",AI717="UH"),"AA","INDENIZAÇÃO")</f>
        <v>INDENIZAÇÃO</v>
      </c>
      <c r="BE717" s="103" t="str">
        <f>IF(AND(AY717&lt;&gt;"AGUARDANDO",AY717&lt;&gt;"",N717="AUXÍLIO ALUGUEL ATÉ INDENIZAÇÃO"),"SIM","NÃO")</f>
        <v>NÃO</v>
      </c>
      <c r="BF717" s="140" t="s">
        <v>4357</v>
      </c>
      <c r="BG717" s="140" t="s">
        <v>4357</v>
      </c>
      <c r="BH717" s="140" t="s">
        <v>4357</v>
      </c>
      <c r="BI717" s="103" t="s">
        <v>4338</v>
      </c>
      <c r="BJ717" s="103" t="s">
        <v>4338</v>
      </c>
      <c r="BK717" s="105">
        <v>46205</v>
      </c>
      <c r="BL717" s="154" t="s">
        <v>4461</v>
      </c>
      <c r="BM717" s="237"/>
      <c r="BN717" s="231"/>
      <c r="BO717" s="232"/>
    </row>
    <row r="718" spans="1:69" ht="30" customHeight="1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7453</v>
      </c>
      <c r="G718" s="103" t="s">
        <v>4330</v>
      </c>
      <c r="H718" s="103" t="s">
        <v>4331</v>
      </c>
      <c r="I718" s="142" t="s">
        <v>4343</v>
      </c>
      <c r="J718" s="149" t="s">
        <v>7454</v>
      </c>
      <c r="K718" s="149" t="s">
        <v>7455</v>
      </c>
      <c r="L718" s="149" t="s">
        <v>7456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7454</v>
      </c>
      <c r="AC718" s="149" t="s">
        <v>7455</v>
      </c>
      <c r="AD718" s="149" t="s">
        <v>7456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>IF(AY718-KD718=0,"",AY718-O718)</f>
        <v/>
      </c>
      <c r="BD718" s="103" t="str">
        <f>IF(AND(AI718&lt;&gt;"SIM",AI718="UH"),"AA","INDENIZAÇÃO")</f>
        <v>AA</v>
      </c>
      <c r="BE718" s="103" t="str">
        <f>IF(AND(AY718&lt;&gt;"AGUARDANDO",AY718&lt;&gt;"",N718="AUXÍLIO ALUGUEL ATÉ INDENIZAÇÃO"),"SIM","NÃO")</f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customHeight="1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7457</v>
      </c>
      <c r="G719" s="103" t="s">
        <v>4330</v>
      </c>
      <c r="H719" s="103" t="s">
        <v>4331</v>
      </c>
      <c r="I719" s="142" t="s">
        <v>4343</v>
      </c>
      <c r="J719" s="149" t="s">
        <v>7445</v>
      </c>
      <c r="K719" s="149" t="s">
        <v>7458</v>
      </c>
      <c r="L719" s="149" t="s">
        <v>7459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7445</v>
      </c>
      <c r="AC719" s="149" t="s">
        <v>7458</v>
      </c>
      <c r="AD719" s="149" t="s">
        <v>7459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>IF(AY719-KD719=0,"",AY719-O719)</f>
        <v/>
      </c>
      <c r="BD719" s="103" t="str">
        <f>IF(AND(AI719&lt;&gt;"SIM",AI719="UH"),"AA","INDENIZAÇÃO")</f>
        <v>AA</v>
      </c>
      <c r="BE719" s="103" t="str">
        <f>IF(AND(AY719&lt;&gt;"AGUARDANDO",AY719&lt;&gt;"",N719="AUXÍLIO ALUGUEL ATÉ INDENIZAÇÃO"),"SIM","NÃO")</f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customHeight="1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7460</v>
      </c>
      <c r="G720" s="103" t="s">
        <v>4330</v>
      </c>
      <c r="H720" s="103" t="s">
        <v>4331</v>
      </c>
      <c r="I720" s="142" t="s">
        <v>4343</v>
      </c>
      <c r="J720" s="149" t="s">
        <v>7451</v>
      </c>
      <c r="K720" s="149" t="s">
        <v>7461</v>
      </c>
      <c r="L720" s="149" t="s">
        <v>7462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7451</v>
      </c>
      <c r="AC720" s="149" t="s">
        <v>7461</v>
      </c>
      <c r="AD720" s="149" t="s">
        <v>7462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>IF(AY720-KD720=0,"",AY720-O720)</f>
        <v/>
      </c>
      <c r="BD720" s="103" t="str">
        <f>IF(AND(AI720&lt;&gt;"SIM",AI720="UH"),"AA","INDENIZAÇÃO")</f>
        <v>AA</v>
      </c>
      <c r="BE720" s="103" t="str">
        <f>IF(AND(AY720&lt;&gt;"AGUARDANDO",AY720&lt;&gt;"",N720="AUXÍLIO ALUGUEL ATÉ INDENIZAÇÃO"),"SIM","NÃO")</f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customHeight="1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7463</v>
      </c>
      <c r="G721" s="103" t="s">
        <v>4330</v>
      </c>
      <c r="H721" s="103" t="s">
        <v>4331</v>
      </c>
      <c r="I721" s="142" t="s">
        <v>4343</v>
      </c>
      <c r="J721" s="149" t="s">
        <v>7464</v>
      </c>
      <c r="K721" s="149" t="s">
        <v>7465</v>
      </c>
      <c r="L721" s="149" t="s">
        <v>7466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7464</v>
      </c>
      <c r="AC721" s="149" t="s">
        <v>7465</v>
      </c>
      <c r="AD721" s="149" t="s">
        <v>7466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>IF(AY721-KD721=0,"",AY721-O721)</f>
        <v/>
      </c>
      <c r="BD721" s="103" t="str">
        <f>IF(AND(AI721&lt;&gt;"SIM",AI721="UH"),"AA","INDENIZAÇÃO")</f>
        <v>AA</v>
      </c>
      <c r="BE721" s="103" t="str">
        <f>IF(AND(AY721&lt;&gt;"AGUARDANDO",AY721&lt;&gt;"",N721="AUXÍLIO ALUGUEL ATÉ INDENIZAÇÃO"),"SIM","NÃO")</f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customHeight="1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7467</v>
      </c>
      <c r="G722" s="103" t="s">
        <v>4330</v>
      </c>
      <c r="H722" s="103" t="s">
        <v>4331</v>
      </c>
      <c r="I722" s="142" t="s">
        <v>4343</v>
      </c>
      <c r="J722" s="114" t="s">
        <v>7468</v>
      </c>
      <c r="K722" s="149" t="s">
        <v>7469</v>
      </c>
      <c r="L722" s="149" t="s">
        <v>7470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7468</v>
      </c>
      <c r="AC722" s="149" t="s">
        <v>7469</v>
      </c>
      <c r="AD722" s="149" t="s">
        <v>7470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>IF(AY722-KD722=0,"",AY722-O722)</f>
        <v/>
      </c>
      <c r="BD722" s="103" t="str">
        <f>IF(AND(AI722&lt;&gt;"SIM",AI722="UH"),"AA","INDENIZAÇÃO")</f>
        <v>AA</v>
      </c>
      <c r="BE722" s="103" t="str">
        <f>IF(AND(AY722&lt;&gt;"AGUARDANDO",AY722&lt;&gt;"",N722="AUXÍLIO ALUGUEL ATÉ INDENIZAÇÃO"),"SIM","NÃO")</f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customHeight="1">
      <c r="A723" s="103">
        <v>712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7471</v>
      </c>
      <c r="G723" s="103" t="s">
        <v>4330</v>
      </c>
      <c r="H723" s="103" t="s">
        <v>4331</v>
      </c>
      <c r="I723" s="142" t="s">
        <v>4343</v>
      </c>
      <c r="J723" s="149" t="s">
        <v>7472</v>
      </c>
      <c r="K723" s="149" t="s">
        <v>7473</v>
      </c>
      <c r="L723" s="149" t="s">
        <v>7474</v>
      </c>
      <c r="M723" s="103" t="s">
        <v>4333</v>
      </c>
      <c r="N723" s="103" t="s">
        <v>4459</v>
      </c>
      <c r="O723" s="105">
        <v>45980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04" t="s">
        <v>7472</v>
      </c>
      <c r="AC723" s="204" t="s">
        <v>7473</v>
      </c>
      <c r="AD723" s="204" t="s">
        <v>7474</v>
      </c>
      <c r="AE723" s="165" t="s">
        <v>4343</v>
      </c>
      <c r="AF723" s="165" t="s">
        <v>4333</v>
      </c>
      <c r="AG723" s="208">
        <v>42176.160000000003</v>
      </c>
      <c r="AH723" s="208">
        <v>60000</v>
      </c>
      <c r="AI723" s="165" t="s">
        <v>4336</v>
      </c>
      <c r="AJ723" s="104" t="s">
        <v>4438</v>
      </c>
      <c r="AK723" s="103">
        <v>146672914</v>
      </c>
      <c r="AL723" s="103" t="s">
        <v>4338</v>
      </c>
      <c r="AM723" s="103" t="s">
        <v>4338</v>
      </c>
      <c r="AN723" s="103" t="s">
        <v>4339</v>
      </c>
      <c r="AO723" s="112"/>
      <c r="AP723" s="171" t="s">
        <v>7475</v>
      </c>
      <c r="AQ723" s="103" t="s">
        <v>4338</v>
      </c>
      <c r="AR723" s="103" t="s">
        <v>4338</v>
      </c>
      <c r="AS723" s="103" t="s">
        <v>4338</v>
      </c>
      <c r="AT723" s="103" t="s">
        <v>4338</v>
      </c>
      <c r="AU723" s="105">
        <v>46056</v>
      </c>
      <c r="AV723" s="112" t="s">
        <v>4338</v>
      </c>
      <c r="AW723" s="103" t="s">
        <v>4338</v>
      </c>
      <c r="AX723" s="111">
        <v>46065</v>
      </c>
      <c r="AY723" s="157">
        <v>46065</v>
      </c>
      <c r="AZ723" s="157" t="s">
        <v>4453</v>
      </c>
      <c r="BA723" s="174" t="s">
        <v>4454</v>
      </c>
      <c r="BB723" s="136" t="s">
        <v>4338</v>
      </c>
      <c r="BC723" s="220">
        <f>IF(AY723-KD723=0,"",AY723-O723)</f>
        <v>85</v>
      </c>
      <c r="BD723" s="103" t="str">
        <f>IF(AND(AI723&lt;&gt;"SIM",AI723="UH"),"AA","INDENIZAÇÃO")</f>
        <v>INDENIZAÇÃO</v>
      </c>
      <c r="BE723" s="103" t="str">
        <f>IF(AND(AY723&lt;&gt;"AGUARDANDO",AY723&lt;&gt;"",N723="AUXÍLIO ALUGUEL ATÉ INDENIZAÇÃO"),"SIM","NÃO")</f>
        <v>NÃO</v>
      </c>
      <c r="BF723" s="140" t="s">
        <v>4357</v>
      </c>
      <c r="BG723" s="140" t="s">
        <v>4357</v>
      </c>
      <c r="BH723" s="140" t="s">
        <v>4357</v>
      </c>
      <c r="BI723" s="154" t="s">
        <v>4912</v>
      </c>
      <c r="BJ723" s="154"/>
      <c r="BK723" s="154"/>
      <c r="BL723" s="154"/>
      <c r="BM723" s="237"/>
      <c r="BN723" s="231"/>
      <c r="BO723" s="232"/>
    </row>
    <row r="724" spans="1:69" ht="30" customHeight="1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7476</v>
      </c>
      <c r="G724" s="103" t="s">
        <v>4330</v>
      </c>
      <c r="H724" s="103" t="s">
        <v>4331</v>
      </c>
      <c r="I724" s="142" t="s">
        <v>4343</v>
      </c>
      <c r="J724" s="149" t="s">
        <v>7477</v>
      </c>
      <c r="K724" s="149" t="s">
        <v>7478</v>
      </c>
      <c r="L724" s="149" t="s">
        <v>7479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7477</v>
      </c>
      <c r="AC724" s="149" t="s">
        <v>7478</v>
      </c>
      <c r="AD724" s="149" t="s">
        <v>7479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>IF(AY724-KD724=0,"",AY724-O724)</f>
        <v/>
      </c>
      <c r="BD724" s="103" t="str">
        <f>IF(AND(AI724&lt;&gt;"SIM",AI724="UH"),"AA","INDENIZAÇÃO")</f>
        <v>AA</v>
      </c>
      <c r="BE724" s="103" t="str">
        <f>IF(AND(AY724&lt;&gt;"AGUARDANDO",AY724&lt;&gt;"",N724="AUXÍLIO ALUGUEL ATÉ INDENIZAÇÃO"),"SIM","NÃO")</f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customHeight="1">
      <c r="A725" s="165">
        <v>714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7480</v>
      </c>
      <c r="G725" s="103" t="s">
        <v>4330</v>
      </c>
      <c r="H725" s="103" t="s">
        <v>4331</v>
      </c>
      <c r="I725" s="142" t="s">
        <v>4343</v>
      </c>
      <c r="J725" s="149" t="s">
        <v>7481</v>
      </c>
      <c r="K725" s="149" t="s">
        <v>7482</v>
      </c>
      <c r="L725" s="149" t="s">
        <v>7483</v>
      </c>
      <c r="M725" s="103" t="s">
        <v>4333</v>
      </c>
      <c r="N725" s="103" t="s">
        <v>4459</v>
      </c>
      <c r="O725" s="105">
        <v>45980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7481</v>
      </c>
      <c r="AC725" s="204" t="s">
        <v>7482</v>
      </c>
      <c r="AD725" s="204" t="s">
        <v>7483</v>
      </c>
      <c r="AE725" s="165" t="s">
        <v>4343</v>
      </c>
      <c r="AF725" s="165" t="s">
        <v>4333</v>
      </c>
      <c r="AG725" s="208">
        <v>33820.92</v>
      </c>
      <c r="AH725" s="208">
        <v>60000</v>
      </c>
      <c r="AI725" s="165" t="s">
        <v>4336</v>
      </c>
      <c r="AJ725" s="104" t="s">
        <v>4438</v>
      </c>
      <c r="AK725" s="103">
        <v>146686404</v>
      </c>
      <c r="AL725" s="103" t="s">
        <v>4338</v>
      </c>
      <c r="AM725" s="103" t="s">
        <v>4338</v>
      </c>
      <c r="AN725" s="103" t="s">
        <v>4339</v>
      </c>
      <c r="AO725" s="112"/>
      <c r="AP725" s="171" t="s">
        <v>7484</v>
      </c>
      <c r="AQ725" s="103" t="s">
        <v>4338</v>
      </c>
      <c r="AR725" s="103" t="s">
        <v>4338</v>
      </c>
      <c r="AS725" s="103" t="s">
        <v>4338</v>
      </c>
      <c r="AT725" s="103" t="s">
        <v>4338</v>
      </c>
      <c r="AU725" s="105">
        <v>46021</v>
      </c>
      <c r="AV725" s="112" t="s">
        <v>4338</v>
      </c>
      <c r="AW725" s="103" t="s">
        <v>4338</v>
      </c>
      <c r="AX725" s="263">
        <v>46041</v>
      </c>
      <c r="AY725" s="157">
        <v>46041</v>
      </c>
      <c r="AZ725" s="157" t="s">
        <v>4453</v>
      </c>
      <c r="BA725" s="107" t="s">
        <v>4454</v>
      </c>
      <c r="BB725" s="136" t="s">
        <v>4338</v>
      </c>
      <c r="BC725" s="220">
        <f>IF(AY725-KD725=0,"",AY725-O725)</f>
        <v>61</v>
      </c>
      <c r="BD725" s="103" t="str">
        <f>IF(AND(AI725&lt;&gt;"SIM",AI725="UH"),"AA","INDENIZAÇÃO")</f>
        <v>INDENIZAÇÃO</v>
      </c>
      <c r="BE725" s="103" t="str">
        <f>IF(AND(AY725&lt;&gt;"AGUARDANDO",AY725&lt;&gt;"",N725="AUXÍLIO ALUGUEL ATÉ INDENIZAÇÃO"),"SIM","NÃO")</f>
        <v>NÃO</v>
      </c>
      <c r="BF725" s="140" t="s">
        <v>4357</v>
      </c>
      <c r="BG725" s="140" t="s">
        <v>4357</v>
      </c>
      <c r="BH725" s="140" t="s">
        <v>4357</v>
      </c>
      <c r="BI725" s="154" t="s">
        <v>4912</v>
      </c>
      <c r="BJ725" s="154"/>
      <c r="BK725" s="154"/>
      <c r="BL725" s="154"/>
      <c r="BM725" s="237"/>
    </row>
    <row r="726" spans="1:69" ht="30" customHeight="1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7485</v>
      </c>
      <c r="G726" s="103" t="s">
        <v>4330</v>
      </c>
      <c r="H726" s="103" t="s">
        <v>4331</v>
      </c>
      <c r="I726" s="142" t="s">
        <v>4343</v>
      </c>
      <c r="J726" s="149" t="s">
        <v>7486</v>
      </c>
      <c r="K726" s="149" t="s">
        <v>7487</v>
      </c>
      <c r="L726" s="149" t="s">
        <v>7488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7486</v>
      </c>
      <c r="AC726" s="149" t="s">
        <v>7487</v>
      </c>
      <c r="AD726" s="149" t="s">
        <v>7488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>IF(AY726-KD726=0,"",AY726-O726)</f>
        <v/>
      </c>
      <c r="BD726" s="103" t="str">
        <f>IF(AND(AI726&lt;&gt;"SIM",AI726="UH"),"AA","INDENIZAÇÃO")</f>
        <v>AA</v>
      </c>
      <c r="BE726" s="103" t="str">
        <f>IF(AND(AY726&lt;&gt;"AGUARDANDO",AY726&lt;&gt;"",N726="AUXÍLIO ALUGUEL ATÉ INDENIZAÇÃO"),"SIM","NÃO")</f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customHeight="1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7489</v>
      </c>
      <c r="G727" s="103" t="s">
        <v>4330</v>
      </c>
      <c r="H727" s="103" t="s">
        <v>4331</v>
      </c>
      <c r="I727" s="142" t="s">
        <v>4343</v>
      </c>
      <c r="J727" s="114" t="s">
        <v>7490</v>
      </c>
      <c r="K727" s="149" t="s">
        <v>7491</v>
      </c>
      <c r="L727" s="149" t="s">
        <v>7492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7490</v>
      </c>
      <c r="AC727" s="149" t="s">
        <v>7491</v>
      </c>
      <c r="AD727" s="149" t="s">
        <v>7492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>IF(AY727-KD727=0,"",AY727-O727)</f>
        <v/>
      </c>
      <c r="BD727" s="103" t="str">
        <f>IF(AND(AI727&lt;&gt;"SIM",AI727="UH"),"AA","INDENIZAÇÃO")</f>
        <v>AA</v>
      </c>
      <c r="BE727" s="103" t="str">
        <f>IF(AND(AY727&lt;&gt;"AGUARDANDO",AY727&lt;&gt;"",N727="AUXÍLIO ALUGUEL ATÉ INDENIZAÇÃO"),"SIM","NÃO")</f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customHeight="1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7493</v>
      </c>
      <c r="G728" s="103" t="s">
        <v>4330</v>
      </c>
      <c r="H728" s="103" t="s">
        <v>4331</v>
      </c>
      <c r="I728" s="142" t="s">
        <v>4343</v>
      </c>
      <c r="J728" s="114" t="s">
        <v>7494</v>
      </c>
      <c r="K728" s="149" t="s">
        <v>7495</v>
      </c>
      <c r="L728" s="149" t="s">
        <v>7496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7494</v>
      </c>
      <c r="AC728" s="149" t="s">
        <v>7495</v>
      </c>
      <c r="AD728" s="149" t="s">
        <v>7496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>IF(AY728-KD728=0,"",AY728-O728)</f>
        <v/>
      </c>
      <c r="BD728" s="103" t="str">
        <f>IF(AND(AI728&lt;&gt;"SIM",AI728="UH"),"AA","INDENIZAÇÃO")</f>
        <v>AA</v>
      </c>
      <c r="BE728" s="103" t="str">
        <f>IF(AND(AY728&lt;&gt;"AGUARDANDO",AY728&lt;&gt;"",N728="AUXÍLIO ALUGUEL ATÉ INDENIZAÇÃO"),"SIM","NÃO")</f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customHeight="1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7497</v>
      </c>
      <c r="G729" s="103" t="s">
        <v>4330</v>
      </c>
      <c r="H729" s="103" t="s">
        <v>4331</v>
      </c>
      <c r="I729" s="142" t="s">
        <v>4343</v>
      </c>
      <c r="J729" s="114" t="s">
        <v>7498</v>
      </c>
      <c r="K729" s="149" t="s">
        <v>7499</v>
      </c>
      <c r="L729" s="149" t="s">
        <v>7500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7498</v>
      </c>
      <c r="AC729" s="149" t="s">
        <v>7499</v>
      </c>
      <c r="AD729" s="149" t="s">
        <v>7500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>IF(AY729-KD729=0,"",AY729-O729)</f>
        <v/>
      </c>
      <c r="BD729" s="103" t="str">
        <f>IF(AND(AI729&lt;&gt;"SIM",AI729="UH"),"AA","INDENIZAÇÃO")</f>
        <v>AA</v>
      </c>
      <c r="BE729" s="103" t="str">
        <f>IF(AND(AY729&lt;&gt;"AGUARDANDO",AY729&lt;&gt;"",N729="AUXÍLIO ALUGUEL ATÉ INDENIZAÇÃO"),"SIM","NÃO")</f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customHeight="1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7501</v>
      </c>
      <c r="G730" s="103" t="s">
        <v>4330</v>
      </c>
      <c r="H730" s="103" t="s">
        <v>4331</v>
      </c>
      <c r="I730" s="142" t="s">
        <v>4343</v>
      </c>
      <c r="J730" s="114" t="s">
        <v>7502</v>
      </c>
      <c r="K730" s="149" t="s">
        <v>7503</v>
      </c>
      <c r="L730" s="149" t="s">
        <v>7504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7502</v>
      </c>
      <c r="AC730" s="149" t="s">
        <v>7503</v>
      </c>
      <c r="AD730" s="149" t="s">
        <v>7505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>IF(AY730-KD730=0,"",AY730-O730)</f>
        <v/>
      </c>
      <c r="BD730" s="103" t="str">
        <f>IF(AND(AI730&lt;&gt;"SIM",AI730="UH"),"AA","INDENIZAÇÃO")</f>
        <v>AA</v>
      </c>
      <c r="BE730" s="103" t="str">
        <f>IF(AND(AY730&lt;&gt;"AGUARDANDO",AY730&lt;&gt;"",N730="AUXÍLIO ALUGUEL ATÉ INDENIZAÇÃO"),"SIM","NÃO")</f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customHeight="1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7506</v>
      </c>
      <c r="G731" s="103" t="s">
        <v>4330</v>
      </c>
      <c r="H731" s="103" t="s">
        <v>4331</v>
      </c>
      <c r="I731" s="142" t="s">
        <v>4343</v>
      </c>
      <c r="J731" s="114" t="s">
        <v>7507</v>
      </c>
      <c r="K731" s="149" t="s">
        <v>7508</v>
      </c>
      <c r="L731" s="149" t="s">
        <v>7509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7507</v>
      </c>
      <c r="AC731" s="149" t="s">
        <v>7508</v>
      </c>
      <c r="AD731" s="149" t="s">
        <v>7509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>IF(AY731-KD731=0,"",AY731-O731)</f>
        <v/>
      </c>
      <c r="BD731" s="103" t="str">
        <f>IF(AND(AI731&lt;&gt;"SIM",AI731="UH"),"AA","INDENIZAÇÃO")</f>
        <v>AA</v>
      </c>
      <c r="BE731" s="103" t="str">
        <f>IF(AND(AY731&lt;&gt;"AGUARDANDO",AY731&lt;&gt;"",N731="AUXÍLIO ALUGUEL ATÉ INDENIZAÇÃO"),"SIM","NÃO")</f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customHeight="1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7510</v>
      </c>
      <c r="G732" s="103" t="s">
        <v>4330</v>
      </c>
      <c r="H732" s="103" t="s">
        <v>4331</v>
      </c>
      <c r="I732" s="142" t="s">
        <v>4343</v>
      </c>
      <c r="J732" s="114" t="s">
        <v>7511</v>
      </c>
      <c r="K732" s="149" t="s">
        <v>7512</v>
      </c>
      <c r="L732" s="149" t="s">
        <v>7513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7511</v>
      </c>
      <c r="AC732" s="149" t="s">
        <v>7512</v>
      </c>
      <c r="AD732" s="149" t="s">
        <v>7513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>IF(AY732-KD732=0,"",AY732-O732)</f>
        <v/>
      </c>
      <c r="BD732" s="103" t="str">
        <f>IF(AND(AI732&lt;&gt;"SIM",AI732="UH"),"AA","INDENIZAÇÃO")</f>
        <v>AA</v>
      </c>
      <c r="BE732" s="103" t="str">
        <f>IF(AND(AY732&lt;&gt;"AGUARDANDO",AY732&lt;&gt;"",N732="AUXÍLIO ALUGUEL ATÉ INDENIZAÇÃO"),"SIM","NÃO")</f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customHeight="1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7514</v>
      </c>
      <c r="G733" s="103" t="s">
        <v>4330</v>
      </c>
      <c r="H733" s="103" t="s">
        <v>4331</v>
      </c>
      <c r="I733" s="142" t="s">
        <v>4343</v>
      </c>
      <c r="J733" s="149" t="s">
        <v>7515</v>
      </c>
      <c r="K733" s="149" t="s">
        <v>7516</v>
      </c>
      <c r="L733" s="149" t="s">
        <v>7517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7515</v>
      </c>
      <c r="AC733" s="149" t="s">
        <v>7516</v>
      </c>
      <c r="AD733" s="149" t="s">
        <v>7517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>IF(AY733-KD733=0,"",AY733-O733)</f>
        <v/>
      </c>
      <c r="BD733" s="103" t="str">
        <f>IF(AND(AI733&lt;&gt;"SIM",AI733="UH"),"AA","INDENIZAÇÃO")</f>
        <v>AA</v>
      </c>
      <c r="BE733" s="103" t="str">
        <f>IF(AND(AY733&lt;&gt;"AGUARDANDO",AY733&lt;&gt;"",N733="AUXÍLIO ALUGUEL ATÉ INDENIZAÇÃO"),"SIM","NÃO")</f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customHeight="1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7518</v>
      </c>
      <c r="G734" s="103" t="s">
        <v>4330</v>
      </c>
      <c r="H734" s="103" t="s">
        <v>4331</v>
      </c>
      <c r="I734" s="142" t="s">
        <v>4343</v>
      </c>
      <c r="J734" s="114" t="s">
        <v>7519</v>
      </c>
      <c r="K734" s="149" t="s">
        <v>7520</v>
      </c>
      <c r="L734" s="149" t="s">
        <v>7521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7519</v>
      </c>
      <c r="AC734" s="149" t="s">
        <v>7520</v>
      </c>
      <c r="AD734" s="149" t="s">
        <v>7521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>IF(AY734-KD734=0,"",AY734-O734)</f>
        <v/>
      </c>
      <c r="BD734" s="103" t="str">
        <f>IF(AND(AI734&lt;&gt;"SIM",AI734="UH"),"AA","INDENIZAÇÃO")</f>
        <v>AA</v>
      </c>
      <c r="BE734" s="103" t="str">
        <f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customHeight="1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7522</v>
      </c>
      <c r="G735" s="103" t="s">
        <v>4330</v>
      </c>
      <c r="H735" s="103" t="s">
        <v>4331</v>
      </c>
      <c r="I735" s="142" t="s">
        <v>4343</v>
      </c>
      <c r="J735" s="149" t="s">
        <v>7523</v>
      </c>
      <c r="K735" s="149" t="s">
        <v>4457</v>
      </c>
      <c r="L735" s="149" t="s">
        <v>7524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7523</v>
      </c>
      <c r="AC735" s="149" t="s">
        <v>4457</v>
      </c>
      <c r="AD735" s="149" t="s">
        <v>7524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>IF(AY735-KD735=0,"",AY735-O735)</f>
        <v/>
      </c>
      <c r="BD735" s="103" t="str">
        <f>IF(AND(AI735&lt;&gt;"SIM",AI735="UH"),"AA","INDENIZAÇÃO")</f>
        <v>AA</v>
      </c>
      <c r="BE735" s="103" t="str">
        <f>IF(AND(AY735&lt;&gt;"AGUARDANDO",AY735&lt;&gt;"",N735="AUXÍLIO ALUGUEL ATÉ INDENIZAÇÃO"),"SIM","NÃO")</f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customHeight="1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7525</v>
      </c>
      <c r="G736" s="103" t="s">
        <v>4330</v>
      </c>
      <c r="H736" s="103" t="s">
        <v>4331</v>
      </c>
      <c r="I736" s="142" t="s">
        <v>4343</v>
      </c>
      <c r="J736" s="149" t="s">
        <v>7526</v>
      </c>
      <c r="K736" s="149" t="s">
        <v>7527</v>
      </c>
      <c r="L736" s="149" t="s">
        <v>7528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7526</v>
      </c>
      <c r="AC736" s="149" t="s">
        <v>7527</v>
      </c>
      <c r="AD736" s="149" t="s">
        <v>7528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>IF(AY736-KD736=0,"",AY736-O736)</f>
        <v/>
      </c>
      <c r="BD736" s="103" t="str">
        <f>IF(AND(AI736&lt;&gt;"SIM",AI736="UH"),"AA","INDENIZAÇÃO")</f>
        <v>AA</v>
      </c>
      <c r="BE736" s="103" t="str">
        <f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customHeight="1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7529</v>
      </c>
      <c r="G737" s="103" t="s">
        <v>4330</v>
      </c>
      <c r="H737" s="103" t="s">
        <v>4331</v>
      </c>
      <c r="I737" s="142" t="s">
        <v>4343</v>
      </c>
      <c r="J737" s="149" t="s">
        <v>7530</v>
      </c>
      <c r="K737" s="149" t="s">
        <v>7531</v>
      </c>
      <c r="L737" s="149" t="s">
        <v>7532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7530</v>
      </c>
      <c r="AC737" s="149" t="s">
        <v>7531</v>
      </c>
      <c r="AD737" s="149" t="s">
        <v>7532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>IF(AY737-KD737=0,"",AY737-O737)</f>
        <v/>
      </c>
      <c r="BD737" s="103" t="str">
        <f>IF(AND(AI737&lt;&gt;"SIM",AI737="UH"),"AA","INDENIZAÇÃO")</f>
        <v>AA</v>
      </c>
      <c r="BE737" s="103" t="str">
        <f>IF(AND(AY737&lt;&gt;"AGUARDANDO",AY737&lt;&gt;"",N737="AUXÍLIO ALUGUEL ATÉ INDENIZAÇÃO"),"SIM","NÃO")</f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customHeight="1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7533</v>
      </c>
      <c r="G738" s="103" t="s">
        <v>4330</v>
      </c>
      <c r="H738" s="103" t="s">
        <v>4331</v>
      </c>
      <c r="I738" s="142" t="s">
        <v>4343</v>
      </c>
      <c r="J738" s="114" t="s">
        <v>7534</v>
      </c>
      <c r="K738" s="149" t="s">
        <v>7535</v>
      </c>
      <c r="L738" s="149" t="s">
        <v>7536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7534</v>
      </c>
      <c r="AC738" s="149" t="s">
        <v>7535</v>
      </c>
      <c r="AD738" s="149" t="s">
        <v>7536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>IF(AY738-KD738=0,"",AY738-O738)</f>
        <v/>
      </c>
      <c r="BD738" s="103" t="str">
        <f>IF(AND(AI738&lt;&gt;"SIM",AI738="UH"),"AA","INDENIZAÇÃO")</f>
        <v>AA</v>
      </c>
      <c r="BE738" s="103" t="str">
        <f>IF(AND(AY738&lt;&gt;"AGUARDANDO",AY738&lt;&gt;"",N738="AUXÍLIO ALUGUEL ATÉ INDENIZAÇÃO"),"SIM","NÃO")</f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customHeight="1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7537</v>
      </c>
      <c r="G739" s="103" t="s">
        <v>4330</v>
      </c>
      <c r="H739" s="103" t="s">
        <v>4331</v>
      </c>
      <c r="I739" s="142" t="s">
        <v>4343</v>
      </c>
      <c r="J739" s="149" t="s">
        <v>7538</v>
      </c>
      <c r="K739" s="149" t="s">
        <v>7539</v>
      </c>
      <c r="L739" s="149" t="s">
        <v>7540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7538</v>
      </c>
      <c r="AC739" s="149" t="s">
        <v>7539</v>
      </c>
      <c r="AD739" s="149" t="s">
        <v>7540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>IF(AY739-KD739=0,"",AY739-O739)</f>
        <v/>
      </c>
      <c r="BD739" s="103" t="str">
        <f>IF(AND(AI739&lt;&gt;"SIM",AI739="UH"),"AA","INDENIZAÇÃO")</f>
        <v>AA</v>
      </c>
      <c r="BE739" s="103" t="str">
        <f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customHeight="1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7541</v>
      </c>
      <c r="G740" s="103" t="s">
        <v>4330</v>
      </c>
      <c r="H740" s="103" t="s">
        <v>4331</v>
      </c>
      <c r="I740" s="142" t="s">
        <v>4343</v>
      </c>
      <c r="J740" s="149" t="s">
        <v>7542</v>
      </c>
      <c r="K740" s="149" t="s">
        <v>7543</v>
      </c>
      <c r="L740" s="149" t="s">
        <v>7544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7542</v>
      </c>
      <c r="AC740" s="149" t="s">
        <v>7543</v>
      </c>
      <c r="AD740" s="149" t="s">
        <v>7544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>IF(AY740-KD740=0,"",AY740-O740)</f>
        <v/>
      </c>
      <c r="BD740" s="103" t="str">
        <f>IF(AND(AI740&lt;&gt;"SIM",AI740="UH"),"AA","INDENIZAÇÃO")</f>
        <v>AA</v>
      </c>
      <c r="BE740" s="103" t="str">
        <f>IF(AND(AY740&lt;&gt;"AGUARDANDO",AY740&lt;&gt;"",N740="AUXÍLIO ALUGUEL ATÉ INDENIZAÇÃO"),"SIM","NÃO")</f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customHeight="1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7545</v>
      </c>
      <c r="G741" s="103" t="s">
        <v>4330</v>
      </c>
      <c r="H741" s="103" t="s">
        <v>4331</v>
      </c>
      <c r="I741" s="142" t="s">
        <v>4343</v>
      </c>
      <c r="J741" s="149" t="s">
        <v>7546</v>
      </c>
      <c r="K741" s="149" t="s">
        <v>7547</v>
      </c>
      <c r="L741" s="149" t="s">
        <v>7548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7546</v>
      </c>
      <c r="AC741" s="149" t="s">
        <v>7547</v>
      </c>
      <c r="AD741" s="149" t="s">
        <v>7548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>IF(AY741-KD741=0,"",AY741-O741)</f>
        <v/>
      </c>
      <c r="BD741" s="103" t="str">
        <f>IF(AND(AI741&lt;&gt;"SIM",AI741="UH"),"AA","INDENIZAÇÃO")</f>
        <v>AA</v>
      </c>
      <c r="BE741" s="103" t="str">
        <f>IF(AND(AY741&lt;&gt;"AGUARDANDO",AY741&lt;&gt;"",N741="AUXÍLIO ALUGUEL ATÉ INDENIZAÇÃO"),"SIM","NÃO")</f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customHeight="1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7549</v>
      </c>
      <c r="G742" s="103" t="s">
        <v>4330</v>
      </c>
      <c r="H742" s="103" t="s">
        <v>4331</v>
      </c>
      <c r="I742" s="142" t="s">
        <v>4343</v>
      </c>
      <c r="J742" s="149" t="s">
        <v>7550</v>
      </c>
      <c r="K742" s="149" t="s">
        <v>7551</v>
      </c>
      <c r="L742" s="149" t="s">
        <v>7552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7550</v>
      </c>
      <c r="AC742" s="149" t="s">
        <v>7551</v>
      </c>
      <c r="AD742" s="149" t="s">
        <v>7552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>IF(AY742-KD742=0,"",AY742-O742)</f>
        <v/>
      </c>
      <c r="BD742" s="103" t="str">
        <f>IF(AND(AI742&lt;&gt;"SIM",AI742="UH"),"AA","INDENIZAÇÃO")</f>
        <v>AA</v>
      </c>
      <c r="BE742" s="103" t="str">
        <f>IF(AND(AY742&lt;&gt;"AGUARDANDO",AY742&lt;&gt;"",N742="AUXÍLIO ALUGUEL ATÉ INDENIZAÇÃO"),"SIM","NÃO")</f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customHeight="1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7553</v>
      </c>
      <c r="G743" s="103" t="s">
        <v>4330</v>
      </c>
      <c r="H743" s="103" t="s">
        <v>4331</v>
      </c>
      <c r="I743" s="142" t="s">
        <v>4343</v>
      </c>
      <c r="J743" s="114" t="s">
        <v>7554</v>
      </c>
      <c r="K743" s="149" t="s">
        <v>7555</v>
      </c>
      <c r="L743" s="149" t="s">
        <v>7556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7554</v>
      </c>
      <c r="AC743" s="149" t="s">
        <v>7555</v>
      </c>
      <c r="AD743" s="149" t="s">
        <v>7556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>IF(AY743-KD743=0,"",AY743-O743)</f>
        <v/>
      </c>
      <c r="BD743" s="103" t="str">
        <f>IF(AND(AI743&lt;&gt;"SIM",AI743="UH"),"AA","INDENIZAÇÃO")</f>
        <v>AA</v>
      </c>
      <c r="BE743" s="103" t="str">
        <f>IF(AND(AY743&lt;&gt;"AGUARDANDO",AY743&lt;&gt;"",N743="AUXÍLIO ALUGUEL ATÉ INDENIZAÇÃO"),"SIM","NÃO")</f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customHeight="1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7557</v>
      </c>
      <c r="G744" s="103" t="s">
        <v>4330</v>
      </c>
      <c r="H744" s="103" t="s">
        <v>4331</v>
      </c>
      <c r="I744" s="142" t="s">
        <v>4343</v>
      </c>
      <c r="J744" s="149" t="s">
        <v>7558</v>
      </c>
      <c r="K744" s="149" t="s">
        <v>7559</v>
      </c>
      <c r="L744" s="149" t="s">
        <v>7560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7558</v>
      </c>
      <c r="AC744" s="149" t="s">
        <v>7559</v>
      </c>
      <c r="AD744" s="149" t="s">
        <v>7560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>IF(AY744-KD744=0,"",AY744-O744)</f>
        <v/>
      </c>
      <c r="BD744" s="103" t="str">
        <f>IF(AND(AI744&lt;&gt;"SIM",AI744="UH"),"AA","INDENIZAÇÃO")</f>
        <v>AA</v>
      </c>
      <c r="BE744" s="103" t="str">
        <f>IF(AND(AY744&lt;&gt;"AGUARDANDO",AY744&lt;&gt;"",N744="AUXÍLIO ALUGUEL ATÉ INDENIZAÇÃO"),"SIM","NÃO")</f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customHeight="1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7561</v>
      </c>
      <c r="G745" s="103" t="s">
        <v>4330</v>
      </c>
      <c r="H745" s="103" t="s">
        <v>4331</v>
      </c>
      <c r="I745" s="142" t="s">
        <v>4343</v>
      </c>
      <c r="J745" s="149" t="s">
        <v>7562</v>
      </c>
      <c r="K745" s="149" t="s">
        <v>7563</v>
      </c>
      <c r="L745" s="149" t="s">
        <v>7564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7562</v>
      </c>
      <c r="AC745" s="149" t="s">
        <v>7563</v>
      </c>
      <c r="AD745" s="149" t="s">
        <v>7564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>IF(AY745-KD745=0,"",AY745-O745)</f>
        <v/>
      </c>
      <c r="BD745" s="103" t="str">
        <f>IF(AND(AI745&lt;&gt;"SIM",AI745="UH"),"AA","INDENIZAÇÃO")</f>
        <v>AA</v>
      </c>
      <c r="BE745" s="103" t="str">
        <f>IF(AND(AY745&lt;&gt;"AGUARDANDO",AY745&lt;&gt;"",N745="AUXÍLIO ALUGUEL ATÉ INDENIZAÇÃO"),"SIM","NÃO")</f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customHeight="1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7565</v>
      </c>
      <c r="G746" s="103" t="s">
        <v>4330</v>
      </c>
      <c r="H746" s="103" t="s">
        <v>4331</v>
      </c>
      <c r="I746" s="142" t="s">
        <v>4343</v>
      </c>
      <c r="J746" s="149" t="s">
        <v>7566</v>
      </c>
      <c r="K746" s="149" t="s">
        <v>7567</v>
      </c>
      <c r="L746" s="149" t="s">
        <v>7568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7569</v>
      </c>
      <c r="AB746" s="149" t="s">
        <v>7566</v>
      </c>
      <c r="AC746" s="149" t="s">
        <v>7567</v>
      </c>
      <c r="AD746" s="149" t="s">
        <v>7568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>IF(AY746-KD746=0,"",AY746-O746)</f>
        <v/>
      </c>
      <c r="BD746" s="103" t="str">
        <f>IF(AND(AI746&lt;&gt;"SIM",AI746="UH"),"AA","INDENIZAÇÃO")</f>
        <v>AA</v>
      </c>
      <c r="BE746" s="103" t="str">
        <f>IF(AND(AY746&lt;&gt;"AGUARDANDO",AY746&lt;&gt;"",N746="AUXÍLIO ALUGUEL ATÉ INDENIZAÇÃO"),"SIM","NÃO")</f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customHeight="1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7570</v>
      </c>
      <c r="G747" s="103" t="s">
        <v>4330</v>
      </c>
      <c r="H747" s="103" t="s">
        <v>4331</v>
      </c>
      <c r="I747" s="142" t="s">
        <v>4343</v>
      </c>
      <c r="J747" s="149" t="s">
        <v>7571</v>
      </c>
      <c r="K747" s="149" t="s">
        <v>7572</v>
      </c>
      <c r="L747" s="149" t="s">
        <v>7573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7571</v>
      </c>
      <c r="AC747" s="149" t="s">
        <v>7572</v>
      </c>
      <c r="AD747" s="149" t="s">
        <v>7573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>IF(AY747-KD747=0,"",AY747-O747)</f>
        <v/>
      </c>
      <c r="BD747" s="103" t="str">
        <f>IF(AND(AI747&lt;&gt;"SIM",AI747="UH"),"AA","INDENIZAÇÃO")</f>
        <v>AA</v>
      </c>
      <c r="BE747" s="103" t="str">
        <f>IF(AND(AY747&lt;&gt;"AGUARDANDO",AY747&lt;&gt;"",N747="AUXÍLIO ALUGUEL ATÉ INDENIZAÇÃO"),"SIM","NÃO")</f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customHeight="1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7574</v>
      </c>
      <c r="G748" s="103" t="s">
        <v>4330</v>
      </c>
      <c r="H748" s="103" t="s">
        <v>4331</v>
      </c>
      <c r="I748" s="142" t="s">
        <v>4343</v>
      </c>
      <c r="J748" s="149" t="s">
        <v>7575</v>
      </c>
      <c r="K748" s="149" t="s">
        <v>7576</v>
      </c>
      <c r="L748" s="149" t="s">
        <v>7577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7575</v>
      </c>
      <c r="AC748" s="149" t="s">
        <v>7576</v>
      </c>
      <c r="AD748" s="149" t="s">
        <v>7577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>IF(AY748-KD748=0,"",AY748-O748)</f>
        <v/>
      </c>
      <c r="BD748" s="103" t="str">
        <f>IF(AND(AI748&lt;&gt;"SIM",AI748="UH"),"AA","INDENIZAÇÃO")</f>
        <v>AA</v>
      </c>
      <c r="BE748" s="103" t="str">
        <f>IF(AND(AY748&lt;&gt;"AGUARDANDO",AY748&lt;&gt;"",N748="AUXÍLIO ALUGUEL ATÉ INDENIZAÇÃO"),"SIM","NÃO")</f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customHeight="1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7578</v>
      </c>
      <c r="G749" s="103" t="s">
        <v>4330</v>
      </c>
      <c r="H749" s="103" t="s">
        <v>4331</v>
      </c>
      <c r="I749" s="142" t="s">
        <v>4343</v>
      </c>
      <c r="J749" s="114" t="s">
        <v>7579</v>
      </c>
      <c r="K749" s="149" t="s">
        <v>7580</v>
      </c>
      <c r="L749" s="149" t="s">
        <v>7581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7579</v>
      </c>
      <c r="AC749" s="149" t="s">
        <v>7580</v>
      </c>
      <c r="AD749" s="149" t="s">
        <v>7581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>IF(AY749-KD749=0,"",AY749-O749)</f>
        <v/>
      </c>
      <c r="BD749" s="103" t="str">
        <f>IF(AND(AI749&lt;&gt;"SIM",AI749="UH"),"AA","INDENIZAÇÃO")</f>
        <v>AA</v>
      </c>
      <c r="BE749" s="103" t="str">
        <f>IF(AND(AY749&lt;&gt;"AGUARDANDO",AY749&lt;&gt;"",N749="AUXÍLIO ALUGUEL ATÉ INDENIZAÇÃO"),"SIM","NÃO")</f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customHeight="1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7582</v>
      </c>
      <c r="G750" s="103" t="s">
        <v>4330</v>
      </c>
      <c r="H750" s="103" t="s">
        <v>4331</v>
      </c>
      <c r="I750" s="142" t="s">
        <v>4343</v>
      </c>
      <c r="J750" s="114" t="s">
        <v>7583</v>
      </c>
      <c r="K750" s="149" t="s">
        <v>7584</v>
      </c>
      <c r="L750" s="149" t="s">
        <v>7585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7583</v>
      </c>
      <c r="AC750" s="149" t="s">
        <v>7584</v>
      </c>
      <c r="AD750" s="149" t="s">
        <v>7585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>IF(AY750-KD750=0,"",AY750-O750)</f>
        <v/>
      </c>
      <c r="BD750" s="103" t="str">
        <f>IF(AND(AI750&lt;&gt;"SIM",AI750="UH"),"AA","INDENIZAÇÃO")</f>
        <v>AA</v>
      </c>
      <c r="BE750" s="103" t="str">
        <f>IF(AND(AY750&lt;&gt;"AGUARDANDO",AY750&lt;&gt;"",N750="AUXÍLIO ALUGUEL ATÉ INDENIZAÇÃO"),"SIM","NÃO")</f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customHeight="1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7586</v>
      </c>
      <c r="G751" s="103" t="s">
        <v>4330</v>
      </c>
      <c r="H751" s="103" t="s">
        <v>4331</v>
      </c>
      <c r="I751" s="142" t="s">
        <v>7004</v>
      </c>
      <c r="J751" s="149" t="s">
        <v>7587</v>
      </c>
      <c r="K751" s="149" t="s">
        <v>4457</v>
      </c>
      <c r="L751" s="149" t="s">
        <v>7588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7587</v>
      </c>
      <c r="AC751" s="149" t="s">
        <v>4457</v>
      </c>
      <c r="AD751" s="149" t="s">
        <v>7588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>IF(AY751-KD751=0,"",AY751-O751)</f>
        <v/>
      </c>
      <c r="BD751" s="103" t="str">
        <f>IF(AND(AI751&lt;&gt;"SIM",AI751="UH"),"AA","INDENIZAÇÃO")</f>
        <v>AA</v>
      </c>
      <c r="BE751" s="103" t="str">
        <f>IF(AND(AY751&lt;&gt;"AGUARDANDO",AY751&lt;&gt;"",N751="AUXÍLIO ALUGUEL ATÉ INDENIZAÇÃO"),"SIM","NÃO")</f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customHeight="1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7589</v>
      </c>
      <c r="G752" s="103" t="s">
        <v>4330</v>
      </c>
      <c r="H752" s="103" t="s">
        <v>4331</v>
      </c>
      <c r="I752" s="142" t="s">
        <v>4343</v>
      </c>
      <c r="J752" s="149" t="s">
        <v>7590</v>
      </c>
      <c r="K752" s="149" t="s">
        <v>7591</v>
      </c>
      <c r="L752" s="149" t="s">
        <v>7592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7590</v>
      </c>
      <c r="AC752" s="149" t="s">
        <v>7591</v>
      </c>
      <c r="AD752" s="149" t="s">
        <v>7592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>IF(AY752-KD752=0,"",AY752-O752)</f>
        <v/>
      </c>
      <c r="BD752" s="103" t="str">
        <f>IF(AND(AI752&lt;&gt;"SIM",AI752="UH"),"AA","INDENIZAÇÃO")</f>
        <v>AA</v>
      </c>
      <c r="BE752" s="103" t="str">
        <f>IF(AND(AY752&lt;&gt;"AGUARDANDO",AY752&lt;&gt;"",N752="AUXÍLIO ALUGUEL ATÉ INDENIZAÇÃO"),"SIM","NÃO")</f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customHeight="1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7593</v>
      </c>
      <c r="G753" s="103" t="s">
        <v>4330</v>
      </c>
      <c r="H753" s="103" t="s">
        <v>4331</v>
      </c>
      <c r="I753" s="142" t="s">
        <v>4343</v>
      </c>
      <c r="J753" s="149" t="s">
        <v>7594</v>
      </c>
      <c r="K753" s="149" t="s">
        <v>7595</v>
      </c>
      <c r="L753" s="149" t="s">
        <v>7596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7594</v>
      </c>
      <c r="AC753" s="149" t="s">
        <v>7595</v>
      </c>
      <c r="AD753" s="149" t="s">
        <v>7596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>IF(AY753-KD753=0,"",AY753-O753)</f>
        <v/>
      </c>
      <c r="BD753" s="103" t="str">
        <f>IF(AND(AI753&lt;&gt;"SIM",AI753="UH"),"AA","INDENIZAÇÃO")</f>
        <v>AA</v>
      </c>
      <c r="BE753" s="103" t="str">
        <f>IF(AND(AY753&lt;&gt;"AGUARDANDO",AY753&lt;&gt;"",N753="AUXÍLIO ALUGUEL ATÉ INDENIZAÇÃO"),"SIM","NÃO")</f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customHeight="1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7597</v>
      </c>
      <c r="G754" s="103" t="s">
        <v>4330</v>
      </c>
      <c r="H754" s="103" t="s">
        <v>4331</v>
      </c>
      <c r="I754" s="142" t="s">
        <v>4343</v>
      </c>
      <c r="J754" s="149" t="s">
        <v>7598</v>
      </c>
      <c r="K754" s="149" t="s">
        <v>7599</v>
      </c>
      <c r="L754" s="149" t="s">
        <v>7600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7598</v>
      </c>
      <c r="AC754" s="149" t="s">
        <v>7599</v>
      </c>
      <c r="AD754" s="149" t="s">
        <v>7600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>IF(AY754-KD754=0,"",AY754-O754)</f>
        <v/>
      </c>
      <c r="BD754" s="103" t="str">
        <f>IF(AND(AI754&lt;&gt;"SIM",AI754="UH"),"AA","INDENIZAÇÃO")</f>
        <v>AA</v>
      </c>
      <c r="BE754" s="103" t="str">
        <f>IF(AND(AY754&lt;&gt;"AGUARDANDO",AY754&lt;&gt;"",N754="AUXÍLIO ALUGUEL ATÉ INDENIZAÇÃO"),"SIM","NÃO")</f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customHeight="1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7601</v>
      </c>
      <c r="G755" s="103" t="s">
        <v>4330</v>
      </c>
      <c r="H755" s="103" t="s">
        <v>4331</v>
      </c>
      <c r="I755" s="142" t="s">
        <v>4343</v>
      </c>
      <c r="J755" s="149" t="s">
        <v>7602</v>
      </c>
      <c r="K755" s="149" t="s">
        <v>7603</v>
      </c>
      <c r="L755" s="149" t="s">
        <v>7604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7602</v>
      </c>
      <c r="AC755" s="149" t="s">
        <v>7603</v>
      </c>
      <c r="AD755" s="149" t="s">
        <v>7604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>IF(AY755-KD755=0,"",AY755-O755)</f>
        <v/>
      </c>
      <c r="BD755" s="103" t="str">
        <f>IF(AND(AI755&lt;&gt;"SIM",AI755="UH"),"AA","INDENIZAÇÃO")</f>
        <v>AA</v>
      </c>
      <c r="BE755" s="103" t="str">
        <f>IF(AND(AY755&lt;&gt;"AGUARDANDO",AY755&lt;&gt;"",N755="AUXÍLIO ALUGUEL ATÉ INDENIZAÇÃO"),"SIM","NÃO")</f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customHeight="1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7605</v>
      </c>
      <c r="G756" s="103" t="s">
        <v>4330</v>
      </c>
      <c r="H756" s="103" t="s">
        <v>4331</v>
      </c>
      <c r="I756" s="142" t="s">
        <v>4343</v>
      </c>
      <c r="J756" s="149" t="s">
        <v>7606</v>
      </c>
      <c r="K756" s="149" t="s">
        <v>7607</v>
      </c>
      <c r="L756" s="149" t="s">
        <v>7608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7606</v>
      </c>
      <c r="AC756" s="149" t="s">
        <v>7607</v>
      </c>
      <c r="AD756" s="149" t="s">
        <v>7608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>IF(AY756-KD756=0,"",AY756-O756)</f>
        <v/>
      </c>
      <c r="BD756" s="103" t="str">
        <f>IF(AND(AI756&lt;&gt;"SIM",AI756="UH"),"AA","INDENIZAÇÃO")</f>
        <v>AA</v>
      </c>
      <c r="BE756" s="103" t="str">
        <f>IF(AND(AY756&lt;&gt;"AGUARDANDO",AY756&lt;&gt;"",N756="AUXÍLIO ALUGUEL ATÉ INDENIZAÇÃO"),"SIM","NÃO")</f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customHeight="1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7609</v>
      </c>
      <c r="G757" s="103" t="s">
        <v>4330</v>
      </c>
      <c r="H757" s="103" t="s">
        <v>4331</v>
      </c>
      <c r="I757" s="142" t="s">
        <v>4343</v>
      </c>
      <c r="J757" s="149" t="s">
        <v>7610</v>
      </c>
      <c r="K757" s="149" t="s">
        <v>7611</v>
      </c>
      <c r="L757" s="149" t="s">
        <v>7612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7610</v>
      </c>
      <c r="AC757" s="149" t="s">
        <v>7611</v>
      </c>
      <c r="AD757" s="149" t="s">
        <v>7612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>IF(AY757-KD757=0,"",AY757-O757)</f>
        <v/>
      </c>
      <c r="BD757" s="103" t="str">
        <f>IF(AND(AI757&lt;&gt;"SIM",AI757="UH"),"AA","INDENIZAÇÃO")</f>
        <v>AA</v>
      </c>
      <c r="BE757" s="103" t="str">
        <f>IF(AND(AY757&lt;&gt;"AGUARDANDO",AY757&lt;&gt;"",N757="AUXÍLIO ALUGUEL ATÉ INDENIZAÇÃO"),"SIM","NÃO")</f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customHeight="1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7613</v>
      </c>
      <c r="G758" s="103" t="s">
        <v>4330</v>
      </c>
      <c r="H758" s="103" t="s">
        <v>4331</v>
      </c>
      <c r="I758" s="142" t="s">
        <v>4343</v>
      </c>
      <c r="J758" s="149" t="s">
        <v>7614</v>
      </c>
      <c r="K758" s="149" t="s">
        <v>7615</v>
      </c>
      <c r="L758" s="149" t="s">
        <v>7616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7614</v>
      </c>
      <c r="AC758" s="149" t="s">
        <v>7615</v>
      </c>
      <c r="AD758" s="149" t="s">
        <v>7616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>IF(AY758-KD758=0,"",AY758-O758)</f>
        <v/>
      </c>
      <c r="BD758" s="103" t="str">
        <f>IF(AND(AI758&lt;&gt;"SIM",AI758="UH"),"AA","INDENIZAÇÃO")</f>
        <v>AA</v>
      </c>
      <c r="BE758" s="103" t="str">
        <f>IF(AND(AY758&lt;&gt;"AGUARDANDO",AY758&lt;&gt;"",N758="AUXÍLIO ALUGUEL ATÉ INDENIZAÇÃO"),"SIM","NÃO")</f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customHeight="1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7617</v>
      </c>
      <c r="G759" s="103" t="s">
        <v>4330</v>
      </c>
      <c r="H759" s="103" t="s">
        <v>4331</v>
      </c>
      <c r="I759" s="142" t="s">
        <v>4343</v>
      </c>
      <c r="J759" s="149" t="s">
        <v>7618</v>
      </c>
      <c r="K759" s="149" t="s">
        <v>7619</v>
      </c>
      <c r="L759" s="149" t="s">
        <v>7620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7618</v>
      </c>
      <c r="AC759" s="149" t="s">
        <v>7619</v>
      </c>
      <c r="AD759" s="149" t="s">
        <v>7620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>IF(AY759-KD759=0,"",AY759-O759)</f>
        <v/>
      </c>
      <c r="BD759" s="103" t="str">
        <f>IF(AND(AI759&lt;&gt;"SIM",AI759="UH"),"AA","INDENIZAÇÃO")</f>
        <v>AA</v>
      </c>
      <c r="BE759" s="103" t="str">
        <f>IF(AND(AY759&lt;&gt;"AGUARDANDO",AY759&lt;&gt;"",N759="AUXÍLIO ALUGUEL ATÉ INDENIZAÇÃO"),"SIM","NÃO")</f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customHeight="1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7621</v>
      </c>
      <c r="G760" s="103" t="s">
        <v>4330</v>
      </c>
      <c r="H760" s="103" t="s">
        <v>4331</v>
      </c>
      <c r="I760" s="142" t="s">
        <v>4343</v>
      </c>
      <c r="J760" s="149" t="s">
        <v>7622</v>
      </c>
      <c r="K760" s="149" t="s">
        <v>7623</v>
      </c>
      <c r="L760" s="149" t="s">
        <v>7624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7622</v>
      </c>
      <c r="AC760" s="149" t="s">
        <v>7623</v>
      </c>
      <c r="AD760" s="149" t="s">
        <v>7624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>IF(AY760-KD760=0,"",AY760-O760)</f>
        <v/>
      </c>
      <c r="BD760" s="103" t="str">
        <f>IF(AND(AI760&lt;&gt;"SIM",AI760="UH"),"AA","INDENIZAÇÃO")</f>
        <v>AA</v>
      </c>
      <c r="BE760" s="103" t="str">
        <f>IF(AND(AY760&lt;&gt;"AGUARDANDO",AY760&lt;&gt;"",N760="AUXÍLIO ALUGUEL ATÉ INDENIZAÇÃO"),"SIM","NÃO")</f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customHeight="1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7625</v>
      </c>
      <c r="G761" s="103" t="s">
        <v>4330</v>
      </c>
      <c r="H761" s="103" t="s">
        <v>4331</v>
      </c>
      <c r="I761" s="142" t="s">
        <v>4343</v>
      </c>
      <c r="J761" s="149" t="s">
        <v>7626</v>
      </c>
      <c r="K761" s="149" t="s">
        <v>7627</v>
      </c>
      <c r="L761" s="149" t="s">
        <v>7628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7626</v>
      </c>
      <c r="AC761" s="149" t="s">
        <v>7627</v>
      </c>
      <c r="AD761" s="149" t="s">
        <v>7628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>IF(AY761-KD761=0,"",AY761-O761)</f>
        <v/>
      </c>
      <c r="BD761" s="103" t="str">
        <f>IF(AND(AI761&lt;&gt;"SIM",AI761="UH"),"AA","INDENIZAÇÃO")</f>
        <v>AA</v>
      </c>
      <c r="BE761" s="103" t="str">
        <f>IF(AND(AY761&lt;&gt;"AGUARDANDO",AY761&lt;&gt;"",N761="AUXÍLIO ALUGUEL ATÉ INDENIZAÇÃO"),"SIM","NÃO")</f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customHeight="1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7629</v>
      </c>
      <c r="G762" s="103" t="s">
        <v>4330</v>
      </c>
      <c r="H762" s="103" t="s">
        <v>4331</v>
      </c>
      <c r="I762" s="142" t="s">
        <v>4343</v>
      </c>
      <c r="J762" s="114" t="s">
        <v>7630</v>
      </c>
      <c r="K762" s="149" t="s">
        <v>7631</v>
      </c>
      <c r="L762" s="149" t="s">
        <v>7632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7630</v>
      </c>
      <c r="AC762" s="149" t="s">
        <v>7631</v>
      </c>
      <c r="AD762" s="149" t="s">
        <v>7632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>IF(AY762-KD762=0,"",AY762-O762)</f>
        <v/>
      </c>
      <c r="BD762" s="103" t="str">
        <f>IF(AND(AI762&lt;&gt;"SIM",AI762="UH"),"AA","INDENIZAÇÃO")</f>
        <v>AA</v>
      </c>
      <c r="BE762" s="103" t="str">
        <f>IF(AND(AY762&lt;&gt;"AGUARDANDO",AY762&lt;&gt;"",N762="AUXÍLIO ALUGUEL ATÉ INDENIZAÇÃO"),"SIM","NÃO")</f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customHeight="1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7633</v>
      </c>
      <c r="G763" s="103" t="s">
        <v>4330</v>
      </c>
      <c r="H763" s="103" t="s">
        <v>4331</v>
      </c>
      <c r="I763" s="142" t="s">
        <v>4343</v>
      </c>
      <c r="J763" s="149" t="s">
        <v>7634</v>
      </c>
      <c r="K763" s="149" t="s">
        <v>7635</v>
      </c>
      <c r="L763" s="149" t="s">
        <v>7636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7634</v>
      </c>
      <c r="AC763" s="149" t="s">
        <v>7635</v>
      </c>
      <c r="AD763" s="149" t="s">
        <v>7636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>IF(AY763-KD763=0,"",AY763-O763)</f>
        <v/>
      </c>
      <c r="BD763" s="103" t="str">
        <f>IF(AND(AI763&lt;&gt;"SIM",AI763="UH"),"AA","INDENIZAÇÃO")</f>
        <v>AA</v>
      </c>
      <c r="BE763" s="103" t="str">
        <f>IF(AND(AY763&lt;&gt;"AGUARDANDO",AY763&lt;&gt;"",N763="AUXÍLIO ALUGUEL ATÉ INDENIZAÇÃO"),"SIM","NÃO")</f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customHeight="1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7637</v>
      </c>
      <c r="G764" s="103" t="s">
        <v>4330</v>
      </c>
      <c r="H764" s="103" t="s">
        <v>4331</v>
      </c>
      <c r="I764" s="142" t="s">
        <v>4343</v>
      </c>
      <c r="J764" s="149" t="s">
        <v>7638</v>
      </c>
      <c r="K764" s="149" t="s">
        <v>7639</v>
      </c>
      <c r="L764" s="149" t="s">
        <v>7640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7638</v>
      </c>
      <c r="AC764" s="149" t="s">
        <v>7639</v>
      </c>
      <c r="AD764" s="149" t="s">
        <v>7640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>IF(AY764-KD764=0,"",AY764-O764)</f>
        <v/>
      </c>
      <c r="BD764" s="103" t="str">
        <f>IF(AND(AI764&lt;&gt;"SIM",AI764="UH"),"AA","INDENIZAÇÃO")</f>
        <v>AA</v>
      </c>
      <c r="BE764" s="103" t="str">
        <f>IF(AND(AY764&lt;&gt;"AGUARDANDO",AY764&lt;&gt;"",N764="AUXÍLIO ALUGUEL ATÉ INDENIZAÇÃO"),"SIM","NÃO")</f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customHeight="1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7641</v>
      </c>
      <c r="G765" s="103" t="s">
        <v>4330</v>
      </c>
      <c r="H765" s="103" t="s">
        <v>4331</v>
      </c>
      <c r="I765" s="142" t="s">
        <v>4343</v>
      </c>
      <c r="J765" s="149" t="s">
        <v>7642</v>
      </c>
      <c r="K765" s="149" t="s">
        <v>7643</v>
      </c>
      <c r="L765" s="149" t="s">
        <v>7644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7642</v>
      </c>
      <c r="AC765" s="149" t="s">
        <v>7643</v>
      </c>
      <c r="AD765" s="149" t="s">
        <v>7644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>IF(AY765-KD765=0,"",AY765-O765)</f>
        <v/>
      </c>
      <c r="BD765" s="103" t="str">
        <f>IF(AND(AI765&lt;&gt;"SIM",AI765="UH"),"AA","INDENIZAÇÃO")</f>
        <v>AA</v>
      </c>
      <c r="BE765" s="103" t="str">
        <f>IF(AND(AY765&lt;&gt;"AGUARDANDO",AY765&lt;&gt;"",N765="AUXÍLIO ALUGUEL ATÉ INDENIZAÇÃO"),"SIM","NÃO")</f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customHeight="1">
      <c r="A766" s="165">
        <v>755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301" t="s">
        <v>7645</v>
      </c>
      <c r="G766" s="103" t="s">
        <v>4330</v>
      </c>
      <c r="H766" s="103" t="s">
        <v>4331</v>
      </c>
      <c r="I766" s="142" t="s">
        <v>4343</v>
      </c>
      <c r="J766" s="149" t="s">
        <v>7646</v>
      </c>
      <c r="K766" s="149" t="s">
        <v>4457</v>
      </c>
      <c r="L766" s="149" t="s">
        <v>7647</v>
      </c>
      <c r="M766" s="103" t="s">
        <v>4333</v>
      </c>
      <c r="N766" s="103" t="s">
        <v>4459</v>
      </c>
      <c r="O766" s="105">
        <v>45996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 t="s">
        <v>4356</v>
      </c>
      <c r="AA766" s="105"/>
      <c r="AB766" s="204" t="s">
        <v>7646</v>
      </c>
      <c r="AC766" s="204" t="s">
        <v>4432</v>
      </c>
      <c r="AD766" s="204" t="s">
        <v>7647</v>
      </c>
      <c r="AE766" s="165" t="s">
        <v>4343</v>
      </c>
      <c r="AF766" s="165" t="s">
        <v>4333</v>
      </c>
      <c r="AG766" s="208">
        <v>10972.32</v>
      </c>
      <c r="AH766" s="208">
        <f>AG766+30000</f>
        <v>40972.32</v>
      </c>
      <c r="AI766" s="165" t="s">
        <v>4336</v>
      </c>
      <c r="AJ766" s="104" t="s">
        <v>4438</v>
      </c>
      <c r="AK766" s="103">
        <v>146686514</v>
      </c>
      <c r="AL766" s="103" t="s">
        <v>4338</v>
      </c>
      <c r="AM766" s="103" t="s">
        <v>4338</v>
      </c>
      <c r="AN766" s="103" t="s">
        <v>4339</v>
      </c>
      <c r="AO766" s="308"/>
      <c r="AP766" s="171" t="s">
        <v>7648</v>
      </c>
      <c r="AQ766" s="103" t="s">
        <v>4338</v>
      </c>
      <c r="AR766" s="103" t="s">
        <v>4338</v>
      </c>
      <c r="AS766" s="103" t="s">
        <v>4338</v>
      </c>
      <c r="AT766" s="103" t="s">
        <v>4338</v>
      </c>
      <c r="AU766" s="105">
        <v>46021</v>
      </c>
      <c r="AV766" s="112" t="s">
        <v>4338</v>
      </c>
      <c r="AW766" s="302" t="s">
        <v>4338</v>
      </c>
      <c r="AX766" s="309">
        <v>46041</v>
      </c>
      <c r="AY766" s="310">
        <v>46041</v>
      </c>
      <c r="AZ766" s="157" t="s">
        <v>4453</v>
      </c>
      <c r="BA766" s="107" t="s">
        <v>4454</v>
      </c>
      <c r="BB766" s="136" t="s">
        <v>4338</v>
      </c>
      <c r="BC766" s="220">
        <f>IF(AY766-KD766=0,"",AY766-O766)</f>
        <v>45</v>
      </c>
      <c r="BD766" s="103" t="str">
        <f>IF(AND(AI766&lt;&gt;"SIM",AI766="UH"),"AA","INDENIZAÇÃO")</f>
        <v>INDENIZAÇÃO</v>
      </c>
      <c r="BE766" s="103" t="str">
        <f>IF(AND(AY766&lt;&gt;"AGUARDANDO",AY766&lt;&gt;"",N766="AUXÍLIO ALUGUEL ATÉ INDENIZAÇÃO"),"SIM","NÃO")</f>
        <v>NÃO</v>
      </c>
      <c r="BF766" s="317" t="s">
        <v>4357</v>
      </c>
      <c r="BG766" s="317" t="s">
        <v>4357</v>
      </c>
      <c r="BH766" s="317" t="s">
        <v>4357</v>
      </c>
      <c r="BI766" s="319" t="s">
        <v>4912</v>
      </c>
      <c r="BJ766" s="319"/>
      <c r="BK766" s="319"/>
      <c r="BL766" s="319"/>
      <c r="BM766" s="244"/>
    </row>
    <row r="767" spans="1:66" ht="30" customHeight="1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7649</v>
      </c>
      <c r="G767" s="103" t="s">
        <v>4330</v>
      </c>
      <c r="H767" s="103" t="s">
        <v>4331</v>
      </c>
      <c r="I767" s="142" t="s">
        <v>4343</v>
      </c>
      <c r="J767" s="149" t="s">
        <v>7650</v>
      </c>
      <c r="K767" s="149" t="s">
        <v>4457</v>
      </c>
      <c r="L767" s="149" t="s">
        <v>7651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7650</v>
      </c>
      <c r="AC767" s="149" t="s">
        <v>4457</v>
      </c>
      <c r="AD767" s="149" t="s">
        <v>7651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>IF(AY767-KD767=0,"",AY767-O767)</f>
        <v/>
      </c>
      <c r="BD767" s="103" t="str">
        <f>IF(AND(AI767&lt;&gt;"SIM",AI767="UH"),"AA","INDENIZAÇÃO")</f>
        <v>AA</v>
      </c>
      <c r="BE767" s="103" t="str">
        <f>IF(AND(AY767&lt;&gt;"AGUARDANDO",AY767&lt;&gt;"",N767="AUXÍLIO ALUGUEL ATÉ INDENIZAÇÃO"),"SIM","NÃO")</f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customHeight="1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7652</v>
      </c>
      <c r="G768" s="103" t="s">
        <v>4330</v>
      </c>
      <c r="H768" s="103" t="s">
        <v>4331</v>
      </c>
      <c r="I768" s="142" t="s">
        <v>4343</v>
      </c>
      <c r="J768" s="149" t="s">
        <v>7653</v>
      </c>
      <c r="K768" s="149" t="s">
        <v>7654</v>
      </c>
      <c r="L768" s="149" t="s">
        <v>7655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7653</v>
      </c>
      <c r="AC768" s="149" t="s">
        <v>7654</v>
      </c>
      <c r="AD768" s="149" t="s">
        <v>7655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>IF(AY768-KD768=0,"",AY768-O768)</f>
        <v/>
      </c>
      <c r="BD768" s="103" t="str">
        <f>IF(AND(AI768&lt;&gt;"SIM",AI768="UH"),"AA","INDENIZAÇÃO")</f>
        <v>AA</v>
      </c>
      <c r="BE768" s="103" t="str">
        <f>IF(AND(AY768&lt;&gt;"AGUARDANDO",AY768&lt;&gt;"",N768="AUXÍLIO ALUGUEL ATÉ INDENIZAÇÃO"),"SIM","NÃO")</f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customHeight="1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7656</v>
      </c>
      <c r="G769" s="103" t="s">
        <v>4330</v>
      </c>
      <c r="H769" s="103" t="s">
        <v>4331</v>
      </c>
      <c r="I769" s="142" t="s">
        <v>4343</v>
      </c>
      <c r="J769" s="149" t="s">
        <v>7657</v>
      </c>
      <c r="K769" s="149" t="s">
        <v>7658</v>
      </c>
      <c r="L769" s="149" t="s">
        <v>7659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7657</v>
      </c>
      <c r="AC769" s="149" t="s">
        <v>7658</v>
      </c>
      <c r="AD769" s="149" t="s">
        <v>7659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>IF(AY769-KD769=0,"",AY769-O769)</f>
        <v/>
      </c>
      <c r="BD769" s="103" t="str">
        <f>IF(AND(AI769&lt;&gt;"SIM",AI769="UH"),"AA","INDENIZAÇÃO")</f>
        <v>AA</v>
      </c>
      <c r="BE769" s="103" t="str">
        <f>IF(AND(AY769&lt;&gt;"AGUARDANDO",AY769&lt;&gt;"",N769="AUXÍLIO ALUGUEL ATÉ INDENIZAÇÃO"),"SIM","NÃO")</f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customHeight="1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7660</v>
      </c>
      <c r="G770" s="103" t="s">
        <v>4330</v>
      </c>
      <c r="H770" s="103" t="s">
        <v>4331</v>
      </c>
      <c r="I770" s="142" t="s">
        <v>4343</v>
      </c>
      <c r="J770" s="149" t="s">
        <v>7661</v>
      </c>
      <c r="K770" s="149" t="s">
        <v>7662</v>
      </c>
      <c r="L770" s="149" t="s">
        <v>7663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7661</v>
      </c>
      <c r="AC770" s="149" t="s">
        <v>7662</v>
      </c>
      <c r="AD770" s="149" t="s">
        <v>7663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>IF(AY770-KD770=0,"",AY770-O770)</f>
        <v/>
      </c>
      <c r="BD770" s="103" t="str">
        <f>IF(AND(AI770&lt;&gt;"SIM",AI770="UH"),"AA","INDENIZAÇÃO")</f>
        <v>AA</v>
      </c>
      <c r="BE770" s="103" t="str">
        <f>IF(AND(AY770&lt;&gt;"AGUARDANDO",AY770&lt;&gt;"",N770="AUXÍLIO ALUGUEL ATÉ INDENIZAÇÃO"),"SIM","NÃO")</f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customHeight="1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7664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7665</v>
      </c>
      <c r="L771" s="149" t="s">
        <v>7666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7665</v>
      </c>
      <c r="AD771" s="149" t="s">
        <v>7666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>IF(AY771-KD771=0,"",AY771-O771)</f>
        <v/>
      </c>
      <c r="BD771" s="103" t="str">
        <f>IF(AND(AI771&lt;&gt;"SIM",AI771="UH"),"AA","INDENIZAÇÃO")</f>
        <v>AA</v>
      </c>
      <c r="BE771" s="103" t="str">
        <f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customHeight="1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7667</v>
      </c>
      <c r="G772" s="103" t="s">
        <v>4330</v>
      </c>
      <c r="H772" s="103" t="s">
        <v>4331</v>
      </c>
      <c r="I772" s="142" t="s">
        <v>4343</v>
      </c>
      <c r="J772" s="149" t="s">
        <v>7668</v>
      </c>
      <c r="K772" s="149" t="s">
        <v>7669</v>
      </c>
      <c r="L772" s="149" t="s">
        <v>7670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7668</v>
      </c>
      <c r="AC772" s="149" t="s">
        <v>7669</v>
      </c>
      <c r="AD772" s="149" t="s">
        <v>7670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>IF(AY772-KD772=0,"",AY772-O772)</f>
        <v/>
      </c>
      <c r="BD772" s="103" t="str">
        <f>IF(AND(AI772&lt;&gt;"SIM",AI772="UH"),"AA","INDENIZAÇÃO")</f>
        <v>AA</v>
      </c>
      <c r="BE772" s="103" t="str">
        <f>IF(AND(AY772&lt;&gt;"AGUARDANDO",AY772&lt;&gt;"",N772="AUXÍLIO ALUGUEL ATÉ INDENIZAÇÃO"),"SIM","NÃO")</f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customHeight="1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7671</v>
      </c>
      <c r="G773" s="103" t="s">
        <v>4330</v>
      </c>
      <c r="H773" s="103" t="s">
        <v>4331</v>
      </c>
      <c r="I773" s="142" t="s">
        <v>4343</v>
      </c>
      <c r="J773" s="149" t="s">
        <v>7672</v>
      </c>
      <c r="K773" s="149" t="s">
        <v>7673</v>
      </c>
      <c r="L773" s="149" t="s">
        <v>7674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7672</v>
      </c>
      <c r="AC773" s="149" t="s">
        <v>7673</v>
      </c>
      <c r="AD773" s="149" t="s">
        <v>7674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>IF(AY773-KD773=0,"",AY773-O773)</f>
        <v/>
      </c>
      <c r="BD773" s="103" t="str">
        <f>IF(AND(AI773&lt;&gt;"SIM",AI773="UH"),"AA","INDENIZAÇÃO")</f>
        <v>AA</v>
      </c>
      <c r="BE773" s="103" t="str">
        <f>IF(AND(AY773&lt;&gt;"AGUARDANDO",AY773&lt;&gt;"",N773="AUXÍLIO ALUGUEL ATÉ INDENIZAÇÃO"),"SIM","NÃO")</f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customHeight="1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7675</v>
      </c>
      <c r="G774" s="103" t="s">
        <v>4330</v>
      </c>
      <c r="H774" s="103" t="s">
        <v>4331</v>
      </c>
      <c r="I774" s="142" t="s">
        <v>4343</v>
      </c>
      <c r="J774" s="149" t="s">
        <v>7676</v>
      </c>
      <c r="K774" s="149" t="s">
        <v>7677</v>
      </c>
      <c r="L774" s="149" t="s">
        <v>7678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7676</v>
      </c>
      <c r="AC774" s="149" t="s">
        <v>7677</v>
      </c>
      <c r="AD774" s="149" t="s">
        <v>7678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>IF(AY774-KD774=0,"",AY774-O774)</f>
        <v/>
      </c>
      <c r="BD774" s="103" t="str">
        <f>IF(AND(AI774&lt;&gt;"SIM",AI774="UH"),"AA","INDENIZAÇÃO")</f>
        <v>AA</v>
      </c>
      <c r="BE774" s="103" t="str">
        <f>IF(AND(AY774&lt;&gt;"AGUARDANDO",AY774&lt;&gt;"",N774="AUXÍLIO ALUGUEL ATÉ INDENIZAÇÃO"),"SIM","NÃO")</f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customHeight="1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7679</v>
      </c>
      <c r="G775" s="103" t="s">
        <v>4330</v>
      </c>
      <c r="H775" s="103" t="s">
        <v>4331</v>
      </c>
      <c r="I775" s="142" t="s">
        <v>4343</v>
      </c>
      <c r="J775" s="149" t="s">
        <v>7680</v>
      </c>
      <c r="K775" s="149" t="s">
        <v>7681</v>
      </c>
      <c r="L775" s="149" t="s">
        <v>7682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7680</v>
      </c>
      <c r="AC775" s="149" t="s">
        <v>7681</v>
      </c>
      <c r="AD775" s="149" t="s">
        <v>7682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>IF(AY775-KD775=0,"",AY775-O775)</f>
        <v/>
      </c>
      <c r="BD775" s="103" t="str">
        <f>IF(AND(AI775&lt;&gt;"SIM",AI775="UH"),"AA","INDENIZAÇÃO")</f>
        <v>AA</v>
      </c>
      <c r="BE775" s="103" t="str">
        <f>IF(AND(AY775&lt;&gt;"AGUARDANDO",AY775&lt;&gt;"",N775="AUXÍLIO ALUGUEL ATÉ INDENIZAÇÃO"),"SIM","NÃO")</f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customHeight="1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7683</v>
      </c>
      <c r="G776" s="103" t="s">
        <v>4330</v>
      </c>
      <c r="H776" s="103" t="s">
        <v>4331</v>
      </c>
      <c r="I776" s="142" t="s">
        <v>4343</v>
      </c>
      <c r="J776" s="149" t="s">
        <v>7684</v>
      </c>
      <c r="K776" s="149" t="s">
        <v>7685</v>
      </c>
      <c r="L776" s="149" t="s">
        <v>7686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7684</v>
      </c>
      <c r="AC776" s="149" t="s">
        <v>7685</v>
      </c>
      <c r="AD776" s="149" t="s">
        <v>7686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>IF(AY776-KD776=0,"",AY776-O776)</f>
        <v/>
      </c>
      <c r="BD776" s="103" t="str">
        <f>IF(AND(AI776&lt;&gt;"SIM",AI776="UH"),"AA","INDENIZAÇÃO")</f>
        <v>AA</v>
      </c>
      <c r="BE776" s="103" t="str">
        <f>IF(AND(AY776&lt;&gt;"AGUARDANDO",AY776&lt;&gt;"",N776="AUXÍLIO ALUGUEL ATÉ INDENIZAÇÃO"),"SIM","NÃO")</f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customHeight="1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7687</v>
      </c>
      <c r="G777" s="103" t="s">
        <v>4330</v>
      </c>
      <c r="H777" s="103" t="s">
        <v>4331</v>
      </c>
      <c r="I777" s="142" t="s">
        <v>4343</v>
      </c>
      <c r="J777" s="149" t="s">
        <v>7688</v>
      </c>
      <c r="K777" s="149" t="s">
        <v>7689</v>
      </c>
      <c r="L777" s="149" t="s">
        <v>7690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7688</v>
      </c>
      <c r="AC777" s="149" t="s">
        <v>7689</v>
      </c>
      <c r="AD777" s="149" t="s">
        <v>7690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>IF(AY777-KD777=0,"",AY777-O777)</f>
        <v/>
      </c>
      <c r="BD777" s="103" t="str">
        <f>IF(AND(AI777&lt;&gt;"SIM",AI777="UH"),"AA","INDENIZAÇÃO")</f>
        <v>AA</v>
      </c>
      <c r="BE777" s="103" t="str">
        <f>IF(AND(AY777&lt;&gt;"AGUARDANDO",AY777&lt;&gt;"",N777="AUXÍLIO ALUGUEL ATÉ INDENIZAÇÃO"),"SIM","NÃO")</f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customHeight="1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7691</v>
      </c>
      <c r="G778" s="103" t="s">
        <v>4330</v>
      </c>
      <c r="H778" s="103" t="s">
        <v>4331</v>
      </c>
      <c r="I778" s="142" t="s">
        <v>4343</v>
      </c>
      <c r="J778" s="149" t="s">
        <v>7692</v>
      </c>
      <c r="K778" s="149" t="s">
        <v>7693</v>
      </c>
      <c r="L778" s="149" t="s">
        <v>7694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7692</v>
      </c>
      <c r="AC778" s="149" t="s">
        <v>7693</v>
      </c>
      <c r="AD778" s="149" t="s">
        <v>7694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>IF(AY778-KD778=0,"",AY778-O778)</f>
        <v/>
      </c>
      <c r="BD778" s="103" t="str">
        <f>IF(AND(AI778&lt;&gt;"SIM",AI778="UH"),"AA","INDENIZAÇÃO")</f>
        <v>AA</v>
      </c>
      <c r="BE778" s="103" t="str">
        <f>IF(AND(AY778&lt;&gt;"AGUARDANDO",AY778&lt;&gt;"",N778="AUXÍLIO ALUGUEL ATÉ INDENIZAÇÃO"),"SIM","NÃO")</f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customHeight="1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7695</v>
      </c>
      <c r="G779" s="103" t="s">
        <v>4330</v>
      </c>
      <c r="H779" s="103" t="s">
        <v>4331</v>
      </c>
      <c r="I779" s="142" t="s">
        <v>4343</v>
      </c>
      <c r="J779" s="149" t="s">
        <v>7696</v>
      </c>
      <c r="K779" s="149" t="s">
        <v>7697</v>
      </c>
      <c r="L779" s="149" t="s">
        <v>7698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7696</v>
      </c>
      <c r="AC779" s="149" t="s">
        <v>7697</v>
      </c>
      <c r="AD779" s="149" t="s">
        <v>7698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>IF(AY779-KD779=0,"",AY779-O779)</f>
        <v/>
      </c>
      <c r="BD779" s="103" t="str">
        <f>IF(AND(AI779&lt;&gt;"SIM",AI779="UH"),"AA","INDENIZAÇÃO")</f>
        <v>AA</v>
      </c>
      <c r="BE779" s="103" t="str">
        <f>IF(AND(AY779&lt;&gt;"AGUARDANDO",AY779&lt;&gt;"",N779="AUXÍLIO ALUGUEL ATÉ INDENIZAÇÃO"),"SIM","NÃO")</f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customHeight="1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7699</v>
      </c>
      <c r="G780" s="103" t="s">
        <v>4330</v>
      </c>
      <c r="H780" s="103" t="s">
        <v>4331</v>
      </c>
      <c r="I780" s="142" t="s">
        <v>4343</v>
      </c>
      <c r="J780" s="149" t="s">
        <v>7700</v>
      </c>
      <c r="K780" s="149" t="s">
        <v>7701</v>
      </c>
      <c r="L780" s="149" t="s">
        <v>7702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7700</v>
      </c>
      <c r="AC780" s="149" t="s">
        <v>7701</v>
      </c>
      <c r="AD780" s="149" t="s">
        <v>7702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>IF(AY780-KD780=0,"",AY780-O780)</f>
        <v/>
      </c>
      <c r="BD780" s="103" t="str">
        <f>IF(AND(AI780&lt;&gt;"SIM",AI780="UH"),"AA","INDENIZAÇÃO")</f>
        <v>AA</v>
      </c>
      <c r="BE780" s="103" t="str">
        <f>IF(AND(AY780&lt;&gt;"AGUARDANDO",AY780&lt;&gt;"",N780="AUXÍLIO ALUGUEL ATÉ INDENIZAÇÃO"),"SIM","NÃO")</f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customHeight="1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7703</v>
      </c>
      <c r="G781" s="103" t="s">
        <v>4330</v>
      </c>
      <c r="H781" s="103" t="s">
        <v>4331</v>
      </c>
      <c r="I781" s="142" t="s">
        <v>4343</v>
      </c>
      <c r="J781" s="149" t="s">
        <v>7704</v>
      </c>
      <c r="K781" s="149" t="s">
        <v>7705</v>
      </c>
      <c r="L781" s="149" t="s">
        <v>7706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7704</v>
      </c>
      <c r="AC781" s="149" t="s">
        <v>7705</v>
      </c>
      <c r="AD781" s="149" t="s">
        <v>7706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>IF(AY781-KD781=0,"",AY781-O781)</f>
        <v/>
      </c>
      <c r="BD781" s="103" t="str">
        <f>IF(AND(AI781&lt;&gt;"SIM",AI781="UH"),"AA","INDENIZAÇÃO")</f>
        <v>AA</v>
      </c>
      <c r="BE781" s="103" t="str">
        <f>IF(AND(AY781&lt;&gt;"AGUARDANDO",AY781&lt;&gt;"",N781="AUXÍLIO ALUGUEL ATÉ INDENIZAÇÃO"),"SIM","NÃO")</f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customHeight="1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7707</v>
      </c>
      <c r="G782" s="103" t="s">
        <v>4330</v>
      </c>
      <c r="H782" s="103" t="s">
        <v>4331</v>
      </c>
      <c r="I782" s="142" t="s">
        <v>4343</v>
      </c>
      <c r="J782" s="149" t="s">
        <v>7708</v>
      </c>
      <c r="K782" s="149" t="s">
        <v>7709</v>
      </c>
      <c r="L782" s="149" t="s">
        <v>7710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7708</v>
      </c>
      <c r="AC782" s="149" t="s">
        <v>7709</v>
      </c>
      <c r="AD782" s="149" t="s">
        <v>7710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>IF(AY782-KD782=0,"",AY782-O782)</f>
        <v/>
      </c>
      <c r="BD782" s="103" t="str">
        <f>IF(AND(AI782&lt;&gt;"SIM",AI782="UH"),"AA","INDENIZAÇÃO")</f>
        <v>AA</v>
      </c>
      <c r="BE782" s="103" t="str">
        <f>IF(AND(AY782&lt;&gt;"AGUARDANDO",AY782&lt;&gt;"",N782="AUXÍLIO ALUGUEL ATÉ INDENIZAÇÃO"),"SIM","NÃO")</f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customHeight="1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7711</v>
      </c>
      <c r="G783" s="103" t="s">
        <v>4330</v>
      </c>
      <c r="H783" s="103" t="s">
        <v>4331</v>
      </c>
      <c r="I783" s="142" t="s">
        <v>4343</v>
      </c>
      <c r="J783" s="149" t="s">
        <v>7712</v>
      </c>
      <c r="K783" s="149" t="s">
        <v>7713</v>
      </c>
      <c r="L783" s="149" t="s">
        <v>7714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7712</v>
      </c>
      <c r="AC783" s="149" t="s">
        <v>7713</v>
      </c>
      <c r="AD783" s="149" t="s">
        <v>7714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>IF(AY783-KD783=0,"",AY783-O783)</f>
        <v/>
      </c>
      <c r="BD783" s="103" t="str">
        <f>IF(AND(AI783&lt;&gt;"SIM",AI783="UH"),"AA","INDENIZAÇÃO")</f>
        <v>AA</v>
      </c>
      <c r="BE783" s="103" t="str">
        <f>IF(AND(AY783&lt;&gt;"AGUARDANDO",AY783&lt;&gt;"",N783="AUXÍLIO ALUGUEL ATÉ INDENIZAÇÃO"),"SIM","NÃO")</f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customHeight="1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7715</v>
      </c>
      <c r="G784" s="103" t="s">
        <v>4330</v>
      </c>
      <c r="H784" s="103" t="s">
        <v>4331</v>
      </c>
      <c r="I784" s="142" t="s">
        <v>4343</v>
      </c>
      <c r="J784" s="149" t="s">
        <v>7716</v>
      </c>
      <c r="K784" s="149" t="s">
        <v>7717</v>
      </c>
      <c r="L784" s="149" t="s">
        <v>7718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7716</v>
      </c>
      <c r="AC784" s="149" t="s">
        <v>7717</v>
      </c>
      <c r="AD784" s="149" t="s">
        <v>7718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>IF(AY784-KD784=0,"",AY784-O784)</f>
        <v/>
      </c>
      <c r="BD784" s="103" t="str">
        <f>IF(AND(AI784&lt;&gt;"SIM",AI784="UH"),"AA","INDENIZAÇÃO")</f>
        <v>AA</v>
      </c>
      <c r="BE784" s="103" t="str">
        <f>IF(AND(AY784&lt;&gt;"AGUARDANDO",AY784&lt;&gt;"",N784="AUXÍLIO ALUGUEL ATÉ INDENIZAÇÃO"),"SIM","NÃO")</f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customHeight="1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7719</v>
      </c>
      <c r="G785" s="103" t="s">
        <v>4330</v>
      </c>
      <c r="H785" s="103" t="s">
        <v>4331</v>
      </c>
      <c r="I785" s="142" t="s">
        <v>4343</v>
      </c>
      <c r="J785" s="149" t="s">
        <v>7720</v>
      </c>
      <c r="K785" s="149" t="s">
        <v>7721</v>
      </c>
      <c r="L785" s="149" t="s">
        <v>7722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7720</v>
      </c>
      <c r="AC785" s="149" t="s">
        <v>7721</v>
      </c>
      <c r="AD785" s="149" t="s">
        <v>7722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>IF(AY785-KD785=0,"",AY785-O785)</f>
        <v/>
      </c>
      <c r="BD785" s="103" t="str">
        <f>IF(AND(AI785&lt;&gt;"SIM",AI785="UH"),"AA","INDENIZAÇÃO")</f>
        <v>AA</v>
      </c>
      <c r="BE785" s="103" t="str">
        <f>IF(AND(AY785&lt;&gt;"AGUARDANDO",AY785&lt;&gt;"",N785="AUXÍLIO ALUGUEL ATÉ INDENIZAÇÃO"),"SIM","NÃO")</f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customHeight="1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7723</v>
      </c>
      <c r="G786" s="103" t="s">
        <v>4330</v>
      </c>
      <c r="H786" s="103" t="s">
        <v>4331</v>
      </c>
      <c r="I786" s="142" t="s">
        <v>4343</v>
      </c>
      <c r="J786" s="149" t="s">
        <v>7724</v>
      </c>
      <c r="K786" s="149" t="s">
        <v>7725</v>
      </c>
      <c r="L786" s="149" t="s">
        <v>7726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7724</v>
      </c>
      <c r="AC786" s="149" t="s">
        <v>7725</v>
      </c>
      <c r="AD786" s="149" t="s">
        <v>7726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>IF(AY786-KD786=0,"",AY786-O786)</f>
        <v/>
      </c>
      <c r="BD786" s="103" t="str">
        <f>IF(AND(AI786&lt;&gt;"SIM",AI786="UH"),"AA","INDENIZAÇÃO")</f>
        <v>AA</v>
      </c>
      <c r="BE786" s="103" t="str">
        <f>IF(AND(AY786&lt;&gt;"AGUARDANDO",AY786&lt;&gt;"",N786="AUXÍLIO ALUGUEL ATÉ INDENIZAÇÃO"),"SIM","NÃO")</f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customHeight="1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7727</v>
      </c>
      <c r="G787" s="103" t="s">
        <v>4330</v>
      </c>
      <c r="H787" s="103" t="s">
        <v>4331</v>
      </c>
      <c r="I787" s="142" t="s">
        <v>4343</v>
      </c>
      <c r="J787" s="149" t="s">
        <v>7728</v>
      </c>
      <c r="K787" s="149" t="s">
        <v>4432</v>
      </c>
      <c r="L787" s="149" t="s">
        <v>7729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7728</v>
      </c>
      <c r="AC787" s="149" t="s">
        <v>4432</v>
      </c>
      <c r="AD787" s="149" t="s">
        <v>7729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>IF(AY787-KD787=0,"",AY787-O787)</f>
        <v/>
      </c>
      <c r="BD787" s="103" t="str">
        <f>IF(AND(AI787&lt;&gt;"SIM",AI787="UH"),"AA","INDENIZAÇÃO")</f>
        <v>AA</v>
      </c>
      <c r="BE787" s="103" t="str">
        <f>IF(AND(AY787&lt;&gt;"AGUARDANDO",AY787&lt;&gt;"",N787="AUXÍLIO ALUGUEL ATÉ INDENIZAÇÃO"),"SIM","NÃO")</f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customHeight="1">
      <c r="A788" s="103">
        <v>777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7730</v>
      </c>
      <c r="G788" s="103" t="s">
        <v>4330</v>
      </c>
      <c r="H788" s="103" t="s">
        <v>4331</v>
      </c>
      <c r="I788" s="142" t="s">
        <v>4343</v>
      </c>
      <c r="J788" s="149" t="s">
        <v>7731</v>
      </c>
      <c r="K788" s="149" t="s">
        <v>7732</v>
      </c>
      <c r="L788" s="149" t="s">
        <v>7733</v>
      </c>
      <c r="M788" s="103" t="s">
        <v>4333</v>
      </c>
      <c r="N788" s="103" t="s">
        <v>4459</v>
      </c>
      <c r="O788" s="105">
        <v>46106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7731</v>
      </c>
      <c r="AC788" s="204" t="s">
        <v>7732</v>
      </c>
      <c r="AD788" s="204" t="s">
        <v>7733</v>
      </c>
      <c r="AE788" s="165" t="s">
        <v>4343</v>
      </c>
      <c r="AF788" s="172" t="s">
        <v>5045</v>
      </c>
      <c r="AG788" s="208">
        <v>27464.76</v>
      </c>
      <c r="AH788" s="208">
        <v>57464.76</v>
      </c>
      <c r="AI788" s="165" t="s">
        <v>4336</v>
      </c>
      <c r="AJ788" s="104" t="s">
        <v>4438</v>
      </c>
      <c r="AK788" s="103">
        <v>152697035</v>
      </c>
      <c r="AL788" s="142" t="s">
        <v>4338</v>
      </c>
      <c r="AM788" s="103" t="s">
        <v>4338</v>
      </c>
      <c r="AN788" s="103" t="s">
        <v>4339</v>
      </c>
      <c r="AO788" s="103"/>
      <c r="AP788" s="171" t="s">
        <v>7734</v>
      </c>
      <c r="AQ788" s="143" t="s">
        <v>4338</v>
      </c>
      <c r="AR788" s="143" t="s">
        <v>4338</v>
      </c>
      <c r="AS788" s="103" t="s">
        <v>4338</v>
      </c>
      <c r="AT788" s="103" t="s">
        <v>4338</v>
      </c>
      <c r="AU788" s="105">
        <v>46153</v>
      </c>
      <c r="AV788" s="103" t="s">
        <v>4338</v>
      </c>
      <c r="AW788" s="103" t="s">
        <v>4338</v>
      </c>
      <c r="AX788" s="105">
        <v>46157</v>
      </c>
      <c r="AY788" s="106">
        <v>46157</v>
      </c>
      <c r="AZ788" s="157" t="s">
        <v>4453</v>
      </c>
      <c r="BA788" s="107" t="s">
        <v>4454</v>
      </c>
      <c r="BB788" s="136" t="s">
        <v>4338</v>
      </c>
      <c r="BC788" s="220">
        <f>IF(AY788-KD788=0,"",AY788-O788)</f>
        <v>51</v>
      </c>
      <c r="BD788" s="103" t="str">
        <f>IF(AND(AI788&lt;&gt;"SIM",AI788="UH"),"AA","INDENIZAÇÃO")</f>
        <v>INDENIZAÇÃO</v>
      </c>
      <c r="BE788" s="103" t="str">
        <f>IF(AND(AY788&lt;&gt;"AGUARDANDO",AY788&lt;&gt;"",N788="AUXÍLIO ALUGUEL ATÉ INDENIZAÇÃO"),"SIM","NÃO")</f>
        <v>NÃO</v>
      </c>
      <c r="BF788" s="140" t="s">
        <v>4357</v>
      </c>
      <c r="BG788" s="140" t="s">
        <v>4357</v>
      </c>
      <c r="BH788" s="140" t="s">
        <v>4357</v>
      </c>
      <c r="BI788" s="154" t="s">
        <v>4912</v>
      </c>
      <c r="BJ788" s="154"/>
      <c r="BK788" s="154"/>
      <c r="BL788" s="154"/>
      <c r="BM788" s="237"/>
    </row>
    <row r="789" spans="1:65" ht="30" customHeight="1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7735</v>
      </c>
      <c r="G789" s="103" t="s">
        <v>4330</v>
      </c>
      <c r="H789" s="103" t="s">
        <v>4331</v>
      </c>
      <c r="I789" s="142" t="s">
        <v>4343</v>
      </c>
      <c r="J789" s="150" t="s">
        <v>7736</v>
      </c>
      <c r="K789" s="150" t="s">
        <v>7737</v>
      </c>
      <c r="L789" s="150" t="s">
        <v>7738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7736</v>
      </c>
      <c r="AC789" s="150" t="s">
        <v>7737</v>
      </c>
      <c r="AD789" s="150" t="s">
        <v>7738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>IF(AY789-KD789=0,"",AY789-O789)</f>
        <v/>
      </c>
      <c r="BD789" s="103" t="str">
        <f>IF(AND(AI789&lt;&gt;"SIM",AI789="UH"),"AA","INDENIZAÇÃO")</f>
        <v>AA</v>
      </c>
      <c r="BE789" s="103" t="str">
        <f>IF(AND(AY789&lt;&gt;"AGUARDANDO",AY789&lt;&gt;"",N789="AUXÍLIO ALUGUEL ATÉ INDENIZAÇÃO"),"SIM","NÃO")</f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customHeight="1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7739</v>
      </c>
      <c r="G790" s="112" t="s">
        <v>4330</v>
      </c>
      <c r="H790" s="112" t="s">
        <v>4331</v>
      </c>
      <c r="I790" s="142" t="s">
        <v>4343</v>
      </c>
      <c r="J790" s="150" t="s">
        <v>7740</v>
      </c>
      <c r="K790" s="150" t="s">
        <v>7741</v>
      </c>
      <c r="L790" s="150" t="s">
        <v>7742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7740</v>
      </c>
      <c r="AC790" s="150" t="s">
        <v>7741</v>
      </c>
      <c r="AD790" s="150" t="s">
        <v>7742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>IF(AY790-KD790=0,"",AY790-O790)</f>
        <v/>
      </c>
      <c r="BD790" s="103" t="str">
        <f>IF(AND(AI790&lt;&gt;"SIM",AI790="UH"),"AA","INDENIZAÇÃO")</f>
        <v>AA</v>
      </c>
      <c r="BE790" s="103" t="str">
        <f>IF(AND(AY790&lt;&gt;"AGUARDANDO",AY790&lt;&gt;"",N790="AUXÍLIO ALUGUEL ATÉ INDENIZAÇÃO"),"SIM","NÃO")</f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customHeight="1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7743</v>
      </c>
      <c r="G791" s="103" t="s">
        <v>4330</v>
      </c>
      <c r="H791" s="103" t="s">
        <v>4331</v>
      </c>
      <c r="I791" s="142" t="s">
        <v>4343</v>
      </c>
      <c r="J791" s="150" t="s">
        <v>7744</v>
      </c>
      <c r="K791" s="150" t="s">
        <v>7745</v>
      </c>
      <c r="L791" s="150" t="s">
        <v>7746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7744</v>
      </c>
      <c r="AC791" s="150" t="s">
        <v>7745</v>
      </c>
      <c r="AD791" s="150" t="s">
        <v>7746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>IF(AY791-KD791=0,"",AY791-O791)</f>
        <v/>
      </c>
      <c r="BD791" s="103" t="str">
        <f>IF(AND(AI791&lt;&gt;"SIM",AI791="UH"),"AA","INDENIZAÇÃO")</f>
        <v>AA</v>
      </c>
      <c r="BE791" s="103" t="str">
        <f>IF(AND(AY791&lt;&gt;"AGUARDANDO",AY791&lt;&gt;"",N791="AUXÍLIO ALUGUEL ATÉ INDENIZAÇÃO"),"SIM","NÃO")</f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customHeight="1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7747</v>
      </c>
      <c r="G792" s="112" t="s">
        <v>4330</v>
      </c>
      <c r="H792" s="112" t="s">
        <v>4331</v>
      </c>
      <c r="I792" s="142" t="s">
        <v>4343</v>
      </c>
      <c r="J792" s="150" t="s">
        <v>7748</v>
      </c>
      <c r="K792" s="150" t="s">
        <v>7749</v>
      </c>
      <c r="L792" s="150" t="s">
        <v>7750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7748</v>
      </c>
      <c r="AC792" s="150" t="s">
        <v>7749</v>
      </c>
      <c r="AD792" s="150" t="s">
        <v>7750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>IF(AY792-KD792=0,"",AY792-O792)</f>
        <v/>
      </c>
      <c r="BD792" s="103" t="str">
        <f>IF(AND(AI792&lt;&gt;"SIM",AI792="UH"),"AA","INDENIZAÇÃO")</f>
        <v>AA</v>
      </c>
      <c r="BE792" s="103" t="str">
        <f>IF(AND(AY792&lt;&gt;"AGUARDANDO",AY792&lt;&gt;"",N792="AUXÍLIO ALUGUEL ATÉ INDENIZAÇÃO"),"SIM","NÃO")</f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customHeight="1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7751</v>
      </c>
      <c r="G793" s="112" t="s">
        <v>4330</v>
      </c>
      <c r="H793" s="112" t="s">
        <v>4331</v>
      </c>
      <c r="I793" s="142" t="s">
        <v>4343</v>
      </c>
      <c r="J793" s="150" t="s">
        <v>7752</v>
      </c>
      <c r="K793" s="150" t="s">
        <v>7753</v>
      </c>
      <c r="L793" s="150" t="s">
        <v>7754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7752</v>
      </c>
      <c r="AC793" s="150" t="s">
        <v>7753</v>
      </c>
      <c r="AD793" s="150" t="s">
        <v>7754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>IF(AY793-KD793=0,"",AY793-O793)</f>
        <v/>
      </c>
      <c r="BD793" s="103" t="str">
        <f>IF(AND(AI793&lt;&gt;"SIM",AI793="UH"),"AA","INDENIZAÇÃO")</f>
        <v>AA</v>
      </c>
      <c r="BE793" s="103" t="str">
        <f>IF(AND(AY793&lt;&gt;"AGUARDANDO",AY793&lt;&gt;"",N793="AUXÍLIO ALUGUEL ATÉ INDENIZAÇÃO"),"SIM","NÃO")</f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customHeight="1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7755</v>
      </c>
      <c r="G794" s="103" t="s">
        <v>4330</v>
      </c>
      <c r="H794" s="103" t="s">
        <v>4331</v>
      </c>
      <c r="I794" s="142" t="s">
        <v>4343</v>
      </c>
      <c r="J794" s="149" t="s">
        <v>7756</v>
      </c>
      <c r="K794" s="149" t="s">
        <v>7757</v>
      </c>
      <c r="L794" s="149" t="s">
        <v>7758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7756</v>
      </c>
      <c r="AC794" s="149" t="s">
        <v>7757</v>
      </c>
      <c r="AD794" s="149" t="s">
        <v>7758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>IF(AY794-KD794=0,"",AY794-O794)</f>
        <v/>
      </c>
      <c r="BD794" s="103" t="str">
        <f>IF(AND(AI794&lt;&gt;"SIM",AI794="UH"),"AA","INDENIZAÇÃO")</f>
        <v>AA</v>
      </c>
      <c r="BE794" s="103" t="str">
        <f>IF(AND(AY794&lt;&gt;"AGUARDANDO",AY794&lt;&gt;"",N794="AUXÍLIO ALUGUEL ATÉ INDENIZAÇÃO"),"SIM","NÃO")</f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customHeight="1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7759</v>
      </c>
      <c r="G795" s="103" t="s">
        <v>4330</v>
      </c>
      <c r="H795" s="103" t="s">
        <v>4331</v>
      </c>
      <c r="I795" s="142" t="s">
        <v>4343</v>
      </c>
      <c r="J795" s="150" t="s">
        <v>7760</v>
      </c>
      <c r="K795" s="150" t="s">
        <v>7761</v>
      </c>
      <c r="L795" s="150" t="s">
        <v>7762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7760</v>
      </c>
      <c r="AC795" s="150" t="s">
        <v>7761</v>
      </c>
      <c r="AD795" s="150" t="s">
        <v>7762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>IF(AY795-KD795=0,"",AY795-O795)</f>
        <v/>
      </c>
      <c r="BD795" s="103" t="str">
        <f>IF(AND(AI795&lt;&gt;"SIM",AI795="UH"),"AA","INDENIZAÇÃO")</f>
        <v>AA</v>
      </c>
      <c r="BE795" s="103" t="str">
        <f>IF(AND(AY795&lt;&gt;"AGUARDANDO",AY795&lt;&gt;"",N795="AUXÍLIO ALUGUEL ATÉ INDENIZAÇÃO"),"SIM","NÃO")</f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customHeight="1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7763</v>
      </c>
      <c r="G796" s="103" t="s">
        <v>4330</v>
      </c>
      <c r="H796" s="103" t="s">
        <v>4331</v>
      </c>
      <c r="I796" s="142" t="s">
        <v>4343</v>
      </c>
      <c r="J796" s="150" t="s">
        <v>7764</v>
      </c>
      <c r="K796" s="150" t="s">
        <v>7765</v>
      </c>
      <c r="L796" s="150" t="s">
        <v>7766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7764</v>
      </c>
      <c r="AC796" s="150" t="s">
        <v>7765</v>
      </c>
      <c r="AD796" s="150" t="s">
        <v>7766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>IF(AY796-KD796=0,"",AY796-O796)</f>
        <v/>
      </c>
      <c r="BD796" s="103" t="str">
        <f>IF(AND(AI796&lt;&gt;"SIM",AI796="UH"),"AA","INDENIZAÇÃO")</f>
        <v>AA</v>
      </c>
      <c r="BE796" s="103" t="str">
        <f>IF(AND(AY796&lt;&gt;"AGUARDANDO",AY796&lt;&gt;"",N796="AUXÍLIO ALUGUEL ATÉ INDENIZAÇÃO"),"SIM","NÃO")</f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customHeight="1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7767</v>
      </c>
      <c r="G797" s="112" t="s">
        <v>4330</v>
      </c>
      <c r="H797" s="112" t="s">
        <v>4331</v>
      </c>
      <c r="I797" s="142" t="s">
        <v>4343</v>
      </c>
      <c r="J797" s="150" t="s">
        <v>7768</v>
      </c>
      <c r="K797" s="150" t="s">
        <v>4457</v>
      </c>
      <c r="L797" s="150" t="s">
        <v>7769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7768</v>
      </c>
      <c r="AC797" s="150" t="s">
        <v>4457</v>
      </c>
      <c r="AD797" s="150" t="s">
        <v>7769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>IF(AY797-KD797=0,"",AY797-O797)</f>
        <v/>
      </c>
      <c r="BD797" s="103" t="str">
        <f>IF(AND(AI797&lt;&gt;"SIM",AI797="UH"),"AA","INDENIZAÇÃO")</f>
        <v>AA</v>
      </c>
      <c r="BE797" s="103" t="str">
        <f>IF(AND(AY797&lt;&gt;"AGUARDANDO",AY797&lt;&gt;"",N797="AUXÍLIO ALUGUEL ATÉ INDENIZAÇÃO"),"SIM","NÃO")</f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customHeight="1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7770</v>
      </c>
      <c r="G798" s="103" t="s">
        <v>4330</v>
      </c>
      <c r="H798" s="103" t="s">
        <v>4331</v>
      </c>
      <c r="I798" s="142" t="s">
        <v>4343</v>
      </c>
      <c r="J798" s="150" t="s">
        <v>7771</v>
      </c>
      <c r="K798" s="150" t="s">
        <v>7772</v>
      </c>
      <c r="L798" s="150" t="s">
        <v>7773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7771</v>
      </c>
      <c r="AC798" s="150" t="s">
        <v>7772</v>
      </c>
      <c r="AD798" s="150" t="s">
        <v>7773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>IF(AY798-KD798=0,"",AY798-O798)</f>
        <v/>
      </c>
      <c r="BD798" s="103" t="str">
        <f>IF(AND(AI798&lt;&gt;"SIM",AI798="UH"),"AA","INDENIZAÇÃO")</f>
        <v>AA</v>
      </c>
      <c r="BE798" s="103" t="str">
        <f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customHeight="1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7774</v>
      </c>
      <c r="G799" s="103" t="s">
        <v>4330</v>
      </c>
      <c r="H799" s="103" t="s">
        <v>4331</v>
      </c>
      <c r="I799" s="142" t="s">
        <v>4343</v>
      </c>
      <c r="J799" s="150" t="s">
        <v>7775</v>
      </c>
      <c r="K799" s="150" t="s">
        <v>7776</v>
      </c>
      <c r="L799" s="150" t="s">
        <v>7777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7775</v>
      </c>
      <c r="AC799" s="150" t="s">
        <v>7776</v>
      </c>
      <c r="AD799" s="150" t="s">
        <v>7777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>IF(AY799-KD799=0,"",AY799-O799)</f>
        <v/>
      </c>
      <c r="BD799" s="103" t="str">
        <f>IF(AND(AI799&lt;&gt;"SIM",AI799="UH"),"AA","INDENIZAÇÃO")</f>
        <v>AA</v>
      </c>
      <c r="BE799" s="103" t="str">
        <f>IF(AND(AY799&lt;&gt;"AGUARDANDO",AY799&lt;&gt;"",N799="AUXÍLIO ALUGUEL ATÉ INDENIZAÇÃO"),"SIM","NÃO")</f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customHeight="1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7778</v>
      </c>
      <c r="G800" s="112" t="s">
        <v>4330</v>
      </c>
      <c r="H800" s="112" t="s">
        <v>4331</v>
      </c>
      <c r="I800" s="142" t="s">
        <v>4343</v>
      </c>
      <c r="J800" s="150" t="s">
        <v>7779</v>
      </c>
      <c r="K800" s="150" t="s">
        <v>7780</v>
      </c>
      <c r="L800" s="150" t="s">
        <v>7781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7779</v>
      </c>
      <c r="AC800" s="150" t="s">
        <v>7780</v>
      </c>
      <c r="AD800" s="150" t="s">
        <v>7781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>IF(AY800-KD800=0,"",AY800-O800)</f>
        <v/>
      </c>
      <c r="BD800" s="103" t="str">
        <f>IF(AND(AI800&lt;&gt;"SIM",AI800="UH"),"AA","INDENIZAÇÃO")</f>
        <v>AA</v>
      </c>
      <c r="BE800" s="103" t="str">
        <f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customHeight="1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7782</v>
      </c>
      <c r="G801" s="112" t="s">
        <v>4330</v>
      </c>
      <c r="H801" s="112" t="s">
        <v>4331</v>
      </c>
      <c r="I801" s="142" t="s">
        <v>4343</v>
      </c>
      <c r="J801" s="150" t="s">
        <v>7783</v>
      </c>
      <c r="K801" s="150" t="s">
        <v>7784</v>
      </c>
      <c r="L801" s="150" t="s">
        <v>7785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7783</v>
      </c>
      <c r="AC801" s="150" t="s">
        <v>7784</v>
      </c>
      <c r="AD801" s="150" t="s">
        <v>7785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>IF(AY801-KD801=0,"",AY801-O801)</f>
        <v/>
      </c>
      <c r="BD801" s="103" t="str">
        <f>IF(AND(AI801&lt;&gt;"SIM",AI801="UH"),"AA","INDENIZAÇÃO")</f>
        <v>AA</v>
      </c>
      <c r="BE801" s="103" t="str">
        <f>IF(AND(AY801&lt;&gt;"AGUARDANDO",AY801&lt;&gt;"",N801="AUXÍLIO ALUGUEL ATÉ INDENIZAÇÃO"),"SIM","NÃO")</f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customHeight="1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7786</v>
      </c>
      <c r="G802" s="103" t="s">
        <v>4330</v>
      </c>
      <c r="H802" s="103" t="s">
        <v>4331</v>
      </c>
      <c r="I802" s="142" t="s">
        <v>4343</v>
      </c>
      <c r="J802" s="150" t="s">
        <v>7787</v>
      </c>
      <c r="K802" s="150" t="s">
        <v>7788</v>
      </c>
      <c r="L802" s="150" t="s">
        <v>7789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7787</v>
      </c>
      <c r="AC802" s="150" t="s">
        <v>7788</v>
      </c>
      <c r="AD802" s="150" t="s">
        <v>7789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>IF(AY802-KD802=0,"",AY802-O802)</f>
        <v/>
      </c>
      <c r="BD802" s="103" t="str">
        <f>IF(AND(AI802&lt;&gt;"SIM",AI802="UH"),"AA","INDENIZAÇÃO")</f>
        <v>AA</v>
      </c>
      <c r="BE802" s="103" t="str">
        <f>IF(AND(AY802&lt;&gt;"AGUARDANDO",AY802&lt;&gt;"",N802="AUXÍLIO ALUGUEL ATÉ INDENIZAÇÃO"),"SIM","NÃO")</f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customHeight="1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7790</v>
      </c>
      <c r="G803" s="112" t="s">
        <v>4330</v>
      </c>
      <c r="H803" s="112" t="s">
        <v>4331</v>
      </c>
      <c r="I803" s="142" t="s">
        <v>4343</v>
      </c>
      <c r="J803" s="150" t="s">
        <v>7791</v>
      </c>
      <c r="K803" s="150" t="s">
        <v>7792</v>
      </c>
      <c r="L803" s="150" t="s">
        <v>7793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7791</v>
      </c>
      <c r="AC803" s="150" t="s">
        <v>7792</v>
      </c>
      <c r="AD803" s="150" t="s">
        <v>7793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>IF(AY803-KD803=0,"",AY803-O803)</f>
        <v/>
      </c>
      <c r="BD803" s="103" t="str">
        <f>IF(AND(AI803&lt;&gt;"SIM",AI803="UH"),"AA","INDENIZAÇÃO")</f>
        <v>AA</v>
      </c>
      <c r="BE803" s="103" t="str">
        <f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customHeight="1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7794</v>
      </c>
      <c r="G804" s="103" t="s">
        <v>4330</v>
      </c>
      <c r="H804" s="103" t="s">
        <v>4331</v>
      </c>
      <c r="I804" s="142" t="s">
        <v>4343</v>
      </c>
      <c r="J804" s="150" t="s">
        <v>7795</v>
      </c>
      <c r="K804" s="150" t="s">
        <v>7796</v>
      </c>
      <c r="L804" s="150" t="s">
        <v>7797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7795</v>
      </c>
      <c r="AC804" s="150" t="s">
        <v>7796</v>
      </c>
      <c r="AD804" s="150" t="s">
        <v>7797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>IF(AY804-KD804=0,"",AY804-O804)</f>
        <v/>
      </c>
      <c r="BD804" s="103" t="str">
        <f>IF(AND(AI804&lt;&gt;"SIM",AI804="UH"),"AA","INDENIZAÇÃO")</f>
        <v>AA</v>
      </c>
      <c r="BE804" s="103" t="str">
        <f>IF(AND(AY804&lt;&gt;"AGUARDANDO",AY804&lt;&gt;"",N804="AUXÍLIO ALUGUEL ATÉ INDENIZAÇÃO"),"SIM","NÃO")</f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7798</v>
      </c>
      <c r="G805" s="112" t="s">
        <v>4330</v>
      </c>
      <c r="H805" s="112" t="s">
        <v>4331</v>
      </c>
      <c r="I805" s="142" t="s">
        <v>4343</v>
      </c>
      <c r="J805" s="150" t="s">
        <v>7799</v>
      </c>
      <c r="K805" s="150" t="s">
        <v>7800</v>
      </c>
      <c r="L805" s="150" t="s">
        <v>7801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7799</v>
      </c>
      <c r="AC805" s="150" t="s">
        <v>7800</v>
      </c>
      <c r="AD805" s="150" t="s">
        <v>7801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>IF(AY805-KD805=0,"",AY805-O805)</f>
        <v/>
      </c>
      <c r="BD805" s="103" t="str">
        <f>IF(AND(AI805&lt;&gt;"SIM",AI805="UH"),"AA","INDENIZAÇÃO")</f>
        <v>AA</v>
      </c>
      <c r="BE805" s="103" t="str">
        <f>IF(AND(AY805&lt;&gt;"AGUARDANDO",AY805&lt;&gt;"",N805="AUXÍLIO ALUGUEL ATÉ INDENIZAÇÃO"),"SIM","NÃO")</f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7802</v>
      </c>
      <c r="G806" s="103" t="s">
        <v>4330</v>
      </c>
      <c r="H806" s="103" t="s">
        <v>4331</v>
      </c>
      <c r="I806" s="142" t="s">
        <v>4343</v>
      </c>
      <c r="J806" s="150" t="s">
        <v>7803</v>
      </c>
      <c r="K806" s="150" t="s">
        <v>4457</v>
      </c>
      <c r="L806" s="150" t="s">
        <v>7804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7803</v>
      </c>
      <c r="AC806" s="150" t="s">
        <v>4457</v>
      </c>
      <c r="AD806" s="150" t="s">
        <v>7804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>IF(AY806-KD806=0,"",AY806-O806)</f>
        <v/>
      </c>
      <c r="BD806" s="103" t="str">
        <f>IF(AND(AI806&lt;&gt;"SIM",AI806="UH"),"AA","INDENIZAÇÃO")</f>
        <v>AA</v>
      </c>
      <c r="BE806" s="103" t="str">
        <f>IF(AND(AY806&lt;&gt;"AGUARDANDO",AY806&lt;&gt;"",N806="AUXÍLIO ALUGUEL ATÉ INDENIZAÇÃO"),"SIM","NÃO")</f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>
      <c r="A807" s="103">
        <v>796</v>
      </c>
      <c r="B807" s="103" t="s">
        <v>4431</v>
      </c>
      <c r="C807" s="103" t="s">
        <v>4448</v>
      </c>
      <c r="D807" s="103">
        <v>1</v>
      </c>
      <c r="E807" s="103" t="s">
        <v>4432</v>
      </c>
      <c r="F807" s="104" t="s">
        <v>7805</v>
      </c>
      <c r="G807" s="103" t="s">
        <v>4330</v>
      </c>
      <c r="H807" s="103" t="s">
        <v>4331</v>
      </c>
      <c r="I807" s="142" t="s">
        <v>4343</v>
      </c>
      <c r="J807" s="149" t="s">
        <v>7806</v>
      </c>
      <c r="K807" s="149" t="s">
        <v>4432</v>
      </c>
      <c r="L807" s="149" t="s">
        <v>7807</v>
      </c>
      <c r="M807" s="103" t="s">
        <v>4333</v>
      </c>
      <c r="N807" s="103" t="s">
        <v>4334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7806</v>
      </c>
      <c r="AC807" s="149" t="s">
        <v>4432</v>
      </c>
      <c r="AD807" s="149" t="s">
        <v>7807</v>
      </c>
      <c r="AE807" s="103" t="s">
        <v>4343</v>
      </c>
      <c r="AF807" s="142" t="s">
        <v>4333</v>
      </c>
      <c r="AG807" s="194">
        <v>4763.37</v>
      </c>
      <c r="AH807" s="194">
        <v>34763.370000000003</v>
      </c>
      <c r="AI807" s="103" t="s">
        <v>4336</v>
      </c>
      <c r="AJ807" s="104" t="s">
        <v>4438</v>
      </c>
      <c r="AK807" s="103">
        <v>153982716</v>
      </c>
      <c r="AL807" s="103" t="s">
        <v>4338</v>
      </c>
      <c r="AM807" s="103" t="s">
        <v>4338</v>
      </c>
      <c r="AN807" s="103" t="s">
        <v>4339</v>
      </c>
      <c r="AO807" s="103"/>
      <c r="AP807" s="273" t="s">
        <v>7808</v>
      </c>
      <c r="AQ807" s="143" t="s">
        <v>4338</v>
      </c>
      <c r="AR807" s="103" t="s">
        <v>4338</v>
      </c>
      <c r="AS807" s="103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06"/>
      <c r="BA807" s="107" t="s">
        <v>4330</v>
      </c>
      <c r="BB807" s="112"/>
      <c r="BC807" s="220" t="e">
        <f>IF(AY807-KD807=0,"",AY807-O807)</f>
        <v>#VALUE!</v>
      </c>
      <c r="BD807" s="103" t="str">
        <f>IF(AND(AI807&lt;&gt;"SIM",AI807="UH"),"AA","INDENIZAÇÃO")</f>
        <v>INDENIZAÇÃO</v>
      </c>
      <c r="BE807" s="103" t="str">
        <f>IF(AND(AY807&lt;&gt;"AGUARDANDO",AY807&lt;&gt;"",N807="AUXÍLIO ALUGUEL ATÉ INDENIZAÇÃO"),"SIM","NÃO")</f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7809</v>
      </c>
      <c r="G808" s="112" t="s">
        <v>4330</v>
      </c>
      <c r="H808" s="112" t="s">
        <v>4331</v>
      </c>
      <c r="I808" s="142" t="s">
        <v>4343</v>
      </c>
      <c r="J808" s="150" t="s">
        <v>7810</v>
      </c>
      <c r="K808" s="141" t="s">
        <v>7811</v>
      </c>
      <c r="L808" s="141" t="s">
        <v>7812</v>
      </c>
      <c r="M808" s="112" t="s">
        <v>4333</v>
      </c>
      <c r="N808" s="112" t="s">
        <v>4334</v>
      </c>
      <c r="O808" s="108">
        <v>46129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5"/>
      <c r="AB808" s="150" t="s">
        <v>7810</v>
      </c>
      <c r="AC808" s="141" t="s">
        <v>7811</v>
      </c>
      <c r="AD808" s="141" t="s">
        <v>7812</v>
      </c>
      <c r="AE808" s="103" t="s">
        <v>4343</v>
      </c>
      <c r="AF808" s="112" t="s">
        <v>4333</v>
      </c>
      <c r="AG808" s="194">
        <v>2809.84</v>
      </c>
      <c r="AH808" s="194">
        <v>32809.839999999997</v>
      </c>
      <c r="AI808" s="103" t="s">
        <v>4336</v>
      </c>
      <c r="AJ808" s="104" t="s">
        <v>4438</v>
      </c>
      <c r="AK808" s="103">
        <v>153982826</v>
      </c>
      <c r="AL808" s="103" t="s">
        <v>4338</v>
      </c>
      <c r="AM808" s="103" t="s">
        <v>4338</v>
      </c>
      <c r="AN808" s="103" t="s">
        <v>4339</v>
      </c>
      <c r="AO808" s="112"/>
      <c r="AP808" s="273" t="s">
        <v>7813</v>
      </c>
      <c r="AQ808" s="143" t="s">
        <v>4338</v>
      </c>
      <c r="AR808" s="103" t="s">
        <v>4338</v>
      </c>
      <c r="AS808" s="103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46232</v>
      </c>
      <c r="AY808" s="109" t="s">
        <v>4453</v>
      </c>
      <c r="AZ808" s="106"/>
      <c r="BA808" s="107" t="s">
        <v>4330</v>
      </c>
      <c r="BB808" s="112"/>
      <c r="BC808" s="220" t="e">
        <f>IF(AY808-KD808=0,"",AY808-O808)</f>
        <v>#VALUE!</v>
      </c>
      <c r="BD808" s="103" t="str">
        <f>IF(AND(AI808&lt;&gt;"SIM",AI808="UH"),"AA","INDENIZAÇÃO")</f>
        <v>INDENIZAÇÃO</v>
      </c>
      <c r="BE808" s="103" t="str">
        <f>IF(AND(AY808&lt;&gt;"AGUARDANDO",AY808&lt;&gt;"",N808="AUXÍLIO ALUGUEL ATÉ INDENIZAÇÃO"),"SIM","NÃO")</f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customHeight="1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>IF(AY809-KD809=0,"",AY809-O809)</f>
        <v/>
      </c>
      <c r="BD809" s="103" t="str">
        <f>IF(AND(AI809&lt;&gt;"SIM",AI809="UH"),"AA","INDENIZAÇÃO")</f>
        <v>INDENIZAÇÃO</v>
      </c>
      <c r="BE809" s="103" t="str">
        <f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>IF(AY810-KD810=0,"",AY810-O810)</f>
        <v/>
      </c>
      <c r="BD810" s="103" t="str">
        <f>IF(AND(AI810&lt;&gt;"SIM",AI810="UH"),"AA","INDENIZAÇÃO")</f>
        <v>INDENIZAÇÃO</v>
      </c>
      <c r="BE810" s="103" t="str">
        <f>IF(AND(AY810&lt;&gt;"AGUARDANDO",AY810&lt;&gt;"",N810="AUXÍLIO ALUGUEL ATÉ INDENIZAÇÃO"),"SIM","NÃO")</f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>IF(AY811-KD811=0,"",AY811-O811)</f>
        <v/>
      </c>
      <c r="BD811" s="103" t="str">
        <f>IF(AND(AI811&lt;&gt;"SIM",AI811="UH"),"AA","INDENIZAÇÃO")</f>
        <v>INDENIZAÇÃO</v>
      </c>
      <c r="BE811" s="103" t="str">
        <f>IF(AND(AY811&lt;&gt;"AGUARDANDO",AY811&lt;&gt;"",N811="AUXÍLIO ALUGUEL ATÉ INDENIZAÇÃO"),"SIM","NÃO")</f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customHeight="1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>IF(AY812-KD812=0,"",AY812-O812)</f>
        <v/>
      </c>
      <c r="BD812" s="103" t="str">
        <f>IF(AND(AI812&lt;&gt;"SIM",AI812="UH"),"AA","INDENIZAÇÃO")</f>
        <v>INDENIZAÇÃO</v>
      </c>
      <c r="BE812" s="103" t="str">
        <f>IF(AND(AY812&lt;&gt;"AGUARDANDO",AY812&lt;&gt;"",N812="AUXÍLIO ALUGUEL ATÉ INDENIZAÇÃO"),"SIM","NÃO")</f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customHeight="1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>IF(AY813-KD813=0,"",AY813-O813)</f>
        <v/>
      </c>
      <c r="BD813" s="103" t="str">
        <f>IF(AND(AI813&lt;&gt;"SIM",AI813="UH"),"AA","INDENIZAÇÃO")</f>
        <v>INDENIZAÇÃO</v>
      </c>
      <c r="BE813" s="103" t="str">
        <f>IF(AND(AY813&lt;&gt;"AGUARDANDO",AY813&lt;&gt;"",N813="AUXÍLIO ALUGUEL ATÉ INDENIZAÇÃO"),"SIM","NÃO")</f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customHeight="1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>IF(AY814-KD814=0,"",AY814-O814)</f>
        <v/>
      </c>
      <c r="BD814" s="103" t="str">
        <f>IF(AND(AI814&lt;&gt;"SIM",AI814="UH"),"AA","INDENIZAÇÃO")</f>
        <v>INDENIZAÇÃO</v>
      </c>
      <c r="BE814" s="103" t="str">
        <f>IF(AND(AY814&lt;&gt;"AGUARDANDO",AY814&lt;&gt;"",N814="AUXÍLIO ALUGUEL ATÉ INDENIZAÇÃO"),"SIM","NÃO")</f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customHeight="1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>IF(AY815-KD815=0,"",AY815-O815)</f>
        <v/>
      </c>
      <c r="BD815" s="103" t="str">
        <f>IF(AND(AI815&lt;&gt;"SIM",AI815="UH"),"AA","INDENIZAÇÃO")</f>
        <v>INDENIZAÇÃO</v>
      </c>
      <c r="BE815" s="103" t="str">
        <f>IF(AND(AY815&lt;&gt;"AGUARDANDO",AY815&lt;&gt;"",N815="AUXÍLIO ALUGUEL ATÉ INDENIZAÇÃO"),"SIM","NÃO")</f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customHeight="1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>IF(AY816-KD816=0,"",AY816-O816)</f>
        <v/>
      </c>
      <c r="BD816" s="103" t="str">
        <f>IF(AND(AI816&lt;&gt;"SIM",AI816="UH"),"AA","INDENIZAÇÃO")</f>
        <v>INDENIZAÇÃO</v>
      </c>
      <c r="BE816" s="103" t="str">
        <f>IF(AND(AY816&lt;&gt;"AGUARDANDO",AY816&lt;&gt;"",N816="AUXÍLIO ALUGUEL ATÉ INDENIZAÇÃO"),"SIM","NÃO")</f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customHeight="1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>IF(AY817-KD817=0,"",AY817-O817)</f>
        <v/>
      </c>
      <c r="BD817" s="103" t="str">
        <f>IF(AND(AI817&lt;&gt;"SIM",AI817="UH"),"AA","INDENIZAÇÃO")</f>
        <v>INDENIZAÇÃO</v>
      </c>
      <c r="BE817" s="103" t="str">
        <f>IF(AND(AY817&lt;&gt;"AGUARDANDO",AY817&lt;&gt;"",N817="AUXÍLIO ALUGUEL ATÉ INDENIZAÇÃO"),"SIM","NÃO")</f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customHeight="1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>IF(AY818-KD818=0,"",AY818-O818)</f>
        <v/>
      </c>
      <c r="BD818" s="103" t="str">
        <f>IF(AND(AI818&lt;&gt;"SIM",AI818="UH"),"AA","INDENIZAÇÃO")</f>
        <v>INDENIZAÇÃO</v>
      </c>
      <c r="BE818" s="103" t="str">
        <f>IF(AND(AY818&lt;&gt;"AGUARDANDO",AY818&lt;&gt;"",N818="AUXÍLIO ALUGUEL ATÉ INDENIZAÇÃO"),"SIM","NÃO")</f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customHeight="1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>IF(AY819-KD819=0,"",AY819-O819)</f>
        <v/>
      </c>
      <c r="BD819" s="103" t="str">
        <f>IF(AND(AI819&lt;&gt;"SIM",AI819="UH"),"AA","INDENIZAÇÃO")</f>
        <v>INDENIZAÇÃO</v>
      </c>
      <c r="BE819" s="103" t="str">
        <f>IF(AND(AY819&lt;&gt;"AGUARDANDO",AY819&lt;&gt;"",N819="AUXÍLIO ALUGUEL ATÉ INDENIZAÇÃO"),"SIM","NÃO")</f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customHeight="1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>IF(AY820-KD820=0,"",AY820-O820)</f>
        <v/>
      </c>
      <c r="BD820" s="103" t="str">
        <f>IF(AND(AI820&lt;&gt;"SIM",AI820="UH"),"AA","INDENIZAÇÃO")</f>
        <v>INDENIZAÇÃO</v>
      </c>
      <c r="BE820" s="103" t="str">
        <f>IF(AND(AY820&lt;&gt;"AGUARDANDO",AY820&lt;&gt;"",N820="AUXÍLIO ALUGUEL ATÉ INDENIZAÇÃO"),"SIM","NÃO")</f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customHeight="1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>IF(AY821-KD821=0,"",AY821-O821)</f>
        <v/>
      </c>
      <c r="BD821" s="103" t="str">
        <f>IF(AND(AI821&lt;&gt;"SIM",AI821="UH"),"AA","INDENIZAÇÃO")</f>
        <v>INDENIZAÇÃO</v>
      </c>
      <c r="BE821" s="103" t="str">
        <f>IF(AND(AY821&lt;&gt;"AGUARDANDO",AY821&lt;&gt;"",N821="AUXÍLIO ALUGUEL ATÉ INDENIZAÇÃO"),"SIM","NÃO")</f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customHeight="1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>IF(AY822-KD822=0,"",AY822-O822)</f>
        <v/>
      </c>
      <c r="BD822" s="103" t="str">
        <f>IF(AND(AI822&lt;&gt;"SIM",AI822="UH"),"AA","INDENIZAÇÃO")</f>
        <v>INDENIZAÇÃO</v>
      </c>
      <c r="BE822" s="103" t="str">
        <f>IF(AND(AY822&lt;&gt;"AGUARDANDO",AY822&lt;&gt;"",N822="AUXÍLIO ALUGUEL ATÉ INDENIZAÇÃO"),"SIM","NÃO")</f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customHeight="1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>IF(AY823-KD823=0,"",AY823-O823)</f>
        <v/>
      </c>
      <c r="BD823" s="103" t="str">
        <f>IF(AND(AI823&lt;&gt;"SIM",AI823="UH"),"AA","INDENIZAÇÃO")</f>
        <v>INDENIZAÇÃO</v>
      </c>
      <c r="BE823" s="103" t="str">
        <f>IF(AND(AY823&lt;&gt;"AGUARDANDO",AY823&lt;&gt;"",N823="AUXÍLIO ALUGUEL ATÉ INDENIZAÇÃO"),"SIM","NÃO")</f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customHeight="1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>IF(AY824-KD824=0,"",AY824-O824)</f>
        <v/>
      </c>
      <c r="BD824" s="103" t="str">
        <f>IF(AND(AI824&lt;&gt;"SIM",AI824="UH"),"AA","INDENIZAÇÃO")</f>
        <v>INDENIZAÇÃO</v>
      </c>
      <c r="BE824" s="103" t="str">
        <f>IF(AND(AY824&lt;&gt;"AGUARDANDO",AY824&lt;&gt;"",N824="AUXÍLIO ALUGUEL ATÉ INDENIZAÇÃO"),"SIM","NÃO")</f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customHeight="1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>IF(AY825-KD825=0,"",AY825-O825)</f>
        <v/>
      </c>
      <c r="BD825" s="103" t="str">
        <f>IF(AND(AI825&lt;&gt;"SIM",AI825="UH"),"AA","INDENIZAÇÃO")</f>
        <v>INDENIZAÇÃO</v>
      </c>
      <c r="BE825" s="103" t="str">
        <f>IF(AND(AY825&lt;&gt;"AGUARDANDO",AY825&lt;&gt;"",N825="AUXÍLIO ALUGUEL ATÉ INDENIZAÇÃO"),"SIM","NÃO")</f>
        <v>NÃO</v>
      </c>
    </row>
    <row r="826" spans="1:65" ht="30" customHeight="1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>IF(AY826-KD826=0,"",AY826-O826)</f>
        <v/>
      </c>
      <c r="BD826" s="103" t="str">
        <f>IF(AND(AI826&lt;&gt;"SIM",AI826="UH"),"AA","INDENIZAÇÃO")</f>
        <v>INDENIZAÇÃO</v>
      </c>
      <c r="BE826" s="103" t="str">
        <f>IF(AND(AY826&lt;&gt;"AGUARDANDO",AY826&lt;&gt;"",N826="AUXÍLIO ALUGUEL ATÉ INDENIZAÇÃO"),"SIM","NÃO")</f>
        <v>NÃO</v>
      </c>
    </row>
    <row r="827" spans="1:65" ht="30" customHeight="1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>IF(AY827-KD827=0,"",AY827-O827)</f>
        <v/>
      </c>
      <c r="BD827" s="103" t="str">
        <f>IF(AND(AI827&lt;&gt;"SIM",AI827="UH"),"AA","INDENIZAÇÃO")</f>
        <v>INDENIZAÇÃO</v>
      </c>
      <c r="BE827" s="103" t="str">
        <f>IF(AND(AY827&lt;&gt;"AGUARDANDO",AY827&lt;&gt;"",N827="AUXÍLIO ALUGUEL ATÉ INDENIZAÇÃO"),"SIM","NÃO")</f>
        <v>NÃO</v>
      </c>
    </row>
    <row r="828" spans="1:65" ht="30" customHeight="1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>IF(AY828-KD828=0,"",AY828-O828)</f>
        <v/>
      </c>
      <c r="BD828" s="103" t="str">
        <f>IF(AND(AI828&lt;&gt;"SIM",AI828="UH"),"AA","INDENIZAÇÃO")</f>
        <v>INDENIZAÇÃO</v>
      </c>
      <c r="BE828" s="103" t="str">
        <f>IF(AND(AY828&lt;&gt;"AGUARDANDO",AY828&lt;&gt;"",N828="AUXÍLIO ALUGUEL ATÉ INDENIZAÇÃO"),"SIM","NÃO")</f>
        <v>NÃO</v>
      </c>
    </row>
    <row r="829" spans="1:65" ht="30" customHeight="1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>IF(AY829-KD829=0,"",AY829-O829)</f>
        <v/>
      </c>
      <c r="BD829" s="103" t="str">
        <f>IF(AND(AI829&lt;&gt;"SIM",AI829="UH"),"AA","INDENIZAÇÃO")</f>
        <v>INDENIZAÇÃO</v>
      </c>
      <c r="BE829" s="103" t="str">
        <f>IF(AND(AY829&lt;&gt;"AGUARDANDO",AY829&lt;&gt;"",N829="AUXÍLIO ALUGUEL ATÉ INDENIZAÇÃO"),"SIM","NÃO")</f>
        <v>NÃO</v>
      </c>
    </row>
    <row r="830" spans="1:65" ht="30" customHeight="1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>IF(AY830-KD830=0,"",AY830-O830)</f>
        <v/>
      </c>
      <c r="BD830" s="103" t="str">
        <f>IF(AND(AI830&lt;&gt;"SIM",AI830="UH"),"AA","INDENIZAÇÃO")</f>
        <v>INDENIZAÇÃO</v>
      </c>
      <c r="BE830" s="103" t="str">
        <f>IF(AND(AY830&lt;&gt;"AGUARDANDO",AY830&lt;&gt;"",N830="AUXÍLIO ALUGUEL ATÉ INDENIZAÇÃO"),"SIM","NÃO")</f>
        <v>NÃO</v>
      </c>
    </row>
    <row r="831" spans="1:65" ht="30" customHeight="1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>IF(AY831-KD831=0,"",AY831-O831)</f>
        <v/>
      </c>
      <c r="BD831" s="103" t="str">
        <f>IF(AND(AI831&lt;&gt;"SIM",AI831="UH"),"AA","INDENIZAÇÃO")</f>
        <v>INDENIZAÇÃO</v>
      </c>
      <c r="BE831" s="103" t="str">
        <f>IF(AND(AY831&lt;&gt;"AGUARDANDO",AY831&lt;&gt;"",N831="AUXÍLIO ALUGUEL ATÉ INDENIZAÇÃO"),"SIM","NÃO")</f>
        <v>NÃO</v>
      </c>
    </row>
    <row r="832" spans="1:65" ht="30" customHeight="1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>IF(AY832-KD832=0,"",AY832-O832)</f>
        <v/>
      </c>
      <c r="BD832" s="103" t="str">
        <f>IF(AND(AI832&lt;&gt;"SIM",AI832="UH"),"AA","INDENIZAÇÃO")</f>
        <v>INDENIZAÇÃO</v>
      </c>
      <c r="BE832" s="103" t="str">
        <f>IF(AND(AY832&lt;&gt;"AGUARDANDO",AY832&lt;&gt;"",N832="AUXÍLIO ALUGUEL ATÉ INDENIZAÇÃO"),"SIM","NÃO")</f>
        <v>NÃO</v>
      </c>
    </row>
    <row r="833" spans="1:57" ht="30" customHeight="1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>IF(AY833-KD833=0,"",AY833-O833)</f>
        <v/>
      </c>
      <c r="BD833" s="103" t="str">
        <f>IF(AND(AI833&lt;&gt;"SIM",AI833="UH"),"AA","INDENIZAÇÃO")</f>
        <v>INDENIZAÇÃO</v>
      </c>
      <c r="BE833" s="103" t="str">
        <f>IF(AND(AY833&lt;&gt;"AGUARDANDO",AY833&lt;&gt;"",N833="AUXÍLIO ALUGUEL ATÉ INDENIZAÇÃO"),"SIM","NÃO")</f>
        <v>NÃO</v>
      </c>
    </row>
    <row r="834" spans="1:57" ht="30" customHeight="1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>IF(AY834-KD834=0,"",AY834-O834)</f>
        <v/>
      </c>
      <c r="BD834" s="103" t="str">
        <f>IF(AND(AI834&lt;&gt;"SIM",AI834="UH"),"AA","INDENIZAÇÃO")</f>
        <v>INDENIZAÇÃO</v>
      </c>
      <c r="BE834" s="103" t="str">
        <f>IF(AND(AY834&lt;&gt;"AGUARDANDO",AY834&lt;&gt;"",N834="AUXÍLIO ALUGUEL ATÉ INDENIZAÇÃO"),"SIM","NÃO")</f>
        <v>NÃO</v>
      </c>
    </row>
    <row r="835" spans="1:57" ht="30" customHeight="1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>IF(AY835-KD835=0,"",AY835-O835)</f>
        <v/>
      </c>
      <c r="BD835" s="103" t="str">
        <f>IF(AND(AI835&lt;&gt;"SIM",AI835="UH"),"AA","INDENIZAÇÃO")</f>
        <v>INDENIZAÇÃO</v>
      </c>
      <c r="BE835" s="103" t="str">
        <f>IF(AND(AY835&lt;&gt;"AGUARDANDO",AY835&lt;&gt;"",N835="AUXÍLIO ALUGUEL ATÉ INDENIZAÇÃO"),"SIM","NÃO")</f>
        <v>NÃO</v>
      </c>
    </row>
    <row r="836" spans="1:57" ht="30" customHeight="1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>IF(AY836-KD836=0,"",AY836-O836)</f>
        <v/>
      </c>
      <c r="BD836" s="103" t="str">
        <f>IF(AND(AI836&lt;&gt;"SIM",AI836="UH"),"AA","INDENIZAÇÃO")</f>
        <v>INDENIZAÇÃO</v>
      </c>
      <c r="BE836" s="103" t="str">
        <f>IF(AND(AY836&lt;&gt;"AGUARDANDO",AY836&lt;&gt;"",N836="AUXÍLIO ALUGUEL ATÉ INDENIZAÇÃO"),"SIM","NÃO")</f>
        <v>NÃO</v>
      </c>
    </row>
    <row r="837" spans="1:57" ht="30" customHeight="1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>IF(AY837-KD837=0,"",AY837-O837)</f>
        <v/>
      </c>
      <c r="BD837" s="103" t="str">
        <f>IF(AND(AI837&lt;&gt;"SIM",AI837="UH"),"AA","INDENIZAÇÃO")</f>
        <v>INDENIZAÇÃO</v>
      </c>
      <c r="BE837" s="103" t="str">
        <f>IF(AND(AY837&lt;&gt;"AGUARDANDO",AY837&lt;&gt;"",N837="AUXÍLIO ALUGUEL ATÉ INDENIZAÇÃO"),"SIM","NÃO")</f>
        <v>NÃO</v>
      </c>
    </row>
    <row r="838" spans="1:57" ht="30" customHeight="1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>IF(AY838-KD838=0,"",AY838-O838)</f>
        <v/>
      </c>
      <c r="BD838" s="103" t="str">
        <f>IF(AND(AI838&lt;&gt;"SIM",AI838="UH"),"AA","INDENIZAÇÃO")</f>
        <v>INDENIZAÇÃO</v>
      </c>
      <c r="BE838" s="103" t="str">
        <f>IF(AND(AY838&lt;&gt;"AGUARDANDO",AY838&lt;&gt;"",N838="AUXÍLIO ALUGUEL ATÉ INDENIZAÇÃO"),"SIM","NÃO")</f>
        <v>NÃO</v>
      </c>
    </row>
    <row r="839" spans="1:57" ht="30" customHeight="1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>IF(AY839-KD839=0,"",AY839-O839)</f>
        <v/>
      </c>
      <c r="BD839" s="103" t="str">
        <f>IF(AND(AI839&lt;&gt;"SIM",AI839="UH"),"AA","INDENIZAÇÃO")</f>
        <v>INDENIZAÇÃO</v>
      </c>
      <c r="BE839" s="103" t="str">
        <f>IF(AND(AY839&lt;&gt;"AGUARDANDO",AY839&lt;&gt;"",N839="AUXÍLIO ALUGUEL ATÉ INDENIZAÇÃO"),"SIM","NÃO")</f>
        <v>NÃO</v>
      </c>
    </row>
    <row r="840" spans="1:57" ht="30" customHeight="1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>IF(AY840-KD840=0,"",AY840-O840)</f>
        <v/>
      </c>
      <c r="BD840" s="103" t="str">
        <f>IF(AND(AI840&lt;&gt;"SIM",AI840="UH"),"AA","INDENIZAÇÃO")</f>
        <v>INDENIZAÇÃO</v>
      </c>
      <c r="BE840" s="103" t="str">
        <f>IF(AND(AY840&lt;&gt;"AGUARDANDO",AY840&lt;&gt;"",N840="AUXÍLIO ALUGUEL ATÉ INDENIZAÇÃO"),"SIM","NÃO")</f>
        <v>NÃO</v>
      </c>
    </row>
    <row r="841" spans="1:57" ht="30" customHeight="1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>IF(AY841-KD841=0,"",AY841-O841)</f>
        <v/>
      </c>
      <c r="BD841" s="103" t="str">
        <f>IF(AND(AI841&lt;&gt;"SIM",AI841="UH"),"AA","INDENIZAÇÃO")</f>
        <v>INDENIZAÇÃO</v>
      </c>
      <c r="BE841" s="103" t="str">
        <f>IF(AND(AY841&lt;&gt;"AGUARDANDO",AY841&lt;&gt;"",N841="AUXÍLIO ALUGUEL ATÉ INDENIZAÇÃO"),"SIM","NÃO")</f>
        <v>NÃO</v>
      </c>
    </row>
    <row r="842" spans="1:57" ht="30" customHeight="1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>IF(AY842-KD842=0,"",AY842-O842)</f>
        <v/>
      </c>
      <c r="BD842" s="103" t="str">
        <f>IF(AND(AI842&lt;&gt;"SIM",AI842="UH"),"AA","INDENIZAÇÃO")</f>
        <v>INDENIZAÇÃO</v>
      </c>
      <c r="BE842" s="103" t="str">
        <f>IF(AND(AY842&lt;&gt;"AGUARDANDO",AY842&lt;&gt;"",N842="AUXÍLIO ALUGUEL ATÉ INDENIZAÇÃO"),"SIM","NÃO")</f>
        <v>NÃO</v>
      </c>
    </row>
    <row r="843" spans="1:57" ht="30" customHeight="1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>IF(AY843-KD843=0,"",AY843-O843)</f>
        <v/>
      </c>
      <c r="BD843" s="103" t="str">
        <f>IF(AND(AI843&lt;&gt;"SIM",AI843="UH"),"AA","INDENIZAÇÃO")</f>
        <v>INDENIZAÇÃO</v>
      </c>
      <c r="BE843" s="103" t="str">
        <f>IF(AND(AY843&lt;&gt;"AGUARDANDO",AY843&lt;&gt;"",N843="AUXÍLIO ALUGUEL ATÉ INDENIZAÇÃO"),"SIM","NÃO")</f>
        <v>NÃO</v>
      </c>
    </row>
    <row r="844" spans="1:57" ht="30" customHeight="1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>IF(AY844-KD844=0,"",AY844-O844)</f>
        <v/>
      </c>
      <c r="BD844" s="103" t="str">
        <f>IF(AND(AI844&lt;&gt;"SIM",AI844="UH"),"AA","INDENIZAÇÃO")</f>
        <v>INDENIZAÇÃO</v>
      </c>
      <c r="BE844" s="103" t="str">
        <f>IF(AND(AY844&lt;&gt;"AGUARDANDO",AY844&lt;&gt;"",N844="AUXÍLIO ALUGUEL ATÉ INDENIZAÇÃO"),"SIM","NÃO")</f>
        <v>NÃO</v>
      </c>
    </row>
    <row r="845" spans="1:57" ht="30" customHeight="1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>IF(AY845-KD845=0,"",AY845-O845)</f>
        <v/>
      </c>
      <c r="BD845" s="103" t="str">
        <f>IF(AND(AI845&lt;&gt;"SIM",AI845="UH"),"AA","INDENIZAÇÃO")</f>
        <v>INDENIZAÇÃO</v>
      </c>
      <c r="BE845" s="103" t="str">
        <f>IF(AND(AY845&lt;&gt;"AGUARDANDO",AY845&lt;&gt;"",N845="AUXÍLIO ALUGUEL ATÉ INDENIZAÇÃO"),"SIM","NÃO")</f>
        <v>NÃO</v>
      </c>
    </row>
    <row r="846" spans="1:57" ht="30" customHeight="1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>IF(AY846-KD846=0,"",AY846-O846)</f>
        <v/>
      </c>
      <c r="BD846" s="103" t="str">
        <f>IF(AND(AI846&lt;&gt;"SIM",AI846="UH"),"AA","INDENIZAÇÃO")</f>
        <v>INDENIZAÇÃO</v>
      </c>
      <c r="BE846" s="103" t="str">
        <f>IF(AND(AY846&lt;&gt;"AGUARDANDO",AY846&lt;&gt;"",N846="AUXÍLIO ALUGUEL ATÉ INDENIZAÇÃO"),"SIM","NÃO")</f>
        <v>NÃO</v>
      </c>
    </row>
    <row r="847" spans="1:57" ht="30" customHeight="1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>IF(AY847-KD847=0,"",AY847-O847)</f>
        <v/>
      </c>
      <c r="BD847" s="103" t="str">
        <f>IF(AND(AI847&lt;&gt;"SIM",AI847="UH"),"AA","INDENIZAÇÃO")</f>
        <v>INDENIZAÇÃO</v>
      </c>
      <c r="BE847" s="103" t="str">
        <f>IF(AND(AY847&lt;&gt;"AGUARDANDO",AY847&lt;&gt;"",N847="AUXÍLIO ALUGUEL ATÉ INDENIZAÇÃO"),"SIM","NÃO")</f>
        <v>NÃO</v>
      </c>
    </row>
    <row r="848" spans="1:57" ht="30" customHeight="1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>IF(AY848-KD848=0,"",AY848-O848)</f>
        <v/>
      </c>
      <c r="BD848" s="103" t="str">
        <f>IF(AND(AI848&lt;&gt;"SIM",AI848="UH"),"AA","INDENIZAÇÃO")</f>
        <v>INDENIZAÇÃO</v>
      </c>
      <c r="BE848" s="103" t="str">
        <f>IF(AND(AY848&lt;&gt;"AGUARDANDO",AY848&lt;&gt;"",N848="AUXÍLIO ALUGUEL ATÉ INDENIZAÇÃO"),"SIM","NÃO")</f>
        <v>NÃO</v>
      </c>
    </row>
    <row r="849" spans="1:57" ht="30" customHeight="1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>IF(AY849-KD849=0,"",AY849-O849)</f>
        <v/>
      </c>
      <c r="BD849" s="103" t="str">
        <f>IF(AND(AI849&lt;&gt;"SIM",AI849="UH"),"AA","INDENIZAÇÃO")</f>
        <v>INDENIZAÇÃO</v>
      </c>
      <c r="BE849" s="103" t="str">
        <f>IF(AND(AY849&lt;&gt;"AGUARDANDO",AY849&lt;&gt;"",N849="AUXÍLIO ALUGUEL ATÉ INDENIZAÇÃO"),"SIM","NÃO")</f>
        <v>NÃO</v>
      </c>
    </row>
    <row r="850" spans="1:57" ht="30" customHeight="1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>IF(AY850-KD850=0,"",AY850-O850)</f>
        <v/>
      </c>
      <c r="BD850" s="103" t="str">
        <f>IF(AND(AI850&lt;&gt;"SIM",AI850="UH"),"AA","INDENIZAÇÃO")</f>
        <v>INDENIZAÇÃO</v>
      </c>
      <c r="BE850" s="103" t="str">
        <f>IF(AND(AY850&lt;&gt;"AGUARDANDO",AY850&lt;&gt;"",N850="AUXÍLIO ALUGUEL ATÉ INDENIZAÇÃO"),"SIM","NÃO")</f>
        <v>NÃO</v>
      </c>
    </row>
    <row r="851" spans="1:57" ht="30" customHeight="1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>IF(AY851-KD851=0,"",AY851-O851)</f>
        <v/>
      </c>
      <c r="BD851" s="103" t="str">
        <f>IF(AND(AI851&lt;&gt;"SIM",AI851="UH"),"AA","INDENIZAÇÃO")</f>
        <v>INDENIZAÇÃO</v>
      </c>
      <c r="BE851" s="103" t="str">
        <f>IF(AND(AY851&lt;&gt;"AGUARDANDO",AY851&lt;&gt;"",N851="AUXÍLIO ALUGUEL ATÉ INDENIZAÇÃO"),"SIM","NÃO")</f>
        <v>NÃO</v>
      </c>
    </row>
    <row r="852" spans="1:57" ht="30" customHeight="1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>IF(AY852-KD852=0,"",AY852-O852)</f>
        <v/>
      </c>
      <c r="BD852" s="103" t="str">
        <f>IF(AND(AI852&lt;&gt;"SIM",AI852="UH"),"AA","INDENIZAÇÃO")</f>
        <v>INDENIZAÇÃO</v>
      </c>
      <c r="BE852" s="103" t="str">
        <f>IF(AND(AY852&lt;&gt;"AGUARDANDO",AY852&lt;&gt;"",N852="AUXÍLIO ALUGUEL ATÉ INDENIZAÇÃO"),"SIM","NÃO")</f>
        <v>NÃO</v>
      </c>
    </row>
    <row r="853" spans="1:57" ht="30" customHeight="1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>IF(AY853-KD853=0,"",AY853-O853)</f>
        <v/>
      </c>
      <c r="BD853" s="103" t="str">
        <f>IF(AND(AI853&lt;&gt;"SIM",AI853="UH"),"AA","INDENIZAÇÃO")</f>
        <v>INDENIZAÇÃO</v>
      </c>
      <c r="BE853" s="103" t="str">
        <f>IF(AND(AY853&lt;&gt;"AGUARDANDO",AY853&lt;&gt;"",N853="AUXÍLIO ALUGUEL ATÉ INDENIZAÇÃO"),"SIM","NÃO")</f>
        <v>NÃO</v>
      </c>
    </row>
    <row r="854" spans="1:57" ht="30" customHeight="1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>IF(AY854-KD854=0,"",AY854-O854)</f>
        <v/>
      </c>
      <c r="BD854" s="103" t="str">
        <f>IF(AND(AI854&lt;&gt;"SIM",AI854="UH"),"AA","INDENIZAÇÃO")</f>
        <v>INDENIZAÇÃO</v>
      </c>
      <c r="BE854" s="103" t="str">
        <f>IF(AND(AY854&lt;&gt;"AGUARDANDO",AY854&lt;&gt;"",N854="AUXÍLIO ALUGUEL ATÉ INDENIZAÇÃO"),"SIM","NÃO")</f>
        <v>NÃO</v>
      </c>
    </row>
    <row r="855" spans="1:57" ht="30" customHeight="1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>IF(AY855-KD855=0,"",AY855-O855)</f>
        <v/>
      </c>
      <c r="BD855" s="103" t="str">
        <f>IF(AND(AI855&lt;&gt;"SIM",AI855="UH"),"AA","INDENIZAÇÃO")</f>
        <v>INDENIZAÇÃO</v>
      </c>
      <c r="BE855" s="103" t="str">
        <f>IF(AND(AY855&lt;&gt;"AGUARDANDO",AY855&lt;&gt;"",N855="AUXÍLIO ALUGUEL ATÉ INDENIZAÇÃO"),"SIM","NÃO")</f>
        <v>NÃO</v>
      </c>
    </row>
    <row r="856" spans="1:57" ht="30" customHeight="1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>IF(AY856-KD856=0,"",AY856-O856)</f>
        <v/>
      </c>
      <c r="BD856" s="103" t="str">
        <f>IF(AND(AI856&lt;&gt;"SIM",AI856="UH"),"AA","INDENIZAÇÃO")</f>
        <v>INDENIZAÇÃO</v>
      </c>
      <c r="BE856" s="103" t="str">
        <f>IF(AND(AY856&lt;&gt;"AGUARDANDO",AY856&lt;&gt;"",N856="AUXÍLIO ALUGUEL ATÉ INDENIZAÇÃO"),"SIM","NÃO")</f>
        <v>NÃO</v>
      </c>
    </row>
    <row r="857" spans="1:57" ht="30" customHeight="1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>IF(AY857-KD857=0,"",AY857-O857)</f>
        <v/>
      </c>
      <c r="BD857" s="103" t="str">
        <f>IF(AND(AI857&lt;&gt;"SIM",AI857="UH"),"AA","INDENIZAÇÃO")</f>
        <v>INDENIZAÇÃO</v>
      </c>
      <c r="BE857" s="103" t="str">
        <f>IF(AND(AY857&lt;&gt;"AGUARDANDO",AY857&lt;&gt;"",N857="AUXÍLIO ALUGUEL ATÉ INDENIZAÇÃO"),"SIM","NÃO")</f>
        <v>NÃO</v>
      </c>
    </row>
    <row r="858" spans="1:57" ht="30" customHeight="1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>IF(AY858-KD858=0,"",AY858-O858)</f>
        <v/>
      </c>
      <c r="BD858" s="103" t="str">
        <f>IF(AND(AI858&lt;&gt;"SIM",AI858="UH"),"AA","INDENIZAÇÃO")</f>
        <v>INDENIZAÇÃO</v>
      </c>
      <c r="BE858" s="103" t="str">
        <f>IF(AND(AY858&lt;&gt;"AGUARDANDO",AY858&lt;&gt;"",N858="AUXÍLIO ALUGUEL ATÉ INDENIZAÇÃO"),"SIM","NÃO")</f>
        <v>NÃO</v>
      </c>
    </row>
    <row r="859" spans="1:57" ht="30" customHeight="1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>IF(AY859-KD859=0,"",AY859-O859)</f>
        <v/>
      </c>
      <c r="BD859" s="103" t="str">
        <f>IF(AND(AI859&lt;&gt;"SIM",AI859="UH"),"AA","INDENIZAÇÃO")</f>
        <v>INDENIZAÇÃO</v>
      </c>
      <c r="BE859" s="103" t="str">
        <f>IF(AND(AY859&lt;&gt;"AGUARDANDO",AY859&lt;&gt;"",N859="AUXÍLIO ALUGUEL ATÉ INDENIZAÇÃO"),"SIM","NÃO")</f>
        <v>NÃO</v>
      </c>
    </row>
    <row r="860" spans="1:57" ht="30" customHeight="1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>IF(AY860-KD860=0,"",AY860-O860)</f>
        <v/>
      </c>
      <c r="BD860" s="103" t="str">
        <f>IF(AND(AI860&lt;&gt;"SIM",AI860="UH"),"AA","INDENIZAÇÃO")</f>
        <v>INDENIZAÇÃO</v>
      </c>
      <c r="BE860" s="103" t="str">
        <f>IF(AND(AY860&lt;&gt;"AGUARDANDO",AY860&lt;&gt;"",N860="AUXÍLIO ALUGUEL ATÉ INDENIZAÇÃO"),"SIM","NÃO")</f>
        <v>NÃO</v>
      </c>
    </row>
    <row r="861" spans="1:57" ht="30" customHeight="1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>IF(AY861-KD861=0,"",AY861-O861)</f>
        <v/>
      </c>
      <c r="BD861" s="103" t="str">
        <f>IF(AND(AI861&lt;&gt;"SIM",AI861="UH"),"AA","INDENIZAÇÃO")</f>
        <v>INDENIZAÇÃO</v>
      </c>
      <c r="BE861" s="103" t="str">
        <f>IF(AND(AY861&lt;&gt;"AGUARDANDO",AY861&lt;&gt;"",N861="AUXÍLIO ALUGUEL ATÉ INDENIZAÇÃO"),"SIM","NÃO")</f>
        <v>NÃO</v>
      </c>
    </row>
    <row r="862" spans="1:57" ht="30" customHeight="1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>IF(AY862-KD862=0,"",AY862-O862)</f>
        <v/>
      </c>
      <c r="BD862" s="103" t="str">
        <f>IF(AND(AI862&lt;&gt;"SIM",AI862="UH"),"AA","INDENIZAÇÃO")</f>
        <v>INDENIZAÇÃO</v>
      </c>
      <c r="BE862" s="103" t="str">
        <f>IF(AND(AY862&lt;&gt;"AGUARDANDO",AY862&lt;&gt;"",N862="AUXÍLIO ALUGUEL ATÉ INDENIZAÇÃO"),"SIM","NÃO")</f>
        <v>NÃO</v>
      </c>
    </row>
    <row r="863" spans="1:57" ht="30" customHeight="1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>IF(AY863-KD863=0,"",AY863-O863)</f>
        <v/>
      </c>
      <c r="BD863" s="103" t="str">
        <f>IF(AND(AI863&lt;&gt;"SIM",AI863="UH"),"AA","INDENIZAÇÃO")</f>
        <v>INDENIZAÇÃO</v>
      </c>
      <c r="BE863" s="103" t="str">
        <f>IF(AND(AY863&lt;&gt;"AGUARDANDO",AY863&lt;&gt;"",N863="AUXÍLIO ALUGUEL ATÉ INDENIZAÇÃO"),"SIM","NÃO")</f>
        <v>NÃO</v>
      </c>
    </row>
    <row r="864" spans="1:57" ht="30" customHeight="1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>IF(AY864-KD864=0,"",AY864-O864)</f>
        <v/>
      </c>
      <c r="BD864" s="103" t="str">
        <f>IF(AND(AI864&lt;&gt;"SIM",AI864="UH"),"AA","INDENIZAÇÃO")</f>
        <v>INDENIZAÇÃO</v>
      </c>
      <c r="BE864" s="103" t="str">
        <f>IF(AND(AY864&lt;&gt;"AGUARDANDO",AY864&lt;&gt;"",N864="AUXÍLIO ALUGUEL ATÉ INDENIZAÇÃO"),"SIM","NÃO")</f>
        <v>NÃO</v>
      </c>
    </row>
    <row r="865" spans="1:57" ht="30" customHeight="1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>IF(AY865-KD865=0,"",AY865-O865)</f>
        <v/>
      </c>
      <c r="BD865" s="103" t="str">
        <f>IF(AND(AI865&lt;&gt;"SIM",AI865="UH"),"AA","INDENIZAÇÃO")</f>
        <v>INDENIZAÇÃO</v>
      </c>
      <c r="BE865" s="103" t="str">
        <f>IF(AND(AY865&lt;&gt;"AGUARDANDO",AY865&lt;&gt;"",N865="AUXÍLIO ALUGUEL ATÉ INDENIZAÇÃO"),"SIM","NÃO")</f>
        <v>NÃO</v>
      </c>
    </row>
    <row r="866" spans="1:57" ht="30" customHeight="1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>IF(AY866-KD866=0,"",AY866-O866)</f>
        <v/>
      </c>
      <c r="BD866" s="103" t="str">
        <f>IF(AND(AI866&lt;&gt;"SIM",AI866="UH"),"AA","INDENIZAÇÃO")</f>
        <v>INDENIZAÇÃO</v>
      </c>
      <c r="BE866" s="103" t="str">
        <f>IF(AND(AY866&lt;&gt;"AGUARDANDO",AY866&lt;&gt;"",N866="AUXÍLIO ALUGUEL ATÉ INDENIZAÇÃO"),"SIM","NÃO")</f>
        <v>NÃO</v>
      </c>
    </row>
    <row r="867" spans="1:57" ht="30" customHeight="1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>IF(AY867-KD867=0,"",AY867-O867)</f>
        <v/>
      </c>
      <c r="BD867" s="103" t="str">
        <f>IF(AND(AI867&lt;&gt;"SIM",AI867="UH"),"AA","INDENIZAÇÃO")</f>
        <v>INDENIZAÇÃO</v>
      </c>
      <c r="BE867" s="103" t="str">
        <f>IF(AND(AY867&lt;&gt;"AGUARDANDO",AY867&lt;&gt;"",N867="AUXÍLIO ALUGUEL ATÉ INDENIZAÇÃO"),"SIM","NÃO")</f>
        <v>NÃO</v>
      </c>
    </row>
    <row r="868" spans="1:57" ht="30" customHeight="1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>IF(AY868-KD868=0,"",AY868-O868)</f>
        <v/>
      </c>
      <c r="BD868" s="103" t="str">
        <f>IF(AND(AI868&lt;&gt;"SIM",AI868="UH"),"AA","INDENIZAÇÃO")</f>
        <v>INDENIZAÇÃO</v>
      </c>
      <c r="BE868" s="103" t="str">
        <f>IF(AND(AY868&lt;&gt;"AGUARDANDO",AY868&lt;&gt;"",N868="AUXÍLIO ALUGUEL ATÉ INDENIZAÇÃO"),"SIM","NÃO")</f>
        <v>NÃO</v>
      </c>
    </row>
    <row r="869" spans="1:57" ht="30" customHeight="1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>IF(AY869-KD869=0,"",AY869-O869)</f>
        <v/>
      </c>
      <c r="BD869" s="103" t="str">
        <f>IF(AND(AI869&lt;&gt;"SIM",AI869="UH"),"AA","INDENIZAÇÃO")</f>
        <v>INDENIZAÇÃO</v>
      </c>
      <c r="BE869" s="103" t="str">
        <f>IF(AND(AY869&lt;&gt;"AGUARDANDO",AY869&lt;&gt;"",N869="AUXÍLIO ALUGUEL ATÉ INDENIZAÇÃO"),"SIM","NÃO")</f>
        <v>NÃO</v>
      </c>
    </row>
    <row r="870" spans="1:57" ht="30" customHeight="1">
      <c r="A870" s="165">
        <v>859</v>
      </c>
      <c r="AG870" s="194"/>
      <c r="AH870" s="194"/>
      <c r="AP870" s="171"/>
      <c r="AX870" s="167"/>
      <c r="AY870" s="166"/>
    </row>
    <row r="871" spans="1:57" ht="30" customHeight="1">
      <c r="A871" s="103">
        <v>860</v>
      </c>
      <c r="AG871" s="194"/>
      <c r="AH871" s="194"/>
      <c r="AP871" s="171"/>
      <c r="AX871" s="167"/>
      <c r="AY871" s="166"/>
    </row>
    <row r="872" spans="1:57" ht="30" customHeight="1">
      <c r="A872" s="103">
        <v>861</v>
      </c>
      <c r="AP872" s="171"/>
      <c r="AX872" s="167"/>
      <c r="AY872" s="166"/>
    </row>
    <row r="873" spans="1:57" ht="30" customHeight="1">
      <c r="A873" s="103">
        <v>862</v>
      </c>
      <c r="AP873" s="171"/>
      <c r="AX873" s="167"/>
      <c r="AY873" s="166"/>
    </row>
    <row r="874" spans="1:57" ht="30" customHeight="1">
      <c r="A874" s="165">
        <v>863</v>
      </c>
      <c r="AP874" s="171"/>
      <c r="AY874" s="166"/>
    </row>
    <row r="875" spans="1:57" ht="30" customHeight="1">
      <c r="A875" s="165">
        <v>864</v>
      </c>
      <c r="AP875" s="171"/>
      <c r="AX875" s="167"/>
      <c r="AY875" s="166"/>
    </row>
    <row r="876" spans="1:57" ht="30" customHeight="1">
      <c r="A876" s="165">
        <v>865</v>
      </c>
      <c r="AP876" s="171"/>
      <c r="AX876" s="167"/>
      <c r="AY876" s="166"/>
    </row>
    <row r="877" spans="1:57" ht="30" customHeight="1">
      <c r="A877" s="103">
        <v>866</v>
      </c>
      <c r="AP877" s="171"/>
      <c r="AX877" s="167"/>
      <c r="AY877" s="166"/>
    </row>
    <row r="878" spans="1:57" ht="30" customHeight="1">
      <c r="A878" s="103">
        <v>842</v>
      </c>
      <c r="AP878" s="171"/>
      <c r="AX878" s="167"/>
      <c r="AY878" s="166"/>
    </row>
    <row r="879" spans="1:57" ht="30" customHeight="1">
      <c r="A879" s="103">
        <v>843</v>
      </c>
      <c r="AP879" s="171"/>
      <c r="AX879" s="167"/>
      <c r="AY879" s="166"/>
    </row>
    <row r="880" spans="1:57" ht="30" customHeight="1">
      <c r="A880" s="103">
        <v>844</v>
      </c>
      <c r="AP880" s="171"/>
      <c r="AX880" s="167"/>
      <c r="AY880" s="166"/>
    </row>
    <row r="881" spans="1:51" ht="30" customHeight="1">
      <c r="A881" s="103">
        <v>845</v>
      </c>
      <c r="AP881" s="171"/>
      <c r="AX881" s="167"/>
      <c r="AY881" s="166"/>
    </row>
    <row r="882" spans="1:51" ht="30" customHeight="1">
      <c r="A882" s="103">
        <v>846</v>
      </c>
      <c r="AP882" s="171"/>
      <c r="AX882" s="167"/>
      <c r="AY882" s="166"/>
    </row>
    <row r="883" spans="1:51" ht="30" customHeight="1">
      <c r="A883" s="103">
        <v>847</v>
      </c>
      <c r="AP883" s="171"/>
      <c r="AX883" s="167"/>
      <c r="AY883" s="166"/>
    </row>
    <row r="884" spans="1:51" ht="30" customHeight="1">
      <c r="A884" s="103">
        <v>848</v>
      </c>
      <c r="AP884" s="171"/>
      <c r="AY884" s="166"/>
    </row>
    <row r="885" spans="1:51" ht="30" customHeight="1">
      <c r="A885" s="103">
        <v>849</v>
      </c>
      <c r="AP885" s="171"/>
      <c r="AY885" s="166"/>
    </row>
    <row r="886" spans="1:51" ht="30" customHeight="1">
      <c r="A886" s="103">
        <v>850</v>
      </c>
      <c r="AP886" s="171"/>
      <c r="AY886" s="166"/>
    </row>
    <row r="887" spans="1:51" ht="30" customHeight="1">
      <c r="A887" s="103">
        <v>851</v>
      </c>
      <c r="AP887" s="171"/>
      <c r="AY887" s="166"/>
    </row>
    <row r="888" spans="1:51" ht="30" customHeight="1">
      <c r="A888" s="103">
        <v>852</v>
      </c>
      <c r="AP888" s="171"/>
      <c r="AY888" s="166"/>
    </row>
    <row r="889" spans="1:51" ht="30" customHeight="1">
      <c r="A889" s="103">
        <v>853</v>
      </c>
      <c r="AP889" s="171"/>
      <c r="AY889" s="166"/>
    </row>
    <row r="890" spans="1:51" ht="30" customHeight="1">
      <c r="A890" s="103">
        <v>854</v>
      </c>
      <c r="AP890" s="171"/>
      <c r="AY890" s="166"/>
    </row>
    <row r="891" spans="1:51" ht="30" customHeight="1">
      <c r="A891" s="103">
        <v>855</v>
      </c>
      <c r="AP891" s="171"/>
      <c r="AY891" s="166"/>
    </row>
    <row r="892" spans="1:51" ht="30" customHeight="1">
      <c r="A892" s="103">
        <v>856</v>
      </c>
      <c r="AP892" s="171"/>
      <c r="AY892" s="166"/>
    </row>
    <row r="893" spans="1:51" ht="30" customHeight="1">
      <c r="A893" s="103">
        <v>857</v>
      </c>
      <c r="AP893" s="171"/>
      <c r="AY893" s="166"/>
    </row>
    <row r="894" spans="1:51" ht="30" customHeight="1">
      <c r="A894" s="103">
        <v>858</v>
      </c>
      <c r="AP894" s="171"/>
      <c r="AY894" s="166"/>
    </row>
    <row r="895" spans="1:51" ht="30" customHeight="1">
      <c r="A895" s="103">
        <v>859</v>
      </c>
      <c r="AP895" s="171"/>
      <c r="AY895" s="166"/>
    </row>
    <row r="896" spans="1:51" ht="30" customHeight="1">
      <c r="A896" s="103">
        <v>860</v>
      </c>
      <c r="AP896" s="171"/>
      <c r="AY896" s="166"/>
    </row>
    <row r="897" spans="1:51" ht="30" customHeight="1">
      <c r="A897" s="103">
        <v>861</v>
      </c>
      <c r="AP897" s="171"/>
      <c r="AY897" s="166"/>
    </row>
    <row r="898" spans="1:51" ht="30" customHeight="1">
      <c r="A898" s="103">
        <v>862</v>
      </c>
      <c r="AP898" s="171"/>
      <c r="AY898" s="166"/>
    </row>
    <row r="899" spans="1:51" ht="30" customHeight="1">
      <c r="A899" s="103">
        <v>863</v>
      </c>
      <c r="AP899" s="171"/>
      <c r="AY899" s="166"/>
    </row>
    <row r="900" spans="1:51" ht="30" customHeight="1">
      <c r="A900" s="103">
        <v>864</v>
      </c>
      <c r="AP900" s="171"/>
      <c r="AY900" s="166"/>
    </row>
    <row r="901" spans="1:51" ht="30" customHeight="1">
      <c r="A901" s="103">
        <v>865</v>
      </c>
      <c r="AP901" s="171"/>
      <c r="AY901" s="166"/>
    </row>
    <row r="902" spans="1:51" ht="30" customHeight="1">
      <c r="A902" s="103">
        <v>866</v>
      </c>
      <c r="AP902" s="171"/>
      <c r="AY902" s="166"/>
    </row>
    <row r="903" spans="1:51" ht="30" customHeight="1">
      <c r="A903" s="103">
        <v>867</v>
      </c>
      <c r="AP903" s="171"/>
      <c r="AY903" s="166"/>
    </row>
    <row r="904" spans="1:51" ht="30" customHeight="1">
      <c r="A904" s="103">
        <v>868</v>
      </c>
      <c r="AP904" s="171"/>
      <c r="AY904" s="166"/>
    </row>
    <row r="905" spans="1:51" ht="30" customHeight="1">
      <c r="A905" s="103">
        <v>869</v>
      </c>
      <c r="AP905" s="171"/>
      <c r="AY905" s="166"/>
    </row>
    <row r="906" spans="1:51" ht="30" customHeight="1">
      <c r="A906" s="103">
        <v>870</v>
      </c>
      <c r="AP906" s="171"/>
      <c r="AY906" s="166"/>
    </row>
    <row r="907" spans="1:51" ht="30" customHeight="1">
      <c r="A907" s="103">
        <v>871</v>
      </c>
      <c r="AP907" s="171"/>
      <c r="AY907" s="166"/>
    </row>
    <row r="908" spans="1:51" ht="30" customHeight="1">
      <c r="A908" s="103">
        <v>872</v>
      </c>
      <c r="AP908" s="171"/>
      <c r="AY908" s="166"/>
    </row>
    <row r="909" spans="1:51" ht="30" customHeight="1">
      <c r="A909" s="103">
        <v>873</v>
      </c>
      <c r="AP909" s="171"/>
      <c r="AY909" s="166"/>
    </row>
    <row r="910" spans="1:51" ht="30" customHeight="1">
      <c r="A910" s="103">
        <v>874</v>
      </c>
      <c r="AP910" s="171"/>
      <c r="AY910" s="166"/>
    </row>
    <row r="911" spans="1:51" ht="30" customHeight="1">
      <c r="A911" s="103">
        <v>875</v>
      </c>
      <c r="AP911" s="171"/>
      <c r="AY911" s="166"/>
    </row>
    <row r="912" spans="1:51" ht="30" customHeight="1">
      <c r="A912" s="103">
        <v>876</v>
      </c>
      <c r="AP912" s="171"/>
      <c r="AY912" s="166"/>
    </row>
    <row r="913" spans="1:51" ht="30" customHeight="1">
      <c r="A913" s="103">
        <v>877</v>
      </c>
      <c r="AP913" s="171"/>
      <c r="AY913" s="166"/>
    </row>
    <row r="914" spans="1:51" ht="30" customHeight="1">
      <c r="A914" s="103">
        <v>878</v>
      </c>
      <c r="AP914" s="171"/>
      <c r="AY914" s="166"/>
    </row>
    <row r="915" spans="1:51" ht="30" customHeight="1">
      <c r="A915" s="103">
        <v>879</v>
      </c>
      <c r="AP915" s="171"/>
      <c r="AY915" s="166"/>
    </row>
    <row r="916" spans="1:51" ht="30" customHeight="1">
      <c r="A916" s="103">
        <v>880</v>
      </c>
      <c r="AP916" s="171"/>
      <c r="AY916" s="166"/>
    </row>
    <row r="917" spans="1:51" ht="30" customHeight="1">
      <c r="A917" s="103">
        <v>881</v>
      </c>
      <c r="AP917" s="171"/>
      <c r="AY917" s="166"/>
    </row>
    <row r="918" spans="1:51" ht="30" customHeight="1">
      <c r="A918" s="103">
        <v>882</v>
      </c>
      <c r="AP918" s="171"/>
      <c r="AY918" s="166"/>
    </row>
    <row r="919" spans="1:51" ht="30" customHeight="1">
      <c r="A919" s="103">
        <v>883</v>
      </c>
      <c r="AP919" s="171"/>
      <c r="AY919" s="166"/>
    </row>
    <row r="920" spans="1:51" ht="30" customHeight="1">
      <c r="A920" s="103">
        <v>884</v>
      </c>
      <c r="AP920" s="171"/>
      <c r="AY920" s="166"/>
    </row>
    <row r="921" spans="1:51" ht="30" customHeight="1">
      <c r="A921" s="103">
        <v>885</v>
      </c>
      <c r="AP921" s="171"/>
      <c r="AY921" s="166"/>
    </row>
    <row r="922" spans="1:51" ht="30" customHeight="1">
      <c r="A922" s="103">
        <v>886</v>
      </c>
      <c r="AP922" s="171"/>
      <c r="AY922" s="166"/>
    </row>
    <row r="923" spans="1:51" ht="30" customHeight="1">
      <c r="A923" s="103">
        <v>887</v>
      </c>
      <c r="AP923" s="171"/>
      <c r="AY923" s="166"/>
    </row>
    <row r="924" spans="1:51" ht="30" customHeight="1">
      <c r="A924" s="103">
        <v>888</v>
      </c>
      <c r="AP924" s="171"/>
      <c r="AY924" s="166"/>
    </row>
    <row r="925" spans="1:51" ht="30" customHeight="1">
      <c r="A925" s="103">
        <v>889</v>
      </c>
      <c r="AP925" s="171"/>
      <c r="AY925" s="166"/>
    </row>
    <row r="926" spans="1:51" ht="30" customHeight="1">
      <c r="A926" s="103">
        <v>890</v>
      </c>
      <c r="AP926" s="171"/>
      <c r="AY926" s="166"/>
    </row>
    <row r="927" spans="1:51" ht="30" customHeight="1">
      <c r="A927" s="103">
        <v>891</v>
      </c>
      <c r="AP927" s="171"/>
      <c r="AY927" s="166"/>
    </row>
    <row r="928" spans="1:51" ht="30" customHeight="1">
      <c r="A928" s="103">
        <v>892</v>
      </c>
      <c r="AP928" s="171"/>
      <c r="AY928" s="166"/>
    </row>
    <row r="929" spans="1:51" ht="30" customHeight="1">
      <c r="A929" s="103">
        <v>893</v>
      </c>
      <c r="AP929" s="171"/>
      <c r="AY929" s="166"/>
    </row>
    <row r="930" spans="1:51" ht="30" customHeight="1">
      <c r="A930" s="103">
        <v>894</v>
      </c>
      <c r="AP930" s="171"/>
      <c r="AY930" s="166"/>
    </row>
    <row r="931" spans="1:51" ht="30" customHeight="1">
      <c r="A931" s="103">
        <v>895</v>
      </c>
      <c r="AP931" s="171"/>
      <c r="AY931" s="166"/>
    </row>
    <row r="932" spans="1:51" ht="30" customHeight="1">
      <c r="A932" s="103">
        <v>896</v>
      </c>
      <c r="AP932" s="171"/>
      <c r="AY932" s="166"/>
    </row>
    <row r="933" spans="1:51" ht="30" customHeight="1">
      <c r="A933" s="103">
        <v>897</v>
      </c>
      <c r="AP933" s="171"/>
      <c r="AY933" s="166"/>
    </row>
    <row r="934" spans="1:51" ht="30" customHeight="1">
      <c r="A934" s="103">
        <v>898</v>
      </c>
      <c r="AP934" s="171"/>
      <c r="AY934" s="166"/>
    </row>
    <row r="935" spans="1:51" ht="30" customHeight="1">
      <c r="A935" s="103">
        <v>899</v>
      </c>
      <c r="AP935" s="171"/>
      <c r="AY935" s="166"/>
    </row>
    <row r="936" spans="1:51" ht="30" customHeight="1">
      <c r="A936" s="103">
        <v>900</v>
      </c>
      <c r="AP936" s="171"/>
      <c r="AY936" s="166"/>
    </row>
    <row r="937" spans="1:51" ht="30" customHeight="1">
      <c r="A937" s="103">
        <v>901</v>
      </c>
      <c r="AP937" s="171"/>
      <c r="AY937" s="166"/>
    </row>
    <row r="938" spans="1:51" ht="30" customHeight="1">
      <c r="A938" s="103">
        <v>902</v>
      </c>
      <c r="AP938" s="171"/>
      <c r="AY938" s="166"/>
    </row>
    <row r="939" spans="1:51" ht="30" customHeight="1">
      <c r="A939" s="103">
        <v>903</v>
      </c>
      <c r="AP939" s="171"/>
      <c r="AY939" s="166"/>
    </row>
    <row r="940" spans="1:51" ht="30" customHeight="1">
      <c r="A940" s="103">
        <v>904</v>
      </c>
      <c r="AY940" s="166"/>
    </row>
    <row r="941" spans="1:51" ht="30" customHeight="1">
      <c r="A941" s="103">
        <v>905</v>
      </c>
      <c r="AY941" s="166"/>
    </row>
    <row r="942" spans="1:51" ht="30" customHeight="1">
      <c r="A942" s="103">
        <v>906</v>
      </c>
      <c r="AY942" s="166"/>
    </row>
    <row r="943" spans="1:51" ht="30" customHeight="1">
      <c r="A943" s="103">
        <v>907</v>
      </c>
      <c r="AY943" s="166"/>
    </row>
    <row r="944" spans="1:51" ht="30" customHeight="1">
      <c r="A944" s="103">
        <v>908</v>
      </c>
      <c r="AY944" s="166"/>
    </row>
    <row r="945" spans="1:51" ht="30" customHeight="1">
      <c r="A945" s="103">
        <v>909</v>
      </c>
      <c r="AY945" s="166"/>
    </row>
    <row r="946" spans="1:51" ht="30" customHeight="1">
      <c r="A946" s="103">
        <v>910</v>
      </c>
      <c r="AY946" s="166"/>
    </row>
    <row r="947" spans="1:51" ht="30" customHeight="1">
      <c r="A947" s="103">
        <v>911</v>
      </c>
      <c r="AY947" s="166"/>
    </row>
    <row r="948" spans="1:51" ht="30" customHeight="1">
      <c r="A948" s="103">
        <v>912</v>
      </c>
      <c r="AY948" s="166"/>
    </row>
    <row r="949" spans="1:51" ht="30" customHeight="1">
      <c r="A949" s="103">
        <v>913</v>
      </c>
      <c r="AY949" s="166"/>
    </row>
    <row r="950" spans="1:51" ht="30" customHeight="1">
      <c r="A950" s="103">
        <v>914</v>
      </c>
      <c r="AY950" s="166"/>
    </row>
    <row r="951" spans="1:51" ht="30" customHeight="1">
      <c r="A951" s="103">
        <v>915</v>
      </c>
      <c r="AY951" s="166"/>
    </row>
    <row r="952" spans="1:51" ht="30" customHeight="1">
      <c r="A952" s="103">
        <v>916</v>
      </c>
      <c r="AY952" s="166"/>
    </row>
    <row r="953" spans="1:51" ht="30" customHeight="1">
      <c r="A953" s="103">
        <v>917</v>
      </c>
      <c r="AY953" s="166"/>
    </row>
    <row r="954" spans="1:51" ht="30" customHeight="1">
      <c r="A954" s="103">
        <v>918</v>
      </c>
      <c r="AY954" s="166"/>
    </row>
    <row r="955" spans="1:51" ht="30" customHeight="1">
      <c r="A955" s="103">
        <v>919</v>
      </c>
      <c r="AY955" s="166"/>
    </row>
    <row r="956" spans="1:51" ht="30" customHeight="1">
      <c r="A956" s="103">
        <v>920</v>
      </c>
      <c r="AY956" s="166"/>
    </row>
    <row r="957" spans="1:51" ht="30" customHeight="1">
      <c r="A957" s="103">
        <v>921</v>
      </c>
      <c r="AY957" s="166"/>
    </row>
    <row r="958" spans="1:51" ht="30" customHeight="1">
      <c r="A958" s="103">
        <v>922</v>
      </c>
      <c r="AY958" s="166"/>
    </row>
    <row r="959" spans="1:51" ht="30" customHeight="1">
      <c r="A959" s="103">
        <v>923</v>
      </c>
      <c r="AY959" s="166"/>
    </row>
    <row r="960" spans="1:51" ht="30" customHeight="1">
      <c r="A960" s="103">
        <v>924</v>
      </c>
      <c r="AY960" s="166"/>
    </row>
    <row r="961" spans="1:51" ht="30" customHeight="1">
      <c r="A961" s="103">
        <v>925</v>
      </c>
      <c r="AY961" s="166"/>
    </row>
    <row r="962" spans="1:51" ht="30" customHeight="1">
      <c r="A962" s="103">
        <v>926</v>
      </c>
      <c r="AY962" s="166"/>
    </row>
    <row r="963" spans="1:51" ht="30" customHeight="1">
      <c r="A963" s="103">
        <v>927</v>
      </c>
      <c r="AY963" s="166"/>
    </row>
    <row r="964" spans="1:51" ht="30" customHeight="1">
      <c r="A964" s="103">
        <v>928</v>
      </c>
      <c r="AY964" s="166"/>
    </row>
    <row r="965" spans="1:51" ht="30" customHeight="1">
      <c r="A965" s="103">
        <v>929</v>
      </c>
      <c r="AY965" s="166"/>
    </row>
    <row r="966" spans="1:51" ht="30" customHeight="1">
      <c r="A966" s="103">
        <v>930</v>
      </c>
      <c r="AY966" s="166"/>
    </row>
    <row r="967" spans="1:51" ht="30" customHeight="1">
      <c r="A967" s="103">
        <v>931</v>
      </c>
      <c r="AY967" s="166"/>
    </row>
    <row r="968" spans="1:51" ht="30" customHeight="1">
      <c r="A968" s="103">
        <v>932</v>
      </c>
      <c r="AY968" s="166"/>
    </row>
    <row r="969" spans="1:51" ht="30" customHeight="1">
      <c r="A969" s="103">
        <v>933</v>
      </c>
      <c r="AY969" s="166"/>
    </row>
    <row r="970" spans="1:51" ht="30" customHeight="1">
      <c r="A970" s="103">
        <v>934</v>
      </c>
      <c r="AY970" s="166"/>
    </row>
    <row r="971" spans="1:51" ht="30" customHeight="1">
      <c r="A971" s="103">
        <v>935</v>
      </c>
      <c r="AY971" s="166"/>
    </row>
    <row r="972" spans="1:51" ht="30" customHeight="1">
      <c r="A972" s="103">
        <v>936</v>
      </c>
      <c r="AY972" s="166"/>
    </row>
    <row r="973" spans="1:51" ht="30" customHeight="1">
      <c r="A973" s="103">
        <v>937</v>
      </c>
      <c r="AY973" s="166"/>
    </row>
    <row r="974" spans="1:51" ht="30" customHeight="1">
      <c r="A974" s="103">
        <v>938</v>
      </c>
      <c r="AY974" s="166"/>
    </row>
    <row r="975" spans="1:51" ht="30" customHeight="1">
      <c r="A975" s="103">
        <v>939</v>
      </c>
      <c r="AY975" s="166"/>
    </row>
    <row r="976" spans="1:51" ht="30" customHeight="1">
      <c r="A976" s="103">
        <v>940</v>
      </c>
      <c r="AY976" s="166"/>
    </row>
    <row r="977" spans="1:51" ht="30" customHeight="1">
      <c r="A977" s="103">
        <v>941</v>
      </c>
      <c r="AY977" s="166"/>
    </row>
    <row r="978" spans="1:51" ht="30" customHeight="1">
      <c r="A978" s="103">
        <v>942</v>
      </c>
      <c r="AY978" s="166"/>
    </row>
    <row r="979" spans="1:51" ht="30" customHeight="1">
      <c r="A979" s="103">
        <v>943</v>
      </c>
      <c r="AY979" s="166"/>
    </row>
    <row r="980" spans="1:51" ht="30" customHeight="1">
      <c r="A980" s="103">
        <v>944</v>
      </c>
    </row>
    <row r="981" spans="1:51" ht="30" customHeight="1">
      <c r="A981" s="103">
        <v>945</v>
      </c>
    </row>
    <row r="982" spans="1:51" ht="30" customHeight="1">
      <c r="A982" s="103">
        <v>946</v>
      </c>
    </row>
    <row r="983" spans="1:51" ht="30" customHeight="1">
      <c r="A983" s="103">
        <v>947</v>
      </c>
    </row>
    <row r="984" spans="1:51" ht="30" customHeight="1">
      <c r="X984" s="105"/>
    </row>
    <row r="988" spans="1:51" ht="30" customHeight="1">
      <c r="AY988" s="101" t="s">
        <v>1124</v>
      </c>
    </row>
  </sheetData>
  <autoFilter ref="B9:BM983" xr:uid="{00000000-0001-0000-0000-000000000000}">
    <sortState xmlns:xlrd2="http://schemas.microsoft.com/office/spreadsheetml/2017/richdata2" ref="B10:BM983">
      <sortCondition ref="F9:F983"/>
    </sortState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5" priority="1597"/>
    <cfRule type="duplicateValues" dxfId="284" priority="1601"/>
  </conditionalFormatting>
  <conditionalFormatting sqref="F875:F1048576 F1:F9 F716:F873">
    <cfRule type="duplicateValues" dxfId="283" priority="1607"/>
  </conditionalFormatting>
  <conditionalFormatting sqref="F875:F1048576 F1:F873">
    <cfRule type="duplicateValues" dxfId="282" priority="1187"/>
  </conditionalFormatting>
  <conditionalFormatting sqref="F875:F1048576 F716:F873">
    <cfRule type="duplicateValues" dxfId="281" priority="1605"/>
  </conditionalFormatting>
  <conditionalFormatting sqref="I695:I696">
    <cfRule type="containsText" dxfId="280" priority="340" operator="containsText" text="NÃO RESIDENTE">
      <formula>NOT(ISERROR(SEARCH("NÃO RESIDENTE",I695)))</formula>
    </cfRule>
  </conditionalFormatting>
  <conditionalFormatting sqref="J20">
    <cfRule type="duplicateValues" dxfId="279" priority="627"/>
  </conditionalFormatting>
  <conditionalFormatting sqref="J231:J232 J167">
    <cfRule type="duplicateValues" dxfId="278" priority="741"/>
  </conditionalFormatting>
  <conditionalFormatting sqref="J796:J808">
    <cfRule type="duplicateValues" dxfId="277" priority="3084"/>
  </conditionalFormatting>
  <conditionalFormatting sqref="J875:J1048576 J765 J570:J582 J1:J7 J9 J792:J793 J809:J873">
    <cfRule type="duplicateValues" dxfId="276" priority="1610"/>
  </conditionalFormatting>
  <conditionalFormatting sqref="J771:K773">
    <cfRule type="duplicateValues" dxfId="275" priority="345"/>
  </conditionalFormatting>
  <conditionalFormatting sqref="J766:L767">
    <cfRule type="duplicateValues" dxfId="274" priority="359"/>
  </conditionalFormatting>
  <conditionalFormatting sqref="J768:L768 J770:L770 J769 L769">
    <cfRule type="duplicateValues" dxfId="273" priority="353"/>
  </conditionalFormatting>
  <conditionalFormatting sqref="J794:L794">
    <cfRule type="duplicateValues" dxfId="272" priority="338"/>
  </conditionalFormatting>
  <conditionalFormatting sqref="J795:L795">
    <cfRule type="duplicateValues" dxfId="271" priority="337"/>
  </conditionalFormatting>
  <conditionalFormatting sqref="K769">
    <cfRule type="duplicateValues" dxfId="270" priority="350"/>
  </conditionalFormatting>
  <conditionalFormatting sqref="K792:L793">
    <cfRule type="duplicateValues" dxfId="269" priority="339"/>
  </conditionalFormatting>
  <conditionalFormatting sqref="K796:L796">
    <cfRule type="duplicateValues" dxfId="268" priority="335"/>
  </conditionalFormatting>
  <conditionalFormatting sqref="K797:L797">
    <cfRule type="duplicateValues" dxfId="267" priority="334"/>
  </conditionalFormatting>
  <conditionalFormatting sqref="K798:L798">
    <cfRule type="duplicateValues" dxfId="266" priority="333"/>
  </conditionalFormatting>
  <conditionalFormatting sqref="K799:L799">
    <cfRule type="duplicateValues" dxfId="265" priority="332"/>
  </conditionalFormatting>
  <conditionalFormatting sqref="K800:L800">
    <cfRule type="duplicateValues" dxfId="264" priority="331"/>
  </conditionalFormatting>
  <conditionalFormatting sqref="K801:L801">
    <cfRule type="duplicateValues" dxfId="263" priority="330"/>
  </conditionalFormatting>
  <conditionalFormatting sqref="K802:L802">
    <cfRule type="duplicateValues" dxfId="262" priority="329"/>
  </conditionalFormatting>
  <conditionalFormatting sqref="K803:L803">
    <cfRule type="duplicateValues" dxfId="261" priority="328"/>
  </conditionalFormatting>
  <conditionalFormatting sqref="K804:L804">
    <cfRule type="duplicateValues" dxfId="260" priority="327"/>
  </conditionalFormatting>
  <conditionalFormatting sqref="K805:L805">
    <cfRule type="duplicateValues" dxfId="259" priority="326"/>
  </conditionalFormatting>
  <conditionalFormatting sqref="K806:L806">
    <cfRule type="duplicateValues" dxfId="258" priority="325"/>
  </conditionalFormatting>
  <conditionalFormatting sqref="K807:L807">
    <cfRule type="duplicateValues" dxfId="257" priority="323"/>
  </conditionalFormatting>
  <conditionalFormatting sqref="K808:L808">
    <cfRule type="duplicateValues" dxfId="256" priority="322"/>
  </conditionalFormatting>
  <conditionalFormatting sqref="L20">
    <cfRule type="duplicateValues" dxfId="255" priority="626"/>
  </conditionalFormatting>
  <conditionalFormatting sqref="L395">
    <cfRule type="duplicateValues" dxfId="254" priority="184"/>
    <cfRule type="duplicateValues" dxfId="253" priority="183"/>
  </conditionalFormatting>
  <conditionalFormatting sqref="L499">
    <cfRule type="duplicateValues" dxfId="252" priority="181"/>
    <cfRule type="duplicateValues" dxfId="251" priority="182"/>
  </conditionalFormatting>
  <conditionalFormatting sqref="L771:L773">
    <cfRule type="duplicateValues" dxfId="250" priority="344"/>
  </conditionalFormatting>
  <conditionalFormatting sqref="AB20">
    <cfRule type="duplicateValues" dxfId="249" priority="171"/>
  </conditionalFormatting>
  <conditionalFormatting sqref="AB167">
    <cfRule type="duplicateValues" dxfId="248" priority="163"/>
  </conditionalFormatting>
  <conditionalFormatting sqref="AB570">
    <cfRule type="duplicateValues" dxfId="247" priority="153"/>
  </conditionalFormatting>
  <conditionalFormatting sqref="AB572">
    <cfRule type="duplicateValues" dxfId="246" priority="152"/>
  </conditionalFormatting>
  <conditionalFormatting sqref="AB573">
    <cfRule type="duplicateValues" dxfId="245" priority="151"/>
  </conditionalFormatting>
  <conditionalFormatting sqref="AB574">
    <cfRule type="duplicateValues" dxfId="244" priority="231"/>
  </conditionalFormatting>
  <conditionalFormatting sqref="AB575">
    <cfRule type="duplicateValues" dxfId="243" priority="1"/>
  </conditionalFormatting>
  <conditionalFormatting sqref="AB576:AB577">
    <cfRule type="duplicateValues" dxfId="242" priority="150"/>
  </conditionalFormatting>
  <conditionalFormatting sqref="AB578">
    <cfRule type="duplicateValues" dxfId="241" priority="149"/>
  </conditionalFormatting>
  <conditionalFormatting sqref="AB579">
    <cfRule type="duplicateValues" dxfId="240" priority="148"/>
  </conditionalFormatting>
  <conditionalFormatting sqref="AB581:AB582">
    <cfRule type="duplicateValues" dxfId="239" priority="147"/>
  </conditionalFormatting>
  <conditionalFormatting sqref="AB765">
    <cfRule type="duplicateValues" dxfId="238" priority="146"/>
  </conditionalFormatting>
  <conditionalFormatting sqref="AB767">
    <cfRule type="duplicateValues" dxfId="237" priority="145"/>
  </conditionalFormatting>
  <conditionalFormatting sqref="AB768:AB770">
    <cfRule type="duplicateValues" dxfId="236" priority="144"/>
  </conditionalFormatting>
  <conditionalFormatting sqref="AB771">
    <cfRule type="duplicateValues" dxfId="235" priority="143"/>
  </conditionalFormatting>
  <conditionalFormatting sqref="AB772:AB773">
    <cfRule type="duplicateValues" dxfId="234" priority="137"/>
  </conditionalFormatting>
  <conditionalFormatting sqref="AB792:AB793">
    <cfRule type="duplicateValues" dxfId="233" priority="134"/>
  </conditionalFormatting>
  <conditionalFormatting sqref="AB794">
    <cfRule type="duplicateValues" dxfId="232" priority="133"/>
  </conditionalFormatting>
  <conditionalFormatting sqref="AB795">
    <cfRule type="duplicateValues" dxfId="231" priority="129"/>
  </conditionalFormatting>
  <conditionalFormatting sqref="AB796:AB800">
    <cfRule type="duplicateValues" dxfId="230" priority="130"/>
  </conditionalFormatting>
  <conditionalFormatting sqref="AB801:AB806">
    <cfRule type="duplicateValues" dxfId="229" priority="122"/>
  </conditionalFormatting>
  <conditionalFormatting sqref="AC769">
    <cfRule type="duplicateValues" dxfId="228" priority="140"/>
  </conditionalFormatting>
  <conditionalFormatting sqref="AC771">
    <cfRule type="duplicateValues" dxfId="227" priority="139"/>
  </conditionalFormatting>
  <conditionalFormatting sqref="AC772:AC773">
    <cfRule type="duplicateValues" dxfId="226" priority="136"/>
  </conditionalFormatting>
  <conditionalFormatting sqref="AC767:AD767">
    <cfRule type="duplicateValues" dxfId="225" priority="142"/>
  </conditionalFormatting>
  <conditionalFormatting sqref="AC768:AD768 AC770:AD770 AD769">
    <cfRule type="duplicateValues" dxfId="224" priority="141"/>
  </conditionalFormatting>
  <conditionalFormatting sqref="AC792:AD793">
    <cfRule type="duplicateValues" dxfId="223" priority="132"/>
  </conditionalFormatting>
  <conditionalFormatting sqref="AC794:AD794">
    <cfRule type="duplicateValues" dxfId="222" priority="131"/>
  </conditionalFormatting>
  <conditionalFormatting sqref="AC795:AD795">
    <cfRule type="duplicateValues" dxfId="221" priority="128"/>
  </conditionalFormatting>
  <conditionalFormatting sqref="AC796:AD796">
    <cfRule type="duplicateValues" dxfId="220" priority="127"/>
  </conditionalFormatting>
  <conditionalFormatting sqref="AC797:AD797">
    <cfRule type="duplicateValues" dxfId="219" priority="126"/>
  </conditionalFormatting>
  <conditionalFormatting sqref="AC798:AD798">
    <cfRule type="duplicateValues" dxfId="218" priority="125"/>
  </conditionalFormatting>
  <conditionalFormatting sqref="AC799:AD799">
    <cfRule type="duplicateValues" dxfId="217" priority="124"/>
  </conditionalFormatting>
  <conditionalFormatting sqref="AC800:AD800">
    <cfRule type="duplicateValues" dxfId="216" priority="123"/>
  </conditionalFormatting>
  <conditionalFormatting sqref="AC801:AD801">
    <cfRule type="duplicateValues" dxfId="215" priority="121"/>
  </conditionalFormatting>
  <conditionalFormatting sqref="AC802:AD802">
    <cfRule type="duplicateValues" dxfId="214" priority="120"/>
  </conditionalFormatting>
  <conditionalFormatting sqref="AC803:AD803">
    <cfRule type="duplicateValues" dxfId="213" priority="119"/>
  </conditionalFormatting>
  <conditionalFormatting sqref="AC804:AD804">
    <cfRule type="duplicateValues" dxfId="212" priority="118"/>
  </conditionalFormatting>
  <conditionalFormatting sqref="AC805:AD805">
    <cfRule type="duplicateValues" dxfId="211" priority="117"/>
  </conditionalFormatting>
  <conditionalFormatting sqref="AC806:AD806">
    <cfRule type="duplicateValues" dxfId="210" priority="116"/>
  </conditionalFormatting>
  <conditionalFormatting sqref="AC875:AD1048576 AC1:AD9 AC807:AD873">
    <cfRule type="duplicateValues" dxfId="209" priority="1186"/>
  </conditionalFormatting>
  <conditionalFormatting sqref="AD20">
    <cfRule type="duplicateValues" dxfId="208" priority="170"/>
  </conditionalFormatting>
  <conditionalFormatting sqref="AD167">
    <cfRule type="duplicateValues" dxfId="207" priority="162"/>
  </conditionalFormatting>
  <conditionalFormatting sqref="AD499">
    <cfRule type="duplicateValues" dxfId="206" priority="155"/>
    <cfRule type="duplicateValues" dxfId="205" priority="154"/>
  </conditionalFormatting>
  <conditionalFormatting sqref="AD771">
    <cfRule type="duplicateValues" dxfId="204" priority="138"/>
  </conditionalFormatting>
  <conditionalFormatting sqref="AD772:AD773">
    <cfRule type="duplicateValues" dxfId="203" priority="135"/>
  </conditionalFormatting>
  <conditionalFormatting sqref="AD875:AD1048576 L167 AD1:AD9 AD807:AD873">
    <cfRule type="duplicateValues" dxfId="202" priority="740"/>
  </conditionalFormatting>
  <conditionalFormatting sqref="AE1:AF8 AE9 AE807:AF873 AE875:AF1048576">
    <cfRule type="containsText" dxfId="201" priority="1316" operator="containsText" text="NÃO RESIDENTE">
      <formula>NOT(ISERROR(SEARCH("NÃO RESIDENTE",AE1)))</formula>
    </cfRule>
  </conditionalFormatting>
  <conditionalFormatting sqref="AG8:AI8">
    <cfRule type="containsText" dxfId="200" priority="560" operator="containsText" text="NÃO RESIDENTE">
      <formula>NOT(ISERROR(SEARCH("NÃO RESIDENTE",AG8)))</formula>
    </cfRule>
  </conditionalFormatting>
  <conditionalFormatting sqref="AP10">
    <cfRule type="duplicateValues" dxfId="199" priority="746"/>
  </conditionalFormatting>
  <conditionalFormatting sqref="AP11">
    <cfRule type="duplicateValues" dxfId="198" priority="747"/>
  </conditionalFormatting>
  <conditionalFormatting sqref="AP12:AP137">
    <cfRule type="duplicateValues" dxfId="197" priority="1253"/>
  </conditionalFormatting>
  <conditionalFormatting sqref="AP14">
    <cfRule type="duplicateValues" dxfId="196" priority="435"/>
  </conditionalFormatting>
  <conditionalFormatting sqref="AP20">
    <cfRule type="duplicateValues" dxfId="195" priority="604"/>
  </conditionalFormatting>
  <conditionalFormatting sqref="AP22">
    <cfRule type="duplicateValues" dxfId="194" priority="419"/>
  </conditionalFormatting>
  <conditionalFormatting sqref="AP25">
    <cfRule type="duplicateValues" dxfId="193" priority="418"/>
  </conditionalFormatting>
  <conditionalFormatting sqref="AP30">
    <cfRule type="duplicateValues" dxfId="192" priority="603"/>
  </conditionalFormatting>
  <conditionalFormatting sqref="AP35:AP36">
    <cfRule type="duplicateValues" dxfId="191" priority="629"/>
  </conditionalFormatting>
  <conditionalFormatting sqref="AP37">
    <cfRule type="duplicateValues" dxfId="190" priority="602"/>
  </conditionalFormatting>
  <conditionalFormatting sqref="AP39">
    <cfRule type="duplicateValues" dxfId="189" priority="417"/>
  </conditionalFormatting>
  <conditionalFormatting sqref="AP42">
    <cfRule type="duplicateValues" dxfId="188" priority="600"/>
  </conditionalFormatting>
  <conditionalFormatting sqref="AP44">
    <cfRule type="duplicateValues" dxfId="187" priority="450"/>
  </conditionalFormatting>
  <conditionalFormatting sqref="AP49">
    <cfRule type="duplicateValues" dxfId="186" priority="303"/>
  </conditionalFormatting>
  <conditionalFormatting sqref="AP53">
    <cfRule type="duplicateValues" dxfId="185" priority="415"/>
  </conditionalFormatting>
  <conditionalFormatting sqref="AP61:AP62">
    <cfRule type="duplicateValues" dxfId="184" priority="1237"/>
  </conditionalFormatting>
  <conditionalFormatting sqref="AP63">
    <cfRule type="duplicateValues" dxfId="183" priority="1232"/>
  </conditionalFormatting>
  <conditionalFormatting sqref="AP64">
    <cfRule type="duplicateValues" dxfId="182" priority="1252"/>
  </conditionalFormatting>
  <conditionalFormatting sqref="AP66">
    <cfRule type="duplicateValues" dxfId="181" priority="640"/>
  </conditionalFormatting>
  <conditionalFormatting sqref="AP68:AP69">
    <cfRule type="duplicateValues" dxfId="180" priority="1251"/>
  </conditionalFormatting>
  <conditionalFormatting sqref="AP70">
    <cfRule type="duplicateValues" dxfId="179" priority="414"/>
  </conditionalFormatting>
  <conditionalFormatting sqref="AP72">
    <cfRule type="duplicateValues" dxfId="178" priority="638"/>
  </conditionalFormatting>
  <conditionalFormatting sqref="AP74">
    <cfRule type="duplicateValues" dxfId="177" priority="1200"/>
  </conditionalFormatting>
  <conditionalFormatting sqref="AP74:AP77">
    <cfRule type="duplicateValues" dxfId="176" priority="1236"/>
  </conditionalFormatting>
  <conditionalFormatting sqref="AP75">
    <cfRule type="duplicateValues" dxfId="175" priority="1201"/>
  </conditionalFormatting>
  <conditionalFormatting sqref="AP76">
    <cfRule type="duplicateValues" dxfId="174" priority="1202"/>
  </conditionalFormatting>
  <conditionalFormatting sqref="AP83">
    <cfRule type="duplicateValues" dxfId="173" priority="639"/>
  </conditionalFormatting>
  <conditionalFormatting sqref="AP84:AP100 AP102">
    <cfRule type="duplicateValues" dxfId="172" priority="1788"/>
  </conditionalFormatting>
  <conditionalFormatting sqref="AP101">
    <cfRule type="duplicateValues" dxfId="171" priority="3"/>
  </conditionalFormatting>
  <conditionalFormatting sqref="AP103">
    <cfRule type="duplicateValues" dxfId="170" priority="413"/>
  </conditionalFormatting>
  <conditionalFormatting sqref="AP104">
    <cfRule type="duplicateValues" dxfId="169" priority="745"/>
  </conditionalFormatting>
  <conditionalFormatting sqref="AP106">
    <cfRule type="duplicateValues" dxfId="168" priority="628"/>
  </conditionalFormatting>
  <conditionalFormatting sqref="AP107">
    <cfRule type="duplicateValues" dxfId="167" priority="412"/>
  </conditionalFormatting>
  <conditionalFormatting sqref="AP109">
    <cfRule type="duplicateValues" dxfId="166" priority="599"/>
  </conditionalFormatting>
  <conditionalFormatting sqref="AP110">
    <cfRule type="duplicateValues" dxfId="165" priority="631"/>
  </conditionalFormatting>
  <conditionalFormatting sqref="AP111">
    <cfRule type="duplicateValues" dxfId="164" priority="598"/>
  </conditionalFormatting>
  <conditionalFormatting sqref="AP113">
    <cfRule type="duplicateValues" dxfId="163" priority="1250"/>
  </conditionalFormatting>
  <conditionalFormatting sqref="AP114">
    <cfRule type="duplicateValues" dxfId="162" priority="597"/>
  </conditionalFormatting>
  <conditionalFormatting sqref="AP115:AP116">
    <cfRule type="duplicateValues" dxfId="161" priority="411"/>
  </conditionalFormatting>
  <conditionalFormatting sqref="AP118">
    <cfRule type="duplicateValues" dxfId="160" priority="410"/>
  </conditionalFormatting>
  <conditionalFormatting sqref="AP119">
    <cfRule type="duplicateValues" dxfId="159" priority="595"/>
    <cfRule type="duplicateValues" dxfId="158" priority="449"/>
  </conditionalFormatting>
  <conditionalFormatting sqref="AP120">
    <cfRule type="duplicateValues" dxfId="157" priority="14"/>
  </conditionalFormatting>
  <conditionalFormatting sqref="AP121:AP125">
    <cfRule type="duplicateValues" dxfId="156" priority="594"/>
  </conditionalFormatting>
  <conditionalFormatting sqref="AP123">
    <cfRule type="duplicateValues" dxfId="155" priority="1194"/>
    <cfRule type="duplicateValues" dxfId="154" priority="2073"/>
  </conditionalFormatting>
  <conditionalFormatting sqref="AP125">
    <cfRule type="duplicateValues" dxfId="153" priority="43"/>
    <cfRule type="duplicateValues" dxfId="152" priority="44"/>
  </conditionalFormatting>
  <conditionalFormatting sqref="AP126 AP128">
    <cfRule type="duplicateValues" dxfId="151" priority="630"/>
  </conditionalFormatting>
  <conditionalFormatting sqref="AP127">
    <cfRule type="duplicateValues" dxfId="150" priority="15"/>
  </conditionalFormatting>
  <conditionalFormatting sqref="AP129">
    <cfRule type="duplicateValues" dxfId="149" priority="408"/>
  </conditionalFormatting>
  <conditionalFormatting sqref="AP130">
    <cfRule type="duplicateValues" dxfId="148" priority="60"/>
  </conditionalFormatting>
  <conditionalFormatting sqref="AP131">
    <cfRule type="duplicateValues" dxfId="147" priority="61"/>
  </conditionalFormatting>
  <conditionalFormatting sqref="AP132">
    <cfRule type="duplicateValues" dxfId="146" priority="405"/>
  </conditionalFormatting>
  <conditionalFormatting sqref="AP133 AP135">
    <cfRule type="duplicateValues" dxfId="145" priority="321"/>
  </conditionalFormatting>
  <conditionalFormatting sqref="AP134">
    <cfRule type="duplicateValues" dxfId="144" priority="28"/>
  </conditionalFormatting>
  <conditionalFormatting sqref="AP148">
    <cfRule type="duplicateValues" dxfId="143" priority="12"/>
    <cfRule type="duplicateValues" dxfId="142" priority="13"/>
  </conditionalFormatting>
  <conditionalFormatting sqref="AP169">
    <cfRule type="duplicateValues" dxfId="141" priority="27"/>
    <cfRule type="duplicateValues" dxfId="140" priority="26"/>
  </conditionalFormatting>
  <conditionalFormatting sqref="AP171">
    <cfRule type="duplicateValues" dxfId="139" priority="16"/>
    <cfRule type="duplicateValues" dxfId="138" priority="17"/>
  </conditionalFormatting>
  <conditionalFormatting sqref="AP174">
    <cfRule type="duplicateValues" dxfId="137" priority="6"/>
    <cfRule type="duplicateValues" dxfId="136" priority="7"/>
  </conditionalFormatting>
  <conditionalFormatting sqref="AP187">
    <cfRule type="duplicateValues" dxfId="135" priority="19"/>
    <cfRule type="duplicateValues" dxfId="134" priority="18"/>
  </conditionalFormatting>
  <conditionalFormatting sqref="AP329">
    <cfRule type="duplicateValues" dxfId="133" priority="20"/>
    <cfRule type="duplicateValues" dxfId="132" priority="21"/>
  </conditionalFormatting>
  <conditionalFormatting sqref="AP407">
    <cfRule type="duplicateValues" dxfId="131" priority="5"/>
    <cfRule type="duplicateValues" dxfId="130" priority="4"/>
  </conditionalFormatting>
  <conditionalFormatting sqref="AP476">
    <cfRule type="duplicateValues" dxfId="129" priority="10"/>
    <cfRule type="duplicateValues" dxfId="128" priority="11"/>
  </conditionalFormatting>
  <conditionalFormatting sqref="AP479">
    <cfRule type="duplicateValues" dxfId="127" priority="25"/>
    <cfRule type="duplicateValues" dxfId="126" priority="24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5" priority="1255"/>
  </conditionalFormatting>
  <conditionalFormatting sqref="AP492:AP1048576 AP1:AP490">
    <cfRule type="duplicateValues" dxfId="124" priority="1195"/>
    <cfRule type="duplicateValues" dxfId="123" priority="739"/>
  </conditionalFormatting>
  <conditionalFormatting sqref="AP523">
    <cfRule type="duplicateValues" dxfId="122" priority="23"/>
    <cfRule type="duplicateValues" dxfId="121" priority="22"/>
  </conditionalFormatting>
  <conditionalFormatting sqref="AP551">
    <cfRule type="duplicateValues" dxfId="120" priority="8"/>
    <cfRule type="duplicateValues" dxfId="119" priority="9"/>
  </conditionalFormatting>
  <conditionalFormatting sqref="AP940:AP1048576 AP1:AP9 AP78:AP81 AP40:AP41 AP65 AP16:AP19 AP67 AP73 AP21 AP31:AP35 AP117 AP23:AP24 AP26:AP29 AP54:AP60 AP43:AP52 AP70:AP71 AP121:AP122">
    <cfRule type="duplicateValues" dxfId="118" priority="1304"/>
  </conditionalFormatting>
  <conditionalFormatting sqref="AQ112">
    <cfRule type="duplicateValues" dxfId="117" priority="320"/>
  </conditionalFormatting>
  <conditionalFormatting sqref="AR112">
    <cfRule type="duplicateValues" dxfId="116" priority="319"/>
  </conditionalFormatting>
  <conditionalFormatting sqref="AS112">
    <cfRule type="duplicateValues" dxfId="115" priority="318"/>
  </conditionalFormatting>
  <conditionalFormatting sqref="AT112">
    <cfRule type="duplicateValues" dxfId="114" priority="317"/>
  </conditionalFormatting>
  <conditionalFormatting sqref="AU112">
    <cfRule type="duplicateValues" dxfId="113" priority="316"/>
  </conditionalFormatting>
  <conditionalFormatting sqref="AV112">
    <cfRule type="duplicateValues" dxfId="112" priority="315"/>
  </conditionalFormatting>
  <conditionalFormatting sqref="AV183:AW183">
    <cfRule type="cellIs" dxfId="111" priority="100" operator="between">
      <formula>36526</formula>
      <formula>402133</formula>
    </cfRule>
  </conditionalFormatting>
  <conditionalFormatting sqref="AV671:AW671">
    <cfRule type="cellIs" dxfId="110" priority="84" operator="between">
      <formula>36526</formula>
      <formula>402133</formula>
    </cfRule>
  </conditionalFormatting>
  <conditionalFormatting sqref="AV680:AW680">
    <cfRule type="cellIs" dxfId="109" priority="81" operator="between">
      <formula>36526</formula>
      <formula>402133</formula>
    </cfRule>
  </conditionalFormatting>
  <conditionalFormatting sqref="AV715:AW715">
    <cfRule type="cellIs" dxfId="108" priority="78" operator="between">
      <formula>36526</formula>
      <formula>402133</formula>
    </cfRule>
  </conditionalFormatting>
  <conditionalFormatting sqref="AV725:AW725 AY809:AY1048576">
    <cfRule type="cellIs" dxfId="107" priority="74" operator="between">
      <formula>36526</formula>
      <formula>402133</formula>
    </cfRule>
  </conditionalFormatting>
  <conditionalFormatting sqref="AW112">
    <cfRule type="duplicateValues" dxfId="106" priority="314"/>
  </conditionalFormatting>
  <conditionalFormatting sqref="AW458:AX458">
    <cfRule type="cellIs" dxfId="105" priority="610" operator="between">
      <formula>36526</formula>
      <formula>402133</formula>
    </cfRule>
  </conditionalFormatting>
  <conditionalFormatting sqref="AX112">
    <cfRule type="duplicateValues" dxfId="104" priority="313"/>
  </conditionalFormatting>
  <conditionalFormatting sqref="AY1:AY99 AY101:AY102 AY104:AY118 AY120:AY125 AY127:AY132 AY136:AY158 AY160:AY168 AY170 AY172:AY173 AY176:AY186 AY188:AY195 AY197:AY300 AY302:AY328 AY330:AY383 AY385:AY386 AY388:AY405 AY408:AY414 AY419:AY420 AY422:AY432 AY434:AY441 AY443:AY455 AY457:AY459 AY461:AY463 AY465 AY467 AY470:AY473 AY475 AY477:AY478 AY480:AY482 AY484:AY487 AY489:AY522 AY524:AY550 AY552 AY554:AY563 AY565:AY586 AY588:AY593 AY595:AY806">
    <cfRule type="cellIs" dxfId="103" priority="50" operator="between">
      <formula>36526</formula>
      <formula>402133</formula>
    </cfRule>
  </conditionalFormatting>
  <conditionalFormatting sqref="AY159">
    <cfRule type="cellIs" dxfId="102" priority="45" operator="greaterThan">
      <formula>43831</formula>
    </cfRule>
  </conditionalFormatting>
  <conditionalFormatting sqref="AY483">
    <cfRule type="cellIs" dxfId="101" priority="46" operator="greaterThan">
      <formula>43831</formula>
    </cfRule>
  </conditionalFormatting>
  <conditionalFormatting sqref="AY134:AZ134 AZ136">
    <cfRule type="cellIs" dxfId="100" priority="37" operator="between">
      <formula>36526</formula>
      <formula>402133</formula>
    </cfRule>
  </conditionalFormatting>
  <conditionalFormatting sqref="AY417:AZ417">
    <cfRule type="cellIs" dxfId="99" priority="33" operator="between">
      <formula>36526</formula>
      <formula>402133</formula>
    </cfRule>
  </conditionalFormatting>
  <conditionalFormatting sqref="AZ35">
    <cfRule type="cellIs" dxfId="98" priority="570" operator="between">
      <formula>36526</formula>
      <formula>402133</formula>
    </cfRule>
  </conditionalFormatting>
  <conditionalFormatting sqref="AZ37">
    <cfRule type="cellIs" dxfId="97" priority="528" operator="between">
      <formula>36526</formula>
      <formula>402133</formula>
    </cfRule>
  </conditionalFormatting>
  <conditionalFormatting sqref="AZ42">
    <cfRule type="cellIs" dxfId="96" priority="526" operator="between">
      <formula>36526</formula>
      <formula>402133</formula>
    </cfRule>
  </conditionalFormatting>
  <conditionalFormatting sqref="AZ47">
    <cfRule type="cellIs" dxfId="95" priority="223" operator="between">
      <formula>36526</formula>
      <formula>402133</formula>
    </cfRule>
  </conditionalFormatting>
  <conditionalFormatting sqref="AZ50">
    <cfRule type="cellIs" dxfId="94" priority="107" operator="between">
      <formula>36526</formula>
      <formula>402133</formula>
    </cfRule>
  </conditionalFormatting>
  <conditionalFormatting sqref="AZ54">
    <cfRule type="cellIs" dxfId="93" priority="221" operator="between">
      <formula>36526</formula>
      <formula>402133</formula>
    </cfRule>
  </conditionalFormatting>
  <conditionalFormatting sqref="AZ101">
    <cfRule type="cellIs" dxfId="92" priority="41" operator="between">
      <formula>36526</formula>
      <formula>402133</formula>
    </cfRule>
  </conditionalFormatting>
  <conditionalFormatting sqref="AZ107">
    <cfRule type="cellIs" dxfId="91" priority="220" operator="between">
      <formula>36526</formula>
      <formula>402133</formula>
    </cfRule>
  </conditionalFormatting>
  <conditionalFormatting sqref="AZ114">
    <cfRule type="cellIs" dxfId="90" priority="219" operator="between">
      <formula>36526</formula>
      <formula>402133</formula>
    </cfRule>
  </conditionalFormatting>
  <conditionalFormatting sqref="AZ116">
    <cfRule type="cellIs" dxfId="89" priority="58" operator="between">
      <formula>36526</formula>
      <formula>402133</formula>
    </cfRule>
  </conditionalFormatting>
  <conditionalFormatting sqref="AZ128:AZ129">
    <cfRule type="cellIs" dxfId="88" priority="218" operator="between">
      <formula>36526</formula>
      <formula>402133</formula>
    </cfRule>
  </conditionalFormatting>
  <conditionalFormatting sqref="AZ139:AZ140">
    <cfRule type="cellIs" dxfId="87" priority="217" operator="between">
      <formula>36526</formula>
      <formula>402133</formula>
    </cfRule>
  </conditionalFormatting>
  <conditionalFormatting sqref="AZ144">
    <cfRule type="cellIs" dxfId="86" priority="105" operator="between">
      <formula>36526</formula>
      <formula>402133</formula>
    </cfRule>
  </conditionalFormatting>
  <conditionalFormatting sqref="AZ148">
    <cfRule type="cellIs" dxfId="85" priority="48" operator="between">
      <formula>36526</formula>
      <formula>402133</formula>
    </cfRule>
  </conditionalFormatting>
  <conditionalFormatting sqref="AZ150">
    <cfRule type="cellIs" dxfId="84" priority="216" operator="between">
      <formula>36526</formula>
      <formula>402133</formula>
    </cfRule>
  </conditionalFormatting>
  <conditionalFormatting sqref="AZ152:AZ156">
    <cfRule type="cellIs" dxfId="83" priority="57" operator="between">
      <formula>36526</formula>
      <formula>402133</formula>
    </cfRule>
  </conditionalFormatting>
  <conditionalFormatting sqref="AZ160">
    <cfRule type="cellIs" dxfId="82" priority="40" operator="between">
      <formula>36526</formula>
      <formula>402133</formula>
    </cfRule>
  </conditionalFormatting>
  <conditionalFormatting sqref="AZ162">
    <cfRule type="cellIs" dxfId="81" priority="56" operator="between">
      <formula>36526</formula>
      <formula>402133</formula>
    </cfRule>
  </conditionalFormatting>
  <conditionalFormatting sqref="AZ166">
    <cfRule type="cellIs" dxfId="80" priority="39" operator="between">
      <formula>36526</formula>
      <formula>402133</formula>
    </cfRule>
  </conditionalFormatting>
  <conditionalFormatting sqref="AZ171">
    <cfRule type="cellIs" dxfId="79" priority="30" operator="between">
      <formula>36526</formula>
      <formula>402133</formula>
    </cfRule>
  </conditionalFormatting>
  <conditionalFormatting sqref="AZ173">
    <cfRule type="cellIs" dxfId="78" priority="519" operator="between">
      <formula>36526</formula>
      <formula>402133</formula>
    </cfRule>
  </conditionalFormatting>
  <conditionalFormatting sqref="AZ178:AZ180">
    <cfRule type="cellIs" dxfId="77" priority="103" operator="between">
      <formula>36526</formula>
      <formula>402133</formula>
    </cfRule>
  </conditionalFormatting>
  <conditionalFormatting sqref="AZ185:AZ186">
    <cfRule type="cellIs" dxfId="76" priority="36" operator="between">
      <formula>36526</formula>
      <formula>402133</formula>
    </cfRule>
  </conditionalFormatting>
  <conditionalFormatting sqref="AZ209">
    <cfRule type="cellIs" dxfId="75" priority="2" operator="between">
      <formula>36526</formula>
      <formula>402133</formula>
    </cfRule>
  </conditionalFormatting>
  <conditionalFormatting sqref="AZ219">
    <cfRule type="cellIs" dxfId="74" priority="202" operator="between">
      <formula>36526</formula>
      <formula>402133</formula>
    </cfRule>
  </conditionalFormatting>
  <conditionalFormatting sqref="AZ223">
    <cfRule type="cellIs" dxfId="73" priority="94" operator="between">
      <formula>36526</formula>
      <formula>402133</formula>
    </cfRule>
  </conditionalFormatting>
  <conditionalFormatting sqref="AZ227">
    <cfRule type="cellIs" dxfId="72" priority="54" operator="between">
      <formula>36526</formula>
      <formula>402133</formula>
    </cfRule>
  </conditionalFormatting>
  <conditionalFormatting sqref="AZ243:AZ244">
    <cfRule type="cellIs" dxfId="71" priority="199" operator="between">
      <formula>36526</formula>
      <formula>402133</formula>
    </cfRule>
  </conditionalFormatting>
  <conditionalFormatting sqref="AZ261">
    <cfRule type="cellIs" dxfId="70" priority="654" operator="between">
      <formula>36526</formula>
      <formula>402133</formula>
    </cfRule>
  </conditionalFormatting>
  <conditionalFormatting sqref="AZ265">
    <cfRule type="cellIs" dxfId="69" priority="53" operator="between">
      <formula>36526</formula>
      <formula>402133</formula>
    </cfRule>
  </conditionalFormatting>
  <conditionalFormatting sqref="AZ267">
    <cfRule type="cellIs" dxfId="68" priority="198" operator="between">
      <formula>36526</formula>
      <formula>402133</formula>
    </cfRule>
  </conditionalFormatting>
  <conditionalFormatting sqref="AZ269">
    <cfRule type="cellIs" dxfId="67" priority="197" operator="between">
      <formula>36526</formula>
      <formula>402133</formula>
    </cfRule>
  </conditionalFormatting>
  <conditionalFormatting sqref="AZ271">
    <cfRule type="cellIs" dxfId="66" priority="52" operator="between">
      <formula>36526</formula>
      <formula>402133</formula>
    </cfRule>
  </conditionalFormatting>
  <conditionalFormatting sqref="AZ276">
    <cfRule type="cellIs" dxfId="65" priority="196" operator="between">
      <formula>36526</formula>
      <formula>402133</formula>
    </cfRule>
  </conditionalFormatting>
  <conditionalFormatting sqref="AZ278">
    <cfRule type="cellIs" dxfId="64" priority="195" operator="between">
      <formula>36526</formula>
      <formula>402133</formula>
    </cfRule>
  </conditionalFormatting>
  <conditionalFormatting sqref="AZ282">
    <cfRule type="cellIs" dxfId="63" priority="650" operator="between">
      <formula>36526</formula>
      <formula>402133</formula>
    </cfRule>
  </conditionalFormatting>
  <conditionalFormatting sqref="AZ329">
    <cfRule type="cellIs" dxfId="62" priority="194" operator="between">
      <formula>36526</formula>
      <formula>402133</formula>
    </cfRule>
  </conditionalFormatting>
  <conditionalFormatting sqref="AZ332:AZ333">
    <cfRule type="cellIs" dxfId="61" priority="29" operator="between">
      <formula>36526</formula>
      <formula>402133</formula>
    </cfRule>
  </conditionalFormatting>
  <conditionalFormatting sqref="AZ336">
    <cfRule type="cellIs" dxfId="60" priority="507" operator="between">
      <formula>36526</formula>
      <formula>402133</formula>
    </cfRule>
  </conditionalFormatting>
  <conditionalFormatting sqref="AZ344">
    <cfRule type="cellIs" dxfId="59" priority="506" operator="between">
      <formula>36526</formula>
      <formula>402133</formula>
    </cfRule>
  </conditionalFormatting>
  <conditionalFormatting sqref="AZ350">
    <cfRule type="cellIs" dxfId="58" priority="501" operator="between">
      <formula>36526</formula>
      <formula>402133</formula>
    </cfRule>
  </conditionalFormatting>
  <conditionalFormatting sqref="AZ364">
    <cfRule type="cellIs" dxfId="57" priority="502" operator="between">
      <formula>36526</formula>
      <formula>402133</formula>
    </cfRule>
  </conditionalFormatting>
  <conditionalFormatting sqref="AZ367">
    <cfRule type="cellIs" dxfId="56" priority="192" operator="between">
      <formula>36526</formula>
      <formula>402133</formula>
    </cfRule>
  </conditionalFormatting>
  <conditionalFormatting sqref="AZ371:AZ372">
    <cfRule type="cellIs" dxfId="55" priority="191" operator="between">
      <formula>36526</formula>
      <formula>402133</formula>
    </cfRule>
  </conditionalFormatting>
  <conditionalFormatting sqref="AZ376">
    <cfRule type="cellIs" dxfId="54" priority="190" operator="between">
      <formula>36526</formula>
      <formula>402133</formula>
    </cfRule>
  </conditionalFormatting>
  <conditionalFormatting sqref="AZ381">
    <cfRule type="cellIs" dxfId="53" priority="189" operator="between">
      <formula>36526</formula>
      <formula>402133</formula>
    </cfRule>
  </conditionalFormatting>
  <conditionalFormatting sqref="AZ389">
    <cfRule type="cellIs" dxfId="52" priority="35" operator="between">
      <formula>36526</formula>
      <formula>402133</formula>
    </cfRule>
  </conditionalFormatting>
  <conditionalFormatting sqref="AZ408">
    <cfRule type="cellIs" dxfId="51" priority="34" operator="between">
      <formula>36526</formula>
      <formula>402133</formula>
    </cfRule>
  </conditionalFormatting>
  <conditionalFormatting sqref="AZ413:AZ414">
    <cfRule type="cellIs" dxfId="50" priority="188" operator="between">
      <formula>36526</formula>
      <formula>402133</formula>
    </cfRule>
  </conditionalFormatting>
  <conditionalFormatting sqref="AZ426:AZ427">
    <cfRule type="cellIs" dxfId="49" priority="187" operator="between">
      <formula>36526</formula>
      <formula>402133</formula>
    </cfRule>
  </conditionalFormatting>
  <conditionalFormatting sqref="AZ434">
    <cfRule type="cellIs" dxfId="48" priority="503" operator="between">
      <formula>36526</formula>
      <formula>402133</formula>
    </cfRule>
  </conditionalFormatting>
  <conditionalFormatting sqref="AZ489">
    <cfRule type="cellIs" dxfId="47" priority="32" operator="between">
      <formula>36526</formula>
      <formula>402133</formula>
    </cfRule>
  </conditionalFormatting>
  <conditionalFormatting sqref="AZ514">
    <cfRule type="cellIs" dxfId="46" priority="51" operator="between">
      <formula>36526</formula>
      <formula>402133</formula>
    </cfRule>
  </conditionalFormatting>
  <conditionalFormatting sqref="AZ565">
    <cfRule type="cellIs" dxfId="45" priority="31" operator="between">
      <formula>36526</formula>
      <formula>402133</formula>
    </cfRule>
  </conditionalFormatting>
  <conditionalFormatting sqref="AZ641:AZ642">
    <cfRule type="cellIs" dxfId="44" priority="88" operator="between">
      <formula>36526</formula>
      <formula>402133</formula>
    </cfRule>
  </conditionalFormatting>
  <conditionalFormatting sqref="AZ649">
    <cfRule type="cellIs" dxfId="43" priority="87" operator="between">
      <formula>36526</formula>
      <formula>402133</formula>
    </cfRule>
  </conditionalFormatting>
  <conditionalFormatting sqref="AZ654">
    <cfRule type="cellIs" dxfId="42" priority="86" operator="between">
      <formula>36526</formula>
      <formula>402133</formula>
    </cfRule>
  </conditionalFormatting>
  <conditionalFormatting sqref="AZ659">
    <cfRule type="cellIs" dxfId="41" priority="85" operator="between">
      <formula>36526</formula>
      <formula>402133</formula>
    </cfRule>
  </conditionalFormatting>
  <conditionalFormatting sqref="AZ679">
    <cfRule type="cellIs" dxfId="40" priority="83" operator="between">
      <formula>36526</formula>
      <formula>402133</formula>
    </cfRule>
  </conditionalFormatting>
  <conditionalFormatting sqref="AZ696">
    <cfRule type="cellIs" dxfId="39" priority="80" operator="between">
      <formula>36526</formula>
      <formula>402133</formula>
    </cfRule>
  </conditionalFormatting>
  <conditionalFormatting sqref="AZ716:AZ717">
    <cfRule type="cellIs" dxfId="38" priority="77" operator="between">
      <formula>36526</formula>
      <formula>402133</formula>
    </cfRule>
  </conditionalFormatting>
  <conditionalFormatting sqref="AZ723">
    <cfRule type="cellIs" dxfId="37" priority="76" operator="between">
      <formula>36526</formula>
      <formula>402133</formula>
    </cfRule>
  </conditionalFormatting>
  <conditionalFormatting sqref="BB1:BB873 BB875:BB1048576">
    <cfRule type="containsText" dxfId="36" priority="1398" operator="containsText" text="FINALIZADO">
      <formula>NOT(ISERROR(SEARCH("FINALIZADO",BB1)))</formula>
    </cfRule>
  </conditionalFormatting>
  <conditionalFormatting sqref="BD1:BD873">
    <cfRule type="cellIs" dxfId="35" priority="173" operator="equal">
      <formula>"AA"</formula>
    </cfRule>
    <cfRule type="cellIs" dxfId="34" priority="172" operator="equal">
      <formula>"INDENIZAÇÃO"</formula>
    </cfRule>
  </conditionalFormatting>
  <conditionalFormatting sqref="BD10:BD869">
    <cfRule type="cellIs" dxfId="33" priority="174" operator="equal">
      <formula>"FINALIZADO"</formula>
    </cfRule>
  </conditionalFormatting>
  <conditionalFormatting sqref="BD875:BD1048576">
    <cfRule type="cellIs" dxfId="32" priority="1371" operator="equal">
      <formula>"INDENIZAÇÃO"</formula>
    </cfRule>
    <cfRule type="cellIs" dxfId="31" priority="1372" operator="equal">
      <formula>"AA"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52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S594:AY594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T144:AY147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W169:AX174 AW21 AY107:AZ115 AY566:AZ568 BJ136:BL136 BI164:BL165 AT293:AT300 AQ222:AR229 AT236:AT240 AS238:AS240 AQ267:AS267 AS291:AS302 AQ476:AS477 BJ88:BL89 BJ91:BL93 BJ172:BL173 BI191:BL193 AQ594:AQ595 AQ466 AU148:AU149 AR417:AR419 AT160:AT161 AQ321:AV321 AR14:AX14 AX20:AX24 AU13:AW13 AW70:AW100 AT219:AZ219 AQ258:AZ258 AV252:AZ257 AQ315:AX315 AX359:AX367 AQ368:AX368 AR171:AR172 AY515:AY517 AY470:AY482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Y276:AZ357 AT378:AT398 AU417:AU423 AV410:AV414 AU409:AU414 AU385:AY389 AU466:AY469 AQ113:AR118 AQ120:AR129 AR100:AR111 AQ168:AQ173 AZ101:AZ102 AT163:AY163 AS121:AT125 AW434:AW441 AR133:AR135 AZ134 AT475:AV477 AW185:AZ199 AS133:AS147 AY162:AZ162 AU160:AV162 AS164:AX168 AS71:AS105 AT207:AZ207 AR169 AW102:AW103 AS184:AS188 AX70:AY103 AQ400:AR407 AU120:AZ125 AV185:AV197 AS467:AS470 AT473 AQ479:AS480 AZ136:AZ146 AY519:AY522 AW470:AW482 AU377:AU384 AV377:AV383 AS587:AY587 AV384:AY384 AS406:AV407 AU415:AY416 AV417:AY418 AW457:AW463 AU127:AZ132 AZ10:AZ24 AU133:AY143 AZ409:AZ491 AW409:AY414 AS464:AY465 AZ544:AZ564 AQ807:AY808 AQ119:AY119 AA389:AA391 AT322:AX325 AV550:AX550 BC10:BC869 AT70:AT106 AT133:AT137 AT169:AT181 AY595 AY164:AY174 AQ523:AY523 AT524 AT185:AU199 AU70:AV103 AU169:AV175 AS126:AY126 AT329:AV331 AX326:AX357 AS433:AW433 AS456:AW456 AT479:AV481 AU472:AV474 AQ551:AY551 AX470:AX484 AY419:AY463 AW390:AY407 AW327:AW357 AX419:AX441 AW419:AW432 AX443:AX463 AW443:AW455 AY544:AY550 AQ410:AS410 AQ412:AS414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60:AM462 AM433:AM435 AM439:AM441 AM443:AM445 AM448 AM450:AM452 AM455:AM458 AM375:AM388 AM479:AM490 AM472:AM477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594:AN600 AN433:AN435 AN439:AN441 AN443:AN445 AN448 AN450:AN452 AN455:AN458 AN126:AN317 AN479:AN490 AN472:AN477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390:AL431 AL443:AL445 AL448 AL450:AL452 AL455:AL458 AL513:AL556 AL472:AL477 AN125 AL594:AL600 AL496:AL499 AL502:AL503 AL506:AL507 AL10:AL317 AL558:AL560 AL464:AL470 AL439:AL441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562:AL578 AL581:AL588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73" r:id="rId1" display="146667845;" xr:uid="{2195CD71-5EAA-4A58-82BC-68502B00BF94}"/>
    <hyperlink ref="AK610" r:id="rId2" display="148267124" xr:uid="{B7CEE3C8-FA2D-495C-932E-FDBBAEDE866F}"/>
    <hyperlink ref="AK272" r:id="rId3" display="149914514" xr:uid="{C10A479A-5BCD-4697-8EA8-8E073CD6314B}"/>
    <hyperlink ref="AK304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60" t="s">
        <v>4428</v>
      </c>
    </row>
    <row r="2" spans="1:5" ht="20.25" customHeight="1">
      <c r="E2" s="160" t="s">
        <v>4394</v>
      </c>
    </row>
    <row r="3" spans="1:5" ht="20.25" customHeight="1">
      <c r="E3" s="160" t="s">
        <v>7814</v>
      </c>
    </row>
    <row r="5" spans="1:5" ht="20.25" customHeight="1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>
      <c r="A6" s="241" t="s">
        <v>4431</v>
      </c>
      <c r="B6" s="241" t="s">
        <v>4439</v>
      </c>
      <c r="C6" s="241" t="s">
        <v>6651</v>
      </c>
      <c r="D6" s="242" t="s">
        <v>6652</v>
      </c>
      <c r="E6" s="243">
        <v>46234</v>
      </c>
    </row>
    <row r="7" spans="1:5" ht="20.25" customHeight="1">
      <c r="A7" s="241" t="s">
        <v>4431</v>
      </c>
      <c r="B7" s="241" t="s">
        <v>4439</v>
      </c>
      <c r="C7" s="241" t="s">
        <v>5157</v>
      </c>
      <c r="D7" s="242" t="s">
        <v>5162</v>
      </c>
      <c r="E7" s="243">
        <v>46237</v>
      </c>
    </row>
    <row r="8" spans="1:5" ht="20.25" customHeight="1">
      <c r="A8" s="241" t="s">
        <v>4431</v>
      </c>
      <c r="B8" s="241" t="s">
        <v>4439</v>
      </c>
      <c r="C8" s="241" t="s">
        <v>4967</v>
      </c>
      <c r="D8" s="247" t="s">
        <v>4972</v>
      </c>
      <c r="E8" s="243">
        <v>46234</v>
      </c>
    </row>
    <row r="9" spans="1:5" ht="20.25" customHeight="1">
      <c r="A9" s="241" t="s">
        <v>4431</v>
      </c>
      <c r="B9" s="241" t="s">
        <v>4439</v>
      </c>
      <c r="C9" s="241" t="s">
        <v>5030</v>
      </c>
      <c r="D9" s="242" t="s">
        <v>5034</v>
      </c>
      <c r="E9" s="243">
        <v>46237</v>
      </c>
    </row>
    <row r="10" spans="1:5" ht="20.25" customHeight="1">
      <c r="A10" s="241" t="s">
        <v>4431</v>
      </c>
      <c r="B10" s="241" t="s">
        <v>4439</v>
      </c>
      <c r="C10" s="241" t="s">
        <v>6466</v>
      </c>
      <c r="D10" s="242" t="s">
        <v>6467</v>
      </c>
      <c r="E10" s="243">
        <v>46234</v>
      </c>
    </row>
    <row r="11" spans="1:5" ht="20.25" customHeight="1">
      <c r="A11" s="241" t="s">
        <v>4431</v>
      </c>
      <c r="B11" s="241" t="s">
        <v>4439</v>
      </c>
      <c r="C11" s="241" t="s">
        <v>5143</v>
      </c>
      <c r="D11" s="242" t="s">
        <v>5148</v>
      </c>
      <c r="E11" s="243">
        <v>46237</v>
      </c>
    </row>
    <row r="12" spans="1:5" ht="20.25" customHeight="1">
      <c r="A12" s="241" t="s">
        <v>4431</v>
      </c>
      <c r="B12" s="241" t="s">
        <v>4439</v>
      </c>
      <c r="C12" s="241" t="s">
        <v>5810</v>
      </c>
      <c r="D12" s="242" t="s">
        <v>5817</v>
      </c>
      <c r="E12" s="243">
        <v>46237</v>
      </c>
    </row>
    <row r="13" spans="1:5" ht="20.25" customHeight="1">
      <c r="A13" s="241" t="s">
        <v>4431</v>
      </c>
      <c r="B13" s="241" t="s">
        <v>4439</v>
      </c>
      <c r="C13" s="241" t="s">
        <v>4813</v>
      </c>
      <c r="D13" s="242" t="s">
        <v>4818</v>
      </c>
      <c r="E13" s="243">
        <v>46234</v>
      </c>
    </row>
    <row r="14" spans="1:5" ht="20.25" customHeight="1">
      <c r="A14" s="241" t="s">
        <v>4431</v>
      </c>
      <c r="B14" s="241" t="s">
        <v>4448</v>
      </c>
      <c r="C14" s="241" t="s">
        <v>5252</v>
      </c>
      <c r="D14" s="283" t="s">
        <v>5257</v>
      </c>
      <c r="E14" s="243">
        <v>46237</v>
      </c>
    </row>
    <row r="15" spans="1:5" ht="20.25" customHeight="1">
      <c r="A15" s="241" t="s">
        <v>4431</v>
      </c>
      <c r="B15" s="241" t="s">
        <v>4439</v>
      </c>
      <c r="C15" s="241" t="s">
        <v>5217</v>
      </c>
      <c r="D15" s="242" t="s">
        <v>5218</v>
      </c>
      <c r="E15" s="243">
        <v>46237</v>
      </c>
    </row>
    <row r="16" spans="1:5" ht="20.25" customHeight="1">
      <c r="A16" s="241" t="s">
        <v>4431</v>
      </c>
      <c r="B16" s="241" t="s">
        <v>4439</v>
      </c>
      <c r="C16" s="241" t="s">
        <v>6160</v>
      </c>
      <c r="D16" s="242" t="s">
        <v>6164</v>
      </c>
      <c r="E16" s="243">
        <v>46237</v>
      </c>
    </row>
    <row r="17" spans="1:5" ht="20.25" customHeight="1">
      <c r="A17" s="241" t="s">
        <v>4431</v>
      </c>
      <c r="B17" s="241" t="s">
        <v>4439</v>
      </c>
      <c r="C17" s="241" t="s">
        <v>4896</v>
      </c>
      <c r="D17" s="242" t="s">
        <v>4903</v>
      </c>
      <c r="E17" s="243">
        <v>46234</v>
      </c>
    </row>
    <row r="18" spans="1:5" ht="20.25" customHeight="1">
      <c r="A18" s="241" t="s">
        <v>4431</v>
      </c>
      <c r="B18" s="241" t="s">
        <v>4439</v>
      </c>
      <c r="C18" s="241" t="s">
        <v>4934</v>
      </c>
      <c r="D18" s="242" t="s">
        <v>4939</v>
      </c>
      <c r="E18" s="243">
        <v>46234</v>
      </c>
    </row>
    <row r="19" spans="1:5" ht="20.25" customHeight="1">
      <c r="A19" s="241" t="s">
        <v>4431</v>
      </c>
      <c r="B19" s="241" t="s">
        <v>4439</v>
      </c>
      <c r="C19" s="241" t="s">
        <v>6750</v>
      </c>
      <c r="D19" s="242" t="s">
        <v>6751</v>
      </c>
      <c r="E19" s="243">
        <v>46234</v>
      </c>
    </row>
    <row r="20" spans="1:5" ht="20.25" customHeight="1">
      <c r="A20" s="241" t="s">
        <v>4431</v>
      </c>
      <c r="B20" s="241" t="s">
        <v>4439</v>
      </c>
      <c r="C20" s="241" t="s">
        <v>6454</v>
      </c>
      <c r="D20" s="242" t="s">
        <v>6455</v>
      </c>
      <c r="E20" s="243">
        <v>46234</v>
      </c>
    </row>
    <row r="21" spans="1:5" ht="20.25" customHeight="1">
      <c r="A21" s="241" t="s">
        <v>4431</v>
      </c>
      <c r="B21" s="241" t="s">
        <v>4439</v>
      </c>
      <c r="C21" s="241" t="s">
        <v>6441</v>
      </c>
      <c r="D21" s="242" t="s">
        <v>6442</v>
      </c>
      <c r="E21" s="243">
        <v>46234</v>
      </c>
    </row>
    <row r="22" spans="1:5" ht="20.25" customHeight="1">
      <c r="A22" s="241" t="s">
        <v>4431</v>
      </c>
      <c r="B22" s="241" t="s">
        <v>4439</v>
      </c>
      <c r="C22" s="241" t="s">
        <v>4976</v>
      </c>
      <c r="D22" s="247" t="s">
        <v>4981</v>
      </c>
      <c r="E22" s="243">
        <v>46234</v>
      </c>
    </row>
    <row r="23" spans="1:5" ht="20.25" customHeight="1">
      <c r="A23" s="241" t="s">
        <v>4431</v>
      </c>
      <c r="B23" s="241" t="s">
        <v>4448</v>
      </c>
      <c r="C23" s="241" t="s">
        <v>6277</v>
      </c>
      <c r="D23" s="242" t="s">
        <v>6278</v>
      </c>
      <c r="E23" s="243">
        <v>46234</v>
      </c>
    </row>
    <row r="24" spans="1:5" ht="20.25" customHeight="1">
      <c r="A24" s="241" t="s">
        <v>4431</v>
      </c>
      <c r="B24" s="241" t="s">
        <v>4448</v>
      </c>
      <c r="C24" s="241" t="s">
        <v>6385</v>
      </c>
      <c r="D24" s="242" t="s">
        <v>6386</v>
      </c>
      <c r="E24" s="243">
        <v>46234</v>
      </c>
    </row>
    <row r="25" spans="1:5" ht="20.25" customHeight="1">
      <c r="A25" s="241" t="s">
        <v>4431</v>
      </c>
      <c r="B25" s="241" t="s">
        <v>4439</v>
      </c>
      <c r="C25" s="241" t="s">
        <v>5132</v>
      </c>
      <c r="D25" s="242" t="s">
        <v>5136</v>
      </c>
      <c r="E25" s="243">
        <v>46237</v>
      </c>
    </row>
    <row r="26" spans="1:5" ht="20.25" customHeight="1">
      <c r="A26" s="241" t="s">
        <v>4431</v>
      </c>
      <c r="B26" s="241" t="s">
        <v>4439</v>
      </c>
      <c r="C26" s="241" t="s">
        <v>6370</v>
      </c>
      <c r="D26" s="274" t="s">
        <v>6374</v>
      </c>
      <c r="E26" s="243">
        <v>46234</v>
      </c>
    </row>
    <row r="27" spans="1:5" ht="20.25" customHeight="1">
      <c r="A27" s="241" t="s">
        <v>4431</v>
      </c>
      <c r="B27" s="241" t="s">
        <v>4439</v>
      </c>
      <c r="C27" s="241" t="s">
        <v>4834</v>
      </c>
      <c r="D27" s="247" t="s">
        <v>4838</v>
      </c>
      <c r="E27" s="243">
        <v>46234</v>
      </c>
    </row>
    <row r="28" spans="1:5" ht="20.25" customHeight="1">
      <c r="A28" s="241" t="s">
        <v>4431</v>
      </c>
      <c r="B28" s="241" t="s">
        <v>4439</v>
      </c>
      <c r="C28" s="241" t="s">
        <v>6416</v>
      </c>
      <c r="D28" s="242" t="s">
        <v>6420</v>
      </c>
      <c r="E28" s="243">
        <v>46234</v>
      </c>
    </row>
    <row r="29" spans="1:5" ht="20.25" customHeight="1">
      <c r="A29" s="241"/>
      <c r="B29" s="241"/>
      <c r="C29" s="241"/>
      <c r="D29" s="242"/>
      <c r="E29" s="243"/>
    </row>
    <row r="30" spans="1:5" ht="20.25" customHeight="1">
      <c r="A30" s="128"/>
      <c r="B30" s="128"/>
      <c r="C30" s="128"/>
      <c r="D30" s="215"/>
      <c r="E30" s="216"/>
    </row>
    <row r="31" spans="1:5" ht="20.25" customHeight="1">
      <c r="A31" s="120"/>
      <c r="B31" s="120"/>
      <c r="C31" s="120"/>
      <c r="D31" s="121"/>
      <c r="E31" s="213"/>
    </row>
    <row r="32" spans="1:5" ht="20.25" customHeight="1">
      <c r="A32" s="120"/>
      <c r="B32" s="120"/>
      <c r="C32" s="120"/>
      <c r="D32" s="121"/>
      <c r="E32" s="213"/>
    </row>
    <row r="33" spans="1:5" ht="20.25" customHeight="1">
      <c r="A33" s="120"/>
      <c r="B33" s="120"/>
      <c r="C33" s="120"/>
      <c r="D33" s="121"/>
      <c r="E33" s="213"/>
    </row>
    <row r="34" spans="1:5" ht="20.25" customHeight="1">
      <c r="A34" s="120"/>
      <c r="B34" s="120"/>
      <c r="C34" s="120"/>
      <c r="D34" s="121"/>
      <c r="E34" s="213"/>
    </row>
    <row r="35" spans="1:5" ht="20.25" customHeight="1">
      <c r="A35" s="128"/>
      <c r="B35" s="128"/>
      <c r="C35" s="128"/>
      <c r="D35" s="128"/>
      <c r="E35" s="145"/>
    </row>
    <row r="36" spans="1:5" ht="20.25" customHeight="1">
      <c r="A36" s="120"/>
      <c r="B36" s="120"/>
      <c r="C36" s="120"/>
      <c r="D36" s="120"/>
      <c r="E36" s="105"/>
    </row>
    <row r="37" spans="1:5" ht="20.25" customHeight="1">
      <c r="A37" s="120"/>
      <c r="B37" s="120"/>
      <c r="C37" s="120"/>
      <c r="D37" s="120"/>
      <c r="E37" s="105"/>
    </row>
    <row r="38" spans="1:5" ht="20.25" customHeight="1">
      <c r="A38" s="120"/>
      <c r="B38" s="120"/>
      <c r="C38" s="120"/>
      <c r="D38" s="120"/>
      <c r="E38" s="105"/>
    </row>
    <row r="39" spans="1:5" ht="20.25" customHeight="1">
      <c r="A39" s="120"/>
      <c r="B39" s="120"/>
      <c r="C39" s="120"/>
      <c r="D39" s="120"/>
      <c r="E39" s="105"/>
    </row>
    <row r="40" spans="1:5" ht="20.25" customHeight="1">
      <c r="A40" s="120"/>
      <c r="B40" s="120"/>
      <c r="C40" s="120"/>
      <c r="D40" s="120"/>
      <c r="E40" s="105"/>
    </row>
    <row r="41" spans="1:5" ht="20.25" customHeight="1">
      <c r="A41" s="120"/>
      <c r="B41" s="120"/>
      <c r="C41" s="120"/>
      <c r="D41" s="120"/>
      <c r="E41" s="103"/>
    </row>
    <row r="42" spans="1:5" ht="20.25" customHeight="1">
      <c r="A42" s="120"/>
      <c r="B42" s="120"/>
      <c r="C42" s="120"/>
      <c r="D42" s="120"/>
      <c r="E42" s="105"/>
    </row>
    <row r="43" spans="1:5" ht="20.25" customHeight="1">
      <c r="A43" s="120"/>
      <c r="B43" s="120"/>
      <c r="C43" s="120"/>
      <c r="D43" s="120"/>
      <c r="E43" s="108"/>
    </row>
    <row r="44" spans="1:5" ht="20.25" customHeight="1">
      <c r="A44" s="120"/>
      <c r="B44" s="120"/>
      <c r="C44" s="120"/>
      <c r="D44" s="121"/>
      <c r="E44" s="103"/>
    </row>
    <row r="45" spans="1:5" ht="20.25" customHeight="1">
      <c r="A45" s="120"/>
      <c r="B45" s="120"/>
      <c r="C45" s="120"/>
      <c r="D45" s="120"/>
      <c r="E45" s="119"/>
    </row>
    <row r="46" spans="1:5" ht="20.25" customHeight="1">
      <c r="A46" s="120" t="s">
        <v>7815</v>
      </c>
      <c r="B46" s="120"/>
      <c r="C46" s="120" t="s">
        <v>7816</v>
      </c>
      <c r="D46" s="120" t="s">
        <v>7817</v>
      </c>
      <c r="E46" s="105">
        <v>44961</v>
      </c>
    </row>
    <row r="47" spans="1:5" ht="20.25" customHeight="1">
      <c r="A47" s="120" t="s">
        <v>7815</v>
      </c>
      <c r="B47" s="120"/>
      <c r="C47" s="120" t="s">
        <v>7818</v>
      </c>
      <c r="D47" s="120" t="s">
        <v>7819</v>
      </c>
      <c r="E47" s="105">
        <v>44923</v>
      </c>
    </row>
    <row r="48" spans="1:5" ht="20.25" customHeight="1">
      <c r="A48" s="120" t="s">
        <v>7815</v>
      </c>
      <c r="B48" s="120"/>
      <c r="C48" s="120" t="s">
        <v>7820</v>
      </c>
      <c r="D48" s="120" t="s">
        <v>7821</v>
      </c>
      <c r="E48" s="119">
        <v>45013</v>
      </c>
    </row>
    <row r="49" spans="1:5" ht="20.25" customHeight="1">
      <c r="A49" s="120" t="s">
        <v>7815</v>
      </c>
      <c r="B49" s="120"/>
      <c r="C49" s="120" t="s">
        <v>7822</v>
      </c>
      <c r="D49" s="120" t="s">
        <v>7823</v>
      </c>
      <c r="E49" s="108">
        <v>45148</v>
      </c>
    </row>
    <row r="50" spans="1:5" ht="20.25" customHeight="1">
      <c r="A50" s="120" t="s">
        <v>7815</v>
      </c>
      <c r="B50" s="120"/>
      <c r="C50" s="120" t="s">
        <v>7824</v>
      </c>
      <c r="D50" s="120" t="s">
        <v>7825</v>
      </c>
      <c r="E50" s="107"/>
    </row>
    <row r="51" spans="1:5" ht="20.25" customHeight="1">
      <c r="A51" s="120" t="s">
        <v>7815</v>
      </c>
      <c r="B51" s="120"/>
      <c r="C51" s="120" t="s">
        <v>7826</v>
      </c>
      <c r="D51" s="120" t="s">
        <v>7827</v>
      </c>
      <c r="E51" s="103"/>
    </row>
    <row r="52" spans="1:5" ht="20.25" customHeight="1">
      <c r="A52" s="120" t="s">
        <v>7815</v>
      </c>
      <c r="B52" s="120"/>
      <c r="C52" s="120" t="s">
        <v>7828</v>
      </c>
      <c r="D52" s="120" t="s">
        <v>7829</v>
      </c>
      <c r="E52" s="107"/>
    </row>
    <row r="53" spans="1:5" ht="20.25" customHeight="1">
      <c r="A53" s="120" t="s">
        <v>7815</v>
      </c>
      <c r="B53" s="120"/>
      <c r="C53" s="120" t="s">
        <v>7830</v>
      </c>
      <c r="D53" s="120" t="s">
        <v>7831</v>
      </c>
      <c r="E53" s="107"/>
    </row>
    <row r="54" spans="1:5" ht="20.25" customHeight="1">
      <c r="A54" s="120" t="s">
        <v>7815</v>
      </c>
      <c r="B54" s="120"/>
      <c r="C54" s="120" t="s">
        <v>7832</v>
      </c>
      <c r="D54" s="120" t="s">
        <v>7833</v>
      </c>
      <c r="E54" s="103"/>
    </row>
    <row r="55" spans="1:5" ht="20.25" customHeight="1">
      <c r="A55" s="120" t="s">
        <v>7815</v>
      </c>
      <c r="B55" s="120"/>
      <c r="C55" s="120" t="s">
        <v>7834</v>
      </c>
      <c r="D55" s="120" t="s">
        <v>7835</v>
      </c>
      <c r="E55" s="103"/>
    </row>
    <row r="56" spans="1:5" ht="20.25" customHeight="1">
      <c r="A56" s="120" t="s">
        <v>7815</v>
      </c>
      <c r="B56" s="120"/>
      <c r="C56" s="120" t="s">
        <v>7836</v>
      </c>
      <c r="D56" s="120" t="s">
        <v>7837</v>
      </c>
      <c r="E56" s="109"/>
    </row>
    <row r="57" spans="1:5" ht="20.25" customHeight="1">
      <c r="A57" s="120" t="s">
        <v>7815</v>
      </c>
      <c r="B57" s="120"/>
      <c r="C57" s="120" t="s">
        <v>7838</v>
      </c>
      <c r="D57" s="120" t="s">
        <v>7839</v>
      </c>
      <c r="E57" s="105">
        <v>45056</v>
      </c>
    </row>
    <row r="58" spans="1:5" ht="20.25" customHeight="1">
      <c r="A58" s="120" t="s">
        <v>7815</v>
      </c>
      <c r="B58" s="120"/>
      <c r="C58" s="120" t="s">
        <v>7840</v>
      </c>
      <c r="D58" s="120" t="s">
        <v>7841</v>
      </c>
      <c r="E58" s="119">
        <v>45013</v>
      </c>
    </row>
    <row r="59" spans="1:5" ht="20.25" customHeight="1">
      <c r="A59" s="120" t="s">
        <v>7815</v>
      </c>
      <c r="B59" s="120"/>
      <c r="C59" s="120" t="s">
        <v>7842</v>
      </c>
      <c r="D59" s="120" t="s">
        <v>7843</v>
      </c>
      <c r="E59" s="105">
        <v>45097</v>
      </c>
    </row>
    <row r="60" spans="1:5" ht="20.25" customHeight="1">
      <c r="A60" s="120" t="s">
        <v>7815</v>
      </c>
      <c r="B60" s="120"/>
      <c r="C60" s="120" t="s">
        <v>7844</v>
      </c>
      <c r="D60" s="120" t="s">
        <v>7845</v>
      </c>
      <c r="E60" s="105">
        <v>44816</v>
      </c>
    </row>
    <row r="61" spans="1:5" ht="20.25" customHeight="1">
      <c r="A61" s="120" t="s">
        <v>7815</v>
      </c>
      <c r="B61" s="120"/>
      <c r="C61" s="120" t="s">
        <v>7846</v>
      </c>
      <c r="D61" s="120" t="s">
        <v>7847</v>
      </c>
      <c r="E61" s="103"/>
    </row>
    <row r="62" spans="1:5" ht="20.25" customHeight="1">
      <c r="A62" s="120" t="s">
        <v>7815</v>
      </c>
      <c r="B62" s="120"/>
      <c r="C62" s="120" t="s">
        <v>7848</v>
      </c>
      <c r="D62" s="120" t="s">
        <v>7849</v>
      </c>
      <c r="E62" s="103" t="s">
        <v>4357</v>
      </c>
    </row>
    <row r="63" spans="1:5" ht="20.25" customHeight="1">
      <c r="A63" s="120" t="s">
        <v>7815</v>
      </c>
      <c r="B63" s="120"/>
      <c r="C63" s="120" t="s">
        <v>7850</v>
      </c>
      <c r="D63" s="120" t="s">
        <v>7851</v>
      </c>
      <c r="E63" s="103"/>
    </row>
    <row r="64" spans="1:5" ht="20.25" customHeight="1">
      <c r="A64" s="120" t="s">
        <v>7815</v>
      </c>
      <c r="B64" s="120"/>
      <c r="C64" s="120" t="s">
        <v>7852</v>
      </c>
      <c r="D64" s="120" t="s">
        <v>7853</v>
      </c>
      <c r="E64" s="103"/>
    </row>
    <row r="65" spans="1:5" ht="20.25" customHeight="1">
      <c r="A65" s="120" t="s">
        <v>7815</v>
      </c>
      <c r="B65" s="120"/>
      <c r="C65" s="120" t="s">
        <v>7854</v>
      </c>
      <c r="D65" s="120" t="s">
        <v>7855</v>
      </c>
      <c r="E65" s="105">
        <v>44877</v>
      </c>
    </row>
    <row r="66" spans="1:5" ht="20.25" customHeight="1">
      <c r="A66" s="120" t="s">
        <v>7815</v>
      </c>
      <c r="B66" s="120"/>
      <c r="C66" s="120" t="s">
        <v>7856</v>
      </c>
      <c r="D66" s="120" t="s">
        <v>7857</v>
      </c>
      <c r="E66" s="105">
        <v>44876</v>
      </c>
    </row>
    <row r="67" spans="1:5" ht="20.25" customHeight="1">
      <c r="A67" s="120" t="s">
        <v>7815</v>
      </c>
      <c r="B67" s="120"/>
      <c r="C67" s="120" t="s">
        <v>7858</v>
      </c>
      <c r="D67" s="120" t="s">
        <v>7859</v>
      </c>
      <c r="E67" s="105">
        <v>44910</v>
      </c>
    </row>
    <row r="68" spans="1:5" ht="20.25" customHeight="1">
      <c r="A68" s="120" t="s">
        <v>7815</v>
      </c>
      <c r="B68" s="120"/>
      <c r="C68" s="120" t="s">
        <v>7860</v>
      </c>
      <c r="D68" s="120" t="s">
        <v>7861</v>
      </c>
      <c r="E68" s="108">
        <v>45148</v>
      </c>
    </row>
    <row r="69" spans="1:5" ht="20.25" customHeight="1">
      <c r="A69" s="120" t="s">
        <v>7815</v>
      </c>
      <c r="B69" s="120"/>
      <c r="C69" s="120" t="s">
        <v>7862</v>
      </c>
      <c r="D69" s="120" t="s">
        <v>7863</v>
      </c>
      <c r="E69" s="108">
        <v>45065</v>
      </c>
    </row>
    <row r="70" spans="1:5" ht="20.25" customHeight="1">
      <c r="A70" s="120" t="s">
        <v>7815</v>
      </c>
      <c r="B70" s="120"/>
      <c r="C70" s="120" t="s">
        <v>7864</v>
      </c>
      <c r="D70" s="120" t="s">
        <v>7865</v>
      </c>
      <c r="E70" s="108">
        <v>45049</v>
      </c>
    </row>
    <row r="71" spans="1:5" ht="20.25" customHeight="1">
      <c r="A71" s="120" t="s">
        <v>7815</v>
      </c>
      <c r="B71" s="120"/>
      <c r="C71" s="120" t="s">
        <v>7866</v>
      </c>
      <c r="D71" s="120" t="s">
        <v>7867</v>
      </c>
      <c r="E71" s="108">
        <v>45065</v>
      </c>
    </row>
    <row r="72" spans="1:5" ht="20.25" customHeight="1">
      <c r="A72" s="120" t="s">
        <v>7815</v>
      </c>
      <c r="B72" s="120"/>
      <c r="C72" s="120" t="s">
        <v>7868</v>
      </c>
      <c r="D72" s="120" t="s">
        <v>7869</v>
      </c>
      <c r="E72" s="105">
        <v>44922</v>
      </c>
    </row>
    <row r="73" spans="1:5" ht="20.25" customHeight="1">
      <c r="A73" s="120" t="s">
        <v>7815</v>
      </c>
      <c r="B73" s="120"/>
      <c r="C73" s="120" t="s">
        <v>7870</v>
      </c>
      <c r="D73" s="120" t="s">
        <v>7871</v>
      </c>
      <c r="E73" s="105">
        <v>44961</v>
      </c>
    </row>
    <row r="74" spans="1:5" ht="20.25" customHeight="1">
      <c r="A74" s="120" t="s">
        <v>7815</v>
      </c>
      <c r="B74" s="120"/>
      <c r="C74" s="120" t="s">
        <v>7872</v>
      </c>
      <c r="D74" s="120" t="s">
        <v>7873</v>
      </c>
      <c r="E74" s="103" t="s">
        <v>4357</v>
      </c>
    </row>
    <row r="75" spans="1:5" ht="20.25" customHeight="1">
      <c r="A75" s="120" t="s">
        <v>7815</v>
      </c>
      <c r="B75" s="120"/>
      <c r="C75" s="120" t="s">
        <v>7874</v>
      </c>
      <c r="D75" s="120" t="s">
        <v>7875</v>
      </c>
      <c r="E75" s="108">
        <v>45049</v>
      </c>
    </row>
    <row r="76" spans="1:5" ht="20.25" customHeight="1">
      <c r="A76" s="120" t="s">
        <v>7815</v>
      </c>
      <c r="B76" s="120"/>
      <c r="C76" s="122" t="s">
        <v>7876</v>
      </c>
      <c r="D76" s="123" t="s">
        <v>7877</v>
      </c>
      <c r="E76" s="103" t="s">
        <v>4357</v>
      </c>
    </row>
    <row r="77" spans="1:5" ht="20.25" customHeight="1">
      <c r="A77" s="120" t="s">
        <v>7815</v>
      </c>
      <c r="B77" s="120"/>
      <c r="C77" s="122" t="s">
        <v>7878</v>
      </c>
      <c r="D77" s="124" t="s">
        <v>7879</v>
      </c>
      <c r="E77" s="103" t="s">
        <v>4357</v>
      </c>
    </row>
    <row r="78" spans="1:5" ht="20.25" customHeight="1">
      <c r="C78" s="125"/>
      <c r="D78" s="126"/>
      <c r="E78" s="103" t="s">
        <v>4357</v>
      </c>
    </row>
    <row r="79" spans="1:5" ht="20.25" customHeight="1">
      <c r="C79" s="91"/>
      <c r="D79" s="127"/>
      <c r="E79" s="105">
        <v>44910</v>
      </c>
    </row>
    <row r="80" spans="1:5" ht="20.25" customHeight="1">
      <c r="C80" s="91"/>
      <c r="D80" s="127"/>
      <c r="E80" s="105">
        <v>44840</v>
      </c>
    </row>
    <row r="81" spans="3:5" ht="20.25" customHeight="1">
      <c r="C81" s="91"/>
      <c r="D81" s="127"/>
      <c r="E81" s="103" t="s">
        <v>4357</v>
      </c>
    </row>
    <row r="82" spans="3:5" ht="20.25" customHeight="1">
      <c r="C82" s="91"/>
      <c r="D82" s="127"/>
      <c r="E82" s="103" t="s">
        <v>4357</v>
      </c>
    </row>
    <row r="83" spans="3:5" ht="20.25" customHeight="1">
      <c r="C83" s="91"/>
      <c r="D83" s="127"/>
      <c r="E83" s="105">
        <v>44877</v>
      </c>
    </row>
    <row r="84" spans="3:5" ht="20.25" customHeight="1">
      <c r="C84" s="91"/>
      <c r="D84" s="127"/>
      <c r="E84" s="103" t="s">
        <v>4357</v>
      </c>
    </row>
    <row r="85" spans="3:5" ht="20.25" customHeight="1">
      <c r="C85" s="91"/>
      <c r="E85" s="103" t="s">
        <v>4357</v>
      </c>
    </row>
    <row r="86" spans="3:5" ht="20.25" customHeight="1">
      <c r="C86" s="91"/>
      <c r="E86" s="105">
        <v>44840</v>
      </c>
    </row>
    <row r="87" spans="3:5" ht="20.25" customHeight="1">
      <c r="C87" s="91"/>
      <c r="E87" s="103" t="s">
        <v>4357</v>
      </c>
    </row>
    <row r="88" spans="3:5" ht="20.25" customHeight="1">
      <c r="C88" s="91"/>
      <c r="E88" s="103" t="s">
        <v>4357</v>
      </c>
    </row>
    <row r="89" spans="3:5" ht="20.25" customHeight="1">
      <c r="C89" s="91"/>
      <c r="E89" s="103" t="s">
        <v>4357</v>
      </c>
    </row>
    <row r="90" spans="3:5" ht="20.25" customHeight="1">
      <c r="C90" s="91"/>
      <c r="E90" s="103" t="s">
        <v>4357</v>
      </c>
    </row>
    <row r="91" spans="3:5" ht="20.25" customHeight="1">
      <c r="C91" s="97" t="s">
        <v>7880</v>
      </c>
      <c r="E91" s="103" t="s">
        <v>4357</v>
      </c>
    </row>
    <row r="92" spans="3:5" ht="20.25" customHeight="1">
      <c r="C92" s="97" t="s">
        <v>7881</v>
      </c>
      <c r="E92" s="103" t="s">
        <v>4357</v>
      </c>
    </row>
    <row r="93" spans="3:5" ht="20.25" customHeight="1">
      <c r="C93" s="91" t="s">
        <v>7882</v>
      </c>
      <c r="E93" s="103" t="s">
        <v>4357</v>
      </c>
    </row>
    <row r="94" spans="3:5" ht="20.25" customHeight="1">
      <c r="C94" s="91" t="s">
        <v>7883</v>
      </c>
      <c r="E94" s="103" t="s">
        <v>4357</v>
      </c>
    </row>
    <row r="95" spans="3:5" ht="20.25" customHeight="1">
      <c r="C95" s="91" t="s">
        <v>7884</v>
      </c>
      <c r="E95" s="103" t="s">
        <v>4357</v>
      </c>
    </row>
    <row r="96" spans="3:5" ht="20.25" customHeight="1">
      <c r="C96" s="91" t="s">
        <v>7885</v>
      </c>
      <c r="E96" s="103"/>
    </row>
    <row r="97" spans="3:5" ht="20.25" customHeight="1">
      <c r="C97" s="91" t="s">
        <v>7886</v>
      </c>
      <c r="E97" s="103"/>
    </row>
    <row r="98" spans="3:5" ht="20.25" customHeight="1">
      <c r="C98" s="91" t="s">
        <v>7887</v>
      </c>
      <c r="E98" s="119">
        <v>45013</v>
      </c>
    </row>
    <row r="99" spans="3:5" ht="20.25" customHeight="1">
      <c r="C99" s="91" t="s">
        <v>7888</v>
      </c>
      <c r="E99" s="119">
        <v>45013</v>
      </c>
    </row>
    <row r="100" spans="3:5" ht="20.25" customHeight="1">
      <c r="C100" s="91" t="s">
        <v>7889</v>
      </c>
      <c r="E100" s="103" t="s">
        <v>4357</v>
      </c>
    </row>
    <row r="101" spans="3:5" ht="20.25" customHeight="1">
      <c r="C101" s="97" t="s">
        <v>7890</v>
      </c>
      <c r="E101" s="103" t="s">
        <v>4357</v>
      </c>
    </row>
    <row r="102" spans="3:5" ht="20.25" customHeight="1">
      <c r="C102" s="91" t="s">
        <v>7891</v>
      </c>
      <c r="E102" s="105">
        <v>44853</v>
      </c>
    </row>
    <row r="103" spans="3:5" ht="20.25" customHeight="1">
      <c r="C103" s="91" t="s">
        <v>7892</v>
      </c>
      <c r="E103" s="105">
        <v>44840</v>
      </c>
    </row>
    <row r="104" spans="3:5" ht="20.25" customHeight="1">
      <c r="C104" s="91" t="s">
        <v>7893</v>
      </c>
      <c r="E104" s="105">
        <v>44840</v>
      </c>
    </row>
    <row r="105" spans="3:5" ht="20.25" customHeight="1">
      <c r="C105" s="91" t="s">
        <v>7894</v>
      </c>
      <c r="E105" s="106"/>
    </row>
    <row r="106" spans="3:5" ht="20.25" customHeight="1">
      <c r="C106" s="97" t="s">
        <v>7895</v>
      </c>
      <c r="E106" s="105">
        <v>44910</v>
      </c>
    </row>
    <row r="107" spans="3:5" ht="20.25" customHeight="1">
      <c r="C107" s="91" t="s">
        <v>7896</v>
      </c>
      <c r="E107" s="105">
        <v>44961</v>
      </c>
    </row>
    <row r="108" spans="3:5" ht="20.25" customHeight="1">
      <c r="C108" s="91" t="s">
        <v>7897</v>
      </c>
      <c r="E108" s="103" t="s">
        <v>4357</v>
      </c>
    </row>
    <row r="109" spans="3:5" ht="20.25" customHeight="1">
      <c r="C109" s="91" t="s">
        <v>7898</v>
      </c>
      <c r="E109" s="103" t="s">
        <v>4357</v>
      </c>
    </row>
    <row r="110" spans="3:5" ht="20.25" customHeight="1">
      <c r="C110" s="97" t="s">
        <v>7899</v>
      </c>
      <c r="E110" s="105">
        <v>44862</v>
      </c>
    </row>
    <row r="111" spans="3:5" ht="20.25" customHeight="1">
      <c r="C111" s="91" t="s">
        <v>7900</v>
      </c>
      <c r="E111" s="105">
        <v>44877</v>
      </c>
    </row>
    <row r="112" spans="3:5" ht="20.25" customHeight="1">
      <c r="C112" s="91" t="s">
        <v>7901</v>
      </c>
      <c r="E112" s="105">
        <v>44840</v>
      </c>
    </row>
    <row r="113" spans="3:5" ht="20.25" customHeight="1">
      <c r="C113" s="97" t="s">
        <v>7902</v>
      </c>
      <c r="E113" s="103" t="s">
        <v>4357</v>
      </c>
    </row>
    <row r="114" spans="3:5" ht="20.25" customHeight="1">
      <c r="C114" s="91" t="s">
        <v>7903</v>
      </c>
      <c r="E114" s="105">
        <v>44840</v>
      </c>
    </row>
    <row r="115" spans="3:5" ht="20.25" customHeight="1">
      <c r="C115" s="91" t="s">
        <v>7904</v>
      </c>
      <c r="E115" s="103" t="s">
        <v>4357</v>
      </c>
    </row>
    <row r="116" spans="3:5" ht="20.25" customHeight="1">
      <c r="C116" s="91" t="s">
        <v>7905</v>
      </c>
      <c r="E116" s="103" t="s">
        <v>4357</v>
      </c>
    </row>
    <row r="117" spans="3:5" ht="20.25" customHeight="1">
      <c r="C117" s="91" t="s">
        <v>7906</v>
      </c>
      <c r="E117" s="105">
        <v>44840</v>
      </c>
    </row>
    <row r="118" spans="3:5" ht="20.25" customHeight="1">
      <c r="C118" s="91" t="s">
        <v>7907</v>
      </c>
      <c r="E118" s="105">
        <v>44877</v>
      </c>
    </row>
    <row r="119" spans="3:5" ht="20.25" customHeight="1">
      <c r="C119" s="91" t="s">
        <v>7908</v>
      </c>
      <c r="E119" s="105">
        <v>44890</v>
      </c>
    </row>
    <row r="120" spans="3:5" ht="20.25" customHeight="1">
      <c r="C120" s="91" t="s">
        <v>7909</v>
      </c>
      <c r="E120" s="105">
        <v>45013</v>
      </c>
    </row>
    <row r="121" spans="3:5" ht="20.25" customHeight="1">
      <c r="C121" s="91" t="s">
        <v>7910</v>
      </c>
      <c r="E121" s="105">
        <v>45013</v>
      </c>
    </row>
    <row r="122" spans="3:5" ht="20.25" customHeight="1">
      <c r="C122" s="91" t="s">
        <v>7911</v>
      </c>
      <c r="E122" s="105"/>
    </row>
    <row r="123" spans="3:5" ht="20.25" customHeight="1">
      <c r="C123" s="91" t="s">
        <v>7912</v>
      </c>
      <c r="E123" s="105"/>
    </row>
    <row r="124" spans="3:5" ht="20.25" customHeight="1">
      <c r="C124" s="91" t="s">
        <v>7913</v>
      </c>
      <c r="E124" s="112"/>
    </row>
    <row r="125" spans="3:5" ht="20.25" customHeight="1">
      <c r="C125" s="91" t="s">
        <v>7914</v>
      </c>
      <c r="E125" s="112"/>
    </row>
    <row r="126" spans="3:5" ht="20.25" customHeight="1">
      <c r="C126" s="91" t="s">
        <v>7915</v>
      </c>
      <c r="E126" s="112"/>
    </row>
    <row r="127" spans="3:5" ht="20.25" customHeight="1">
      <c r="C127" s="97" t="s">
        <v>7916</v>
      </c>
      <c r="E127" s="112"/>
    </row>
    <row r="128" spans="3:5" ht="20.25" customHeight="1">
      <c r="C128" s="91" t="s">
        <v>7917</v>
      </c>
      <c r="E128" s="112"/>
    </row>
    <row r="129" spans="3:5" ht="20.25" customHeight="1">
      <c r="C129" s="97" t="s">
        <v>7918</v>
      </c>
      <c r="E129" s="112"/>
    </row>
    <row r="130" spans="3:5" ht="20.25" customHeight="1">
      <c r="C130" s="91" t="s">
        <v>7919</v>
      </c>
      <c r="E130" s="108">
        <v>45105</v>
      </c>
    </row>
    <row r="131" spans="3:5" ht="20.25" customHeight="1">
      <c r="C131" s="91" t="s">
        <v>7920</v>
      </c>
      <c r="E131" s="109"/>
    </row>
    <row r="132" spans="3:5" ht="20.25" customHeight="1">
      <c r="C132" s="91" t="s">
        <v>7921</v>
      </c>
      <c r="E132" s="112"/>
    </row>
    <row r="133" spans="3:5" ht="20.25" customHeight="1">
      <c r="C133" s="91" t="s">
        <v>7922</v>
      </c>
      <c r="E133" s="112"/>
    </row>
    <row r="134" spans="3:5" ht="20.25" customHeight="1">
      <c r="C134" s="91" t="s">
        <v>7923</v>
      </c>
      <c r="E134" s="112"/>
    </row>
    <row r="135" spans="3:5" ht="20.25" customHeight="1">
      <c r="C135" s="91" t="s">
        <v>7924</v>
      </c>
      <c r="E135" s="108">
        <v>45105</v>
      </c>
    </row>
    <row r="136" spans="3:5" ht="20.25" customHeight="1">
      <c r="C136" s="91" t="s">
        <v>7925</v>
      </c>
      <c r="E136" s="112"/>
    </row>
    <row r="137" spans="3:5" ht="20.25" customHeight="1">
      <c r="C137" s="91" t="s">
        <v>7926</v>
      </c>
      <c r="E137" s="112"/>
    </row>
    <row r="138" spans="3:5" ht="20.25" customHeight="1">
      <c r="C138" s="91" t="s">
        <v>7927</v>
      </c>
      <c r="E138" s="108">
        <v>45049</v>
      </c>
    </row>
    <row r="139" spans="3:5" ht="20.25" customHeight="1">
      <c r="C139" s="91" t="s">
        <v>7928</v>
      </c>
      <c r="E139" s="112"/>
    </row>
    <row r="140" spans="3:5" ht="20.25" customHeight="1">
      <c r="C140" s="91" t="s">
        <v>7929</v>
      </c>
      <c r="E140" s="112"/>
    </row>
    <row r="141" spans="3:5" ht="20.25" customHeight="1">
      <c r="C141" s="91" t="s">
        <v>7930</v>
      </c>
      <c r="E141" s="112"/>
    </row>
    <row r="142" spans="3:5" ht="20.25" customHeight="1">
      <c r="C142" s="91" t="s">
        <v>7931</v>
      </c>
      <c r="E142" s="112"/>
    </row>
    <row r="143" spans="3:5" ht="20.25" customHeight="1">
      <c r="C143" s="91" t="s">
        <v>7932</v>
      </c>
      <c r="E143" s="112"/>
    </row>
    <row r="144" spans="3:5" ht="20.25" customHeight="1">
      <c r="C144" s="91" t="s">
        <v>7933</v>
      </c>
      <c r="E144" s="105">
        <v>45056</v>
      </c>
    </row>
    <row r="145" spans="3:5" ht="20.25" customHeight="1">
      <c r="C145" s="91" t="s">
        <v>7934</v>
      </c>
      <c r="E145" s="105">
        <v>45056</v>
      </c>
    </row>
    <row r="146" spans="3:5" ht="20.25" customHeight="1">
      <c r="C146" s="90" t="s">
        <v>7935</v>
      </c>
      <c r="E146" s="105">
        <v>45056</v>
      </c>
    </row>
    <row r="147" spans="3:5" ht="20.25" customHeight="1">
      <c r="C147" s="91" t="s">
        <v>7936</v>
      </c>
      <c r="E147" s="112"/>
    </row>
    <row r="148" spans="3:5" ht="20.25" customHeight="1">
      <c r="C148" s="91" t="s">
        <v>7937</v>
      </c>
      <c r="E148" s="112"/>
    </row>
    <row r="149" spans="3:5" ht="20.25" customHeight="1">
      <c r="C149" s="91" t="s">
        <v>7938</v>
      </c>
      <c r="E149" s="112"/>
    </row>
    <row r="150" spans="3:5" ht="20.25" customHeight="1">
      <c r="C150" s="91" t="s">
        <v>7939</v>
      </c>
      <c r="E150" s="112"/>
    </row>
    <row r="151" spans="3:5" ht="20.25" customHeight="1">
      <c r="C151" s="91" t="s">
        <v>7940</v>
      </c>
      <c r="E151" s="112"/>
    </row>
    <row r="152" spans="3:5" ht="20.25" customHeight="1">
      <c r="C152" s="91" t="s">
        <v>7941</v>
      </c>
      <c r="E152" s="112"/>
    </row>
    <row r="153" spans="3:5" ht="20.25" customHeight="1">
      <c r="C153" s="97" t="s">
        <v>7942</v>
      </c>
      <c r="E153" s="112"/>
    </row>
    <row r="154" spans="3:5" ht="20.25" customHeight="1">
      <c r="C154" s="91" t="s">
        <v>7943</v>
      </c>
      <c r="E154" s="112"/>
    </row>
    <row r="155" spans="3:5" ht="20.25" customHeight="1">
      <c r="C155" s="91" t="s">
        <v>7944</v>
      </c>
      <c r="E155" s="112"/>
    </row>
    <row r="156" spans="3:5" ht="20.25" customHeight="1">
      <c r="C156" s="91" t="s">
        <v>7945</v>
      </c>
      <c r="E156" s="109"/>
    </row>
    <row r="157" spans="3:5" ht="20.25" customHeight="1">
      <c r="C157" s="91" t="s">
        <v>7946</v>
      </c>
      <c r="E157" s="105">
        <v>45056</v>
      </c>
    </row>
    <row r="158" spans="3:5" ht="20.25" customHeight="1">
      <c r="C158" s="91" t="s">
        <v>7947</v>
      </c>
      <c r="E158" s="108">
        <v>45148</v>
      </c>
    </row>
    <row r="159" spans="3:5" ht="20.25" customHeight="1">
      <c r="C159" s="91" t="s">
        <v>7948</v>
      </c>
      <c r="E159" s="107"/>
    </row>
    <row r="160" spans="3:5" ht="20.25" customHeight="1">
      <c r="C160" s="91" t="s">
        <v>7949</v>
      </c>
      <c r="E160" s="107"/>
    </row>
    <row r="161" spans="3:5" ht="20.25" customHeight="1">
      <c r="C161" s="91" t="s">
        <v>7950</v>
      </c>
      <c r="E161" s="107"/>
    </row>
    <row r="162" spans="3:5" ht="20.25" customHeight="1">
      <c r="C162" s="91" t="s">
        <v>7951</v>
      </c>
      <c r="E162" s="107"/>
    </row>
    <row r="163" spans="3:5" ht="20.25" customHeight="1">
      <c r="C163" s="91" t="s">
        <v>7952</v>
      </c>
      <c r="E163" s="107"/>
    </row>
    <row r="164" spans="3:5" ht="20.25" customHeight="1">
      <c r="C164" s="91" t="s">
        <v>7953</v>
      </c>
      <c r="E164" s="107"/>
    </row>
    <row r="165" spans="3:5" ht="20.25" customHeight="1">
      <c r="C165" s="91" t="s">
        <v>7954</v>
      </c>
      <c r="E165" s="107"/>
    </row>
    <row r="166" spans="3:5" ht="20.25" customHeight="1">
      <c r="C166" s="91" t="s">
        <v>7955</v>
      </c>
      <c r="E166" s="107"/>
    </row>
    <row r="167" spans="3:5" ht="20.25" customHeight="1">
      <c r="C167" s="91" t="s">
        <v>7956</v>
      </c>
      <c r="E167" s="107"/>
    </row>
    <row r="168" spans="3:5" ht="20.25" customHeight="1">
      <c r="C168" s="91" t="s">
        <v>7957</v>
      </c>
      <c r="E168" s="107"/>
    </row>
    <row r="169" spans="3:5" ht="20.25" customHeight="1">
      <c r="C169" s="91" t="s">
        <v>7958</v>
      </c>
      <c r="E169" s="107"/>
    </row>
    <row r="170" spans="3:5" ht="20.25" customHeight="1">
      <c r="C170" s="91" t="s">
        <v>7959</v>
      </c>
      <c r="E170" s="107"/>
    </row>
    <row r="171" spans="3:5" ht="20.25" customHeight="1">
      <c r="C171" s="91" t="s">
        <v>7960</v>
      </c>
      <c r="E171" s="107"/>
    </row>
    <row r="172" spans="3:5" ht="20.25" customHeight="1">
      <c r="C172" s="97" t="s">
        <v>7961</v>
      </c>
      <c r="E172" s="107"/>
    </row>
    <row r="173" spans="3:5" ht="20.25" customHeight="1">
      <c r="C173" s="91" t="s">
        <v>7962</v>
      </c>
      <c r="E173" s="107"/>
    </row>
    <row r="174" spans="3:5" ht="20.25" customHeight="1">
      <c r="C174" s="91" t="s">
        <v>7963</v>
      </c>
      <c r="E174" s="107"/>
    </row>
    <row r="175" spans="3:5" ht="20.25" customHeight="1">
      <c r="C175" s="91" t="s">
        <v>7964</v>
      </c>
      <c r="E175" s="107"/>
    </row>
    <row r="176" spans="3:5" ht="20.25" customHeight="1">
      <c r="C176" s="91" t="s">
        <v>7965</v>
      </c>
      <c r="E176" s="107"/>
    </row>
    <row r="177" spans="3:5" ht="20.25" customHeight="1">
      <c r="C177" s="91" t="s">
        <v>7966</v>
      </c>
      <c r="E177" s="107"/>
    </row>
    <row r="178" spans="3:5" ht="20.25" customHeight="1">
      <c r="C178" s="91" t="s">
        <v>7967</v>
      </c>
      <c r="E178" s="108">
        <v>45105</v>
      </c>
    </row>
    <row r="179" spans="3:5" ht="20.25" customHeight="1">
      <c r="C179" s="91" t="s">
        <v>7968</v>
      </c>
      <c r="E179" s="105">
        <v>44992</v>
      </c>
    </row>
    <row r="180" spans="3:5" ht="20.25" customHeight="1">
      <c r="C180" s="97" t="s">
        <v>7969</v>
      </c>
      <c r="E180" s="105">
        <v>45056</v>
      </c>
    </row>
    <row r="181" spans="3:5" ht="20.25" customHeight="1">
      <c r="C181" s="91" t="s">
        <v>7970</v>
      </c>
      <c r="E181" s="105">
        <v>44992</v>
      </c>
    </row>
    <row r="182" spans="3:5" ht="20.25" customHeight="1">
      <c r="C182" s="91" t="s">
        <v>7971</v>
      </c>
      <c r="E182" s="105">
        <v>45056</v>
      </c>
    </row>
    <row r="183" spans="3:5" ht="20.25" customHeight="1">
      <c r="C183" s="91" t="s">
        <v>7972</v>
      </c>
      <c r="E183" s="111">
        <v>45111</v>
      </c>
    </row>
    <row r="184" spans="3:5" ht="20.25" customHeight="1">
      <c r="C184" s="91" t="s">
        <v>7973</v>
      </c>
      <c r="E184" s="105">
        <v>45056</v>
      </c>
    </row>
    <row r="185" spans="3:5" ht="20.25" customHeight="1">
      <c r="C185" s="97" t="s">
        <v>7974</v>
      </c>
      <c r="E185" s="107"/>
    </row>
    <row r="186" spans="3:5" ht="20.25" customHeight="1">
      <c r="C186" s="91" t="s">
        <v>7975</v>
      </c>
      <c r="E186" s="107"/>
    </row>
    <row r="187" spans="3:5" ht="20.25" customHeight="1">
      <c r="C187" s="91" t="s">
        <v>7976</v>
      </c>
      <c r="E187" s="105">
        <v>45056</v>
      </c>
    </row>
    <row r="188" spans="3:5" ht="20.25" customHeight="1">
      <c r="C188" s="91" t="s">
        <v>7977</v>
      </c>
      <c r="E188" s="105">
        <v>45056</v>
      </c>
    </row>
    <row r="189" spans="3:5" ht="20.25" customHeight="1">
      <c r="C189" s="91" t="s">
        <v>7978</v>
      </c>
      <c r="E189" s="105">
        <v>45056</v>
      </c>
    </row>
    <row r="190" spans="3:5" ht="20.25" customHeight="1">
      <c r="C190" s="91" t="s">
        <v>7979</v>
      </c>
      <c r="E190" s="105">
        <v>45097</v>
      </c>
    </row>
    <row r="191" spans="3:5" ht="20.25" customHeight="1">
      <c r="C191" s="91" t="s">
        <v>7980</v>
      </c>
      <c r="E191" s="111">
        <v>45111</v>
      </c>
    </row>
    <row r="192" spans="3:5" ht="20.25" customHeight="1">
      <c r="C192" s="91" t="s">
        <v>7981</v>
      </c>
      <c r="E192" s="111">
        <v>45111</v>
      </c>
    </row>
    <row r="193" spans="3:5" ht="20.25" customHeight="1">
      <c r="C193" s="91" t="s">
        <v>7982</v>
      </c>
      <c r="E193" s="111">
        <v>45111</v>
      </c>
    </row>
    <row r="194" spans="3:5" ht="20.25" customHeight="1">
      <c r="C194" s="91" t="s">
        <v>7983</v>
      </c>
      <c r="E194" s="105">
        <v>45097</v>
      </c>
    </row>
    <row r="195" spans="3:5" ht="20.25" customHeight="1">
      <c r="C195" s="91" t="s">
        <v>7984</v>
      </c>
      <c r="E195" s="111">
        <v>45111</v>
      </c>
    </row>
    <row r="196" spans="3:5" ht="20.25" customHeight="1">
      <c r="C196" s="91" t="s">
        <v>7985</v>
      </c>
      <c r="E196" s="111">
        <v>45111</v>
      </c>
    </row>
    <row r="197" spans="3:5" ht="20.25" customHeight="1">
      <c r="C197" s="91" t="s">
        <v>7986</v>
      </c>
      <c r="E197" s="105">
        <v>45097</v>
      </c>
    </row>
    <row r="198" spans="3:5" ht="20.25" customHeight="1">
      <c r="C198" s="91" t="s">
        <v>7987</v>
      </c>
      <c r="E198" s="105">
        <v>45097</v>
      </c>
    </row>
    <row r="199" spans="3:5" ht="20.25" customHeight="1">
      <c r="C199" s="91" t="s">
        <v>7988</v>
      </c>
      <c r="E199" s="105">
        <v>45097</v>
      </c>
    </row>
    <row r="200" spans="3:5" ht="20.25" customHeight="1">
      <c r="C200" s="91" t="s">
        <v>7989</v>
      </c>
      <c r="E200" s="109"/>
    </row>
    <row r="201" spans="3:5" ht="20.25" customHeight="1">
      <c r="C201" s="91" t="s">
        <v>7990</v>
      </c>
      <c r="E201" s="111">
        <v>45111</v>
      </c>
    </row>
    <row r="202" spans="3:5" ht="20.25" customHeight="1">
      <c r="C202" s="91" t="s">
        <v>7991</v>
      </c>
      <c r="E202" s="105">
        <v>45097</v>
      </c>
    </row>
    <row r="203" spans="3:5" ht="20.25" customHeight="1">
      <c r="C203" s="91" t="s">
        <v>7992</v>
      </c>
      <c r="E203" s="108">
        <v>45148</v>
      </c>
    </row>
    <row r="204" spans="3:5" ht="20.25" customHeight="1">
      <c r="C204" s="91" t="s">
        <v>7993</v>
      </c>
      <c r="E204" s="111">
        <v>45111</v>
      </c>
    </row>
    <row r="205" spans="3:5" ht="20.25" customHeight="1">
      <c r="C205" s="91" t="s">
        <v>7994</v>
      </c>
      <c r="E205" s="112"/>
    </row>
    <row r="206" spans="3:5" ht="20.25" customHeight="1">
      <c r="C206" s="91" t="s">
        <v>7995</v>
      </c>
      <c r="E206" s="105">
        <v>44992</v>
      </c>
    </row>
    <row r="207" spans="3:5" ht="20.25" customHeight="1">
      <c r="C207" s="91" t="s">
        <v>7996</v>
      </c>
      <c r="E207" s="105">
        <v>45097</v>
      </c>
    </row>
    <row r="208" spans="3:5" ht="20.25" customHeight="1">
      <c r="C208" s="91" t="s">
        <v>7997</v>
      </c>
      <c r="E208" s="105">
        <v>45097</v>
      </c>
    </row>
    <row r="209" spans="3:5" ht="20.25" customHeight="1">
      <c r="C209" s="91" t="s">
        <v>7998</v>
      </c>
      <c r="E209" s="105">
        <v>45097</v>
      </c>
    </row>
    <row r="210" spans="3:5" ht="20.25" customHeight="1">
      <c r="C210" s="91" t="s">
        <v>7999</v>
      </c>
      <c r="E210" s="112"/>
    </row>
    <row r="211" spans="3:5" ht="20.25" customHeight="1">
      <c r="C211" s="91" t="s">
        <v>8000</v>
      </c>
      <c r="E211" s="112"/>
    </row>
    <row r="212" spans="3:5" ht="20.25" customHeight="1">
      <c r="C212" s="91" t="s">
        <v>8001</v>
      </c>
      <c r="E212" s="105">
        <v>45097</v>
      </c>
    </row>
    <row r="213" spans="3:5" ht="20.25" customHeight="1">
      <c r="C213" s="91" t="s">
        <v>8002</v>
      </c>
      <c r="E213" s="105">
        <v>45097</v>
      </c>
    </row>
    <row r="214" spans="3:5" ht="20.25" customHeight="1">
      <c r="C214" s="91" t="s">
        <v>8003</v>
      </c>
      <c r="E214" s="111">
        <v>45111</v>
      </c>
    </row>
    <row r="215" spans="3:5" ht="20.25" customHeight="1">
      <c r="C215" s="91" t="s">
        <v>8004</v>
      </c>
      <c r="E215" s="105">
        <v>44961</v>
      </c>
    </row>
    <row r="216" spans="3:5" ht="20.25" customHeight="1">
      <c r="C216" s="91" t="s">
        <v>8005</v>
      </c>
      <c r="E216" s="105">
        <v>45097</v>
      </c>
    </row>
    <row r="217" spans="3:5" ht="20.25" customHeight="1">
      <c r="C217" s="91" t="s">
        <v>8006</v>
      </c>
      <c r="E217" s="108">
        <v>45148</v>
      </c>
    </row>
    <row r="218" spans="3:5" ht="20.25" customHeight="1">
      <c r="C218" s="91" t="s">
        <v>8007</v>
      </c>
      <c r="E218" s="111">
        <v>45111</v>
      </c>
    </row>
    <row r="219" spans="3:5" ht="20.25" customHeight="1">
      <c r="C219" s="91" t="s">
        <v>8008</v>
      </c>
      <c r="E219" s="112"/>
    </row>
    <row r="220" spans="3:5" ht="20.25" customHeight="1">
      <c r="C220" s="91" t="s">
        <v>8009</v>
      </c>
      <c r="E220" s="112"/>
    </row>
    <row r="221" spans="3:5" ht="20.25" customHeight="1">
      <c r="C221" s="91" t="s">
        <v>8010</v>
      </c>
      <c r="E221" s="112"/>
    </row>
    <row r="222" spans="3:5" ht="20.25" customHeight="1">
      <c r="C222" s="91" t="s">
        <v>8011</v>
      </c>
      <c r="E222" s="105">
        <v>45097</v>
      </c>
    </row>
    <row r="223" spans="3:5" ht="20.25" customHeight="1">
      <c r="C223" s="91" t="s">
        <v>8012</v>
      </c>
      <c r="E223" s="108">
        <v>45148</v>
      </c>
    </row>
    <row r="224" spans="3:5" ht="20.25" customHeight="1">
      <c r="C224" s="91" t="s">
        <v>8013</v>
      </c>
      <c r="E224" s="111">
        <v>45111</v>
      </c>
    </row>
    <row r="225" spans="3:5" ht="20.25" customHeight="1">
      <c r="C225" s="91" t="s">
        <v>8014</v>
      </c>
      <c r="E225" s="108">
        <v>45148</v>
      </c>
    </row>
    <row r="226" spans="3:5" ht="20.25" customHeight="1">
      <c r="C226" s="91" t="s">
        <v>8015</v>
      </c>
      <c r="E226" s="108">
        <v>45148</v>
      </c>
    </row>
    <row r="227" spans="3:5" ht="20.25" customHeight="1">
      <c r="C227" s="91" t="s">
        <v>8016</v>
      </c>
      <c r="E227" s="105">
        <v>45097</v>
      </c>
    </row>
    <row r="228" spans="3:5" ht="20.25" customHeight="1">
      <c r="C228" s="91" t="s">
        <v>8017</v>
      </c>
      <c r="E228" s="112"/>
    </row>
    <row r="229" spans="3:5" ht="20.25" customHeight="1">
      <c r="C229" s="91" t="s">
        <v>8018</v>
      </c>
      <c r="E229" s="111">
        <v>45111</v>
      </c>
    </row>
    <row r="230" spans="3:5" ht="20.25" customHeight="1">
      <c r="C230" s="91" t="s">
        <v>8019</v>
      </c>
      <c r="E230" s="111">
        <v>45111</v>
      </c>
    </row>
    <row r="231" spans="3:5" ht="20.25" customHeight="1">
      <c r="C231" s="91" t="s">
        <v>8020</v>
      </c>
      <c r="E231" s="105">
        <v>45097</v>
      </c>
    </row>
    <row r="232" spans="3:5" ht="20.25" customHeight="1">
      <c r="C232" s="91" t="s">
        <v>8021</v>
      </c>
      <c r="E232" s="111">
        <v>45111</v>
      </c>
    </row>
    <row r="233" spans="3:5" ht="20.25" customHeight="1">
      <c r="C233" s="91" t="s">
        <v>8022</v>
      </c>
      <c r="E233" s="111">
        <v>45111</v>
      </c>
    </row>
    <row r="234" spans="3:5" ht="20.25" customHeight="1">
      <c r="C234" s="91" t="s">
        <v>8023</v>
      </c>
      <c r="E234" s="105">
        <v>45097</v>
      </c>
    </row>
    <row r="235" spans="3:5" ht="20.25" customHeight="1">
      <c r="C235" s="91" t="s">
        <v>8024</v>
      </c>
      <c r="E235" s="105">
        <v>44992</v>
      </c>
    </row>
    <row r="236" spans="3:5" ht="20.25" customHeight="1">
      <c r="C236" s="91" t="s">
        <v>8025</v>
      </c>
      <c r="E236" s="129"/>
    </row>
    <row r="237" spans="3:5" ht="20.25" customHeight="1">
      <c r="C237" s="91" t="s">
        <v>8026</v>
      </c>
      <c r="E237" s="112"/>
    </row>
    <row r="238" spans="3:5" ht="20.25" customHeight="1">
      <c r="C238" s="91" t="s">
        <v>8027</v>
      </c>
      <c r="E238" s="111">
        <v>45111</v>
      </c>
    </row>
    <row r="239" spans="3:5" ht="20.25" customHeight="1">
      <c r="C239" s="91" t="s">
        <v>8028</v>
      </c>
      <c r="E239" s="112"/>
    </row>
    <row r="240" spans="3:5" ht="20.25" customHeight="1">
      <c r="C240" s="91" t="s">
        <v>8029</v>
      </c>
      <c r="E240" s="109"/>
    </row>
    <row r="241" spans="3:5" ht="20.25" customHeight="1">
      <c r="C241" s="91" t="s">
        <v>8030</v>
      </c>
      <c r="E241" s="112"/>
    </row>
    <row r="242" spans="3:5" ht="20.25" customHeight="1">
      <c r="C242" s="91" t="s">
        <v>8031</v>
      </c>
      <c r="E242" s="112"/>
    </row>
    <row r="243" spans="3:5" ht="20.25" customHeight="1">
      <c r="C243" s="91" t="s">
        <v>8032</v>
      </c>
      <c r="E243" s="108">
        <v>45105</v>
      </c>
    </row>
    <row r="244" spans="3:5" ht="20.25" customHeight="1">
      <c r="C244" s="91" t="s">
        <v>8033</v>
      </c>
      <c r="E244" s="105">
        <v>44992</v>
      </c>
    </row>
    <row r="245" spans="3:5" ht="20.25" customHeight="1">
      <c r="C245" s="91" t="s">
        <v>8034</v>
      </c>
      <c r="E245" s="108">
        <v>45148</v>
      </c>
    </row>
    <row r="246" spans="3:5" ht="20.25" customHeight="1">
      <c r="C246" s="91" t="s">
        <v>8035</v>
      </c>
      <c r="E246" s="103"/>
    </row>
    <row r="247" spans="3:5" ht="20.25" customHeight="1">
      <c r="C247" s="91" t="s">
        <v>8036</v>
      </c>
      <c r="E247" s="129"/>
    </row>
    <row r="248" spans="3:5" ht="20.25" customHeight="1">
      <c r="C248" s="91" t="s">
        <v>8037</v>
      </c>
      <c r="E248" s="129"/>
    </row>
    <row r="249" spans="3:5" ht="20.25" customHeight="1">
      <c r="C249" s="91" t="s">
        <v>8038</v>
      </c>
      <c r="E249" s="105">
        <v>45097</v>
      </c>
    </row>
    <row r="250" spans="3:5" ht="20.25" customHeight="1">
      <c r="C250" s="91" t="s">
        <v>8039</v>
      </c>
      <c r="E250" s="108">
        <v>45105</v>
      </c>
    </row>
    <row r="251" spans="3:5" ht="20.25" customHeight="1">
      <c r="C251" s="91" t="s">
        <v>8040</v>
      </c>
      <c r="E251" s="105">
        <v>45097</v>
      </c>
    </row>
    <row r="252" spans="3:5" ht="20.25" customHeight="1">
      <c r="C252" s="91" t="s">
        <v>8041</v>
      </c>
      <c r="E252" s="105">
        <v>44992</v>
      </c>
    </row>
    <row r="253" spans="3:5" ht="20.25" customHeight="1">
      <c r="C253" s="91" t="s">
        <v>8042</v>
      </c>
      <c r="E253" s="112"/>
    </row>
    <row r="254" spans="3:5" ht="20.25" customHeight="1">
      <c r="C254" s="91" t="s">
        <v>8043</v>
      </c>
      <c r="E254" s="112"/>
    </row>
    <row r="255" spans="3:5" ht="20.25" customHeight="1">
      <c r="C255" s="91" t="s">
        <v>8044</v>
      </c>
      <c r="E255" s="112"/>
    </row>
    <row r="256" spans="3:5" ht="20.25" customHeight="1">
      <c r="C256" s="91" t="s">
        <v>8045</v>
      </c>
      <c r="E256" s="108">
        <v>45105</v>
      </c>
    </row>
    <row r="257" spans="3:5" ht="20.25" customHeight="1">
      <c r="C257" s="91" t="s">
        <v>8046</v>
      </c>
      <c r="E257" s="108">
        <v>45105</v>
      </c>
    </row>
    <row r="258" spans="3:5" ht="20.25" customHeight="1">
      <c r="C258" s="91" t="s">
        <v>8047</v>
      </c>
      <c r="E258" s="108">
        <v>45148</v>
      </c>
    </row>
    <row r="259" spans="3:5" ht="20.25" customHeight="1">
      <c r="C259" s="91" t="s">
        <v>8048</v>
      </c>
      <c r="E259" s="108">
        <v>45148</v>
      </c>
    </row>
    <row r="260" spans="3:5" ht="20.25" customHeight="1">
      <c r="C260" s="91" t="s">
        <v>8049</v>
      </c>
      <c r="E260" s="108">
        <v>45148</v>
      </c>
    </row>
    <row r="261" spans="3:5" ht="20.25" customHeight="1">
      <c r="C261" s="91" t="s">
        <v>8050</v>
      </c>
      <c r="E261" s="129"/>
    </row>
    <row r="262" spans="3:5" ht="20.25" customHeight="1">
      <c r="C262" s="91" t="s">
        <v>8051</v>
      </c>
      <c r="E262" s="112"/>
    </row>
    <row r="263" spans="3:5" ht="20.25" customHeight="1">
      <c r="C263" s="91" t="s">
        <v>8052</v>
      </c>
      <c r="E263" s="112"/>
    </row>
    <row r="264" spans="3:5" ht="20.25" customHeight="1">
      <c r="C264" s="91" t="s">
        <v>8053</v>
      </c>
      <c r="E264" s="112"/>
    </row>
    <row r="265" spans="3:5" ht="20.25" customHeight="1">
      <c r="C265" s="91" t="s">
        <v>8054</v>
      </c>
      <c r="E265" s="112"/>
    </row>
    <row r="266" spans="3:5" ht="20.25" customHeight="1">
      <c r="C266" s="91" t="s">
        <v>8055</v>
      </c>
      <c r="E266" s="112"/>
    </row>
    <row r="267" spans="3:5" ht="20.25" customHeight="1">
      <c r="C267" s="91" t="s">
        <v>8056</v>
      </c>
      <c r="E267" s="112"/>
    </row>
    <row r="268" spans="3:5" ht="20.25" customHeight="1">
      <c r="C268" s="91" t="s">
        <v>8057</v>
      </c>
      <c r="E268" s="112"/>
    </row>
    <row r="269" spans="3:5" ht="20.25" customHeight="1">
      <c r="C269" s="91" t="s">
        <v>8058</v>
      </c>
      <c r="E269" s="103" t="s">
        <v>4357</v>
      </c>
    </row>
    <row r="270" spans="3:5" ht="20.25" customHeight="1">
      <c r="C270" s="91" t="s">
        <v>8059</v>
      </c>
      <c r="E270" s="112"/>
    </row>
    <row r="271" spans="3:5" ht="20.25" customHeight="1">
      <c r="C271" s="90" t="s">
        <v>8060</v>
      </c>
      <c r="E271" s="111">
        <v>45111</v>
      </c>
    </row>
    <row r="272" spans="3:5" ht="20.25" customHeight="1">
      <c r="C272" s="91" t="s">
        <v>8061</v>
      </c>
      <c r="E272" s="111">
        <v>45111</v>
      </c>
    </row>
    <row r="273" spans="3:5" ht="20.25" customHeight="1">
      <c r="C273" s="91" t="s">
        <v>8062</v>
      </c>
      <c r="E273" s="111">
        <v>45111</v>
      </c>
    </row>
    <row r="274" spans="3:5" ht="20.25" customHeight="1">
      <c r="C274" s="91" t="s">
        <v>8063</v>
      </c>
      <c r="E274" s="112"/>
    </row>
    <row r="275" spans="3:5" ht="20.25" customHeight="1">
      <c r="C275" s="91" t="s">
        <v>8064</v>
      </c>
      <c r="E275" s="105">
        <v>45097</v>
      </c>
    </row>
    <row r="276" spans="3:5" ht="20.25" customHeight="1">
      <c r="C276" s="91" t="s">
        <v>8065</v>
      </c>
      <c r="E276" s="112"/>
    </row>
    <row r="277" spans="3:5" ht="20.25" customHeight="1">
      <c r="C277" s="91" t="s">
        <v>8066</v>
      </c>
      <c r="E277" s="112"/>
    </row>
    <row r="278" spans="3:5" ht="20.25" customHeight="1">
      <c r="C278" s="91" t="s">
        <v>8067</v>
      </c>
      <c r="E278" s="112"/>
    </row>
    <row r="279" spans="3:5" ht="20.25" customHeight="1">
      <c r="C279" s="91" t="s">
        <v>8068</v>
      </c>
      <c r="E279" s="111">
        <v>45111</v>
      </c>
    </row>
    <row r="280" spans="3:5" ht="20.25" customHeight="1">
      <c r="C280" s="91" t="s">
        <v>8069</v>
      </c>
      <c r="E280" s="111">
        <v>45111</v>
      </c>
    </row>
    <row r="281" spans="3:5" ht="20.25" customHeight="1">
      <c r="C281" s="91" t="s">
        <v>8070</v>
      </c>
      <c r="E281" s="109"/>
    </row>
    <row r="282" spans="3:5" ht="20.25" customHeight="1">
      <c r="C282" s="91" t="s">
        <v>8071</v>
      </c>
      <c r="E282" s="108" t="s">
        <v>4357</v>
      </c>
    </row>
    <row r="283" spans="3:5" ht="20.25" customHeight="1">
      <c r="C283" s="91" t="s">
        <v>8072</v>
      </c>
      <c r="E283" s="112"/>
    </row>
    <row r="284" spans="3:5" ht="20.25" customHeight="1">
      <c r="C284" s="91" t="s">
        <v>8073</v>
      </c>
      <c r="E284" s="111">
        <v>45111</v>
      </c>
    </row>
    <row r="285" spans="3:5" ht="20.25" customHeight="1">
      <c r="C285" s="91" t="s">
        <v>8074</v>
      </c>
      <c r="E285" s="112"/>
    </row>
    <row r="286" spans="3:5" ht="20.25" customHeight="1">
      <c r="C286" s="91" t="s">
        <v>8075</v>
      </c>
      <c r="E286" s="111">
        <v>45111</v>
      </c>
    </row>
    <row r="287" spans="3:5" ht="20.25" customHeight="1">
      <c r="C287" s="91" t="s">
        <v>8076</v>
      </c>
      <c r="E287" s="112"/>
    </row>
    <row r="288" spans="3:5" ht="20.25" customHeight="1">
      <c r="C288" s="91" t="s">
        <v>8077</v>
      </c>
      <c r="E288" s="112"/>
    </row>
    <row r="289" spans="3:5" ht="20.25" customHeight="1">
      <c r="C289" s="91" t="s">
        <v>8078</v>
      </c>
      <c r="E289" s="108" t="s">
        <v>4357</v>
      </c>
    </row>
    <row r="290" spans="3:5" ht="20.25" customHeight="1">
      <c r="C290" s="91" t="s">
        <v>8079</v>
      </c>
      <c r="E290" s="108" t="s">
        <v>4357</v>
      </c>
    </row>
    <row r="291" spans="3:5" ht="20.25" customHeight="1">
      <c r="C291" s="91" t="s">
        <v>8080</v>
      </c>
      <c r="E291" s="108">
        <v>45105</v>
      </c>
    </row>
    <row r="292" spans="3:5" ht="20.25" customHeight="1">
      <c r="C292" s="91" t="s">
        <v>8081</v>
      </c>
      <c r="E292" s="112"/>
    </row>
    <row r="293" spans="3:5" ht="20.25" customHeight="1">
      <c r="C293" s="91" t="s">
        <v>8082</v>
      </c>
      <c r="E293" s="112"/>
    </row>
    <row r="294" spans="3:5" ht="20.25" customHeight="1">
      <c r="C294" s="91" t="s">
        <v>8083</v>
      </c>
      <c r="E294" s="109"/>
    </row>
    <row r="295" spans="3:5" ht="20.25" customHeight="1">
      <c r="C295" s="91" t="s">
        <v>8084</v>
      </c>
      <c r="E295" s="112"/>
    </row>
    <row r="296" spans="3:5" ht="20.25" customHeight="1">
      <c r="C296" s="91" t="s">
        <v>8085</v>
      </c>
      <c r="E296" s="105">
        <v>44961</v>
      </c>
    </row>
    <row r="297" spans="3:5" ht="20.25" customHeight="1">
      <c r="C297" s="91" t="s">
        <v>8086</v>
      </c>
      <c r="E297" s="112"/>
    </row>
    <row r="298" spans="3:5" ht="20.25" customHeight="1">
      <c r="C298" s="91" t="s">
        <v>8087</v>
      </c>
      <c r="E298" s="112"/>
    </row>
    <row r="299" spans="3:5" ht="20.25" customHeight="1">
      <c r="C299" s="91" t="s">
        <v>8088</v>
      </c>
      <c r="E299" s="112"/>
    </row>
    <row r="300" spans="3:5" ht="20.25" customHeight="1">
      <c r="C300" s="91" t="s">
        <v>8089</v>
      </c>
      <c r="E300" s="108">
        <v>45148</v>
      </c>
    </row>
    <row r="301" spans="3:5" ht="20.25" customHeight="1">
      <c r="C301" s="97" t="s">
        <v>8090</v>
      </c>
      <c r="E301" s="112"/>
    </row>
    <row r="302" spans="3:5" ht="20.25" customHeight="1">
      <c r="C302" s="97" t="s">
        <v>8091</v>
      </c>
      <c r="E302" s="105">
        <v>45097</v>
      </c>
    </row>
    <row r="303" spans="3:5" ht="20.25" customHeight="1">
      <c r="C303" s="91" t="s">
        <v>8092</v>
      </c>
      <c r="E303" s="108">
        <v>45105</v>
      </c>
    </row>
    <row r="304" spans="3:5" ht="20.25" customHeight="1">
      <c r="C304" s="91" t="s">
        <v>8093</v>
      </c>
      <c r="E304" s="112"/>
    </row>
    <row r="305" spans="3:5" ht="20.25" customHeight="1">
      <c r="C305" s="91" t="s">
        <v>8094</v>
      </c>
      <c r="E305" s="112"/>
    </row>
    <row r="306" spans="3:5" ht="20.25" customHeight="1">
      <c r="C306" s="91" t="s">
        <v>8095</v>
      </c>
      <c r="E306" s="112"/>
    </row>
    <row r="307" spans="3:5" ht="20.25" customHeight="1">
      <c r="C307" s="91" t="s">
        <v>8096</v>
      </c>
      <c r="E307" s="105">
        <v>45097</v>
      </c>
    </row>
    <row r="308" spans="3:5" ht="20.25" customHeight="1">
      <c r="C308" s="91" t="s">
        <v>8097</v>
      </c>
      <c r="E308" s="112"/>
    </row>
    <row r="309" spans="3:5" ht="20.25" customHeight="1">
      <c r="C309" s="91" t="s">
        <v>8098</v>
      </c>
      <c r="E309" s="112"/>
    </row>
    <row r="310" spans="3:5" ht="20.25" customHeight="1">
      <c r="C310" s="91" t="s">
        <v>8099</v>
      </c>
      <c r="E310" s="112"/>
    </row>
    <row r="311" spans="3:5" ht="20.25" customHeight="1">
      <c r="C311" s="91" t="s">
        <v>8100</v>
      </c>
      <c r="E311" s="112"/>
    </row>
    <row r="312" spans="3:5" ht="20.25" customHeight="1">
      <c r="C312" s="97" t="s">
        <v>8101</v>
      </c>
      <c r="E312" s="112"/>
    </row>
    <row r="313" spans="3:5" ht="20.25" customHeight="1">
      <c r="C313" s="91" t="s">
        <v>8102</v>
      </c>
      <c r="E313" s="112"/>
    </row>
    <row r="314" spans="3:5" ht="20.25" customHeight="1">
      <c r="C314" s="91" t="s">
        <v>8103</v>
      </c>
      <c r="E314" s="112"/>
    </row>
    <row r="315" spans="3:5" ht="20.25" customHeight="1">
      <c r="C315" s="97" t="s">
        <v>8104</v>
      </c>
      <c r="E315" s="112"/>
    </row>
    <row r="316" spans="3:5" ht="20.25" customHeight="1">
      <c r="C316" s="91" t="s">
        <v>8105</v>
      </c>
      <c r="E316" s="112"/>
    </row>
    <row r="317" spans="3:5" ht="20.25" customHeight="1">
      <c r="C317" s="91" t="s">
        <v>8106</v>
      </c>
      <c r="E317" s="112"/>
    </row>
    <row r="318" spans="3:5" ht="20.25" customHeight="1">
      <c r="C318" s="91" t="s">
        <v>8107</v>
      </c>
      <c r="E318" s="111">
        <v>45111</v>
      </c>
    </row>
    <row r="319" spans="3:5" ht="20.25" customHeight="1">
      <c r="C319" s="91" t="s">
        <v>8108</v>
      </c>
      <c r="E319" s="112"/>
    </row>
    <row r="320" spans="3:5" ht="20.25" customHeight="1">
      <c r="C320" s="91" t="s">
        <v>8109</v>
      </c>
      <c r="E320" s="103" t="s">
        <v>4357</v>
      </c>
    </row>
    <row r="321" spans="3:5" ht="20.25" customHeight="1">
      <c r="C321" s="91" t="s">
        <v>8110</v>
      </c>
      <c r="E321" s="112"/>
    </row>
    <row r="322" spans="3:5" ht="20.25" customHeight="1">
      <c r="C322" s="91" t="s">
        <v>8111</v>
      </c>
      <c r="E322" s="112"/>
    </row>
    <row r="323" spans="3:5" ht="20.25" customHeight="1">
      <c r="C323" s="91" t="s">
        <v>8112</v>
      </c>
      <c r="E323" s="112"/>
    </row>
    <row r="324" spans="3:5" ht="20.25" customHeight="1">
      <c r="C324" s="91" t="s">
        <v>8113</v>
      </c>
      <c r="E324" s="112"/>
    </row>
    <row r="325" spans="3:5" ht="20.25" customHeight="1">
      <c r="C325" s="91" t="s">
        <v>8114</v>
      </c>
      <c r="E325" s="112"/>
    </row>
    <row r="326" spans="3:5" ht="20.25" customHeight="1">
      <c r="C326" s="91" t="s">
        <v>8115</v>
      </c>
      <c r="E326" s="112"/>
    </row>
    <row r="327" spans="3:5" ht="20.25" customHeight="1">
      <c r="C327" s="91" t="s">
        <v>8116</v>
      </c>
      <c r="E327" s="112"/>
    </row>
    <row r="328" spans="3:5" ht="20.25" customHeight="1">
      <c r="C328" s="97" t="s">
        <v>8117</v>
      </c>
      <c r="E328" s="112"/>
    </row>
    <row r="329" spans="3:5" ht="20.25" customHeight="1">
      <c r="C329" s="91" t="s">
        <v>8118</v>
      </c>
      <c r="E329" s="112"/>
    </row>
    <row r="330" spans="3:5" ht="20.25" customHeight="1">
      <c r="C330" s="91" t="s">
        <v>8119</v>
      </c>
      <c r="E330" s="112"/>
    </row>
    <row r="331" spans="3:5" ht="20.25" customHeight="1">
      <c r="C331" s="91" t="s">
        <v>8120</v>
      </c>
      <c r="E331" s="112"/>
    </row>
    <row r="332" spans="3:5" ht="20.25" customHeight="1">
      <c r="C332" s="91" t="s">
        <v>8121</v>
      </c>
      <c r="E332" s="112"/>
    </row>
    <row r="333" spans="3:5" ht="20.25" customHeight="1">
      <c r="C333" s="91" t="s">
        <v>8122</v>
      </c>
      <c r="E333" s="112"/>
    </row>
    <row r="334" spans="3:5" ht="20.25" customHeight="1">
      <c r="C334" s="91" t="s">
        <v>8123</v>
      </c>
      <c r="E334" s="112"/>
    </row>
    <row r="335" spans="3:5" ht="20.25" customHeight="1">
      <c r="C335" s="97" t="s">
        <v>8124</v>
      </c>
      <c r="E335" s="112"/>
    </row>
    <row r="336" spans="3:5" ht="20.25" customHeight="1">
      <c r="C336" s="97" t="s">
        <v>8125</v>
      </c>
      <c r="E336" s="112"/>
    </row>
    <row r="337" spans="3:5" ht="20.25" customHeight="1">
      <c r="C337" s="91" t="s">
        <v>8126</v>
      </c>
      <c r="E337" s="112"/>
    </row>
    <row r="338" spans="3:5" ht="20.25" customHeight="1">
      <c r="C338" s="91" t="s">
        <v>8127</v>
      </c>
      <c r="E338" s="112"/>
    </row>
    <row r="339" spans="3:5" ht="20.25" customHeight="1">
      <c r="C339" s="91" t="s">
        <v>8128</v>
      </c>
      <c r="E339" s="112"/>
    </row>
    <row r="340" spans="3:5" ht="20.25" customHeight="1">
      <c r="C340" s="91" t="s">
        <v>8129</v>
      </c>
      <c r="E340" s="112"/>
    </row>
    <row r="341" spans="3:5" ht="20.25" customHeight="1">
      <c r="C341" s="91" t="s">
        <v>8130</v>
      </c>
      <c r="E341" s="112"/>
    </row>
    <row r="342" spans="3:5" ht="20.25" customHeight="1">
      <c r="C342" s="91" t="s">
        <v>8131</v>
      </c>
      <c r="E342" s="112"/>
    </row>
    <row r="343" spans="3:5" ht="20.25" customHeight="1">
      <c r="C343" s="91" t="s">
        <v>8132</v>
      </c>
      <c r="E343" s="112"/>
    </row>
    <row r="344" spans="3:5" ht="20.25" customHeight="1">
      <c r="C344" s="91" t="s">
        <v>8133</v>
      </c>
      <c r="E344" s="112"/>
    </row>
    <row r="345" spans="3:5" ht="20.25" customHeight="1">
      <c r="C345" s="97" t="s">
        <v>8134</v>
      </c>
      <c r="E345" s="112"/>
    </row>
    <row r="346" spans="3:5" ht="20.25" customHeight="1">
      <c r="C346" s="97" t="s">
        <v>8135</v>
      </c>
      <c r="E346" s="112"/>
    </row>
    <row r="347" spans="3:5" ht="20.25" customHeight="1">
      <c r="C347" s="91" t="s">
        <v>8136</v>
      </c>
      <c r="E347" s="112"/>
    </row>
    <row r="348" spans="3:5" ht="20.25" customHeight="1">
      <c r="C348" s="91" t="s">
        <v>8137</v>
      </c>
      <c r="E348" s="108">
        <v>45148</v>
      </c>
    </row>
    <row r="349" spans="3:5" ht="20.25" customHeight="1">
      <c r="C349" s="97" t="s">
        <v>8138</v>
      </c>
      <c r="E349" s="113"/>
    </row>
    <row r="350" spans="3:5" ht="20.25" customHeight="1">
      <c r="C350" s="91" t="s">
        <v>8139</v>
      </c>
      <c r="E350" s="107"/>
    </row>
    <row r="351" spans="3:5" ht="20.25" customHeight="1">
      <c r="C351" s="91" t="s">
        <v>8140</v>
      </c>
      <c r="E351" s="129"/>
    </row>
    <row r="352" spans="3:5" ht="20.25" customHeight="1">
      <c r="C352" s="91" t="s">
        <v>8141</v>
      </c>
      <c r="E352" s="105">
        <v>44961</v>
      </c>
    </row>
    <row r="353" spans="3:5" ht="20.25" customHeight="1">
      <c r="C353" s="91" t="s">
        <v>8142</v>
      </c>
      <c r="E353" s="105">
        <v>44992</v>
      </c>
    </row>
    <row r="354" spans="3:5" ht="20.25" customHeight="1">
      <c r="C354" s="91" t="s">
        <v>8143</v>
      </c>
      <c r="E354" s="108">
        <v>45105</v>
      </c>
    </row>
    <row r="355" spans="3:5" ht="20.25" customHeight="1">
      <c r="C355" s="91" t="s">
        <v>8144</v>
      </c>
      <c r="E355" s="105">
        <v>44961</v>
      </c>
    </row>
    <row r="356" spans="3:5" ht="20.25" customHeight="1">
      <c r="C356" s="91" t="s">
        <v>8145</v>
      </c>
      <c r="E356" s="105">
        <v>44961</v>
      </c>
    </row>
    <row r="357" spans="3:5" ht="20.25" customHeight="1">
      <c r="C357" s="91" t="s">
        <v>8146</v>
      </c>
      <c r="E357" s="112"/>
    </row>
    <row r="358" spans="3:5" ht="20.25" customHeight="1">
      <c r="C358" s="91" t="s">
        <v>8147</v>
      </c>
      <c r="E358" s="105">
        <v>44992</v>
      </c>
    </row>
    <row r="359" spans="3:5" ht="20.25" customHeight="1">
      <c r="C359" s="91" t="s">
        <v>8148</v>
      </c>
      <c r="E359" s="105">
        <v>44961</v>
      </c>
    </row>
    <row r="360" spans="3:5" ht="20.25" customHeight="1">
      <c r="C360" s="91" t="s">
        <v>8149</v>
      </c>
      <c r="E360" s="105">
        <v>44961</v>
      </c>
    </row>
    <row r="361" spans="3:5" ht="20.25" customHeight="1">
      <c r="C361" s="91" t="s">
        <v>8150</v>
      </c>
      <c r="E361" s="105">
        <v>44961</v>
      </c>
    </row>
    <row r="362" spans="3:5" ht="20.25" customHeight="1">
      <c r="C362" s="91" t="s">
        <v>7816</v>
      </c>
      <c r="E362" s="105">
        <v>44961</v>
      </c>
    </row>
    <row r="363" spans="3:5" ht="20.25" customHeight="1">
      <c r="C363" s="91" t="s">
        <v>7818</v>
      </c>
      <c r="E363" s="112"/>
    </row>
    <row r="364" spans="3:5" ht="20.25" customHeight="1">
      <c r="C364" s="91" t="s">
        <v>7820</v>
      </c>
      <c r="E364" s="105">
        <v>44961</v>
      </c>
    </row>
    <row r="365" spans="3:5" ht="20.25" customHeight="1">
      <c r="C365" s="91" t="s">
        <v>8151</v>
      </c>
      <c r="E365" s="112"/>
    </row>
    <row r="366" spans="3:5" ht="20.25" customHeight="1">
      <c r="C366" s="91" t="s">
        <v>8152</v>
      </c>
      <c r="E366" s="112"/>
    </row>
    <row r="367" spans="3:5" ht="20.25" customHeight="1">
      <c r="C367" s="91" t="s">
        <v>8153</v>
      </c>
      <c r="E367" s="108">
        <v>45106</v>
      </c>
    </row>
    <row r="368" spans="3:5" ht="20.25" customHeight="1">
      <c r="C368" s="91" t="s">
        <v>8154</v>
      </c>
      <c r="E368" s="112"/>
    </row>
    <row r="369" spans="3:5" ht="20.25" customHeight="1">
      <c r="C369" s="91" t="s">
        <v>8155</v>
      </c>
      <c r="E369" s="108">
        <v>45105</v>
      </c>
    </row>
    <row r="370" spans="3:5" ht="20.25" customHeight="1">
      <c r="C370" s="91" t="s">
        <v>8156</v>
      </c>
      <c r="E370" s="108">
        <v>45148</v>
      </c>
    </row>
    <row r="371" spans="3:5" ht="20.25" customHeight="1">
      <c r="C371" s="91" t="s">
        <v>8157</v>
      </c>
      <c r="E371" s="112"/>
    </row>
    <row r="372" spans="3:5" ht="20.25" customHeight="1">
      <c r="C372" s="91" t="s">
        <v>8158</v>
      </c>
      <c r="E372" s="112"/>
    </row>
    <row r="373" spans="3:5" ht="20.25" customHeight="1">
      <c r="C373" s="91" t="s">
        <v>8159</v>
      </c>
      <c r="E373" s="108">
        <v>45105</v>
      </c>
    </row>
    <row r="374" spans="3:5" ht="20.25" customHeight="1">
      <c r="C374" s="91" t="s">
        <v>8160</v>
      </c>
      <c r="E374" s="103" t="s">
        <v>4357</v>
      </c>
    </row>
    <row r="375" spans="3:5" ht="20.25" customHeight="1">
      <c r="C375" s="91" t="s">
        <v>8161</v>
      </c>
      <c r="E375" s="108">
        <v>45148</v>
      </c>
    </row>
    <row r="376" spans="3:5" ht="20.25" customHeight="1">
      <c r="C376" s="91" t="s">
        <v>8162</v>
      </c>
      <c r="E376" s="112"/>
    </row>
    <row r="377" spans="3:5" ht="20.25" customHeight="1">
      <c r="C377" s="97" t="s">
        <v>7822</v>
      </c>
      <c r="E377" s="129"/>
    </row>
    <row r="378" spans="3:5" ht="20.25" customHeight="1">
      <c r="C378" s="91" t="s">
        <v>7824</v>
      </c>
      <c r="E378" s="108">
        <v>45148</v>
      </c>
    </row>
    <row r="379" spans="3:5" ht="20.25" customHeight="1">
      <c r="C379" s="91" t="s">
        <v>8163</v>
      </c>
      <c r="E379" s="108">
        <v>45148</v>
      </c>
    </row>
    <row r="380" spans="3:5" ht="20.25" customHeight="1">
      <c r="C380" s="91" t="s">
        <v>8164</v>
      </c>
      <c r="E380" s="108">
        <v>45148</v>
      </c>
    </row>
    <row r="381" spans="3:5" ht="20.25" customHeight="1">
      <c r="C381" s="91" t="s">
        <v>8165</v>
      </c>
      <c r="E381" s="109"/>
    </row>
    <row r="382" spans="3:5" ht="20.25" customHeight="1">
      <c r="C382" s="91" t="s">
        <v>8166</v>
      </c>
      <c r="E382" s="108">
        <v>45148</v>
      </c>
    </row>
    <row r="383" spans="3:5" ht="20.25" customHeight="1">
      <c r="C383" s="91" t="s">
        <v>8167</v>
      </c>
      <c r="E383" s="108">
        <v>45148</v>
      </c>
    </row>
    <row r="384" spans="3:5" ht="20.25" customHeight="1">
      <c r="C384" s="91" t="s">
        <v>8168</v>
      </c>
      <c r="E384" s="108">
        <v>45148</v>
      </c>
    </row>
    <row r="385" spans="3:5" ht="20.25" customHeight="1">
      <c r="C385" s="91" t="s">
        <v>8169</v>
      </c>
      <c r="E385" s="108">
        <v>45105</v>
      </c>
    </row>
    <row r="386" spans="3:5" ht="20.25" customHeight="1">
      <c r="C386" s="91" t="s">
        <v>8170</v>
      </c>
      <c r="E386" s="105">
        <v>44961</v>
      </c>
    </row>
    <row r="387" spans="3:5" ht="20.25" customHeight="1">
      <c r="C387" s="91" t="s">
        <v>8171</v>
      </c>
      <c r="E387" s="105">
        <v>44961</v>
      </c>
    </row>
    <row r="388" spans="3:5" ht="20.25" customHeight="1">
      <c r="C388" s="91" t="s">
        <v>8172</v>
      </c>
      <c r="E388" s="105">
        <v>44992</v>
      </c>
    </row>
    <row r="389" spans="3:5" ht="20.25" customHeight="1">
      <c r="C389" s="91" t="s">
        <v>8173</v>
      </c>
      <c r="E389" s="105">
        <v>44992</v>
      </c>
    </row>
    <row r="390" spans="3:5" ht="20.25" customHeight="1">
      <c r="C390" s="91" t="s">
        <v>8174</v>
      </c>
      <c r="E390" s="112"/>
    </row>
    <row r="391" spans="3:5" ht="20.25" customHeight="1">
      <c r="C391" s="91" t="s">
        <v>8175</v>
      </c>
      <c r="E391" s="112"/>
    </row>
    <row r="392" spans="3:5" ht="20.25" customHeight="1">
      <c r="C392" s="97" t="s">
        <v>8176</v>
      </c>
      <c r="E392" s="112"/>
    </row>
    <row r="393" spans="3:5" ht="20.25" customHeight="1">
      <c r="C393" s="97" t="s">
        <v>8177</v>
      </c>
      <c r="E393" s="108">
        <v>45105</v>
      </c>
    </row>
    <row r="394" spans="3:5" ht="20.25" customHeight="1">
      <c r="C394" s="91" t="s">
        <v>8178</v>
      </c>
      <c r="E394" s="105">
        <v>44961</v>
      </c>
    </row>
    <row r="395" spans="3:5" ht="20.25" customHeight="1">
      <c r="C395" s="91" t="s">
        <v>8179</v>
      </c>
      <c r="E395" s="105">
        <v>44961</v>
      </c>
    </row>
    <row r="396" spans="3:5" ht="20.25" customHeight="1">
      <c r="C396" s="91" t="s">
        <v>8180</v>
      </c>
      <c r="E396" s="108">
        <v>45105</v>
      </c>
    </row>
    <row r="397" spans="3:5" ht="20.25" customHeight="1">
      <c r="C397" s="91" t="s">
        <v>8181</v>
      </c>
      <c r="E397" s="105">
        <v>44961</v>
      </c>
    </row>
    <row r="398" spans="3:5" ht="20.25" customHeight="1">
      <c r="C398" s="91" t="s">
        <v>8182</v>
      </c>
      <c r="E398" s="108">
        <v>45105</v>
      </c>
    </row>
    <row r="399" spans="3:5" ht="20.25" customHeight="1">
      <c r="C399" s="91" t="s">
        <v>8183</v>
      </c>
      <c r="E399" s="105">
        <v>44961</v>
      </c>
    </row>
    <row r="400" spans="3:5" ht="20.25" customHeight="1">
      <c r="C400" s="91" t="s">
        <v>8184</v>
      </c>
      <c r="E400" s="112"/>
    </row>
    <row r="401" spans="3:5" ht="20.25" customHeight="1">
      <c r="C401" s="91" t="s">
        <v>8185</v>
      </c>
      <c r="E401" s="112"/>
    </row>
    <row r="402" spans="3:5" ht="20.25" customHeight="1">
      <c r="C402" s="91" t="s">
        <v>7826</v>
      </c>
      <c r="E402" s="105">
        <v>44992</v>
      </c>
    </row>
    <row r="403" spans="3:5" ht="20.25" customHeight="1">
      <c r="C403" s="91" t="s">
        <v>8186</v>
      </c>
      <c r="E403" s="112"/>
    </row>
    <row r="404" spans="3:5" ht="20.25" customHeight="1">
      <c r="C404" s="91" t="s">
        <v>8187</v>
      </c>
      <c r="E404" s="112"/>
    </row>
    <row r="405" spans="3:5" ht="20.25" customHeight="1">
      <c r="C405" s="91" t="s">
        <v>8188</v>
      </c>
      <c r="E405" s="108">
        <v>45148</v>
      </c>
    </row>
    <row r="406" spans="3:5" ht="20.25" customHeight="1">
      <c r="C406" s="91" t="s">
        <v>8189</v>
      </c>
      <c r="E406" s="105">
        <v>44889</v>
      </c>
    </row>
    <row r="407" spans="3:5" ht="20.25" customHeight="1">
      <c r="C407" s="91" t="s">
        <v>8190</v>
      </c>
      <c r="E407" s="105">
        <v>44889</v>
      </c>
    </row>
    <row r="408" spans="3:5" ht="20.25" customHeight="1">
      <c r="C408" s="91" t="s">
        <v>8191</v>
      </c>
      <c r="E408" s="105">
        <v>44992</v>
      </c>
    </row>
    <row r="409" spans="3:5" ht="20.25" customHeight="1">
      <c r="C409" s="91" t="s">
        <v>8192</v>
      </c>
      <c r="E409" s="111">
        <v>45111</v>
      </c>
    </row>
    <row r="410" spans="3:5" ht="20.25" customHeight="1">
      <c r="C410" s="91" t="s">
        <v>8193</v>
      </c>
      <c r="E410" s="103" t="s">
        <v>4357</v>
      </c>
    </row>
    <row r="411" spans="3:5" ht="20.25" customHeight="1">
      <c r="C411" s="91" t="s">
        <v>8194</v>
      </c>
      <c r="E411" s="103" t="s">
        <v>4357</v>
      </c>
    </row>
    <row r="412" spans="3:5" ht="20.25" customHeight="1">
      <c r="C412" s="91" t="s">
        <v>8195</v>
      </c>
      <c r="E412" s="103" t="s">
        <v>4357</v>
      </c>
    </row>
    <row r="413" spans="3:5" ht="20.25" customHeight="1">
      <c r="C413" s="91" t="s">
        <v>8196</v>
      </c>
      <c r="E413" s="112"/>
    </row>
    <row r="414" spans="3:5" ht="20.25" customHeight="1">
      <c r="C414" s="91" t="s">
        <v>8197</v>
      </c>
      <c r="E414" s="112"/>
    </row>
    <row r="415" spans="3:5" ht="20.25" customHeight="1">
      <c r="C415" s="91" t="s">
        <v>8198</v>
      </c>
      <c r="E415" s="112"/>
    </row>
    <row r="416" spans="3:5" ht="20.25" customHeight="1">
      <c r="C416" s="91" t="s">
        <v>8199</v>
      </c>
      <c r="E416" s="112"/>
    </row>
    <row r="417" spans="3:5" ht="20.25" customHeight="1">
      <c r="C417" s="91" t="s">
        <v>8200</v>
      </c>
      <c r="E417" s="105">
        <v>44816</v>
      </c>
    </row>
    <row r="418" spans="3:5" ht="20.25" customHeight="1">
      <c r="C418" s="91" t="s">
        <v>8201</v>
      </c>
      <c r="E418" s="105">
        <v>44910</v>
      </c>
    </row>
    <row r="419" spans="3:5" ht="20.25" customHeight="1">
      <c r="C419" s="91" t="s">
        <v>8202</v>
      </c>
      <c r="E419" s="105">
        <v>44816</v>
      </c>
    </row>
    <row r="420" spans="3:5" ht="20.25" customHeight="1">
      <c r="C420" s="91" t="s">
        <v>8203</v>
      </c>
      <c r="E420" s="103" t="s">
        <v>4357</v>
      </c>
    </row>
    <row r="421" spans="3:5" ht="20.25" customHeight="1">
      <c r="C421" s="91" t="s">
        <v>8204</v>
      </c>
      <c r="E421" s="105">
        <v>44923</v>
      </c>
    </row>
    <row r="422" spans="3:5" ht="20.25" customHeight="1">
      <c r="C422" s="91" t="s">
        <v>8205</v>
      </c>
      <c r="E422" s="103"/>
    </row>
    <row r="423" spans="3:5" ht="20.25" customHeight="1">
      <c r="C423" s="91" t="s">
        <v>8206</v>
      </c>
      <c r="E423" s="105">
        <v>45013</v>
      </c>
    </row>
    <row r="424" spans="3:5" ht="20.25" customHeight="1">
      <c r="C424" s="91" t="s">
        <v>8207</v>
      </c>
      <c r="E424" s="105">
        <v>44923</v>
      </c>
    </row>
    <row r="425" spans="3:5" ht="20.25" customHeight="1">
      <c r="C425" s="91" t="s">
        <v>8208</v>
      </c>
      <c r="E425" s="105">
        <v>44923</v>
      </c>
    </row>
    <row r="426" spans="3:5" ht="20.25" customHeight="1">
      <c r="C426" s="91" t="s">
        <v>8209</v>
      </c>
      <c r="E426" s="105">
        <v>44816</v>
      </c>
    </row>
    <row r="427" spans="3:5" ht="20.25" customHeight="1">
      <c r="C427" s="91" t="s">
        <v>7828</v>
      </c>
      <c r="E427" s="103" t="s">
        <v>4357</v>
      </c>
    </row>
    <row r="428" spans="3:5" ht="20.25" customHeight="1">
      <c r="C428" s="91" t="s">
        <v>8210</v>
      </c>
      <c r="E428" s="103" t="s">
        <v>4357</v>
      </c>
    </row>
    <row r="429" spans="3:5" ht="20.25" customHeight="1">
      <c r="C429" s="91" t="s">
        <v>8211</v>
      </c>
      <c r="E429" s="105">
        <v>44816</v>
      </c>
    </row>
    <row r="430" spans="3:5" ht="20.25" customHeight="1">
      <c r="C430" s="91" t="s">
        <v>8212</v>
      </c>
      <c r="E430" s="105">
        <v>44816</v>
      </c>
    </row>
    <row r="431" spans="3:5" ht="20.25" customHeight="1">
      <c r="C431" s="91" t="s">
        <v>8213</v>
      </c>
      <c r="E431" s="105">
        <v>44816</v>
      </c>
    </row>
    <row r="432" spans="3:5" ht="20.25" customHeight="1">
      <c r="C432" s="91" t="s">
        <v>8214</v>
      </c>
      <c r="E432" s="103" t="s">
        <v>4357</v>
      </c>
    </row>
    <row r="433" spans="3:5" ht="20.25" customHeight="1">
      <c r="C433" s="91" t="s">
        <v>8215</v>
      </c>
      <c r="E433" s="119">
        <v>45034</v>
      </c>
    </row>
    <row r="434" spans="3:5" ht="20.25" customHeight="1">
      <c r="C434" s="91" t="s">
        <v>8216</v>
      </c>
      <c r="E434" s="105">
        <v>44992</v>
      </c>
    </row>
    <row r="435" spans="3:5" ht="20.25" customHeight="1">
      <c r="C435" s="91" t="s">
        <v>8217</v>
      </c>
      <c r="E435" s="105">
        <v>44992</v>
      </c>
    </row>
    <row r="436" spans="3:5" ht="20.25" customHeight="1">
      <c r="C436" s="91" t="s">
        <v>8218</v>
      </c>
      <c r="E436" s="119">
        <v>45034</v>
      </c>
    </row>
    <row r="437" spans="3:5" ht="20.25" customHeight="1">
      <c r="C437" s="91" t="s">
        <v>8219</v>
      </c>
      <c r="E437" s="103" t="s">
        <v>4357</v>
      </c>
    </row>
    <row r="438" spans="3:5" ht="20.25" customHeight="1">
      <c r="C438" s="91" t="s">
        <v>8220</v>
      </c>
      <c r="E438" s="103" t="s">
        <v>4357</v>
      </c>
    </row>
    <row r="439" spans="3:5" ht="20.25" customHeight="1">
      <c r="C439" s="91" t="s">
        <v>8221</v>
      </c>
      <c r="E439" s="103" t="s">
        <v>4357</v>
      </c>
    </row>
    <row r="440" spans="3:5" ht="20.25" customHeight="1">
      <c r="C440" s="91" t="s">
        <v>8222</v>
      </c>
      <c r="E440" s="105">
        <v>44862</v>
      </c>
    </row>
    <row r="441" spans="3:5" ht="20.25" customHeight="1">
      <c r="C441" s="97" t="s">
        <v>8223</v>
      </c>
      <c r="E441" s="103" t="s">
        <v>4357</v>
      </c>
    </row>
    <row r="442" spans="3:5" ht="20.25" customHeight="1">
      <c r="C442" s="91" t="s">
        <v>8224</v>
      </c>
      <c r="E442" s="105">
        <v>44862</v>
      </c>
    </row>
    <row r="443" spans="3:5" ht="20.25" customHeight="1">
      <c r="C443" s="91" t="s">
        <v>8225</v>
      </c>
      <c r="E443" s="119">
        <v>45040</v>
      </c>
    </row>
    <row r="444" spans="3:5" ht="20.25" customHeight="1">
      <c r="C444" s="91" t="s">
        <v>8226</v>
      </c>
      <c r="E444" s="103" t="s">
        <v>4357</v>
      </c>
    </row>
    <row r="445" spans="3:5" ht="20.25" customHeight="1">
      <c r="C445" s="91" t="s">
        <v>8227</v>
      </c>
      <c r="E445" s="103" t="s">
        <v>4357</v>
      </c>
    </row>
    <row r="446" spans="3:5" ht="20.25" customHeight="1">
      <c r="C446" s="91" t="s">
        <v>8228</v>
      </c>
      <c r="E446" s="103" t="s">
        <v>4357</v>
      </c>
    </row>
    <row r="447" spans="3:5" ht="20.25" customHeight="1">
      <c r="C447" s="91" t="s">
        <v>8229</v>
      </c>
      <c r="E447" s="103" t="s">
        <v>4357</v>
      </c>
    </row>
    <row r="448" spans="3:5" ht="20.25" customHeight="1">
      <c r="C448" s="91" t="s">
        <v>8230</v>
      </c>
      <c r="E448" s="105">
        <v>44910</v>
      </c>
    </row>
    <row r="449" spans="3:5" ht="20.25" customHeight="1">
      <c r="C449" s="91" t="s">
        <v>8231</v>
      </c>
      <c r="E449" s="119">
        <v>45034</v>
      </c>
    </row>
    <row r="450" spans="3:5" ht="20.25" customHeight="1">
      <c r="C450" s="91" t="s">
        <v>8232</v>
      </c>
      <c r="E450" s="105">
        <v>44923</v>
      </c>
    </row>
    <row r="451" spans="3:5" ht="20.25" customHeight="1">
      <c r="C451" s="91" t="s">
        <v>8233</v>
      </c>
      <c r="E451" s="105">
        <v>44816</v>
      </c>
    </row>
    <row r="452" spans="3:5" ht="20.25" customHeight="1">
      <c r="C452" s="91" t="s">
        <v>8234</v>
      </c>
      <c r="E452" s="105">
        <v>44925</v>
      </c>
    </row>
    <row r="453" spans="3:5" ht="20.25" customHeight="1">
      <c r="C453" s="91" t="s">
        <v>8235</v>
      </c>
      <c r="E453" s="105">
        <v>44816</v>
      </c>
    </row>
    <row r="454" spans="3:5" ht="20.25" customHeight="1">
      <c r="C454" s="91" t="s">
        <v>8236</v>
      </c>
      <c r="E454" s="105">
        <v>44816</v>
      </c>
    </row>
    <row r="455" spans="3:5" ht="20.25" customHeight="1">
      <c r="C455" s="91" t="s">
        <v>8237</v>
      </c>
      <c r="E455" s="105">
        <v>44816</v>
      </c>
    </row>
    <row r="456" spans="3:5" ht="20.25" customHeight="1">
      <c r="C456" s="91" t="s">
        <v>8238</v>
      </c>
      <c r="E456" s="108">
        <v>45065</v>
      </c>
    </row>
    <row r="457" spans="3:5" ht="20.25" customHeight="1">
      <c r="C457" s="91" t="s">
        <v>8239</v>
      </c>
      <c r="E457" s="108">
        <v>45148</v>
      </c>
    </row>
    <row r="458" spans="3:5" ht="20.25" customHeight="1">
      <c r="C458" s="91" t="s">
        <v>8240</v>
      </c>
      <c r="E458" s="105">
        <v>44922</v>
      </c>
    </row>
    <row r="459" spans="3:5" ht="20.25" customHeight="1">
      <c r="C459" s="91" t="s">
        <v>8241</v>
      </c>
      <c r="E459" s="105">
        <v>44910</v>
      </c>
    </row>
    <row r="460" spans="3:5" ht="20.25" customHeight="1">
      <c r="C460" s="91" t="s">
        <v>8242</v>
      </c>
      <c r="E460" s="105">
        <v>44816</v>
      </c>
    </row>
    <row r="461" spans="3:5" ht="20.25" customHeight="1">
      <c r="C461" s="91" t="s">
        <v>8243</v>
      </c>
      <c r="E461" s="105">
        <v>44816</v>
      </c>
    </row>
    <row r="462" spans="3:5" ht="20.25" customHeight="1">
      <c r="C462" s="91" t="s">
        <v>8244</v>
      </c>
      <c r="E462" s="105">
        <v>44816</v>
      </c>
    </row>
    <row r="463" spans="3:5" ht="20.25" customHeight="1">
      <c r="C463" s="91" t="s">
        <v>8245</v>
      </c>
      <c r="E463" s="105">
        <v>44816</v>
      </c>
    </row>
    <row r="464" spans="3:5" ht="20.25" customHeight="1">
      <c r="C464" s="91" t="s">
        <v>8246</v>
      </c>
      <c r="E464" s="105">
        <v>44923</v>
      </c>
    </row>
    <row r="465" spans="3:5" ht="20.25" customHeight="1">
      <c r="C465" s="91" t="s">
        <v>8247</v>
      </c>
      <c r="E465" s="112"/>
    </row>
    <row r="466" spans="3:5" ht="20.25" customHeight="1">
      <c r="C466" s="91" t="s">
        <v>8248</v>
      </c>
      <c r="E466" s="130" t="s">
        <v>4357</v>
      </c>
    </row>
    <row r="467" spans="3:5" ht="20.25" customHeight="1">
      <c r="C467" s="91" t="s">
        <v>8249</v>
      </c>
      <c r="E467" s="130" t="s">
        <v>4357</v>
      </c>
    </row>
    <row r="468" spans="3:5" ht="20.25" customHeight="1">
      <c r="C468" s="91" t="s">
        <v>8250</v>
      </c>
      <c r="E468" s="119">
        <v>45013</v>
      </c>
    </row>
    <row r="469" spans="3:5" ht="20.25" customHeight="1">
      <c r="C469" s="91" t="s">
        <v>8251</v>
      </c>
      <c r="E469" s="105">
        <v>44889</v>
      </c>
    </row>
    <row r="470" spans="3:5" ht="20.25" customHeight="1">
      <c r="C470" s="91" t="s">
        <v>8252</v>
      </c>
      <c r="E470" s="106"/>
    </row>
    <row r="471" spans="3:5" ht="20.25" customHeight="1">
      <c r="C471" s="91" t="s">
        <v>8253</v>
      </c>
      <c r="E471" s="105">
        <v>44877</v>
      </c>
    </row>
    <row r="472" spans="3:5" ht="20.25" customHeight="1">
      <c r="C472" s="91" t="s">
        <v>8254</v>
      </c>
      <c r="E472" s="103" t="s">
        <v>4357</v>
      </c>
    </row>
    <row r="473" spans="3:5" ht="20.25" customHeight="1">
      <c r="C473" s="91" t="s">
        <v>8255</v>
      </c>
      <c r="E473" s="103" t="s">
        <v>4357</v>
      </c>
    </row>
    <row r="474" spans="3:5" ht="20.25" customHeight="1">
      <c r="C474" s="91" t="s">
        <v>8256</v>
      </c>
      <c r="E474" s="103" t="s">
        <v>4357</v>
      </c>
    </row>
    <row r="475" spans="3:5" ht="20.25" customHeight="1">
      <c r="C475" s="91" t="s">
        <v>8257</v>
      </c>
      <c r="E475" s="103" t="s">
        <v>4357</v>
      </c>
    </row>
    <row r="476" spans="3:5" ht="20.25" customHeight="1">
      <c r="C476" s="91" t="s">
        <v>8258</v>
      </c>
      <c r="E476" s="105">
        <v>44889</v>
      </c>
    </row>
    <row r="477" spans="3:5" ht="20.25" customHeight="1">
      <c r="C477" s="91" t="s">
        <v>8259</v>
      </c>
      <c r="E477" s="105">
        <v>44862</v>
      </c>
    </row>
    <row r="478" spans="3:5" ht="20.25" customHeight="1">
      <c r="C478" s="91" t="s">
        <v>8260</v>
      </c>
      <c r="E478" s="105">
        <v>44869</v>
      </c>
    </row>
    <row r="479" spans="3:5" ht="20.25" customHeight="1">
      <c r="C479" s="91" t="s">
        <v>8261</v>
      </c>
      <c r="E479" s="103" t="s">
        <v>4357</v>
      </c>
    </row>
    <row r="480" spans="3:5" ht="20.25" customHeight="1">
      <c r="C480" s="91" t="s">
        <v>8262</v>
      </c>
      <c r="E480" s="103" t="s">
        <v>4357</v>
      </c>
    </row>
    <row r="481" spans="3:5" ht="20.25" customHeight="1">
      <c r="C481" s="91" t="s">
        <v>8263</v>
      </c>
      <c r="E481" s="103" t="s">
        <v>4357</v>
      </c>
    </row>
    <row r="482" spans="3:5" ht="20.25" customHeight="1">
      <c r="C482" s="91" t="s">
        <v>8264</v>
      </c>
      <c r="E482" s="119">
        <v>45014</v>
      </c>
    </row>
    <row r="483" spans="3:5" ht="20.25" customHeight="1">
      <c r="C483" s="91" t="s">
        <v>8265</v>
      </c>
      <c r="E483" s="108">
        <v>45065</v>
      </c>
    </row>
    <row r="484" spans="3:5" ht="20.25" customHeight="1">
      <c r="C484" s="91" t="s">
        <v>8266</v>
      </c>
      <c r="E484" s="105">
        <v>45056</v>
      </c>
    </row>
    <row r="485" spans="3:5" ht="20.25" customHeight="1">
      <c r="C485" s="91" t="s">
        <v>8267</v>
      </c>
      <c r="E485" s="108">
        <v>45049</v>
      </c>
    </row>
    <row r="486" spans="3:5" ht="20.25" customHeight="1">
      <c r="C486" s="91" t="s">
        <v>8268</v>
      </c>
      <c r="E486" s="105">
        <v>45056</v>
      </c>
    </row>
    <row r="487" spans="3:5" ht="20.25" customHeight="1">
      <c r="C487" s="91" t="s">
        <v>8269</v>
      </c>
      <c r="E487" s="103" t="s">
        <v>4357</v>
      </c>
    </row>
    <row r="488" spans="3:5" ht="20.25" customHeight="1">
      <c r="C488" s="91" t="s">
        <v>8270</v>
      </c>
      <c r="E488" s="105">
        <v>44862</v>
      </c>
    </row>
    <row r="489" spans="3:5" ht="20.25" customHeight="1">
      <c r="C489" s="91" t="s">
        <v>8271</v>
      </c>
      <c r="E489" s="105">
        <v>44910</v>
      </c>
    </row>
    <row r="490" spans="3:5" ht="20.25" customHeight="1">
      <c r="C490" s="91" t="s">
        <v>8272</v>
      </c>
      <c r="E490" s="103" t="s">
        <v>4357</v>
      </c>
    </row>
    <row r="491" spans="3:5" ht="20.25" customHeight="1">
      <c r="C491" s="91" t="s">
        <v>8273</v>
      </c>
      <c r="E491" s="103" t="s">
        <v>4357</v>
      </c>
    </row>
    <row r="492" spans="3:5" ht="20.25" customHeight="1">
      <c r="C492" s="91" t="s">
        <v>8274</v>
      </c>
      <c r="E492" s="105">
        <v>44890</v>
      </c>
    </row>
    <row r="493" spans="3:5" ht="20.25" customHeight="1">
      <c r="C493" s="91" t="s">
        <v>7830</v>
      </c>
      <c r="E493" s="105">
        <v>44869</v>
      </c>
    </row>
    <row r="494" spans="3:5" ht="20.25" customHeight="1">
      <c r="C494" s="91" t="s">
        <v>8275</v>
      </c>
      <c r="E494" s="105">
        <v>44867</v>
      </c>
    </row>
    <row r="495" spans="3:5" ht="20.25" customHeight="1">
      <c r="C495" s="91" t="s">
        <v>8276</v>
      </c>
      <c r="E495" s="103" t="s">
        <v>4357</v>
      </c>
    </row>
    <row r="496" spans="3:5" ht="20.25" customHeight="1">
      <c r="C496" s="91" t="s">
        <v>8277</v>
      </c>
      <c r="E496" s="103" t="s">
        <v>4357</v>
      </c>
    </row>
    <row r="497" spans="3:5" ht="20.25" customHeight="1">
      <c r="C497" s="97" t="s">
        <v>8278</v>
      </c>
      <c r="E497" s="103" t="s">
        <v>4357</v>
      </c>
    </row>
    <row r="498" spans="3:5" ht="20.25" customHeight="1">
      <c r="C498" s="91" t="s">
        <v>8279</v>
      </c>
      <c r="E498" s="108">
        <v>45049</v>
      </c>
    </row>
    <row r="499" spans="3:5" ht="20.25" customHeight="1">
      <c r="C499" s="91" t="s">
        <v>8280</v>
      </c>
      <c r="E499" s="105">
        <v>44923</v>
      </c>
    </row>
    <row r="500" spans="3:5" ht="20.25" customHeight="1">
      <c r="C500" s="91" t="s">
        <v>8281</v>
      </c>
      <c r="E500" s="103" t="s">
        <v>4357</v>
      </c>
    </row>
    <row r="501" spans="3:5" ht="20.25" customHeight="1">
      <c r="C501" s="91" t="s">
        <v>8282</v>
      </c>
      <c r="E501" s="105">
        <v>44877</v>
      </c>
    </row>
    <row r="502" spans="3:5" ht="20.25" customHeight="1">
      <c r="C502" s="91" t="s">
        <v>8283</v>
      </c>
      <c r="E502" s="105">
        <v>44862</v>
      </c>
    </row>
    <row r="503" spans="3:5" ht="20.25" customHeight="1">
      <c r="C503" s="97" t="s">
        <v>8284</v>
      </c>
      <c r="E503" s="105">
        <v>44862</v>
      </c>
    </row>
    <row r="504" spans="3:5" ht="20.25" customHeight="1">
      <c r="C504" s="91" t="s">
        <v>8285</v>
      </c>
      <c r="E504" s="103" t="s">
        <v>4357</v>
      </c>
    </row>
    <row r="505" spans="3:5" ht="20.25" customHeight="1">
      <c r="C505" s="91" t="s">
        <v>8286</v>
      </c>
      <c r="E505" s="105">
        <v>44889</v>
      </c>
    </row>
    <row r="506" spans="3:5" ht="20.25" customHeight="1">
      <c r="C506" s="91" t="s">
        <v>8287</v>
      </c>
      <c r="E506" s="103" t="s">
        <v>4357</v>
      </c>
    </row>
    <row r="507" spans="3:5" ht="20.25" customHeight="1">
      <c r="C507" s="91" t="s">
        <v>8288</v>
      </c>
      <c r="E507" s="103" t="s">
        <v>4357</v>
      </c>
    </row>
    <row r="508" spans="3:5" ht="20.25" customHeight="1">
      <c r="C508" s="91" t="s">
        <v>8289</v>
      </c>
      <c r="E508" s="103" t="s">
        <v>4357</v>
      </c>
    </row>
    <row r="509" spans="3:5" ht="20.25" customHeight="1">
      <c r="C509" s="91" t="s">
        <v>8290</v>
      </c>
      <c r="E509" s="105">
        <v>44862</v>
      </c>
    </row>
    <row r="510" spans="3:5" ht="20.25" customHeight="1">
      <c r="C510" s="91" t="s">
        <v>8291</v>
      </c>
      <c r="E510" s="105">
        <v>44862</v>
      </c>
    </row>
    <row r="511" spans="3:5" ht="20.25" customHeight="1">
      <c r="C511" s="91" t="s">
        <v>8292</v>
      </c>
      <c r="E511" s="105">
        <v>44889</v>
      </c>
    </row>
    <row r="512" spans="3:5" ht="20.25" customHeight="1">
      <c r="C512" s="91" t="s">
        <v>7832</v>
      </c>
      <c r="E512" s="105">
        <v>44869</v>
      </c>
    </row>
    <row r="513" spans="3:5" ht="20.25" customHeight="1">
      <c r="C513" s="91" t="s">
        <v>8293</v>
      </c>
      <c r="E513" s="110">
        <v>45013</v>
      </c>
    </row>
    <row r="514" spans="3:5" ht="20.25" customHeight="1">
      <c r="C514" s="91" t="s">
        <v>8294</v>
      </c>
      <c r="E514" s="110">
        <v>45013</v>
      </c>
    </row>
    <row r="515" spans="3:5" ht="20.25" customHeight="1">
      <c r="C515" s="91" t="s">
        <v>8295</v>
      </c>
      <c r="E515" s="105">
        <v>44816</v>
      </c>
    </row>
    <row r="516" spans="3:5" ht="20.25" customHeight="1">
      <c r="C516" s="91" t="s">
        <v>8296</v>
      </c>
      <c r="E516" s="103" t="s">
        <v>4357</v>
      </c>
    </row>
    <row r="517" spans="3:5" ht="20.25" customHeight="1">
      <c r="C517" s="91" t="s">
        <v>8297</v>
      </c>
      <c r="E517" s="103" t="s">
        <v>4357</v>
      </c>
    </row>
    <row r="518" spans="3:5" ht="20.25" customHeight="1">
      <c r="C518" s="91" t="s">
        <v>8298</v>
      </c>
      <c r="E518" s="103" t="s">
        <v>4357</v>
      </c>
    </row>
    <row r="519" spans="3:5" ht="20.25" customHeight="1">
      <c r="C519" s="91" t="s">
        <v>8299</v>
      </c>
      <c r="E519" s="103" t="s">
        <v>4357</v>
      </c>
    </row>
    <row r="520" spans="3:5" ht="20.25" customHeight="1">
      <c r="C520" s="91" t="s">
        <v>7834</v>
      </c>
      <c r="E520" s="103" t="s">
        <v>4357</v>
      </c>
    </row>
    <row r="521" spans="3:5" ht="20.25" customHeight="1">
      <c r="C521" s="91" t="s">
        <v>7836</v>
      </c>
      <c r="E521" s="103" t="s">
        <v>4357</v>
      </c>
    </row>
    <row r="522" spans="3:5" ht="20.25" customHeight="1">
      <c r="C522" s="91" t="s">
        <v>8300</v>
      </c>
      <c r="E522" s="103" t="s">
        <v>4357</v>
      </c>
    </row>
    <row r="523" spans="3:5" ht="20.25" customHeight="1">
      <c r="C523" s="91" t="s">
        <v>8301</v>
      </c>
      <c r="E523" s="103" t="s">
        <v>4357</v>
      </c>
    </row>
    <row r="524" spans="3:5" ht="20.25" customHeight="1">
      <c r="C524" s="91" t="s">
        <v>8302</v>
      </c>
      <c r="E524" s="105">
        <v>44869</v>
      </c>
    </row>
    <row r="525" spans="3:5" ht="20.25" customHeight="1">
      <c r="C525" s="91" t="s">
        <v>8303</v>
      </c>
      <c r="E525" s="105">
        <v>44862</v>
      </c>
    </row>
    <row r="526" spans="3:5" ht="20.25" customHeight="1">
      <c r="C526" s="91" t="s">
        <v>7838</v>
      </c>
      <c r="E526" s="105">
        <v>44869</v>
      </c>
    </row>
    <row r="527" spans="3:5" ht="20.25" customHeight="1">
      <c r="C527" s="91" t="s">
        <v>8304</v>
      </c>
      <c r="E527" s="103" t="s">
        <v>4357</v>
      </c>
    </row>
    <row r="528" spans="3:5" ht="20.25" customHeight="1">
      <c r="C528" s="91" t="s">
        <v>8305</v>
      </c>
      <c r="E528" s="103" t="s">
        <v>4357</v>
      </c>
    </row>
    <row r="529" spans="3:5" ht="20.25" customHeight="1">
      <c r="C529" s="91" t="s">
        <v>8306</v>
      </c>
      <c r="E529" s="103" t="s">
        <v>4357</v>
      </c>
    </row>
    <row r="530" spans="3:5" ht="20.25" customHeight="1">
      <c r="C530" s="91" t="s">
        <v>8307</v>
      </c>
      <c r="E530" s="105">
        <v>44889</v>
      </c>
    </row>
    <row r="531" spans="3:5" ht="20.25" customHeight="1">
      <c r="C531" s="91" t="s">
        <v>8308</v>
      </c>
      <c r="E531" s="105">
        <v>44910</v>
      </c>
    </row>
    <row r="532" spans="3:5" ht="20.25" customHeight="1">
      <c r="C532" s="91" t="s">
        <v>8309</v>
      </c>
      <c r="E532" s="105">
        <v>44869</v>
      </c>
    </row>
    <row r="533" spans="3:5" ht="20.25" customHeight="1">
      <c r="C533" s="91" t="s">
        <v>8310</v>
      </c>
      <c r="E533" s="105">
        <v>44889</v>
      </c>
    </row>
    <row r="534" spans="3:5" ht="20.25" customHeight="1">
      <c r="C534" s="91" t="s">
        <v>8311</v>
      </c>
      <c r="E534" s="105">
        <v>44910</v>
      </c>
    </row>
    <row r="535" spans="3:5" ht="20.25" customHeight="1">
      <c r="C535" s="91" t="s">
        <v>8312</v>
      </c>
      <c r="E535" s="105">
        <v>44889</v>
      </c>
    </row>
    <row r="536" spans="3:5" ht="20.25" customHeight="1">
      <c r="C536" s="91" t="s">
        <v>8313</v>
      </c>
      <c r="E536" s="105">
        <v>44910</v>
      </c>
    </row>
    <row r="537" spans="3:5" ht="20.25" customHeight="1">
      <c r="C537" s="91" t="s">
        <v>8314</v>
      </c>
      <c r="E537" s="105">
        <v>44877</v>
      </c>
    </row>
    <row r="538" spans="3:5" ht="20.25" customHeight="1">
      <c r="C538" s="91" t="s">
        <v>8315</v>
      </c>
      <c r="E538" s="105">
        <v>44862</v>
      </c>
    </row>
    <row r="539" spans="3:5" ht="20.25" customHeight="1">
      <c r="C539" s="91" t="s">
        <v>8316</v>
      </c>
      <c r="E539" s="103" t="s">
        <v>4357</v>
      </c>
    </row>
    <row r="540" spans="3:5" ht="20.25" customHeight="1">
      <c r="C540" s="91" t="s">
        <v>8317</v>
      </c>
      <c r="E540" s="103" t="s">
        <v>4357</v>
      </c>
    </row>
    <row r="541" spans="3:5" ht="20.25" customHeight="1">
      <c r="C541" s="91" t="s">
        <v>8318</v>
      </c>
      <c r="E541" s="103" t="s">
        <v>4357</v>
      </c>
    </row>
    <row r="542" spans="3:5" ht="20.25" customHeight="1">
      <c r="C542" s="91" t="s">
        <v>8319</v>
      </c>
      <c r="E542" s="103" t="s">
        <v>4357</v>
      </c>
    </row>
    <row r="543" spans="3:5" ht="20.25" customHeight="1">
      <c r="C543" s="91" t="s">
        <v>8320</v>
      </c>
      <c r="E543" s="105">
        <v>44816</v>
      </c>
    </row>
    <row r="544" spans="3:5" ht="20.25" customHeight="1">
      <c r="C544" s="91" t="s">
        <v>8321</v>
      </c>
      <c r="E544" s="105">
        <v>44961</v>
      </c>
    </row>
    <row r="545" spans="3:5" ht="20.25" customHeight="1">
      <c r="C545" s="91" t="s">
        <v>8322</v>
      </c>
      <c r="E545" s="103" t="s">
        <v>4357</v>
      </c>
    </row>
    <row r="546" spans="3:5" ht="20.25" customHeight="1">
      <c r="C546" s="91" t="s">
        <v>8323</v>
      </c>
      <c r="E546" s="105">
        <v>44889</v>
      </c>
    </row>
    <row r="547" spans="3:5" ht="20.25" customHeight="1">
      <c r="C547" s="91" t="s">
        <v>8324</v>
      </c>
      <c r="E547" s="105">
        <v>44816</v>
      </c>
    </row>
    <row r="548" spans="3:5" ht="20.25" customHeight="1">
      <c r="C548" s="91" t="s">
        <v>8325</v>
      </c>
      <c r="E548" s="105">
        <v>44961</v>
      </c>
    </row>
    <row r="549" spans="3:5" ht="20.25" customHeight="1">
      <c r="C549" s="91" t="s">
        <v>8326</v>
      </c>
      <c r="E549" s="105">
        <v>44910</v>
      </c>
    </row>
    <row r="550" spans="3:5" ht="20.25" customHeight="1">
      <c r="C550" s="91" t="s">
        <v>8327</v>
      </c>
      <c r="E550" s="105">
        <v>44889</v>
      </c>
    </row>
    <row r="551" spans="3:5" ht="20.25" customHeight="1">
      <c r="C551" s="95" t="s">
        <v>8328</v>
      </c>
      <c r="E551" s="105">
        <v>44816</v>
      </c>
    </row>
    <row r="552" spans="3:5" ht="20.25" customHeight="1">
      <c r="C552" s="91" t="s">
        <v>8329</v>
      </c>
      <c r="E552" s="105">
        <v>44889</v>
      </c>
    </row>
    <row r="553" spans="3:5" ht="20.25" customHeight="1">
      <c r="C553" s="91" t="s">
        <v>8330</v>
      </c>
      <c r="E553" s="105">
        <v>44816</v>
      </c>
    </row>
    <row r="554" spans="3:5" ht="20.25" customHeight="1">
      <c r="C554" s="91" t="s">
        <v>8331</v>
      </c>
      <c r="E554" s="103" t="s">
        <v>4357</v>
      </c>
    </row>
    <row r="555" spans="3:5" ht="20.25" customHeight="1">
      <c r="C555" s="91" t="s">
        <v>8332</v>
      </c>
      <c r="E555" s="103" t="s">
        <v>4357</v>
      </c>
    </row>
    <row r="556" spans="3:5" ht="20.25" customHeight="1">
      <c r="C556" s="91" t="s">
        <v>7840</v>
      </c>
      <c r="E556" s="103" t="s">
        <v>4357</v>
      </c>
    </row>
    <row r="557" spans="3:5" ht="20.25" customHeight="1">
      <c r="C557" s="91" t="s">
        <v>7842</v>
      </c>
      <c r="E557" s="105">
        <v>44889</v>
      </c>
    </row>
    <row r="558" spans="3:5" ht="20.25" customHeight="1">
      <c r="C558" s="91" t="s">
        <v>8333</v>
      </c>
      <c r="E558" s="103" t="s">
        <v>4357</v>
      </c>
    </row>
    <row r="559" spans="3:5" ht="20.25" customHeight="1">
      <c r="C559" s="91" t="s">
        <v>7844</v>
      </c>
      <c r="E559" s="103" t="s">
        <v>4357</v>
      </c>
    </row>
    <row r="560" spans="3:5" ht="20.25" customHeight="1">
      <c r="C560" s="91" t="s">
        <v>8334</v>
      </c>
      <c r="E560" s="105">
        <v>44889</v>
      </c>
    </row>
    <row r="561" spans="3:5" ht="20.25" customHeight="1">
      <c r="C561" s="91" t="s">
        <v>8335</v>
      </c>
      <c r="E561" s="105">
        <v>44889</v>
      </c>
    </row>
    <row r="562" spans="3:5" ht="20.25" customHeight="1">
      <c r="C562" s="91" t="s">
        <v>8336</v>
      </c>
      <c r="E562" s="105"/>
    </row>
    <row r="563" spans="3:5" ht="20.25" customHeight="1">
      <c r="C563" s="91" t="s">
        <v>8337</v>
      </c>
      <c r="E563" s="105">
        <v>45097</v>
      </c>
    </row>
    <row r="564" spans="3:5" ht="20.25" customHeight="1">
      <c r="C564" s="91" t="s">
        <v>8338</v>
      </c>
      <c r="E564" s="105">
        <v>44910</v>
      </c>
    </row>
    <row r="565" spans="3:5" ht="20.25" customHeight="1">
      <c r="C565" s="90" t="s">
        <v>8339</v>
      </c>
      <c r="E565" s="105">
        <v>44923</v>
      </c>
    </row>
    <row r="566" spans="3:5" ht="20.25" customHeight="1">
      <c r="C566" s="91" t="s">
        <v>8340</v>
      </c>
      <c r="E566" s="105">
        <v>44923</v>
      </c>
    </row>
    <row r="567" spans="3:5" ht="20.25" customHeight="1">
      <c r="C567" s="91" t="s">
        <v>8341</v>
      </c>
      <c r="E567" s="105">
        <v>44910</v>
      </c>
    </row>
    <row r="568" spans="3:5" ht="20.25" customHeight="1">
      <c r="C568" s="91" t="s">
        <v>8342</v>
      </c>
      <c r="E568" s="105">
        <v>44910</v>
      </c>
    </row>
    <row r="569" spans="3:5" ht="20.25" customHeight="1">
      <c r="C569" s="91" t="s">
        <v>8343</v>
      </c>
      <c r="E569" s="103" t="s">
        <v>4357</v>
      </c>
    </row>
    <row r="570" spans="3:5" ht="20.25" customHeight="1">
      <c r="C570" s="91" t="s">
        <v>8344</v>
      </c>
      <c r="E570" s="105">
        <v>44923</v>
      </c>
    </row>
    <row r="571" spans="3:5" ht="20.25" customHeight="1">
      <c r="C571" s="91" t="s">
        <v>8345</v>
      </c>
      <c r="E571" s="105">
        <v>44910</v>
      </c>
    </row>
    <row r="572" spans="3:5" ht="20.25" customHeight="1">
      <c r="C572" s="91" t="s">
        <v>8346</v>
      </c>
      <c r="E572" s="105">
        <v>44923</v>
      </c>
    </row>
    <row r="573" spans="3:5" ht="20.25" customHeight="1">
      <c r="C573" s="91" t="s">
        <v>8347</v>
      </c>
      <c r="E573" s="105">
        <v>44910</v>
      </c>
    </row>
    <row r="574" spans="3:5" ht="20.25" customHeight="1">
      <c r="C574" s="91" t="s">
        <v>7846</v>
      </c>
      <c r="E574" s="105">
        <v>44910</v>
      </c>
    </row>
    <row r="575" spans="3:5" ht="20.25" customHeight="1">
      <c r="C575" s="91" t="s">
        <v>7848</v>
      </c>
      <c r="E575" s="105">
        <v>44869</v>
      </c>
    </row>
    <row r="576" spans="3:5" ht="20.25" customHeight="1">
      <c r="C576" s="91" t="s">
        <v>8348</v>
      </c>
      <c r="E576" s="105">
        <v>44869</v>
      </c>
    </row>
    <row r="577" spans="3:5" ht="20.25" customHeight="1">
      <c r="C577" s="91" t="s">
        <v>8349</v>
      </c>
      <c r="E577" s="105">
        <v>44876</v>
      </c>
    </row>
    <row r="578" spans="3:5" ht="20.25" customHeight="1">
      <c r="C578" s="90" t="s">
        <v>8350</v>
      </c>
      <c r="E578" s="103" t="s">
        <v>4357</v>
      </c>
    </row>
    <row r="579" spans="3:5" ht="20.25" customHeight="1">
      <c r="C579" s="91" t="s">
        <v>8351</v>
      </c>
      <c r="E579" s="105">
        <v>44869</v>
      </c>
    </row>
    <row r="580" spans="3:5" ht="20.25" customHeight="1">
      <c r="C580" s="91" t="s">
        <v>8352</v>
      </c>
      <c r="E580" s="103" t="s">
        <v>4357</v>
      </c>
    </row>
    <row r="581" spans="3:5" ht="20.25" customHeight="1">
      <c r="C581" s="91" t="s">
        <v>8353</v>
      </c>
      <c r="E581" s="103" t="s">
        <v>4357</v>
      </c>
    </row>
    <row r="582" spans="3:5" ht="20.25" customHeight="1">
      <c r="C582" s="91" t="s">
        <v>8354</v>
      </c>
      <c r="E582" s="103" t="s">
        <v>4357</v>
      </c>
    </row>
    <row r="583" spans="3:5" ht="20.25" customHeight="1">
      <c r="C583" s="91" t="s">
        <v>7850</v>
      </c>
      <c r="E583" s="103" t="s">
        <v>4357</v>
      </c>
    </row>
    <row r="584" spans="3:5" ht="20.25" customHeight="1">
      <c r="C584" s="91" t="s">
        <v>8355</v>
      </c>
      <c r="E584" s="103" t="s">
        <v>4357</v>
      </c>
    </row>
    <row r="585" spans="3:5" ht="20.25" customHeight="1">
      <c r="C585" s="91" t="s">
        <v>8356</v>
      </c>
      <c r="E585" s="103" t="s">
        <v>4357</v>
      </c>
    </row>
    <row r="586" spans="3:5" ht="20.25" customHeight="1">
      <c r="C586" s="91" t="s">
        <v>8357</v>
      </c>
      <c r="E586" s="103" t="s">
        <v>4357</v>
      </c>
    </row>
    <row r="587" spans="3:5" ht="20.25" customHeight="1">
      <c r="C587" s="91" t="s">
        <v>8358</v>
      </c>
      <c r="E587" s="103" t="s">
        <v>4357</v>
      </c>
    </row>
    <row r="588" spans="3:5" ht="20.25" customHeight="1">
      <c r="C588" s="91" t="s">
        <v>8359</v>
      </c>
      <c r="E588" s="103" t="s">
        <v>4357</v>
      </c>
    </row>
    <row r="589" spans="3:5" ht="20.25" customHeight="1">
      <c r="C589" s="91" t="s">
        <v>8360</v>
      </c>
      <c r="E589" s="103" t="s">
        <v>4357</v>
      </c>
    </row>
    <row r="590" spans="3:5" ht="20.25" customHeight="1">
      <c r="C590" s="91" t="s">
        <v>8361</v>
      </c>
      <c r="E590" s="103" t="s">
        <v>4357</v>
      </c>
    </row>
    <row r="591" spans="3:5" ht="20.25" customHeight="1">
      <c r="C591" s="91" t="s">
        <v>8362</v>
      </c>
      <c r="E591" s="103" t="s">
        <v>4357</v>
      </c>
    </row>
    <row r="592" spans="3:5" ht="20.25" customHeight="1">
      <c r="C592" s="91" t="s">
        <v>8363</v>
      </c>
      <c r="E592" s="103" t="s">
        <v>4357</v>
      </c>
    </row>
    <row r="593" spans="3:5" ht="20.25" customHeight="1">
      <c r="C593" s="91" t="s">
        <v>8364</v>
      </c>
      <c r="E593" s="105">
        <v>44910</v>
      </c>
    </row>
    <row r="594" spans="3:5" ht="20.25" customHeight="1">
      <c r="C594" s="91" t="s">
        <v>8365</v>
      </c>
      <c r="E594" s="103" t="s">
        <v>4357</v>
      </c>
    </row>
    <row r="595" spans="3:5" ht="20.25" customHeight="1">
      <c r="C595" s="91" t="s">
        <v>8366</v>
      </c>
      <c r="E595" s="105">
        <v>44910</v>
      </c>
    </row>
    <row r="596" spans="3:5" ht="20.25" customHeight="1">
      <c r="C596" s="91" t="s">
        <v>8367</v>
      </c>
      <c r="E596" s="103" t="s">
        <v>4357</v>
      </c>
    </row>
    <row r="597" spans="3:5" ht="20.25" customHeight="1">
      <c r="C597" s="91" t="s">
        <v>8368</v>
      </c>
      <c r="E597" s="105">
        <v>44910</v>
      </c>
    </row>
    <row r="598" spans="3:5" ht="20.25" customHeight="1">
      <c r="C598" s="91" t="s">
        <v>8369</v>
      </c>
      <c r="E598" s="103" t="s">
        <v>4357</v>
      </c>
    </row>
    <row r="599" spans="3:5" ht="20.25" customHeight="1">
      <c r="C599" s="95" t="s">
        <v>8370</v>
      </c>
      <c r="E599" s="103" t="s">
        <v>4357</v>
      </c>
    </row>
    <row r="600" spans="3:5" ht="20.25" customHeight="1">
      <c r="C600" s="91" t="s">
        <v>8371</v>
      </c>
      <c r="E600" s="103" t="s">
        <v>4357</v>
      </c>
    </row>
    <row r="601" spans="3:5" ht="20.25" customHeight="1">
      <c r="C601" s="91" t="s">
        <v>8372</v>
      </c>
      <c r="E601" s="103" t="s">
        <v>4357</v>
      </c>
    </row>
    <row r="602" spans="3:5" ht="20.25" customHeight="1">
      <c r="C602" s="91" t="s">
        <v>8373</v>
      </c>
      <c r="E602" s="108">
        <v>45065</v>
      </c>
    </row>
    <row r="603" spans="3:5" ht="20.25" customHeight="1">
      <c r="C603" s="91" t="s">
        <v>8374</v>
      </c>
      <c r="E603" s="108">
        <v>45148</v>
      </c>
    </row>
    <row r="604" spans="3:5" ht="20.25" customHeight="1">
      <c r="C604" s="91" t="s">
        <v>8375</v>
      </c>
      <c r="E604" s="105">
        <v>44910</v>
      </c>
    </row>
    <row r="605" spans="3:5" ht="20.25" customHeight="1">
      <c r="C605" s="91" t="s">
        <v>8376</v>
      </c>
      <c r="E605" s="119">
        <v>45040</v>
      </c>
    </row>
    <row r="606" spans="3:5" ht="20.25" customHeight="1">
      <c r="C606" s="91" t="s">
        <v>8377</v>
      </c>
      <c r="E606" s="103" t="s">
        <v>4357</v>
      </c>
    </row>
    <row r="607" spans="3:5" ht="20.25" customHeight="1">
      <c r="C607" s="91" t="s">
        <v>8378</v>
      </c>
      <c r="E607" s="108">
        <v>45065</v>
      </c>
    </row>
    <row r="608" spans="3:5" ht="20.25" customHeight="1">
      <c r="C608" s="91" t="s">
        <v>8379</v>
      </c>
      <c r="E608" s="103" t="s">
        <v>4357</v>
      </c>
    </row>
    <row r="609" spans="3:5" ht="20.25" customHeight="1">
      <c r="C609" s="91" t="s">
        <v>8380</v>
      </c>
      <c r="E609" s="119">
        <v>45040</v>
      </c>
    </row>
    <row r="610" spans="3:5" ht="20.25" customHeight="1">
      <c r="C610" s="91" t="s">
        <v>8381</v>
      </c>
      <c r="E610" s="105">
        <v>44923</v>
      </c>
    </row>
    <row r="611" spans="3:5" ht="20.25" customHeight="1">
      <c r="C611" s="91" t="s">
        <v>8382</v>
      </c>
      <c r="E611" s="108">
        <v>45065</v>
      </c>
    </row>
    <row r="612" spans="3:5" ht="20.25" customHeight="1">
      <c r="C612" s="91" t="s">
        <v>8383</v>
      </c>
      <c r="E612" s="103" t="s">
        <v>4357</v>
      </c>
    </row>
    <row r="613" spans="3:5" ht="20.25" customHeight="1">
      <c r="C613" s="91" t="s">
        <v>8384</v>
      </c>
      <c r="E613" s="103" t="s">
        <v>4357</v>
      </c>
    </row>
    <row r="614" spans="3:5" ht="20.25" customHeight="1">
      <c r="C614" s="91" t="s">
        <v>8385</v>
      </c>
      <c r="E614" s="105">
        <v>44910</v>
      </c>
    </row>
    <row r="615" spans="3:5" ht="20.25" customHeight="1">
      <c r="C615" s="91" t="s">
        <v>8386</v>
      </c>
      <c r="E615" s="105">
        <v>44923</v>
      </c>
    </row>
    <row r="616" spans="3:5" ht="20.25" customHeight="1">
      <c r="C616" s="91" t="s">
        <v>8387</v>
      </c>
      <c r="E616" s="105">
        <v>44910</v>
      </c>
    </row>
    <row r="617" spans="3:5" ht="20.25" customHeight="1">
      <c r="C617" s="90" t="s">
        <v>8388</v>
      </c>
      <c r="E617" s="105">
        <v>44869</v>
      </c>
    </row>
    <row r="618" spans="3:5" ht="20.25" customHeight="1">
      <c r="C618" s="91" t="s">
        <v>8389</v>
      </c>
      <c r="E618" s="105">
        <v>44910</v>
      </c>
    </row>
    <row r="619" spans="3:5" ht="20.25" customHeight="1">
      <c r="C619" s="91" t="s">
        <v>8390</v>
      </c>
      <c r="E619" s="103"/>
    </row>
    <row r="620" spans="3:5" ht="20.25" customHeight="1">
      <c r="C620" s="91" t="s">
        <v>8391</v>
      </c>
      <c r="E620" s="105">
        <v>44910</v>
      </c>
    </row>
    <row r="621" spans="3:5" ht="20.25" customHeight="1">
      <c r="C621" s="91" t="s">
        <v>7852</v>
      </c>
      <c r="E621" s="103" t="s">
        <v>4357</v>
      </c>
    </row>
    <row r="622" spans="3:5" ht="20.25" customHeight="1">
      <c r="C622" s="91" t="s">
        <v>8392</v>
      </c>
      <c r="E622" s="105">
        <v>44923</v>
      </c>
    </row>
    <row r="623" spans="3:5" ht="20.25" customHeight="1">
      <c r="C623" s="91" t="s">
        <v>8393</v>
      </c>
      <c r="E623" s="105">
        <v>44910</v>
      </c>
    </row>
    <row r="624" spans="3:5" ht="20.25" customHeight="1">
      <c r="C624" s="91" t="s">
        <v>8394</v>
      </c>
      <c r="E624" s="105">
        <v>44910</v>
      </c>
    </row>
    <row r="625" spans="3:5" ht="20.25" customHeight="1">
      <c r="C625" s="91" t="s">
        <v>8395</v>
      </c>
      <c r="E625" s="103"/>
    </row>
    <row r="626" spans="3:5" ht="20.25" customHeight="1">
      <c r="C626" s="91" t="s">
        <v>8396</v>
      </c>
      <c r="E626" s="112"/>
    </row>
    <row r="627" spans="3:5" ht="20.25" customHeight="1">
      <c r="C627" s="91" t="s">
        <v>8397</v>
      </c>
      <c r="E627" s="112"/>
    </row>
    <row r="628" spans="3:5" ht="20.25" customHeight="1">
      <c r="C628" s="91" t="s">
        <v>8398</v>
      </c>
      <c r="E628" s="112"/>
    </row>
    <row r="629" spans="3:5" ht="20.25" customHeight="1">
      <c r="C629" s="91" t="s">
        <v>8399</v>
      </c>
      <c r="E629" s="112"/>
    </row>
    <row r="630" spans="3:5" ht="20.25" customHeight="1">
      <c r="C630" s="91" t="s">
        <v>8400</v>
      </c>
      <c r="E630" s="112"/>
    </row>
    <row r="631" spans="3:5" ht="20.25" customHeight="1">
      <c r="C631" s="91" t="s">
        <v>8401</v>
      </c>
      <c r="E631" s="112"/>
    </row>
    <row r="632" spans="3:5" ht="20.25" customHeight="1">
      <c r="C632" s="91" t="s">
        <v>8402</v>
      </c>
      <c r="E632" s="112"/>
    </row>
    <row r="633" spans="3:5" ht="20.25" customHeight="1">
      <c r="C633" s="91" t="s">
        <v>8403</v>
      </c>
      <c r="E633" s="112"/>
    </row>
    <row r="634" spans="3:5" ht="20.25" customHeight="1">
      <c r="C634" s="91" t="s">
        <v>8404</v>
      </c>
      <c r="E634" s="112"/>
    </row>
    <row r="635" spans="3:5" ht="20.25" customHeight="1">
      <c r="C635" s="91" t="s">
        <v>8405</v>
      </c>
      <c r="E635" s="112"/>
    </row>
    <row r="636" spans="3:5" ht="20.25" customHeight="1">
      <c r="C636" s="95" t="s">
        <v>8406</v>
      </c>
      <c r="E636" s="112"/>
    </row>
    <row r="637" spans="3:5" ht="20.25" customHeight="1">
      <c r="C637" s="91" t="s">
        <v>8407</v>
      </c>
      <c r="E637" s="112"/>
    </row>
    <row r="638" spans="3:5" ht="20.25" customHeight="1">
      <c r="C638" s="91" t="s">
        <v>8408</v>
      </c>
      <c r="E638" s="112"/>
    </row>
    <row r="639" spans="3:5" ht="20.25" customHeight="1">
      <c r="C639" s="95" t="s">
        <v>8409</v>
      </c>
      <c r="E639" s="112"/>
    </row>
    <row r="640" spans="3:5" ht="20.25" customHeight="1">
      <c r="C640" s="91" t="s">
        <v>8410</v>
      </c>
      <c r="E640" s="112"/>
    </row>
    <row r="641" spans="3:5" ht="20.25" customHeight="1">
      <c r="C641" s="91" t="s">
        <v>8411</v>
      </c>
      <c r="E641" s="112"/>
    </row>
    <row r="642" spans="3:5" ht="20.25" customHeight="1">
      <c r="C642" s="91" t="s">
        <v>8412</v>
      </c>
      <c r="E642" s="112"/>
    </row>
    <row r="643" spans="3:5" ht="20.25" customHeight="1">
      <c r="C643" s="91" t="s">
        <v>8413</v>
      </c>
      <c r="E643" s="112"/>
    </row>
    <row r="644" spans="3:5" ht="20.25" customHeight="1">
      <c r="C644" s="95" t="s">
        <v>8414</v>
      </c>
      <c r="E644" s="112"/>
    </row>
    <row r="645" spans="3:5" ht="20.25" customHeight="1">
      <c r="C645" s="91" t="s">
        <v>8415</v>
      </c>
      <c r="E645" s="112"/>
    </row>
    <row r="646" spans="3:5" ht="20.25" customHeight="1">
      <c r="C646" s="91" t="s">
        <v>8416</v>
      </c>
      <c r="E646" s="112"/>
    </row>
    <row r="647" spans="3:5" ht="20.25" customHeight="1">
      <c r="C647" s="97" t="s">
        <v>7854</v>
      </c>
      <c r="E647" s="112"/>
    </row>
    <row r="648" spans="3:5" ht="20.25" customHeight="1">
      <c r="C648" s="95" t="s">
        <v>8417</v>
      </c>
      <c r="E648" s="103" t="s">
        <v>4357</v>
      </c>
    </row>
    <row r="649" spans="3:5" ht="20.25" customHeight="1">
      <c r="C649" s="91" t="s">
        <v>8418</v>
      </c>
      <c r="E649" s="103" t="s">
        <v>4357</v>
      </c>
    </row>
    <row r="650" spans="3:5" ht="20.25" customHeight="1">
      <c r="C650" s="91" t="s">
        <v>7856</v>
      </c>
      <c r="E650" s="103" t="s">
        <v>4357</v>
      </c>
    </row>
    <row r="651" spans="3:5" ht="20.25" customHeight="1">
      <c r="C651" s="91" t="s">
        <v>7858</v>
      </c>
      <c r="E651" s="112" t="s">
        <v>4357</v>
      </c>
    </row>
    <row r="652" spans="3:5" ht="20.25" customHeight="1">
      <c r="C652" s="91" t="s">
        <v>8419</v>
      </c>
      <c r="E652" s="112"/>
    </row>
    <row r="653" spans="3:5" ht="20.25" customHeight="1">
      <c r="C653" s="91" t="s">
        <v>7860</v>
      </c>
      <c r="E653" s="112"/>
    </row>
    <row r="654" spans="3:5" ht="20.25" customHeight="1">
      <c r="C654" s="91" t="s">
        <v>8420</v>
      </c>
      <c r="E654" s="112"/>
    </row>
    <row r="655" spans="3:5" ht="20.25" customHeight="1">
      <c r="C655" s="91" t="s">
        <v>8421</v>
      </c>
      <c r="E655" s="112"/>
    </row>
    <row r="656" spans="3:5" ht="20.25" customHeight="1">
      <c r="C656" s="91" t="s">
        <v>8422</v>
      </c>
      <c r="E656" s="112"/>
    </row>
    <row r="657" spans="3:5" ht="20.25" customHeight="1">
      <c r="C657" s="91" t="s">
        <v>8423</v>
      </c>
      <c r="E657" s="112"/>
    </row>
    <row r="658" spans="3:5" ht="20.25" customHeight="1">
      <c r="C658" s="91" t="s">
        <v>8424</v>
      </c>
      <c r="E658" s="112"/>
    </row>
    <row r="659" spans="3:5" ht="20.25" customHeight="1">
      <c r="C659" s="91" t="s">
        <v>8425</v>
      </c>
      <c r="E659" s="112"/>
    </row>
    <row r="660" spans="3:5" ht="20.25" customHeight="1">
      <c r="C660" s="91" t="s">
        <v>8426</v>
      </c>
      <c r="E660" s="112"/>
    </row>
    <row r="661" spans="3:5" ht="20.25" customHeight="1">
      <c r="C661" s="91" t="s">
        <v>8427</v>
      </c>
      <c r="E661" s="112"/>
    </row>
    <row r="662" spans="3:5" ht="20.25" customHeight="1">
      <c r="C662" s="91" t="s">
        <v>8428</v>
      </c>
      <c r="E662" s="112"/>
    </row>
    <row r="663" spans="3:5" ht="20.25" customHeight="1">
      <c r="C663" s="91" t="s">
        <v>8429</v>
      </c>
      <c r="E663" s="112"/>
    </row>
    <row r="664" spans="3:5" ht="20.25" customHeight="1">
      <c r="C664" s="91" t="s">
        <v>8430</v>
      </c>
      <c r="E664" s="112"/>
    </row>
    <row r="665" spans="3:5" ht="20.25" customHeight="1">
      <c r="C665" s="91" t="s">
        <v>7862</v>
      </c>
      <c r="E665" s="112"/>
    </row>
    <row r="666" spans="3:5" ht="20.25" customHeight="1">
      <c r="C666" s="91" t="s">
        <v>8431</v>
      </c>
      <c r="E666" s="112"/>
    </row>
    <row r="667" spans="3:5" ht="20.25" customHeight="1">
      <c r="C667" s="91" t="s">
        <v>8432</v>
      </c>
      <c r="E667" s="119">
        <v>45040</v>
      </c>
    </row>
    <row r="668" spans="3:5" ht="20.25" customHeight="1">
      <c r="C668" s="91" t="s">
        <v>8433</v>
      </c>
      <c r="E668" s="112"/>
    </row>
    <row r="669" spans="3:5" ht="20.25" customHeight="1">
      <c r="C669" s="91" t="s">
        <v>8434</v>
      </c>
      <c r="E669" s="112"/>
    </row>
    <row r="670" spans="3:5" ht="20.25" customHeight="1">
      <c r="C670" s="91" t="s">
        <v>8435</v>
      </c>
      <c r="E670" s="103"/>
    </row>
    <row r="671" spans="3:5" ht="20.25" customHeight="1">
      <c r="C671" s="91" t="s">
        <v>8436</v>
      </c>
      <c r="E671" s="112"/>
    </row>
    <row r="672" spans="3:5" ht="20.25" customHeight="1">
      <c r="C672" s="91" t="s">
        <v>8437</v>
      </c>
      <c r="E672" s="112"/>
    </row>
    <row r="673" spans="3:5" ht="20.25" customHeight="1">
      <c r="C673" s="91" t="s">
        <v>8438</v>
      </c>
      <c r="E673" s="105">
        <v>44922</v>
      </c>
    </row>
    <row r="674" spans="3:5" ht="20.25" customHeight="1">
      <c r="C674" s="91" t="s">
        <v>8439</v>
      </c>
      <c r="E674" s="112"/>
    </row>
    <row r="675" spans="3:5" ht="20.25" customHeight="1">
      <c r="C675" s="91" t="s">
        <v>8440</v>
      </c>
      <c r="E675" s="112"/>
    </row>
    <row r="676" spans="3:5" ht="20.25" customHeight="1">
      <c r="C676" s="91" t="s">
        <v>8441</v>
      </c>
      <c r="E676" s="112"/>
    </row>
    <row r="677" spans="3:5" ht="20.25" customHeight="1">
      <c r="C677" s="91" t="s">
        <v>8442</v>
      </c>
      <c r="E677" s="112"/>
    </row>
    <row r="678" spans="3:5" ht="20.25" customHeight="1">
      <c r="C678" s="91" t="s">
        <v>8443</v>
      </c>
      <c r="E678" s="112" t="s">
        <v>4357</v>
      </c>
    </row>
    <row r="679" spans="3:5" ht="20.25" customHeight="1">
      <c r="C679" s="91" t="s">
        <v>8444</v>
      </c>
      <c r="E679" s="112" t="s">
        <v>4357</v>
      </c>
    </row>
    <row r="680" spans="3:5" ht="20.25" customHeight="1">
      <c r="C680" s="91" t="s">
        <v>8445</v>
      </c>
      <c r="E680" s="112"/>
    </row>
    <row r="681" spans="3:5" ht="20.25" customHeight="1">
      <c r="C681" s="91" t="s">
        <v>8446</v>
      </c>
      <c r="E681" s="112" t="s">
        <v>4357</v>
      </c>
    </row>
    <row r="682" spans="3:5" ht="20.25" customHeight="1">
      <c r="C682" s="91" t="s">
        <v>8447</v>
      </c>
      <c r="E682" s="112"/>
    </row>
    <row r="683" spans="3:5" ht="20.25" customHeight="1">
      <c r="C683" s="91" t="s">
        <v>8448</v>
      </c>
      <c r="E683" s="112"/>
    </row>
    <row r="684" spans="3:5" ht="20.25" customHeight="1">
      <c r="C684" s="91" t="s">
        <v>8449</v>
      </c>
      <c r="E684" s="112"/>
    </row>
    <row r="685" spans="3:5" ht="20.25" customHeight="1">
      <c r="C685" s="91" t="s">
        <v>8450</v>
      </c>
      <c r="E685" s="103" t="s">
        <v>4357</v>
      </c>
    </row>
    <row r="686" spans="3:5" ht="20.25" customHeight="1">
      <c r="C686" s="91" t="s">
        <v>8451</v>
      </c>
      <c r="E686" s="119">
        <v>45040</v>
      </c>
    </row>
    <row r="687" spans="3:5" ht="20.25" customHeight="1">
      <c r="C687" s="91" t="s">
        <v>8452</v>
      </c>
      <c r="E687" s="112"/>
    </row>
    <row r="688" spans="3:5" ht="20.25" customHeight="1">
      <c r="C688" s="91" t="s">
        <v>8453</v>
      </c>
      <c r="E688" s="103" t="s">
        <v>4357</v>
      </c>
    </row>
    <row r="689" spans="3:5" ht="20.25" customHeight="1">
      <c r="C689" s="91" t="s">
        <v>8454</v>
      </c>
      <c r="E689" s="108">
        <v>45148</v>
      </c>
    </row>
    <row r="690" spans="3:5" ht="20.25" customHeight="1">
      <c r="C690" s="91" t="s">
        <v>8455</v>
      </c>
      <c r="E690" s="112"/>
    </row>
    <row r="691" spans="3:5" ht="20.25" customHeight="1">
      <c r="C691" s="91" t="s">
        <v>8456</v>
      </c>
      <c r="E691" s="108">
        <v>45049</v>
      </c>
    </row>
    <row r="692" spans="3:5" ht="20.25" customHeight="1">
      <c r="C692" s="91" t="s">
        <v>8457</v>
      </c>
      <c r="E692" s="103" t="s">
        <v>4357</v>
      </c>
    </row>
    <row r="693" spans="3:5" ht="20.25" customHeight="1">
      <c r="C693" s="91" t="s">
        <v>8458</v>
      </c>
      <c r="E693" s="112" t="s">
        <v>4357</v>
      </c>
    </row>
    <row r="694" spans="3:5" ht="20.25" customHeight="1">
      <c r="C694" s="91" t="s">
        <v>8459</v>
      </c>
      <c r="E694" s="112"/>
    </row>
    <row r="695" spans="3:5" ht="20.25" customHeight="1">
      <c r="C695" s="91" t="s">
        <v>8460</v>
      </c>
      <c r="E695" s="112"/>
    </row>
    <row r="696" spans="3:5" ht="20.25" customHeight="1">
      <c r="C696" s="91" t="s">
        <v>8461</v>
      </c>
      <c r="E696" s="108">
        <v>45049</v>
      </c>
    </row>
    <row r="697" spans="3:5" ht="20.25" customHeight="1">
      <c r="C697" s="91" t="s">
        <v>8462</v>
      </c>
      <c r="E697" s="105">
        <v>45058</v>
      </c>
    </row>
    <row r="698" spans="3:5" ht="20.25" customHeight="1">
      <c r="C698" s="91" t="s">
        <v>8463</v>
      </c>
      <c r="E698" s="112"/>
    </row>
    <row r="699" spans="3:5" ht="20.25" customHeight="1">
      <c r="C699" s="91" t="s">
        <v>8464</v>
      </c>
      <c r="E699" s="119">
        <v>45040</v>
      </c>
    </row>
    <row r="700" spans="3:5" ht="20.25" customHeight="1">
      <c r="C700" s="91" t="s">
        <v>8465</v>
      </c>
      <c r="E700" s="112"/>
    </row>
    <row r="701" spans="3:5" ht="20.25" customHeight="1">
      <c r="C701" s="91" t="s">
        <v>8466</v>
      </c>
      <c r="E701" s="103" t="s">
        <v>4357</v>
      </c>
    </row>
    <row r="702" spans="3:5" ht="20.25" customHeight="1">
      <c r="C702" s="91" t="s">
        <v>8467</v>
      </c>
      <c r="E702" s="112"/>
    </row>
    <row r="703" spans="3:5" ht="20.25" customHeight="1">
      <c r="C703" s="91" t="s">
        <v>8468</v>
      </c>
      <c r="E703" s="112"/>
    </row>
    <row r="704" spans="3:5" ht="20.25" customHeight="1">
      <c r="C704" s="91" t="s">
        <v>8469</v>
      </c>
      <c r="E704" s="112"/>
    </row>
    <row r="705" spans="3:5" ht="20.25" customHeight="1">
      <c r="C705" s="91" t="s">
        <v>8470</v>
      </c>
      <c r="E705" s="103" t="s">
        <v>4357</v>
      </c>
    </row>
    <row r="706" spans="3:5" ht="20.25" customHeight="1">
      <c r="C706" s="91" t="s">
        <v>8471</v>
      </c>
      <c r="E706" s="112"/>
    </row>
    <row r="707" spans="3:5" ht="20.25" customHeight="1">
      <c r="C707" s="91" t="s">
        <v>8472</v>
      </c>
      <c r="E707" s="112"/>
    </row>
    <row r="708" spans="3:5" ht="20.25" customHeight="1">
      <c r="C708" s="91" t="s">
        <v>8473</v>
      </c>
      <c r="E708" s="112"/>
    </row>
    <row r="709" spans="3:5" ht="20.25" customHeight="1">
      <c r="C709" s="91" t="s">
        <v>8474</v>
      </c>
      <c r="E709" s="103" t="s">
        <v>4357</v>
      </c>
    </row>
    <row r="710" spans="3:5" ht="20.25" customHeight="1">
      <c r="C710" s="91" t="s">
        <v>8475</v>
      </c>
      <c r="E710" s="103" t="s">
        <v>4357</v>
      </c>
    </row>
    <row r="711" spans="3:5" ht="20.25" customHeight="1">
      <c r="C711" s="91" t="s">
        <v>8476</v>
      </c>
      <c r="E711" s="112"/>
    </row>
    <row r="712" spans="3:5" ht="20.25" customHeight="1">
      <c r="C712" s="91" t="s">
        <v>8477</v>
      </c>
      <c r="E712" s="103" t="s">
        <v>4357</v>
      </c>
    </row>
    <row r="713" spans="3:5" ht="20.25" customHeight="1">
      <c r="C713" s="91" t="s">
        <v>8478</v>
      </c>
      <c r="E713" s="112"/>
    </row>
    <row r="714" spans="3:5" ht="20.25" customHeight="1">
      <c r="C714" s="91" t="s">
        <v>8479</v>
      </c>
      <c r="E714" s="112"/>
    </row>
    <row r="715" spans="3:5" ht="20.25" customHeight="1">
      <c r="C715" s="91" t="s">
        <v>8480</v>
      </c>
      <c r="E715" s="103" t="s">
        <v>4357</v>
      </c>
    </row>
    <row r="716" spans="3:5" ht="20.25" customHeight="1">
      <c r="C716" s="91" t="s">
        <v>8481</v>
      </c>
      <c r="E716" s="119">
        <v>45040</v>
      </c>
    </row>
    <row r="717" spans="3:5" ht="20.25" customHeight="1">
      <c r="C717" s="91" t="s">
        <v>8482</v>
      </c>
      <c r="E717" s="112"/>
    </row>
    <row r="718" spans="3:5" ht="20.25" customHeight="1">
      <c r="C718" s="91" t="s">
        <v>7864</v>
      </c>
      <c r="E718" s="103" t="s">
        <v>4357</v>
      </c>
    </row>
    <row r="719" spans="3:5" ht="20.25" customHeight="1">
      <c r="C719" s="91" t="s">
        <v>8483</v>
      </c>
      <c r="E719" s="105">
        <v>44923</v>
      </c>
    </row>
    <row r="720" spans="3:5" ht="20.25" customHeight="1">
      <c r="C720" s="91" t="s">
        <v>8484</v>
      </c>
      <c r="E720" s="112"/>
    </row>
    <row r="721" spans="3:5" ht="20.25" customHeight="1">
      <c r="C721" s="91" t="s">
        <v>8485</v>
      </c>
      <c r="E721" s="105">
        <v>44877</v>
      </c>
    </row>
    <row r="722" spans="3:5" ht="20.25" customHeight="1">
      <c r="C722" s="91" t="s">
        <v>8486</v>
      </c>
      <c r="E722" s="112"/>
    </row>
    <row r="723" spans="3:5" ht="20.25" customHeight="1">
      <c r="C723" s="91" t="s">
        <v>8487</v>
      </c>
      <c r="E723" s="112"/>
    </row>
    <row r="724" spans="3:5" ht="20.25" customHeight="1">
      <c r="C724" s="91" t="s">
        <v>8488</v>
      </c>
      <c r="E724" s="119">
        <v>45040</v>
      </c>
    </row>
    <row r="725" spans="3:5" ht="20.25" customHeight="1">
      <c r="C725" s="91" t="s">
        <v>8489</v>
      </c>
      <c r="E725" s="103" t="s">
        <v>4357</v>
      </c>
    </row>
    <row r="726" spans="3:5" ht="20.25" customHeight="1">
      <c r="C726" s="93" t="s">
        <v>8490</v>
      </c>
      <c r="E726" s="112"/>
    </row>
    <row r="727" spans="3:5" ht="20.25" customHeight="1">
      <c r="C727" s="91" t="s">
        <v>7866</v>
      </c>
      <c r="E727" s="112"/>
    </row>
    <row r="728" spans="3:5" ht="20.25" customHeight="1">
      <c r="C728" s="91" t="s">
        <v>8491</v>
      </c>
      <c r="E728" s="112"/>
    </row>
    <row r="729" spans="3:5" ht="20.25" customHeight="1">
      <c r="C729" s="91" t="s">
        <v>8492</v>
      </c>
      <c r="E729" s="112"/>
    </row>
    <row r="730" spans="3:5" ht="20.25" customHeight="1">
      <c r="C730" s="91" t="s">
        <v>7868</v>
      </c>
      <c r="E730" s="112"/>
    </row>
    <row r="731" spans="3:5" ht="20.25" customHeight="1">
      <c r="C731" s="91" t="s">
        <v>8493</v>
      </c>
      <c r="E731" s="112"/>
    </row>
    <row r="732" spans="3:5" ht="20.25" customHeight="1">
      <c r="C732" s="91" t="s">
        <v>8494</v>
      </c>
      <c r="E732" s="112"/>
    </row>
    <row r="733" spans="3:5" ht="20.25" customHeight="1">
      <c r="C733" s="97" t="s">
        <v>7870</v>
      </c>
      <c r="E733" s="112"/>
    </row>
    <row r="734" spans="3:5" ht="20.25" customHeight="1">
      <c r="C734" s="91" t="s">
        <v>8495</v>
      </c>
      <c r="E734" s="112"/>
    </row>
    <row r="735" spans="3:5" ht="20.25" customHeight="1">
      <c r="C735" s="91" t="s">
        <v>8496</v>
      </c>
      <c r="E735" s="112"/>
    </row>
    <row r="736" spans="3:5" ht="20.25" customHeight="1">
      <c r="C736" s="91" t="s">
        <v>8497</v>
      </c>
      <c r="E736" s="108">
        <v>45049</v>
      </c>
    </row>
    <row r="737" spans="3:5" ht="20.25" customHeight="1">
      <c r="C737" s="91" t="s">
        <v>8498</v>
      </c>
      <c r="E737" s="119">
        <v>45040</v>
      </c>
    </row>
    <row r="738" spans="3:5" ht="20.25" customHeight="1">
      <c r="C738" s="91" t="s">
        <v>8499</v>
      </c>
      <c r="E738" s="112"/>
    </row>
    <row r="739" spans="3:5" ht="20.25" customHeight="1">
      <c r="C739" s="91" t="s">
        <v>8500</v>
      </c>
      <c r="E739" s="112"/>
    </row>
    <row r="740" spans="3:5" ht="20.25" customHeight="1">
      <c r="C740" s="94" t="s">
        <v>8501</v>
      </c>
      <c r="E740" s="103" t="s">
        <v>4357</v>
      </c>
    </row>
    <row r="741" spans="3:5" ht="20.25" customHeight="1">
      <c r="C741" s="91" t="s">
        <v>8502</v>
      </c>
      <c r="E741" s="112"/>
    </row>
    <row r="742" spans="3:5" ht="20.25" customHeight="1">
      <c r="C742" s="91" t="s">
        <v>8503</v>
      </c>
      <c r="E742" s="112"/>
    </row>
    <row r="743" spans="3:5" ht="20.25" customHeight="1">
      <c r="C743" s="91" t="s">
        <v>8504</v>
      </c>
      <c r="E743" s="112"/>
    </row>
    <row r="744" spans="3:5" ht="20.25" customHeight="1">
      <c r="C744" s="91" t="s">
        <v>8505</v>
      </c>
      <c r="E744" s="112"/>
    </row>
    <row r="745" spans="3:5" ht="20.25" customHeight="1">
      <c r="C745" s="91" t="s">
        <v>8506</v>
      </c>
      <c r="E745" s="112"/>
    </row>
    <row r="746" spans="3:5" ht="20.25" customHeight="1">
      <c r="C746" s="91" t="s">
        <v>8507</v>
      </c>
      <c r="E746" s="112"/>
    </row>
    <row r="747" spans="3:5" ht="20.25" customHeight="1">
      <c r="C747" s="91" t="s">
        <v>8508</v>
      </c>
      <c r="E747" s="103" t="s">
        <v>4357</v>
      </c>
    </row>
    <row r="748" spans="3:5" ht="20.25" customHeight="1">
      <c r="C748" s="91" t="s">
        <v>8509</v>
      </c>
      <c r="E748" s="108">
        <v>45105</v>
      </c>
    </row>
    <row r="749" spans="3:5" ht="20.25" customHeight="1">
      <c r="C749" s="91" t="s">
        <v>8510</v>
      </c>
      <c r="E749" s="119">
        <v>45040</v>
      </c>
    </row>
    <row r="750" spans="3:5" ht="20.25" customHeight="1">
      <c r="C750" s="91" t="s">
        <v>8511</v>
      </c>
      <c r="E750" s="112"/>
    </row>
    <row r="751" spans="3:5" ht="20.25" customHeight="1">
      <c r="C751" s="91" t="s">
        <v>8512</v>
      </c>
      <c r="E751" s="103" t="s">
        <v>4357</v>
      </c>
    </row>
    <row r="752" spans="3:5" ht="20.25" customHeight="1">
      <c r="C752" s="91" t="s">
        <v>8513</v>
      </c>
      <c r="E752" s="103" t="s">
        <v>4357</v>
      </c>
    </row>
    <row r="753" spans="3:5" ht="20.25" customHeight="1">
      <c r="C753" s="91" t="s">
        <v>8514</v>
      </c>
      <c r="E753" s="112"/>
    </row>
    <row r="754" spans="3:5" ht="20.25" customHeight="1">
      <c r="C754" s="91" t="s">
        <v>8515</v>
      </c>
      <c r="E754" s="112"/>
    </row>
    <row r="755" spans="3:5" ht="20.25" customHeight="1">
      <c r="C755" s="91" t="s">
        <v>8516</v>
      </c>
      <c r="E755" s="112"/>
    </row>
    <row r="756" spans="3:5" ht="20.25" customHeight="1">
      <c r="C756" s="91" t="s">
        <v>8517</v>
      </c>
      <c r="E756" s="103" t="s">
        <v>4357</v>
      </c>
    </row>
    <row r="757" spans="3:5" ht="20.25" customHeight="1">
      <c r="C757" s="91" t="s">
        <v>8518</v>
      </c>
      <c r="E757" s="112"/>
    </row>
    <row r="758" spans="3:5" ht="20.25" customHeight="1">
      <c r="C758" s="91" t="s">
        <v>8519</v>
      </c>
      <c r="E758" s="105">
        <v>44910</v>
      </c>
    </row>
    <row r="759" spans="3:5" ht="20.25" customHeight="1">
      <c r="C759" s="91" t="s">
        <v>8520</v>
      </c>
      <c r="E759" s="112"/>
    </row>
    <row r="760" spans="3:5" ht="20.25" customHeight="1">
      <c r="C760" s="91" t="s">
        <v>8521</v>
      </c>
      <c r="E760" s="103" t="s">
        <v>4357</v>
      </c>
    </row>
    <row r="761" spans="3:5" ht="20.25" customHeight="1">
      <c r="C761" s="91" t="s">
        <v>8522</v>
      </c>
      <c r="E761" s="112"/>
    </row>
    <row r="762" spans="3:5" ht="20.25" customHeight="1">
      <c r="C762" s="91" t="s">
        <v>8523</v>
      </c>
      <c r="E762" s="112"/>
    </row>
    <row r="763" spans="3:5" ht="20.25" customHeight="1">
      <c r="C763" s="91" t="s">
        <v>8524</v>
      </c>
      <c r="E763" s="112"/>
    </row>
    <row r="764" spans="3:5" ht="20.25" customHeight="1">
      <c r="C764" s="91" t="s">
        <v>8525</v>
      </c>
      <c r="E764" s="112"/>
    </row>
    <row r="765" spans="3:5" ht="20.25" customHeight="1">
      <c r="C765" s="91" t="s">
        <v>8526</v>
      </c>
      <c r="E765" s="119">
        <v>45040</v>
      </c>
    </row>
    <row r="766" spans="3:5" ht="20.25" customHeight="1">
      <c r="C766" s="91" t="s">
        <v>8527</v>
      </c>
      <c r="E766" s="119">
        <v>45040</v>
      </c>
    </row>
    <row r="767" spans="3:5" ht="20.25" customHeight="1">
      <c r="C767" s="91" t="s">
        <v>8528</v>
      </c>
      <c r="E767" s="112"/>
    </row>
    <row r="768" spans="3:5" ht="20.25" customHeight="1">
      <c r="C768" s="91" t="s">
        <v>8529</v>
      </c>
      <c r="E768" s="112"/>
    </row>
    <row r="769" spans="3:5" ht="20.25" customHeight="1">
      <c r="C769" s="91" t="s">
        <v>8530</v>
      </c>
      <c r="E769" s="119">
        <v>45040</v>
      </c>
    </row>
    <row r="770" spans="3:5" ht="20.25" customHeight="1">
      <c r="C770" s="91" t="s">
        <v>8531</v>
      </c>
      <c r="E770" s="105">
        <v>44890</v>
      </c>
    </row>
    <row r="771" spans="3:5" ht="20.25" customHeight="1">
      <c r="C771" s="91" t="s">
        <v>8532</v>
      </c>
      <c r="E771" s="112"/>
    </row>
    <row r="772" spans="3:5" ht="20.25" customHeight="1">
      <c r="C772" s="91" t="s">
        <v>8533</v>
      </c>
      <c r="E772" s="119">
        <v>45040</v>
      </c>
    </row>
    <row r="773" spans="3:5" ht="20.25" customHeight="1">
      <c r="C773" s="91" t="s">
        <v>8534</v>
      </c>
      <c r="E773" s="109"/>
    </row>
    <row r="774" spans="3:5" ht="20.25" customHeight="1">
      <c r="C774" s="91" t="s">
        <v>8535</v>
      </c>
      <c r="E774" s="112"/>
    </row>
    <row r="775" spans="3:5" ht="20.25" customHeight="1">
      <c r="C775" s="91" t="s">
        <v>8536</v>
      </c>
      <c r="E775" s="119">
        <v>45040</v>
      </c>
    </row>
    <row r="776" spans="3:5" ht="20.25" customHeight="1">
      <c r="C776" s="91" t="s">
        <v>8537</v>
      </c>
      <c r="E776" s="112"/>
    </row>
    <row r="777" spans="3:5" ht="20.25" customHeight="1">
      <c r="C777" s="91" t="s">
        <v>8538</v>
      </c>
      <c r="E777" s="112"/>
    </row>
    <row r="778" spans="3:5" ht="20.25" customHeight="1">
      <c r="C778" s="91" t="s">
        <v>8539</v>
      </c>
      <c r="E778" s="119">
        <v>45040</v>
      </c>
    </row>
    <row r="779" spans="3:5" ht="20.25" customHeight="1">
      <c r="C779" s="91" t="s">
        <v>8540</v>
      </c>
      <c r="E779" s="105">
        <v>44922</v>
      </c>
    </row>
    <row r="780" spans="3:5" ht="20.25" customHeight="1">
      <c r="C780" s="91" t="s">
        <v>8541</v>
      </c>
      <c r="E780" s="112"/>
    </row>
    <row r="781" spans="3:5" ht="20.25" customHeight="1">
      <c r="C781" s="91" t="s">
        <v>8542</v>
      </c>
      <c r="E781" s="112"/>
    </row>
    <row r="782" spans="3:5" ht="20.25" customHeight="1">
      <c r="C782" s="91" t="s">
        <v>8543</v>
      </c>
      <c r="E782" s="103" t="s">
        <v>4357</v>
      </c>
    </row>
    <row r="783" spans="3:5" ht="20.25" customHeight="1">
      <c r="C783" s="91" t="s">
        <v>8544</v>
      </c>
      <c r="E783" s="105">
        <v>45056</v>
      </c>
    </row>
    <row r="784" spans="3:5" ht="20.25" customHeight="1">
      <c r="C784" s="91" t="s">
        <v>7872</v>
      </c>
      <c r="E784" s="112"/>
    </row>
    <row r="785" spans="3:5" ht="20.25" customHeight="1">
      <c r="C785" s="91" t="s">
        <v>7874</v>
      </c>
      <c r="E785" s="103" t="s">
        <v>4357</v>
      </c>
    </row>
    <row r="786" spans="3:5" ht="20.25" customHeight="1">
      <c r="C786" s="91" t="s">
        <v>8545</v>
      </c>
      <c r="E786" s="112" t="s">
        <v>4357</v>
      </c>
    </row>
    <row r="787" spans="3:5" ht="20.25" customHeight="1">
      <c r="C787" s="91" t="s">
        <v>8546</v>
      </c>
      <c r="E787" s="103" t="s">
        <v>4357</v>
      </c>
    </row>
    <row r="788" spans="3:5" ht="20.25" customHeight="1">
      <c r="C788" s="91" t="s">
        <v>8547</v>
      </c>
      <c r="E788" s="112"/>
    </row>
    <row r="789" spans="3:5" ht="20.25" customHeight="1">
      <c r="C789" s="91" t="s">
        <v>8548</v>
      </c>
      <c r="E789" s="112"/>
    </row>
    <row r="790" spans="3:5" ht="20.25" customHeight="1">
      <c r="C790" s="91" t="s">
        <v>8549</v>
      </c>
      <c r="E790" s="112"/>
    </row>
    <row r="791" spans="3:5" ht="20.25" customHeight="1">
      <c r="C791" s="91" t="s">
        <v>8550</v>
      </c>
      <c r="E791" s="112"/>
    </row>
    <row r="792" spans="3:5" ht="20.25" customHeight="1">
      <c r="C792" s="91" t="s">
        <v>8551</v>
      </c>
      <c r="E792" s="112"/>
    </row>
    <row r="793" spans="3:5" ht="20.25" customHeight="1">
      <c r="C793" s="91" t="s">
        <v>8552</v>
      </c>
      <c r="E793" s="112"/>
    </row>
    <row r="794" spans="3:5" ht="20.25" customHeight="1">
      <c r="C794" s="91" t="s">
        <v>8553</v>
      </c>
      <c r="E794" s="112"/>
    </row>
    <row r="795" spans="3:5" ht="20.25" customHeight="1">
      <c r="C795" s="91" t="s">
        <v>8554</v>
      </c>
      <c r="E795" s="112"/>
    </row>
    <row r="796" spans="3:5" ht="20.25" customHeight="1">
      <c r="C796" s="91" t="s">
        <v>8555</v>
      </c>
      <c r="E796" s="112"/>
    </row>
    <row r="797" spans="3:5" ht="20.25" customHeight="1">
      <c r="C797" s="91" t="s">
        <v>8556</v>
      </c>
      <c r="E797" s="112"/>
    </row>
    <row r="798" spans="3:5" ht="20.25" customHeight="1">
      <c r="C798" s="91" t="s">
        <v>8557</v>
      </c>
      <c r="E798" s="103" t="s">
        <v>4357</v>
      </c>
    </row>
    <row r="799" spans="3:5" ht="20.25" customHeight="1">
      <c r="C799" s="91" t="s">
        <v>8558</v>
      </c>
      <c r="E799" s="103" t="s">
        <v>4357</v>
      </c>
    </row>
    <row r="800" spans="3:5" ht="20.25" customHeight="1">
      <c r="C800" s="91" t="s">
        <v>8559</v>
      </c>
      <c r="E800" s="103" t="s">
        <v>4357</v>
      </c>
    </row>
    <row r="801" spans="3:5" ht="20.25" customHeight="1">
      <c r="C801" s="91" t="s">
        <v>8560</v>
      </c>
      <c r="E801" s="113"/>
    </row>
    <row r="802" spans="3:5" ht="20.25" customHeight="1">
      <c r="C802" s="91" t="s">
        <v>8561</v>
      </c>
      <c r="E802" s="112"/>
    </row>
    <row r="803" spans="3:5" ht="20.25" customHeight="1">
      <c r="C803" s="91" t="s">
        <v>8562</v>
      </c>
      <c r="E803" s="112"/>
    </row>
    <row r="804" spans="3:5" ht="20.25" customHeight="1">
      <c r="C804" s="91" t="s">
        <v>8563</v>
      </c>
      <c r="E804" s="112"/>
    </row>
    <row r="805" spans="3:5" ht="20.25" customHeight="1">
      <c r="C805" s="91" t="s">
        <v>8564</v>
      </c>
      <c r="E805" s="112"/>
    </row>
    <row r="806" spans="3:5" ht="20.25" customHeight="1">
      <c r="C806" s="92" t="s">
        <v>8565</v>
      </c>
      <c r="E806" s="112"/>
    </row>
    <row r="807" spans="3:5" ht="20.25" customHeight="1">
      <c r="C807" s="92" t="s">
        <v>8566</v>
      </c>
      <c r="E807" s="112"/>
    </row>
    <row r="808" spans="3:5" ht="20.25" customHeight="1">
      <c r="C808" s="91" t="s">
        <v>8567</v>
      </c>
      <c r="E808" s="112"/>
    </row>
    <row r="809" spans="3:5" ht="20.25" customHeight="1">
      <c r="C809" s="92" t="s">
        <v>8568</v>
      </c>
      <c r="E809" s="112"/>
    </row>
    <row r="810" spans="3:5" ht="20.25" customHeight="1">
      <c r="C810" s="92" t="s">
        <v>8569</v>
      </c>
      <c r="E810" s="112"/>
    </row>
    <row r="811" spans="3:5" ht="20.25" customHeight="1">
      <c r="C811" s="92" t="s">
        <v>8570</v>
      </c>
      <c r="E811" s="112"/>
    </row>
    <row r="812" spans="3:5" ht="20.25" customHeight="1">
      <c r="C812" s="92" t="s">
        <v>8571</v>
      </c>
      <c r="E812" s="112"/>
    </row>
    <row r="813" spans="3:5" ht="20.25" customHeight="1">
      <c r="C813" s="92" t="s">
        <v>8572</v>
      </c>
      <c r="E813" s="112"/>
    </row>
    <row r="814" spans="3:5" ht="20.25" customHeight="1">
      <c r="C814" s="92" t="s">
        <v>8573</v>
      </c>
      <c r="E814" s="112"/>
    </row>
    <row r="815" spans="3:5" ht="20.25" customHeight="1">
      <c r="C815" s="92" t="s">
        <v>8574</v>
      </c>
      <c r="E815" s="112"/>
    </row>
    <row r="816" spans="3:5" ht="20.25" customHeight="1">
      <c r="C816" s="92" t="s">
        <v>8575</v>
      </c>
      <c r="E816" s="112"/>
    </row>
    <row r="817" spans="3:5" ht="20.25" customHeight="1">
      <c r="C817" s="92" t="s">
        <v>8576</v>
      </c>
      <c r="E817" s="112"/>
    </row>
    <row r="818" spans="3:5" ht="20.25" customHeight="1">
      <c r="C818" s="92" t="s">
        <v>8577</v>
      </c>
      <c r="E818" s="112"/>
    </row>
    <row r="819" spans="3:5" ht="20.25" customHeight="1">
      <c r="C819" s="92" t="s">
        <v>8578</v>
      </c>
      <c r="E819" s="112"/>
    </row>
    <row r="820" spans="3:5" ht="20.25" customHeight="1">
      <c r="C820" s="92" t="s">
        <v>8579</v>
      </c>
      <c r="E820" s="112"/>
    </row>
    <row r="821" spans="3:5" ht="20.25" customHeight="1">
      <c r="C821" s="92" t="s">
        <v>8580</v>
      </c>
      <c r="E821" s="112"/>
    </row>
    <row r="822" spans="3:5" ht="20.25" customHeight="1">
      <c r="C822" s="92" t="s">
        <v>8581</v>
      </c>
      <c r="E822" s="112"/>
    </row>
    <row r="823" spans="3:5" ht="20.25" customHeight="1">
      <c r="C823" s="92" t="s">
        <v>8582</v>
      </c>
      <c r="E823" s="112"/>
    </row>
    <row r="824" spans="3:5" ht="20.25" customHeight="1">
      <c r="C824" s="92" t="s">
        <v>8583</v>
      </c>
      <c r="E824" s="112"/>
    </row>
    <row r="825" spans="3:5" ht="20.25" customHeight="1">
      <c r="C825" s="92" t="s">
        <v>8584</v>
      </c>
      <c r="E825" s="112"/>
    </row>
    <row r="826" spans="3:5" ht="20.25" customHeight="1">
      <c r="C826" s="92" t="s">
        <v>8585</v>
      </c>
      <c r="E826" s="112"/>
    </row>
    <row r="827" spans="3:5" ht="20.25" customHeight="1">
      <c r="C827" s="92" t="s">
        <v>8586</v>
      </c>
      <c r="E827" s="112"/>
    </row>
    <row r="828" spans="3:5" ht="20.25" customHeight="1">
      <c r="C828" s="92" t="s">
        <v>8587</v>
      </c>
      <c r="E828" s="112"/>
    </row>
    <row r="829" spans="3:5" ht="20.25" customHeight="1">
      <c r="C829" s="92" t="s">
        <v>8588</v>
      </c>
      <c r="E829" s="112"/>
    </row>
    <row r="830" spans="3:5" ht="20.25" customHeight="1">
      <c r="C830" s="92" t="s">
        <v>8589</v>
      </c>
      <c r="E830" s="112"/>
    </row>
    <row r="831" spans="3:5" ht="20.25" customHeight="1">
      <c r="C831" s="92" t="s">
        <v>8590</v>
      </c>
      <c r="E831" s="112"/>
    </row>
    <row r="832" spans="3:5" ht="20.25" customHeight="1">
      <c r="C832" s="92" t="s">
        <v>8591</v>
      </c>
      <c r="E832" s="112"/>
    </row>
    <row r="833" spans="3:5" ht="20.25" customHeight="1">
      <c r="C833" s="92" t="s">
        <v>8592</v>
      </c>
      <c r="E833" s="112"/>
    </row>
    <row r="834" spans="3:5" ht="20.25" customHeight="1">
      <c r="C834" s="92" t="s">
        <v>8593</v>
      </c>
      <c r="E834" s="112"/>
    </row>
    <row r="835" spans="3:5" ht="20.25" customHeight="1">
      <c r="C835" s="92" t="s">
        <v>8594</v>
      </c>
      <c r="E835" s="103" t="s">
        <v>4357</v>
      </c>
    </row>
    <row r="836" spans="3:5" ht="20.25" customHeight="1">
      <c r="C836" s="92" t="s">
        <v>8595</v>
      </c>
      <c r="E836" s="112"/>
    </row>
    <row r="837" spans="3:5" ht="20.25" customHeight="1">
      <c r="C837" s="92" t="s">
        <v>8596</v>
      </c>
      <c r="E837" s="112"/>
    </row>
    <row r="838" spans="3:5" ht="20.25" customHeight="1">
      <c r="C838" s="92" t="s">
        <v>7876</v>
      </c>
      <c r="E838" s="112"/>
    </row>
    <row r="839" spans="3:5" ht="20.25" customHeight="1">
      <c r="C839" s="92" t="s">
        <v>8597</v>
      </c>
      <c r="E839" s="112"/>
    </row>
    <row r="840" spans="3:5" ht="20.25" customHeight="1">
      <c r="C840" s="92" t="s">
        <v>8598</v>
      </c>
      <c r="E840" s="108">
        <v>45065</v>
      </c>
    </row>
    <row r="841" spans="3:5" ht="20.25" customHeight="1">
      <c r="C841" s="92" t="s">
        <v>8599</v>
      </c>
      <c r="E841" s="103" t="s">
        <v>4357</v>
      </c>
    </row>
    <row r="842" spans="3:5" ht="20.25" customHeight="1">
      <c r="C842" s="92" t="s">
        <v>8600</v>
      </c>
      <c r="E842" s="108">
        <v>45148</v>
      </c>
    </row>
    <row r="843" spans="3:5" ht="20.25" customHeight="1">
      <c r="C843" s="92" t="s">
        <v>8601</v>
      </c>
      <c r="E843" s="103" t="s">
        <v>4357</v>
      </c>
    </row>
    <row r="844" spans="3:5" ht="20.25" customHeight="1">
      <c r="C844" s="92" t="s">
        <v>7878</v>
      </c>
      <c r="E844" s="103" t="s">
        <v>4357</v>
      </c>
    </row>
    <row r="845" spans="3:5" ht="20.25" customHeight="1">
      <c r="C845" s="93"/>
      <c r="E845" s="112"/>
    </row>
    <row r="846" spans="3:5" ht="20.25" customHeight="1">
      <c r="C846" s="93"/>
      <c r="E846" s="112"/>
    </row>
    <row r="847" spans="3:5" ht="20.25" customHeight="1">
      <c r="C847" s="93"/>
      <c r="E847" s="112"/>
    </row>
    <row r="848" spans="3:5" ht="20.25" customHeight="1">
      <c r="C848" s="93"/>
      <c r="E848" s="105">
        <v>44910</v>
      </c>
    </row>
    <row r="849" spans="3:5" ht="20.25" customHeight="1">
      <c r="C849" s="93"/>
      <c r="E849" s="108">
        <v>45065</v>
      </c>
    </row>
    <row r="850" spans="3:5" ht="20.25" customHeight="1">
      <c r="C850" s="93"/>
      <c r="E850" s="103" t="s">
        <v>4357</v>
      </c>
    </row>
    <row r="851" spans="3:5" ht="20.25" customHeight="1">
      <c r="C851" s="93"/>
      <c r="E851" s="103" t="s">
        <v>4357</v>
      </c>
    </row>
    <row r="852" spans="3:5" ht="20.25" customHeight="1">
      <c r="C852" s="93"/>
      <c r="E852" s="108">
        <v>45049</v>
      </c>
    </row>
    <row r="854" spans="3:5" ht="20.25" customHeight="1">
      <c r="E854" s="103" t="s">
        <v>4357</v>
      </c>
    </row>
    <row r="855" spans="3:5" ht="20.25" customHeight="1">
      <c r="E855" s="119">
        <v>45040</v>
      </c>
    </row>
    <row r="856" spans="3:5" ht="20.25" customHeight="1">
      <c r="E856" s="112"/>
    </row>
    <row r="857" spans="3:5" ht="20.25" customHeight="1">
      <c r="E857" s="112"/>
    </row>
    <row r="858" spans="3:5" ht="20.25" customHeight="1">
      <c r="E858" s="112"/>
    </row>
    <row r="859" spans="3:5" ht="20.25" customHeight="1">
      <c r="E859" s="112"/>
    </row>
    <row r="860" spans="3:5" ht="20.25" customHeight="1">
      <c r="E860" s="112"/>
    </row>
    <row r="861" spans="3:5" ht="20.25" customHeight="1">
      <c r="E861" s="112"/>
    </row>
    <row r="862" spans="3:5" ht="20.25" customHeight="1">
      <c r="E862" s="112"/>
    </row>
    <row r="863" spans="3:5" ht="20.25" customHeight="1">
      <c r="E863" s="112"/>
    </row>
    <row r="864" spans="3:5" ht="20.25" customHeight="1">
      <c r="E864" s="112"/>
    </row>
    <row r="865" spans="5:5" ht="20.25" customHeight="1">
      <c r="E865" s="112"/>
    </row>
    <row r="866" spans="5:5" ht="20.25" customHeight="1">
      <c r="E866" s="112"/>
    </row>
    <row r="867" spans="5:5" ht="20.25" customHeight="1">
      <c r="E867" s="112"/>
    </row>
    <row r="868" spans="5:5" ht="20.25" customHeight="1">
      <c r="E868" s="103" t="s">
        <v>4357</v>
      </c>
    </row>
    <row r="905" spans="5:5" ht="20.25" customHeight="1">
      <c r="E905" s="103" t="s">
        <v>4357</v>
      </c>
    </row>
    <row r="906" spans="5:5" ht="20.25" customHeight="1">
      <c r="E906" s="103" t="s">
        <v>4357</v>
      </c>
    </row>
    <row r="917" spans="5:5" ht="20.25" customHeight="1">
      <c r="E917" s="103" t="s">
        <v>4357</v>
      </c>
    </row>
    <row r="918" spans="5:5" ht="20.25" customHeight="1">
      <c r="E918" s="103" t="s">
        <v>4357</v>
      </c>
    </row>
    <row r="919" spans="5:5" ht="20.25" customHeight="1">
      <c r="E919" s="112"/>
    </row>
    <row r="920" spans="5:5" ht="20.25" customHeight="1">
      <c r="E920" s="112"/>
    </row>
    <row r="921" spans="5:5" ht="20.25" customHeight="1">
      <c r="E921" s="112"/>
    </row>
    <row r="922" spans="5:5" ht="20.25" customHeight="1">
      <c r="E922" s="112"/>
    </row>
    <row r="923" spans="5:5" ht="20.25" customHeight="1">
      <c r="E923" s="108">
        <v>45049</v>
      </c>
    </row>
    <row r="941" spans="5:5" ht="20.25" customHeight="1">
      <c r="E941" s="105">
        <v>44961</v>
      </c>
    </row>
    <row r="969" spans="5:5" ht="20.25" customHeight="1">
      <c r="E969" s="105">
        <v>44961</v>
      </c>
    </row>
    <row r="970" spans="5:5" ht="20.25" customHeight="1">
      <c r="E970" s="108">
        <v>45105</v>
      </c>
    </row>
    <row r="971" spans="5:5" ht="20.25" customHeight="1">
      <c r="E971" s="108">
        <v>45105</v>
      </c>
    </row>
    <row r="972" spans="5:5" ht="20.25" customHeight="1">
      <c r="E972" s="112"/>
    </row>
    <row r="973" spans="5:5" ht="20.25" customHeight="1">
      <c r="E973" s="103" t="s">
        <v>4357</v>
      </c>
    </row>
    <row r="974" spans="5:5" ht="20.25" customHeight="1">
      <c r="E974" s="105">
        <v>44961</v>
      </c>
    </row>
    <row r="975" spans="5:5" ht="20.25" customHeight="1">
      <c r="E975" s="112"/>
    </row>
    <row r="976" spans="5:5" ht="20.25" customHeight="1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/>
    <row r="4" spans="6:10" ht="27.75" customHeight="1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>
      <c r="F5" s="241" t="s">
        <v>4431</v>
      </c>
      <c r="G5" s="241" t="s">
        <v>4600</v>
      </c>
      <c r="H5" s="242" t="s">
        <v>6633</v>
      </c>
      <c r="I5" s="242" t="s">
        <v>6635</v>
      </c>
      <c r="J5" s="255" t="s">
        <v>4607</v>
      </c>
    </row>
    <row r="6" spans="6:10" ht="24.75" customHeight="1">
      <c r="F6" s="241" t="s">
        <v>4431</v>
      </c>
      <c r="G6" s="241" t="s">
        <v>5241</v>
      </c>
      <c r="H6" s="242" t="s">
        <v>5248</v>
      </c>
      <c r="I6" s="241" t="s">
        <v>5250</v>
      </c>
      <c r="J6" s="255" t="s">
        <v>5251</v>
      </c>
    </row>
    <row r="7" spans="6:10" ht="24.75" customHeight="1">
      <c r="F7" s="241" t="s">
        <v>4431</v>
      </c>
      <c r="G7" s="241" t="s">
        <v>5264</v>
      </c>
      <c r="H7" s="242" t="s">
        <v>5268</v>
      </c>
      <c r="I7" s="241" t="s">
        <v>5270</v>
      </c>
      <c r="J7" s="255" t="s">
        <v>5271</v>
      </c>
    </row>
    <row r="8" spans="6:10" ht="24.75" customHeight="1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>
      <c r="F9" s="241" t="s">
        <v>4431</v>
      </c>
      <c r="G9" s="241" t="s">
        <v>4621</v>
      </c>
      <c r="H9" s="242" t="s">
        <v>6681</v>
      </c>
      <c r="I9" s="242" t="s">
        <v>6682</v>
      </c>
      <c r="J9" s="261" t="s">
        <v>4627</v>
      </c>
    </row>
    <row r="10" spans="6:10" ht="24.75" customHeight="1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>
      <c r="F12" s="241" t="s">
        <v>4431</v>
      </c>
      <c r="G12" s="241" t="s">
        <v>4934</v>
      </c>
      <c r="H12" s="242" t="s">
        <v>4935</v>
      </c>
      <c r="I12" s="242" t="s">
        <v>4937</v>
      </c>
      <c r="J12" s="261" t="s">
        <v>4938</v>
      </c>
    </row>
    <row r="13" spans="6:10" ht="24.75" customHeight="1">
      <c r="F13" s="241" t="s">
        <v>4431</v>
      </c>
      <c r="G13" s="241" t="s">
        <v>4942</v>
      </c>
      <c r="H13" s="242" t="s">
        <v>4943</v>
      </c>
      <c r="I13" s="242" t="s">
        <v>4945</v>
      </c>
      <c r="J13" s="261" t="s">
        <v>4946</v>
      </c>
    </row>
    <row r="14" spans="6:10" ht="24.75" customHeight="1">
      <c r="F14" s="241" t="s">
        <v>4431</v>
      </c>
      <c r="G14" s="241" t="s">
        <v>4991</v>
      </c>
      <c r="H14" s="247" t="s">
        <v>4992</v>
      </c>
      <c r="I14" s="257" t="s">
        <v>4994</v>
      </c>
      <c r="J14" s="261" t="s">
        <v>4995</v>
      </c>
    </row>
    <row r="15" spans="6:10" ht="24.75" customHeight="1">
      <c r="F15" s="241" t="s">
        <v>4431</v>
      </c>
      <c r="G15" s="241" t="s">
        <v>5055</v>
      </c>
      <c r="H15" s="247" t="s">
        <v>5059</v>
      </c>
      <c r="I15" s="242" t="s">
        <v>5061</v>
      </c>
      <c r="J15" s="261" t="s">
        <v>5062</v>
      </c>
    </row>
    <row r="16" spans="6:10" ht="24.75" customHeight="1">
      <c r="F16" s="241" t="s">
        <v>4431</v>
      </c>
      <c r="G16" s="241" t="s">
        <v>5138</v>
      </c>
      <c r="H16" s="242" t="s">
        <v>5139</v>
      </c>
      <c r="I16" s="242" t="s">
        <v>5141</v>
      </c>
      <c r="J16" s="255" t="s">
        <v>5142</v>
      </c>
    </row>
    <row r="17" spans="6:10" ht="24.75" customHeight="1">
      <c r="F17" s="241" t="s">
        <v>4431</v>
      </c>
      <c r="G17" s="241" t="s">
        <v>4996</v>
      </c>
      <c r="H17" s="242" t="s">
        <v>6517</v>
      </c>
      <c r="I17" s="242" t="s">
        <v>6519</v>
      </c>
      <c r="J17" s="255" t="s">
        <v>5004</v>
      </c>
    </row>
    <row r="18" spans="6:10" ht="24.75" customHeight="1">
      <c r="F18" s="241" t="s">
        <v>4431</v>
      </c>
      <c r="G18" s="241" t="s">
        <v>4896</v>
      </c>
      <c r="H18" s="242" t="s">
        <v>4900</v>
      </c>
      <c r="I18" s="242" t="s">
        <v>4901</v>
      </c>
      <c r="J18" s="255" t="s">
        <v>4902</v>
      </c>
    </row>
    <row r="19" spans="6:10" ht="24.75" customHeight="1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>
      <c r="F22" s="241" t="s">
        <v>4431</v>
      </c>
      <c r="G22" s="241" t="s">
        <v>4942</v>
      </c>
      <c r="H22" s="242" t="s">
        <v>4947</v>
      </c>
      <c r="I22" s="242" t="s">
        <v>4949</v>
      </c>
      <c r="J22" s="255" t="s">
        <v>4950</v>
      </c>
    </row>
    <row r="23" spans="6:10" ht="24.75" customHeight="1">
      <c r="F23" s="241" t="s">
        <v>4431</v>
      </c>
      <c r="G23" s="241" t="s">
        <v>4962</v>
      </c>
      <c r="H23" s="242" t="s">
        <v>4963</v>
      </c>
      <c r="I23" s="242" t="s">
        <v>4965</v>
      </c>
      <c r="J23" s="255" t="s">
        <v>4966</v>
      </c>
    </row>
    <row r="24" spans="6:10" ht="24.75" customHeight="1">
      <c r="F24" s="241" t="s">
        <v>4431</v>
      </c>
      <c r="G24" s="256" t="s">
        <v>5013</v>
      </c>
      <c r="H24" s="247" t="s">
        <v>5018</v>
      </c>
      <c r="I24" s="257" t="s">
        <v>5020</v>
      </c>
      <c r="J24" s="261" t="s">
        <v>5021</v>
      </c>
    </row>
    <row r="25" spans="6:10" ht="24.75" customHeight="1">
      <c r="F25" s="241" t="s">
        <v>4431</v>
      </c>
      <c r="G25" s="241" t="s">
        <v>5055</v>
      </c>
      <c r="H25" s="242" t="s">
        <v>5063</v>
      </c>
      <c r="I25" s="242" t="s">
        <v>5064</v>
      </c>
      <c r="J25" s="261" t="s">
        <v>5065</v>
      </c>
    </row>
    <row r="26" spans="6:10" ht="24.75" customHeight="1">
      <c r="F26" s="241" t="s">
        <v>4431</v>
      </c>
      <c r="G26" s="241" t="s">
        <v>5070</v>
      </c>
      <c r="H26" s="242" t="s">
        <v>5071</v>
      </c>
      <c r="I26" s="242" t="s">
        <v>5073</v>
      </c>
      <c r="J26" s="261" t="s">
        <v>5074</v>
      </c>
    </row>
    <row r="27" spans="6:10" ht="24.75" customHeight="1">
      <c r="F27" s="241" t="s">
        <v>4431</v>
      </c>
      <c r="G27" s="241" t="s">
        <v>5080</v>
      </c>
      <c r="H27" s="242" t="s">
        <v>5085</v>
      </c>
      <c r="I27" s="242" t="s">
        <v>5087</v>
      </c>
      <c r="J27" s="255" t="s">
        <v>5088</v>
      </c>
    </row>
    <row r="28" spans="6:10" ht="24.75" customHeight="1">
      <c r="F28" s="241" t="s">
        <v>4431</v>
      </c>
      <c r="G28" s="241" t="s">
        <v>5171</v>
      </c>
      <c r="H28" s="242" t="s">
        <v>5172</v>
      </c>
      <c r="I28" s="242" t="s">
        <v>5174</v>
      </c>
      <c r="J28" s="255" t="s">
        <v>5175</v>
      </c>
    </row>
    <row r="29" spans="6:10" ht="24.75" customHeight="1">
      <c r="F29" s="241" t="s">
        <v>4431</v>
      </c>
      <c r="G29" s="241" t="s">
        <v>5181</v>
      </c>
      <c r="H29" s="242" t="s">
        <v>5182</v>
      </c>
      <c r="I29" s="242" t="s">
        <v>5184</v>
      </c>
      <c r="J29" s="255" t="s">
        <v>5185</v>
      </c>
    </row>
    <row r="30" spans="6:10" ht="24.75" customHeight="1">
      <c r="F30" s="241" t="s">
        <v>4431</v>
      </c>
      <c r="G30" s="241" t="s">
        <v>5197</v>
      </c>
      <c r="H30" s="242" t="s">
        <v>5198</v>
      </c>
      <c r="I30" s="242" t="s">
        <v>5200</v>
      </c>
      <c r="J30" s="255" t="s">
        <v>5201</v>
      </c>
    </row>
    <row r="31" spans="6:10" ht="24.75" customHeight="1">
      <c r="F31" s="241" t="s">
        <v>4431</v>
      </c>
      <c r="G31" s="241" t="s">
        <v>5202</v>
      </c>
      <c r="H31" s="242" t="s">
        <v>5203</v>
      </c>
      <c r="I31" s="242" t="s">
        <v>5205</v>
      </c>
      <c r="J31" s="255" t="s">
        <v>5206</v>
      </c>
    </row>
    <row r="32" spans="6:10" ht="24.75" customHeight="1">
      <c r="F32" s="241" t="s">
        <v>4431</v>
      </c>
      <c r="G32" s="241" t="s">
        <v>5207</v>
      </c>
      <c r="H32" s="242" t="s">
        <v>5208</v>
      </c>
      <c r="I32" s="242" t="s">
        <v>5210</v>
      </c>
      <c r="J32" s="261" t="s">
        <v>5211</v>
      </c>
    </row>
    <row r="33" spans="6:10" ht="24.75" customHeight="1">
      <c r="F33" s="241" t="s">
        <v>4431</v>
      </c>
      <c r="G33" s="241" t="s">
        <v>4556</v>
      </c>
      <c r="H33" s="242" t="s">
        <v>6167</v>
      </c>
      <c r="I33" s="242" t="s">
        <v>6169</v>
      </c>
      <c r="J33" s="255" t="s">
        <v>4567</v>
      </c>
    </row>
    <row r="34" spans="6:10" ht="24.75" customHeight="1">
      <c r="F34" s="241" t="s">
        <v>4431</v>
      </c>
      <c r="G34" s="241" t="s">
        <v>5176</v>
      </c>
      <c r="H34" s="242" t="s">
        <v>5177</v>
      </c>
      <c r="I34" s="242" t="s">
        <v>5179</v>
      </c>
      <c r="J34" s="261" t="s">
        <v>5180</v>
      </c>
    </row>
    <row r="35" spans="6:10" ht="24.75" customHeight="1">
      <c r="F35" s="135"/>
      <c r="G35" s="205"/>
      <c r="H35" s="205"/>
      <c r="I35" s="205"/>
      <c r="J35" s="205"/>
    </row>
    <row r="36" spans="6:10" ht="24.75" customHeight="1">
      <c r="F36" s="131"/>
      <c r="G36" s="134"/>
      <c r="H36" s="134"/>
      <c r="I36" s="134"/>
      <c r="J36" s="134"/>
    </row>
    <row r="37" spans="6:10" ht="24.75" customHeight="1">
      <c r="F37" s="131"/>
      <c r="G37" s="134"/>
      <c r="H37" s="134"/>
      <c r="I37" s="134"/>
      <c r="J37" s="96"/>
    </row>
    <row r="38" spans="6:10" ht="24.75" customHeight="1">
      <c r="F38" s="135"/>
    </row>
    <row r="39" spans="6:10" ht="24.75" customHeight="1">
      <c r="F39" s="131"/>
    </row>
    <row r="40" spans="6:10" ht="24.75" customHeight="1">
      <c r="F40" s="131"/>
    </row>
    <row r="41" spans="6:10" ht="24.75" customHeight="1">
      <c r="F41" s="131"/>
    </row>
    <row r="42" spans="6:10" ht="24.75" customHeight="1">
      <c r="F42" s="131"/>
    </row>
    <row r="43" spans="6:10" ht="24.75" customHeight="1">
      <c r="F43" s="131"/>
    </row>
    <row r="44" spans="6:10" ht="24.75" customHeight="1">
      <c r="F44" s="131"/>
    </row>
    <row r="45" spans="6:10" ht="24.75" customHeight="1">
      <c r="F45" s="131"/>
    </row>
    <row r="46" spans="6:10" ht="24.75" customHeight="1">
      <c r="F46" s="131"/>
    </row>
    <row r="47" spans="6:10" ht="24.75" customHeight="1">
      <c r="F47" s="131"/>
    </row>
    <row r="48" spans="6:10" ht="24.75" customHeight="1">
      <c r="F48" s="131"/>
    </row>
    <row r="49" spans="6:6" ht="24.75" customHeight="1">
      <c r="F49" s="131"/>
    </row>
    <row r="50" spans="6:6" ht="24.75" customHeight="1">
      <c r="F50" s="131"/>
    </row>
    <row r="51" spans="6:6" ht="24.75" customHeight="1">
      <c r="F51" s="131"/>
    </row>
    <row r="52" spans="6:6" ht="24.75" customHeight="1">
      <c r="F52" s="131"/>
    </row>
    <row r="53" spans="6:6" ht="24.75" customHeight="1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2026-08-03T18:25:36Z</dcterms:modified>
  <cp:category/>
  <cp:contentStatus/>
</cp:coreProperties>
</file>