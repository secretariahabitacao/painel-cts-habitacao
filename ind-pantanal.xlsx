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12" documentId="8_{DAC6C9CA-70D7-4111-A0A7-BC6755E560D9}" xr6:coauthVersionLast="47" xr6:coauthVersionMax="47" xr10:uidLastSave="{6C64BAA9-6D62-4CB1-9270-8DFF17FE9BFD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<sst xmlns="http://schemas.openxmlformats.org/spreadsheetml/2006/main" count="33641" uniqueCount="8613">
  <si>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</si>
  <si>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</si>
  <si>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</si>
  <si>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</si>
  <si>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</si>
  <si>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</si>
  <si>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</si>
  <si>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</si>
  <si>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</si>
  <si>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</si>
  <si>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</si>
  <si>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</si>
  <si>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</si>
  <si>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</si>
  <si>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</si>
  <si>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</si>
  <si>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</si>
  <si>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</si>
  <si>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</si>
  <si>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</si>
  <si>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</si>
  <si>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</si>
  <si>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</si>
  <si>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</si>
  <si>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</si>
  <si>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</si>
  <si>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</si>
  <si>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</si>
  <si>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</si>
  <si>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</si>
  <si>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</si>
  <si>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</si>
  <si>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</si>
  <si>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</si>
  <si>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</si>
  <si>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</si>
  <si>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</si>
  <si>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</si>
  <si>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</si>
  <si>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</si>
  <si>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</si>
  <si>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</si>
  <si>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</si>
  <si>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</si>
  <si>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</si>
  <si>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</si>
  <si>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</si>
  <si>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</si>
  <si>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</si>
  <si>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</si>
  <si>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</si>
  <si>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</si>
  <si>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</si>
  <si>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</si>
  <si>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</si>
  <si>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</si>
  <si>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</si>
  <si>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</si>
  <si>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</si>
  <si>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</si>
  <si>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</si>
  <si>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</si>
  <si>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</si>
  <si>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</si>
  <si>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</si>
  <si>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</si>
  <si>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</si>
  <si>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</si>
  <si>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</si>
  <si>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</si>
  <si>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</si>
  <si>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</si>
  <si>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</si>
  <si>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</si>
  <si>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</si>
  <si>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</si>
  <si>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</si>
  <si>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</si>
  <si>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</si>
  <si>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</si>
  <si>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</si>
  <si>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</si>
  <si>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</si>
  <si>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</si>
  <si>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</si>
  <si>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</si>
  <si>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</si>
  <si>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</si>
  <si>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</si>
  <si>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</si>
  <si>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</si>
  <si>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</si>
  <si>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</si>
  <si>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</si>
  <si>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</si>
  <si>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</si>
  <si>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</si>
  <si>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</si>
  <si>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</si>
  <si>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</si>
  <si>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</si>
  <si>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</si>
  <si>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</si>
  <si>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</si>
  <si>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</si>
  <si>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</si>
  <si>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</si>
  <si>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</si>
  <si>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</si>
  <si>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</si>
  <si>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</si>
  <si>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</si>
  <si>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</si>
  <si>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</si>
  <si>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</si>
  <si>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</si>
  <si>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</si>
  <si>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</si>
  <si>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</si>
  <si>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</si>
  <si>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</si>
  <si>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</si>
  <si>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</si>
  <si>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</si>
  <si>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</si>
  <si>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</si>
  <si>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</si>
  <si>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</si>
  <si>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</si>
  <si>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</si>
  <si>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</si>
  <si>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</si>
  <si>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</si>
  <si>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</si>
  <si>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</si>
  <si>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</si>
  <si>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</si>
  <si>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</si>
  <si>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</si>
  <si>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</si>
  <si>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</si>
  <si>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</si>
  <si>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</si>
  <si>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</si>
  <si>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</si>
  <si>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</si>
  <si>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</si>
  <si>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</si>
  <si>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</si>
  <si>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</si>
  <si>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</si>
  <si>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</si>
  <si>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</si>
  <si>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</si>
  <si>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</si>
  <si>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</si>
  <si>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</si>
  <si>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</si>
  <si>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</si>
  <si>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</si>
  <si>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</si>
  <si>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</si>
  <si>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</si>
  <si>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</si>
  <si>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</si>
  <si>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</si>
  <si>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</si>
  <si>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</si>
  <si>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</si>
  <si>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</si>
  <si>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</si>
  <si>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</si>
  <si>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</si>
  <si>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</si>
  <si>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</si>
  <si>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</si>
  <si>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</si>
  <si>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</si>
  <si>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</si>
  <si>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</si>
  <si>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</si>
  <si>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</si>
  <si>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</si>
  <si>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</si>
  <si>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</si>
  <si>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</si>
  <si>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</si>
  <si>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</si>
  <si>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</si>
  <si>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</si>
  <si>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</si>
  <si>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</si>
  <si>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</si>
  <si>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</si>
  <si>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</si>
  <si>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</si>
  <si>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</si>
  <si>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</si>
  <si>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</si>
  <si>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</si>
  <si>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</si>
  <si>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</si>
  <si>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</si>
  <si>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</si>
  <si>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</si>
  <si>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</si>
  <si>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</si>
  <si>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</si>
  <si>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</si>
  <si>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</si>
  <si>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</si>
  <si>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</si>
  <si>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</si>
  <si>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</si>
  <si>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</si>
  <si>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</si>
  <si>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</si>
  <si>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</si>
  <si>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</si>
  <si>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</si>
  <si>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</si>
  <si>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</si>
  <si>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</si>
  <si>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</si>
  <si>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</si>
  <si>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</si>
  <si>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</si>
  <si>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</si>
  <si>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</si>
  <si>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</si>
  <si>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</si>
  <si>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</si>
  <si>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</si>
  <si>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</si>
  <si>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</si>
  <si>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</si>
  <si>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</si>
  <si>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</si>
  <si>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</si>
  <si>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</si>
  <si>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</si>
  <si>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</si>
  <si>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</si>
  <si>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</si>
  <si>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</si>
  <si>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</si>
  <si>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</si>
  <si>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</si>
  <si>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</si>
  <si>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</si>
  <si>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</si>
  <si>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</si>
  <si>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</si>
  <si>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</si>
  <si>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</si>
  <si>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</si>
  <si>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</si>
  <si>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</si>
  <si>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</si>
  <si>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</si>
  <si>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</si>
  <si>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</si>
  <si>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</si>
  <si>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</si>
  <si>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</si>
  <si>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</si>
  <si>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</si>
  <si>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</si>
  <si>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</si>
  <si>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</si>
  <si>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</si>
  <si>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</si>
  <si>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</si>
  <si>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</si>
  <si>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</si>
  <si>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</si>
  <si>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</si>
  <si>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</si>
  <si>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</si>
  <si>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</si>
  <si>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</si>
  <si>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</si>
  <si>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</si>
  <si>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</si>
  <si>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</si>
  <si>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</si>
  <si>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</si>
  <si>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</si>
  <si>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</si>
  <si>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</si>
  <si>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</si>
  <si>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</si>
  <si>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</si>
  <si>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</si>
  <si>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</si>
  <si>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</si>
  <si>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</si>
  <si>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</si>
  <si>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</si>
  <si>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</si>
  <si>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</si>
  <si>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</si>
  <si>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</si>
  <si>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</si>
  <si>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</si>
  <si>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</si>
  <si>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</si>
  <si>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</si>
  <si>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</si>
  <si>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</si>
  <si>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</si>
  <si>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</si>
  <si>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</si>
  <si>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</si>
  <si>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</si>
  <si>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</si>
  <si>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</si>
  <si>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</si>
  <si>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</si>
  <si>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</si>
  <si>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</si>
  <si>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</si>
  <si>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</si>
  <si>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</si>
  <si>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</si>
  <si>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</si>
  <si>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</si>
  <si>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</si>
  <si>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</si>
  <si>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</si>
  <si>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</si>
  <si>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</si>
  <si>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</si>
  <si>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</si>
  <si>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</si>
  <si>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</si>
  <si>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</si>
  <si>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</si>
  <si>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</si>
  <si>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</si>
  <si>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</si>
  <si>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</si>
  <si>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</si>
  <si>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</si>
  <si>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</si>
  <si>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</si>
  <si>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</si>
  <si>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</si>
  <si>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</si>
  <si>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</si>
  <si>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</si>
  <si>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</si>
  <si>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</si>
  <si>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</si>
  <si>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</si>
  <si>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</si>
  <si>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</si>
  <si>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</si>
  <si>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</si>
  <si>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</si>
  <si>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</si>
  <si>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</si>
  <si>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</si>
  <si>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</si>
  <si>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</si>
  <si>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</si>
  <si>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</si>
  <si>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</si>
  <si>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</si>
  <si>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</si>
  <si>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</si>
  <si>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</si>
  <si>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</si>
  <si>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</si>
  <si>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</si>
  <si>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</si>
  <si>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</si>
  <si>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</si>
  <si>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</si>
  <si>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</si>
  <si>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</si>
  <si>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</si>
  <si>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</si>
  <si>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</si>
  <si>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</si>
  <si>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</si>
  <si>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</si>
  <si>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</si>
  <si>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</si>
  <si>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</si>
  <si>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</si>
  <si>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</si>
  <si>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</si>
  <si>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</si>
  <si>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</si>
  <si>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</si>
  <si>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</si>
  <si>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</si>
  <si>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</si>
  <si>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</si>
  <si>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</si>
  <si>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</si>
  <si>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</si>
  <si>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</si>
  <si>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</si>
  <si>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</si>
  <si>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</si>
  <si>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</si>
  <si>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</si>
  <si>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</si>
  <si>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</si>
  <si>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</si>
  <si>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</si>
  <si>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</si>
  <si>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</si>
  <si>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</si>
  <si>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</si>
  <si>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</si>
  <si>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</si>
  <si>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</si>
  <si>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</si>
  <si>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</si>
  <si>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</si>
  <si>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</si>
  <si>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</si>
  <si>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</si>
  <si>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</si>
  <si>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</si>
  <si>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</si>
  <si>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</si>
  <si>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</si>
  <si>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</si>
  <si>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</si>
  <si>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</si>
  <si>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</si>
  <si>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</si>
  <si>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</si>
  <si>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</si>
  <si>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</si>
  <si>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</si>
  <si>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</si>
  <si>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</si>
  <si>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</si>
  <si>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</si>
  <si>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</si>
  <si>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</si>
  <si>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</si>
  <si>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</si>
  <si>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</si>
  <si>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</si>
  <si>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</si>
  <si>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</si>
  <si>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</si>
  <si>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</si>
  <si>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</si>
  <si>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</si>
  <si>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</si>
  <si>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</si>
  <si>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</si>
  <si>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</si>
  <si>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</si>
  <si>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</si>
  <si>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</si>
  <si>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</si>
  <si>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</si>
  <si>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</si>
  <si>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</si>
  <si>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</si>
  <si>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</si>
  <si>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</si>
  <si>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</si>
  <si>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</si>
  <si>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</si>
  <si>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</si>
  <si>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</si>
  <si>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</si>
  <si>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</si>
  <si>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</si>
  <si>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</si>
  <si>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</si>
  <si>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</si>
  <si>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</si>
  <si>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</si>
  <si>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</si>
  <si>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</si>
  <si>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</si>
  <si>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</si>
  <si>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</si>
  <si>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</si>
  <si>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</si>
  <si>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</si>
  <si>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</si>
  <si>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</si>
  <si>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</si>
  <si>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</si>
  <si>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</si>
  <si>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</si>
  <si>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</si>
  <si>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</si>
  <si>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</si>
  <si>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</si>
  <si>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</si>
  <si>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</si>
  <si>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</si>
  <si>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</si>
  <si>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</si>
  <si>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</si>
  <si>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</si>
  <si>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</si>
  <si>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</si>
  <si>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</si>
  <si>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</si>
  <si>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</si>
  <si>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</si>
  <si>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</si>
  <si>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</si>
  <si>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</si>
  <si>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</si>
  <si>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</si>
  <si>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</si>
  <si>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</si>
  <si>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</si>
  <si>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</si>
  <si>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</si>
  <si>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</si>
  <si>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</si>
  <si>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</si>
  <si>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</si>
  <si>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</si>
  <si>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</si>
  <si>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</si>
  <si>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</si>
  <si>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</si>
  <si>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</si>
  <si>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</si>
  <si>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</si>
  <si>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</si>
  <si>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</si>
  <si>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</si>
  <si>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</si>
  <si>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</si>
  <si>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</si>
  <si>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</si>
  <si>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</si>
  <si>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</si>
  <si>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</si>
  <si>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</si>
  <si>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</si>
  <si>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</si>
  <si>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</si>
  <si>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</si>
  <si>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</si>
  <si>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</si>
  <si>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</si>
  <si>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</si>
  <si>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</si>
  <si>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</si>
  <si>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</si>
  <si>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</si>
  <si>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</si>
  <si>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</si>
  <si>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</si>
  <si>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</si>
  <si>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</si>
  <si>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</si>
  <si>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</si>
  <si>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</si>
  <si>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</si>
  <si>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</si>
  <si>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</si>
  <si>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</si>
  <si>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</si>
  <si>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</si>
  <si>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</si>
  <si>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</si>
  <si>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</si>
  <si>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</si>
  <si>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</si>
  <si>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</si>
  <si>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</si>
  <si>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</si>
  <si>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</si>
  <si>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</si>
  <si>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</si>
  <si>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</si>
  <si>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</si>
  <si>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</si>
  <si>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</si>
  <si>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</si>
  <si>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</si>
  <si>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</si>
  <si>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</si>
  <si>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</si>
  <si>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</si>
  <si>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</si>
  <si>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</si>
  <si>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</si>
  <si>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</si>
  <si>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</si>
  <si>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</si>
  <si>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</si>
  <si>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</si>
  <si>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</si>
  <si>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</si>
  <si>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</si>
  <si>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</si>
  <si>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</si>
  <si>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</si>
  <si>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</si>
  <si>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</si>
  <si>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</si>
  <si>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</si>
  <si>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</si>
  <si>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</si>
  <si>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</si>
  <si>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</si>
  <si>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</si>
  <si>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</si>
  <si>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</si>
  <si>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</si>
  <si>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</si>
  <si>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</si>
  <si>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</si>
  <si>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</si>
  <si>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</si>
  <si>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</si>
  <si>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</si>
  <si>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</si>
  <si>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</si>
  <si>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</si>
  <si>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</si>
  <si>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</si>
  <si>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</si>
  <si>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</si>
  <si>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</si>
  <si>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</si>
  <si>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</si>
  <si>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</si>
  <si>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</si>
  <si>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</si>
  <si>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</si>
  <si>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</si>
  <si>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</si>
  <si>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</si>
  <si>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</si>
  <si>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</si>
  <si>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</si>
  <si>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</si>
  <si>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</si>
  <si>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</si>
  <si>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</si>
  <si>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</si>
  <si>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</si>
  <si>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</si>
  <si>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</si>
  <si>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</si>
  <si>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</si>
  <si>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</si>
  <si>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</si>
  <si>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</si>
  <si>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</si>
  <si>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</si>
  <si>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</si>
  <si>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</si>
  <si>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</si>
  <si>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</si>
  <si>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</si>
  <si>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</si>
  <si>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</si>
  <si>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</si>
  <si>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</si>
  <si>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</si>
  <si>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</si>
  <si>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</si>
  <si>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</si>
  <si>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</si>
  <si>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</si>
  <si>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</si>
  <si>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</si>
  <si>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</si>
  <si>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</si>
  <si>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</si>
  <si>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</si>
  <si>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</si>
  <si>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</si>
  <si>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</si>
  <si>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</si>
  <si>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</si>
  <si>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</si>
  <si>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</si>
  <si>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</si>
  <si>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</si>
  <si>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</si>
  <si>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</si>
  <si>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</si>
  <si>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</si>
  <si>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</si>
  <si>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</si>
  <si>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</si>
  <si>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</si>
  <si>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</si>
  <si>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</si>
  <si>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</si>
  <si>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</si>
  <si>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</si>
  <si>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</si>
  <si>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</si>
  <si>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</si>
  <si>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</si>
  <si>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</si>
  <si>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</si>
  <si>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</si>
  <si>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</si>
  <si>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</si>
  <si>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</si>
  <si>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</si>
  <si>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</si>
  <si>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</si>
  <si>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</si>
  <si>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</si>
  <si>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</si>
  <si>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</si>
  <si>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</si>
  <si>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</si>
  <si>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</si>
  <si>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</si>
  <si>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</si>
  <si>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</si>
  <si>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</si>
  <si>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</si>
  <si>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</si>
  <si>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</si>
  <si>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</si>
  <si>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</si>
  <si>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</si>
  <si>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</si>
  <si>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</si>
  <si>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</si>
  <si>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</si>
  <si>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</si>
  <si>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</si>
  <si>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</si>
  <si>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</si>
  <si>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</si>
  <si>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</si>
  <si>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</si>
  <si>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</si>
  <si>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</si>
  <si>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</si>
  <si>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</si>
  <si>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</si>
  <si>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</si>
  <si>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</si>
  <si>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</si>
  <si>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</si>
  <si>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</si>
  <si>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</si>
  <si>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</si>
  <si>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</si>
  <si>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</si>
  <si>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</si>
  <si>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</si>
  <si>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</si>
  <si>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</si>
  <si>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</si>
  <si>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</si>
  <si>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</si>
  <si>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</si>
  <si>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</si>
  <si>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</si>
  <si>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</si>
  <si>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</si>
  <si>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</si>
  <si>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</si>
  <si>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</si>
  <si>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</si>
  <si>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</si>
  <si>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</si>
  <si>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</si>
  <si>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</si>
  <si>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</si>
  <si>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</si>
  <si>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</si>
  <si>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</si>
  <si>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</si>
  <si>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</si>
  <si>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</si>
  <si>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</si>
  <si>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</si>
  <si>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</si>
  <si>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</si>
  <si>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</si>
  <si>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</si>
  <si>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</si>
  <si>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</si>
  <si>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</si>
  <si>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</si>
  <si>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</si>
  <si>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</si>
  <si>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</si>
  <si>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</si>
  <si>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</si>
  <si>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</si>
  <si>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</si>
  <si>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</si>
  <si>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</si>
  <si>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</si>
  <si>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</si>
  <si>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</si>
  <si>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</si>
  <si>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</si>
  <si>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</si>
  <si>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</si>
  <si>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</si>
  <si>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</si>
  <si>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</si>
  <si>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</si>
  <si>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</si>
  <si>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</si>
  <si>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</si>
  <si>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</si>
  <si>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</si>
  <si>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</si>
  <si>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</si>
  <si>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</si>
  <si>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</si>
  <si>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</si>
  <si>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</si>
  <si>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</si>
  <si>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</si>
  <si>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</si>
  <si>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</si>
  <si>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</si>
  <si>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</si>
  <si>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</si>
  <si>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</si>
  <si>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</si>
  <si>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</si>
  <si>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</si>
  <si>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</si>
  <si>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</si>
  <si>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</si>
  <si>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</si>
  <si>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</si>
  <si>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</si>
  <si>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</si>
  <si>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</si>
  <si>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</si>
  <si>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</si>
  <si>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</si>
  <si>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</si>
  <si>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</si>
  <si>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</si>
  <si>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</si>
  <si>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</si>
  <si>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</si>
  <si>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</si>
  <si>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</si>
  <si>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</si>
  <si>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</si>
  <si>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</si>
  <si>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</si>
  <si>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</si>
  <si>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</si>
  <si>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</si>
  <si>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</si>
  <si>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</si>
  <si>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</si>
  <si>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</si>
  <si>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</si>
  <si>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</si>
  <si>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</si>
  <si>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</si>
  <si>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</si>
  <si>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</si>
  <si>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</si>
  <si>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</si>
  <si>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</si>
  <si>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</si>
  <si>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</si>
  <si>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</si>
  <si>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</si>
  <si>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</si>
  <si>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</si>
  <si>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</si>
  <si>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</si>
  <si>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</si>
  <si>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</si>
  <si>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</si>
  <si>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</si>
  <si>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</si>
  <si>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</si>
  <si>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</si>
  <si>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</si>
  <si>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</si>
  <si>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</si>
  <si>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</si>
  <si>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</si>
  <si>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</si>
  <si>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</si>
  <si>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</si>
  <si>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</si>
  <si>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</si>
  <si>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</si>
  <si>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</si>
  <si>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</si>
  <si>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</si>
  <si>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</si>
  <si>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</si>
  <si>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</si>
  <si>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</si>
  <si>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</si>
  <si>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</si>
  <si>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</si>
  <si>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</si>
  <si>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</si>
  <si>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</si>
  <si>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</si>
  <si>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</si>
  <si>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</si>
  <si>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</si>
  <si>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</si>
  <si>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</si>
  <si>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</si>
  <si>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</si>
  <si>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</si>
  <si>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</si>
  <si>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</si>
  <si>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</si>
  <si>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</si>
  <si>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</si>
  <si>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</si>
  <si>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</si>
  <si>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</si>
  <si>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</si>
  <si>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</si>
  <si>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</si>
  <si>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</si>
  <si>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</si>
  <si>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</si>
  <si>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</si>
  <si>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</si>
  <si>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</si>
  <si>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</si>
  <si>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</si>
  <si>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</si>
  <si>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</si>
  <si>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</si>
  <si>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</si>
  <si>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</si>
  <si>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</si>
  <si>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</si>
  <si>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</si>
  <si>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</si>
  <si>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</si>
  <si>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</si>
  <si>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</si>
  <si>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</si>
  <si>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</si>
  <si>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</si>
  <si>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</si>
  <si>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</si>
  <si>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</si>
  <si>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</si>
  <si>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</si>
  <si>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</si>
  <si>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</si>
  <si>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</si>
  <si>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</si>
  <si>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</si>
  <si>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</si>
  <si>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</si>
  <si>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</si>
  <si>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</si>
  <si>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</si>
  <si>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</si>
  <si>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</si>
  <si>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</si>
  <si>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</si>
  <si>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</si>
  <si>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</si>
  <si>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</si>
  <si>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</si>
  <si>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</si>
  <si>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</si>
  <si>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</si>
  <si>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</si>
  <si>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</si>
  <si>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</si>
  <si>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</si>
  <si>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</si>
  <si>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</si>
  <si>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</si>
  <si>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</si>
  <si>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</si>
  <si>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</si>
  <si>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</si>
  <si>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</si>
  <si>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</si>
  <si>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</si>
  <si>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</si>
  <si>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</si>
  <si>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</si>
  <si>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</si>
  <si>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</si>
  <si>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</si>
  <si>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</si>
  <si>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</si>
  <si>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</si>
  <si>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</si>
  <si>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</si>
  <si>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</si>
  <si>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</si>
  <si>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</si>
  <si>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</si>
  <si>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</si>
  <si>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</si>
  <si>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</si>
  <si>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</si>
  <si>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</si>
  <si>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</si>
  <si>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</si>
  <si>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</si>
  <si>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</si>
  <si>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</si>
  <si>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</si>
  <si>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</si>
  <si>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</si>
  <si>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</si>
  <si>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</si>
  <si>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</si>
  <si>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</si>
  <si>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</si>
  <si>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</si>
  <si>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</si>
  <si>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</si>
  <si>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</si>
  <si>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</si>
  <si>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</si>
  <si>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</si>
  <si>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</si>
  <si>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</si>
  <si>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</si>
  <si>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</si>
  <si>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</si>
  <si>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</si>
  <si>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</si>
  <si>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</si>
  <si>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</si>
  <si>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</si>
  <si>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</si>
  <si>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</si>
  <si>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</si>
  <si>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</si>
  <si>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</si>
  <si>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</si>
  <si>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</si>
  <si>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</si>
  <si>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</si>
  <si>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</si>
  <si>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</si>
  <si>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</si>
  <si>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</si>
  <si>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</si>
  <si>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</si>
  <si>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</si>
  <si>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</si>
  <si>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</si>
  <si>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</si>
  <si>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</si>
  <si>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</si>
  <si>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</si>
  <si>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</si>
  <si>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</si>
  <si>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</si>
  <si>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</si>
  <si>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</si>
  <si>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</si>
  <si>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</si>
  <si>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</si>
  <si>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</si>
  <si>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</si>
  <si>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</si>
  <si>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</si>
  <si>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</si>
  <si>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</si>
  <si>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</si>
  <si>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</si>
  <si>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</si>
  <si>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</si>
  <si>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</si>
  <si>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</si>
  <si>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</si>
  <si>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</si>
  <si>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</si>
  <si>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</si>
  <si>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</si>
  <si>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</si>
  <si>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</si>
  <si>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</si>
  <si>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</si>
  <si>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</si>
  <si>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</si>
  <si>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</si>
  <si>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</si>
  <si>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</si>
  <si>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</si>
  <si>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</si>
  <si>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</si>
  <si>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</si>
  <si>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</si>
  <si>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</si>
  <si>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</si>
  <si>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</si>
  <si>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</si>
  <si>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</si>
  <si>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</si>
  <si>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</si>
  <si>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</si>
  <si>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</si>
  <si>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</si>
  <si>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</si>
  <si>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</si>
  <si>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</si>
  <si>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</si>
  <si>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</si>
  <si>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</si>
  <si>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</si>
  <si>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</si>
  <si>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</si>
  <si>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</si>
  <si>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</si>
  <si>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</si>
  <si>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</si>
  <si>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</si>
  <si>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</si>
  <si>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</si>
  <si>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</si>
  <si>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</si>
  <si>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</si>
  <si>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</si>
  <si>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</si>
  <si>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</si>
  <si>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</si>
  <si>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</si>
  <si>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</si>
  <si>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</si>
  <si>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</si>
  <si>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</si>
  <si>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</si>
  <si>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</si>
  <si>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</si>
  <si>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</si>
  <si>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</si>
  <si>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</si>
  <si>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</si>
  <si>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</si>
  <si>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</si>
  <si>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</si>
  <si>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</si>
  <si>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</si>
  <si>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</si>
  <si>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</si>
  <si>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</si>
  <si>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</si>
  <si>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</si>
  <si>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</si>
  <si>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</si>
  <si>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</si>
  <si>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</si>
  <si>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</si>
  <si>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</si>
  <si>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</si>
  <si>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</si>
  <si>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</si>
  <si>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</si>
  <si>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</si>
  <si>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</si>
  <si>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</si>
  <si>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</si>
  <si>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</si>
  <si>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</si>
  <si>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</si>
  <si>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</si>
  <si>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</si>
  <si>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</si>
  <si>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</si>
  <si>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</si>
  <si>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</si>
  <si>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</si>
  <si>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</si>
  <si>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</si>
  <si>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</si>
  <si>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</si>
  <si>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</si>
  <si>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</si>
  <si>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</si>
  <si>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</si>
  <si>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</si>
  <si>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</si>
  <si>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</si>
  <si>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</si>
  <si>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</si>
  <si>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</si>
  <si>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</si>
  <si>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</si>
  <si>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</si>
  <si>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</si>
  <si>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</si>
  <si>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</si>
  <si>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</si>
  <si>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</si>
  <si>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</si>
  <si>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</si>
  <si>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</si>
  <si>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</si>
  <si>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</si>
  <si>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</si>
  <si>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</si>
  <si>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</si>
  <si>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</si>
  <si>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</si>
  <si>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</si>
  <si>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</si>
  <si>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</si>
  <si>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</si>
  <si>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</si>
  <si>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</si>
  <si>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</si>
  <si>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</si>
  <si>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</si>
  <si>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</si>
  <si>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</si>
  <si>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</si>
  <si>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</si>
  <si>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</si>
  <si>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</si>
  <si>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</si>
  <si>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</si>
  <si>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</si>
  <si>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</si>
  <si>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</si>
  <si>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</si>
  <si>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</si>
  <si>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</si>
  <si>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</si>
  <si>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</si>
  <si>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</si>
  <si>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</si>
  <si>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</si>
  <si>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</si>
  <si>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</si>
  <si>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</si>
  <si>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</si>
  <si>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</si>
  <si>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</si>
  <si>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</si>
  <si>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</si>
  <si>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</si>
  <si>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</si>
  <si>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</si>
  <si>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</si>
  <si>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</si>
  <si>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</si>
  <si>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</si>
  <si>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</si>
  <si>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</si>
  <si>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</si>
  <si>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</si>
  <si>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</si>
  <si>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</si>
  <si>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</si>
  <si>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</si>
  <si>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</si>
  <si>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</si>
  <si>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</si>
  <si>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</si>
  <si>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</si>
  <si>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</si>
  <si>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</si>
  <si>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</si>
  <si>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</si>
  <si>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</si>
  <si>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</si>
  <si>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</si>
  <si>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</si>
  <si>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</si>
  <si>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</si>
  <si>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</si>
  <si>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</si>
  <si>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</si>
  <si>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</si>
  <si>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</si>
  <si>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</si>
  <si>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</si>
  <si>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</si>
  <si>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</si>
  <si>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</si>
  <si>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</si>
  <si>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</si>
  <si>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</si>
  <si>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</si>
  <si>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</si>
  <si>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</si>
  <si>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</si>
  <si>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</si>
  <si>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</si>
  <si>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</si>
  <si>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</si>
  <si>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</si>
  <si>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</si>
  <si>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</si>
  <si>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</si>
  <si>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</si>
  <si>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</si>
  <si>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</si>
  <si>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</si>
  <si>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</si>
  <si>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</si>
  <si>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</si>
  <si>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</si>
  <si>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</si>
  <si>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</si>
  <si>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</si>
  <si>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</si>
  <si>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</si>
  <si>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</si>
  <si>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</si>
  <si>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</si>
  <si>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</si>
  <si>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</si>
  <si>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</si>
  <si>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</si>
  <si>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</si>
  <si>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</si>
  <si>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</si>
  <si>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</si>
  <si>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</si>
  <si>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</si>
  <si>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</si>
  <si>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</si>
  <si>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</si>
  <si>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</si>
  <si>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</si>
  <si>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</si>
  <si>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</si>
  <si>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</si>
  <si>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</si>
  <si>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</si>
  <si>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</si>
  <si>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</si>
  <si>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</si>
  <si>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</si>
  <si>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</si>
  <si>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</si>
  <si>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</si>
  <si>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</si>
  <si>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</si>
  <si>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</si>
  <si>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</si>
  <si>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</si>
  <si>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</si>
  <si>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</si>
  <si>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</si>
  <si>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</si>
  <si>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</si>
  <si>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</si>
  <si>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</si>
  <si>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</si>
  <si>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</si>
  <si>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</si>
  <si>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</si>
  <si>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</si>
  <si>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</si>
  <si>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</si>
  <si>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</si>
  <si>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</si>
  <si>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</si>
  <si>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</si>
  <si>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</si>
  <si>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</si>
  <si>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</si>
  <si>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</si>
  <si>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</si>
  <si>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</si>
  <si>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</si>
  <si>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</si>
  <si>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</si>
  <si>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</si>
  <si>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</si>
  <si>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</si>
  <si>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</si>
  <si>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</si>
  <si>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</si>
  <si>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</si>
  <si>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</si>
  <si>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</si>
  <si>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</si>
  <si>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</si>
  <si>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</si>
  <si>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</si>
  <si>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</si>
  <si>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</si>
  <si>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</si>
  <si>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</si>
  <si>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</si>
  <si>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</si>
  <si>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</si>
  <si>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</si>
  <si>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</si>
  <si>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</si>
  <si>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</si>
  <si>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</si>
  <si>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</si>
  <si>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</si>
  <si>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</si>
  <si>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</si>
  <si>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</si>
  <si>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</si>
  <si>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</si>
  <si>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</si>
  <si>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</si>
  <si>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</si>
  <si>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</si>
  <si>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</si>
  <si>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</si>
  <si>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</si>
  <si>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</si>
  <si>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</si>
  <si>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</si>
  <si>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</si>
  <si>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</si>
  <si>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</si>
  <si>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</si>
  <si>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</si>
  <si>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</si>
  <si>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</si>
  <si>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</si>
  <si>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</si>
  <si>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</si>
  <si>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</si>
  <si>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</si>
  <si>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</si>
  <si>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</si>
  <si>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</si>
  <si>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</si>
  <si>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</si>
  <si>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</si>
  <si>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</si>
  <si>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</si>
  <si>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</si>
  <si>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</si>
  <si>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</si>
  <si>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</si>
  <si>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</si>
  <si>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</si>
  <si>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</si>
  <si>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</si>
  <si>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</si>
  <si>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</si>
  <si>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</si>
  <si>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</si>
  <si>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</si>
  <si>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</si>
  <si>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</si>
  <si>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</si>
  <si>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</si>
  <si>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</si>
  <si>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</si>
  <si>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</si>
  <si>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</si>
  <si>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</si>
  <si>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</si>
  <si>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</si>
  <si>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</si>
  <si>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</si>
  <si>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</si>
  <si>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</si>
  <si>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</si>
  <si>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</si>
  <si>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</si>
  <si>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</si>
  <si>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</si>
  <si>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</si>
  <si>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</si>
  <si>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</si>
  <si>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</si>
  <si>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</si>
  <si>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</si>
  <si>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</si>
  <si>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</si>
  <si>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</si>
  <si>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</si>
  <si>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</si>
  <si>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</si>
  <si>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</si>
  <si>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</si>
  <si>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</si>
  <si>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</si>
  <si>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</si>
  <si>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</si>
  <si>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</si>
  <si>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</si>
  <si>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</si>
  <si>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</si>
  <si>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</si>
  <si>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</si>
  <si>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</si>
  <si>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</si>
  <si>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</si>
  <si>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</si>
  <si>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</si>
  <si>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</si>
  <si>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</si>
  <si>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</si>
  <si>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</si>
  <si>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</si>
  <si>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</si>
  <si>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</si>
  <si>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</si>
  <si>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</si>
  <si>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</si>
  <si>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</si>
  <si>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</si>
  <si>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</si>
  <si>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</si>
  <si>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</si>
  <si>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</si>
  <si>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</si>
  <si>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</si>
  <si>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</si>
  <si>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</si>
  <si>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</si>
  <si>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</si>
  <si>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</si>
  <si>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</si>
  <si>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</si>
  <si>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</si>
  <si>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</si>
  <si>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</si>
  <si>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</si>
  <si>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</si>
  <si>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</si>
  <si>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</si>
  <si>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</si>
  <si>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</si>
  <si>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</si>
  <si>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</si>
  <si>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</si>
  <si>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</si>
  <si>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</si>
  <si>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</si>
  <si>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</si>
  <si>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</si>
  <si>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</si>
  <si>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</si>
  <si>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</si>
  <si>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</si>
  <si>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</si>
  <si>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</si>
  <si>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</si>
  <si>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</si>
  <si>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</si>
  <si>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</si>
  <si>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</si>
  <si>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</si>
  <si>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</si>
  <si>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</si>
  <si>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</si>
  <si>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</si>
  <si>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</si>
  <si>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</si>
  <si>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</si>
  <si>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</si>
  <si>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</si>
  <si>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</si>
  <si>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</si>
  <si>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</si>
  <si>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</si>
  <si>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</si>
  <si>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</si>
  <si>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</si>
  <si>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</si>
  <si>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</si>
  <si>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</si>
  <si>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</si>
  <si>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</si>
  <si>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</si>
  <si>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</si>
  <si>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</si>
  <si>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</si>
  <si>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</si>
  <si>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</si>
  <si>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</si>
  <si>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</si>
  <si>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</si>
  <si>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</si>
  <si>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</si>
  <si>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</si>
  <si>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</si>
  <si>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</si>
  <si>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</si>
  <si>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</si>
  <si>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</si>
  <si>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</si>
  <si>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</si>
  <si>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</si>
  <si>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</si>
  <si>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</si>
  <si>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</si>
  <si>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</si>
  <si>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</si>
  <si>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</si>
  <si>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</si>
  <si>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</si>
  <si>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</si>
  <si>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</si>
  <si>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</si>
  <si>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</si>
  <si>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</si>
  <si>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</si>
  <si>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</si>
  <si>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</si>
  <si>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</si>
  <si>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</si>
  <si>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</si>
  <si>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</si>
  <si>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</si>
  <si>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</si>
  <si>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</si>
  <si>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</si>
  <si>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</si>
  <si>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</si>
  <si>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</si>
  <si>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</si>
  <si>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</si>
  <si>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</si>
  <si>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</si>
  <si>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</si>
  <si>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</si>
  <si>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</si>
  <si>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</si>
  <si>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</si>
  <si>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</si>
  <si>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</si>
  <si>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</si>
  <si>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</si>
  <si>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</si>
  <si>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</si>
  <si>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</si>
  <si>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</si>
  <si>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</si>
  <si>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</si>
  <si>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</si>
  <si>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</si>
  <si>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</si>
  <si>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</si>
  <si>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</si>
  <si>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</si>
  <si>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</si>
  <si>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</si>
  <si>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</si>
  <si>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</si>
  <si>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</si>
  <si>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</si>
  <si>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</si>
  <si>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</si>
  <si>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</si>
  <si>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</si>
  <si>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</si>
  <si>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</si>
  <si>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</si>
  <si>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</si>
  <si>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</si>
  <si>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</si>
  <si>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</si>
  <si>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</si>
  <si>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</si>
  <si>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</si>
  <si>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</si>
  <si>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</si>
  <si>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</si>
  <si>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</si>
  <si>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</si>
  <si>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</si>
  <si>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</si>
  <si>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</si>
  <si>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</si>
  <si>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</si>
  <si>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</si>
  <si>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</si>
  <si>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</si>
  <si>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</si>
  <si>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</si>
  <si>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</si>
  <si>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</si>
  <si>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</si>
  <si>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</si>
  <si>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</si>
  <si>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</si>
  <si>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</si>
  <si>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</si>
  <si>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</si>
  <si>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</si>
  <si>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</si>
  <si>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</si>
  <si>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</si>
  <si>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</si>
  <si>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</si>
  <si>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</si>
  <si>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</si>
  <si>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</si>
  <si>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</si>
  <si>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</si>
  <si>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</si>
  <si>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</si>
  <si>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</si>
  <si>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</si>
  <si>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</si>
  <si>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</si>
  <si>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</si>
  <si>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</si>
  <si>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</si>
  <si>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</si>
  <si>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</si>
  <si>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</si>
  <si>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</si>
  <si>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</si>
  <si>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</si>
  <si>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</si>
  <si>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</si>
  <si>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</si>
  <si>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</si>
  <si>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</si>
  <si>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</si>
  <si>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</si>
  <si>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</si>
  <si>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</si>
  <si>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</si>
  <si>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</si>
  <si>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</si>
  <si>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</si>
  <si>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</si>
  <si>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</si>
  <si>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</si>
  <si>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</si>
  <si>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</si>
  <si>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</si>
  <si>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</si>
  <si>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</si>
  <si>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</si>
  <si>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</si>
  <si>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</si>
  <si>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</si>
  <si>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</si>
  <si>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</si>
  <si>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</si>
  <si>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</si>
  <si>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</si>
  <si>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</si>
  <si>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</si>
  <si>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</si>
  <si>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</si>
  <si>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</si>
  <si>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</si>
  <si>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</si>
  <si>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</si>
  <si>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</si>
  <si>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</si>
  <si>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</si>
  <si>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</si>
  <si>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</si>
  <si>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</si>
  <si>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</si>
  <si>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</si>
  <si>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</si>
  <si>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</si>
  <si>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</si>
  <si>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</si>
  <si>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</si>
  <si>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</si>
  <si>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</si>
  <si>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</si>
  <si>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</si>
  <si>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</si>
  <si>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</si>
  <si>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</si>
  <si>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</si>
  <si>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</si>
  <si>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</si>
  <si>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</si>
  <si>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</si>
  <si>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</si>
  <si>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</si>
  <si>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</si>
  <si>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</si>
  <si>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</si>
  <si>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</si>
  <si>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</si>
  <si>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</si>
  <si>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</si>
  <si>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</si>
  <si>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</si>
  <si>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</si>
  <si>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</si>
  <si>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</si>
  <si>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</si>
  <si>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</si>
  <si>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</si>
  <si>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</si>
  <si>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</si>
  <si>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</si>
  <si>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</si>
  <si>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</si>
  <si>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</si>
  <si>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</si>
  <si>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</si>
  <si>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</si>
  <si>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</si>
  <si>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</si>
  <si>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</si>
  <si>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</si>
  <si>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</si>
  <si>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</si>
  <si>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</si>
  <si>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</si>
  <si>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</si>
  <si>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</si>
  <si>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</si>
  <si>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</si>
  <si>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</si>
  <si>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</si>
  <si>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</si>
  <si>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</si>
  <si>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</si>
  <si>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</si>
  <si>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</si>
  <si>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</si>
  <si>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</si>
  <si>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</si>
  <si>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</si>
  <si>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</si>
  <si>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</si>
  <si>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</si>
  <si>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</si>
  <si>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</si>
  <si>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</si>
  <si>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</si>
  <si>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</si>
  <si>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</si>
  <si>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</si>
  <si>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</si>
  <si>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</si>
  <si>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</si>
  <si>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</si>
  <si>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</si>
  <si>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</si>
  <si>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</si>
  <si>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</si>
  <si>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</si>
  <si>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</si>
  <si>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</si>
  <si>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</si>
  <si>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</si>
  <si>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</si>
  <si>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</si>
  <si>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</si>
  <si>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</si>
  <si>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</si>
  <si>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</si>
  <si>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</si>
  <si>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</si>
  <si>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</si>
  <si>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</si>
  <si>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</si>
  <si>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</si>
  <si>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</si>
  <si>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</si>
  <si>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</si>
  <si>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</si>
  <si>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</si>
  <si>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</si>
  <si>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</si>
  <si>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</si>
  <si>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</si>
  <si>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</si>
  <si>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</si>
  <si>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</si>
  <si>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</si>
  <si>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</si>
  <si>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</si>
  <si>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</si>
  <si>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</si>
  <si>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</si>
  <si>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</si>
  <si>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</si>
  <si>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</si>
  <si>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</si>
  <si>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</si>
  <si>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</si>
  <si>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</si>
  <si>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</si>
  <si>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</si>
  <si>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</si>
  <si>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</si>
  <si>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</si>
  <si>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</si>
  <si>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</si>
  <si>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</si>
  <si>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</si>
  <si>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</si>
  <si>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</si>
  <si>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</si>
  <si>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</si>
  <si>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</si>
  <si>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</si>
  <si>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</si>
  <si>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</si>
  <si>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</si>
  <si>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</si>
  <si>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</si>
  <si>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</si>
  <si>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</si>
  <si>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</si>
  <si>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</si>
  <si>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</si>
  <si>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</si>
  <si>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</si>
  <si>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</si>
  <si>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</si>
  <si>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</si>
  <si>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</si>
  <si>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</si>
  <si>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</si>
  <si>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</si>
  <si>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</si>
  <si>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</si>
  <si>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</si>
  <si>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</si>
  <si>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</si>
  <si>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</si>
  <si>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</si>
  <si>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</si>
  <si>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</si>
  <si>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</si>
  <si>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</si>
  <si>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</si>
  <si>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</si>
  <si>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</si>
  <si>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</si>
  <si>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</si>
  <si>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</si>
  <si>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</si>
  <si>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</si>
  <si>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</si>
  <si>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</si>
  <si>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</si>
  <si>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</si>
  <si>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</si>
  <si>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</si>
  <si>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</si>
  <si>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</si>
  <si>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</si>
  <si>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</si>
  <si>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</si>
  <si>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</si>
  <si>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</si>
  <si>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</si>
  <si>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</si>
  <si>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</si>
  <si>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</si>
  <si>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</si>
  <si>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</si>
  <si>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</si>
  <si>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</si>
  <si>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</si>
  <si>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</si>
  <si>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</si>
  <si>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</si>
  <si>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</si>
  <si>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</si>
  <si>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</si>
  <si>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</si>
  <si>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</si>
  <si>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</si>
  <si>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</si>
  <si>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</si>
  <si>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</si>
  <si>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</si>
  <si>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</si>
  <si>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</si>
  <si>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</si>
  <si>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</si>
  <si>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</si>
  <si>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</si>
  <si>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</si>
  <si>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</si>
  <si>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</si>
  <si>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</si>
  <si>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</si>
  <si>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</si>
  <si>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</si>
  <si>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</si>
  <si>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</si>
  <si>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</si>
  <si>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</si>
  <si>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</si>
  <si>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</si>
  <si>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</si>
  <si>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</si>
  <si>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</si>
  <si>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</si>
  <si>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</si>
  <si>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</si>
  <si>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</si>
  <si>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</si>
  <si>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</si>
  <si>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</si>
  <si>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</si>
  <si>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</si>
  <si>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</si>
  <si>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</si>
  <si>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</si>
  <si>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</si>
  <si>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</si>
  <si>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</si>
  <si>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</si>
  <si>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</si>
  <si>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</si>
  <si>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</si>
  <si>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</si>
  <si>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</si>
  <si>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</si>
  <si>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</si>
  <si>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</si>
  <si>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</si>
  <si>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</si>
  <si>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</si>
  <si>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</si>
  <si>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</si>
  <si>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</si>
  <si>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</si>
  <si>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</si>
  <si>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</si>
  <si>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</si>
  <si>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</si>
  <si>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</si>
  <si>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</si>
  <si>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</si>
  <si>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</si>
  <si>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</si>
  <si>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</si>
  <si>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</si>
  <si>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</si>
  <si>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</si>
  <si>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</si>
  <si>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</si>
  <si>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</si>
  <si>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</si>
  <si>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</si>
  <si>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</si>
  <si>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</si>
  <si>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</si>
  <si>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</si>
  <si>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</si>
  <si>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</si>
  <si>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</si>
  <si>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</si>
  <si>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</si>
  <si>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</si>
  <si>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</si>
  <si>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</si>
  <si>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</si>
  <si>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</si>
  <si>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</si>
  <si>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</si>
  <si>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</si>
  <si>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</si>
  <si>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</si>
  <si>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</si>
  <si>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</si>
  <si>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</si>
  <si>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</si>
  <si>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</si>
  <si>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</si>
  <si>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</si>
  <si>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</si>
  <si>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</si>
  <si>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</si>
  <si>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</si>
  <si>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</si>
  <si>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</si>
  <si>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</si>
  <si>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</si>
  <si>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</si>
  <si>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</si>
  <si>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</si>
  <si>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</si>
  <si>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</si>
  <si>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</si>
  <si>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</si>
  <si>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</si>
  <si>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</si>
  <si>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</si>
  <si>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</si>
  <si>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</si>
  <si>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</si>
  <si>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</si>
  <si>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</si>
  <si>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</si>
  <si>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</si>
  <si>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</si>
  <si>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</si>
  <si>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</si>
  <si>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</si>
  <si>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</si>
  <si>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</si>
  <si>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</si>
  <si>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</si>
  <si>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</si>
  <si>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</si>
  <si>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</si>
  <si>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</si>
  <si>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</si>
  <si>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</si>
  <si>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</si>
  <si>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</si>
  <si>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</si>
  <si>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</si>
  <si>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</si>
  <si>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</si>
  <si>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</si>
  <si>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</si>
  <si>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</si>
  <si>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</si>
  <si>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</si>
  <si>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</si>
  <si>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</si>
  <si>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</si>
  <si>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</si>
  <si>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</si>
  <si>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</si>
  <si>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</si>
  <si>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</si>
  <si>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</si>
  <si>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</si>
  <si>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</si>
  <si>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</si>
  <si>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</si>
  <si>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</si>
  <si>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</si>
  <si>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</si>
  <si>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</si>
  <si>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</si>
  <si>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</si>
  <si>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</si>
  <si>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</si>
  <si>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</si>
  <si>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</si>
  <si>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</si>
  <si>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</si>
  <si>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</si>
  <si>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</si>
  <si>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</si>
  <si>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</si>
  <si>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</si>
  <si>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</si>
  <si>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</si>
  <si>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</si>
  <si>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</si>
  <si>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</si>
  <si>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</si>
  <si>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</si>
  <si>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</si>
  <si>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</si>
  <si>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</si>
  <si>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</si>
  <si>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</si>
  <si>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</si>
  <si>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</si>
  <si>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</si>
  <si>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</si>
  <si>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</si>
  <si>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</si>
  <si>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</si>
  <si>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</si>
  <si>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</si>
  <si>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</si>
  <si>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</si>
  <si>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</si>
  <si>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</si>
  <si>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</si>
  <si>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</si>
  <si>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</si>
  <si>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</si>
  <si>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</si>
  <si>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</si>
  <si>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</si>
  <si>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</si>
  <si>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</si>
  <si>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</si>
  <si>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</si>
  <si>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</si>
  <si>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</si>
  <si>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</si>
  <si>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</si>
  <si>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</si>
  <si>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</si>
  <si>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</si>
  <si>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</si>
  <si>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</si>
  <si>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</si>
  <si>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</si>
  <si>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</si>
  <si>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</si>
  <si>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</si>
  <si>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</si>
  <si>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</si>
  <si>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</si>
  <si>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</si>
  <si>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</si>
  <si>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</si>
  <si>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</si>
  <si>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</si>
  <si>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</si>
  <si>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</si>
  <si>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</si>
  <si>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</si>
  <si>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</si>
  <si>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</si>
  <si>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</si>
  <si>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</si>
  <si>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</si>
  <si>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</si>
  <si>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</si>
  <si>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</si>
  <si>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</si>
  <si>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</si>
  <si>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</si>
  <si>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</si>
  <si>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</si>
  <si>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</si>
  <si>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</si>
  <si>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</si>
  <si>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</si>
  <si>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</si>
  <si>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</si>
  <si>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</si>
  <si>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</si>
  <si>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</si>
  <si>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</si>
  <si>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</si>
  <si>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</si>
  <si>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</si>
  <si>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</si>
  <si>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</si>
  <si>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</si>
  <si>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</si>
  <si>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</si>
  <si>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</si>
  <si>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</si>
  <si>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</si>
  <si>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</si>
  <si>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</si>
  <si>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</si>
  <si>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</si>
  <si>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</si>
  <si>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</si>
  <si>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</si>
  <si>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</si>
  <si>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</si>
  <si>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</si>
  <si>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</si>
  <si>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</si>
  <si>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</si>
  <si>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</si>
  <si>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</si>
  <si>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</si>
  <si>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</si>
  <si>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</si>
  <si>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</si>
  <si>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</si>
  <si>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</si>
  <si>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</si>
  <si>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</si>
  <si>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</si>
  <si>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</si>
  <si>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</si>
  <si>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</si>
  <si>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</si>
  <si>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</si>
  <si>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</si>
  <si>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</si>
  <si>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</si>
  <si>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</si>
  <si>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</si>
  <si>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</si>
  <si>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</si>
  <si>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</si>
  <si>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</si>
  <si>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</si>
  <si>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</si>
  <si>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</si>
  <si>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</si>
  <si>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</si>
  <si>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</si>
  <si>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</si>
  <si>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</si>
  <si>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</si>
  <si>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</si>
  <si>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</si>
  <si>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</si>
  <si>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</si>
  <si>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</si>
  <si>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</si>
  <si>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</si>
  <si>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</si>
  <si>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</si>
  <si>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</si>
  <si>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</si>
  <si>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</si>
  <si>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</si>
  <si>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</si>
  <si>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</si>
  <si>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</si>
  <si>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</si>
  <si>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</si>
  <si>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</si>
  <si>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</si>
  <si>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</si>
  <si>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</si>
  <si>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</si>
  <si>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</si>
  <si>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</si>
  <si>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</si>
  <si>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</si>
  <si>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</si>
  <si>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</si>
  <si>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</si>
  <si>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</si>
  <si>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</si>
  <si>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</si>
  <si>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</si>
  <si>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</si>
  <si>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</si>
  <si>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</si>
  <si>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</si>
  <si>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</si>
  <si>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</si>
  <si>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</si>
  <si>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</si>
  <si>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</si>
  <si>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</si>
  <si>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</si>
  <si>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</si>
  <si>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</si>
  <si>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</si>
  <si>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</si>
  <si>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</si>
  <si>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</si>
  <si>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</si>
  <si>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</si>
  <si>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</si>
  <si>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</si>
  <si>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</si>
  <si>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</si>
  <si>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</si>
  <si>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</si>
  <si>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</si>
  <si>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</si>
  <si>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</si>
  <si>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</si>
  <si>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</si>
  <si>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</si>
  <si>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</si>
  <si>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</si>
  <si>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</si>
  <si>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</si>
  <si>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</si>
  <si>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</si>
  <si>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</si>
  <si>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</si>
  <si>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</si>
  <si>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</si>
  <si>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</si>
  <si>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</si>
  <si>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</si>
  <si>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</si>
  <si>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</si>
  <si>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</si>
  <si>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</si>
  <si>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</si>
  <si>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</si>
  <si>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</si>
  <si>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</si>
  <si>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</si>
  <si>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</si>
  <si>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</si>
  <si>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</si>
  <si>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</si>
  <si>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</si>
  <si>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</si>
  <si>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</si>
  <si>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</si>
  <si>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</si>
  <si>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</si>
  <si>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</si>
  <si>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</si>
  <si>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</si>
  <si>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</si>
  <si>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</si>
  <si>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</si>
  <si>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</si>
  <si>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</si>
  <si>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</si>
  <si>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</si>
  <si>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</si>
  <si>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</si>
  <si>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</si>
  <si>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</si>
  <si>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</si>
  <si>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</si>
  <si>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</si>
  <si>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</si>
  <si>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</si>
  <si>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</si>
  <si>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</si>
  <si>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</si>
  <si>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</si>
  <si>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</si>
  <si>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</si>
  <si>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</si>
  <si>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</si>
  <si>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</si>
  <si>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</si>
  <si>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</si>
  <si>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</si>
  <si>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</si>
  <si>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</si>
  <si>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</si>
  <si>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</si>
  <si>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</si>
  <si>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</si>
  <si>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</si>
  <si>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</si>
  <si>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</si>
  <si>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</si>
  <si>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</si>
  <si>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</si>
  <si>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</si>
  <si>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</si>
  <si>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</si>
  <si>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</si>
  <si>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</si>
  <si>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</si>
  <si>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</si>
  <si>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</si>
  <si>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</si>
  <si>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</si>
  <si>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</si>
  <si>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</si>
  <si>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</si>
  <si>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</si>
  <si>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</si>
  <si>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</si>
  <si>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</si>
  <si>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</si>
  <si>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</si>
  <si>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</si>
  <si>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</si>
  <si>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</si>
  <si>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</si>
  <si>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</si>
  <si>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</si>
  <si>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</si>
  <si>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</si>
  <si>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</si>
  <si>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</si>
  <si>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</si>
  <si>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</si>
  <si>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</si>
  <si>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</si>
  <si>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</si>
  <si>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</si>
  <si>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</si>
  <si>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</si>
  <si>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</si>
  <si>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</si>
  <si>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</si>
  <si>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</si>
  <si>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</si>
  <si>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</si>
  <si>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</si>
  <si>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</si>
  <si>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</si>
  <si>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</si>
  <si>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</si>
  <si>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</si>
  <si>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</si>
  <si>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</si>
  <si>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</si>
  <si>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</si>
  <si>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</si>
  <si>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</si>
  <si>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</si>
  <si>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</si>
  <si>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</si>
  <si>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</si>
  <si>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</si>
  <si>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</si>
  <si>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</si>
  <si>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</si>
  <si>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</si>
  <si>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</si>
  <si>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</si>
  <si>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</si>
  <si>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</si>
  <si>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</si>
  <si>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</si>
  <si>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</si>
  <si>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</si>
  <si>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</si>
  <si>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</si>
  <si>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</si>
  <si>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</si>
  <si>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</si>
  <si>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</si>
  <si>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</si>
  <si>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</si>
  <si>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</si>
  <si>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</si>
  <si>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</si>
  <si>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</si>
  <si>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</si>
  <si>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</si>
  <si>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</si>
  <si>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</si>
  <si>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</si>
  <si>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</si>
  <si>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</si>
  <si>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</si>
  <si>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</si>
  <si>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</si>
  <si>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</si>
  <si>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</si>
  <si>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</si>
  <si>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</si>
  <si>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</si>
  <si>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</si>
  <si>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</si>
  <si>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</si>
  <si>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</si>
  <si>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</si>
  <si>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</si>
  <si>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</si>
  <si>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</si>
  <si>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</si>
  <si>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</si>
  <si>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</si>
  <si>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</si>
  <si>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</si>
  <si>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</si>
  <si>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</si>
  <si>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</si>
  <si>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</si>
  <si>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</si>
  <si>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</si>
  <si>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</si>
  <si>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</si>
  <si>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</si>
  <si>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</si>
  <si>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</si>
  <si>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</si>
  <si>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</si>
  <si>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</si>
  <si>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</si>
  <si>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</si>
  <si>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</si>
  <si>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</si>
  <si>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</si>
  <si>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</si>
  <si>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</si>
  <si>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</si>
  <si>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</si>
  <si>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</si>
  <si>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</si>
  <si>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</si>
  <si>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</si>
  <si>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</si>
  <si>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</si>
  <si>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</si>
  <si>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</si>
  <si>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</si>
  <si>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</si>
  <si>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</si>
  <si>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</si>
  <si>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</si>
  <si>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</si>
  <si>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</si>
  <si>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</si>
  <si>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</si>
  <si>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</si>
  <si>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</si>
  <si>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</si>
  <si>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</si>
  <si>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</si>
  <si>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</si>
  <si>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</si>
  <si>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</si>
  <si>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</si>
  <si>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</si>
  <si>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</si>
  <si>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</si>
  <si>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</si>
  <si>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</si>
  <si>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</si>
  <si>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</si>
  <si>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</si>
  <si>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</si>
  <si>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</si>
  <si>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</si>
  <si>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</si>
  <si>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</si>
  <si>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</si>
  <si>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</si>
  <si>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</si>
  <si>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</si>
  <si>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</si>
  <si>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</si>
  <si>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</si>
  <si>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</si>
  <si>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</si>
  <si>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</si>
  <si>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</si>
  <si>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</si>
  <si>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</si>
  <si>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</si>
  <si>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</si>
  <si>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</si>
  <si>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</si>
  <si>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</si>
  <si>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</si>
  <si>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</si>
  <si>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</si>
  <si>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</si>
  <si>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</si>
  <si>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</si>
  <si>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</si>
  <si>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</si>
  <si>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</si>
  <si>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</si>
  <si>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</si>
  <si>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</si>
  <si>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</si>
  <si>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</si>
  <si>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</si>
  <si>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</si>
  <si>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</si>
  <si>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</si>
  <si>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</si>
  <si>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</si>
  <si>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</si>
  <si>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</si>
  <si>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</si>
  <si>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</si>
  <si>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</si>
  <si>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</si>
  <si>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</si>
  <si>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</si>
  <si>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</si>
  <si>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</si>
  <si>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</si>
  <si>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</si>
  <si>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</si>
  <si>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</si>
  <si>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</si>
  <si>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</si>
  <si>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</si>
  <si>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</si>
  <si>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</si>
  <si>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</si>
  <si>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</si>
  <si>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</si>
  <si>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</si>
  <si>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</si>
  <si>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</si>
  <si>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</si>
  <si>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</si>
  <si>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</si>
  <si>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</si>
  <si>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</si>
  <si>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</si>
  <si>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</si>
  <si>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</si>
  <si>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</si>
  <si>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</si>
  <si>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</si>
  <si>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</si>
  <si>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</si>
  <si>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</si>
  <si>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</si>
  <si>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</si>
  <si>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</si>
  <si>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</si>
  <si>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</si>
  <si>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</si>
  <si>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</si>
  <si>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</si>
  <si>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</si>
  <si>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</si>
  <si>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</si>
  <si>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</si>
  <si>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</si>
  <si>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</si>
  <si>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</si>
  <si>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</si>
  <si>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</si>
  <si>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</si>
  <si>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</si>
  <si>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</si>
  <si>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</si>
  <si>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</si>
  <si>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</si>
  <si>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</si>
  <si>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</si>
  <si>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</si>
  <si>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</si>
  <si>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</si>
  <si>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</si>
  <si>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</si>
  <si>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</si>
  <si>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</si>
  <si>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</si>
  <si>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</si>
  <si>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</si>
  <si>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</si>
  <si>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</si>
  <si>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</si>
  <si>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</si>
  <si>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</si>
  <si>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</si>
  <si>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</si>
  <si>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</si>
  <si>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</si>
  <si>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</si>
  <si>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</si>
  <si>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</si>
  <si>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</si>
  <si>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</si>
  <si>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</si>
  <si>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</si>
  <si>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</si>
  <si>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</si>
  <si>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</si>
  <si>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</si>
  <si>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</si>
  <si>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</si>
  <si>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</si>
  <si>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</si>
  <si>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</si>
  <si>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</si>
  <si>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</si>
  <si>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</si>
  <si>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</si>
  <si>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</si>
  <si>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</si>
  <si>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</si>
  <si>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</si>
  <si>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</si>
  <si>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</si>
  <si>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</si>
  <si>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</si>
  <si>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</si>
  <si>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</si>
  <si>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</si>
  <si>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</si>
  <si>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</si>
  <si>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</si>
  <si>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</si>
  <si>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</si>
  <si>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</si>
  <si>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</si>
  <si>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</si>
  <si>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</si>
  <si>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</si>
  <si>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</si>
  <si>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</si>
  <si>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</si>
  <si>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</si>
  <si>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</si>
  <si>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</si>
  <si>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</si>
  <si>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</si>
  <si>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</si>
  <si>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</si>
  <si>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</si>
  <si>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</si>
  <si>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</si>
  <si>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</si>
  <si>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</si>
  <si>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</si>
  <si>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</si>
  <si>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</si>
  <si>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</si>
  <si>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</si>
  <si>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</si>
  <si>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</si>
  <si>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</si>
  <si>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</si>
  <si>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</si>
  <si>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</si>
  <si>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</si>
  <si>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</si>
  <si>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</si>
  <si>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</si>
  <si>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</si>
  <si>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</si>
  <si>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</si>
  <si>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</si>
  <si>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</si>
  <si>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</si>
  <si>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</si>
  <si>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</si>
  <si>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</si>
  <si>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</si>
  <si>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</si>
  <si>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</si>
  <si>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</si>
  <si>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</si>
  <si>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</si>
  <si>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</si>
  <si>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</si>
  <si>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</si>
  <si>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</si>
  <si>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</si>
  <si>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</si>
  <si>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</si>
  <si>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</si>
  <si>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</si>
  <si>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</si>
  <si>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</si>
  <si>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</si>
  <si>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</si>
  <si>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</si>
  <si>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</si>
  <si>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</si>
  <si>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</si>
  <si>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</si>
  <si>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</si>
  <si>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</si>
  <si>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</si>
  <si>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</si>
  <si>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</si>
  <si>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</si>
  <si>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</si>
  <si>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</si>
  <si>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</si>
  <si>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</si>
  <si>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</si>
  <si>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</si>
  <si>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</si>
  <si>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</si>
  <si>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</si>
  <si>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</si>
  <si>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</si>
  <si>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</si>
  <si>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</si>
  <si>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</si>
  <si>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</si>
  <si>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</si>
  <si>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</si>
  <si>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</si>
  <si>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</si>
  <si>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</si>
  <si>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</si>
  <si>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</si>
  <si>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</si>
  <si>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</si>
  <si>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</si>
  <si>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</si>
  <si>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</si>
  <si>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</si>
  <si>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</si>
  <si>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</si>
  <si>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</si>
  <si>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</si>
  <si>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</si>
  <si>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</si>
  <si>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</si>
  <si>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</si>
  <si>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</si>
  <si>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</si>
  <si>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</si>
  <si>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</si>
  <si>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</si>
  <si>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</si>
  <si>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</si>
  <si>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</si>
  <si>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</si>
  <si>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</si>
  <si>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</si>
  <si>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</si>
  <si>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</si>
  <si>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</si>
  <si>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</si>
  <si>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</si>
  <si>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</si>
  <si>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</si>
  <si>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</si>
  <si>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</si>
  <si>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</si>
  <si>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</si>
  <si>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</si>
  <si>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</si>
  <si>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</si>
  <si>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</si>
  <si>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</si>
  <si>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</si>
  <si>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</si>
  <si>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</si>
  <si>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</si>
  <si>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</si>
  <si>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</si>
  <si>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</si>
  <si>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</si>
  <si>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</si>
  <si>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</si>
  <si>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</si>
  <si>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</si>
  <si>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</si>
  <si>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</si>
  <si>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</si>
  <si>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</si>
  <si>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</si>
  <si>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</si>
  <si>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</si>
  <si>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</si>
  <si>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</si>
  <si>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</si>
  <si>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</si>
  <si>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</si>
  <si>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</si>
  <si>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</si>
  <si>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</si>
  <si>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</si>
  <si>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</si>
  <si>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</si>
  <si>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</si>
  <si>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</si>
  <si>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</si>
  <si>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</si>
  <si>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</si>
  <si>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</si>
  <si>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</si>
  <si>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</si>
  <si>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</si>
  <si>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</si>
  <si>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</si>
  <si>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</si>
  <si>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</si>
  <si>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</si>
  <si>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</si>
  <si>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</si>
  <si>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</si>
  <si>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</si>
  <si>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</si>
  <si>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</si>
  <si>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</si>
  <si>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</si>
  <si>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</si>
  <si>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</si>
  <si>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</si>
  <si>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</si>
  <si>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</si>
  <si>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</si>
  <si>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</si>
  <si>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</si>
  <si>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</si>
  <si>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</si>
  <si>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</si>
  <si>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</si>
  <si>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</si>
  <si>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</si>
  <si>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</si>
  <si>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</si>
  <si>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</si>
  <si>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</si>
  <si>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</si>
  <si>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</si>
  <si>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</si>
  <si>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</si>
  <si>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</si>
  <si>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</si>
  <si>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</si>
  <si>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</si>
  <si>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</si>
  <si>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</si>
  <si>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</si>
  <si>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</si>
  <si>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</si>
  <si>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</si>
  <si>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</si>
  <si>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</si>
  <si>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</si>
  <si>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</si>
  <si>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</si>
  <si>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</si>
  <si>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</si>
  <si>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</si>
  <si>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</si>
  <si>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</si>
  <si>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</si>
  <si>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</si>
  <si>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</si>
  <si>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</si>
  <si>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</si>
  <si>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</si>
  <si>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</si>
  <si>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</si>
  <si>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</si>
  <si>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</si>
  <si>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</si>
  <si>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</si>
  <si>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</si>
  <si>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</si>
  <si>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</si>
  <si>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</si>
  <si>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</si>
  <si>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</si>
  <si>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</si>
  <si>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</si>
  <si>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</si>
  <si>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</si>
  <si>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</si>
  <si>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</si>
  <si>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</si>
  <si>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</si>
  <si>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</si>
  <si>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</si>
  <si>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</si>
  <si>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</si>
  <si>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</si>
  <si>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</si>
  <si>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</si>
  <si>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</si>
  <si>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</si>
  <si>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</si>
  <si>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</si>
  <si>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</si>
  <si>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</si>
  <si>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</si>
  <si>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</si>
  <si>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</si>
  <si>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</si>
  <si>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</si>
  <si>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</si>
  <si>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</si>
  <si>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</si>
  <si>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</si>
  <si>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</si>
  <si>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</si>
  <si>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</si>
  <si>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</si>
  <si>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</si>
  <si>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</si>
  <si>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</si>
  <si>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</si>
  <si>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</si>
  <si>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</si>
  <si>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</si>
  <si>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</si>
  <si>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</si>
  <si>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</si>
  <si>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</si>
  <si>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</si>
  <si>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</si>
  <si>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</si>
  <si>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</si>
  <si>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</si>
  <si>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</si>
  <si>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</si>
  <si>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</si>
  <si>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</si>
  <si>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</si>
  <si>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</si>
  <si>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</si>
  <si>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</si>
  <si>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</si>
  <si>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</si>
  <si>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</si>
  <si>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</si>
  <si>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</si>
  <si>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</si>
  <si>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</si>
  <si>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</si>
  <si>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</si>
  <si>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</si>
  <si>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</si>
  <si>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</si>
  <si>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</si>
  <si>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</si>
  <si>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</si>
  <si>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</si>
  <si>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</si>
  <si>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</si>
  <si>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</si>
  <si>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</si>
  <si>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</si>
  <si>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</si>
  <si>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</si>
  <si>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</si>
  <si>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</si>
  <si>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</si>
  <si>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</si>
  <si>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</si>
  <si>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</si>
  <si>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</si>
  <si>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</si>
  <si>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</si>
  <si>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</si>
  <si>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</si>
  <si>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</si>
  <si>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</si>
  <si>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</si>
  <si>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</si>
  <si>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</si>
  <si>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</si>
  <si>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</si>
  <si>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</si>
  <si>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</si>
  <si>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</si>
  <si>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</si>
  <si>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</si>
  <si>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</si>
  <si>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</si>
  <si>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</si>
  <si>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</si>
  <si>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</si>
  <si>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</si>
  <si>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</si>
  <si>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</si>
  <si>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</si>
  <si>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</si>
  <si>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</si>
  <si>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</si>
  <si>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</si>
  <si>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</si>
  <si>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</si>
  <si>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</si>
  <si>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</si>
  <si>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</si>
  <si>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</si>
  <si>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</si>
  <si>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</si>
  <si>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</si>
  <si>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</si>
  <si>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</si>
  <si>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</si>
  <si>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</si>
  <si>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</si>
  <si>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</si>
  <si>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</si>
  <si>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</si>
  <si>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</si>
  <si>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</si>
  <si>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</si>
  <si>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</si>
  <si>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</si>
  <si>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</si>
  <si>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</si>
  <si>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</si>
  <si>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</si>
  <si>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</si>
  <si>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</si>
  <si>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</si>
  <si>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</si>
  <si>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</si>
  <si>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</si>
  <si>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</si>
  <si>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</si>
  <si>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</si>
  <si>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</si>
  <si>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</si>
  <si>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</si>
  <si>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</si>
  <si>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</si>
  <si>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</si>
  <si>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</si>
  <si>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</si>
  <si>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</si>
  <si>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</si>
  <si>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</si>
  <si>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</si>
  <si>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</si>
  <si>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</si>
  <si>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</si>
  <si>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</si>
  <si>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</si>
  <si>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</si>
  <si>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</si>
  <si>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</si>
  <si>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</si>
  <si>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</si>
  <si>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</si>
  <si>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</si>
  <si>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</si>
  <si>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</si>
  <si>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</si>
  <si>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</si>
  <si>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</si>
  <si>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</si>
  <si>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</si>
  <si>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</si>
  <si>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</si>
  <si>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</si>
  <si>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</si>
  <si>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</si>
  <si>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</si>
  <si>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</si>
  <si>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</si>
  <si>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</si>
  <si>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</si>
  <si>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</si>
  <si>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</si>
  <si>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</si>
  <si>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</si>
  <si>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</si>
  <si>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</si>
  <si>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</si>
  <si>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</si>
  <si>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</si>
  <si>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</si>
  <si>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</si>
  <si>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</si>
  <si>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</si>
  <si>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</si>
  <si>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</si>
  <si>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</si>
  <si>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</si>
  <si>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</si>
  <si>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</si>
  <si>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</si>
  <si>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</si>
  <si>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</si>
  <si>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</si>
  <si>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</si>
  <si>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</si>
  <si>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</si>
  <si>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</si>
  <si>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</si>
  <si>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</si>
  <si>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</si>
  <si>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</si>
  <si>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</si>
  <si>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</si>
  <si>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</si>
  <si>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</si>
  <si>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</si>
  <si>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</si>
  <si>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</si>
  <si>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</si>
  <si>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</si>
  <si>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</si>
  <si>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</si>
  <si>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</si>
  <si>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</si>
  <si>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</si>
  <si>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</si>
  <si>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</si>
  <si>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</si>
  <si>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</si>
  <si>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</si>
  <si>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</si>
  <si>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</si>
  <si>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</si>
  <si>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</si>
  <si>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</si>
  <si>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</si>
  <si>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</si>
  <si>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</si>
  <si>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</si>
  <si>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</si>
  <si>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</si>
  <si>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</si>
  <si>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</si>
  <si>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</si>
  <si>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</si>
  <si>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</si>
  <si>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</si>
  <si>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</si>
  <si>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</si>
  <si>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</si>
  <si>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</si>
  <si>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</si>
  <si>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</si>
  <si>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</si>
  <si>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</si>
  <si>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</si>
  <si>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</si>
  <si>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</si>
  <si>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</si>
  <si>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</si>
  <si>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</si>
  <si>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</si>
  <si>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</si>
  <si>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</si>
  <si>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</si>
  <si>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</si>
  <si>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</si>
  <si>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</si>
  <si>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</si>
  <si>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</si>
  <si>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</si>
  <si>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</si>
  <si>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</si>
  <si>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</si>
  <si>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</si>
  <si>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</si>
  <si>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</si>
  <si>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</si>
  <si>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</si>
  <si>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</si>
  <si>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</si>
  <si>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</si>
  <si>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</si>
  <si>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</si>
  <si>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</si>
  <si>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</si>
  <si>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</si>
  <si>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</si>
  <si>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</si>
  <si>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</si>
  <si>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</si>
  <si>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</si>
  <si>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</si>
  <si>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</si>
  <si>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</si>
  <si>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</si>
  <si>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</si>
  <si>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</si>
  <si>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</si>
  <si>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</si>
  <si>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</si>
  <si>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</si>
  <si>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</si>
  <si>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</si>
  <si>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</si>
  <si>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</si>
  <si>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</si>
  <si>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</si>
  <si>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</si>
  <si>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</si>
  <si>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</si>
  <si>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</si>
  <si>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</si>
  <si>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</si>
  <si>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</si>
  <si>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</si>
  <si>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</si>
  <si>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</si>
  <si>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</si>
  <si>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</si>
  <si>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</si>
  <si>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</si>
  <si>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</si>
  <si>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</si>
  <si>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</si>
  <si>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</si>
  <si>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</si>
  <si>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</si>
  <si>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</si>
  <si>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</si>
  <si>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</si>
  <si>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</si>
  <si>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</si>
  <si>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</si>
  <si>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</si>
  <si>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</si>
  <si>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</si>
  <si>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</si>
  <si>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</si>
  <si>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</si>
  <si>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</si>
  <si>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</si>
  <si>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</si>
  <si>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</si>
  <si>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</si>
  <si>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</si>
  <si>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</si>
  <si>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</si>
  <si>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</si>
  <si>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</si>
  <si>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</si>
  <si>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</si>
  <si>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</si>
  <si>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</si>
  <si>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</si>
  <si>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</si>
  <si>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</si>
  <si>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</si>
  <si>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</si>
  <si>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</si>
  <si>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</si>
  <si>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</si>
  <si>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</si>
  <si>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</si>
  <si>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</si>
  <si>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</si>
  <si>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</si>
  <si>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</si>
  <si>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</si>
  <si>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</si>
  <si>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</si>
  <si>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</si>
  <si>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</si>
  <si>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</si>
  <si>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</si>
  <si>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</si>
  <si>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</si>
  <si>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</si>
  <si>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</si>
  <si>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</si>
  <si>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</si>
  <si>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</si>
  <si>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</si>
  <si>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</si>
  <si>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</si>
  <si>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</si>
  <si>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</si>
  <si>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</si>
  <si>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</si>
  <si>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</si>
  <si>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</si>
  <si>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</si>
  <si>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</si>
  <si>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</si>
  <si>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</si>
  <si>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</si>
  <si>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</si>
  <si>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</si>
  <si>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</si>
  <si>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</si>
  <si>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</si>
  <si>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</si>
  <si>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</si>
  <si>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</si>
  <si>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</si>
  <si>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</si>
  <si>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</si>
  <si>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</si>
  <si>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</si>
  <si>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</si>
  <si>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</si>
  <si>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</si>
  <si>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</si>
  <si>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</si>
  <si>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</si>
  <si>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</si>
  <si>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</si>
  <si>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</si>
  <si>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</si>
  <si>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</si>
  <si>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</si>
  <si>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</si>
  <si>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</si>
  <si>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</si>
  <si>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</si>
  <si>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</si>
  <si>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</si>
  <si>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</si>
  <si>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</si>
  <si>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</si>
  <si>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</si>
  <si>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</si>
  <si>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</si>
  <si>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</si>
  <si>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</si>
  <si>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</si>
  <si>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</si>
  <si>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</si>
  <si>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</si>
  <si>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</si>
  <si>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</si>
  <si>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</si>
  <si>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</si>
  <si>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</si>
  <si>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</si>
  <si>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</si>
  <si>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</si>
  <si>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</si>
  <si>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</si>
  <si>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</si>
  <si>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</si>
  <si>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</si>
  <si>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</si>
  <si>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</si>
  <si>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</si>
  <si>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</si>
  <si>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</si>
  <si>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</si>
  <si>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</si>
  <si>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</si>
  <si>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</si>
  <si>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</si>
  <si>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</si>
  <si>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</si>
  <si>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</si>
  <si>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</si>
  <si>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</si>
  <si>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</si>
  <si>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</si>
  <si>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</si>
  <si>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</si>
  <si>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</si>
  <si>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</si>
  <si>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</si>
  <si>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</si>
  <si>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</si>
  <si>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</si>
  <si>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</si>
  <si>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</si>
  <si>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</si>
  <si>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</si>
  <si>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</si>
  <si>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</si>
  <si>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</si>
  <si>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</si>
  <si>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</si>
  <si>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</si>
  <si>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</si>
  <si>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</si>
  <si>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</si>
  <si>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</si>
  <si>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</si>
  <si>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</si>
  <si>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</si>
  <si>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</si>
  <si>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</si>
  <si>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</si>
  <si>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</si>
  <si>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</si>
  <si>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</si>
  <si>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</si>
  <si>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</si>
  <si>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</si>
  <si>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</si>
  <si>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</si>
  <si>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</si>
  <si>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</si>
  <si>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</si>
  <si>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</si>
  <si>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</si>
  <si>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</si>
  <si>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</si>
  <si>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</si>
  <si>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</si>
  <si>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</si>
  <si>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</si>
  <si>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</si>
  <si>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</si>
  <si>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</si>
  <si>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</si>
  <si>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</si>
  <si>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</si>
  <si>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</si>
  <si>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</si>
  <si>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</si>
  <si>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</si>
  <si>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</si>
  <si>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</si>
  <si>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</si>
  <si>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</si>
  <si>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</si>
  <si>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</si>
  <si>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</si>
  <si>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</si>
  <si>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</si>
  <si>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</si>
  <si>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</si>
  <si>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</si>
  <si>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</si>
  <si>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</si>
  <si>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</si>
  <si>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</si>
  <si>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</si>
  <si>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</si>
  <si>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</si>
  <si>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</si>
  <si>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</si>
  <si>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</si>
  <si>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</si>
  <si>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</si>
  <si>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</si>
  <si>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</si>
  <si>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</si>
  <si>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</si>
  <si>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</si>
  <si>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</si>
  <si>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</si>
  <si>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</si>
  <si>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</si>
  <si>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</si>
  <si>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</si>
  <si>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</si>
  <si>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</si>
  <si>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</si>
  <si>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</si>
  <si>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</si>
  <si>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</si>
  <si>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</si>
  <si>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</si>
  <si>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</si>
  <si>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</si>
  <si>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</si>
  <si>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</si>
  <si>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</si>
  <si>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</si>
  <si>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</si>
  <si>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</si>
  <si>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</si>
  <si>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</si>
  <si>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</si>
  <si>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</si>
  <si>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</si>
  <si>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</si>
  <si>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</si>
  <si>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</si>
  <si>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</si>
  <si>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</si>
  <si>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</si>
  <si>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</si>
  <si>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</si>
  <si>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</si>
  <si>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</si>
  <si>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</si>
  <si>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</si>
  <si>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</si>
  <si>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</si>
  <si>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</si>
  <si>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</si>
  <si>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</si>
  <si>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</si>
  <si>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</si>
  <si>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</si>
  <si>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</si>
  <si>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</si>
  <si>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</si>
  <si>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</si>
  <si>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</si>
  <si>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</si>
  <si>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</si>
  <si>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</si>
  <si>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</si>
  <si>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</si>
  <si>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</si>
  <si>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</si>
  <si>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</si>
  <si>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</si>
  <si>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</si>
  <si>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</si>
  <si>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</si>
  <si>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</si>
  <si>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</si>
  <si>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</si>
  <si>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</si>
  <si>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</si>
  <si>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</si>
  <si>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</si>
  <si>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</si>
  <si>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</si>
  <si>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</si>
  <si>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</si>
  <si>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</si>
  <si>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</si>
  <si>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</si>
  <si>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</si>
  <si>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</si>
  <si>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</si>
  <si>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</si>
  <si>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</si>
  <si>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</si>
  <si>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</si>
  <si>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</si>
  <si>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</si>
  <si>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</si>
  <si>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</si>
  <si>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</si>
  <si>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</si>
  <si>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</si>
  <si>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</si>
  <si>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</si>
  <si>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</si>
  <si>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</si>
  <si>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</si>
  <si>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</si>
  <si>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</si>
  <si>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</si>
  <si>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</si>
  <si>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</si>
  <si>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</si>
  <si>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</si>
  <si>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</si>
  <si>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</si>
  <si>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</si>
  <si>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</si>
  <si>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</si>
  <si>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</si>
  <si>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</si>
  <si>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</si>
  <si>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</si>
  <si>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</si>
  <si>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</si>
  <si>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</si>
  <si>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</si>
  <si>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</si>
  <si>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</si>
  <si>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</si>
  <si>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</si>
  <si>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</si>
  <si>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</si>
  <si>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</si>
  <si>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</si>
  <si>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</si>
  <si>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</si>
  <si>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</si>
  <si>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</si>
  <si>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</si>
  <si>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</si>
  <si>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</si>
  <si>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</si>
  <si>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</si>
  <si>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</si>
  <si>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</si>
  <si>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</si>
  <si>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</si>
  <si>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</si>
  <si>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</si>
  <si>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</si>
  <si>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</si>
  <si>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</si>
  <si>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</si>
  <si>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</si>
  <si>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</si>
  <si>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</si>
  <si>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</si>
  <si>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</si>
  <si>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</si>
  <si>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</si>
  <si>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</si>
  <si>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</si>
  <si>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</si>
  <si>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</si>
  <si>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</si>
  <si>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</si>
  <si>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</si>
  <si>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</si>
  <si>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</si>
  <si>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</si>
  <si>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</si>
  <si>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</si>
  <si>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</si>
  <si>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</si>
  <si>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</si>
  <si>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</si>
  <si>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</si>
  <si>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</si>
  <si>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</si>
  <si>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</si>
  <si>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</si>
  <si>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</si>
  <si>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</si>
  <si>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</si>
  <si>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</si>
  <si>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</si>
  <si>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</si>
  <si>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</si>
  <si>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</si>
  <si>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</si>
  <si>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</si>
  <si>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</si>
  <si>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</si>
  <si>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</si>
  <si>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</si>
  <si>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</si>
  <si>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</si>
  <si>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</si>
  <si>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</si>
  <si>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</si>
  <si>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</si>
  <si>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</si>
  <si>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</si>
  <si>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</si>
  <si>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</si>
  <si>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</si>
  <si>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</si>
  <si>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</si>
  <si>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</si>
  <si>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</si>
  <si>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</si>
  <si>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</si>
  <si>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</si>
  <si>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</si>
  <si>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</si>
  <si>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</si>
  <si>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</si>
  <si>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</si>
  <si>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</si>
  <si>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</si>
  <si>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</si>
  <si>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</si>
  <si>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</si>
  <si>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</si>
  <si>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</si>
  <si>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</si>
  <si>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</si>
  <si>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</si>
  <si>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</si>
  <si>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</si>
  <si>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</si>
  <si>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</si>
  <si>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</si>
  <si>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</si>
  <si>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</si>
  <si>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</si>
  <si>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</si>
  <si>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</si>
  <si>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</si>
  <si>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</si>
  <si>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</si>
  <si>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</si>
  <si>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</si>
  <si>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</si>
  <si>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</si>
  <si>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</si>
  <si>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</si>
  <si>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</si>
  <si>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</si>
  <si>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</si>
  <si>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</si>
  <si>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</si>
  <si>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</si>
  <si>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</si>
  <si>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</si>
  <si>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</si>
  <si>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</si>
  <si>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</si>
  <si>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</si>
  <si>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</si>
  <si>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</si>
  <si>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</si>
  <si>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</si>
  <si>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</si>
  <si>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</si>
  <si>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</si>
  <si>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</si>
  <si>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</si>
  <si>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</si>
  <si>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</si>
  <si>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</si>
  <si>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</si>
  <si>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</si>
  <si>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</si>
  <si>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</si>
  <si>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</si>
  <si>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</si>
  <si>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</si>
  <si>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</si>
  <si>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</si>
  <si>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</si>
  <si>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</si>
  <si>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</si>
  <si>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</si>
  <si>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</si>
  <si>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</si>
  <si>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</si>
  <si>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</si>
  <si>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</si>
  <si>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</si>
  <si>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</si>
  <si>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</si>
  <si>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</si>
  <si>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</si>
  <si>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</si>
  <si>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</si>
  <si>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</si>
  <si>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</si>
  <si>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</si>
  <si>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</si>
  <si>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</si>
  <si>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</si>
  <si>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</si>
  <si>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</si>
  <si>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</si>
  <si>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</si>
  <si>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</si>
  <si>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</si>
  <si>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</si>
  <si>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</si>
  <si>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</si>
  <si>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</si>
  <si>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</si>
  <si>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</si>
  <si>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</si>
  <si>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</si>
  <si>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</si>
  <si>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</si>
  <si>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</si>
  <si>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</si>
  <si>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</si>
  <si>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</si>
  <si>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</si>
  <si>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</si>
  <si>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</si>
  <si>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</si>
  <si>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</si>
  <si>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</si>
  <si>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</si>
  <si>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</si>
  <si>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</si>
  <si>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</si>
  <si>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</si>
  <si>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</si>
  <si>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</si>
  <si>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</si>
  <si>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</si>
  <si>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</si>
  <si>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</si>
  <si>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</si>
  <si>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</si>
  <si>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</si>
  <si>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</si>
  <si>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</si>
  <si>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</si>
  <si>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</si>
  <si>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</si>
  <si>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</si>
  <si>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</si>
  <si>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</si>
  <si>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</si>
  <si>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</si>
  <si>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</si>
  <si>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</si>
  <si>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</si>
  <si>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</si>
  <si>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</si>
  <si>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</si>
  <si>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</si>
  <si>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</si>
  <si>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</si>
  <si>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</si>
  <si>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</si>
  <si>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</si>
  <si>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</si>
  <si>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</si>
  <si>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</si>
  <si>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</si>
  <si>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</si>
  <si>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</si>
  <si>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</si>
  <si>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</si>
  <si>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</si>
  <si>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</si>
  <si>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</si>
  <si>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</si>
  <si>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</si>
  <si>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</si>
  <si>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</si>
  <si>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</si>
  <si>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</si>
  <si>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</si>
  <si>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</si>
  <si>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</si>
  <si>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</si>
  <si>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</si>
  <si>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</si>
  <si>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</si>
  <si>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</si>
  <si>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</si>
  <si>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</si>
  <si>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</si>
  <si>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</si>
  <si>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</si>
  <si>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</si>
  <si>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</si>
  <si>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</si>
  <si>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</si>
  <si>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</si>
  <si>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</si>
  <si>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</si>
  <si>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</si>
  <si>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</si>
  <si>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</si>
  <si>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</si>
  <si>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</si>
  <si>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</si>
  <si>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</si>
  <si>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</si>
  <si>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</si>
  <si>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</si>
  <si>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</si>
  <si>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</si>
  <si>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</si>
  <si>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</si>
  <si>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</si>
  <si>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</si>
  <si>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</si>
  <si>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</si>
  <si>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</si>
  <si>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</si>
  <si>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</si>
  <si>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</si>
  <si>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</si>
  <si>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</si>
  <si>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</si>
  <si>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</si>
  <si>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</si>
  <si>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</si>
  <si>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</si>
  <si>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</si>
  <si>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</si>
  <si>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</si>
  <si>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</si>
  <si>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</si>
  <si>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</si>
  <si>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</si>
  <si>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</si>
  <si>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</si>
  <si>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</si>
  <si>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</si>
  <si>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</si>
  <si>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</si>
  <si>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</si>
  <si>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</si>
  <si>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</si>
  <si>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</si>
  <si>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</si>
  <si>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</si>
  <si>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</si>
  <si>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</si>
  <si>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</si>
  <si>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</si>
  <si>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</si>
  <si>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</si>
  <si>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</si>
  <si>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</si>
  <si>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</si>
  <si>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</si>
  <si>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</si>
  <si>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</si>
  <si>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</si>
  <si>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</si>
  <si>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</si>
  <si>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</si>
  <si>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</si>
  <si>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</si>
  <si>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</si>
  <si>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</si>
  <si>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</si>
  <si>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</si>
  <si>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</si>
  <si>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</si>
  <si>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</si>
  <si>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</si>
  <si>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</si>
  <si>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</si>
  <si>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</si>
  <si>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</si>
  <si>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</si>
  <si>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</si>
  <si>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</si>
  <si>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</si>
  <si>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</si>
  <si>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</si>
  <si>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</si>
  <si>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</si>
  <si>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</si>
  <si>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</si>
  <si>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</si>
  <si>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</si>
  <si>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</si>
  <si>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</si>
  <si>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</si>
  <si>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</si>
  <si>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</si>
  <si>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</si>
  <si>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</si>
  <si>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</si>
  <si>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</si>
  <si>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</si>
  <si>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</si>
  <si>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</si>
  <si>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</si>
  <si>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</si>
  <si>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</si>
  <si>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</si>
  <si>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</si>
  <si>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</si>
  <si>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</si>
  <si>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</si>
  <si>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</si>
  <si>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</si>
  <si>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</si>
  <si>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</si>
  <si>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</si>
  <si>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</si>
  <si>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</si>
  <si>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</si>
  <si>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</si>
  <si>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</si>
  <si>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</si>
  <si>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</si>
  <si>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</si>
  <si>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</si>
  <si>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</si>
  <si>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</si>
  <si>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</si>
  <si>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</si>
  <si>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</si>
  <si>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</si>
  <si>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</si>
  <si>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</si>
  <si>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</si>
  <si>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</si>
  <si>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</si>
  <si>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</si>
  <si>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</si>
  <si>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</si>
  <si>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</si>
  <si>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</si>
  <si>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</si>
  <si>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</si>
  <si>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</si>
  <si>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</si>
  <si>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</si>
  <si>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</si>
  <si>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</si>
  <si>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</si>
  <si>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</si>
  <si>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</si>
  <si>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</si>
  <si>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</si>
  <si>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</si>
  <si>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</si>
  <si>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</si>
  <si>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</si>
  <si>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</si>
  <si>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</si>
  <si>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</si>
  <si>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</si>
  <si>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</si>
  <si>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</si>
  <si>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</si>
  <si>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</si>
  <si>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</si>
  <si>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</si>
  <si>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</si>
  <si>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</si>
  <si>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</si>
  <si>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</si>
  <si>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</si>
  <si>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</si>
  <si>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</si>
  <si>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</si>
  <si>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</si>
  <si>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</si>
  <si>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</si>
  <si>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</si>
  <si>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</si>
  <si>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</si>
  <si>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</si>
  <si>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</si>
  <si>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</si>
  <si>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</si>
  <si>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</si>
  <si>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</si>
  <si>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</si>
  <si>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</si>
  <si>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</si>
  <si>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</si>
  <si>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</si>
  <si>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</si>
  <si>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</si>
  <si>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</si>
  <si>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</si>
  <si>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</si>
  <si>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</si>
  <si>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</si>
  <si>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</si>
  <si>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</si>
  <si>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</si>
  <si>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</si>
  <si>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</si>
  <si>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</si>
  <si>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</si>
  <si>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</si>
  <si>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</si>
  <si>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</si>
  <si>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</si>
  <si>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</si>
  <si>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</si>
  <si>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</si>
  <si>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</si>
  <si>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</si>
  <si>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</si>
  <si>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</si>
  <si>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</si>
  <si>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</si>
  <si>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</si>
  <si>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</si>
  <si>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</si>
  <si>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</si>
  <si>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</si>
  <si>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</si>
  <si>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</si>
  <si>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</si>
  <si>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</si>
  <si>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</si>
  <si>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</si>
  <si>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</si>
  <si>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</si>
  <si>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</si>
  <si>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</si>
  <si>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</si>
  <si>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</si>
  <si>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</si>
  <si>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</si>
  <si>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</si>
  <si>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</si>
  <si>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</si>
  <si>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</si>
  <si>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</si>
  <si>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</si>
  <si>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</si>
  <si>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</si>
  <si>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</si>
  <si>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</si>
  <si>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</si>
  <si>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</si>
  <si>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</si>
  <si>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</si>
  <si>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</si>
  <si>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</si>
  <si>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</si>
  <si>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</si>
  <si>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</si>
  <si>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</si>
  <si>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</si>
  <si>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</si>
  <si>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</si>
  <si>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</si>
  <si>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</si>
  <si>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</si>
  <si>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</si>
  <si>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</si>
  <si>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</si>
  <si>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</si>
  <si>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</si>
  <si>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</si>
  <si>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</si>
  <si>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</si>
  <si>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</si>
  <si>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</si>
  <si>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</si>
  <si>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</si>
  <si>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</si>
  <si>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</si>
  <si>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</si>
  <si>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</si>
  <si>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</si>
  <si>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</si>
  <si>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</si>
  <si>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</si>
  <si>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</si>
  <si>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</si>
  <si>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</si>
  <si>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</si>
  <si>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</si>
  <si>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</si>
  <si>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</si>
  <si>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</si>
  <si>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</si>
  <si>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</si>
  <si>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</si>
  <si>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</si>
  <si>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</si>
  <si>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</si>
  <si>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</si>
  <si>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</si>
  <si>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</si>
  <si>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</si>
  <si>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</si>
  <si>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</si>
  <si>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</si>
  <si>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</si>
  <si>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</si>
  <si>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</si>
  <si>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</si>
  <si>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</si>
  <si>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</si>
  <si>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</si>
  <si>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</si>
  <si>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</si>
  <si>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</si>
  <si>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</si>
  <si>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</si>
  <si>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</si>
  <si>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</si>
  <si>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</si>
  <si>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</si>
  <si>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</si>
  <si>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</si>
  <si>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</si>
  <si>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</si>
  <si>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</si>
  <si>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</si>
  <si>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</si>
  <si>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</si>
  <si>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</si>
  <si>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</si>
  <si>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</si>
  <si>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</si>
  <si>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</si>
  <si>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</si>
  <si>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</si>
  <si>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</si>
  <si>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</si>
  <si>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</si>
  <si>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</si>
  <si>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</si>
  <si>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</si>
  <si>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</si>
  <si>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</si>
  <si>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</si>
  <si>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</si>
  <si>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</si>
  <si>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</si>
  <si>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</si>
  <si>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</si>
  <si>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</si>
  <si>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</si>
  <si>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</si>
  <si>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</si>
  <si>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</si>
  <si>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</si>
  <si>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</si>
  <si>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</si>
  <si>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</si>
  <si>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</si>
  <si>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</si>
  <si>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</si>
  <si>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</si>
  <si>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</si>
  <si>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</si>
  <si>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</si>
  <si>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</si>
  <si>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</si>
  <si>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</si>
  <si>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</si>
  <si>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</si>
  <si>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</si>
  <si>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</si>
  <si>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</si>
  <si>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</si>
  <si>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</si>
  <si>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</si>
  <si>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</si>
  <si>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</si>
  <si>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</si>
  <si>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</si>
  <si>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</si>
  <si>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</si>
  <si>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</si>
  <si>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</si>
  <si>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</si>
  <si>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</si>
  <si>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</si>
  <si>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</si>
  <si>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</si>
  <si>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</si>
  <si>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</si>
  <si>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</si>
  <si>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</si>
  <si>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</si>
  <si>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</si>
  <si>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</si>
  <si>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</si>
  <si>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</si>
  <si>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</si>
  <si>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</si>
  <si>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</si>
  <si>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</si>
  <si>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</si>
  <si>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</si>
  <si>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</si>
  <si>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</si>
  <si>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</si>
  <si>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</si>
  <si>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</si>
  <si>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</si>
  <si>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</si>
  <si>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</si>
  <si>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</si>
  <si>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</si>
  <si>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</si>
  <si>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</si>
  <si>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</si>
  <si>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</si>
  <si>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</si>
  <si>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</si>
  <si>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</si>
  <si>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</si>
  <si>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</si>
  <si>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</si>
  <si>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</si>
  <si>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</si>
  <si>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</si>
  <si>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</si>
  <si>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</si>
  <si>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</si>
  <si>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</si>
  <si>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</si>
  <si>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</si>
  <si>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</si>
  <si>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</si>
  <si>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</si>
  <si>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</si>
  <si>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</si>
  <si>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</si>
  <si>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</si>
  <si>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</si>
  <si>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</si>
  <si>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</si>
  <si>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</si>
  <si>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</si>
  <si>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</si>
  <si>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</si>
  <si>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</si>
  <si>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</si>
  <si>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</si>
  <si>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</si>
  <si>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</si>
  <si>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</si>
  <si>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</si>
  <si>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</si>
  <si>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</si>
  <si>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</si>
  <si>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</si>
  <si>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</si>
  <si>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</si>
  <si>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</si>
  <si>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</si>
  <si>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</si>
  <si>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</si>
  <si>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</si>
  <si>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</si>
  <si>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</si>
  <si>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</si>
  <si>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</si>
  <si>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</si>
  <si>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</si>
  <si>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</si>
  <si>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</si>
  <si>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</si>
  <si>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</si>
  <si>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</si>
  <si>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</si>
  <si>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</si>
  <si>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</si>
  <si>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</si>
  <si>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</si>
  <si>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</si>
  <si>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</si>
  <si>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</si>
  <si>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</si>
  <si>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</si>
  <si>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</si>
  <si>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</si>
  <si>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</si>
  <si>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</si>
  <si>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</si>
  <si>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</si>
  <si>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</si>
  <si>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</si>
  <si>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</si>
  <si>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</si>
  <si>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</si>
  <si>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</si>
  <si>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</si>
  <si>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</si>
  <si>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</si>
  <si>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</si>
  <si>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</si>
  <si>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</si>
  <si>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</si>
  <si>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</si>
  <si>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</si>
  <si>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</si>
  <si>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</si>
  <si>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</si>
  <si>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</si>
  <si>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</si>
  <si>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</si>
  <si>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</si>
  <si>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</si>
  <si>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</si>
  <si>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</si>
  <si>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</si>
  <si>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</si>
  <si>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</si>
  <si>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</si>
  <si>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</si>
  <si>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</si>
  <si>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</si>
  <si>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</si>
  <si>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</si>
  <si>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</si>
  <si>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</si>
  <si>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</si>
  <si>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</si>
  <si>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</si>
  <si>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</si>
  <si>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</si>
  <si>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</si>
  <si>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</si>
  <si>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</si>
  <si>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</si>
  <si>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</si>
  <si>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</si>
  <si>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</si>
  <si>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</si>
  <si>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</si>
  <si>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</si>
  <si>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</si>
  <si>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</si>
  <si>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</si>
  <si>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</si>
  <si>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</si>
  <si>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</si>
  <si>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</si>
  <si>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</si>
  <si>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</si>
  <si>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</si>
  <si>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</si>
  <si>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</si>
  <si>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</si>
  <si>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</si>
  <si>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</si>
  <si>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</si>
  <si>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</si>
  <si>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</si>
  <si>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</si>
  <si>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</si>
  <si>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</si>
  <si>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</si>
  <si>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</si>
  <si>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</si>
  <si>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</si>
  <si>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</si>
  <si>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</si>
  <si>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</si>
  <si>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</si>
  <si>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</si>
  <si>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</si>
  <si>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</si>
  <si>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</si>
  <si>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</si>
  <si>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</si>
  <si>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</si>
  <si>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</si>
  <si>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</si>
  <si>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</si>
  <si>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</si>
  <si>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</si>
  <si>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</si>
  <si>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</si>
  <si>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</si>
  <si>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</si>
  <si>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</si>
  <si>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</si>
  <si>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</si>
  <si>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</si>
  <si>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</si>
  <si>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</si>
  <si>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</si>
  <si>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</si>
  <si>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</si>
  <si>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</si>
  <si>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</si>
  <si>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</si>
  <si>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</si>
  <si>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</si>
  <si>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</si>
  <si>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</si>
  <si>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</si>
  <si>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</si>
  <si>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</si>
  <si>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</si>
  <si>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</si>
  <si>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</si>
  <si>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</si>
  <si>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</si>
  <si>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</si>
  <si>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</si>
  <si>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</si>
  <si>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</si>
  <si>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</si>
  <si>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</si>
  <si>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</si>
  <si>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</si>
  <si>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</si>
  <si>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</si>
  <si>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</si>
  <si>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</si>
  <si>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</si>
  <si>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</si>
  <si>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</si>
  <si>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</si>
  <si>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</si>
  <si>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</si>
  <si>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</si>
  <si>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</si>
  <si>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</si>
  <si>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</si>
  <si>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</si>
  <si>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</si>
  <si>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</si>
  <si>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</si>
  <si>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</si>
  <si>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</si>
  <si>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</si>
  <si>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</si>
  <si>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</si>
  <si>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</si>
  <si>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</si>
  <si>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</si>
  <si>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</si>
  <si>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</si>
  <si>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</si>
  <si>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</si>
  <si>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</si>
  <si>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</si>
  <si>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</si>
  <si>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</si>
  <si>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</si>
  <si>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</si>
  <si>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</si>
  <si>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</si>
  <si>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</si>
  <si>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</si>
  <si>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</si>
  <si>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</si>
  <si>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</si>
  <si>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</si>
  <si>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</si>
  <si>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</si>
  <si>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</si>
  <si>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</si>
  <si>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</si>
  <si>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</si>
  <si>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</si>
  <si>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</si>
  <si>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</si>
  <si>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</si>
  <si>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</si>
  <si>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</si>
  <si>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</si>
  <si>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</si>
  <si>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</si>
  <si>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</si>
  <si>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</si>
  <si>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</si>
  <si>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</si>
  <si>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</si>
  <si>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</si>
  <si>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</si>
  <si>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</si>
  <si>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</si>
  <si>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</si>
  <si>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</si>
  <si>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</si>
  <si>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</si>
  <si>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</si>
  <si>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</si>
  <si>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</si>
  <si>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</si>
  <si>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</si>
  <si>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</si>
  <si>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</si>
  <si>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</si>
  <si>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</si>
  <si>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</si>
  <si>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</si>
  <si>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</si>
  <si>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</si>
  <si>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</si>
  <si>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</si>
  <si>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</si>
  <si>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</si>
  <si>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</si>
  <si>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</si>
  <si>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</si>
  <si>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</si>
  <si>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</si>
  <si>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</si>
  <si>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</si>
  <si>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</si>
  <si>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</si>
  <si>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</si>
  <si>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</si>
  <si>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</si>
  <si>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</si>
  <si>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</si>
  <si>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</si>
  <si>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</si>
  <si>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</si>
  <si>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</si>
  <si>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</si>
  <si>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</si>
  <si>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</si>
  <si>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</si>
  <si>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</si>
  <si>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</si>
  <si>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</si>
  <si>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</si>
  <si>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</si>
  <si>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</si>
  <si>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</si>
  <si>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</si>
  <si>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</si>
  <si>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</si>
  <si>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</si>
  <si>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</si>
  <si>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</si>
  <si>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</si>
  <si>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</si>
  <si>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</si>
  <si>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</si>
  <si>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</si>
  <si>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</si>
  <si>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</si>
  <si>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</si>
  <si>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</si>
  <si>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</si>
  <si>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</si>
  <si>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</si>
  <si>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</si>
  <si>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</si>
  <si>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</si>
  <si>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</si>
  <si>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</si>
  <si>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</si>
  <si>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</si>
  <si>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</si>
  <si>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</si>
  <si>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</si>
  <si>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</si>
  <si>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</si>
  <si>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</si>
  <si>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</si>
  <si>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</si>
  <si>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</si>
  <si>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</si>
  <si>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</si>
  <si>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</si>
  <si>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</si>
  <si>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</si>
  <si>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</si>
  <si>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</si>
  <si>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</si>
  <si>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</si>
  <si>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</si>
  <si>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</si>
  <si>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</si>
  <si>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</si>
  <si>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</si>
  <si>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</si>
  <si>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</si>
  <si>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</si>
  <si>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</si>
  <si>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</si>
  <si>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</si>
  <si>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</si>
  <si>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</si>
  <si>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</si>
  <si>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</si>
  <si>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</si>
  <si>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</si>
  <si>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</si>
  <si>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</si>
  <si>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</si>
  <si>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</si>
  <si>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</si>
  <si>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</si>
  <si>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</si>
  <si>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</si>
  <si>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</si>
  <si>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</si>
  <si>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</si>
  <si>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</si>
  <si>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</si>
  <si>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</si>
  <si>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</si>
  <si>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</si>
  <si>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</si>
  <si>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</si>
  <si>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</si>
  <si>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</si>
  <si>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</si>
  <si>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</si>
  <si>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</si>
  <si>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</si>
  <si>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</si>
  <si>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</si>
  <si>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</si>
  <si>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</si>
  <si>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</si>
  <si>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</si>
  <si>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</si>
  <si>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</si>
  <si>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</si>
  <si>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</si>
  <si>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</si>
  <si>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</si>
  <si>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</si>
  <si>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</si>
  <si>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</si>
  <si>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</si>
  <si>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</si>
  <si>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</si>
  <si>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</si>
  <si>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</si>
  <si>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</si>
  <si>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</si>
  <si>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</si>
  <si>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</si>
  <si>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</si>
  <si>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</si>
  <si>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</si>
  <si>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</si>
  <si>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</si>
  <si>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</si>
  <si>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</si>
  <si>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</si>
  <si>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</si>
  <si>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</si>
  <si>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</si>
  <si>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</si>
  <si>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</si>
  <si>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</si>
  <si>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</si>
  <si>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</si>
  <si>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</si>
  <si>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</si>
  <si>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</si>
  <si>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</si>
  <si>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</si>
  <si>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EM BLOCO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</si>
  <si>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</si>
  <si>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</si>
  <si>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</si>
  <si>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</si>
  <si>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</si>
  <si>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</si>
  <si>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</si>
  <si>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</si>
  <si>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</si>
  <si>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</si>
  <si>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</si>
  <si>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</si>
  <si>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</si>
  <si>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</si>
  <si>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</si>
  <si>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</si>
  <si>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</si>
  <si>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</si>
  <si>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</si>
  <si>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</si>
  <si>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</si>
  <si>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</si>
  <si>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</si>
  <si>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</si>
  <si>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</si>
  <si>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</si>
  <si>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</si>
  <si>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</si>
  <si>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</si>
  <si>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</si>
  <si>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</si>
  <si>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</si>
  <si>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</si>
  <si>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</si>
  <si>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</si>
  <si>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</si>
  <si>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</si>
  <si>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</si>
  <si>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</si>
  <si>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</si>
  <si>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</si>
  <si>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</si>
  <si>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</si>
  <si>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</si>
  <si>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</si>
  <si>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</si>
  <si>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</si>
  <si>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</si>
  <si>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</si>
  <si>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</si>
  <si>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</si>
  <si>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</si>
  <si>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</si>
  <si>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</si>
  <si>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</si>
  <si>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</si>
  <si>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</si>
  <si>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</si>
  <si>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</si>
  <si>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</si>
  <si>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</si>
  <si>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</si>
  <si>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</si>
  <si>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</si>
  <si>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</si>
  <si>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</si>
  <si>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</si>
  <si>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</si>
  <si>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</si>
  <si>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</si>
  <si>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</si>
  <si>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</si>
  <si>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</si>
  <si>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</si>
  <si>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</si>
  <si>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</si>
  <si>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</si>
  <si>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</si>
  <si>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</si>
  <si>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</si>
  <si>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</si>
  <si>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</si>
  <si>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</si>
  <si>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</si>
  <si>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</si>
  <si>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</si>
  <si>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</si>
  <si>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</si>
  <si>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</si>
  <si>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</si>
  <si>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</si>
  <si>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</si>
  <si>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</si>
  <si>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</si>
  <si>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</si>
  <si>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</si>
  <si>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</si>
  <si>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</si>
  <si>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</si>
  <si>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ELABORAÇÃO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</si>
  <si>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</si>
  <si>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</si>
  <si>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</si>
  <si>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</si>
  <si>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</si>
  <si>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</si>
  <si>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</si>
  <si>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</si>
  <si>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</si>
  <si>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</si>
  <si>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</si>
  <si>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</si>
  <si>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</si>
  <si>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</si>
  <si>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</si>
  <si>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</si>
  <si>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</si>
  <si>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</si>
  <si>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</si>
  <si>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</si>
  <si>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</si>
  <si>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</si>
  <si>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</si>
  <si>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</si>
  <si>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</si>
  <si>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</si>
  <si>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</si>
  <si>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</si>
  <si>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</si>
  <si>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</si>
  <si>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</si>
  <si>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</si>
  <si>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</si>
  <si>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</si>
  <si>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</si>
  <si>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</si>
  <si>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</si>
  <si>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</si>
  <si>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</si>
  <si>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</si>
  <si>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</si>
  <si>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</si>
  <si>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</si>
  <si>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</si>
  <si>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</si>
  <si>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</si>
  <si>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</si>
  <si>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</si>
  <si>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</si>
  <si>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</si>
  <si>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</si>
  <si>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</si>
  <si>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</si>
  <si>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</si>
  <si>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</si>
  <si>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</si>
  <si>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</si>
  <si>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</si>
  <si>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</si>
  <si>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</si>
  <si>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</si>
  <si>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</si>
  <si>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</si>
  <si>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</si>
  <si>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</si>
  <si>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</si>
  <si>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</si>
  <si>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</si>
  <si>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</si>
  <si>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</si>
  <si>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</si>
  <si>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</si>
  <si>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</si>
  <si>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</si>
  <si>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</si>
  <si>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</si>
  <si>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</si>
  <si>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</si>
  <si>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</si>
  <si>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</si>
  <si>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</si>
  <si>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</si>
  <si>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</si>
  <si>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</si>
  <si>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</si>
  <si>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</si>
  <si>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</si>
  <si>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</si>
  <si>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</si>
  <si>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</si>
  <si>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</si>
  <si>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</si>
  <si>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</si>
  <si>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</si>
  <si>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</si>
  <si>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</si>
  <si>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</si>
  <si>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</si>
  <si>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</si>
  <si>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</si>
  <si>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</si>
  <si>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</si>
  <si>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</si>
  <si>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</si>
  <si>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</si>
  <si>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</si>
  <si>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</si>
  <si>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</si>
  <si>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</si>
  <si>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</si>
  <si>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</si>
  <si>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</si>
  <si>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</si>
  <si>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</si>
  <si>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</si>
  <si>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</si>
  <si>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</si>
  <si>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</si>
  <si>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</si>
  <si>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</si>
  <si>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</si>
  <si>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</si>
  <si>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</si>
  <si>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</si>
  <si>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</si>
  <si>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</si>
  <si>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</si>
  <si>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</si>
  <si>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</si>
  <si>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</si>
  <si>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</si>
  <si>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</si>
  <si>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</si>
  <si>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</si>
  <si>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</si>
  <si>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</si>
  <si>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</si>
  <si>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</si>
  <si>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</si>
  <si>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</si>
  <si>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</si>
  <si>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</si>
  <si>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</si>
  <si>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</si>
  <si>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</si>
  <si>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</si>
  <si>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</si>
  <si>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</si>
  <si>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</si>
  <si>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</si>
  <si>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</si>
  <si>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</si>
  <si>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</si>
  <si>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</si>
  <si>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</si>
  <si>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</si>
  <si>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</si>
  <si>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</si>
  <si>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</si>
  <si>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</si>
  <si>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</si>
  <si>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</si>
  <si>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</si>
  <si>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</si>
  <si>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</si>
  <si>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</si>
  <si>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</si>
  <si>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</si>
  <si>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</si>
  <si>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</si>
  <si>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</si>
  <si>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</si>
  <si>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</si>
  <si>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</si>
  <si>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</si>
  <si>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</si>
  <si>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</si>
  <si>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</si>
  <si>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</si>
  <si>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</si>
  <si>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</si>
  <si>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</si>
  <si>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</si>
  <si>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</si>
  <si>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</si>
  <si>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</si>
  <si>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</si>
  <si>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</si>
  <si>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</si>
  <si>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</si>
  <si>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</si>
  <si>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</si>
  <si>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</si>
  <si>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</si>
  <si>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</si>
  <si>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</si>
  <si>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</si>
  <si>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</si>
  <si>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</si>
  <si>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</si>
  <si>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</si>
  <si>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</si>
  <si>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</si>
  <si>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</si>
  <si>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</si>
  <si>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</si>
  <si>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</si>
  <si>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</si>
  <si>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</si>
  <si>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</si>
  <si>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</si>
  <si>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</si>
  <si>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</si>
  <si>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</si>
  <si>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</si>
  <si>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</si>
  <si>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</si>
  <si>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</si>
  <si>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</si>
  <si>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</si>
  <si>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</si>
  <si>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</si>
  <si>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</si>
  <si>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</si>
  <si>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</si>
  <si>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</si>
  <si>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</si>
  <si>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</si>
  <si>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</si>
  <si>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</si>
  <si>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</si>
  <si>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</si>
  <si>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</si>
  <si>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</si>
  <si>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</si>
  <si>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</si>
  <si>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</si>
  <si>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</si>
  <si>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</si>
  <si>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</si>
  <si>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</si>
  <si>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</si>
  <si>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</si>
  <si>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</si>
  <si>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</si>
  <si>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</si>
  <si>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</si>
  <si>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</si>
  <si>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</si>
  <si>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</si>
  <si>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</si>
  <si>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</si>
  <si>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</si>
  <si>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</si>
  <si>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</si>
  <si>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</si>
  <si>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</si>
  <si>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</si>
  <si>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</si>
  <si>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</si>
  <si>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</si>
  <si>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</si>
  <si>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</si>
  <si>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</si>
  <si>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</si>
  <si>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</si>
  <si>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</si>
  <si>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</si>
  <si>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</si>
  <si>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</si>
  <si>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</si>
  <si>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</si>
  <si>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</si>
  <si>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</si>
  <si>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</si>
  <si>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</si>
  <si>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</si>
  <si>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</si>
  <si>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</si>
  <si>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</si>
  <si>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</si>
  <si>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</si>
  <si>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</si>
  <si>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</si>
  <si>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</si>
  <si>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</si>
  <si>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</si>
  <si>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</si>
  <si>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</si>
  <si>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</si>
  <si>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</si>
  <si>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</si>
  <si>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</si>
  <si>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</si>
  <si>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</si>
  <si>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</si>
  <si>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</si>
  <si>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</si>
  <si>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</si>
  <si>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</si>
  <si>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</si>
  <si>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</si>
  <si>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</si>
  <si>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</si>
  <si>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</si>
  <si>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</si>
  <si>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</si>
  <si>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</si>
  <si>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</si>
  <si>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</si>
  <si>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</si>
  <si>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</si>
  <si>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</si>
  <si>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</si>
  <si>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</si>
  <si>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</si>
  <si>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</si>
  <si>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</si>
  <si>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</si>
  <si>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</si>
  <si>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</si>
  <si>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</si>
  <si>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</si>
  <si>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</si>
  <si>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</si>
  <si>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</si>
  <si>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</si>
  <si>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</si>
  <si>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</si>
  <si>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</si>
  <si>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</si>
  <si>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</si>
  <si>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</si>
  <si>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</si>
  <si>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</si>
  <si>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</si>
  <si>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</si>
  <si>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</si>
  <si>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</si>
  <si>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</si>
  <si>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</si>
  <si>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</si>
  <si>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</si>
  <si>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</si>
  <si>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</si>
  <si>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</si>
  <si>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</si>
  <si>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</si>
  <si>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</si>
  <si>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</si>
  <si>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</si>
  <si>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</si>
  <si>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</si>
  <si>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</si>
  <si>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</si>
  <si>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</si>
  <si>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</si>
  <si>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</si>
  <si>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</si>
  <si>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</si>
  <si>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</si>
  <si>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</si>
  <si>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</si>
  <si>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</si>
  <si>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</si>
  <si>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</si>
  <si>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</si>
  <si>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</si>
  <si>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</si>
  <si>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</si>
  <si>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</si>
  <si>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</si>
  <si>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</si>
  <si>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</si>
  <si>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</si>
  <si>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</si>
  <si>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</si>
  <si>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</si>
  <si>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</si>
  <si>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</si>
  <si>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</si>
  <si>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</si>
  <si>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</si>
  <si>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</si>
  <si>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</si>
  <si>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</si>
  <si>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</si>
  <si>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</si>
  <si>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</si>
  <si>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</si>
  <si>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</si>
  <si>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</si>
  <si>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</si>
  <si>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</si>
  <si>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</si>
  <si>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</si>
  <si>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</si>
  <si>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</si>
  <si>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</si>
  <si>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</si>
  <si>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</si>
  <si>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</si>
  <si>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</si>
  <si>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</si>
  <si>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</si>
  <si>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</si>
  <si>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</si>
  <si>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</si>
  <si>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</si>
  <si>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</si>
  <si>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</si>
  <si>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</si>
  <si>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</si>
  <si>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</si>
  <si>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</si>
  <si>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</si>
  <si>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</si>
  <si>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</si>
  <si>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</si>
  <si>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</si>
  <si>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</si>
  <si>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</si>
  <si>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</si>
  <si>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</si>
  <si>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</si>
  <si>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</si>
  <si>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</si>
  <si>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</si>
  <si>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</si>
  <si>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</si>
  <si>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</si>
  <si>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</si>
  <si>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</si>
  <si>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</si>
  <si>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</si>
  <si>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</si>
  <si>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</si>
  <si>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</si>
  <si>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</si>
  <si>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</si>
  <si>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</si>
  <si>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</si>
  <si>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</si>
  <si>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</si>
  <si>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</si>
  <si>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</si>
  <si>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</si>
  <si>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</si>
  <si>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</si>
  <si>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</si>
  <si>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</si>
  <si>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</si>
  <si>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</si>
  <si>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</si>
  <si>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</si>
  <si>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</si>
  <si>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</si>
  <si>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</si>
  <si>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</si>
  <si>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</si>
  <si>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</si>
  <si>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</si>
  <si>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</si>
  <si>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</si>
  <si>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</si>
  <si>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</si>
  <si>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</si>
  <si>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</si>
  <si>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</si>
  <si>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</si>
  <si>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</si>
  <si>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</si>
  <si>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</si>
  <si>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</si>
  <si>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</si>
  <si>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</si>
  <si>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</si>
  <si>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</si>
  <si>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</si>
  <si>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</si>
  <si>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</si>
  <si>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</si>
  <si>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</si>
  <si>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</si>
  <si>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</si>
  <si>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</si>
  <si>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</si>
  <si>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</si>
  <si>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</si>
  <si>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</si>
  <si>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</si>
  <si>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</si>
  <si>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</si>
  <si>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</si>
  <si>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</si>
  <si>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</si>
  <si>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</si>
  <si>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</si>
  <si>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</si>
  <si>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</si>
  <si>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</si>
  <si>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</si>
  <si>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</si>
  <si>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</si>
  <si>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</si>
  <si>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</si>
  <si>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</si>
  <si>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</si>
  <si>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</si>
  <si>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</si>
  <si>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</si>
  <si>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</si>
  <si>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</si>
  <si>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</si>
  <si>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</si>
  <si>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</si>
  <si>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</si>
  <si>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</si>
  <si>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</si>
  <si>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</si>
  <si>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</si>
  <si>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</si>
  <si>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</si>
  <si>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</si>
  <si>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</si>
  <si>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</si>
  <si>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</si>
  <si>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</si>
  <si>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</si>
  <si>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</si>
  <si>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</si>
  <si>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</si>
  <si>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</si>
  <si>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</si>
  <si>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</si>
  <si>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</si>
  <si>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</si>
  <si>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</si>
  <si>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</si>
  <si>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</si>
  <si>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</si>
  <si>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</si>
  <si>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</si>
  <si>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</si>
  <si>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</si>
  <si>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</si>
  <si>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</si>
  <si>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</si>
  <si>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</si>
  <si>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</si>
  <si>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</si>
  <si>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</si>
  <si>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</si>
  <si>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</si>
  <si>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</si>
  <si>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</si>
  <si>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</si>
  <si>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</si>
  <si>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</si>
  <si>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</si>
  <si>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</si>
  <si>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</si>
  <si>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</si>
  <si>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</si>
  <si>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</si>
  <si>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</si>
  <si>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</si>
  <si>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</si>
  <si>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</si>
  <si>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</si>
  <si>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</si>
  <si>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</si>
  <si>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</si>
  <si>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</si>
  <si>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</si>
  <si>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</si>
  <si>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</si>
  <si>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</si>
  <si>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</si>
  <si>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</si>
  <si>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</si>
  <si>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</si>
  <si>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</si>
  <si>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</si>
  <si>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</si>
  <si>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</si>
  <si>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</si>
  <si>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</si>
  <si>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</si>
  <si>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</si>
  <si>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</si>
  <si>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</si>
  <si>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</si>
  <si>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</si>
  <si>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</si>
  <si>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</si>
  <si>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</si>
  <si>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</si>
  <si>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</si>
  <si>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</si>
  <si>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</si>
  <si>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</si>
  <si>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</si>
  <si>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</si>
  <si>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</si>
  <si>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</si>
  <si>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</si>
  <si>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</si>
  <si>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</si>
  <si>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</si>
  <si>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</si>
  <si>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</si>
  <si>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</si>
  <si>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</si>
  <si>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</si>
  <si>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</si>
  <si>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</si>
  <si>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</si>
  <si>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</si>
  <si>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</si>
  <si>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</si>
  <si>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</si>
  <si>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</si>
  <si>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</si>
  <si>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</si>
  <si>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</si>
  <si>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</si>
  <si>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</si>
  <si>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</si>
  <si>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</si>
  <si>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</si>
  <si>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</si>
  <si>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</si>
  <si>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</si>
  <si>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</si>
  <si>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</si>
  <si>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</si>
  <si>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</si>
  <si>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</si>
  <si>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</si>
  <si>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</si>
  <si>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</si>
  <si>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</si>
  <si>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</si>
  <si>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</si>
  <si>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</si>
  <si>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</si>
  <si>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</si>
  <si>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</si>
  <si>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</si>
  <si>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</si>
  <si>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</si>
  <si>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</si>
  <si>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</si>
  <si>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</si>
  <si>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</si>
  <si>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</si>
  <si>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</si>
  <si>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</si>
  <si>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</si>
  <si>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</si>
  <si>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</si>
  <si>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</si>
  <si>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</si>
  <si>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</si>
  <si>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</si>
  <si>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</si>
  <si>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</si>
  <si>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</si>
  <si>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</si>
  <si>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</si>
  <si>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</si>
  <si>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</si>
  <si>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</si>
  <si>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</si>
  <si>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</si>
  <si>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</si>
  <si>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</si>
  <si>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</si>
  <si>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</si>
  <si>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</si>
  <si>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</si>
  <si>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</si>
  <si>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</si>
  <si>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</si>
  <si>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</si>
  <si>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</si>
  <si>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</si>
  <si>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</si>
  <si>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</si>
  <si>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</si>
  <si>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</si>
  <si>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</si>
  <si>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</si>
  <si>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</si>
  <si>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</si>
  <si>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</si>
  <si>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</si>
  <si>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</si>
  <si>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</si>
  <si>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</si>
  <si>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</si>
  <si>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</si>
  <si>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</si>
  <si>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</si>
  <si>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</si>
  <si>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</si>
  <si>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</si>
  <si>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</si>
  <si>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</si>
  <si>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</si>
  <si>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</si>
  <si>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</si>
  <si>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</si>
  <si>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</si>
  <si>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</si>
  <si>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</si>
  <si>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</si>
  <si>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</si>
  <si>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</si>
  <si>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</si>
  <si>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</si>
  <si>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</si>
  <si>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</si>
  <si>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</si>
  <si>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</si>
  <si>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</si>
  <si>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</si>
  <si>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</si>
  <si>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</si>
  <si>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</si>
  <si>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</si>
  <si>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</si>
  <si>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</si>
  <si>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</si>
  <si>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</si>
  <si>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</si>
  <si>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</si>
  <si>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</si>
  <si>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</si>
  <si>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</si>
  <si>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</si>
  <si>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</si>
  <si>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</si>
  <si>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</si>
  <si>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</si>
  <si>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</si>
  <si>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</si>
  <si>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</si>
  <si>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</si>
  <si>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</si>
  <si>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</si>
  <si>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</si>
  <si>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</si>
  <si>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</si>
  <si>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</si>
  <si>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</si>
  <si>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</si>
  <si>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</si>
  <si>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</si>
  <si>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</si>
  <si>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</si>
  <si>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</si>
  <si>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</si>
  <si>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</si>
  <si>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</si>
  <si>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</si>
  <si>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</si>
  <si>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</si>
  <si>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</si>
  <si>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</si>
  <si>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</si>
  <si>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</si>
  <si>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</si>
  <si>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</si>
  <si>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</si>
  <si>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</si>
  <si>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</si>
  <si>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</si>
  <si>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</si>
  <si>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</si>
  <si>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</si>
  <si>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</si>
  <si>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</si>
  <si>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</si>
  <si>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</si>
  <si>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</si>
  <si>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</si>
  <si>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</si>
  <si>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</si>
  <si>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</si>
  <si>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</si>
  <si>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</si>
  <si>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</si>
  <si>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</si>
  <si>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</si>
  <si>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</si>
  <si>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</si>
  <si>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</si>
  <si>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</si>
  <si>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</si>
  <si>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</si>
  <si>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</si>
  <si>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</si>
  <si>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</si>
  <si>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</si>
  <si>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</si>
  <si>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</si>
  <si>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</si>
  <si>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</si>
  <si>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</si>
  <si>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</si>
  <si>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</si>
  <si>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</si>
  <si>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</si>
  <si>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</si>
  <si>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</si>
  <si>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</si>
  <si>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</si>
  <si>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</si>
  <si>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</si>
  <si>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</si>
  <si>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</si>
  <si>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</si>
  <si>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</si>
  <si>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</si>
  <si>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</si>
  <si>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</si>
  <si>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</si>
  <si>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</si>
  <si>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</si>
  <si>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</si>
  <si>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</si>
  <si>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</si>
  <si>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</si>
  <si>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</si>
  <si>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</si>
  <si>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</si>
  <si>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</si>
  <si>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</si>
  <si>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</si>
  <si>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</si>
  <si>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</si>
  <si>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</si>
  <si>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</si>
  <si>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</si>
  <si>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</si>
  <si>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</si>
  <si>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</si>
  <si>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</si>
  <si>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</si>
  <si>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</si>
  <si>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</si>
  <si>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</si>
  <si>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</si>
  <si>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</si>
  <si>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</si>
  <si>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</si>
  <si>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</si>
  <si>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</si>
  <si>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</si>
  <si>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</si>
  <si>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</si>
  <si>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</si>
  <si>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</si>
  <si>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</si>
  <si>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</si>
  <si>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</si>
  <si>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</si>
  <si>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</si>
  <si>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</si>
  <si>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</si>
  <si>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</si>
  <si>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</si>
  <si>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</si>
  <si>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</si>
  <si>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</si>
  <si>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</si>
  <si>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</si>
  <si>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</si>
  <si>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</si>
  <si>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</si>
  <si>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</si>
  <si>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</si>
  <si>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</si>
  <si>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</si>
  <si>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</si>
  <si>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</si>
  <si>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</si>
  <si>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</si>
  <si>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</si>
  <si>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</si>
  <si>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</si>
  <si>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</si>
  <si>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</si>
  <si>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</si>
  <si>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</si>
  <si>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</si>
  <si>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</si>
  <si>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</si>
  <si>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</si>
  <si>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</si>
  <si>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</si>
  <si>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</si>
  <si>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</si>
  <si>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</si>
  <si>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</si>
  <si>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</si>
  <si>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</si>
  <si>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</si>
  <si>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</si>
  <si>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</si>
  <si>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</si>
  <si>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</si>
  <si>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</si>
  <si>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</si>
  <si>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</si>
  <si>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</si>
  <si>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</si>
  <si>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</si>
  <si>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</si>
  <si>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</si>
  <si>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</si>
  <si>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</si>
  <si>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</si>
  <si>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</si>
  <si>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</si>
  <si>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</si>
  <si>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</si>
  <si>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</si>
  <si>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</si>
  <si>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</si>
  <si>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</si>
  <si>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</si>
  <si>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</si>
  <si>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</si>
  <si>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</si>
  <si>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</si>
  <si>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</si>
  <si>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</si>
  <si>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</si>
  <si>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</si>
  <si>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</si>
  <si>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</si>
  <si>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</si>
  <si>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</si>
  <si>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</si>
  <si>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</si>
  <si>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</si>
  <si>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</si>
  <si>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</si>
  <si>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</si>
  <si>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</si>
  <si>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</si>
  <si>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</si>
  <si>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</si>
  <si>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</si>
  <si>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</si>
  <si>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</si>
  <si>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</si>
  <si>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</si>
  <si>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</si>
  <si>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</si>
  <si>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</si>
  <si>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</si>
  <si>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</si>
  <si>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</si>
  <si>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</si>
  <si>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</si>
  <si>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</si>
  <si>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</si>
  <si>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</si>
  <si>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</si>
  <si>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</si>
  <si>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</si>
  <si>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</si>
  <si>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</si>
  <si>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</si>
  <si>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</si>
  <si>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</si>
  <si>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</si>
  <si>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</si>
  <si>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</si>
  <si>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</si>
  <si>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</si>
  <si>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</si>
  <si>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</si>
  <si>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</si>
  <si>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</si>
  <si>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</si>
  <si>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</si>
  <si>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</si>
  <si>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</si>
  <si>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</si>
  <si>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</si>
  <si>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</si>
  <si>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</si>
  <si>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</si>
  <si>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</si>
  <si>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</si>
  <si>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</si>
  <si>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</si>
  <si>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</si>
  <si>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</si>
  <si>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</si>
  <si>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</si>
  <si>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</si>
  <si>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</si>
  <si>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</si>
  <si>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</si>
  <si>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</si>
  <si>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</si>
  <si>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</si>
  <si>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</si>
  <si>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</si>
  <si>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</si>
  <si>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</si>
  <si>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</si>
  <si>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</si>
  <si>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</si>
  <si>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</si>
  <si>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</si>
  <si>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</si>
  <si>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</si>
  <si>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</si>
  <si>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</si>
  <si>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</si>
  <si>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</si>
  <si>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</si>
  <si>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</si>
  <si>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</si>
  <si>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</si>
  <si>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</si>
  <si>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</si>
  <si>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</si>
  <si>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</si>
  <si>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</si>
  <si>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</si>
  <si>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</si>
  <si>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</si>
  <si>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</si>
  <si>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</si>
  <si>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</si>
  <si>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</si>
  <si>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</si>
  <si>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</si>
  <si>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</si>
  <si>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</si>
  <si>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</si>
  <si>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</si>
  <si>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</si>
  <si>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</si>
  <si>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</si>
  <si>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</si>
  <si>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</si>
  <si>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</si>
  <si>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</si>
  <si>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</si>
  <si>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</si>
  <si>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</si>
  <si>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</si>
  <si>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</si>
  <si>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</si>
  <si>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</si>
  <si>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</si>
  <si>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</si>
  <si>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</si>
  <si>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</si>
  <si>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</si>
  <si>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</si>
  <si>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</si>
  <si>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</si>
  <si>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</si>
  <si>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</si>
  <si>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</si>
  <si>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</si>
  <si>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</si>
  <si>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</si>
  <si>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</si>
  <si>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</si>
  <si>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</si>
  <si>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</si>
  <si>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</si>
  <si>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</si>
  <si>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</si>
  <si>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</si>
  <si>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</si>
  <si>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</si>
  <si>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</si>
  <si>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</si>
  <si>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</si>
  <si>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</si>
  <si>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</si>
  <si>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</si>
  <si>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</si>
  <si>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</si>
  <si>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</si>
  <si>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</si>
  <si>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</si>
  <si>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</si>
  <si>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</si>
  <si>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</si>
  <si>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</si>
  <si>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</si>
  <si>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</si>
  <si>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</si>
  <si>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</si>
  <si>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</si>
  <si>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</si>
  <si>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</si>
  <si>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</si>
  <si>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</si>
  <si>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</si>
  <si>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</si>
  <si>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</si>
  <si>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</si>
  <si>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</si>
  <si>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</si>
  <si>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</si>
  <si>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</si>
  <si>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</si>
  <si>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</si>
  <si>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</si>
  <si>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</si>
  <si>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</si>
  <si>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</si>
  <si>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</si>
  <si>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</si>
  <si>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</si>
  <si>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</si>
  <si>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</si>
  <si>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</si>
  <si>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</si>
  <si>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</si>
  <si>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</si>
  <si>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</si>
  <si>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</si>
  <si>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</si>
  <si>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</si>
  <si>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</si>
  <si>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</si>
  <si>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</si>
  <si>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</si>
  <si>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</si>
  <si>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</si>
  <si>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</si>
  <si>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</si>
  <si>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</si>
  <si>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</si>
  <si>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</si>
  <si>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</si>
  <si>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</si>
  <si>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</si>
  <si>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</si>
  <si>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</si>
  <si>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</si>
  <si>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</si>
  <si>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</si>
  <si>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</si>
  <si>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</si>
  <si>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</si>
  <si>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</si>
  <si>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</si>
  <si>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</si>
  <si>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</si>
  <si>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</si>
  <si>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</si>
  <si>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</si>
  <si>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</si>
  <si>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</si>
  <si>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</si>
  <si>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</si>
  <si>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</si>
  <si>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</si>
  <si>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</si>
  <si>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</si>
  <si>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</si>
  <si>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</si>
  <si>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</si>
  <si>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</si>
  <si>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</si>
  <si>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</si>
  <si>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</si>
  <si>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</si>
  <si>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</si>
  <si>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</si>
  <si>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</si>
  <si>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</si>
  <si>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</si>
  <si>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</si>
  <si>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</si>
  <si>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</si>
  <si>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</si>
  <si>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</si>
  <si>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</si>
  <si>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</si>
  <si>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</si>
  <si>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</si>
  <si>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</si>
  <si>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</si>
  <si>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</si>
  <si>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</si>
  <si>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</si>
  <si>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</si>
  <si>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</si>
  <si>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</si>
  <si>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</si>
  <si>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</si>
  <si>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</si>
  <si>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</si>
  <si>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</si>
  <si>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</si>
  <si>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</si>
  <si>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</si>
  <si>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</si>
  <si>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</si>
  <si>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</si>
  <si>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</si>
  <si>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</si>
  <si>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</si>
  <si>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</si>
  <si>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</si>
  <si>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</si>
  <si>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</si>
  <si>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</si>
  <si>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</si>
  <si>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</si>
  <si>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</si>
  <si>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</si>
  <si>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</si>
  <si>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</si>
  <si>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</si>
  <si>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</si>
  <si>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</si>
  <si>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</si>
  <si>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</si>
  <si>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</si>
  <si>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</si>
  <si>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</si>
  <si>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</si>
  <si>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</si>
  <si>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</si>
  <si>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</si>
  <si>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</si>
  <si>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</si>
  <si>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</si>
  <si>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</si>
  <si>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</si>
  <si>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</si>
  <si>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</si>
  <si>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</si>
  <si>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</si>
  <si>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</si>
  <si>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</si>
  <si>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</si>
  <si>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</si>
  <si>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</si>
  <si>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</si>
  <si>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</si>
  <si>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</si>
  <si>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</si>
  <si>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</si>
  <si>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</si>
  <si>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</si>
  <si>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</si>
  <si>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</si>
  <si>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</si>
  <si>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</si>
  <si>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</si>
  <si>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</si>
  <si>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</si>
  <si>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</si>
  <si>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</si>
  <si>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</si>
  <si>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</si>
  <si>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</si>
  <si>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</si>
  <si>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</si>
  <si>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</si>
  <si>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</si>
  <si>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</si>
  <si>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</si>
  <si>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</si>
  <si>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</si>
  <si>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</si>
  <si>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</si>
  <si>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</si>
  <si>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</si>
  <si>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</si>
  <si>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</si>
  <si>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</si>
  <si>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</si>
  <si>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</si>
  <si>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</si>
  <si>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</si>
  <si>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</si>
  <si>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</si>
  <si>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</si>
  <si>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</si>
  <si>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</si>
  <si>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</si>
  <si>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</si>
  <si>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</si>
  <si>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</si>
  <si>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</si>
  <si>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</si>
  <si>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</si>
  <si>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</si>
  <si>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</si>
  <si>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</si>
  <si>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</si>
  <si>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</si>
  <si>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</si>
  <si>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</si>
  <si>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</si>
  <si>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</si>
  <si>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</si>
  <si>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</si>
  <si>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</si>
  <si>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</si>
  <si>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</si>
  <si>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</si>
  <si>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</si>
  <si>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</si>
  <si>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</si>
  <si>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</si>
  <si>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</si>
  <si>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</si>
  <si>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</si>
  <si>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</si>
  <si>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</si>
  <si>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</si>
  <si>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</si>
  <si>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</si>
  <si>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</si>
  <si>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</si>
  <si>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</si>
  <si>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</si>
  <si>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</si>
  <si>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</si>
  <si>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</si>
  <si>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</si>
  <si>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</si>
  <si>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</si>
  <si>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</si>
  <si>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</si>
  <si>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</si>
  <si>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</si>
  <si>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</si>
  <si>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</si>
  <si>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</si>
  <si>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</si>
  <si>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</si>
  <si>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</si>
  <si>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</si>
  <si>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</si>
  <si>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</si>
  <si>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</si>
  <si>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</si>
  <si>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</si>
  <si>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</si>
  <si>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</si>
  <si>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</si>
  <si>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</si>
  <si>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</si>
  <si>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</si>
  <si>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</si>
  <si>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</si>
  <si>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</si>
  <si>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</si>
  <si>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</si>
  <si>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</si>
  <si>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</si>
  <si>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</si>
  <si>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</si>
  <si>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</si>
  <si>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</si>
  <si>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</si>
  <si>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</si>
  <si>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</si>
  <si>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</si>
  <si>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</si>
  <si>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</si>
  <si>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</si>
  <si>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</si>
  <si>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</si>
  <si>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</si>
  <si>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</si>
  <si>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</si>
  <si>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</si>
  <si>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</si>
  <si>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</si>
  <si>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</si>
  <si>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</si>
  <si>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</si>
  <si>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</si>
  <si>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</si>
  <si>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</si>
  <si>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</si>
  <si>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</si>
  <si>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</si>
  <si>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</si>
  <si>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</si>
  <si>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</si>
  <si>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</si>
  <si>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</si>
  <si>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</si>
  <si>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</si>
  <si>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</si>
  <si>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</si>
  <si>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</si>
  <si>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</si>
  <si>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</si>
  <si>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</si>
  <si>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</si>
  <si>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</si>
  <si>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</si>
  <si>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</si>
  <si>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</si>
  <si>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</si>
  <si>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</si>
  <si>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</si>
  <si>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</si>
  <si>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</si>
  <si>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</si>
  <si>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</si>
  <si>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</si>
  <si>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</si>
  <si>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</si>
  <si>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</si>
  <si>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</si>
  <si>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</si>
  <si>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</si>
  <si>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</si>
  <si>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</si>
  <si>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</si>
  <si>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</si>
  <si>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</si>
  <si>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</si>
  <si>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</si>
  <si>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</si>
  <si>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</si>
  <si>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</si>
  <si>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</si>
  <si>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</si>
  <si>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</si>
  <si>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</si>
  <si>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</si>
  <si>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</si>
  <si>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</si>
  <si>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</si>
  <si>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</si>
  <si>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</si>
  <si>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</si>
  <si>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</si>
  <si>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</si>
  <si>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</si>
  <si>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</si>
  <si>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</si>
  <si>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</si>
  <si>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</si>
  <si>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</si>
  <si>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</si>
  <si>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</si>
  <si>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</si>
  <si>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</si>
  <si>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</si>
  <si>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</si>
  <si>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</si>
  <si>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</si>
  <si>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</si>
  <si>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</si>
  <si>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</si>
  <si>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</si>
  <si>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</si>
  <si>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</si>
  <si>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</si>
  <si>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</si>
  <si>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</si>
  <si>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</si>
  <si>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</si>
  <si>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</si>
  <si>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</si>
  <si>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</si>
  <si>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</si>
  <si>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</si>
  <si>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</si>
  <si>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</si>
  <si>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</si>
  <si>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</si>
  <si>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</si>
  <si>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</si>
  <si>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</si>
  <si>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</si>
  <si>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</si>
  <si>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</si>
  <si>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</si>
  <si>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</si>
  <si>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</si>
  <si>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</si>
  <si>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</si>
  <si>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</si>
  <si>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</si>
  <si>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</si>
  <si>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</si>
  <si>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</si>
  <si>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</si>
  <si>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</si>
  <si>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</si>
  <si>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</si>
  <si>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</si>
  <si>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</si>
  <si>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</si>
  <si>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</si>
  <si>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</si>
  <si>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</si>
  <si>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</si>
  <si>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</si>
  <si>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</si>
  <si>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</si>
  <si>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</si>
  <si>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</si>
  <si>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</si>
  <si>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</si>
  <si>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</si>
  <si>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</si>
  <si>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</si>
  <si>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</si>
  <si>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</si>
  <si>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</si>
  <si>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</si>
  <si>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</si>
  <si>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</si>
  <si>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</si>
  <si>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</si>
  <si>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</si>
  <si>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</si>
  <si>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</si>
  <si>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</si>
  <si>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</si>
  <si>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</si>
  <si>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</si>
  <si>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</si>
  <si>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</si>
  <si>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</si>
  <si>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</si>
  <si>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</si>
  <si>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</si>
  <si>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</si>
  <si>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</si>
  <si>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</si>
  <si>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</si>
  <si>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</si>
  <si>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</si>
  <si>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</si>
  <si>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</si>
  <si>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</si>
  <si>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</si>
  <si>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</si>
  <si>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</si>
  <si>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</si>
  <si>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</si>
  <si>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</si>
  <si>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</si>
  <si>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</si>
  <si>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</si>
  <si>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</si>
  <si>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</si>
  <si>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</si>
  <si>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</si>
  <si>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</si>
  <si>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</si>
  <si>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</si>
  <si>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</si>
  <si>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</si>
  <si>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</si>
  <si>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</si>
  <si>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</si>
  <si>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</si>
  <si>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</si>
  <si>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</si>
  <si>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</si>
  <si>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</si>
  <si>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</si>
  <si>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</si>
  <si>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</si>
  <si>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</si>
  <si>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</si>
  <si>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</si>
  <si>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</si>
  <si>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</si>
  <si>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</si>
  <si>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</si>
  <si>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</si>
  <si>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</si>
  <si>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</si>
  <si>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</si>
  <si>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</si>
  <si>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</si>
  <si>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</si>
  <si>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</si>
  <si>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</si>
  <si>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</si>
  <si>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</si>
  <si>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</si>
  <si>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</si>
  <si>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</si>
  <si>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</si>
  <si>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</si>
  <si>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</si>
  <si>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</si>
  <si>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</si>
  <si>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</si>
  <si>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</si>
  <si>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</si>
  <si>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</si>
  <si>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</si>
  <si>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</si>
  <si>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</si>
  <si>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</si>
  <si>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</si>
  <si>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</si>
  <si>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</si>
  <si>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</si>
  <si>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</si>
  <si>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</si>
  <si>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</si>
  <si>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</si>
  <si>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</si>
  <si>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</si>
  <si>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</si>
  <si>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</si>
  <si>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</si>
  <si>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</si>
  <si>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</si>
  <si>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</si>
  <si>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</si>
  <si>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</si>
  <si>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</si>
  <si>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</si>
  <si>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</si>
  <si>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</si>
  <si>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</si>
  <si>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</si>
  <si>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</si>
  <si>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</si>
  <si>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</si>
  <si>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</si>
  <si>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</si>
  <si>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</si>
  <si>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</si>
  <si>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</si>
  <si>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</si>
  <si>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</si>
  <si>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</si>
  <si>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</si>
  <si>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</si>
  <si>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</si>
  <si>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</si>
  <si>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</si>
  <si>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</si>
  <si>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</si>
  <si>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</si>
  <si>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</si>
  <si>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</si>
  <si>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</si>
  <si>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</si>
  <si>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</si>
  <si>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</si>
  <si>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</si>
  <si>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</si>
  <si>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</si>
  <si>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</si>
  <si>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</si>
  <si>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</si>
  <si>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</si>
  <si>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</si>
  <si>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</si>
  <si>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</si>
  <si>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</si>
  <si>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</si>
  <si>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</si>
  <si>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</si>
  <si>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</si>
  <si>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</si>
  <si>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</si>
  <si>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</si>
  <si>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</si>
  <si>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</si>
  <si>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</si>
  <si>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</si>
  <si>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</si>
  <si>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</si>
  <si>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</si>
  <si>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</si>
  <si>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</si>
  <si>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</si>
  <si>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</si>
  <si>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</si>
  <si>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</si>
  <si>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</si>
  <si>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</si>
  <si>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</si>
  <si>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</si>
  <si>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</si>
  <si>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</si>
  <si>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</si>
  <si>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</si>
  <si>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</si>
  <si>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</si>
  <si>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</si>
  <si>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</si>
  <si>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</si>
  <si>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</si>
  <si>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</si>
  <si>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</si>
  <si>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</si>
  <si>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</si>
  <si>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</si>
  <si>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</si>
  <si>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</si>
  <si>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</si>
  <si>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</si>
  <si>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</si>
  <si>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</si>
  <si>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</si>
  <si>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</si>
  <si>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</si>
  <si>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</si>
  <si>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</si>
  <si>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</si>
  <si>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</si>
  <si>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</si>
  <si>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</si>
  <si>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</si>
  <si>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</si>
  <si>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</si>
  <si>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</si>
  <si>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</si>
  <si>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</si>
  <si>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</si>
  <si>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</si>
  <si>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</si>
  <si>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</si>
  <si>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</si>
  <si>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</si>
  <si>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</si>
  <si>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</si>
  <si>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</si>
  <si>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</si>
  <si>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</si>
  <si>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</si>
  <si>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</si>
  <si>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</si>
  <si>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</si>
  <si>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</si>
  <si>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</si>
  <si>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</si>
  <si>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</si>
  <si>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</si>
  <si>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</si>
  <si>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</si>
  <si>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</si>
  <si>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</si>
  <si>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</si>
  <si>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</si>
  <si>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</si>
  <si>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</si>
  <si>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</si>
  <si>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</si>
  <si>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</si>
  <si>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</si>
  <si>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</si>
  <si>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</si>
  <si>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</si>
  <si>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</si>
  <si>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</si>
  <si>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</si>
  <si>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</si>
  <si>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</si>
  <si>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</si>
  <si>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</si>
  <si>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</si>
  <si>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</si>
  <si>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</si>
  <si>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</si>
  <si>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</si>
  <si>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</si>
  <si>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</si>
  <si>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</si>
  <si>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</si>
  <si>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</si>
  <si>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</si>
  <si>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</si>
  <si>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</si>
  <si>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</si>
  <si>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</si>
  <si>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</si>
  <si>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</si>
  <si>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</si>
  <si>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</si>
  <si>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</si>
  <si>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</si>
  <si>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</si>
  <si>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</si>
  <si>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</si>
  <si>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</si>
  <si>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</si>
  <si>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</si>
  <si>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</si>
  <si>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</si>
  <si>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</si>
  <si>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</si>
  <si>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</si>
  <si>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</si>
  <si>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</si>
  <si>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</si>
  <si>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</si>
  <si>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</si>
  <si>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</si>
  <si>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</si>
  <si>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</si>
  <si>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</si>
  <si>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</si>
  <si>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</si>
  <si>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</si>
  <si>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</si>
  <si>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</si>
  <si>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</si>
  <si>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</si>
  <si>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</si>
  <si>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</si>
  <si>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</si>
  <si>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</si>
  <si>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</si>
  <si>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</si>
  <si>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</si>
  <si>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</si>
  <si>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</si>
  <si>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</si>
  <si>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</si>
  <si>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</si>
  <si>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</si>
  <si>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</si>
  <si>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</si>
  <si>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</si>
  <si>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</si>
  <si>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</si>
  <si>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</si>
  <si>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</si>
  <si>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</si>
  <si>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</si>
  <si>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</si>
  <si>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</si>
  <si>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</si>
  <si>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</si>
  <si>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</si>
  <si>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</si>
  <si>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</si>
  <si>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</si>
  <si>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</si>
  <si>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</si>
  <si>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</si>
  <si>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</si>
  <si>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</si>
  <si>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</si>
  <si>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</si>
  <si>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</si>
  <si>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</si>
  <si>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</si>
  <si>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</si>
  <si>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</si>
  <si>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</si>
  <si>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</si>
  <si>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</si>
  <si>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</si>
  <si>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</si>
  <si>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</si>
  <si>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</si>
  <si>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</si>
  <si>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</si>
  <si>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</si>
  <si>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</si>
  <si>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</si>
  <si>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</si>
  <si>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</si>
  <si>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</si>
  <si>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</si>
  <si>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</si>
  <si>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</si>
  <si>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</si>
  <si>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</si>
  <si>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</si>
  <si>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</si>
  <si>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</si>
  <si>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</si>
  <si>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</si>
  <si>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</si>
  <si>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</si>
  <si>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</si>
  <si>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</si>
  <si>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</si>
  <si>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</si>
  <si>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</si>
  <si>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</si>
  <si>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</si>
  <si>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</si>
  <si>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</si>
  <si>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</si>
  <si>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</si>
  <si>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</si>
  <si>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</si>
  <si>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</si>
  <si>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</si>
  <si>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</si>
  <si>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</si>
  <si>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</si>
  <si>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</si>
  <si>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</si>
  <si>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</si>
  <si>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</si>
  <si>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</si>
  <si>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</si>
  <si>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</si>
  <si>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</si>
  <si>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</si>
  <si>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</si>
  <si>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</si>
  <si>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</si>
  <si>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</si>
  <si>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</si>
  <si>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</si>
  <si>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</si>
  <si>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</si>
  <si>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</si>
  <si>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</si>
  <si>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</si>
  <si>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</si>
  <si>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</si>
  <si>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</si>
  <si>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</si>
  <si>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</si>
  <si>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</si>
  <si>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</si>
  <si>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</si>
  <si>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</si>
  <si>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</si>
  <si>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</si>
  <si>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</si>
  <si>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</si>
  <si>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</si>
  <si>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</si>
  <si>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</si>
  <si>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</si>
  <si>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</si>
  <si>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</si>
  <si>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</si>
  <si>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</si>
  <si>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</si>
  <si>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</si>
  <si>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</si>
  <si>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</si>
  <si>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</si>
  <si>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</si>
  <si>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</si>
  <si>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</si>
  <si>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</si>
  <si>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</si>
  <si>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</si>
  <si>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</si>
  <si>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</si>
  <si>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</si>
  <si>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</si>
  <si>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</si>
  <si>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</si>
  <si>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</si>
  <si>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</si>
  <si>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</si>
  <si>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</si>
  <si>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</si>
  <si>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</si>
  <si>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</si>
  <si>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</si>
  <si>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</si>
  <si>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</si>
  <si>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</si>
  <si>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</si>
  <si>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</si>
  <si>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</si>
  <si>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</si>
  <si>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</si>
  <si>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</si>
  <si>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</si>
  <si>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</si>
  <si>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</si>
  <si>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</si>
  <si>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</si>
  <si>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</si>
  <si>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</si>
  <si>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</si>
  <si>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</si>
  <si>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</si>
  <si>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</si>
  <si>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</si>
  <si>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</si>
  <si>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</si>
  <si>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</si>
  <si>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</si>
  <si>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</si>
  <si>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</si>
  <si>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</si>
  <si>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</si>
  <si>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</si>
  <si>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</si>
  <si>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</si>
  <si>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</si>
  <si>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</si>
  <si>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</si>
  <si>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</si>
  <si>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</si>
  <si>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</si>
  <si>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</si>
  <si>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</si>
  <si>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</si>
  <si>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</si>
  <si>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</si>
  <si>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</si>
  <si>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</si>
  <si>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</si>
  <si>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</si>
  <si>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</si>
  <si>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</si>
  <si>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</si>
  <si>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</si>
  <si>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</si>
  <si>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</si>
  <si>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</si>
  <si>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</si>
  <si>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</si>
  <si>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</si>
  <si>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</si>
  <si>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</si>
  <si>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</si>
  <si>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</si>
  <si>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</si>
  <si>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</si>
  <si>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</si>
  <si>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</si>
  <si>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</si>
  <si>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</si>
  <si>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</si>
  <si>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</si>
  <si>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</si>
  <si>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</si>
  <si>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</si>
  <si>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</si>
  <si>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</si>
  <si>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</si>
  <si>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</si>
  <si>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</si>
  <si>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</si>
  <si>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</si>
  <si>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</si>
  <si>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</si>
  <si>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</si>
  <si>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</si>
  <si>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</si>
  <si>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</si>
  <si>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</si>
  <si>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</si>
  <si>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</si>
  <si>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</si>
  <si>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</si>
  <si>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</si>
  <si>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</si>
  <si>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</si>
  <si>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</si>
  <si>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</si>
  <si>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</si>
  <si>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</si>
  <si>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</si>
  <si>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</si>
  <si>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</si>
  <si>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</si>
  <si>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</si>
  <si>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</si>
  <si>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</si>
  <si>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</si>
  <si>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</si>
  <si>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</si>
  <si>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</si>
  <si>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</si>
  <si>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</si>
  <si>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</si>
  <si>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</si>
  <si>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</si>
  <si>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</si>
  <si>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</si>
  <si>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</si>
  <si>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</si>
  <si>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</si>
  <si>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</si>
  <si>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</si>
  <si>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</si>
  <si>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</si>
  <si>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</si>
  <si>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</si>
  <si>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</si>
  <si>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</si>
  <si>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</si>
  <si>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</si>
  <si>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</si>
  <si>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</si>
  <si>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</si>
  <si>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</si>
  <si>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</si>
  <si>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</si>
  <si>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</si>
  <si>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</si>
  <si>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</si>
  <si>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</si>
  <si>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</si>
  <si>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</si>
  <si>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</si>
  <si>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</si>
  <si>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</si>
  <si>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</si>
  <si>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</si>
  <si>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</si>
  <si>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</si>
  <si>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</si>
  <si>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</si>
  <si>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</si>
  <si>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</si>
  <si>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</si>
  <si>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</si>
  <si>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</si>
  <si>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</si>
  <si>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</si>
  <si>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</si>
  <si>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</si>
  <si>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</si>
  <si>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</si>
  <si>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</si>
  <si>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</si>
  <si>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</si>
  <si>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</si>
  <si>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</si>
  <si>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</si>
  <si>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</si>
  <si>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</si>
  <si>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</si>
  <si>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</si>
  <si>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</si>
  <si>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</si>
  <si>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</si>
  <si>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</si>
  <si>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</si>
  <si>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</si>
  <si>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</si>
  <si>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</si>
  <si>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</si>
  <si>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</si>
  <si>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</si>
  <si>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</si>
  <si>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</si>
  <si>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</si>
  <si>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</si>
  <si>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</si>
  <si>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</si>
  <si>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</si>
  <si>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</si>
  <si>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</si>
  <si>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</si>
  <si>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</si>
  <si>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</si>
  <si>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</si>
  <si>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</si>
  <si>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</si>
  <si>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</si>
  <si>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</si>
  <si>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</si>
  <si>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</si>
  <si>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</si>
  <si>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</si>
  <si>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</si>
  <si>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</si>
  <si>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</si>
  <si>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</si>
  <si>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</si>
  <si>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</si>
  <si>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</si>
  <si>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</si>
  <si>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</si>
  <si>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</si>
  <si>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</si>
  <si>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</si>
  <si>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</si>
  <si>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</si>
  <si>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</si>
  <si>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</si>
  <si>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</si>
  <si>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</si>
  <si>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</si>
  <si>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</si>
  <si>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</si>
  <si>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</si>
  <si>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</si>
  <si>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</si>
  <si>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</si>
  <si>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</si>
  <si>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</si>
  <si>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</si>
  <si>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</si>
  <si>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</si>
  <si>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</si>
  <si>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</si>
  <si>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</si>
  <si>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</si>
  <si>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</si>
  <si>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</si>
  <si>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</si>
  <si>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</si>
  <si>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</si>
  <si>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</si>
  <si>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</si>
  <si>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</si>
  <si>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</si>
  <si>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</si>
  <si>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</si>
  <si>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</si>
  <si>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</si>
  <si>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</si>
  <si>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</si>
  <si>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</si>
  <si>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</si>
  <si>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</si>
  <si>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</si>
  <si>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</si>
  <si>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</si>
  <si>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</si>
  <si>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</si>
  <si>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</si>
  <si>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</si>
  <si>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</si>
  <si>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</si>
  <si>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</si>
  <si>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</si>
  <si>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</si>
  <si>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</si>
  <si>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</si>
  <si>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</si>
  <si>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</si>
  <si>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</si>
  <si>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</si>
  <si>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</si>
  <si>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</si>
  <si>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</si>
  <si>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</si>
  <si>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</si>
  <si>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</si>
  <si>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</si>
  <si>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</si>
  <si>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</si>
  <si>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</si>
  <si>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</si>
  <si>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</si>
  <si>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</si>
  <si>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</si>
  <si>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</si>
  <si>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</si>
  <si>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</si>
  <si>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</si>
  <si>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</si>
  <si>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</si>
  <si>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</si>
  <si>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</si>
  <si>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</si>
  <si>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</si>
  <si>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</si>
  <si>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</si>
  <si>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</si>
  <si>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</si>
  <si>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</si>
  <si>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</si>
  <si>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</si>
  <si>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</si>
  <si>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</si>
  <si>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</si>
  <si>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</si>
  <si>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</si>
  <si>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</si>
  <si>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</si>
  <si>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</si>
  <si>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</si>
  <si>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</si>
  <si>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</si>
  <si>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</si>
  <si>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</si>
  <si>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</si>
  <si>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</si>
  <si>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</si>
  <si>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</si>
  <si>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</si>
  <si>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</si>
  <si>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</si>
  <si>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</si>
  <si>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</si>
  <si>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</si>
  <si>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</si>
  <si>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</si>
  <si>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</si>
  <si>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</si>
  <si>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</si>
  <si>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</si>
  <si>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</si>
  <si>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</si>
  <si>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</si>
  <si>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</si>
  <si>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</si>
  <si>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</si>
  <si>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</si>
  <si>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</si>
  <si>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</si>
  <si>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</si>
  <si>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</si>
  <si>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</si>
  <si>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</si>
  <si>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</si>
  <si>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</si>
  <si>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</si>
  <si>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</si>
  <si>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</si>
  <si>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</si>
  <si>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</si>
  <si>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</si>
  <si>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</si>
  <si>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</si>
  <si>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</si>
  <si>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</si>
  <si>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</si>
  <si>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</si>
  <si>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</si>
  <si>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</si>
  <si>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</si>
  <si>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</si>
  <si>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</si>
  <si>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</si>
  <si>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</si>
  <si>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</si>
  <si>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</si>
  <si>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</si>
  <si>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</si>
  <si>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</si>
  <si>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</si>
  <si>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</si>
  <si>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</si>
  <si>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</si>
  <si>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</si>
  <si>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</si>
  <si>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</si>
  <si>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</si>
  <si>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</si>
  <si>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</si>
  <si>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</si>
  <si>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</si>
  <si>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</si>
  <si>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</si>
  <si>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</si>
  <si>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</si>
  <si>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</si>
  <si>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</si>
  <si>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</si>
  <si>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</si>
  <si>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</si>
  <si>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</si>
  <si>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</si>
  <si>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</si>
  <si>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</si>
  <si>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</si>
  <si>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</si>
  <si>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</si>
  <si>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</si>
  <si>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</si>
  <si>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</si>
  <si>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</si>
  <si>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</si>
  <si>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</si>
  <si>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</si>
  <si>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</si>
  <si>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</si>
  <si>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</si>
  <si>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</si>
  <si>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</si>
  <si>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</si>
  <si>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</si>
  <si>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</si>
  <si>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</si>
  <si>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</si>
  <si>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</si>
  <si>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</si>
  <si>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</si>
  <si>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</si>
  <si>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</si>
  <si>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</si>
  <si>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</si>
  <si>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</si>
  <si>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</si>
  <si>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</si>
  <si>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</si>
  <si>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</si>
  <si>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</si>
  <si>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</si>
  <si>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</si>
  <si>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</si>
  <si>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</si>
  <si>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</si>
  <si>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</si>
  <si>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</si>
  <si>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</si>
  <si>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</si>
  <si>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</si>
  <si>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</si>
  <si>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</si>
  <si>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</si>
  <si>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</si>
  <si>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</si>
  <si>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</si>
  <si>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</si>
  <si>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</si>
  <si>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</si>
  <si>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</si>
  <si>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</si>
  <si>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</si>
  <si>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</si>
  <si>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</si>
  <si>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</si>
  <si>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</si>
  <si>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</si>
  <si>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</si>
  <si>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</si>
  <si>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</si>
  <si>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</si>
  <si>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</si>
  <si>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</si>
  <si>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</si>
  <si>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</si>
  <si>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</si>
  <si>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</si>
  <si>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</si>
  <si>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</si>
  <si>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</si>
  <si>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</si>
  <si>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</si>
  <si>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</si>
  <si>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</si>
  <si>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</si>
  <si>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</si>
  <si>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</si>
  <si>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</si>
  <si>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</si>
  <si>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</si>
  <si>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</si>
  <si>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</si>
  <si>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</si>
  <si>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</si>
  <si>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</si>
  <si>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</si>
  <si>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</si>
  <si>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</si>
  <si>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</si>
  <si>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</si>
  <si>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</si>
  <si>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</si>
  <si>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</si>
  <si>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</si>
  <si>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</si>
  <si>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</si>
  <si>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</si>
  <si>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</si>
  <si>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</si>
  <si>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</si>
  <si>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</si>
  <si>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</si>
  <si>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</si>
  <si>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</si>
  <si>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</si>
  <si>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</si>
  <si>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</si>
  <si>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</si>
  <si>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</si>
  <si>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</si>
  <si>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</si>
  <si>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</si>
  <si>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</si>
  <si>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</si>
  <si>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</si>
  <si>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</si>
  <si>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</si>
  <si>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</si>
  <si>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</si>
  <si>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</si>
  <si>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</si>
  <si>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</si>
  <si>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</si>
  <si>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</si>
  <si>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</si>
  <si>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</si>
  <si>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</si>
  <si>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</si>
  <si>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</si>
  <si>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</si>
  <si>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</si>
  <si>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</si>
  <si>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</si>
  <si>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</si>
  <si>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</si>
  <si>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</si>
  <si>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</si>
  <si>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</si>
  <si>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</si>
  <si>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</si>
  <si>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</si>
  <si>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</si>
  <si>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</si>
  <si>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</si>
  <si>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</si>
  <si>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</si>
  <si>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</si>
  <si>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</si>
  <si>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</si>
  <si>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</si>
  <si>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</si>
  <si>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</si>
  <si>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</si>
  <si>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</si>
  <si>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</si>
  <si>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</si>
  <si>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</si>
  <si>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</si>
  <si>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</si>
  <si>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</si>
  <si>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</si>
  <si>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</si>
  <si>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</si>
  <si>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</si>
  <si>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</si>
  <si>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</si>
  <si>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</si>
  <si>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</si>
  <si>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</si>
  <si>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</si>
  <si>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</si>
  <si>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</si>
  <si>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</si>
  <si>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</si>
  <si>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</si>
  <si>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</si>
  <si>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</si>
  <si>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</si>
  <si>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</si>
  <si>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</si>
  <si>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</si>
  <si>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</si>
  <si>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</si>
  <si>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</si>
  <si>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</si>
  <si>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</si>
  <si>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</si>
  <si>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</si>
  <si>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</si>
  <si>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</si>
  <si>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</si>
  <si>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</si>
  <si>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</si>
  <si>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</si>
  <si>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</si>
  <si>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</si>
  <si>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</si>
  <si>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</si>
  <si>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</si>
  <si>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</si>
  <si>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</si>
  <si>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</si>
  <si>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</si>
  <si>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</si>
  <si>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</si>
  <si>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</si>
  <si>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</si>
  <si>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</si>
  <si>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</si>
  <si>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</si>
  <si>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</si>
  <si>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</si>
  <si>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</si>
  <si>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</si>
  <si>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</si>
  <si>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</si>
  <si>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</si>
  <si>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</si>
  <si>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</si>
  <si>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</si>
  <si>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</si>
  <si>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</si>
  <si>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</si>
  <si>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</si>
  <si>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</si>
  <si>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</si>
  <si>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</si>
  <si>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</si>
  <si>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</si>
  <si>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</si>
  <si>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</si>
  <si>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</si>
  <si>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</si>
  <si>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</si>
  <si>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</si>
  <si>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</si>
  <si>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</si>
  <si>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</si>
  <si>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</si>
  <si>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</si>
  <si>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</si>
  <si>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</si>
  <si>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</si>
  <si>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</si>
  <si>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</si>
  <si>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</si>
  <si>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</si>
  <si>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</si>
  <si>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</si>
  <si>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</si>
  <si>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</si>
  <si>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</si>
  <si>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</si>
  <si>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</si>
  <si>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</si>
  <si>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</si>
  <si>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</si>
  <si>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</si>
  <si>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</si>
  <si>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</si>
  <si>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</si>
  <si>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</si>
  <si>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</si>
  <si>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</si>
  <si>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</si>
  <si>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</si>
  <si>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</si>
  <si>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</si>
  <si>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</si>
  <si>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</si>
  <si>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</si>
  <si>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</si>
  <si>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</si>
  <si>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</si>
  <si>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</si>
  <si>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</si>
  <si>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</si>
  <si>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</si>
  <si>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</si>
  <si>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</si>
  <si>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</si>
  <si>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</si>
  <si>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</si>
  <si>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</si>
  <si>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</si>
  <si>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</si>
  <si>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</si>
  <si>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</si>
  <si>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</si>
  <si>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</si>
  <si>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</si>
  <si>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</si>
  <si>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</si>
  <si>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</si>
  <si>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</si>
  <si>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</si>
  <si>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</si>
  <si>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</si>
  <si>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</si>
  <si>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</si>
  <si>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</si>
  <si>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</si>
  <si>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</si>
  <si>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</si>
  <si>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</si>
  <si>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</si>
  <si>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</si>
  <si>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</si>
  <si>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</si>
  <si>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</si>
  <si>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</si>
  <si>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</si>
  <si>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</si>
  <si>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</si>
  <si>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</si>
  <si>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</si>
  <si>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</si>
  <si>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</si>
  <si>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</si>
  <si>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</si>
  <si>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</si>
  <si>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</si>
  <si>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</si>
  <si>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</si>
  <si>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</si>
  <si>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</si>
  <si>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</si>
  <si>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</si>
  <si>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</si>
  <si>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</si>
  <si>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</si>
  <si>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</si>
  <si>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</si>
  <si>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</si>
  <si>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</si>
  <si>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</si>
  <si>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</si>
  <si>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</si>
  <si>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</si>
  <si>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</si>
  <si>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</si>
  <si>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</si>
  <si>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</si>
  <si>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</si>
  <si>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</si>
  <si>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</si>
  <si>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</si>
  <si>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</si>
  <si>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</si>
  <si>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</si>
  <si>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</si>
  <si>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</si>
  <si>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</si>
  <si>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</si>
  <si>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</si>
  <si>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</si>
  <si>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</si>
  <si>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</si>
  <si>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</si>
  <si>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</si>
  <si>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</si>
  <si>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</si>
  <si>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</si>
  <si>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</si>
  <si>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</si>
  <si>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</si>
  <si>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</si>
  <si>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</si>
  <si>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</si>
  <si>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</si>
  <si>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</si>
  <si>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</si>
  <si>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</si>
  <si>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</si>
  <si>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</si>
  <si>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</si>
  <si>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</si>
  <si>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</si>
  <si>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</si>
  <si>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</si>
  <si>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</si>
  <si>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</si>
  <si>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</si>
  <si>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</si>
  <si>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</si>
  <si>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</si>
  <si>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</si>
  <si>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</si>
  <si>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</si>
  <si>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</si>
  <si>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</si>
  <si>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</si>
  <si>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</si>
  <si>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</si>
  <si>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</si>
  <si>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</si>
  <si>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</si>
  <si>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</si>
  <si>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</si>
  <si>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</si>
  <si>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</si>
  <si>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</si>
  <si>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</si>
  <si>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</si>
  <si>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</si>
  <si>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</si>
  <si>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</si>
  <si>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</si>
  <si>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</si>
  <si>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</si>
  <si>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</si>
  <si>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</si>
  <si>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</si>
  <si>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</si>
  <si>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</si>
  <si>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</si>
  <si>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</si>
  <si>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</si>
  <si>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</si>
  <si>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</si>
  <si>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</si>
  <si>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</si>
  <si>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</si>
  <si>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</si>
  <si>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</si>
  <si>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</si>
  <si>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</si>
  <si>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</si>
  <si>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</si>
  <si>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</si>
  <si>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</si>
  <si>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</si>
  <si>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</si>
  <si>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</si>
  <si>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</si>
  <si>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</si>
  <si>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</si>
  <si>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</si>
  <si>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</si>
  <si>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</si>
  <si>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</si>
  <si>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</si>
  <si>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</si>
  <si>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</si>
  <si>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</si>
  <si>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</si>
  <si>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</si>
  <si>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</si>
  <si>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</si>
  <si>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</si>
  <si>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</si>
  <si>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</si>
  <si>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</si>
  <si>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</si>
  <si>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</si>
  <si>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</si>
  <si>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</si>
  <si>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</si>
  <si>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</si>
  <si>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</si>
  <si>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</si>
  <si>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</si>
  <si>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</si>
  <si>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</si>
  <si>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</si>
  <si>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</si>
  <si>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</si>
  <si>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</si>
  <si>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</si>
  <si>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</si>
  <si>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</si>
  <si>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</si>
  <si>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</si>
  <si>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</si>
  <si>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</si>
  <si>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</si>
  <si>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</si>
  <si>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</si>
  <si>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</si>
  <si>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</si>
  <si>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</si>
  <si>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</si>
  <si>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</si>
  <si>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</si>
  <si>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</si>
  <si>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</si>
  <si>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</si>
  <si>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</si>
  <si>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</si>
  <si>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</si>
  <si>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</si>
  <si>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</si>
  <si>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</si>
  <si>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</si>
  <si>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</si>
  <si>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</si>
  <si>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</si>
  <si>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</si>
  <si>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</si>
  <si>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</si>
  <si>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</si>
  <si>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</si>
  <si>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</si>
  <si>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</si>
  <si>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</si>
  <si>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</si>
  <si>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</si>
  <si>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</si>
  <si>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</si>
  <si>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</si>
  <si>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</si>
  <si>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</si>
  <si>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</si>
  <si>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</si>
  <si>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</si>
  <si>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</si>
  <si>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</si>
  <si>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</si>
  <si>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</si>
  <si>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</si>
  <si>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</si>
  <si>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</si>
  <si>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</si>
  <si>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</si>
  <si>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</si>
  <si>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</si>
  <si>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</si>
  <si>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</si>
  <si>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</si>
  <si>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</si>
  <si>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</si>
  <si>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</si>
  <si>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</si>
  <si>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</si>
  <si>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</si>
  <si>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</si>
  <si>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</si>
  <si>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</si>
  <si>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</si>
  <si>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</si>
  <si>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</si>
  <si>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</si>
  <si>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</si>
  <si>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</si>
  <si>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</si>
  <si>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</si>
  <si>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</si>
  <si>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</si>
  <si>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</si>
  <si>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</si>
  <si>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</si>
  <si>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</si>
  <si>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</si>
  <si>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</si>
  <si>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</si>
  <si>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</si>
  <si>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</si>
  <si>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</si>
  <si>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</si>
  <si>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</si>
  <si>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</si>
  <si>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</si>
  <si>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</si>
  <si>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</si>
  <si>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</si>
  <si>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</si>
  <si>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</si>
  <si>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</si>
  <si>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</si>
  <si>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</si>
  <si>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</si>
  <si>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</si>
  <si>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</si>
  <si>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</si>
  <si>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</si>
  <si>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</si>
  <si>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</si>
  <si>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</si>
  <si>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</si>
  <si>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</si>
  <si>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</si>
  <si>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</si>
  <si>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</si>
  <si>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</si>
  <si>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</si>
  <si>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</si>
  <si>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</si>
  <si>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</si>
  <si>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</si>
  <si>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</si>
  <si>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</si>
  <si>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</si>
  <si>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</si>
  <si>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</si>
  <si>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</si>
  <si>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</si>
  <si>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</si>
  <si>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</si>
  <si>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</si>
  <si>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</si>
  <si>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</si>
  <si>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</si>
  <si>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</si>
  <si>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</si>
  <si>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</si>
  <si>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</si>
  <si>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</si>
  <si>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</si>
  <si>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</si>
  <si>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</si>
  <si>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</si>
  <si>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</si>
  <si>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</si>
  <si>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</si>
  <si>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</si>
  <si>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</si>
  <si>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</si>
  <si>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</si>
  <si>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</si>
  <si>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</si>
  <si>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</si>
  <si>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</si>
  <si>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</si>
  <si>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</si>
  <si>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</si>
  <si>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</si>
  <si>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</si>
  <si>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</si>
  <si>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</si>
  <si>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</si>
  <si>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</si>
  <si>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</si>
  <si>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</si>
  <si>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</si>
  <si>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</si>
  <si>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</si>
  <si>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</si>
  <si>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</si>
  <si>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</si>
  <si>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</si>
  <si>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</si>
  <si>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</si>
  <si>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</si>
  <si>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</si>
  <si>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</si>
  <si>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</si>
  <si>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</si>
  <si>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</si>
  <si>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</si>
  <si>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</si>
  <si>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</si>
  <si>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</si>
  <si>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</si>
  <si>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</si>
  <si>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</si>
  <si>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</si>
  <si>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</si>
  <si>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</si>
  <si>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</si>
  <si>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</si>
  <si>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</si>
  <si>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</si>
  <si>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</si>
  <si>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</si>
  <si>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</si>
  <si>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</si>
  <si>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</si>
  <si>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</si>
  <si>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</si>
  <si>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</si>
  <si>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</si>
  <si>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</si>
  <si>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</si>
  <si>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</si>
  <si>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</si>
  <si>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</si>
  <si>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</si>
  <si>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</si>
  <si>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</si>
  <si>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</si>
  <si>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</si>
  <si>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</si>
  <si>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</si>
  <si>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</si>
  <si>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</si>
  <si>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</si>
  <si>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</si>
  <si>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</si>
  <si>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</si>
  <si>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</si>
  <si>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</si>
  <si>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</si>
  <si>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</si>
  <si>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</si>
  <si>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</si>
  <si>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</si>
  <si>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</si>
  <si>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</si>
  <si>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</si>
  <si>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</si>
  <si>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</si>
  <si>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</si>
  <si>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</si>
  <si>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</si>
  <si>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</si>
  <si>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</si>
  <si>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</si>
  <si>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</si>
  <si>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</si>
  <si>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</si>
  <si>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</si>
  <si>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</si>
  <si>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</si>
  <si>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</si>
  <si>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</si>
  <si>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</si>
  <si>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</si>
  <si>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</si>
  <si>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</si>
  <si>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</si>
  <si>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</si>
  <si>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</si>
  <si>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</si>
  <si>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</si>
  <si>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</si>
  <si>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</si>
  <si>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</si>
  <si>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</si>
  <si>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</si>
  <si>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</si>
  <si>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</si>
  <si>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</si>
  <si>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</si>
  <si>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</si>
  <si>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</si>
  <si>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</si>
  <si>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</si>
  <si>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</si>
  <si>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</si>
  <si>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</si>
  <si>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</si>
  <si>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</si>
  <si>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</si>
  <si>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</si>
  <si>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</si>
  <si>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</si>
  <si>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</si>
  <si>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</si>
  <si>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</si>
  <si>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</si>
  <si>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</si>
  <si>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</si>
  <si>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</si>
  <si>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</si>
  <si>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</si>
  <si>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</si>
  <si>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</si>
  <si>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</si>
  <si>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</si>
  <si>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</si>
  <si>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</si>
  <si>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</si>
  <si>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</si>
  <si>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</si>
  <si>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</si>
  <si>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</si>
  <si>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</si>
  <si>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</si>
  <si>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</si>
  <si>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</si>
  <si>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</si>
  <si>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</si>
  <si>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</si>
  <si>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</si>
  <si>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</si>
  <si>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</si>
  <si>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</si>
  <si>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</si>
  <si>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</si>
  <si>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</si>
  <si>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</si>
  <si>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</si>
  <si>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</si>
  <si>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</si>
  <si>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</si>
  <si>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</si>
  <si>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</si>
  <si>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</si>
  <si>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</si>
  <si>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</si>
  <si>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</si>
  <si>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</si>
  <si>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</si>
  <si>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</si>
  <si>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</si>
  <si>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</si>
  <si>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</si>
  <si>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</si>
  <si>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</si>
  <si>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</si>
  <si>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</si>
  <si>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</si>
  <si>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</si>
  <si>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</si>
  <si>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</si>
  <si>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</si>
  <si>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</si>
  <si>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</si>
  <si>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</si>
  <si>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</si>
  <si>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</si>
  <si>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</si>
  <si>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</si>
  <si>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</si>
  <si>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</si>
  <si>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</si>
  <si>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</si>
  <si>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</si>
  <si>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</si>
  <si>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</si>
  <si>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</si>
  <si>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</si>
  <si>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</si>
  <si>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</si>
  <si>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</si>
  <si>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</si>
  <si>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</si>
  <si>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</si>
  <si>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</si>
  <si>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</si>
  <si>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</si>
  <si>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</si>
  <si>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</si>
  <si>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</si>
  <si>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</si>
  <si>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</si>
  <si>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</si>
  <si>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</si>
  <si>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</si>
  <si>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</si>
  <si>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</si>
  <si>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</si>
  <si>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</si>
  <si>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</si>
  <si>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</si>
  <si>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</si>
  <si>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</si>
  <si>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</si>
  <si>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</si>
  <si>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</si>
  <si>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</si>
  <si>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</si>
  <si>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</si>
  <si>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</si>
  <si>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</si>
  <si>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</si>
  <si>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</si>
  <si>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</si>
  <si>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</si>
  <si>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</si>
  <si>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</si>
  <si>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</si>
  <si>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</si>
  <si>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</si>
  <si>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</si>
  <si>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</si>
  <si>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</si>
  <si>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</si>
  <si>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</si>
  <si>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</si>
  <si>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</si>
  <si>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</si>
  <si>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</si>
  <si>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</si>
  <si>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</si>
  <si>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</si>
  <si>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</si>
  <si>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</si>
  <si>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</si>
  <si>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</si>
  <si>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</si>
  <si>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</si>
  <si>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</si>
  <si>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</si>
  <si>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</si>
  <si>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</si>
  <si>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</si>
  <si>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</si>
  <si>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</si>
  <si>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</si>
  <si>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</si>
  <si>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</si>
  <si>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</si>
  <si>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</si>
  <si>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</si>
  <si>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</si>
  <si>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</si>
  <si>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</si>
  <si>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</si>
  <si>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</si>
  <si>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</si>
  <si>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</si>
  <si>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</si>
  <si>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</si>
  <si>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</si>
  <si>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</si>
  <si>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</si>
  <si>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</si>
  <si>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</si>
  <si>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</si>
  <si>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</si>
  <si>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</si>
  <si>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</si>
  <si>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</si>
  <si>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</si>
  <si>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</si>
  <si>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</si>
  <si>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</si>
  <si>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</si>
  <si>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</si>
  <si>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</si>
  <si>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</si>
  <si>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</si>
  <si>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</si>
  <si>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</si>
  <si>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</si>
  <si>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</si>
  <si>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</si>
  <si>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</si>
  <si>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</si>
  <si>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</si>
  <si>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</si>
  <si>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</si>
  <si>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</si>
  <si>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</si>
  <si>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</si>
  <si>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</si>
  <si>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</si>
  <si>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</si>
  <si>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</si>
  <si>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</si>
  <si>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</si>
  <si>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</si>
  <si>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</si>
  <si>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</si>
  <si>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</si>
  <si>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</si>
  <si>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</si>
  <si>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</si>
  <si>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</si>
  <si>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</si>
  <si>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</si>
  <si>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</si>
  <si>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</si>
  <si>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</si>
  <si>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</si>
  <si>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</si>
  <si>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</si>
  <si>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</si>
  <si>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</si>
  <si>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</si>
  <si>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</si>
  <si>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</si>
  <si>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</si>
  <si>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</si>
  <si>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</si>
  <si>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</si>
  <si>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</si>
  <si>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</si>
  <si>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</si>
  <si>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</si>
  <si>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</si>
  <si>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</si>
  <si>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</si>
  <si>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</si>
  <si>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</si>
  <si>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</si>
  <si>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</si>
  <si>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</si>
  <si>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</si>
  <si>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</si>
  <si>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</si>
  <si>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</si>
  <si>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</si>
  <si>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</si>
  <si>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</si>
  <si>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</si>
  <si>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</si>
  <si>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</si>
  <si>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</si>
  <si>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</si>
  <si>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</si>
  <si>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</si>
  <si>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</si>
  <si>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</si>
  <si>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</si>
  <si>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</si>
  <si>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</si>
  <si>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</si>
  <si>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</si>
  <si>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</si>
  <si>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</si>
  <si>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</si>
  <si>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</si>
  <si>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</si>
  <si>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</si>
  <si>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</si>
  <si>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</si>
  <si>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</si>
  <si>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</si>
  <si>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</si>
  <si>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</si>
  <si>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</si>
  <si>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</si>
  <si>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</si>
  <si>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</si>
  <si>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</si>
  <si>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</si>
  <si>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</si>
  <si>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</si>
  <si>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</si>
  <si>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</si>
  <si>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</si>
  <si>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</si>
  <si>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</si>
  <si>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</si>
  <si>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</si>
  <si>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</si>
  <si>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</si>
  <si>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</si>
  <si>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</si>
  <si>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</si>
  <si>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</si>
  <si>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</si>
  <si>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</si>
  <si>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</si>
  <si>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</si>
  <si>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</si>
  <si>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</si>
  <si>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</si>
  <si>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</si>
  <si>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</si>
  <si>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</si>
  <si>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</si>
  <si>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</si>
  <si>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</si>
  <si>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</si>
  <si>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</si>
  <si>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</si>
  <si>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</si>
  <si>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</si>
  <si>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</si>
  <si>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</si>
  <si>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</si>
  <si>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</si>
  <si>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</si>
  <si>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</si>
  <si>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</si>
  <si>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</si>
  <si>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</si>
  <si>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</si>
  <si>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</si>
  <si>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</si>
  <si>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</si>
  <si>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</si>
  <si>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</si>
  <si>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</si>
  <si>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</si>
  <si>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</si>
  <si>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</si>
  <si>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</si>
  <si>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</si>
  <si>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</si>
  <si>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</si>
  <si>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</si>
  <si>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</si>
  <si>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</si>
  <si>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</si>
  <si>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</si>
  <si>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</si>
  <si>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</si>
  <si>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</si>
  <si>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</si>
  <si>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</si>
  <si>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</si>
  <si>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</si>
  <si>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</si>
  <si>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</si>
  <si>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</si>
  <si>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</si>
  <si>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</si>
  <si>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</si>
  <si>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</si>
  <si>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</si>
  <si>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</si>
  <si>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</si>
  <si>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</si>
  <si>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</si>
  <si>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</si>
  <si>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</si>
  <si>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</si>
  <si>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</si>
  <si>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</si>
  <si>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</si>
  <si>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</si>
  <si>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</si>
  <si>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</si>
  <si>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</si>
  <si>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</si>
  <si>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</si>
  <si>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</si>
  <si>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</si>
  <si>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</si>
  <si>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</si>
  <si>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</si>
  <si>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</si>
  <si>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</si>
  <si>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</si>
  <si>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</si>
  <si>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</si>
  <si>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</si>
  <si>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</si>
  <si>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</si>
  <si>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</si>
  <si>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</si>
  <si>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</si>
  <si>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</si>
  <si>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</si>
  <si>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</si>
  <si>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</si>
  <si>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</si>
  <si>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</si>
  <si>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</si>
  <si>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</si>
  <si>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</si>
  <si>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</si>
  <si>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</si>
  <si>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</si>
  <si>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</si>
  <si>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</si>
  <si>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</si>
  <si>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</si>
  <si>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</si>
  <si>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</si>
  <si>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</si>
  <si>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</si>
  <si>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</si>
  <si>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</si>
  <si>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</si>
  <si>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</si>
  <si>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</si>
  <si>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</si>
  <si>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</si>
  <si>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</si>
  <si>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</si>
  <si>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</si>
  <si>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</si>
  <si>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</si>
  <si>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</si>
  <si>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</si>
  <si>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</si>
  <si>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</si>
  <si>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</si>
  <si>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</si>
  <si>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</si>
  <si>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</si>
  <si>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</si>
  <si>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</si>
  <si>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</si>
  <si>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</si>
  <si>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</si>
  <si>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</si>
  <si>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</si>
  <si>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</si>
  <si>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</si>
  <si>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</si>
  <si>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</si>
  <si>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</si>
  <si>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</si>
  <si>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</si>
  <si>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</si>
  <si>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</si>
  <si>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</si>
  <si>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</si>
  <si>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</si>
  <si>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</si>
  <si>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</si>
  <si>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</si>
  <si>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</si>
  <si>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</si>
  <si>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</si>
  <si>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</si>
  <si>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</si>
  <si>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</si>
  <si>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</si>
  <si>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</si>
  <si>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</si>
  <si>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</si>
  <si>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</si>
  <si>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</si>
  <si>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</si>
  <si>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</si>
  <si>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</si>
  <si>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</si>
  <si>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</si>
  <si>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</si>
  <si>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</si>
  <si>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</si>
  <si>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</si>
  <si>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</si>
  <si>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</si>
  <si>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</si>
  <si>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</si>
  <si>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</si>
  <si>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</si>
  <si>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</si>
  <si>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</si>
  <si>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</si>
  <si>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</si>
  <si>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</si>
  <si>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</si>
  <si>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</si>
  <si>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</si>
  <si>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</si>
  <si>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</si>
  <si>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</si>
  <si>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</si>
  <si>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</si>
  <si>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</si>
  <si>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</si>
  <si>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</si>
  <si>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</si>
  <si>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</si>
  <si>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</si>
  <si>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</si>
  <si>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</si>
  <si>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</si>
  <si>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</si>
  <si>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</si>
  <si>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</si>
  <si>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</si>
  <si>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</si>
  <si>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</si>
  <si>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</si>
  <si>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</si>
  <si>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</si>
  <si>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</si>
  <si>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</si>
  <si>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</si>
  <si>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</si>
  <si>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</si>
  <si>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</si>
  <si>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</si>
  <si>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</si>
  <si>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</si>
  <si>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</si>
  <si>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</si>
  <si>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</si>
  <si>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</si>
  <si>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</si>
  <si>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</si>
  <si>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</si>
  <si>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</si>
  <si>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</si>
  <si>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</si>
  <si>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</si>
  <si>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</si>
  <si>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</si>
  <si>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</si>
  <si>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</si>
  <si>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</si>
  <si>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</si>
  <si>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</si>
  <si>
    <t>AGUARDANDO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</si>
</sst>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6" fontId="35" fillId="0" borderId="12" xfId="0" applyNumberFormat="1" applyFont="1" applyBorder="1" applyAlignment="1">
      <alignment horizontal="center" vertical="center"/>
    </xf>
    <xf numFmtId="166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6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6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7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5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5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5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5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166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6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5" fontId="39" fillId="0" borderId="0" xfId="0" applyNumberFormat="1" applyFont="1" applyAlignment="1" applyProtection="1">
      <alignment horizontal="center" vertical="center"/>
      <protection locked="0"/>
    </xf>
    <xf numFmtId="167" fontId="36" fillId="0" borderId="0" xfId="0" applyNumberFormat="1" applyFont="1" applyAlignment="1" applyProtection="1">
      <alignment horizontal="center" vertical="center"/>
      <protection locked="0"/>
    </xf>
    <xf numFmtId="165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5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6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6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5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6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6" fontId="35" fillId="0" borderId="13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center"/>
      <protection locked="0"/>
    </xf>
    <xf numFmtId="166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6" fontId="36" fillId="21" borderId="12" xfId="0" applyNumberFormat="1" applyFont="1" applyFill="1" applyBorder="1" applyAlignment="1" applyProtection="1">
      <alignment horizontal="center" vertical="center"/>
      <protection locked="0"/>
    </xf>
    <xf numFmtId="166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6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5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7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6" fontId="36" fillId="11" borderId="12" xfId="0" applyNumberFormat="1" applyFont="1" applyFill="1" applyBorder="1" applyAlignment="1" applyProtection="1">
      <alignment horizontal="center" vertical="center"/>
      <protection locked="0"/>
    </xf>
    <xf numFmtId="166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6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6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5" fontId="39" fillId="0" borderId="13" xfId="0" applyNumberFormat="1" applyFont="1" applyBorder="1" applyAlignment="1" applyProtection="1">
      <alignment horizontal="center" vertical="center"/>
      <protection locked="0"/>
    </xf>
    <xf numFmtId="166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6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6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6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6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6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6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6" fontId="35" fillId="11" borderId="0" xfId="0" applyNumberFormat="1" applyFont="1" applyFill="1" applyAlignment="1" applyProtection="1">
      <alignment horizontal="center" vertical="center"/>
      <protection locked="0"/>
    </xf>
    <xf numFmtId="165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6" fontId="35" fillId="21" borderId="0" xfId="0" applyNumberFormat="1" applyFont="1" applyFill="1" applyAlignment="1" applyProtection="1">
      <alignment horizontal="center" vertical="center"/>
      <protection locked="0"/>
    </xf>
    <xf numFmtId="166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6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6" fontId="36" fillId="21" borderId="0" xfId="0" applyNumberFormat="1" applyFont="1" applyFill="1" applyAlignment="1" applyProtection="1">
      <alignment horizontal="center" vertical="center"/>
      <protection locked="0"/>
    </xf>
    <xf numFmtId="165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6" fontId="51" fillId="0" borderId="1" xfId="0" applyNumberFormat="1" applyFont="1" applyBorder="1" applyAlignment="1" applyProtection="1">
      <alignment horizontal="center" vertical="center"/>
      <protection locked="0"/>
    </xf>
    <xf numFmtId="166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/>
      <protection locked="0"/>
    </xf>
    <xf numFmtId="166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6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E659" activePane="bottomRight" state="frozen"/>
      <selection pane="topRight" activeCell="G1" sqref="G1"/>
      <selection pane="bottomLeft" activeCell="A5" sqref="A5"/>
      <selection pane="bottomRight" activeCell="AG7" sqref="AG7:AG808"/>
    </sheetView>
  </sheetViews>
  <sheetFormatPr defaultColWidth="9.140625" defaultRowHeight="30" customHeight="1" x14ac:dyDescent="0.25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 x14ac:dyDescent="0.25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 x14ac:dyDescent="0.25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 x14ac:dyDescent="0.25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 x14ac:dyDescent="0.25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 x14ac:dyDescent="0.25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:BH68" si="1">IFERROR(IF(BD5-KI5=0,"",BD5-AK5),"")</f>
        <v/>
      </c>
      <c r="BI5" s="98" t="str">
        <f t="shared" ref="BI5:BI68" si="2">IF(AND(AH5&lt;&gt;"SIM",AH5="UH"),"AA","INDENIZAÇÃO")</f>
        <v>AA</v>
      </c>
      <c r="BJ5" s="98" t="str">
        <f t="shared" ref="BJ5:BJ68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hidden="1" customHeight="1" x14ac:dyDescent="0.25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8612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>IFERROR(IF(BD6-KI6=0,"",BD6-AK6),"")</f>
        <v/>
      </c>
      <c r="BI6" s="98" t="str">
        <f>IF(AND(AH6&lt;&gt;"SIM",AH6="UH"),"AA","INDENIZAÇÃO")</f>
        <v>INDENIZAÇÃO</v>
      </c>
      <c r="BJ6" s="98" t="str">
        <f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customHeight="1" x14ac:dyDescent="0.25">
      <c r="A7" s="207">
        <v>3</v>
      </c>
      <c r="B7" s="197" t="s">
        <v>4396</v>
      </c>
      <c r="C7" s="207" t="s">
        <v>4426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4427</v>
      </c>
      <c r="I7" s="163" t="s">
        <v>4421</v>
      </c>
      <c r="J7" s="215" t="s">
        <v>4428</v>
      </c>
      <c r="K7" s="214" t="s">
        <v>4429</v>
      </c>
      <c r="L7" s="214" t="s">
        <v>4430</v>
      </c>
      <c r="M7" s="197" t="s">
        <v>4405</v>
      </c>
      <c r="N7" s="207" t="s">
        <v>4431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4428</v>
      </c>
      <c r="AB7" s="214" t="s">
        <v>4429</v>
      </c>
      <c r="AC7" s="214" t="s">
        <v>4430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4432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>IF(AQ7="SIM","AGUARDANDO CORREÇÃO",IF(AP7&lt;&gt;"","FINALIZADO",IF(AO7&lt;&gt;"","AGUARDANDO ENVIO DTS",IF(AN7&lt;&gt;"","AGUARDANDO ASSINATURA GAB",IF(AM7&lt;&gt;"","AGUARDANDO ASSINATURA CTS",IF(AL7&lt;&gt;"","AGUARDANDO ENVIO ASSINATURA CTS",IF(AK7&lt;&gt;"","AGUARDANDO CONFERÊNCIA","")))))))</f>
        <v>FINALIZADO</v>
      </c>
      <c r="AS7" s="207" t="s">
        <v>4423</v>
      </c>
      <c r="AT7" s="207"/>
      <c r="AU7" s="220" t="s">
        <v>4433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4434</v>
      </c>
      <c r="BF7" s="228" t="s">
        <v>4435</v>
      </c>
      <c r="BG7" s="229" t="s">
        <v>4425</v>
      </c>
      <c r="BH7" s="321">
        <f>IFERROR(IF(BD7-KI7=0,"",BD7-AK7),"")</f>
        <v>50</v>
      </c>
      <c r="BI7" s="98" t="str">
        <f>IF(AND(AH7&lt;&gt;"SIM",AH7="UH"),"AA","INDENIZAÇÃO")</f>
        <v>INDENIZAÇÃO</v>
      </c>
      <c r="BJ7" s="98" t="str">
        <f>IF(AND(BD7&lt;&gt;"AGUARDANDO",BD7&lt;&gt;"",N7="AUXÍLIO ALUGUEL ATÉ INDENIZAÇÃO"),"SIM","NÃO")</f>
        <v>NÃO</v>
      </c>
      <c r="BK7" s="230" t="s">
        <v>4436</v>
      </c>
      <c r="BL7" s="230" t="s">
        <v>4436</v>
      </c>
      <c r="BM7" s="230" t="s">
        <v>4436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4434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 x14ac:dyDescent="0.25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4437</v>
      </c>
      <c r="G8" s="207" t="s">
        <v>4400</v>
      </c>
      <c r="H8" s="207" t="s">
        <v>4401</v>
      </c>
      <c r="I8" s="207" t="s">
        <v>4402</v>
      </c>
      <c r="J8" s="215" t="s">
        <v>4438</v>
      </c>
      <c r="K8" s="215" t="s">
        <v>4439</v>
      </c>
      <c r="L8" s="215" t="s">
        <v>4440</v>
      </c>
      <c r="M8" s="197" t="s">
        <v>4405</v>
      </c>
      <c r="N8" s="197" t="s">
        <v>4441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4438</v>
      </c>
      <c r="AB8" s="215" t="s">
        <v>4439</v>
      </c>
      <c r="AC8" s="215" t="s">
        <v>4440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>IF(AQ8="SIM","AGUARDANDO CORREÇÃO",IF(AP8&lt;&gt;"","FINALIZADO",IF(AO8&lt;&gt;"","AGUARDANDO ENVIO DTS",IF(AN8&lt;&gt;"","AGUARDANDO ASSINATURA GAB",IF(AM8&lt;&gt;"","AGUARDANDO ASSINATURA CTS",IF(AL8&lt;&gt;"","AGUARDANDO ENVIO ASSINATURA CTS",IF(AK8&lt;&gt;"","AGUARDANDO CONFERÊNCIA","")))))))</f>
        <v>FINALIZADO</v>
      </c>
      <c r="AS8" s="207" t="s">
        <v>4423</v>
      </c>
      <c r="AT8" s="207"/>
      <c r="AU8" s="220" t="s">
        <v>4442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4434</v>
      </c>
      <c r="BF8" s="228" t="s">
        <v>4435</v>
      </c>
      <c r="BG8" s="219" t="s">
        <v>4425</v>
      </c>
      <c r="BH8" s="321">
        <f>IFERROR(IF(BD8-KI8=0,"",BD8-AK8),"")</f>
        <v>84</v>
      </c>
      <c r="BI8" s="98" t="str">
        <f>IF(AND(AH8&lt;&gt;"SIM",AH8="UH"),"AA","INDENIZAÇÃO")</f>
        <v>INDENIZAÇÃO</v>
      </c>
      <c r="BJ8" s="98" t="str">
        <f>IF(AND(BD8&lt;&gt;"AGUARDANDO",BD8&lt;&gt;"",N8="AUXÍLIO ALUGUEL ATÉ INDENIZAÇÃO"),"SIM","NÃO")</f>
        <v>NÃO</v>
      </c>
      <c r="BK8" s="219" t="s">
        <v>4436</v>
      </c>
      <c r="BL8" s="219" t="s">
        <v>4436</v>
      </c>
      <c r="BM8" s="219" t="s">
        <v>4436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4434</v>
      </c>
    </row>
    <row r="9" spans="1:112" s="223" customFormat="1" ht="27" hidden="1" customHeight="1" x14ac:dyDescent="0.25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4443</v>
      </c>
      <c r="G9" s="207" t="s">
        <v>4400</v>
      </c>
      <c r="H9" s="207" t="s">
        <v>4401</v>
      </c>
      <c r="I9" s="163" t="s">
        <v>4421</v>
      </c>
      <c r="J9" s="215" t="s">
        <v>4444</v>
      </c>
      <c r="K9" s="215" t="s">
        <v>4439</v>
      </c>
      <c r="L9" s="215" t="s">
        <v>4445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4444</v>
      </c>
      <c r="AB9" s="215" t="s">
        <v>4439</v>
      </c>
      <c r="AC9" s="215" t="s">
        <v>4445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4432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>IF(AQ9="SIM","AGUARDANDO CORREÇÃO",IF(AP9&lt;&gt;"","FINALIZADO",IF(AO9&lt;&gt;"","AGUARDANDO ENVIO DTS",IF(AN9&lt;&gt;"","AGUARDANDO ASSINATURA GAB",IF(AM9&lt;&gt;"","AGUARDANDO ASSINATURA CTS",IF(AL9&lt;&gt;"","AGUARDANDO ENVIO ASSINATURA CTS",IF(AK9&lt;&gt;"","AGUARDANDO CONFERÊNCIA","")))))))</f>
        <v>AGUARDANDO ASSINATURA GAB</v>
      </c>
      <c r="AS9" s="207" t="s">
        <v>4446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>IFERROR(IF(BD9-KI9=0,"",BD9-AK9),"")</f>
        <v/>
      </c>
      <c r="BI9" s="98" t="str">
        <f>IF(AND(AH9&lt;&gt;"SIM",AH9="UH"),"AA","INDENIZAÇÃO")</f>
        <v>INDENIZAÇÃO</v>
      </c>
      <c r="BJ9" s="98" t="str">
        <f>IF(AND(BD9&lt;&gt;"AGUARDANDO",BD9&lt;&gt;"",N9="AUXÍLIO ALUGUEL ATÉ INDENIZAÇÃO"),"SIM","NÃO")</f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 x14ac:dyDescent="0.25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4447</v>
      </c>
      <c r="G10" s="207" t="s">
        <v>4400</v>
      </c>
      <c r="H10" s="207" t="s">
        <v>4448</v>
      </c>
      <c r="I10" s="163" t="s">
        <v>4421</v>
      </c>
      <c r="J10" s="215" t="s">
        <v>4449</v>
      </c>
      <c r="K10" s="215" t="s">
        <v>4450</v>
      </c>
      <c r="L10" s="215" t="s">
        <v>4451</v>
      </c>
      <c r="M10" s="197" t="s">
        <v>4405</v>
      </c>
      <c r="N10" s="207" t="s">
        <v>4441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4449</v>
      </c>
      <c r="AB10" s="215" t="s">
        <v>4450</v>
      </c>
      <c r="AC10" s="215" t="s">
        <v>4451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>IF(AQ10="SIM","AGUARDANDO CORREÇÃO",IF(AP10&lt;&gt;"","FINALIZADO",IF(AO10&lt;&gt;"","AGUARDANDO ENVIO DTS",IF(AN10&lt;&gt;"","AGUARDANDO ASSINATURA GAB",IF(AM10&lt;&gt;"","AGUARDANDO ASSINATURA CTS",IF(AL10&lt;&gt;"","AGUARDANDO ENVIO ASSINATURA CTS",IF(AK10&lt;&gt;"","AGUARDANDO CONFERÊNCIA","")))))))</f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>IFERROR(IF(BD10-KI10=0,"",BD10-AK10),"")</f>
        <v/>
      </c>
      <c r="BI10" s="98" t="str">
        <f>IF(AND(AH10&lt;&gt;"SIM",AH10="UH"),"AA","INDENIZAÇÃO")</f>
        <v>INDENIZAÇÃO</v>
      </c>
      <c r="BJ10" s="98" t="str">
        <f>IF(AND(BD10&lt;&gt;"AGUARDANDO",BD10&lt;&gt;"",N10="AUXÍLIO ALUGUEL ATÉ INDENIZAÇÃO"),"SIM","NÃO")</f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 x14ac:dyDescent="0.25">
      <c r="A11" s="207">
        <v>7</v>
      </c>
      <c r="B11" s="197" t="s">
        <v>4396</v>
      </c>
      <c r="C11" s="207" t="s">
        <v>4452</v>
      </c>
      <c r="D11" s="207">
        <v>1</v>
      </c>
      <c r="E11" s="207" t="s">
        <v>4398</v>
      </c>
      <c r="F11" s="214" t="s">
        <v>4447</v>
      </c>
      <c r="G11" s="207" t="s">
        <v>4400</v>
      </c>
      <c r="H11" s="207" t="s">
        <v>4401</v>
      </c>
      <c r="I11" s="217" t="s">
        <v>4402</v>
      </c>
      <c r="J11" s="215" t="s">
        <v>4453</v>
      </c>
      <c r="K11" s="214" t="s">
        <v>4454</v>
      </c>
      <c r="L11" s="214" t="s">
        <v>4455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4453</v>
      </c>
      <c r="AB11" s="215" t="s">
        <v>4454</v>
      </c>
      <c r="AC11" s="215" t="s">
        <v>4455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>IF(AQ11="SIM","AGUARDANDO CORREÇÃO",IF(AP11&lt;&gt;"","FINALIZADO",IF(AO11&lt;&gt;"","AGUARDANDO ENVIO DTS",IF(AN11&lt;&gt;"","AGUARDANDO ASSINATURA GAB",IF(AM11&lt;&gt;"","AGUARDANDO ASSINATURA CTS",IF(AL11&lt;&gt;"","AGUARDANDO ENVIO ASSINATURA CTS",IF(AK11&lt;&gt;"","AGUARDANDO CONFERÊNCIA","")))))))</f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>IFERROR(IF(BD11-KI11=0,"",BD11-AK11),"")</f>
        <v/>
      </c>
      <c r="BI11" s="98" t="str">
        <f>IF(AND(AH11&lt;&gt;"SIM",AH11="UH"),"AA","INDENIZAÇÃO")</f>
        <v>AA</v>
      </c>
      <c r="BJ11" s="98" t="str">
        <f>IF(AND(BD11&lt;&gt;"AGUARDANDO",BD11&lt;&gt;"",N11="AUXÍLIO ALUGUEL ATÉ INDENIZAÇÃO"),"SIM","NÃO")</f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customHeight="1" x14ac:dyDescent="0.25">
      <c r="A12" s="207">
        <v>8</v>
      </c>
      <c r="B12" s="197" t="s">
        <v>4396</v>
      </c>
      <c r="C12" s="207" t="s">
        <v>4426</v>
      </c>
      <c r="D12" s="207">
        <v>1</v>
      </c>
      <c r="E12" s="207" t="s">
        <v>4398</v>
      </c>
      <c r="F12" s="214" t="s">
        <v>4447</v>
      </c>
      <c r="G12" s="207" t="s">
        <v>4400</v>
      </c>
      <c r="H12" s="207" t="s">
        <v>4401</v>
      </c>
      <c r="I12" s="217" t="s">
        <v>4402</v>
      </c>
      <c r="J12" s="215" t="s">
        <v>4456</v>
      </c>
      <c r="K12" s="214" t="s">
        <v>4398</v>
      </c>
      <c r="L12" s="214" t="s">
        <v>4457</v>
      </c>
      <c r="M12" s="197" t="s">
        <v>4405</v>
      </c>
      <c r="N12" s="207" t="s">
        <v>4441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4456</v>
      </c>
      <c r="AB12" s="214" t="s">
        <v>4398</v>
      </c>
      <c r="AC12" s="214" t="s">
        <v>4457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4432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>IF(AQ12="SIM","AGUARDANDO CORREÇÃO",IF(AP12&lt;&gt;"","FINALIZADO",IF(AO12&lt;&gt;"","AGUARDANDO ENVIO DTS",IF(AN12&lt;&gt;"","AGUARDANDO ASSINATURA GAB",IF(AM12&lt;&gt;"","AGUARDANDO ASSINATURA CTS",IF(AL12&lt;&gt;"","AGUARDANDO ENVIO ASSINATURA CTS",IF(AK12&lt;&gt;"","AGUARDANDO CONFERÊNCIA","")))))))</f>
        <v>FINALIZADO</v>
      </c>
      <c r="AS12" s="207" t="s">
        <v>4423</v>
      </c>
      <c r="AT12" s="207"/>
      <c r="AU12" s="220" t="s">
        <v>4458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4434</v>
      </c>
      <c r="BF12" s="228" t="s">
        <v>4435</v>
      </c>
      <c r="BG12" s="229" t="s">
        <v>4425</v>
      </c>
      <c r="BH12" s="321">
        <f>IFERROR(IF(BD12-KI12=0,"",BD12-AK12),"")</f>
        <v>36</v>
      </c>
      <c r="BI12" s="98" t="str">
        <f>IF(AND(AH12&lt;&gt;"SIM",AH12="UH"),"AA","INDENIZAÇÃO")</f>
        <v>INDENIZAÇÃO</v>
      </c>
      <c r="BJ12" s="98" t="str">
        <f>IF(AND(BD12&lt;&gt;"AGUARDANDO",BD12&lt;&gt;"",N12="AUXÍLIO ALUGUEL ATÉ INDENIZAÇÃO"),"SIM","NÃO")</f>
        <v>NÃO</v>
      </c>
      <c r="BK12" s="230" t="s">
        <v>4436</v>
      </c>
      <c r="BL12" s="230" t="s">
        <v>4436</v>
      </c>
      <c r="BM12" s="230" t="s">
        <v>4436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4434</v>
      </c>
    </row>
    <row r="13" spans="1:112" s="223" customFormat="1" ht="27" hidden="1" customHeight="1" x14ac:dyDescent="0.25">
      <c r="A13" s="207">
        <v>9</v>
      </c>
      <c r="B13" s="197" t="s">
        <v>4396</v>
      </c>
      <c r="C13" s="207" t="s">
        <v>4452</v>
      </c>
      <c r="D13" s="207">
        <v>1</v>
      </c>
      <c r="E13" s="207" t="s">
        <v>4398</v>
      </c>
      <c r="F13" s="214" t="s">
        <v>4459</v>
      </c>
      <c r="G13" s="207" t="s">
        <v>4400</v>
      </c>
      <c r="H13" s="207" t="s">
        <v>4401</v>
      </c>
      <c r="I13" s="217" t="s">
        <v>4402</v>
      </c>
      <c r="J13" s="215" t="s">
        <v>4460</v>
      </c>
      <c r="K13" s="215" t="s">
        <v>4461</v>
      </c>
      <c r="L13" s="215" t="s">
        <v>4462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4460</v>
      </c>
      <c r="AB13" s="215" t="s">
        <v>4461</v>
      </c>
      <c r="AC13" s="215" t="s">
        <v>4462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>IF(AQ13="SIM","AGUARDANDO CORREÇÃO",IF(AP13&lt;&gt;"","FINALIZADO",IF(AO13&lt;&gt;"","AGUARDANDO ENVIO DTS",IF(AN13&lt;&gt;"","AGUARDANDO ASSINATURA GAB",IF(AM13&lt;&gt;"","AGUARDANDO ASSINATURA CTS",IF(AL13&lt;&gt;"","AGUARDANDO ENVIO ASSINATURA CTS",IF(AK13&lt;&gt;"","AGUARDANDO CONFERÊNCIA","")))))))</f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>IFERROR(IF(BD13-KI13=0,"",BD13-AK13),"")</f>
        <v/>
      </c>
      <c r="BI13" s="98" t="str">
        <f>IF(AND(AH13&lt;&gt;"SIM",AH13="UH"),"AA","INDENIZAÇÃO")</f>
        <v>AA</v>
      </c>
      <c r="BJ13" s="98" t="str">
        <f>IF(AND(BD13&lt;&gt;"AGUARDANDO",BD13&lt;&gt;"",N13="AUXÍLIO ALUGUEL ATÉ INDENIZAÇÃO"),"SIM","NÃO")</f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 x14ac:dyDescent="0.25">
      <c r="A14" s="197">
        <v>10</v>
      </c>
      <c r="B14" s="197" t="s">
        <v>4396</v>
      </c>
      <c r="C14" s="207" t="s">
        <v>4426</v>
      </c>
      <c r="D14" s="207">
        <v>1</v>
      </c>
      <c r="E14" s="207" t="s">
        <v>4398</v>
      </c>
      <c r="F14" s="214" t="s">
        <v>4459</v>
      </c>
      <c r="G14" s="207" t="s">
        <v>4400</v>
      </c>
      <c r="H14" s="207" t="s">
        <v>4401</v>
      </c>
      <c r="I14" s="217" t="s">
        <v>4402</v>
      </c>
      <c r="J14" s="215" t="s">
        <v>4463</v>
      </c>
      <c r="K14" s="214" t="s">
        <v>4398</v>
      </c>
      <c r="L14" s="214" t="s">
        <v>4464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4463</v>
      </c>
      <c r="AB14" s="214" t="s">
        <v>4398</v>
      </c>
      <c r="AC14" s="214" t="s">
        <v>4464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>IF(AQ14="SIM","AGUARDANDO CORREÇÃO",IF(AP14&lt;&gt;"","FINALIZADO",IF(AO14&lt;&gt;"","AGUARDANDO ENVIO DTS",IF(AN14&lt;&gt;"","AGUARDANDO ASSINATURA GAB",IF(AM14&lt;&gt;"","AGUARDANDO ASSINATURA CTS",IF(AL14&lt;&gt;"","AGUARDANDO ENVIO ASSINATURA CTS",IF(AK14&lt;&gt;"","AGUARDANDO CONFERÊNCIA","")))))))</f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>IFERROR(IF(BD14-KI14=0,"",BD14-AK14),"")</f>
        <v/>
      </c>
      <c r="BI14" s="98" t="str">
        <f>IF(AND(AH14&lt;&gt;"SIM",AH14="UH"),"AA","INDENIZAÇÃO")</f>
        <v>AA</v>
      </c>
      <c r="BJ14" s="98" t="str">
        <f>IF(AND(BD14&lt;&gt;"AGUARDANDO",BD14&lt;&gt;"",N14="AUXÍLIO ALUGUEL ATÉ INDENIZAÇÃO"),"SIM","NÃO")</f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 x14ac:dyDescent="0.25">
      <c r="A15" s="197">
        <v>11</v>
      </c>
      <c r="B15" s="197" t="s">
        <v>4396</v>
      </c>
      <c r="C15" s="207" t="s">
        <v>4426</v>
      </c>
      <c r="D15" s="207">
        <v>1</v>
      </c>
      <c r="E15" s="250" t="s">
        <v>4398</v>
      </c>
      <c r="F15" s="214" t="s">
        <v>4465</v>
      </c>
      <c r="G15" s="207" t="s">
        <v>4400</v>
      </c>
      <c r="H15" s="207" t="s">
        <v>4401</v>
      </c>
      <c r="I15" s="217" t="s">
        <v>4402</v>
      </c>
      <c r="J15" s="215" t="s">
        <v>4466</v>
      </c>
      <c r="K15" s="214" t="s">
        <v>4467</v>
      </c>
      <c r="L15" s="214" t="s">
        <v>4468</v>
      </c>
      <c r="M15" s="197" t="s">
        <v>4405</v>
      </c>
      <c r="N15" s="197" t="s">
        <v>4441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4466</v>
      </c>
      <c r="AB15" s="214" t="s">
        <v>4467</v>
      </c>
      <c r="AC15" s="214" t="s">
        <v>4468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4432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>IF(AQ15="SIM","AGUARDANDO CORREÇÃO",IF(AP15&lt;&gt;"","FINALIZADO",IF(AO15&lt;&gt;"","AGUARDANDO ENVIO DTS",IF(AN15&lt;&gt;"","AGUARDANDO ASSINATURA GAB",IF(AM15&lt;&gt;"","AGUARDANDO ASSINATURA CTS",IF(AL15&lt;&gt;"","AGUARDANDO ENVIO ASSINATURA CTS",IF(AK15&lt;&gt;"","AGUARDANDO CONFERÊNCIA","")))))))</f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>IFERROR(IF(BD15-KI15=0,"",BD15-AK15),"")</f>
        <v/>
      </c>
      <c r="BI15" s="98" t="str">
        <f>IF(AND(AH15&lt;&gt;"SIM",AH15="UH"),"AA","INDENIZAÇÃO")</f>
        <v>INDENIZAÇÃO</v>
      </c>
      <c r="BJ15" s="98" t="str">
        <f>IF(AND(BD15&lt;&gt;"AGUARDANDO",BD15&lt;&gt;"",N15="AUXÍLIO ALUGUEL ATÉ INDENIZAÇÃO"),"SIM","NÃO")</f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 x14ac:dyDescent="0.25">
      <c r="A16" s="207">
        <v>12</v>
      </c>
      <c r="B16" s="197" t="s">
        <v>4396</v>
      </c>
      <c r="C16" s="207" t="s">
        <v>4426</v>
      </c>
      <c r="D16" s="207">
        <v>1</v>
      </c>
      <c r="E16" s="207" t="s">
        <v>4398</v>
      </c>
      <c r="F16" s="214" t="s">
        <v>4469</v>
      </c>
      <c r="G16" s="207" t="s">
        <v>4400</v>
      </c>
      <c r="H16" s="207" t="s">
        <v>4401</v>
      </c>
      <c r="I16" s="217" t="s">
        <v>4402</v>
      </c>
      <c r="J16" s="215" t="s">
        <v>4470</v>
      </c>
      <c r="K16" s="214" t="s">
        <v>4471</v>
      </c>
      <c r="L16" s="214" t="s">
        <v>4472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4470</v>
      </c>
      <c r="AB16" s="214" t="s">
        <v>4471</v>
      </c>
      <c r="AC16" s="214" t="s">
        <v>4472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>IF(AQ16="SIM","AGUARDANDO CORREÇÃO",IF(AP16&lt;&gt;"","FINALIZADO",IF(AO16&lt;&gt;"","AGUARDANDO ENVIO DTS",IF(AN16&lt;&gt;"","AGUARDANDO ASSINATURA GAB",IF(AM16&lt;&gt;"","AGUARDANDO ASSINATURA CTS",IF(AL16&lt;&gt;"","AGUARDANDO ENVIO ASSINATURA CTS",IF(AK16&lt;&gt;"","AGUARDANDO CONFERÊNCIA","")))))))</f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>IFERROR(IF(BD16-KI16=0,"",BD16-AK16),"")</f>
        <v/>
      </c>
      <c r="BI16" s="98" t="str">
        <f>IF(AND(AH16&lt;&gt;"SIM",AH16="UH"),"AA","INDENIZAÇÃO")</f>
        <v>AA</v>
      </c>
      <c r="BJ16" s="98" t="str">
        <f>IF(AND(BD16&lt;&gt;"AGUARDANDO",BD16&lt;&gt;"",N16="AUXÍLIO ALUGUEL ATÉ INDENIZAÇÃO"),"SIM","NÃO")</f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customHeight="1" x14ac:dyDescent="0.25">
      <c r="A17" s="207">
        <v>13</v>
      </c>
      <c r="B17" s="197" t="s">
        <v>4396</v>
      </c>
      <c r="C17" s="207" t="s">
        <v>4426</v>
      </c>
      <c r="D17" s="207">
        <v>1</v>
      </c>
      <c r="E17" s="207" t="s">
        <v>4398</v>
      </c>
      <c r="F17" s="214" t="s">
        <v>4473</v>
      </c>
      <c r="G17" s="207" t="s">
        <v>4400</v>
      </c>
      <c r="H17" s="207" t="s">
        <v>4401</v>
      </c>
      <c r="I17" s="217" t="s">
        <v>4402</v>
      </c>
      <c r="J17" s="215" t="s">
        <v>4474</v>
      </c>
      <c r="K17" s="214" t="s">
        <v>4475</v>
      </c>
      <c r="L17" s="214" t="s">
        <v>4476</v>
      </c>
      <c r="M17" s="197" t="s">
        <v>4405</v>
      </c>
      <c r="N17" s="197" t="s">
        <v>4441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4474</v>
      </c>
      <c r="AB17" s="214" t="s">
        <v>4475</v>
      </c>
      <c r="AC17" s="214" t="s">
        <v>4476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>IF(AQ17="SIM","AGUARDANDO CORREÇÃO",IF(AP17&lt;&gt;"","FINALIZADO",IF(AO17&lt;&gt;"","AGUARDANDO ENVIO DTS",IF(AN17&lt;&gt;"","AGUARDANDO ASSINATURA GAB",IF(AM17&lt;&gt;"","AGUARDANDO ASSINATURA CTS",IF(AL17&lt;&gt;"","AGUARDANDO ENVIO ASSINATURA CTS",IF(AK17&lt;&gt;"","AGUARDANDO CONFERÊNCIA","")))))))</f>
        <v>FINALIZADO</v>
      </c>
      <c r="AS17" s="207" t="s">
        <v>4423</v>
      </c>
      <c r="AT17" s="207"/>
      <c r="AU17" s="220" t="s">
        <v>4477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4434</v>
      </c>
      <c r="BF17" s="236" t="s">
        <v>4435</v>
      </c>
      <c r="BG17" s="237" t="s">
        <v>4425</v>
      </c>
      <c r="BH17" s="321">
        <f>IFERROR(IF(BD17-KI17=0,"",BD17-AK17),"")</f>
        <v>96</v>
      </c>
      <c r="BI17" s="98" t="str">
        <f>IF(AND(AH17&lt;&gt;"SIM",AH17="UH"),"AA","INDENIZAÇÃO")</f>
        <v>INDENIZAÇÃO</v>
      </c>
      <c r="BJ17" s="98" t="str">
        <f>IF(AND(BD17&lt;&gt;"AGUARDANDO",BD17&lt;&gt;"",N17="AUXÍLIO ALUGUEL ATÉ INDENIZAÇÃO"),"SIM","NÃO")</f>
        <v>NÃO</v>
      </c>
      <c r="BK17" s="238" t="s">
        <v>4436</v>
      </c>
      <c r="BL17" s="238" t="s">
        <v>4436</v>
      </c>
      <c r="BM17" s="238" t="s">
        <v>4436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4434</v>
      </c>
    </row>
    <row r="18" spans="1:112" s="223" customFormat="1" ht="27" hidden="1" customHeight="1" x14ac:dyDescent="0.25">
      <c r="A18" s="207">
        <v>14</v>
      </c>
      <c r="B18" s="197" t="s">
        <v>4396</v>
      </c>
      <c r="C18" s="207" t="s">
        <v>4426</v>
      </c>
      <c r="D18" s="207">
        <v>1</v>
      </c>
      <c r="E18" s="207" t="s">
        <v>4398</v>
      </c>
      <c r="F18" s="214" t="s">
        <v>4478</v>
      </c>
      <c r="G18" s="207" t="s">
        <v>4400</v>
      </c>
      <c r="H18" s="207" t="s">
        <v>4401</v>
      </c>
      <c r="I18" s="217" t="s">
        <v>4402</v>
      </c>
      <c r="J18" s="215" t="s">
        <v>4479</v>
      </c>
      <c r="K18" s="214" t="s">
        <v>4480</v>
      </c>
      <c r="L18" s="214" t="s">
        <v>4481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4479</v>
      </c>
      <c r="AB18" s="214" t="s">
        <v>4480</v>
      </c>
      <c r="AC18" s="214" t="s">
        <v>4481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>IF(AQ18="SIM","AGUARDANDO CORREÇÃO",IF(AP18&lt;&gt;"","FINALIZADO",IF(AO18&lt;&gt;"","AGUARDANDO ENVIO DTS",IF(AN18&lt;&gt;"","AGUARDANDO ASSINATURA GAB",IF(AM18&lt;&gt;"","AGUARDANDO ASSINATURA CTS",IF(AL18&lt;&gt;"","AGUARDANDO ENVIO ASSINATURA CTS",IF(AK18&lt;&gt;"","AGUARDANDO CONFERÊNCIA","")))))))</f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>IFERROR(IF(BD18-KI18=0,"",BD18-AK18),"")</f>
        <v/>
      </c>
      <c r="BI18" s="98" t="str">
        <f>IF(AND(AH18&lt;&gt;"SIM",AH18="UH"),"AA","INDENIZAÇÃO")</f>
        <v>AA</v>
      </c>
      <c r="BJ18" s="98" t="str">
        <f>IF(AND(BD18&lt;&gt;"AGUARDANDO",BD18&lt;&gt;"",N18="AUXÍLIO ALUGUEL ATÉ INDENIZAÇÃO"),"SIM","NÃO")</f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customHeight="1" x14ac:dyDescent="0.25">
      <c r="A19" s="197">
        <v>15</v>
      </c>
      <c r="B19" s="197" t="s">
        <v>4396</v>
      </c>
      <c r="C19" s="207" t="s">
        <v>4426</v>
      </c>
      <c r="D19" s="207">
        <v>1</v>
      </c>
      <c r="E19" s="207" t="s">
        <v>4398</v>
      </c>
      <c r="F19" s="214" t="s">
        <v>4482</v>
      </c>
      <c r="G19" s="207" t="s">
        <v>4483</v>
      </c>
      <c r="H19" s="207" t="s">
        <v>4401</v>
      </c>
      <c r="I19" s="217" t="s">
        <v>4402</v>
      </c>
      <c r="J19" s="215" t="s">
        <v>4484</v>
      </c>
      <c r="K19" s="214" t="s">
        <v>4398</v>
      </c>
      <c r="L19" s="214" t="s">
        <v>4485</v>
      </c>
      <c r="M19" s="197" t="s">
        <v>4405</v>
      </c>
      <c r="N19" s="197" t="s">
        <v>4441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4486</v>
      </c>
      <c r="AB19" s="215" t="s">
        <v>4487</v>
      </c>
      <c r="AC19" s="215" t="s">
        <v>4488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4432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>IF(AQ19="SIM","AGUARDANDO CORREÇÃO",IF(AP19&lt;&gt;"","FINALIZADO",IF(AO19&lt;&gt;"","AGUARDANDO ENVIO DTS",IF(AN19&lt;&gt;"","AGUARDANDO ASSINATURA GAB",IF(AM19&lt;&gt;"","AGUARDANDO ASSINATURA CTS",IF(AL19&lt;&gt;"","AGUARDANDO ENVIO ASSINATURA CTS",IF(AK19&lt;&gt;"","AGUARDANDO CONFERÊNCIA","")))))))</f>
        <v>FINALIZADO</v>
      </c>
      <c r="AS19" s="207" t="s">
        <v>4423</v>
      </c>
      <c r="AT19" s="207"/>
      <c r="AU19" s="220" t="s">
        <v>4489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4434</v>
      </c>
      <c r="BF19" s="228" t="s">
        <v>4435</v>
      </c>
      <c r="BG19" s="229" t="s">
        <v>4425</v>
      </c>
      <c r="BH19" s="321">
        <f>IFERROR(IF(BD19-KI19=0,"",BD19-AK19),"")</f>
        <v>48</v>
      </c>
      <c r="BI19" s="98" t="str">
        <f>IF(AND(AH19&lt;&gt;"SIM",AH19="UH"),"AA","INDENIZAÇÃO")</f>
        <v>INDENIZAÇÃO</v>
      </c>
      <c r="BJ19" s="98" t="str">
        <f>IF(AND(BD19&lt;&gt;"AGUARDANDO",BD19&lt;&gt;"",N19="AUXÍLIO ALUGUEL ATÉ INDENIZAÇÃO"),"SIM","NÃO")</f>
        <v>NÃO</v>
      </c>
      <c r="BK19" s="230" t="s">
        <v>4436</v>
      </c>
      <c r="BL19" s="230" t="s">
        <v>4436</v>
      </c>
      <c r="BM19" s="230" t="s">
        <v>4436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4434</v>
      </c>
      <c r="BS19" s="240"/>
      <c r="BT19" s="240"/>
      <c r="BU19" s="240"/>
      <c r="BV19" s="240"/>
    </row>
    <row r="20" spans="1:112" s="223" customFormat="1" ht="27" customHeight="1" x14ac:dyDescent="0.25">
      <c r="A20" s="197">
        <v>16</v>
      </c>
      <c r="B20" s="197" t="s">
        <v>4396</v>
      </c>
      <c r="C20" s="207" t="s">
        <v>4426</v>
      </c>
      <c r="D20" s="207">
        <v>1</v>
      </c>
      <c r="E20" s="207" t="s">
        <v>4398</v>
      </c>
      <c r="F20" s="214" t="s">
        <v>4490</v>
      </c>
      <c r="G20" s="207" t="s">
        <v>4400</v>
      </c>
      <c r="H20" s="207" t="s">
        <v>4401</v>
      </c>
      <c r="I20" s="217" t="s">
        <v>4402</v>
      </c>
      <c r="J20" s="215" t="s">
        <v>4491</v>
      </c>
      <c r="K20" s="214" t="s">
        <v>4492</v>
      </c>
      <c r="L20" s="214" t="s">
        <v>4493</v>
      </c>
      <c r="M20" s="197" t="s">
        <v>4405</v>
      </c>
      <c r="N20" s="197" t="s">
        <v>4441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4491</v>
      </c>
      <c r="AB20" s="214" t="s">
        <v>4492</v>
      </c>
      <c r="AC20" s="214" t="s">
        <v>4493</v>
      </c>
      <c r="AD20" s="207" t="s">
        <v>4402</v>
      </c>
      <c r="AE20" s="207" t="s">
        <v>4494</v>
      </c>
      <c r="AF20" s="218">
        <v>17173.63</v>
      </c>
      <c r="AG20" s="218">
        <v>47173.63</v>
      </c>
      <c r="AH20" s="207" t="s">
        <v>4432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>IF(AQ20="SIM","AGUARDANDO CORREÇÃO",IF(AP20&lt;&gt;"","FINALIZADO",IF(AO20&lt;&gt;"","AGUARDANDO ENVIO DTS",IF(AN20&lt;&gt;"","AGUARDANDO ASSINATURA GAB",IF(AM20&lt;&gt;"","AGUARDANDO ASSINATURA CTS",IF(AL20&lt;&gt;"","AGUARDANDO ENVIO ASSINATURA CTS",IF(AK20&lt;&gt;"","AGUARDANDO CONFERÊNCIA","")))))))</f>
        <v>FINALIZADO</v>
      </c>
      <c r="AS20" s="207" t="s">
        <v>4423</v>
      </c>
      <c r="AT20" s="207"/>
      <c r="AU20" s="220" t="s">
        <v>4495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4434</v>
      </c>
      <c r="BF20" s="228" t="s">
        <v>4435</v>
      </c>
      <c r="BG20" s="229" t="s">
        <v>4425</v>
      </c>
      <c r="BH20" s="321">
        <f>IFERROR(IF(BD20-KI20=0,"",BD20-AK20),"")</f>
        <v>58</v>
      </c>
      <c r="BI20" s="98" t="str">
        <f>IF(AND(AH20&lt;&gt;"SIM",AH20="UH"),"AA","INDENIZAÇÃO")</f>
        <v>INDENIZAÇÃO</v>
      </c>
      <c r="BJ20" s="98" t="str">
        <f>IF(AND(BD20&lt;&gt;"AGUARDANDO",BD20&lt;&gt;"",N20="AUXÍLIO ALUGUEL ATÉ INDENIZAÇÃO"),"SIM","NÃO")</f>
        <v>NÃO</v>
      </c>
      <c r="BK20" s="230" t="s">
        <v>4436</v>
      </c>
      <c r="BL20" s="230" t="s">
        <v>4436</v>
      </c>
      <c r="BM20" s="230" t="s">
        <v>4436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4434</v>
      </c>
    </row>
    <row r="21" spans="1:112" s="223" customFormat="1" ht="27" customHeight="1" x14ac:dyDescent="0.25">
      <c r="A21" s="207">
        <v>17</v>
      </c>
      <c r="B21" s="197" t="s">
        <v>4396</v>
      </c>
      <c r="C21" s="207" t="s">
        <v>4426</v>
      </c>
      <c r="D21" s="207">
        <v>1</v>
      </c>
      <c r="E21" s="207" t="s">
        <v>4398</v>
      </c>
      <c r="F21" s="214" t="s">
        <v>4496</v>
      </c>
      <c r="G21" s="207" t="s">
        <v>4400</v>
      </c>
      <c r="H21" s="207" t="s">
        <v>4401</v>
      </c>
      <c r="I21" s="163" t="s">
        <v>4421</v>
      </c>
      <c r="J21" s="215" t="s">
        <v>4497</v>
      </c>
      <c r="K21" s="214" t="s">
        <v>4498</v>
      </c>
      <c r="L21" s="214" t="s">
        <v>4499</v>
      </c>
      <c r="M21" s="197" t="s">
        <v>4405</v>
      </c>
      <c r="N21" s="207" t="s">
        <v>4441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4497</v>
      </c>
      <c r="AB21" s="214" t="s">
        <v>4498</v>
      </c>
      <c r="AC21" s="214" t="s">
        <v>4499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4432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>IF(AQ21="SIM","AGUARDANDO CORREÇÃO",IF(AP21&lt;&gt;"","FINALIZADO",IF(AO21&lt;&gt;"","AGUARDANDO ENVIO DTS",IF(AN21&lt;&gt;"","AGUARDANDO ASSINATURA GAB",IF(AM21&lt;&gt;"","AGUARDANDO ASSINATURA CTS",IF(AL21&lt;&gt;"","AGUARDANDO ENVIO ASSINATURA CTS",IF(AK21&lt;&gt;"","AGUARDANDO CONFERÊNCIA","")))))))</f>
        <v>FINALIZADO</v>
      </c>
      <c r="AS21" s="207" t="s">
        <v>4423</v>
      </c>
      <c r="AT21" s="207"/>
      <c r="AU21" s="220" t="s">
        <v>4500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4434</v>
      </c>
      <c r="BF21" s="228" t="s">
        <v>4435</v>
      </c>
      <c r="BG21" s="229" t="s">
        <v>4425</v>
      </c>
      <c r="BH21" s="321">
        <f>IFERROR(IF(BD21-KI21=0,"",BD21-AK21),"")</f>
        <v>36</v>
      </c>
      <c r="BI21" s="98" t="str">
        <f>IF(AND(AH21&lt;&gt;"SIM",AH21="UH"),"AA","INDENIZAÇÃO")</f>
        <v>INDENIZAÇÃO</v>
      </c>
      <c r="BJ21" s="98" t="str">
        <f>IF(AND(BD21&lt;&gt;"AGUARDANDO",BD21&lt;&gt;"",N21="AUXÍLIO ALUGUEL ATÉ INDENIZAÇÃO"),"SIM","NÃO")</f>
        <v>NÃO</v>
      </c>
      <c r="BK21" s="230" t="s">
        <v>4436</v>
      </c>
      <c r="BL21" s="230" t="s">
        <v>4436</v>
      </c>
      <c r="BM21" s="230" t="s">
        <v>4436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4434</v>
      </c>
    </row>
    <row r="22" spans="1:112" s="223" customFormat="1" ht="27" hidden="1" customHeight="1" x14ac:dyDescent="0.25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4501</v>
      </c>
      <c r="G22" s="207" t="s">
        <v>4400</v>
      </c>
      <c r="H22" s="207" t="s">
        <v>4448</v>
      </c>
      <c r="I22" s="163" t="s">
        <v>4421</v>
      </c>
      <c r="J22" s="215" t="s">
        <v>4502</v>
      </c>
      <c r="K22" s="215" t="s">
        <v>4503</v>
      </c>
      <c r="L22" s="215" t="s">
        <v>4504</v>
      </c>
      <c r="M22" s="197" t="s">
        <v>4405</v>
      </c>
      <c r="N22" s="207" t="s">
        <v>4441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>IF(AQ22="SIM","AGUARDANDO CORREÇÃO",IF(AP22&lt;&gt;"","FINALIZADO",IF(AO22&lt;&gt;"","AGUARDANDO ENVIO DTS",IF(AN22&lt;&gt;"","AGUARDANDO ASSINATURA GAB",IF(AM22&lt;&gt;"","AGUARDANDO ASSINATURA CTS",IF(AL22&lt;&gt;"","AGUARDANDO ENVIO ASSINATURA CTS",IF(AK22&lt;&gt;"","AGUARDANDO CONFERÊNCIA","")))))))</f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>IFERROR(IF(BD22-KI22=0,"",BD22-AK22),"")</f>
        <v/>
      </c>
      <c r="BI22" s="98" t="str">
        <f>IF(AND(AH22&lt;&gt;"SIM",AH22="UH"),"AA","INDENIZAÇÃO")</f>
        <v>INDENIZAÇÃO</v>
      </c>
      <c r="BJ22" s="98" t="str">
        <f>IF(AND(BD22&lt;&gt;"AGUARDANDO",BD22&lt;&gt;"",N22="AUXÍLIO ALUGUEL ATÉ INDENIZAÇÃO"),"SIM","NÃO")</f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 x14ac:dyDescent="0.25">
      <c r="A23" s="207">
        <v>19</v>
      </c>
      <c r="B23" s="197" t="s">
        <v>4396</v>
      </c>
      <c r="C23" s="207" t="s">
        <v>4426</v>
      </c>
      <c r="D23" s="207">
        <v>1</v>
      </c>
      <c r="E23" s="207" t="s">
        <v>4398</v>
      </c>
      <c r="F23" s="214" t="s">
        <v>4501</v>
      </c>
      <c r="G23" s="207" t="s">
        <v>4400</v>
      </c>
      <c r="H23" s="207" t="s">
        <v>4401</v>
      </c>
      <c r="I23" s="217" t="s">
        <v>4402</v>
      </c>
      <c r="J23" s="215" t="s">
        <v>4505</v>
      </c>
      <c r="K23" s="215" t="s">
        <v>4506</v>
      </c>
      <c r="L23" s="215" t="s">
        <v>4507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4505</v>
      </c>
      <c r="AB23" s="215" t="s">
        <v>4506</v>
      </c>
      <c r="AC23" s="215" t="s">
        <v>4507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>IF(AQ23="SIM","AGUARDANDO CORREÇÃO",IF(AP23&lt;&gt;"","FINALIZADO",IF(AO23&lt;&gt;"","AGUARDANDO ENVIO DTS",IF(AN23&lt;&gt;"","AGUARDANDO ASSINATURA GAB",IF(AM23&lt;&gt;"","AGUARDANDO ASSINATURA CTS",IF(AL23&lt;&gt;"","AGUARDANDO ENVIO ASSINATURA CTS",IF(AK23&lt;&gt;"","AGUARDANDO CONFERÊNCIA","")))))))</f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>IFERROR(IF(BD23-KI23=0,"",BD23-AK23),"")</f>
        <v/>
      </c>
      <c r="BI23" s="98" t="str">
        <f>IF(AND(AH23&lt;&gt;"SIM",AH23="UH"),"AA","INDENIZAÇÃO")</f>
        <v>AA</v>
      </c>
      <c r="BJ23" s="98" t="str">
        <f>IF(AND(BD23&lt;&gt;"AGUARDANDO",BD23&lt;&gt;"",N23="AUXÍLIO ALUGUEL ATÉ INDENIZAÇÃO"),"SIM","NÃO")</f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 x14ac:dyDescent="0.25">
      <c r="A24" s="197">
        <v>20</v>
      </c>
      <c r="B24" s="197" t="s">
        <v>4396</v>
      </c>
      <c r="C24" s="207" t="s">
        <v>4452</v>
      </c>
      <c r="D24" s="207">
        <v>1</v>
      </c>
      <c r="E24" s="207" t="s">
        <v>4398</v>
      </c>
      <c r="F24" s="214" t="s">
        <v>4501</v>
      </c>
      <c r="G24" s="207" t="s">
        <v>4400</v>
      </c>
      <c r="H24" s="207" t="s">
        <v>4401</v>
      </c>
      <c r="I24" s="217" t="s">
        <v>4402</v>
      </c>
      <c r="J24" s="215" t="s">
        <v>4508</v>
      </c>
      <c r="K24" s="214" t="s">
        <v>4509</v>
      </c>
      <c r="L24" s="214" t="s">
        <v>4510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4508</v>
      </c>
      <c r="AB24" s="215" t="s">
        <v>4509</v>
      </c>
      <c r="AC24" s="215" t="s">
        <v>4510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>IF(AQ24="SIM","AGUARDANDO CORREÇÃO",IF(AP24&lt;&gt;"","FINALIZADO",IF(AO24&lt;&gt;"","AGUARDANDO ENVIO DTS",IF(AN24&lt;&gt;"","AGUARDANDO ASSINATURA GAB",IF(AM24&lt;&gt;"","AGUARDANDO ASSINATURA CTS",IF(AL24&lt;&gt;"","AGUARDANDO ENVIO ASSINATURA CTS",IF(AK24&lt;&gt;"","AGUARDANDO CONFERÊNCIA","")))))))</f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>IFERROR(IF(BD24-KI24=0,"",BD24-AK24),"")</f>
        <v/>
      </c>
      <c r="BI24" s="98" t="str">
        <f>IF(AND(AH24&lt;&gt;"SIM",AH24="UH"),"AA","INDENIZAÇÃO")</f>
        <v>AA</v>
      </c>
      <c r="BJ24" s="98" t="str">
        <f>IF(AND(BD24&lt;&gt;"AGUARDANDO",BD24&lt;&gt;"",N24="AUXÍLIO ALUGUEL ATÉ INDENIZAÇÃO"),"SIM","NÃO")</f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 x14ac:dyDescent="0.25">
      <c r="A25" s="197">
        <v>21</v>
      </c>
      <c r="B25" s="197" t="s">
        <v>4396</v>
      </c>
      <c r="C25" s="207" t="s">
        <v>4452</v>
      </c>
      <c r="D25" s="207">
        <v>1</v>
      </c>
      <c r="E25" s="207" t="s">
        <v>4398</v>
      </c>
      <c r="F25" s="214" t="s">
        <v>4511</v>
      </c>
      <c r="G25" s="207" t="s">
        <v>4400</v>
      </c>
      <c r="H25" s="207" t="s">
        <v>4401</v>
      </c>
      <c r="I25" s="217" t="s">
        <v>4402</v>
      </c>
      <c r="J25" s="215" t="s">
        <v>4512</v>
      </c>
      <c r="K25" s="214" t="s">
        <v>4513</v>
      </c>
      <c r="L25" s="214" t="s">
        <v>4514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4512</v>
      </c>
      <c r="AB25" s="215" t="s">
        <v>4513</v>
      </c>
      <c r="AC25" s="215" t="s">
        <v>4514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>IF(AQ25="SIM","AGUARDANDO CORREÇÃO",IF(AP25&lt;&gt;"","FINALIZADO",IF(AO25&lt;&gt;"","AGUARDANDO ENVIO DTS",IF(AN25&lt;&gt;"","AGUARDANDO ASSINATURA GAB",IF(AM25&lt;&gt;"","AGUARDANDO ASSINATURA CTS",IF(AL25&lt;&gt;"","AGUARDANDO ENVIO ASSINATURA CTS",IF(AK25&lt;&gt;"","AGUARDANDO CONFERÊNCIA","")))))))</f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>IFERROR(IF(BD25-KI25=0,"",BD25-AK25),"")</f>
        <v/>
      </c>
      <c r="BI25" s="98" t="str">
        <f>IF(AND(AH25&lt;&gt;"SIM",AH25="UH"),"AA","INDENIZAÇÃO")</f>
        <v>AA</v>
      </c>
      <c r="BJ25" s="98" t="str">
        <f>IF(AND(BD25&lt;&gt;"AGUARDANDO",BD25&lt;&gt;"",N25="AUXÍLIO ALUGUEL ATÉ INDENIZAÇÃO"),"SIM","NÃO")</f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customHeight="1" x14ac:dyDescent="0.25">
      <c r="A26" s="207">
        <v>22</v>
      </c>
      <c r="B26" s="197" t="s">
        <v>4396</v>
      </c>
      <c r="C26" s="207" t="s">
        <v>4426</v>
      </c>
      <c r="D26" s="207">
        <v>1</v>
      </c>
      <c r="E26" s="207" t="s">
        <v>4398</v>
      </c>
      <c r="F26" s="214" t="s">
        <v>4511</v>
      </c>
      <c r="G26" s="207" t="s">
        <v>4400</v>
      </c>
      <c r="H26" s="207" t="s">
        <v>4401</v>
      </c>
      <c r="I26" s="217" t="s">
        <v>4402</v>
      </c>
      <c r="J26" s="215" t="s">
        <v>4515</v>
      </c>
      <c r="K26" s="214" t="s">
        <v>4516</v>
      </c>
      <c r="L26" s="214" t="s">
        <v>4517</v>
      </c>
      <c r="M26" s="197" t="s">
        <v>4405</v>
      </c>
      <c r="N26" s="207" t="s">
        <v>4441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4515</v>
      </c>
      <c r="AB26" s="214" t="s">
        <v>4516</v>
      </c>
      <c r="AC26" s="214" t="s">
        <v>4517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4432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>IF(AQ26="SIM","AGUARDANDO CORREÇÃO",IF(AP26&lt;&gt;"","FINALIZADO",IF(AO26&lt;&gt;"","AGUARDANDO ENVIO DTS",IF(AN26&lt;&gt;"","AGUARDANDO ASSINATURA GAB",IF(AM26&lt;&gt;"","AGUARDANDO ASSINATURA CTS",IF(AL26&lt;&gt;"","AGUARDANDO ENVIO ASSINATURA CTS",IF(AK26&lt;&gt;"","AGUARDANDO CONFERÊNCIA","")))))))</f>
        <v>FINALIZADO</v>
      </c>
      <c r="AS26" s="207" t="s">
        <v>4423</v>
      </c>
      <c r="AT26" s="207"/>
      <c r="AU26" s="220" t="s">
        <v>4518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4434</v>
      </c>
      <c r="BF26" s="245" t="s">
        <v>4435</v>
      </c>
      <c r="BG26" s="229" t="s">
        <v>4425</v>
      </c>
      <c r="BH26" s="321">
        <f>IFERROR(IF(BD26-KI26=0,"",BD26-AK26),"")</f>
        <v>43</v>
      </c>
      <c r="BI26" s="98" t="str">
        <f>IF(AND(AH26&lt;&gt;"SIM",AH26="UH"),"AA","INDENIZAÇÃO")</f>
        <v>INDENIZAÇÃO</v>
      </c>
      <c r="BJ26" s="98" t="str">
        <f>IF(AND(BD26&lt;&gt;"AGUARDANDO",BD26&lt;&gt;"",N26="AUXÍLIO ALUGUEL ATÉ INDENIZAÇÃO"),"SIM","NÃO")</f>
        <v>NÃO</v>
      </c>
      <c r="BK26" s="230" t="s">
        <v>4436</v>
      </c>
      <c r="BL26" s="230" t="s">
        <v>4436</v>
      </c>
      <c r="BM26" s="230" t="s">
        <v>4436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4434</v>
      </c>
    </row>
    <row r="27" spans="1:112" s="223" customFormat="1" ht="27" hidden="1" customHeight="1" x14ac:dyDescent="0.25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4519</v>
      </c>
      <c r="G27" s="207" t="s">
        <v>4400</v>
      </c>
      <c r="H27" s="207" t="s">
        <v>4401</v>
      </c>
      <c r="I27" s="217" t="s">
        <v>4402</v>
      </c>
      <c r="J27" s="215" t="s">
        <v>4520</v>
      </c>
      <c r="K27" s="215" t="s">
        <v>4521</v>
      </c>
      <c r="L27" s="215" t="s">
        <v>4522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4520</v>
      </c>
      <c r="AB27" s="215" t="s">
        <v>4521</v>
      </c>
      <c r="AC27" s="215" t="s">
        <v>4522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>IF(AQ27="SIM","AGUARDANDO CORREÇÃO",IF(AP27&lt;&gt;"","FINALIZADO",IF(AO27&lt;&gt;"","AGUARDANDO ENVIO DTS",IF(AN27&lt;&gt;"","AGUARDANDO ASSINATURA GAB",IF(AM27&lt;&gt;"","AGUARDANDO ASSINATURA CTS",IF(AL27&lt;&gt;"","AGUARDANDO ENVIO ASSINATURA CTS",IF(AK27&lt;&gt;"","AGUARDANDO CONFERÊNCIA","")))))))</f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>IFERROR(IF(BD27-KI27=0,"",BD27-AK27),"")</f>
        <v/>
      </c>
      <c r="BI27" s="98" t="str">
        <f>IF(AND(AH27&lt;&gt;"SIM",AH27="UH"),"AA","INDENIZAÇÃO")</f>
        <v>AA</v>
      </c>
      <c r="BJ27" s="98" t="str">
        <f>IF(AND(BD27&lt;&gt;"AGUARDANDO",BD27&lt;&gt;"",N27="AUXÍLIO ALUGUEL ATÉ INDENIZAÇÃO"),"SIM","NÃO")</f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 x14ac:dyDescent="0.25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4523</v>
      </c>
      <c r="G28" s="207" t="s">
        <v>4400</v>
      </c>
      <c r="H28" s="207" t="s">
        <v>4401</v>
      </c>
      <c r="I28" s="217" t="s">
        <v>4402</v>
      </c>
      <c r="J28" s="215" t="s">
        <v>4524</v>
      </c>
      <c r="K28" s="215" t="s">
        <v>4525</v>
      </c>
      <c r="L28" s="215" t="s">
        <v>4526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4524</v>
      </c>
      <c r="AB28" s="215" t="s">
        <v>4525</v>
      </c>
      <c r="AC28" s="215" t="s">
        <v>4526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>IF(AQ28="SIM","AGUARDANDO CORREÇÃO",IF(AP28&lt;&gt;"","FINALIZADO",IF(AO28&lt;&gt;"","AGUARDANDO ENVIO DTS",IF(AN28&lt;&gt;"","AGUARDANDO ASSINATURA GAB",IF(AM28&lt;&gt;"","AGUARDANDO ASSINATURA CTS",IF(AL28&lt;&gt;"","AGUARDANDO ENVIO ASSINATURA CTS",IF(AK28&lt;&gt;"","AGUARDANDO CONFERÊNCIA","")))))))</f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>IFERROR(IF(BD28-KI28=0,"",BD28-AK28),"")</f>
        <v/>
      </c>
      <c r="BI28" s="98" t="str">
        <f>IF(AND(AH28&lt;&gt;"SIM",AH28="UH"),"AA","INDENIZAÇÃO")</f>
        <v>AA</v>
      </c>
      <c r="BJ28" s="98" t="str">
        <f>IF(AND(BD28&lt;&gt;"AGUARDANDO",BD28&lt;&gt;"",N28="AUXÍLIO ALUGUEL ATÉ INDENIZAÇÃO"),"SIM","NÃO")</f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 x14ac:dyDescent="0.25">
      <c r="A29" s="197">
        <v>25</v>
      </c>
      <c r="B29" s="197" t="s">
        <v>4396</v>
      </c>
      <c r="C29" s="207" t="s">
        <v>4452</v>
      </c>
      <c r="D29" s="207">
        <v>1</v>
      </c>
      <c r="E29" s="207" t="s">
        <v>4398</v>
      </c>
      <c r="F29" s="214" t="s">
        <v>4523</v>
      </c>
      <c r="G29" s="207" t="s">
        <v>4400</v>
      </c>
      <c r="H29" s="207" t="s">
        <v>4401</v>
      </c>
      <c r="I29" s="217" t="s">
        <v>4402</v>
      </c>
      <c r="J29" s="242" t="s">
        <v>4527</v>
      </c>
      <c r="K29" s="246" t="s">
        <v>4528</v>
      </c>
      <c r="L29" s="246" t="s">
        <v>4529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4527</v>
      </c>
      <c r="AB29" s="215" t="s">
        <v>4528</v>
      </c>
      <c r="AC29" s="215" t="s">
        <v>4529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>IF(AQ29="SIM","AGUARDANDO CORREÇÃO",IF(AP29&lt;&gt;"","FINALIZADO",IF(AO29&lt;&gt;"","AGUARDANDO ENVIO DTS",IF(AN29&lt;&gt;"","AGUARDANDO ASSINATURA GAB",IF(AM29&lt;&gt;"","AGUARDANDO ASSINATURA CTS",IF(AL29&lt;&gt;"","AGUARDANDO ENVIO ASSINATURA CTS",IF(AK29&lt;&gt;"","AGUARDANDO CONFERÊNCIA","")))))))</f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>IFERROR(IF(BD29-KI29=0,"",BD29-AK29),"")</f>
        <v/>
      </c>
      <c r="BI29" s="98" t="str">
        <f>IF(AND(AH29&lt;&gt;"SIM",AH29="UH"),"AA","INDENIZAÇÃO")</f>
        <v>AA</v>
      </c>
      <c r="BJ29" s="98" t="str">
        <f>IF(AND(BD29&lt;&gt;"AGUARDANDO",BD29&lt;&gt;"",N29="AUXÍLIO ALUGUEL ATÉ INDENIZAÇÃO"),"SIM","NÃO")</f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customHeight="1" x14ac:dyDescent="0.2">
      <c r="A30" s="197">
        <v>26</v>
      </c>
      <c r="B30" s="197" t="s">
        <v>4396</v>
      </c>
      <c r="C30" s="207" t="s">
        <v>4426</v>
      </c>
      <c r="D30" s="207">
        <v>1</v>
      </c>
      <c r="E30" s="207" t="s">
        <v>4398</v>
      </c>
      <c r="F30" s="214" t="s">
        <v>4523</v>
      </c>
      <c r="G30" s="207" t="s">
        <v>4400</v>
      </c>
      <c r="H30" s="207" t="s">
        <v>4401</v>
      </c>
      <c r="I30" s="217" t="s">
        <v>4402</v>
      </c>
      <c r="J30" s="215" t="s">
        <v>4530</v>
      </c>
      <c r="K30" s="214" t="s">
        <v>4531</v>
      </c>
      <c r="L30" s="214" t="s">
        <v>4532</v>
      </c>
      <c r="M30" s="197" t="s">
        <v>4405</v>
      </c>
      <c r="N30" s="207" t="s">
        <v>4441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4530</v>
      </c>
      <c r="AB30" s="214" t="s">
        <v>4531</v>
      </c>
      <c r="AC30" s="214" t="s">
        <v>4532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4432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>IF(AQ30="SIM","AGUARDANDO CORREÇÃO",IF(AP30&lt;&gt;"","FINALIZADO",IF(AO30&lt;&gt;"","AGUARDANDO ENVIO DTS",IF(AN30&lt;&gt;"","AGUARDANDO ASSINATURA GAB",IF(AM30&lt;&gt;"","AGUARDANDO ASSINATURA CTS",IF(AL30&lt;&gt;"","AGUARDANDO ENVIO ASSINATURA CTS",IF(AK30&lt;&gt;"","AGUARDANDO CONFERÊNCIA","")))))))</f>
        <v>FINALIZADO</v>
      </c>
      <c r="AS30" s="207" t="s">
        <v>4423</v>
      </c>
      <c r="AT30" s="247"/>
      <c r="AU30" s="220" t="s">
        <v>4533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4434</v>
      </c>
      <c r="BF30" s="228" t="s">
        <v>4435</v>
      </c>
      <c r="BG30" s="229" t="s">
        <v>4425</v>
      </c>
      <c r="BH30" s="321">
        <f>IFERROR(IF(BD30-KI30=0,"",BD30-AK30),"")</f>
        <v>54</v>
      </c>
      <c r="BI30" s="98" t="str">
        <f>IF(AND(AH30&lt;&gt;"SIM",AH30="UH"),"AA","INDENIZAÇÃO")</f>
        <v>INDENIZAÇÃO</v>
      </c>
      <c r="BJ30" s="98" t="str">
        <f>IF(AND(BD30&lt;&gt;"AGUARDANDO",BD30&lt;&gt;"",N30="AUXÍLIO ALUGUEL ATÉ INDENIZAÇÃO"),"SIM","NÃO")</f>
        <v>NÃO</v>
      </c>
      <c r="BK30" s="230" t="s">
        <v>4436</v>
      </c>
      <c r="BL30" s="230" t="s">
        <v>4436</v>
      </c>
      <c r="BM30" s="230" t="s">
        <v>4436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4434</v>
      </c>
    </row>
    <row r="31" spans="1:112" s="223" customFormat="1" ht="27" hidden="1" customHeight="1" x14ac:dyDescent="0.25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4534</v>
      </c>
      <c r="G31" s="207" t="s">
        <v>4400</v>
      </c>
      <c r="H31" s="207" t="s">
        <v>4535</v>
      </c>
      <c r="I31" s="217" t="s">
        <v>4535</v>
      </c>
      <c r="J31" s="215" t="s">
        <v>4536</v>
      </c>
      <c r="K31" s="215" t="s">
        <v>4537</v>
      </c>
      <c r="L31" s="215" t="s">
        <v>4538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4536</v>
      </c>
      <c r="AB31" s="215" t="s">
        <v>4537</v>
      </c>
      <c r="AC31" s="215" t="s">
        <v>4538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>IF(AQ31="SIM","AGUARDANDO CORREÇÃO",IF(AP31&lt;&gt;"","FINALIZADO",IF(AO31&lt;&gt;"","AGUARDANDO ENVIO DTS",IF(AN31&lt;&gt;"","AGUARDANDO ASSINATURA GAB",IF(AM31&lt;&gt;"","AGUARDANDO ASSINATURA CTS",IF(AL31&lt;&gt;"","AGUARDANDO ENVIO ASSINATURA CTS",IF(AK31&lt;&gt;"","AGUARDANDO CONFERÊNCIA","")))))))</f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>IFERROR(IF(BD31-KI31=0,"",BD31-AK31),"")</f>
        <v/>
      </c>
      <c r="BI31" s="98" t="str">
        <f>IF(AND(AH31&lt;&gt;"SIM",AH31="UH"),"AA","INDENIZAÇÃO")</f>
        <v>AA</v>
      </c>
      <c r="BJ31" s="98" t="str">
        <f>IF(AND(BD31&lt;&gt;"AGUARDANDO",BD31&lt;&gt;"",N31="AUXÍLIO ALUGUEL ATÉ INDENIZAÇÃO"),"SIM","NÃO")</f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 x14ac:dyDescent="0.25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4539</v>
      </c>
      <c r="G32" s="207" t="s">
        <v>4400</v>
      </c>
      <c r="H32" s="207" t="s">
        <v>4401</v>
      </c>
      <c r="I32" s="217" t="s">
        <v>4402</v>
      </c>
      <c r="J32" s="215" t="s">
        <v>4540</v>
      </c>
      <c r="K32" s="215" t="s">
        <v>4541</v>
      </c>
      <c r="L32" s="215" t="s">
        <v>4542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4540</v>
      </c>
      <c r="AB32" s="215" t="s">
        <v>4541</v>
      </c>
      <c r="AC32" s="215" t="s">
        <v>4542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>IF(AQ32="SIM","AGUARDANDO CORREÇÃO",IF(AP32&lt;&gt;"","FINALIZADO",IF(AO32&lt;&gt;"","AGUARDANDO ENVIO DTS",IF(AN32&lt;&gt;"","AGUARDANDO ASSINATURA GAB",IF(AM32&lt;&gt;"","AGUARDANDO ASSINATURA CTS",IF(AL32&lt;&gt;"","AGUARDANDO ENVIO ASSINATURA CTS",IF(AK32&lt;&gt;"","AGUARDANDO CONFERÊNCIA","")))))))</f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>IFERROR(IF(BD32-KI32=0,"",BD32-AK32),"")</f>
        <v/>
      </c>
      <c r="BI32" s="98" t="str">
        <f>IF(AND(AH32&lt;&gt;"SIM",AH32="UH"),"AA","INDENIZAÇÃO")</f>
        <v>AA</v>
      </c>
      <c r="BJ32" s="98" t="str">
        <f>IF(AND(BD32&lt;&gt;"AGUARDANDO",BD32&lt;&gt;"",N32="AUXÍLIO ALUGUEL ATÉ INDENIZAÇÃO"),"SIM","NÃO")</f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 x14ac:dyDescent="0.25">
      <c r="A33" s="207">
        <v>29</v>
      </c>
      <c r="B33" s="197" t="s">
        <v>4396</v>
      </c>
      <c r="C33" s="207" t="s">
        <v>4452</v>
      </c>
      <c r="D33" s="207">
        <v>1</v>
      </c>
      <c r="E33" s="207" t="s">
        <v>4398</v>
      </c>
      <c r="F33" s="214" t="s">
        <v>4543</v>
      </c>
      <c r="G33" s="219" t="s">
        <v>4544</v>
      </c>
      <c r="H33" s="207" t="s">
        <v>4545</v>
      </c>
      <c r="I33" s="233" t="s">
        <v>4421</v>
      </c>
      <c r="J33" s="242" t="s">
        <v>4546</v>
      </c>
      <c r="K33" s="246" t="s">
        <v>4547</v>
      </c>
      <c r="L33" s="246" t="s">
        <v>4548</v>
      </c>
      <c r="M33" s="197" t="s">
        <v>4405</v>
      </c>
      <c r="N33" s="207" t="s">
        <v>4549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4546</v>
      </c>
      <c r="AB33" s="215" t="s">
        <v>4398</v>
      </c>
      <c r="AC33" s="246" t="s">
        <v>4548</v>
      </c>
      <c r="AD33" s="241" t="s">
        <v>4402</v>
      </c>
      <c r="AE33" s="202" t="s">
        <v>4405</v>
      </c>
      <c r="AF33" s="248" t="s">
        <v>4436</v>
      </c>
      <c r="AG33" s="248" t="s">
        <v>4436</v>
      </c>
      <c r="AH33" s="202" t="s">
        <v>4436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>IF(AQ33="SIM","AGUARDANDO CORREÇÃO",IF(AP33&lt;&gt;"","FINALIZADO",IF(AO33&lt;&gt;"","AGUARDANDO ENVIO DTS",IF(AN33&lt;&gt;"","AGUARDANDO ASSINATURA GAB",IF(AM33&lt;&gt;"","AGUARDANDO ASSINATURA CTS",IF(AL33&lt;&gt;"","AGUARDANDO ENVIO ASSINATURA CTS",IF(AK33&lt;&gt;"","AGUARDANDO CONFERÊNCIA","")))))))</f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>IFERROR(IF(BD33-KI33=0,"",BD33-AK33),"")</f>
        <v/>
      </c>
      <c r="BI33" s="98" t="str">
        <f>IF(AND(AH33&lt;&gt;"SIM",AH33="UH"),"AA","INDENIZAÇÃO")</f>
        <v>INDENIZAÇÃO</v>
      </c>
      <c r="BJ33" s="98" t="str">
        <f>IF(AND(BD33&lt;&gt;"AGUARDANDO",BD33&lt;&gt;"",N33="AUXÍLIO ALUGUEL ATÉ INDENIZAÇÃO"),"SIM","NÃO")</f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customHeight="1" x14ac:dyDescent="0.25">
      <c r="A34" s="197">
        <v>30</v>
      </c>
      <c r="B34" s="197" t="s">
        <v>4396</v>
      </c>
      <c r="C34" s="207" t="s">
        <v>4426</v>
      </c>
      <c r="D34" s="207">
        <v>1</v>
      </c>
      <c r="E34" s="207" t="s">
        <v>4398</v>
      </c>
      <c r="F34" s="214" t="s">
        <v>4543</v>
      </c>
      <c r="G34" s="160" t="s">
        <v>4400</v>
      </c>
      <c r="H34" s="207" t="s">
        <v>4401</v>
      </c>
      <c r="I34" s="249" t="s">
        <v>4402</v>
      </c>
      <c r="J34" s="242" t="s">
        <v>4550</v>
      </c>
      <c r="K34" s="246" t="s">
        <v>4551</v>
      </c>
      <c r="L34" s="246" t="s">
        <v>4552</v>
      </c>
      <c r="M34" s="197" t="s">
        <v>4405</v>
      </c>
      <c r="N34" s="207" t="s">
        <v>4441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4550</v>
      </c>
      <c r="AB34" s="246" t="s">
        <v>4551</v>
      </c>
      <c r="AC34" s="246" t="s">
        <v>4552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4432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>IF(AQ34="SIM","AGUARDANDO CORREÇÃO",IF(AP34&lt;&gt;"","FINALIZADO",IF(AO34&lt;&gt;"","AGUARDANDO ENVIO DTS",IF(AN34&lt;&gt;"","AGUARDANDO ASSINATURA GAB",IF(AM34&lt;&gt;"","AGUARDANDO ASSINATURA CTS",IF(AL34&lt;&gt;"","AGUARDANDO ENVIO ASSINATURA CTS",IF(AK34&lt;&gt;"","AGUARDANDO CONFERÊNCIA","")))))))</f>
        <v>FINALIZADO</v>
      </c>
      <c r="AS34" s="207" t="s">
        <v>4423</v>
      </c>
      <c r="AT34" s="207"/>
      <c r="AU34" s="220" t="s">
        <v>4553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4434</v>
      </c>
      <c r="BF34" s="228" t="s">
        <v>4435</v>
      </c>
      <c r="BG34" s="229" t="s">
        <v>4425</v>
      </c>
      <c r="BH34" s="321">
        <f>IFERROR(IF(BD34-KI34=0,"",BD34-AK34),"")</f>
        <v>72</v>
      </c>
      <c r="BI34" s="98" t="str">
        <f>IF(AND(AH34&lt;&gt;"SIM",AH34="UH"),"AA","INDENIZAÇÃO")</f>
        <v>INDENIZAÇÃO</v>
      </c>
      <c r="BJ34" s="98" t="str">
        <f>IF(AND(BD34&lt;&gt;"AGUARDANDO",BD34&lt;&gt;"",N34="AUXÍLIO ALUGUEL ATÉ INDENIZAÇÃO"),"SIM","NÃO")</f>
        <v>NÃO</v>
      </c>
      <c r="BK34" s="230" t="s">
        <v>4436</v>
      </c>
      <c r="BL34" s="230" t="s">
        <v>4436</v>
      </c>
      <c r="BM34" s="230" t="s">
        <v>4436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4434</v>
      </c>
    </row>
    <row r="35" spans="1:74" s="223" customFormat="1" ht="27" customHeight="1" x14ac:dyDescent="0.25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4543</v>
      </c>
      <c r="G35" s="207" t="s">
        <v>4400</v>
      </c>
      <c r="H35" s="207" t="s">
        <v>4401</v>
      </c>
      <c r="I35" s="217" t="s">
        <v>4402</v>
      </c>
      <c r="J35" s="215" t="s">
        <v>4554</v>
      </c>
      <c r="K35" s="215" t="s">
        <v>4555</v>
      </c>
      <c r="L35" s="215" t="s">
        <v>4556</v>
      </c>
      <c r="M35" s="197" t="s">
        <v>4405</v>
      </c>
      <c r="N35" s="207" t="s">
        <v>4441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4554</v>
      </c>
      <c r="AB35" s="215" t="s">
        <v>4555</v>
      </c>
      <c r="AC35" s="215" t="s">
        <v>4556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4432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>IF(AQ35="SIM","AGUARDANDO CORREÇÃO",IF(AP35&lt;&gt;"","FINALIZADO",IF(AO35&lt;&gt;"","AGUARDANDO ENVIO DTS",IF(AN35&lt;&gt;"","AGUARDANDO ASSINATURA GAB",IF(AM35&lt;&gt;"","AGUARDANDO ASSINATURA CTS",IF(AL35&lt;&gt;"","AGUARDANDO ENVIO ASSINATURA CTS",IF(AK35&lt;&gt;"","AGUARDANDO CONFERÊNCIA","")))))))</f>
        <v>FINALIZADO</v>
      </c>
      <c r="AS35" s="207" t="s">
        <v>4423</v>
      </c>
      <c r="AT35" s="219"/>
      <c r="AU35" s="220" t="s">
        <v>4557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4434</v>
      </c>
      <c r="BF35" s="228" t="s">
        <v>4435</v>
      </c>
      <c r="BG35" s="219" t="s">
        <v>4425</v>
      </c>
      <c r="BH35" s="321">
        <f>IFERROR(IF(BD35-KI35=0,"",BD35-AK35),"")</f>
        <v>82</v>
      </c>
      <c r="BI35" s="98" t="str">
        <f>IF(AND(AH35&lt;&gt;"SIM",AH35="UH"),"AA","INDENIZAÇÃO")</f>
        <v>INDENIZAÇÃO</v>
      </c>
      <c r="BJ35" s="98" t="str">
        <f>IF(AND(BD35&lt;&gt;"AGUARDANDO",BD35&lt;&gt;"",N35="AUXÍLIO ALUGUEL ATÉ INDENIZAÇÃO"),"SIM","NÃO")</f>
        <v>NÃO</v>
      </c>
      <c r="BK35" s="219" t="s">
        <v>4436</v>
      </c>
      <c r="BL35" s="219" t="s">
        <v>4436</v>
      </c>
      <c r="BM35" s="219" t="s">
        <v>4436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4434</v>
      </c>
    </row>
    <row r="36" spans="1:74" s="223" customFormat="1" ht="27" customHeight="1" x14ac:dyDescent="0.25">
      <c r="A36" s="207">
        <v>32</v>
      </c>
      <c r="B36" s="197" t="s">
        <v>4396</v>
      </c>
      <c r="C36" s="207" t="s">
        <v>4426</v>
      </c>
      <c r="D36" s="207">
        <v>1</v>
      </c>
      <c r="E36" s="207" t="s">
        <v>4398</v>
      </c>
      <c r="F36" s="214" t="s">
        <v>4558</v>
      </c>
      <c r="G36" s="207" t="s">
        <v>4400</v>
      </c>
      <c r="H36" s="207" t="s">
        <v>4427</v>
      </c>
      <c r="I36" s="233" t="s">
        <v>4421</v>
      </c>
      <c r="J36" s="215" t="s">
        <v>4559</v>
      </c>
      <c r="K36" s="214" t="s">
        <v>4560</v>
      </c>
      <c r="L36" s="214" t="s">
        <v>4561</v>
      </c>
      <c r="M36" s="197" t="s">
        <v>4405</v>
      </c>
      <c r="N36" s="207" t="s">
        <v>4441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4562</v>
      </c>
      <c r="AB36" s="215" t="s">
        <v>4563</v>
      </c>
      <c r="AC36" s="215" t="s">
        <v>4564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4432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>IF(AQ36="SIM","AGUARDANDO CORREÇÃO",IF(AP36&lt;&gt;"","FINALIZADO",IF(AO36&lt;&gt;"","AGUARDANDO ENVIO DTS",IF(AN36&lt;&gt;"","AGUARDANDO ASSINATURA GAB",IF(AM36&lt;&gt;"","AGUARDANDO ASSINATURA CTS",IF(AL36&lt;&gt;"","AGUARDANDO ENVIO ASSINATURA CTS",IF(AK36&lt;&gt;"","AGUARDANDO CONFERÊNCIA","")))))))</f>
        <v>FINALIZADO</v>
      </c>
      <c r="AS36" s="207" t="s">
        <v>4423</v>
      </c>
      <c r="AT36" s="207"/>
      <c r="AU36" s="220" t="s">
        <v>4565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4434</v>
      </c>
      <c r="BF36" s="228" t="s">
        <v>4435</v>
      </c>
      <c r="BG36" s="229" t="s">
        <v>4425</v>
      </c>
      <c r="BH36" s="321">
        <f>IFERROR(IF(BD36-KI36=0,"",BD36-AK36),"")</f>
        <v>72</v>
      </c>
      <c r="BI36" s="98" t="str">
        <f>IF(AND(AH36&lt;&gt;"SIM",AH36="UH"),"AA","INDENIZAÇÃO")</f>
        <v>INDENIZAÇÃO</v>
      </c>
      <c r="BJ36" s="98" t="str">
        <f>IF(AND(BD36&lt;&gt;"AGUARDANDO",BD36&lt;&gt;"",N36="AUXÍLIO ALUGUEL ATÉ INDENIZAÇÃO"),"SIM","NÃO")</f>
        <v>NÃO</v>
      </c>
      <c r="BK36" s="230" t="s">
        <v>4436</v>
      </c>
      <c r="BL36" s="230" t="s">
        <v>4436</v>
      </c>
      <c r="BM36" s="230" t="s">
        <v>4436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4434</v>
      </c>
      <c r="BS36" s="240"/>
      <c r="BT36" s="240"/>
      <c r="BU36" s="240"/>
      <c r="BV36" s="240"/>
    </row>
    <row r="37" spans="1:74" s="223" customFormat="1" ht="27" hidden="1" customHeight="1" x14ac:dyDescent="0.25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4566</v>
      </c>
      <c r="G37" s="207" t="s">
        <v>4400</v>
      </c>
      <c r="H37" s="207" t="s">
        <v>4401</v>
      </c>
      <c r="I37" s="249" t="s">
        <v>4402</v>
      </c>
      <c r="J37" s="215" t="s">
        <v>4567</v>
      </c>
      <c r="K37" s="215" t="s">
        <v>4398</v>
      </c>
      <c r="L37" s="215" t="s">
        <v>4568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4567</v>
      </c>
      <c r="AB37" s="215" t="s">
        <v>4398</v>
      </c>
      <c r="AC37" s="215" t="s">
        <v>4568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>IF(AQ37="SIM","AGUARDANDO CORREÇÃO",IF(AP37&lt;&gt;"","FINALIZADO",IF(AO37&lt;&gt;"","AGUARDANDO ENVIO DTS",IF(AN37&lt;&gt;"","AGUARDANDO ASSINATURA GAB",IF(AM37&lt;&gt;"","AGUARDANDO ASSINATURA CTS",IF(AL37&lt;&gt;"","AGUARDANDO ENVIO ASSINATURA CTS",IF(AK37&lt;&gt;"","AGUARDANDO CONFERÊNCIA","")))))))</f>
        <v>FINALIZADO</v>
      </c>
      <c r="AS37" s="207" t="s">
        <v>4569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>IFERROR(IF(BD37-KI37=0,"",BD37-AK37),"")</f>
        <v/>
      </c>
      <c r="BI37" s="98" t="str">
        <f>IF(AND(AH37&lt;&gt;"SIM",AH37="UH"),"AA","INDENIZAÇÃO")</f>
        <v>AA</v>
      </c>
      <c r="BJ37" s="98" t="str">
        <f>IF(AND(BD37&lt;&gt;"AGUARDANDO",BD37&lt;&gt;"",N37="AUXÍLIO ALUGUEL ATÉ INDENIZAÇÃO"),"SIM","NÃO")</f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 x14ac:dyDescent="0.25">
      <c r="A38" s="207">
        <v>34</v>
      </c>
      <c r="B38" s="197" t="s">
        <v>4396</v>
      </c>
      <c r="C38" s="207" t="s">
        <v>4452</v>
      </c>
      <c r="D38" s="207">
        <v>1</v>
      </c>
      <c r="E38" s="207" t="s">
        <v>4398</v>
      </c>
      <c r="F38" s="214" t="s">
        <v>4566</v>
      </c>
      <c r="G38" s="207" t="s">
        <v>4400</v>
      </c>
      <c r="H38" s="207" t="s">
        <v>4401</v>
      </c>
      <c r="I38" s="217" t="s">
        <v>4402</v>
      </c>
      <c r="J38" s="242" t="s">
        <v>4570</v>
      </c>
      <c r="K38" s="214" t="s">
        <v>4571</v>
      </c>
      <c r="L38" s="214" t="s">
        <v>4572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4570</v>
      </c>
      <c r="AB38" s="215" t="s">
        <v>4571</v>
      </c>
      <c r="AC38" s="215" t="s">
        <v>4572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>IF(AQ38="SIM","AGUARDANDO CORREÇÃO",IF(AP38&lt;&gt;"","FINALIZADO",IF(AO38&lt;&gt;"","AGUARDANDO ENVIO DTS",IF(AN38&lt;&gt;"","AGUARDANDO ASSINATURA GAB",IF(AM38&lt;&gt;"","AGUARDANDO ASSINATURA CTS",IF(AL38&lt;&gt;"","AGUARDANDO ENVIO ASSINATURA CTS",IF(AK38&lt;&gt;"","AGUARDANDO CONFERÊNCIA","")))))))</f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>IFERROR(IF(BD38-KI38=0,"",BD38-AK38),"")</f>
        <v/>
      </c>
      <c r="BI38" s="98" t="str">
        <f>IF(AND(AH38&lt;&gt;"SIM",AH38="UH"),"AA","INDENIZAÇÃO")</f>
        <v>AA</v>
      </c>
      <c r="BJ38" s="98" t="str">
        <f>IF(AND(BD38&lt;&gt;"AGUARDANDO",BD38&lt;&gt;"",N38="AUXÍLIO ALUGUEL ATÉ INDENIZAÇÃO"),"SIM","NÃO")</f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customHeight="1" x14ac:dyDescent="0.25">
      <c r="A39" s="197">
        <v>35</v>
      </c>
      <c r="B39" s="197" t="s">
        <v>4396</v>
      </c>
      <c r="C39" s="207" t="s">
        <v>4426</v>
      </c>
      <c r="D39" s="207">
        <v>1</v>
      </c>
      <c r="E39" s="207" t="s">
        <v>4398</v>
      </c>
      <c r="F39" s="214" t="s">
        <v>4566</v>
      </c>
      <c r="G39" s="207" t="s">
        <v>4400</v>
      </c>
      <c r="H39" s="207" t="s">
        <v>4401</v>
      </c>
      <c r="I39" s="217" t="s">
        <v>4402</v>
      </c>
      <c r="J39" s="215" t="s">
        <v>4573</v>
      </c>
      <c r="K39" s="214" t="s">
        <v>4574</v>
      </c>
      <c r="L39" s="214" t="s">
        <v>4575</v>
      </c>
      <c r="M39" s="197" t="s">
        <v>4405</v>
      </c>
      <c r="N39" s="207" t="s">
        <v>4441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4573</v>
      </c>
      <c r="AB39" s="214" t="s">
        <v>4574</v>
      </c>
      <c r="AC39" s="214" t="s">
        <v>4575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4432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>IF(AQ39="SIM","AGUARDANDO CORREÇÃO",IF(AP39&lt;&gt;"","FINALIZADO",IF(AO39&lt;&gt;"","AGUARDANDO ENVIO DTS",IF(AN39&lt;&gt;"","AGUARDANDO ASSINATURA GAB",IF(AM39&lt;&gt;"","AGUARDANDO ASSINATURA CTS",IF(AL39&lt;&gt;"","AGUARDANDO ENVIO ASSINATURA CTS",IF(AK39&lt;&gt;"","AGUARDANDO CONFERÊNCIA","")))))))</f>
        <v>FINALIZADO</v>
      </c>
      <c r="AS39" s="207" t="s">
        <v>4423</v>
      </c>
      <c r="AT39" s="207"/>
      <c r="AU39" s="220" t="s">
        <v>4576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4434</v>
      </c>
      <c r="BF39" s="245" t="s">
        <v>4435</v>
      </c>
      <c r="BG39" s="229" t="s">
        <v>4425</v>
      </c>
      <c r="BH39" s="321">
        <f>IFERROR(IF(BD39-KI39=0,"",BD39-AK39),"")</f>
        <v>47</v>
      </c>
      <c r="BI39" s="98" t="str">
        <f>IF(AND(AH39&lt;&gt;"SIM",AH39="UH"),"AA","INDENIZAÇÃO")</f>
        <v>INDENIZAÇÃO</v>
      </c>
      <c r="BJ39" s="98" t="str">
        <f>IF(AND(BD39&lt;&gt;"AGUARDANDO",BD39&lt;&gt;"",N39="AUXÍLIO ALUGUEL ATÉ INDENIZAÇÃO"),"SIM","NÃO")</f>
        <v>NÃO</v>
      </c>
      <c r="BK39" s="230" t="s">
        <v>4436</v>
      </c>
      <c r="BL39" s="230" t="s">
        <v>4436</v>
      </c>
      <c r="BM39" s="230" t="s">
        <v>4436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4434</v>
      </c>
    </row>
    <row r="40" spans="1:74" s="223" customFormat="1" ht="27" hidden="1" customHeight="1" x14ac:dyDescent="0.25">
      <c r="A40" s="197">
        <v>36</v>
      </c>
      <c r="B40" s="197" t="s">
        <v>4396</v>
      </c>
      <c r="C40" s="207" t="s">
        <v>4452</v>
      </c>
      <c r="D40" s="207">
        <v>1</v>
      </c>
      <c r="E40" s="207" t="s">
        <v>4398</v>
      </c>
      <c r="F40" s="214" t="s">
        <v>4577</v>
      </c>
      <c r="G40" s="207" t="s">
        <v>4400</v>
      </c>
      <c r="H40" s="207" t="s">
        <v>4401</v>
      </c>
      <c r="I40" s="217" t="s">
        <v>4402</v>
      </c>
      <c r="J40" s="215" t="s">
        <v>4578</v>
      </c>
      <c r="K40" s="214" t="s">
        <v>4579</v>
      </c>
      <c r="L40" s="214" t="s">
        <v>4580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4578</v>
      </c>
      <c r="AB40" s="215" t="s">
        <v>4581</v>
      </c>
      <c r="AC40" s="215" t="s">
        <v>4580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>IF(AQ40="SIM","AGUARDANDO CORREÇÃO",IF(AP40&lt;&gt;"","FINALIZADO",IF(AO40&lt;&gt;"","AGUARDANDO ENVIO DTS",IF(AN40&lt;&gt;"","AGUARDANDO ASSINATURA GAB",IF(AM40&lt;&gt;"","AGUARDANDO ASSINATURA CTS",IF(AL40&lt;&gt;"","AGUARDANDO ENVIO ASSINATURA CTS",IF(AK40&lt;&gt;"","AGUARDANDO CONFERÊNCIA","")))))))</f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>IFERROR(IF(BD40-KI40=0,"",BD40-AK40),"")</f>
        <v/>
      </c>
      <c r="BI40" s="98" t="str">
        <f>IF(AND(AH40&lt;&gt;"SIM",AH40="UH"),"AA","INDENIZAÇÃO")</f>
        <v>AA</v>
      </c>
      <c r="BJ40" s="98" t="str">
        <f>IF(AND(BD40&lt;&gt;"AGUARDANDO",BD40&lt;&gt;"",N40="AUXÍLIO ALUGUEL ATÉ INDENIZAÇÃO"),"SIM","NÃO")</f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customHeight="1" x14ac:dyDescent="0.25">
      <c r="A41" s="207">
        <v>37</v>
      </c>
      <c r="B41" s="197" t="s">
        <v>4396</v>
      </c>
      <c r="C41" s="207" t="s">
        <v>4426</v>
      </c>
      <c r="D41" s="207">
        <v>1</v>
      </c>
      <c r="E41" s="207" t="s">
        <v>4398</v>
      </c>
      <c r="F41" s="214" t="s">
        <v>4577</v>
      </c>
      <c r="G41" s="207" t="s">
        <v>4400</v>
      </c>
      <c r="H41" s="207" t="s">
        <v>4582</v>
      </c>
      <c r="I41" s="217" t="s">
        <v>4402</v>
      </c>
      <c r="J41" s="215" t="s">
        <v>4583</v>
      </c>
      <c r="K41" s="214" t="s">
        <v>4584</v>
      </c>
      <c r="L41" s="214" t="s">
        <v>4585</v>
      </c>
      <c r="M41" s="197" t="s">
        <v>4405</v>
      </c>
      <c r="N41" s="207" t="s">
        <v>4441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4583</v>
      </c>
      <c r="AB41" s="214" t="s">
        <v>4584</v>
      </c>
      <c r="AC41" s="214" t="s">
        <v>4585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4432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>IF(AQ41="SIM","AGUARDANDO CORREÇÃO",IF(AP41&lt;&gt;"","FINALIZADO",IF(AO41&lt;&gt;"","AGUARDANDO ENVIO DTS",IF(AN41&lt;&gt;"","AGUARDANDO ASSINATURA GAB",IF(AM41&lt;&gt;"","AGUARDANDO ASSINATURA CTS",IF(AL41&lt;&gt;"","AGUARDANDO ENVIO ASSINATURA CTS",IF(AK41&lt;&gt;"","AGUARDANDO CONFERÊNCIA","")))))))</f>
        <v>FINALIZADO</v>
      </c>
      <c r="AS41" s="207" t="s">
        <v>4423</v>
      </c>
      <c r="AT41" s="207"/>
      <c r="AU41" s="220" t="s">
        <v>4586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4434</v>
      </c>
      <c r="BF41" s="245" t="s">
        <v>4435</v>
      </c>
      <c r="BG41" s="229" t="s">
        <v>4425</v>
      </c>
      <c r="BH41" s="321">
        <f>IFERROR(IF(BD41-KI41=0,"",BD41-AK41),"")</f>
        <v>47</v>
      </c>
      <c r="BI41" s="98" t="str">
        <f>IF(AND(AH41&lt;&gt;"SIM",AH41="UH"),"AA","INDENIZAÇÃO")</f>
        <v>INDENIZAÇÃO</v>
      </c>
      <c r="BJ41" s="98" t="str">
        <f>IF(AND(BD41&lt;&gt;"AGUARDANDO",BD41&lt;&gt;"",N41="AUXÍLIO ALUGUEL ATÉ INDENIZAÇÃO"),"SIM","NÃO")</f>
        <v>NÃO</v>
      </c>
      <c r="BK41" s="230" t="s">
        <v>4436</v>
      </c>
      <c r="BL41" s="230" t="s">
        <v>4436</v>
      </c>
      <c r="BM41" s="230" t="s">
        <v>4436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4434</v>
      </c>
    </row>
    <row r="42" spans="1:74" s="223" customFormat="1" ht="27" customHeight="1" x14ac:dyDescent="0.25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4577</v>
      </c>
      <c r="G42" s="207" t="s">
        <v>4400</v>
      </c>
      <c r="H42" s="207" t="s">
        <v>4401</v>
      </c>
      <c r="I42" s="217" t="s">
        <v>4402</v>
      </c>
      <c r="J42" s="215" t="s">
        <v>4587</v>
      </c>
      <c r="K42" s="215" t="s">
        <v>4588</v>
      </c>
      <c r="L42" s="215" t="s">
        <v>4589</v>
      </c>
      <c r="M42" s="197" t="s">
        <v>4405</v>
      </c>
      <c r="N42" s="207" t="s">
        <v>4441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4587</v>
      </c>
      <c r="AB42" s="215" t="s">
        <v>4588</v>
      </c>
      <c r="AC42" s="215" t="s">
        <v>4589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4432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>IF(AQ42="SIM","AGUARDANDO CORREÇÃO",IF(AP42&lt;&gt;"","FINALIZADO",IF(AO42&lt;&gt;"","AGUARDANDO ENVIO DTS",IF(AN42&lt;&gt;"","AGUARDANDO ASSINATURA GAB",IF(AM42&lt;&gt;"","AGUARDANDO ASSINATURA CTS",IF(AL42&lt;&gt;"","AGUARDANDO ENVIO ASSINATURA CTS",IF(AK42&lt;&gt;"","AGUARDANDO CONFERÊNCIA","")))))))</f>
        <v>FINALIZADO</v>
      </c>
      <c r="AS42" s="207" t="s">
        <v>4423</v>
      </c>
      <c r="AT42" s="219"/>
      <c r="AU42" s="220" t="s">
        <v>4590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4434</v>
      </c>
      <c r="BF42" s="228" t="s">
        <v>4435</v>
      </c>
      <c r="BG42" s="229" t="s">
        <v>4425</v>
      </c>
      <c r="BH42" s="321">
        <f>IFERROR(IF(BD42-KI42=0,"",BD42-AK42),"")</f>
        <v>43</v>
      </c>
      <c r="BI42" s="98" t="str">
        <f>IF(AND(AH42&lt;&gt;"SIM",AH42="UH"),"AA","INDENIZAÇÃO")</f>
        <v>INDENIZAÇÃO</v>
      </c>
      <c r="BJ42" s="98" t="str">
        <f>IF(AND(BD42&lt;&gt;"AGUARDANDO",BD42&lt;&gt;"",N42="AUXÍLIO ALUGUEL ATÉ INDENIZAÇÃO"),"SIM","NÃO")</f>
        <v>NÃO</v>
      </c>
      <c r="BK42" s="219" t="s">
        <v>4436</v>
      </c>
      <c r="BL42" s="219" t="s">
        <v>4436</v>
      </c>
      <c r="BM42" s="219" t="s">
        <v>4436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4434</v>
      </c>
    </row>
    <row r="43" spans="1:74" s="223" customFormat="1" ht="27" hidden="1" customHeight="1" x14ac:dyDescent="0.25">
      <c r="A43" s="207">
        <v>39</v>
      </c>
      <c r="B43" s="197" t="s">
        <v>4396</v>
      </c>
      <c r="C43" s="207" t="s">
        <v>4452</v>
      </c>
      <c r="D43" s="207">
        <v>1</v>
      </c>
      <c r="E43" s="207" t="s">
        <v>4398</v>
      </c>
      <c r="F43" s="214" t="s">
        <v>4591</v>
      </c>
      <c r="G43" s="207" t="s">
        <v>4400</v>
      </c>
      <c r="H43" s="207" t="s">
        <v>4401</v>
      </c>
      <c r="I43" s="217" t="s">
        <v>4402</v>
      </c>
      <c r="J43" s="215" t="s">
        <v>4592</v>
      </c>
      <c r="K43" s="214" t="s">
        <v>4593</v>
      </c>
      <c r="L43" s="214" t="s">
        <v>4594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4592</v>
      </c>
      <c r="AB43" s="215" t="s">
        <v>4593</v>
      </c>
      <c r="AC43" s="215" t="s">
        <v>4594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>IF(AQ43="SIM","AGUARDANDO CORREÇÃO",IF(AP43&lt;&gt;"","FINALIZADO",IF(AO43&lt;&gt;"","AGUARDANDO ENVIO DTS",IF(AN43&lt;&gt;"","AGUARDANDO ASSINATURA GAB",IF(AM43&lt;&gt;"","AGUARDANDO ASSINATURA CTS",IF(AL43&lt;&gt;"","AGUARDANDO ENVIO ASSINATURA CTS",IF(AK43&lt;&gt;"","AGUARDANDO CONFERÊNCIA","")))))))</f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>IFERROR(IF(BD43-KI43=0,"",BD43-AK43),"")</f>
        <v/>
      </c>
      <c r="BI43" s="98" t="str">
        <f>IF(AND(AH43&lt;&gt;"SIM",AH43="UH"),"AA","INDENIZAÇÃO")</f>
        <v>AA</v>
      </c>
      <c r="BJ43" s="98" t="str">
        <f>IF(AND(BD43&lt;&gt;"AGUARDANDO",BD43&lt;&gt;"",N43="AUXÍLIO ALUGUEL ATÉ INDENIZAÇÃO"),"SIM","NÃO")</f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customHeight="1" x14ac:dyDescent="0.25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4591</v>
      </c>
      <c r="G44" s="207" t="s">
        <v>4400</v>
      </c>
      <c r="H44" s="207" t="s">
        <v>4582</v>
      </c>
      <c r="I44" s="217" t="s">
        <v>4402</v>
      </c>
      <c r="J44" s="215" t="s">
        <v>4595</v>
      </c>
      <c r="K44" s="215" t="s">
        <v>4596</v>
      </c>
      <c r="L44" s="215" t="s">
        <v>4597</v>
      </c>
      <c r="M44" s="197" t="s">
        <v>4405</v>
      </c>
      <c r="N44" s="207" t="s">
        <v>4441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4595</v>
      </c>
      <c r="AB44" s="215" t="s">
        <v>4596</v>
      </c>
      <c r="AC44" s="215" t="s">
        <v>4597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4432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>IF(AQ44="SIM","AGUARDANDO CORREÇÃO",IF(AP44&lt;&gt;"","FINALIZADO",IF(AO44&lt;&gt;"","AGUARDANDO ENVIO DTS",IF(AN44&lt;&gt;"","AGUARDANDO ASSINATURA GAB",IF(AM44&lt;&gt;"","AGUARDANDO ASSINATURA CTS",IF(AL44&lt;&gt;"","AGUARDANDO ENVIO ASSINATURA CTS",IF(AK44&lt;&gt;"","AGUARDANDO CONFERÊNCIA","")))))))</f>
        <v>FINALIZADO</v>
      </c>
      <c r="AS44" s="207" t="s">
        <v>4423</v>
      </c>
      <c r="AT44" s="219"/>
      <c r="AU44" s="220" t="s">
        <v>4598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4434</v>
      </c>
      <c r="BF44" s="245" t="s">
        <v>4435</v>
      </c>
      <c r="BG44" s="229" t="s">
        <v>4425</v>
      </c>
      <c r="BH44" s="321">
        <f>IFERROR(IF(BD44-KI44=0,"",BD44-AK44),"")</f>
        <v>43</v>
      </c>
      <c r="BI44" s="98" t="str">
        <f>IF(AND(AH44&lt;&gt;"SIM",AH44="UH"),"AA","INDENIZAÇÃO")</f>
        <v>INDENIZAÇÃO</v>
      </c>
      <c r="BJ44" s="98" t="str">
        <f>IF(AND(BD44&lt;&gt;"AGUARDANDO",BD44&lt;&gt;"",N44="AUXÍLIO ALUGUEL ATÉ INDENIZAÇÃO"),"SIM","NÃO")</f>
        <v>NÃO</v>
      </c>
      <c r="BK44" s="219" t="s">
        <v>4436</v>
      </c>
      <c r="BL44" s="219" t="s">
        <v>4436</v>
      </c>
      <c r="BM44" s="219" t="s">
        <v>4436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4434</v>
      </c>
    </row>
    <row r="45" spans="1:74" s="223" customFormat="1" ht="27" customHeight="1" x14ac:dyDescent="0.25">
      <c r="A45" s="197">
        <v>41</v>
      </c>
      <c r="B45" s="197" t="s">
        <v>4396</v>
      </c>
      <c r="C45" s="207" t="s">
        <v>4426</v>
      </c>
      <c r="D45" s="207">
        <v>1</v>
      </c>
      <c r="E45" s="207" t="s">
        <v>4398</v>
      </c>
      <c r="F45" s="214" t="s">
        <v>4591</v>
      </c>
      <c r="G45" s="207" t="s">
        <v>4400</v>
      </c>
      <c r="H45" s="207" t="s">
        <v>4401</v>
      </c>
      <c r="I45" s="217" t="s">
        <v>4402</v>
      </c>
      <c r="J45" s="215" t="s">
        <v>4599</v>
      </c>
      <c r="K45" s="214" t="s">
        <v>4600</v>
      </c>
      <c r="L45" s="214" t="s">
        <v>4601</v>
      </c>
      <c r="M45" s="197" t="s">
        <v>4405</v>
      </c>
      <c r="N45" s="207" t="s">
        <v>4441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4599</v>
      </c>
      <c r="AB45" s="214" t="s">
        <v>4600</v>
      </c>
      <c r="AC45" s="214" t="s">
        <v>4601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4432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>IF(AQ45="SIM","AGUARDANDO CORREÇÃO",IF(AP45&lt;&gt;"","FINALIZADO",IF(AO45&lt;&gt;"","AGUARDANDO ENVIO DTS",IF(AN45&lt;&gt;"","AGUARDANDO ASSINATURA GAB",IF(AM45&lt;&gt;"","AGUARDANDO ASSINATURA CTS",IF(AL45&lt;&gt;"","AGUARDANDO ENVIO ASSINATURA CTS",IF(AK45&lt;&gt;"","AGUARDANDO CONFERÊNCIA","")))))))</f>
        <v>FINALIZADO</v>
      </c>
      <c r="AS45" s="207" t="s">
        <v>4423</v>
      </c>
      <c r="AT45" s="217"/>
      <c r="AU45" s="220" t="s">
        <v>4602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4434</v>
      </c>
      <c r="BF45" s="228" t="s">
        <v>4435</v>
      </c>
      <c r="BG45" s="229" t="s">
        <v>4425</v>
      </c>
      <c r="BH45" s="321">
        <f>IFERROR(IF(BD45-KI45=0,"",BD45-AK45),"")</f>
        <v>92</v>
      </c>
      <c r="BI45" s="98" t="str">
        <f>IF(AND(AH45&lt;&gt;"SIM",AH45="UH"),"AA","INDENIZAÇÃO")</f>
        <v>INDENIZAÇÃO</v>
      </c>
      <c r="BJ45" s="98" t="str">
        <f>IF(AND(BD45&lt;&gt;"AGUARDANDO",BD45&lt;&gt;"",N45="AUXÍLIO ALUGUEL ATÉ INDENIZAÇÃO"),"SIM","NÃO")</f>
        <v>NÃO</v>
      </c>
      <c r="BK45" s="230" t="s">
        <v>4436</v>
      </c>
      <c r="BL45" s="230" t="s">
        <v>4436</v>
      </c>
      <c r="BM45" s="230" t="s">
        <v>4436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4434</v>
      </c>
    </row>
    <row r="46" spans="1:74" s="223" customFormat="1" ht="27" hidden="1" customHeight="1" x14ac:dyDescent="0.25">
      <c r="A46" s="207">
        <v>42</v>
      </c>
      <c r="B46" s="197" t="s">
        <v>4396</v>
      </c>
      <c r="C46" s="207" t="s">
        <v>4452</v>
      </c>
      <c r="D46" s="207">
        <v>1</v>
      </c>
      <c r="E46" s="207" t="s">
        <v>4398</v>
      </c>
      <c r="F46" s="214" t="s">
        <v>4603</v>
      </c>
      <c r="G46" s="207" t="s">
        <v>4400</v>
      </c>
      <c r="H46" s="207" t="s">
        <v>4401</v>
      </c>
      <c r="I46" s="217" t="s">
        <v>4402</v>
      </c>
      <c r="J46" s="215" t="s">
        <v>4604</v>
      </c>
      <c r="K46" s="214" t="s">
        <v>4605</v>
      </c>
      <c r="L46" s="214" t="s">
        <v>4606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4604</v>
      </c>
      <c r="AB46" s="214" t="s">
        <v>4606</v>
      </c>
      <c r="AC46" s="215" t="s">
        <v>4607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>IF(AQ46="SIM","AGUARDANDO CORREÇÃO",IF(AP46&lt;&gt;"","FINALIZADO",IF(AO46&lt;&gt;"","AGUARDANDO ENVIO DTS",IF(AN46&lt;&gt;"","AGUARDANDO ASSINATURA GAB",IF(AM46&lt;&gt;"","AGUARDANDO ASSINATURA CTS",IF(AL46&lt;&gt;"","AGUARDANDO ENVIO ASSINATURA CTS",IF(AK46&lt;&gt;"","AGUARDANDO CONFERÊNCIA","")))))))</f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>IFERROR(IF(BD46-KI46=0,"",BD46-AK46),"")</f>
        <v/>
      </c>
      <c r="BI46" s="98" t="str">
        <f>IF(AND(AH46&lt;&gt;"SIM",AH46="UH"),"AA","INDENIZAÇÃO")</f>
        <v>AA</v>
      </c>
      <c r="BJ46" s="98" t="str">
        <f>IF(AND(BD46&lt;&gt;"AGUARDANDO",BD46&lt;&gt;"",N46="AUXÍLIO ALUGUEL ATÉ INDENIZAÇÃO"),"SIM","NÃO")</f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 x14ac:dyDescent="0.25">
      <c r="A47" s="207">
        <v>43</v>
      </c>
      <c r="B47" s="197" t="s">
        <v>4396</v>
      </c>
      <c r="C47" s="207" t="s">
        <v>4452</v>
      </c>
      <c r="D47" s="207">
        <v>1</v>
      </c>
      <c r="E47" s="207" t="s">
        <v>4398</v>
      </c>
      <c r="F47" s="214" t="s">
        <v>4608</v>
      </c>
      <c r="G47" s="207" t="s">
        <v>4400</v>
      </c>
      <c r="H47" s="207" t="s">
        <v>4401</v>
      </c>
      <c r="I47" s="217" t="s">
        <v>4402</v>
      </c>
      <c r="J47" s="215" t="s">
        <v>4609</v>
      </c>
      <c r="K47" s="215" t="s">
        <v>4398</v>
      </c>
      <c r="L47" s="214" t="s">
        <v>4610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4609</v>
      </c>
      <c r="AB47" s="215" t="s">
        <v>4611</v>
      </c>
      <c r="AC47" s="215" t="s">
        <v>4610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>IF(AQ47="SIM","AGUARDANDO CORREÇÃO",IF(AP47&lt;&gt;"","FINALIZADO",IF(AO47&lt;&gt;"","AGUARDANDO ENVIO DTS",IF(AN47&lt;&gt;"","AGUARDANDO ASSINATURA GAB",IF(AM47&lt;&gt;"","AGUARDANDO ASSINATURA CTS",IF(AL47&lt;&gt;"","AGUARDANDO ENVIO ASSINATURA CTS",IF(AK47&lt;&gt;"","AGUARDANDO CONFERÊNCIA","")))))))</f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>IFERROR(IF(BD47-KI47=0,"",BD47-AK47),"")</f>
        <v/>
      </c>
      <c r="BI47" s="98" t="str">
        <f>IF(AND(AH47&lt;&gt;"SIM",AH47="UH"),"AA","INDENIZAÇÃO")</f>
        <v>AA</v>
      </c>
      <c r="BJ47" s="98" t="str">
        <f>IF(AND(BD47&lt;&gt;"AGUARDANDO",BD47&lt;&gt;"",N47="AUXÍLIO ALUGUEL ATÉ INDENIZAÇÃO"),"SIM","NÃO")</f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 x14ac:dyDescent="0.25">
      <c r="A48" s="207">
        <v>44</v>
      </c>
      <c r="B48" s="197" t="s">
        <v>4396</v>
      </c>
      <c r="C48" s="207" t="s">
        <v>4452</v>
      </c>
      <c r="D48" s="207">
        <v>1</v>
      </c>
      <c r="E48" s="207" t="s">
        <v>4398</v>
      </c>
      <c r="F48" s="214" t="s">
        <v>4612</v>
      </c>
      <c r="G48" s="207" t="s">
        <v>4400</v>
      </c>
      <c r="H48" s="207" t="s">
        <v>4401</v>
      </c>
      <c r="I48" s="217" t="s">
        <v>4402</v>
      </c>
      <c r="J48" s="215" t="s">
        <v>4613</v>
      </c>
      <c r="K48" s="214" t="s">
        <v>4439</v>
      </c>
      <c r="L48" s="214" t="s">
        <v>4614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4613</v>
      </c>
      <c r="AB48" s="214" t="s">
        <v>4439</v>
      </c>
      <c r="AC48" s="214" t="s">
        <v>4614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>IF(AQ48="SIM","AGUARDANDO CORREÇÃO",IF(AP48&lt;&gt;"","FINALIZADO",IF(AO48&lt;&gt;"","AGUARDANDO ENVIO DTS",IF(AN48&lt;&gt;"","AGUARDANDO ASSINATURA GAB",IF(AM48&lt;&gt;"","AGUARDANDO ASSINATURA CTS",IF(AL48&lt;&gt;"","AGUARDANDO ENVIO ASSINATURA CTS",IF(AK48&lt;&gt;"","AGUARDANDO CONFERÊNCIA","")))))))</f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>IFERROR(IF(BD48-KI48=0,"",BD48-AK48),"")</f>
        <v/>
      </c>
      <c r="BI48" s="98" t="str">
        <f>IF(AND(AH48&lt;&gt;"SIM",AH48="UH"),"AA","INDENIZAÇÃO")</f>
        <v>AA</v>
      </c>
      <c r="BJ48" s="98" t="str">
        <f>IF(AND(BD48&lt;&gt;"AGUARDANDO",BD48&lt;&gt;"",N48="AUXÍLIO ALUGUEL ATÉ INDENIZAÇÃO"),"SIM","NÃO")</f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customHeight="1" x14ac:dyDescent="0.25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4612</v>
      </c>
      <c r="G49" s="207" t="s">
        <v>4400</v>
      </c>
      <c r="H49" s="207" t="s">
        <v>4401</v>
      </c>
      <c r="I49" s="217" t="s">
        <v>4402</v>
      </c>
      <c r="J49" s="215" t="s">
        <v>4615</v>
      </c>
      <c r="K49" s="215" t="s">
        <v>4616</v>
      </c>
      <c r="L49" s="215" t="s">
        <v>4617</v>
      </c>
      <c r="M49" s="197" t="s">
        <v>4405</v>
      </c>
      <c r="N49" s="207" t="s">
        <v>4441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4615</v>
      </c>
      <c r="AB49" s="215" t="s">
        <v>4616</v>
      </c>
      <c r="AC49" s="215" t="s">
        <v>4617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>IF(AQ49="SIM","AGUARDANDO CORREÇÃO",IF(AP49&lt;&gt;"","FINALIZADO",IF(AO49&lt;&gt;"","AGUARDANDO ENVIO DTS",IF(AN49&lt;&gt;"","AGUARDANDO ASSINATURA GAB",IF(AM49&lt;&gt;"","AGUARDANDO ASSINATURA CTS",IF(AL49&lt;&gt;"","AGUARDANDO ENVIO ASSINATURA CTS",IF(AK49&lt;&gt;"","AGUARDANDO CONFERÊNCIA","")))))))</f>
        <v>FINALIZADO</v>
      </c>
      <c r="AS49" s="207" t="s">
        <v>4423</v>
      </c>
      <c r="AT49" s="219"/>
      <c r="AU49" s="220" t="s">
        <v>4618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4434</v>
      </c>
      <c r="BF49" s="245" t="s">
        <v>4435</v>
      </c>
      <c r="BG49" s="229" t="s">
        <v>4425</v>
      </c>
      <c r="BH49" s="321">
        <f>IFERROR(IF(BD49-KI49=0,"",BD49-AK49),"")</f>
        <v>53</v>
      </c>
      <c r="BI49" s="98" t="str">
        <f>IF(AND(AH49&lt;&gt;"SIM",AH49="UH"),"AA","INDENIZAÇÃO")</f>
        <v>INDENIZAÇÃO</v>
      </c>
      <c r="BJ49" s="98" t="str">
        <f>IF(AND(BD49&lt;&gt;"AGUARDANDO",BD49&lt;&gt;"",N49="AUXÍLIO ALUGUEL ATÉ INDENIZAÇÃO"),"SIM","NÃO")</f>
        <v>NÃO</v>
      </c>
      <c r="BK49" s="219" t="s">
        <v>4436</v>
      </c>
      <c r="BL49" s="219" t="s">
        <v>4436</v>
      </c>
      <c r="BM49" s="219" t="s">
        <v>4436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4434</v>
      </c>
    </row>
    <row r="50" spans="1:70" s="223" customFormat="1" ht="27" hidden="1" customHeight="1" x14ac:dyDescent="0.25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4619</v>
      </c>
      <c r="G50" s="207" t="s">
        <v>4400</v>
      </c>
      <c r="H50" s="207" t="s">
        <v>4535</v>
      </c>
      <c r="I50" s="217" t="s">
        <v>4535</v>
      </c>
      <c r="J50" s="215" t="s">
        <v>4620</v>
      </c>
      <c r="K50" s="215" t="s">
        <v>4621</v>
      </c>
      <c r="L50" s="215" t="s">
        <v>4622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4620</v>
      </c>
      <c r="AB50" s="215" t="s">
        <v>4621</v>
      </c>
      <c r="AC50" s="215" t="s">
        <v>4622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>IF(AQ50="SIM","AGUARDANDO CORREÇÃO",IF(AP50&lt;&gt;"","FINALIZADO",IF(AO50&lt;&gt;"","AGUARDANDO ENVIO DTS",IF(AN50&lt;&gt;"","AGUARDANDO ASSINATURA GAB",IF(AM50&lt;&gt;"","AGUARDANDO ASSINATURA CTS",IF(AL50&lt;&gt;"","AGUARDANDO ENVIO ASSINATURA CTS",IF(AK50&lt;&gt;"","AGUARDANDO CONFERÊNCIA","")))))))</f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>IFERROR(IF(BD50-KI50=0,"",BD50-AK50),"")</f>
        <v/>
      </c>
      <c r="BI50" s="98" t="str">
        <f>IF(AND(AH50&lt;&gt;"SIM",AH50="UH"),"AA","INDENIZAÇÃO")</f>
        <v>AA</v>
      </c>
      <c r="BJ50" s="98" t="str">
        <f>IF(AND(BD50&lt;&gt;"AGUARDANDO",BD50&lt;&gt;"",N50="AUXÍLIO ALUGUEL ATÉ INDENIZAÇÃO"),"SIM","NÃO")</f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 x14ac:dyDescent="0.25">
      <c r="A51" s="207">
        <v>47</v>
      </c>
      <c r="B51" s="197" t="s">
        <v>4396</v>
      </c>
      <c r="C51" s="207" t="s">
        <v>4452</v>
      </c>
      <c r="D51" s="207">
        <v>1</v>
      </c>
      <c r="E51" s="207" t="s">
        <v>4398</v>
      </c>
      <c r="F51" s="214" t="s">
        <v>4623</v>
      </c>
      <c r="G51" s="207" t="s">
        <v>4400</v>
      </c>
      <c r="H51" s="207" t="s">
        <v>4401</v>
      </c>
      <c r="I51" s="217" t="s">
        <v>4402</v>
      </c>
      <c r="J51" s="215" t="s">
        <v>4624</v>
      </c>
      <c r="K51" s="214" t="s">
        <v>4625</v>
      </c>
      <c r="L51" s="214" t="s">
        <v>4626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4624</v>
      </c>
      <c r="AB51" s="215" t="s">
        <v>4625</v>
      </c>
      <c r="AC51" s="215" t="s">
        <v>4626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>IF(AQ51="SIM","AGUARDANDO CORREÇÃO",IF(AP51&lt;&gt;"","FINALIZADO",IF(AO51&lt;&gt;"","AGUARDANDO ENVIO DTS",IF(AN51&lt;&gt;"","AGUARDANDO ASSINATURA GAB",IF(AM51&lt;&gt;"","AGUARDANDO ASSINATURA CTS",IF(AL51&lt;&gt;"","AGUARDANDO ENVIO ASSINATURA CTS",IF(AK51&lt;&gt;"","AGUARDANDO CONFERÊNCIA","")))))))</f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>IFERROR(IF(BD51-KI51=0,"",BD51-AK51),"")</f>
        <v/>
      </c>
      <c r="BI51" s="98" t="str">
        <f>IF(AND(AH51&lt;&gt;"SIM",AH51="UH"),"AA","INDENIZAÇÃO")</f>
        <v>AA</v>
      </c>
      <c r="BJ51" s="98" t="str">
        <f>IF(AND(BD51&lt;&gt;"AGUARDANDO",BD51&lt;&gt;"",N51="AUXÍLIO ALUGUEL ATÉ INDENIZAÇÃO"),"SIM","NÃO")</f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 x14ac:dyDescent="0.25">
      <c r="A52" s="207">
        <v>48</v>
      </c>
      <c r="B52" s="197" t="s">
        <v>4396</v>
      </c>
      <c r="C52" s="207" t="s">
        <v>4627</v>
      </c>
      <c r="D52" s="207">
        <v>1</v>
      </c>
      <c r="E52" s="207" t="s">
        <v>4398</v>
      </c>
      <c r="F52" s="214" t="s">
        <v>4623</v>
      </c>
      <c r="G52" s="207" t="s">
        <v>4545</v>
      </c>
      <c r="H52" s="207" t="s">
        <v>4545</v>
      </c>
      <c r="I52" s="233" t="s">
        <v>4421</v>
      </c>
      <c r="J52" s="215" t="s">
        <v>4628</v>
      </c>
      <c r="K52" s="215" t="s">
        <v>4629</v>
      </c>
      <c r="L52" s="215" t="s">
        <v>4630</v>
      </c>
      <c r="M52" s="197" t="s">
        <v>4405</v>
      </c>
      <c r="N52" s="207" t="s">
        <v>4441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4631</v>
      </c>
      <c r="AB52" s="215" t="s">
        <v>4398</v>
      </c>
      <c r="AC52" s="215" t="s">
        <v>4632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>IF(AQ52="SIM","AGUARDANDO CORREÇÃO",IF(AP52&lt;&gt;"","FINALIZADO",IF(AO52&lt;&gt;"","AGUARDANDO ENVIO DTS",IF(AN52&lt;&gt;"","AGUARDANDO ASSINATURA GAB",IF(AM52&lt;&gt;"","AGUARDANDO ASSINATURA CTS",IF(AL52&lt;&gt;"","AGUARDANDO ENVIO ASSINATURA CTS",IF(AK52&lt;&gt;"","AGUARDANDO CONFERÊNCIA","")))))))</f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>IFERROR(IF(BD52-KI52=0,"",BD52-AK52),"")</f>
        <v/>
      </c>
      <c r="BI52" s="98" t="str">
        <f>IF(AND(AH52&lt;&gt;"SIM",AH52="UH"),"AA","INDENIZAÇÃO")</f>
        <v>INDENIZAÇÃO</v>
      </c>
      <c r="BJ52" s="98" t="str">
        <f>IF(AND(BD52&lt;&gt;"AGUARDANDO",BD52&lt;&gt;"",N52="AUXÍLIO ALUGUEL ATÉ INDENIZAÇÃO"),"SIM","NÃO")</f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 x14ac:dyDescent="0.25">
      <c r="A53" s="207">
        <v>49</v>
      </c>
      <c r="B53" s="197" t="s">
        <v>4396</v>
      </c>
      <c r="C53" s="207" t="s">
        <v>4452</v>
      </c>
      <c r="D53" s="207">
        <v>1</v>
      </c>
      <c r="E53" s="207" t="s">
        <v>4398</v>
      </c>
      <c r="F53" s="214" t="s">
        <v>4633</v>
      </c>
      <c r="G53" s="207" t="s">
        <v>4400</v>
      </c>
      <c r="H53" s="207" t="s">
        <v>4401</v>
      </c>
      <c r="I53" s="249" t="s">
        <v>4402</v>
      </c>
      <c r="J53" s="242" t="s">
        <v>4634</v>
      </c>
      <c r="K53" s="214" t="s">
        <v>4635</v>
      </c>
      <c r="L53" s="214" t="s">
        <v>4636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4634</v>
      </c>
      <c r="AB53" s="215" t="s">
        <v>4635</v>
      </c>
      <c r="AC53" s="215" t="s">
        <v>4636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>IF(AQ53="SIM","AGUARDANDO CORREÇÃO",IF(AP53&lt;&gt;"","FINALIZADO",IF(AO53&lt;&gt;"","AGUARDANDO ENVIO DTS",IF(AN53&lt;&gt;"","AGUARDANDO ASSINATURA GAB",IF(AM53&lt;&gt;"","AGUARDANDO ASSINATURA CTS",IF(AL53&lt;&gt;"","AGUARDANDO ENVIO ASSINATURA CTS",IF(AK53&lt;&gt;"","AGUARDANDO CONFERÊNCIA","")))))))</f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>IFERROR(IF(BD53-KI53=0,"",BD53-AK53),"")</f>
        <v/>
      </c>
      <c r="BI53" s="98" t="str">
        <f>IF(AND(AH53&lt;&gt;"SIM",AH53="UH"),"AA","INDENIZAÇÃO")</f>
        <v>AA</v>
      </c>
      <c r="BJ53" s="98" t="str">
        <f>IF(AND(BD53&lt;&gt;"AGUARDANDO",BD53&lt;&gt;"",N53="AUXÍLIO ALUGUEL ATÉ INDENIZAÇÃO"),"SIM","NÃO")</f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 x14ac:dyDescent="0.25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4633</v>
      </c>
      <c r="G54" s="207" t="s">
        <v>4400</v>
      </c>
      <c r="H54" s="207" t="s">
        <v>4401</v>
      </c>
      <c r="I54" s="217" t="s">
        <v>4402</v>
      </c>
      <c r="J54" s="215" t="s">
        <v>4637</v>
      </c>
      <c r="K54" s="215" t="s">
        <v>4638</v>
      </c>
      <c r="L54" s="215" t="s">
        <v>4639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4637</v>
      </c>
      <c r="AB54" s="215" t="s">
        <v>4638</v>
      </c>
      <c r="AC54" s="215" t="s">
        <v>4639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>IF(AQ54="SIM","AGUARDANDO CORREÇÃO",IF(AP54&lt;&gt;"","FINALIZADO",IF(AO54&lt;&gt;"","AGUARDANDO ENVIO DTS",IF(AN54&lt;&gt;"","AGUARDANDO ASSINATURA GAB",IF(AM54&lt;&gt;"","AGUARDANDO ASSINATURA CTS",IF(AL54&lt;&gt;"","AGUARDANDO ENVIO ASSINATURA CTS",IF(AK54&lt;&gt;"","AGUARDANDO CONFERÊNCIA","")))))))</f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>IFERROR(IF(BD54-KI54=0,"",BD54-AK54),"")</f>
        <v/>
      </c>
      <c r="BI54" s="98" t="str">
        <f>IF(AND(AH54&lt;&gt;"SIM",AH54="UH"),"AA","INDENIZAÇÃO")</f>
        <v>AA</v>
      </c>
      <c r="BJ54" s="98" t="str">
        <f>IF(AND(BD54&lt;&gt;"AGUARDANDO",BD54&lt;&gt;"",N54="AUXÍLIO ALUGUEL ATÉ INDENIZAÇÃO"),"SIM","NÃO")</f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 x14ac:dyDescent="0.25">
      <c r="A55" s="197">
        <v>51</v>
      </c>
      <c r="B55" s="197" t="s">
        <v>4396</v>
      </c>
      <c r="C55" s="207" t="s">
        <v>4452</v>
      </c>
      <c r="D55" s="207">
        <v>1</v>
      </c>
      <c r="E55" s="207" t="s">
        <v>4398</v>
      </c>
      <c r="F55" s="214" t="s">
        <v>4640</v>
      </c>
      <c r="G55" s="207" t="s">
        <v>4400</v>
      </c>
      <c r="H55" s="207" t="s">
        <v>4401</v>
      </c>
      <c r="I55" s="217" t="s">
        <v>4402</v>
      </c>
      <c r="J55" s="215" t="s">
        <v>4641</v>
      </c>
      <c r="K55" s="214" t="s">
        <v>4642</v>
      </c>
      <c r="L55" s="214" t="s">
        <v>4643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4641</v>
      </c>
      <c r="AB55" s="215" t="s">
        <v>4642</v>
      </c>
      <c r="AC55" s="215" t="s">
        <v>4643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>IF(AQ55="SIM","AGUARDANDO CORREÇÃO",IF(AP55&lt;&gt;"","FINALIZADO",IF(AO55&lt;&gt;"","AGUARDANDO ENVIO DTS",IF(AN55&lt;&gt;"","AGUARDANDO ASSINATURA GAB",IF(AM55&lt;&gt;"","AGUARDANDO ASSINATURA CTS",IF(AL55&lt;&gt;"","AGUARDANDO ENVIO ASSINATURA CTS",IF(AK55&lt;&gt;"","AGUARDANDO CONFERÊNCIA","")))))))</f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>IFERROR(IF(BD55-KI55=0,"",BD55-AK55),"")</f>
        <v/>
      </c>
      <c r="BI55" s="98" t="str">
        <f>IF(AND(AH55&lt;&gt;"SIM",AH55="UH"),"AA","INDENIZAÇÃO")</f>
        <v>AA</v>
      </c>
      <c r="BJ55" s="98" t="str">
        <f>IF(AND(BD55&lt;&gt;"AGUARDANDO",BD55&lt;&gt;"",N55="AUXÍLIO ALUGUEL ATÉ INDENIZAÇÃO"),"SIM","NÃO")</f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 x14ac:dyDescent="0.25">
      <c r="A56" s="207">
        <v>52</v>
      </c>
      <c r="B56" s="197" t="s">
        <v>4396</v>
      </c>
      <c r="C56" s="207" t="s">
        <v>4452</v>
      </c>
      <c r="D56" s="207">
        <v>1</v>
      </c>
      <c r="E56" s="207" t="s">
        <v>4398</v>
      </c>
      <c r="F56" s="214" t="s">
        <v>4644</v>
      </c>
      <c r="G56" s="207" t="s">
        <v>4400</v>
      </c>
      <c r="H56" s="207" t="s">
        <v>4401</v>
      </c>
      <c r="I56" s="217" t="s">
        <v>4402</v>
      </c>
      <c r="J56" s="215" t="s">
        <v>4645</v>
      </c>
      <c r="K56" s="214" t="s">
        <v>4646</v>
      </c>
      <c r="L56" s="214" t="s">
        <v>4647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4645</v>
      </c>
      <c r="AB56" s="214" t="s">
        <v>4646</v>
      </c>
      <c r="AC56" s="214" t="s">
        <v>4647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>IF(AQ56="SIM","AGUARDANDO CORREÇÃO",IF(AP56&lt;&gt;"","FINALIZADO",IF(AO56&lt;&gt;"","AGUARDANDO ENVIO DTS",IF(AN56&lt;&gt;"","AGUARDANDO ASSINATURA GAB",IF(AM56&lt;&gt;"","AGUARDANDO ASSINATURA CTS",IF(AL56&lt;&gt;"","AGUARDANDO ENVIO ASSINATURA CTS",IF(AK56&lt;&gt;"","AGUARDANDO CONFERÊNCIA","")))))))</f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>IFERROR(IF(BD56-KI56=0,"",BD56-AK56),"")</f>
        <v/>
      </c>
      <c r="BI56" s="98" t="str">
        <f>IF(AND(AH56&lt;&gt;"SIM",AH56="UH"),"AA","INDENIZAÇÃO")</f>
        <v>AA</v>
      </c>
      <c r="BJ56" s="98" t="str">
        <f>IF(AND(BD56&lt;&gt;"AGUARDANDO",BD56&lt;&gt;"",N56="AUXÍLIO ALUGUEL ATÉ INDENIZAÇÃO"),"SIM","NÃO")</f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 x14ac:dyDescent="0.25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4644</v>
      </c>
      <c r="G57" s="207" t="s">
        <v>4400</v>
      </c>
      <c r="H57" s="207" t="s">
        <v>4401</v>
      </c>
      <c r="I57" s="217" t="s">
        <v>4402</v>
      </c>
      <c r="J57" s="215" t="s">
        <v>4648</v>
      </c>
      <c r="K57" s="215" t="s">
        <v>4649</v>
      </c>
      <c r="L57" s="215" t="s">
        <v>4650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4648</v>
      </c>
      <c r="AB57" s="215" t="s">
        <v>4649</v>
      </c>
      <c r="AC57" s="215" t="s">
        <v>4650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>IF(AQ57="SIM","AGUARDANDO CORREÇÃO",IF(AP57&lt;&gt;"","FINALIZADO",IF(AO57&lt;&gt;"","AGUARDANDO ENVIO DTS",IF(AN57&lt;&gt;"","AGUARDANDO ASSINATURA GAB",IF(AM57&lt;&gt;"","AGUARDANDO ASSINATURA CTS",IF(AL57&lt;&gt;"","AGUARDANDO ENVIO ASSINATURA CTS",IF(AK57&lt;&gt;"","AGUARDANDO CONFERÊNCIA","")))))))</f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>IFERROR(IF(BD57-KI57=0,"",BD57-AK57),"")</f>
        <v/>
      </c>
      <c r="BI57" s="98" t="str">
        <f>IF(AND(AH57&lt;&gt;"SIM",AH57="UH"),"AA","INDENIZAÇÃO")</f>
        <v>AA</v>
      </c>
      <c r="BJ57" s="98" t="str">
        <f>IF(AND(BD57&lt;&gt;"AGUARDANDO",BD57&lt;&gt;"",N57="AUXÍLIO ALUGUEL ATÉ INDENIZAÇÃO"),"SIM","NÃO")</f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 x14ac:dyDescent="0.25">
      <c r="A58" s="207">
        <v>54</v>
      </c>
      <c r="B58" s="197" t="s">
        <v>4396</v>
      </c>
      <c r="C58" s="207" t="s">
        <v>4452</v>
      </c>
      <c r="D58" s="207">
        <v>1</v>
      </c>
      <c r="E58" s="207" t="s">
        <v>4398</v>
      </c>
      <c r="F58" s="214" t="s">
        <v>4651</v>
      </c>
      <c r="G58" s="207" t="s">
        <v>4400</v>
      </c>
      <c r="H58" s="207" t="s">
        <v>4401</v>
      </c>
      <c r="I58" s="217" t="s">
        <v>4402</v>
      </c>
      <c r="J58" s="242" t="s">
        <v>4652</v>
      </c>
      <c r="K58" s="214" t="s">
        <v>4653</v>
      </c>
      <c r="L58" s="214" t="s">
        <v>4654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4652</v>
      </c>
      <c r="AB58" s="215" t="s">
        <v>4653</v>
      </c>
      <c r="AC58" s="215" t="s">
        <v>4654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>IF(AQ58="SIM","AGUARDANDO CORREÇÃO",IF(AP58&lt;&gt;"","FINALIZADO",IF(AO58&lt;&gt;"","AGUARDANDO ENVIO DTS",IF(AN58&lt;&gt;"","AGUARDANDO ASSINATURA GAB",IF(AM58&lt;&gt;"","AGUARDANDO ASSINATURA CTS",IF(AL58&lt;&gt;"","AGUARDANDO ENVIO ASSINATURA CTS",IF(AK58&lt;&gt;"","AGUARDANDO CONFERÊNCIA","")))))))</f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>IFERROR(IF(BD58-KI58=0,"",BD58-AK58),"")</f>
        <v/>
      </c>
      <c r="BI58" s="98" t="str">
        <f>IF(AND(AH58&lt;&gt;"SIM",AH58="UH"),"AA","INDENIZAÇÃO")</f>
        <v>AA</v>
      </c>
      <c r="BJ58" s="98" t="str">
        <f>IF(AND(BD58&lt;&gt;"AGUARDANDO",BD58&lt;&gt;"",N58="AUXÍLIO ALUGUEL ATÉ INDENIZAÇÃO"),"SIM","NÃO")</f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 x14ac:dyDescent="0.25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4651</v>
      </c>
      <c r="G59" s="207" t="s">
        <v>4400</v>
      </c>
      <c r="H59" s="207" t="s">
        <v>4401</v>
      </c>
      <c r="I59" s="217" t="s">
        <v>4402</v>
      </c>
      <c r="J59" s="215" t="s">
        <v>4655</v>
      </c>
      <c r="K59" s="215" t="s">
        <v>4656</v>
      </c>
      <c r="L59" s="215" t="s">
        <v>4657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4655</v>
      </c>
      <c r="AB59" s="215" t="s">
        <v>4656</v>
      </c>
      <c r="AC59" s="215" t="s">
        <v>4657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>IF(AQ59="SIM","AGUARDANDO CORREÇÃO",IF(AP59&lt;&gt;"","FINALIZADO",IF(AO59&lt;&gt;"","AGUARDANDO ENVIO DTS",IF(AN59&lt;&gt;"","AGUARDANDO ASSINATURA GAB",IF(AM59&lt;&gt;"","AGUARDANDO ASSINATURA CTS",IF(AL59&lt;&gt;"","AGUARDANDO ENVIO ASSINATURA CTS",IF(AK59&lt;&gt;"","AGUARDANDO CONFERÊNCIA","")))))))</f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>IFERROR(IF(BD59-KI59=0,"",BD59-AK59),"")</f>
        <v/>
      </c>
      <c r="BI59" s="98" t="str">
        <f>IF(AND(AH59&lt;&gt;"SIM",AH59="UH"),"AA","INDENIZAÇÃO")</f>
        <v>AA</v>
      </c>
      <c r="BJ59" s="98" t="str">
        <f>IF(AND(BD59&lt;&gt;"AGUARDANDO",BD59&lt;&gt;"",N59="AUXÍLIO ALUGUEL ATÉ INDENIZAÇÃO"),"SIM","NÃO")</f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customHeight="1" x14ac:dyDescent="0.25">
      <c r="A60" s="197">
        <v>56</v>
      </c>
      <c r="B60" s="197" t="s">
        <v>4396</v>
      </c>
      <c r="C60" s="207" t="s">
        <v>4452</v>
      </c>
      <c r="D60" s="207">
        <v>1</v>
      </c>
      <c r="E60" s="207" t="s">
        <v>4398</v>
      </c>
      <c r="F60" s="214" t="s">
        <v>4658</v>
      </c>
      <c r="G60" s="207" t="s">
        <v>4400</v>
      </c>
      <c r="H60" s="207" t="s">
        <v>4401</v>
      </c>
      <c r="I60" s="217" t="s">
        <v>4402</v>
      </c>
      <c r="J60" s="215" t="s">
        <v>4659</v>
      </c>
      <c r="K60" s="214" t="s">
        <v>4660</v>
      </c>
      <c r="L60" s="214" t="s">
        <v>4661</v>
      </c>
      <c r="M60" s="197" t="s">
        <v>4405</v>
      </c>
      <c r="N60" s="207" t="s">
        <v>4441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4659</v>
      </c>
      <c r="AB60" s="255"/>
      <c r="AC60" s="214" t="s">
        <v>4661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4432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>IF(AQ60="SIM","AGUARDANDO CORREÇÃO",IF(AP60&lt;&gt;"","FINALIZADO",IF(AO60&lt;&gt;"","AGUARDANDO ENVIO DTS",IF(AN60&lt;&gt;"","AGUARDANDO ASSINATURA GAB",IF(AM60&lt;&gt;"","AGUARDANDO ASSINATURA CTS",IF(AL60&lt;&gt;"","AGUARDANDO ENVIO ASSINATURA CTS",IF(AK60&lt;&gt;"","AGUARDANDO CONFERÊNCIA","")))))))</f>
        <v>FINALIZADO</v>
      </c>
      <c r="AS60" s="207" t="s">
        <v>4423</v>
      </c>
      <c r="AT60" s="207"/>
      <c r="AU60" s="220" t="s">
        <v>4662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>IFERROR(IF(BD60-KI60=0,"",BD60-AK60),"")</f>
        <v>35</v>
      </c>
      <c r="BI60" s="98" t="str">
        <f>IF(AND(AH60&lt;&gt;"SIM",AH60="UH"),"AA","INDENIZAÇÃO")</f>
        <v>INDENIZAÇÃO</v>
      </c>
      <c r="BJ60" s="98" t="str">
        <f>IF(AND(BD60&lt;&gt;"AGUARDANDO",BD60&lt;&gt;"",N60="AUXÍLIO ALUGUEL ATÉ INDENIZAÇÃO"),"SIM","NÃO")</f>
        <v>NÃO</v>
      </c>
      <c r="BK60" s="230" t="s">
        <v>4436</v>
      </c>
      <c r="BL60" s="230" t="s">
        <v>4436</v>
      </c>
      <c r="BM60" s="230" t="s">
        <v>4436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4434</v>
      </c>
    </row>
    <row r="61" spans="1:70" s="223" customFormat="1" ht="27" hidden="1" customHeight="1" x14ac:dyDescent="0.25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4658</v>
      </c>
      <c r="G61" s="207" t="s">
        <v>4400</v>
      </c>
      <c r="H61" s="207" t="s">
        <v>4401</v>
      </c>
      <c r="I61" s="217" t="s">
        <v>4402</v>
      </c>
      <c r="J61" s="215" t="s">
        <v>4663</v>
      </c>
      <c r="K61" s="215" t="s">
        <v>4664</v>
      </c>
      <c r="L61" s="215" t="s">
        <v>4665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4663</v>
      </c>
      <c r="AB61" s="215" t="s">
        <v>4664</v>
      </c>
      <c r="AC61" s="215" t="s">
        <v>4665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>IF(AQ61="SIM","AGUARDANDO CORREÇÃO",IF(AP61&lt;&gt;"","FINALIZADO",IF(AO61&lt;&gt;"","AGUARDANDO ENVIO DTS",IF(AN61&lt;&gt;"","AGUARDANDO ASSINATURA GAB",IF(AM61&lt;&gt;"","AGUARDANDO ASSINATURA CTS",IF(AL61&lt;&gt;"","AGUARDANDO ENVIO ASSINATURA CTS",IF(AK61&lt;&gt;"","AGUARDANDO CONFERÊNCIA","")))))))</f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>IFERROR(IF(BD61-KI61=0,"",BD61-AK61),"")</f>
        <v/>
      </c>
      <c r="BI61" s="98" t="str">
        <f>IF(AND(AH61&lt;&gt;"SIM",AH61="UH"),"AA","INDENIZAÇÃO")</f>
        <v>AA</v>
      </c>
      <c r="BJ61" s="98" t="str">
        <f>IF(AND(BD61&lt;&gt;"AGUARDANDO",BD61&lt;&gt;"",N61="AUXÍLIO ALUGUEL ATÉ INDENIZAÇÃO"),"SIM","NÃO")</f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 x14ac:dyDescent="0.25">
      <c r="A62" s="207">
        <v>58</v>
      </c>
      <c r="B62" s="197" t="s">
        <v>4396</v>
      </c>
      <c r="C62" s="207" t="s">
        <v>4452</v>
      </c>
      <c r="D62" s="207">
        <v>1</v>
      </c>
      <c r="E62" s="207" t="s">
        <v>4398</v>
      </c>
      <c r="F62" s="214" t="s">
        <v>4666</v>
      </c>
      <c r="G62" s="207" t="s">
        <v>4400</v>
      </c>
      <c r="H62" s="207" t="s">
        <v>4401</v>
      </c>
      <c r="I62" s="217" t="s">
        <v>4402</v>
      </c>
      <c r="J62" s="215" t="s">
        <v>4667</v>
      </c>
      <c r="K62" s="214" t="s">
        <v>4668</v>
      </c>
      <c r="L62" s="214" t="s">
        <v>4669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4667</v>
      </c>
      <c r="AB62" s="215" t="s">
        <v>4668</v>
      </c>
      <c r="AC62" s="215" t="s">
        <v>4669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>IF(AQ62="SIM","AGUARDANDO CORREÇÃO",IF(AP62&lt;&gt;"","FINALIZADO",IF(AO62&lt;&gt;"","AGUARDANDO ENVIO DTS",IF(AN62&lt;&gt;"","AGUARDANDO ASSINATURA GAB",IF(AM62&lt;&gt;"","AGUARDANDO ASSINATURA CTS",IF(AL62&lt;&gt;"","AGUARDANDO ENVIO ASSINATURA CTS",IF(AK62&lt;&gt;"","AGUARDANDO CONFERÊNCIA","")))))))</f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>IFERROR(IF(BD62-KI62=0,"",BD62-AK62),"")</f>
        <v/>
      </c>
      <c r="BI62" s="98" t="str">
        <f>IF(AND(AH62&lt;&gt;"SIM",AH62="UH"),"AA","INDENIZAÇÃO")</f>
        <v>AA</v>
      </c>
      <c r="BJ62" s="98" t="str">
        <f>IF(AND(BD62&lt;&gt;"AGUARDANDO",BD62&lt;&gt;"",N62="AUXÍLIO ALUGUEL ATÉ INDENIZAÇÃO"),"SIM","NÃO")</f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 x14ac:dyDescent="0.25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4666</v>
      </c>
      <c r="G63" s="207" t="s">
        <v>4400</v>
      </c>
      <c r="H63" s="207" t="s">
        <v>4582</v>
      </c>
      <c r="I63" s="217" t="s">
        <v>4402</v>
      </c>
      <c r="J63" s="215" t="s">
        <v>4670</v>
      </c>
      <c r="K63" s="215" t="s">
        <v>4671</v>
      </c>
      <c r="L63" s="215" t="s">
        <v>4672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4670</v>
      </c>
      <c r="AB63" s="215" t="s">
        <v>4671</v>
      </c>
      <c r="AC63" s="215" t="s">
        <v>4672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>IF(AQ63="SIM","AGUARDANDO CORREÇÃO",IF(AP63&lt;&gt;"","FINALIZADO",IF(AO63&lt;&gt;"","AGUARDANDO ENVIO DTS",IF(AN63&lt;&gt;"","AGUARDANDO ASSINATURA GAB",IF(AM63&lt;&gt;"","AGUARDANDO ASSINATURA CTS",IF(AL63&lt;&gt;"","AGUARDANDO ENVIO ASSINATURA CTS",IF(AK63&lt;&gt;"","AGUARDANDO CONFERÊNCIA","")))))))</f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>IFERROR(IF(BD63-KI63=0,"",BD63-AK63),"")</f>
        <v/>
      </c>
      <c r="BI63" s="98" t="str">
        <f>IF(AND(AH63&lt;&gt;"SIM",AH63="UH"),"AA","INDENIZAÇÃO")</f>
        <v>AA</v>
      </c>
      <c r="BJ63" s="98" t="str">
        <f>IF(AND(BD63&lt;&gt;"AGUARDANDO",BD63&lt;&gt;"",N63="AUXÍLIO ALUGUEL ATÉ INDENIZAÇÃO"),"SIM","NÃO")</f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 x14ac:dyDescent="0.25">
      <c r="A64" s="197">
        <v>60</v>
      </c>
      <c r="B64" s="197" t="s">
        <v>4396</v>
      </c>
      <c r="C64" s="207" t="s">
        <v>4452</v>
      </c>
      <c r="D64" s="207">
        <v>1</v>
      </c>
      <c r="E64" s="207" t="s">
        <v>4398</v>
      </c>
      <c r="F64" s="214" t="s">
        <v>4673</v>
      </c>
      <c r="G64" s="207" t="s">
        <v>4400</v>
      </c>
      <c r="H64" s="207" t="s">
        <v>4401</v>
      </c>
      <c r="I64" s="217" t="s">
        <v>4402</v>
      </c>
      <c r="J64" s="215" t="s">
        <v>4674</v>
      </c>
      <c r="K64" s="214" t="s">
        <v>4675</v>
      </c>
      <c r="L64" s="214" t="s">
        <v>4676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4674</v>
      </c>
      <c r="AB64" s="215" t="s">
        <v>4675</v>
      </c>
      <c r="AC64" s="215" t="s">
        <v>4676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>IF(AQ64="SIM","AGUARDANDO CORREÇÃO",IF(AP64&lt;&gt;"","FINALIZADO",IF(AO64&lt;&gt;"","AGUARDANDO ENVIO DTS",IF(AN64&lt;&gt;"","AGUARDANDO ASSINATURA GAB",IF(AM64&lt;&gt;"","AGUARDANDO ASSINATURA CTS",IF(AL64&lt;&gt;"","AGUARDANDO ENVIO ASSINATURA CTS",IF(AK64&lt;&gt;"","AGUARDANDO CONFERÊNCIA","")))))))</f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>IFERROR(IF(BD64-KI64=0,"",BD64-AK64),"")</f>
        <v/>
      </c>
      <c r="BI64" s="98" t="str">
        <f>IF(AND(AH64&lt;&gt;"SIM",AH64="UH"),"AA","INDENIZAÇÃO")</f>
        <v>AA</v>
      </c>
      <c r="BJ64" s="98" t="str">
        <f>IF(AND(BD64&lt;&gt;"AGUARDANDO",BD64&lt;&gt;"",N64="AUXÍLIO ALUGUEL ATÉ INDENIZAÇÃO"),"SIM","NÃO")</f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customHeight="1" x14ac:dyDescent="0.25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4673</v>
      </c>
      <c r="G65" s="207" t="s">
        <v>4545</v>
      </c>
      <c r="H65" s="207" t="s">
        <v>4545</v>
      </c>
      <c r="I65" s="233" t="s">
        <v>4421</v>
      </c>
      <c r="J65" s="215" t="s">
        <v>4677</v>
      </c>
      <c r="K65" s="215" t="s">
        <v>4398</v>
      </c>
      <c r="L65" s="215" t="s">
        <v>4678</v>
      </c>
      <c r="M65" s="197" t="s">
        <v>4405</v>
      </c>
      <c r="N65" s="207" t="s">
        <v>4441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4677</v>
      </c>
      <c r="AB65" s="215" t="s">
        <v>4398</v>
      </c>
      <c r="AC65" s="215" t="s">
        <v>4678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4432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>IF(AQ65="SIM","AGUARDANDO CORREÇÃO",IF(AP65&lt;&gt;"","FINALIZADO",IF(AO65&lt;&gt;"","AGUARDANDO ENVIO DTS",IF(AN65&lt;&gt;"","AGUARDANDO ASSINATURA GAB",IF(AM65&lt;&gt;"","AGUARDANDO ASSINATURA CTS",IF(AL65&lt;&gt;"","AGUARDANDO ENVIO ASSINATURA CTS",IF(AK65&lt;&gt;"","AGUARDANDO CONFERÊNCIA","")))))))</f>
        <v>FINALIZADO</v>
      </c>
      <c r="AS65" s="207" t="s">
        <v>4423</v>
      </c>
      <c r="AT65" s="219"/>
      <c r="AU65" s="220" t="s">
        <v>4679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4434</v>
      </c>
      <c r="BF65" s="245" t="s">
        <v>4435</v>
      </c>
      <c r="BG65" s="219" t="s">
        <v>4425</v>
      </c>
      <c r="BH65" s="321">
        <f>IFERROR(IF(BD65-KI65=0,"",BD65-AK65),"")</f>
        <v>71</v>
      </c>
      <c r="BI65" s="98" t="str">
        <f>IF(AND(AH65&lt;&gt;"SIM",AH65="UH"),"AA","INDENIZAÇÃO")</f>
        <v>INDENIZAÇÃO</v>
      </c>
      <c r="BJ65" s="98" t="str">
        <f>IF(AND(BD65&lt;&gt;"AGUARDANDO",BD65&lt;&gt;"",N65="AUXÍLIO ALUGUEL ATÉ INDENIZAÇÃO"),"SIM","NÃO")</f>
        <v>NÃO</v>
      </c>
      <c r="BK65" s="219" t="s">
        <v>4436</v>
      </c>
      <c r="BL65" s="219" t="s">
        <v>4436</v>
      </c>
      <c r="BM65" s="219" t="s">
        <v>4436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4434</v>
      </c>
    </row>
    <row r="66" spans="1:112" s="223" customFormat="1" ht="27" hidden="1" customHeight="1" x14ac:dyDescent="0.25">
      <c r="A66" s="207">
        <v>62</v>
      </c>
      <c r="B66" s="197" t="s">
        <v>4396</v>
      </c>
      <c r="C66" s="207" t="s">
        <v>4452</v>
      </c>
      <c r="D66" s="207">
        <v>1</v>
      </c>
      <c r="E66" s="207" t="s">
        <v>4398</v>
      </c>
      <c r="F66" s="214" t="s">
        <v>4680</v>
      </c>
      <c r="G66" s="207" t="s">
        <v>4400</v>
      </c>
      <c r="H66" s="207" t="s">
        <v>4401</v>
      </c>
      <c r="I66" s="249" t="s">
        <v>4402</v>
      </c>
      <c r="J66" s="215" t="s">
        <v>4681</v>
      </c>
      <c r="K66" s="214" t="s">
        <v>4682</v>
      </c>
      <c r="L66" s="214" t="s">
        <v>4683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4681</v>
      </c>
      <c r="AB66" s="215" t="s">
        <v>4682</v>
      </c>
      <c r="AC66" s="215" t="s">
        <v>4683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>IF(AQ66="SIM","AGUARDANDO CORREÇÃO",IF(AP66&lt;&gt;"","FINALIZADO",IF(AO66&lt;&gt;"","AGUARDANDO ENVIO DTS",IF(AN66&lt;&gt;"","AGUARDANDO ASSINATURA GAB",IF(AM66&lt;&gt;"","AGUARDANDO ASSINATURA CTS",IF(AL66&lt;&gt;"","AGUARDANDO ENVIO ASSINATURA CTS",IF(AK66&lt;&gt;"","AGUARDANDO CONFERÊNCIA","")))))))</f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>IFERROR(IF(BD66-KI66=0,"",BD66-AK66),"")</f>
        <v/>
      </c>
      <c r="BI66" s="98" t="str">
        <f>IF(AND(AH66&lt;&gt;"SIM",AH66="UH"),"AA","INDENIZAÇÃO")</f>
        <v>AA</v>
      </c>
      <c r="BJ66" s="98" t="str">
        <f>IF(AND(BD66&lt;&gt;"AGUARDANDO",BD66&lt;&gt;"",N66="AUXÍLIO ALUGUEL ATÉ INDENIZAÇÃO"),"SIM","NÃO")</f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 x14ac:dyDescent="0.25">
      <c r="A67" s="207">
        <v>63</v>
      </c>
      <c r="B67" s="197" t="s">
        <v>4396</v>
      </c>
      <c r="C67" s="207" t="s">
        <v>4452</v>
      </c>
      <c r="D67" s="207">
        <v>1</v>
      </c>
      <c r="E67" s="207" t="s">
        <v>4398</v>
      </c>
      <c r="F67" s="214" t="s">
        <v>4684</v>
      </c>
      <c r="G67" s="207" t="s">
        <v>4400</v>
      </c>
      <c r="H67" s="207" t="s">
        <v>4401</v>
      </c>
      <c r="I67" s="217" t="s">
        <v>4402</v>
      </c>
      <c r="J67" s="242" t="s">
        <v>4685</v>
      </c>
      <c r="K67" s="214" t="s">
        <v>4686</v>
      </c>
      <c r="L67" s="214" t="s">
        <v>4687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4685</v>
      </c>
      <c r="AB67" s="215" t="s">
        <v>4686</v>
      </c>
      <c r="AC67" s="215" t="s">
        <v>4687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>IF(AQ67="SIM","AGUARDANDO CORREÇÃO",IF(AP67&lt;&gt;"","FINALIZADO",IF(AO67&lt;&gt;"","AGUARDANDO ENVIO DTS",IF(AN67&lt;&gt;"","AGUARDANDO ASSINATURA GAB",IF(AM67&lt;&gt;"","AGUARDANDO ASSINATURA CTS",IF(AL67&lt;&gt;"","AGUARDANDO ENVIO ASSINATURA CTS",IF(AK67&lt;&gt;"","AGUARDANDO CONFERÊNCIA","")))))))</f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>IFERROR(IF(BD67-KI67=0,"",BD67-AK67),"")</f>
        <v/>
      </c>
      <c r="BI67" s="98" t="str">
        <f>IF(AND(AH67&lt;&gt;"SIM",AH67="UH"),"AA","INDENIZAÇÃO")</f>
        <v>AA</v>
      </c>
      <c r="BJ67" s="98" t="str">
        <f>IF(AND(BD67&lt;&gt;"AGUARDANDO",BD67&lt;&gt;"",N67="AUXÍLIO ALUGUEL ATÉ INDENIZAÇÃO"),"SIM","NÃO")</f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 x14ac:dyDescent="0.25">
      <c r="A68" s="207">
        <v>64</v>
      </c>
      <c r="B68" s="197" t="s">
        <v>4396</v>
      </c>
      <c r="C68" s="207" t="s">
        <v>4452</v>
      </c>
      <c r="D68" s="207">
        <v>1</v>
      </c>
      <c r="E68" s="207" t="s">
        <v>4398</v>
      </c>
      <c r="F68" s="214" t="s">
        <v>4688</v>
      </c>
      <c r="G68" s="207" t="s">
        <v>4400</v>
      </c>
      <c r="H68" s="207" t="s">
        <v>4401</v>
      </c>
      <c r="I68" s="217" t="s">
        <v>4402</v>
      </c>
      <c r="J68" s="215" t="s">
        <v>4689</v>
      </c>
      <c r="K68" s="214" t="s">
        <v>4690</v>
      </c>
      <c r="L68" s="214" t="s">
        <v>4691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4689</v>
      </c>
      <c r="AB68" s="215" t="s">
        <v>4690</v>
      </c>
      <c r="AC68" s="215" t="s">
        <v>4691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>IF(AQ68="SIM","AGUARDANDO CORREÇÃO",IF(AP68&lt;&gt;"","FINALIZADO",IF(AO68&lt;&gt;"","AGUARDANDO ENVIO DTS",IF(AN68&lt;&gt;"","AGUARDANDO ASSINATURA GAB",IF(AM68&lt;&gt;"","AGUARDANDO ASSINATURA CTS",IF(AL68&lt;&gt;"","AGUARDANDO ENVIO ASSINATURA CTS",IF(AK68&lt;&gt;"","AGUARDANDO CONFERÊNCIA","")))))))</f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>IFERROR(IF(BD68-KI68=0,"",BD68-AK68),"")</f>
        <v/>
      </c>
      <c r="BI68" s="98" t="str">
        <f>IF(AND(AH68&lt;&gt;"SIM",AH68="UH"),"AA","INDENIZAÇÃO")</f>
        <v>AA</v>
      </c>
      <c r="BJ68" s="98" t="str">
        <f>IF(AND(BD68&lt;&gt;"AGUARDANDO",BD68&lt;&gt;"",N68="AUXÍLIO ALUGUEL ATÉ INDENIZAÇÃO"),"SIM","NÃO")</f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 x14ac:dyDescent="0.25">
      <c r="A69" s="197">
        <v>65</v>
      </c>
      <c r="B69" s="197" t="s">
        <v>4396</v>
      </c>
      <c r="C69" s="207" t="s">
        <v>4452</v>
      </c>
      <c r="D69" s="207">
        <v>1</v>
      </c>
      <c r="E69" s="207" t="s">
        <v>4398</v>
      </c>
      <c r="F69" s="214" t="s">
        <v>4692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4693</v>
      </c>
      <c r="L69" s="214" t="s">
        <v>4694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4693</v>
      </c>
      <c r="AC69" s="215" t="s">
        <v>4694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>IF(AQ69="SIM","AGUARDANDO CORREÇÃO",IF(AP69&lt;&gt;"","FINALIZADO",IF(AO69&lt;&gt;"","AGUARDANDO ENVIO DTS",IF(AN69&lt;&gt;"","AGUARDANDO ASSINATURA GAB",IF(AM69&lt;&gt;"","AGUARDANDO ASSINATURA CTS",IF(AL69&lt;&gt;"","AGUARDANDO ENVIO ASSINATURA CTS",IF(AK69&lt;&gt;"","AGUARDANDO CONFERÊNCIA","")))))))</f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>IFERROR(IF(BD69-KI69=0,"",BD69-AK69),"")</f>
        <v/>
      </c>
      <c r="BI69" s="98" t="str">
        <f>IF(AND(AH69&lt;&gt;"SIM",AH69="UH"),"AA","INDENIZAÇÃO")</f>
        <v>AA</v>
      </c>
      <c r="BJ69" s="98" t="str">
        <f>IF(AND(BD69&lt;&gt;"AGUARDANDO",BD69&lt;&gt;"",N69="AUXÍLIO ALUGUEL ATÉ INDENIZAÇÃO"),"SIM","NÃO")</f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customHeight="1" x14ac:dyDescent="0.25">
      <c r="A70" s="197">
        <v>66</v>
      </c>
      <c r="B70" s="197" t="s">
        <v>4396</v>
      </c>
      <c r="C70" s="207" t="s">
        <v>4452</v>
      </c>
      <c r="D70" s="207">
        <v>1</v>
      </c>
      <c r="E70" s="207" t="s">
        <v>4398</v>
      </c>
      <c r="F70" s="214" t="s">
        <v>4695</v>
      </c>
      <c r="G70" s="207" t="s">
        <v>4400</v>
      </c>
      <c r="H70" s="207" t="s">
        <v>4401</v>
      </c>
      <c r="I70" s="217" t="s">
        <v>4402</v>
      </c>
      <c r="J70" s="242" t="s">
        <v>4696</v>
      </c>
      <c r="K70" s="214" t="s">
        <v>4697</v>
      </c>
      <c r="L70" s="214" t="s">
        <v>4698</v>
      </c>
      <c r="M70" s="197" t="s">
        <v>4405</v>
      </c>
      <c r="N70" s="207" t="s">
        <v>4441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4696</v>
      </c>
      <c r="AB70" s="214" t="s">
        <v>4697</v>
      </c>
      <c r="AC70" s="214" t="s">
        <v>4698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4432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4699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>IFERROR(IF(BD70-KI70=0,"",BD70-AK70),"")</f>
        <v>28</v>
      </c>
      <c r="BI70" s="98" t="str">
        <f>IF(AND(AH70&lt;&gt;"SIM",AH70="UH"),"AA","INDENIZAÇÃO")</f>
        <v>INDENIZAÇÃO</v>
      </c>
      <c r="BJ70" s="98" t="str">
        <f>IF(AND(BD70&lt;&gt;"AGUARDANDO",BD70&lt;&gt;"",N70="AUXÍLIO ALUGUEL ATÉ INDENIZAÇÃO"),"SIM","NÃO")</f>
        <v>NÃO</v>
      </c>
      <c r="BK70" s="230" t="s">
        <v>4436</v>
      </c>
      <c r="BL70" s="230" t="s">
        <v>4436</v>
      </c>
      <c r="BM70" s="230" t="s">
        <v>4436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4434</v>
      </c>
    </row>
    <row r="71" spans="1:112" s="240" customFormat="1" ht="27" hidden="1" customHeight="1" x14ac:dyDescent="0.25">
      <c r="A71" s="207">
        <v>67</v>
      </c>
      <c r="B71" s="197" t="s">
        <v>4396</v>
      </c>
      <c r="C71" s="207" t="s">
        <v>4452</v>
      </c>
      <c r="D71" s="207">
        <v>1</v>
      </c>
      <c r="E71" s="207" t="s">
        <v>4439</v>
      </c>
      <c r="F71" s="214" t="s">
        <v>4700</v>
      </c>
      <c r="G71" s="207" t="s">
        <v>4400</v>
      </c>
      <c r="H71" s="207" t="s">
        <v>4401</v>
      </c>
      <c r="I71" s="217" t="s">
        <v>4402</v>
      </c>
      <c r="J71" s="215" t="s">
        <v>4701</v>
      </c>
      <c r="K71" s="214" t="s">
        <v>4702</v>
      </c>
      <c r="L71" s="214" t="s">
        <v>4703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4701</v>
      </c>
      <c r="AB71" s="215" t="s">
        <v>4702</v>
      </c>
      <c r="AC71" s="215" t="s">
        <v>4703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>IF(AQ71="SIM","AGUARDANDO CORREÇÃO",IF(AP71&lt;&gt;"","FINALIZADO",IF(AO71&lt;&gt;"","AGUARDANDO ENVIO DTS",IF(AN71&lt;&gt;"","AGUARDANDO ASSINATURA GAB",IF(AM71&lt;&gt;"","AGUARDANDO ASSINATURA CTS",IF(AL71&lt;&gt;"","AGUARDANDO ENVIO ASSINATURA CTS",IF(AK71&lt;&gt;"","AGUARDANDO CONFERÊNCIA","")))))))</f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>IFERROR(IF(BD71-KI71=0,"",BD71-AK71),"")</f>
        <v/>
      </c>
      <c r="BI71" s="98" t="str">
        <f>IF(AND(AH71&lt;&gt;"SIM",AH71="UH"),"AA","INDENIZAÇÃO")</f>
        <v>AA</v>
      </c>
      <c r="BJ71" s="98" t="str">
        <f>IF(AND(BD71&lt;&gt;"AGUARDANDO",BD71&lt;&gt;"",N71="AUXÍLIO ALUGUEL ATÉ INDENIZAÇÃO"),"SIM","NÃO")</f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 x14ac:dyDescent="0.25">
      <c r="A72" s="207">
        <v>68</v>
      </c>
      <c r="B72" s="197" t="s">
        <v>4396</v>
      </c>
      <c r="C72" s="207" t="s">
        <v>4452</v>
      </c>
      <c r="D72" s="207">
        <v>1</v>
      </c>
      <c r="E72" s="207" t="s">
        <v>4439</v>
      </c>
      <c r="F72" s="214" t="s">
        <v>4704</v>
      </c>
      <c r="G72" s="207" t="s">
        <v>4400</v>
      </c>
      <c r="H72" s="207" t="s">
        <v>4401</v>
      </c>
      <c r="I72" s="217" t="s">
        <v>4402</v>
      </c>
      <c r="J72" s="215" t="s">
        <v>4705</v>
      </c>
      <c r="K72" s="214" t="s">
        <v>4706</v>
      </c>
      <c r="L72" s="214" t="s">
        <v>4707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4705</v>
      </c>
      <c r="AB72" s="214" t="s">
        <v>4706</v>
      </c>
      <c r="AC72" s="214" t="s">
        <v>4707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>IF(AQ72="SIM","AGUARDANDO CORREÇÃO",IF(AP72&lt;&gt;"","FINALIZADO",IF(AO72&lt;&gt;"","AGUARDANDO ENVIO DTS",IF(AN72&lt;&gt;"","AGUARDANDO ASSINATURA GAB",IF(AM72&lt;&gt;"","AGUARDANDO ASSINATURA CTS",IF(AL72&lt;&gt;"","AGUARDANDO ENVIO ASSINATURA CTS",IF(AK72&lt;&gt;"","AGUARDANDO CONFERÊNCIA","")))))))</f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>IFERROR(IF(BD72-KI72=0,"",BD72-AK72),"")</f>
        <v/>
      </c>
      <c r="BI72" s="98" t="str">
        <f>IF(AND(AH72&lt;&gt;"SIM",AH72="UH"),"AA","INDENIZAÇÃO")</f>
        <v>AA</v>
      </c>
      <c r="BJ72" s="98" t="str">
        <f>IF(AND(BD72&lt;&gt;"AGUARDANDO",BD72&lt;&gt;"",N72="AUXÍLIO ALUGUEL ATÉ INDENIZAÇÃO"),"SIM","NÃO")</f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 x14ac:dyDescent="0.25">
      <c r="A73" s="207">
        <v>69</v>
      </c>
      <c r="B73" s="197" t="s">
        <v>4396</v>
      </c>
      <c r="C73" s="207" t="s">
        <v>4452</v>
      </c>
      <c r="D73" s="207">
        <v>1</v>
      </c>
      <c r="E73" s="207" t="s">
        <v>4398</v>
      </c>
      <c r="F73" s="214" t="s">
        <v>4708</v>
      </c>
      <c r="G73" s="207" t="s">
        <v>4400</v>
      </c>
      <c r="H73" s="207" t="s">
        <v>4401</v>
      </c>
      <c r="I73" s="217" t="s">
        <v>4402</v>
      </c>
      <c r="J73" s="215" t="s">
        <v>4709</v>
      </c>
      <c r="K73" s="214" t="s">
        <v>4710</v>
      </c>
      <c r="L73" s="214" t="s">
        <v>4711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4709</v>
      </c>
      <c r="AB73" s="215" t="s">
        <v>4710</v>
      </c>
      <c r="AC73" s="215" t="s">
        <v>4711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>IF(AQ73="SIM","AGUARDANDO CORREÇÃO",IF(AP73&lt;&gt;"","FINALIZADO",IF(AO73&lt;&gt;"","AGUARDANDO ENVIO DTS",IF(AN73&lt;&gt;"","AGUARDANDO ASSINATURA GAB",IF(AM73&lt;&gt;"","AGUARDANDO ASSINATURA CTS",IF(AL73&lt;&gt;"","AGUARDANDO ENVIO ASSINATURA CTS",IF(AK73&lt;&gt;"","AGUARDANDO CONFERÊNCIA","")))))))</f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>IFERROR(IF(BD73-KI73=0,"",BD73-AK73),"")</f>
        <v/>
      </c>
      <c r="BI73" s="98" t="str">
        <f>IF(AND(AH73&lt;&gt;"SIM",AH73="UH"),"AA","INDENIZAÇÃO")</f>
        <v>AA</v>
      </c>
      <c r="BJ73" s="98" t="str">
        <f>IF(AND(BD73&lt;&gt;"AGUARDANDO",BD73&lt;&gt;"",N73="AUXÍLIO ALUGUEL ATÉ INDENIZAÇÃO"),"SIM","NÃO")</f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 x14ac:dyDescent="0.25">
      <c r="A74" s="197">
        <v>70</v>
      </c>
      <c r="B74" s="197" t="s">
        <v>4396</v>
      </c>
      <c r="C74" s="207" t="s">
        <v>4452</v>
      </c>
      <c r="D74" s="207">
        <v>1</v>
      </c>
      <c r="E74" s="207" t="s">
        <v>4398</v>
      </c>
      <c r="F74" s="214" t="s">
        <v>4712</v>
      </c>
      <c r="G74" s="207" t="s">
        <v>4400</v>
      </c>
      <c r="H74" s="207" t="s">
        <v>4401</v>
      </c>
      <c r="I74" s="217" t="s">
        <v>4402</v>
      </c>
      <c r="J74" s="215" t="s">
        <v>4713</v>
      </c>
      <c r="K74" s="214" t="s">
        <v>4714</v>
      </c>
      <c r="L74" s="214" t="s">
        <v>4715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4713</v>
      </c>
      <c r="AB74" s="215" t="s">
        <v>4714</v>
      </c>
      <c r="AC74" s="215" t="s">
        <v>4715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>IF(AQ74="SIM","AGUARDANDO CORREÇÃO",IF(AP74&lt;&gt;"","FINALIZADO",IF(AO74&lt;&gt;"","AGUARDANDO ENVIO DTS",IF(AN74&lt;&gt;"","AGUARDANDO ASSINATURA GAB",IF(AM74&lt;&gt;"","AGUARDANDO ASSINATURA CTS",IF(AL74&lt;&gt;"","AGUARDANDO ENVIO ASSINATURA CTS",IF(AK74&lt;&gt;"","AGUARDANDO CONFERÊNCIA","")))))))</f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>IFERROR(IF(BD74-KI74=0,"",BD74-AK74),"")</f>
        <v/>
      </c>
      <c r="BI74" s="98" t="str">
        <f>IF(AND(AH74&lt;&gt;"SIM",AH74="UH"),"AA","INDENIZAÇÃO")</f>
        <v>AA</v>
      </c>
      <c r="BJ74" s="98" t="str">
        <f>IF(AND(BD74&lt;&gt;"AGUARDANDO",BD74&lt;&gt;"",N74="AUXÍLIO ALUGUEL ATÉ INDENIZAÇÃO"),"SIM","NÃO")</f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 x14ac:dyDescent="0.25">
      <c r="A75" s="197">
        <v>71</v>
      </c>
      <c r="B75" s="197" t="s">
        <v>4396</v>
      </c>
      <c r="C75" s="207" t="s">
        <v>4452</v>
      </c>
      <c r="D75" s="207">
        <v>1</v>
      </c>
      <c r="E75" s="207" t="s">
        <v>4398</v>
      </c>
      <c r="F75" s="214" t="s">
        <v>4716</v>
      </c>
      <c r="G75" s="207" t="s">
        <v>4400</v>
      </c>
      <c r="H75" s="207" t="s">
        <v>4401</v>
      </c>
      <c r="I75" s="217" t="s">
        <v>4402</v>
      </c>
      <c r="J75" s="215" t="s">
        <v>4717</v>
      </c>
      <c r="K75" s="214" t="s">
        <v>4718</v>
      </c>
      <c r="L75" s="214" t="s">
        <v>4719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4717</v>
      </c>
      <c r="AB75" s="215" t="s">
        <v>4718</v>
      </c>
      <c r="AC75" s="215" t="s">
        <v>4719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>IF(AQ75="SIM","AGUARDANDO CORREÇÃO",IF(AP75&lt;&gt;"","FINALIZADO",IF(AO75&lt;&gt;"","AGUARDANDO ENVIO DTS",IF(AN75&lt;&gt;"","AGUARDANDO ASSINATURA GAB",IF(AM75&lt;&gt;"","AGUARDANDO ASSINATURA CTS",IF(AL75&lt;&gt;"","AGUARDANDO ENVIO ASSINATURA CTS",IF(AK75&lt;&gt;"","AGUARDANDO CONFERÊNCIA","")))))))</f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>IFERROR(IF(BD75-KI75=0,"",BD75-AK75),"")</f>
        <v/>
      </c>
      <c r="BI75" s="98" t="str">
        <f>IF(AND(AH75&lt;&gt;"SIM",AH75="UH"),"AA","INDENIZAÇÃO")</f>
        <v>AA</v>
      </c>
      <c r="BJ75" s="98" t="str">
        <f>IF(AND(BD75&lt;&gt;"AGUARDANDO",BD75&lt;&gt;"",N75="AUXÍLIO ALUGUEL ATÉ INDENIZAÇÃO"),"SIM","NÃO")</f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customHeight="1" x14ac:dyDescent="0.25">
      <c r="A76" s="207">
        <v>72</v>
      </c>
      <c r="B76" s="197" t="s">
        <v>4396</v>
      </c>
      <c r="C76" s="207" t="s">
        <v>4452</v>
      </c>
      <c r="D76" s="207">
        <v>1</v>
      </c>
      <c r="E76" s="207" t="s">
        <v>4398</v>
      </c>
      <c r="F76" s="214" t="s">
        <v>4720</v>
      </c>
      <c r="G76" s="207" t="s">
        <v>4400</v>
      </c>
      <c r="H76" s="207" t="s">
        <v>4401</v>
      </c>
      <c r="I76" s="217" t="s">
        <v>4402</v>
      </c>
      <c r="J76" s="215" t="s">
        <v>4721</v>
      </c>
      <c r="K76" s="214" t="s">
        <v>4722</v>
      </c>
      <c r="L76" s="214" t="s">
        <v>4723</v>
      </c>
      <c r="M76" s="197" t="s">
        <v>4405</v>
      </c>
      <c r="N76" s="207" t="s">
        <v>4441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4721</v>
      </c>
      <c r="AB76" s="214" t="s">
        <v>4722</v>
      </c>
      <c r="AC76" s="214" t="s">
        <v>4723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4432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>IF(AQ76="SIM","AGUARDANDO CORREÇÃO",IF(AP76&lt;&gt;"","FINALIZADO",IF(AO76&lt;&gt;"","AGUARDANDO ENVIO DTS",IF(AN76&lt;&gt;"","AGUARDANDO ASSINATURA GAB",IF(AM76&lt;&gt;"","AGUARDANDO ASSINATURA CTS",IF(AL76&lt;&gt;"","AGUARDANDO ENVIO ASSINATURA CTS",IF(AK76&lt;&gt;"","AGUARDANDO CONFERÊNCIA","")))))))</f>
        <v>FINALIZADO</v>
      </c>
      <c r="AS76" s="207" t="s">
        <v>4423</v>
      </c>
      <c r="AT76" s="207"/>
      <c r="AU76" s="220" t="s">
        <v>4724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>IFERROR(IF(BD76-KI76=0,"",BD76-AK76),"")</f>
        <v>21</v>
      </c>
      <c r="BI76" s="98" t="str">
        <f>IF(AND(AH76&lt;&gt;"SIM",AH76="UH"),"AA","INDENIZAÇÃO")</f>
        <v>INDENIZAÇÃO</v>
      </c>
      <c r="BJ76" s="98" t="str">
        <f>IF(AND(BD76&lt;&gt;"AGUARDANDO",BD76&lt;&gt;"",N76="AUXÍLIO ALUGUEL ATÉ INDENIZAÇÃO"),"SIM","NÃO")</f>
        <v>NÃO</v>
      </c>
      <c r="BK76" s="230" t="s">
        <v>4436</v>
      </c>
      <c r="BL76" s="230" t="s">
        <v>4436</v>
      </c>
      <c r="BM76" s="230" t="s">
        <v>4436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4434</v>
      </c>
    </row>
    <row r="77" spans="1:112" s="240" customFormat="1" ht="27" hidden="1" customHeight="1" x14ac:dyDescent="0.25">
      <c r="A77" s="207">
        <v>73</v>
      </c>
      <c r="B77" s="197" t="s">
        <v>4396</v>
      </c>
      <c r="C77" s="207" t="s">
        <v>4452</v>
      </c>
      <c r="D77" s="207">
        <v>1</v>
      </c>
      <c r="E77" s="207" t="s">
        <v>4398</v>
      </c>
      <c r="F77" s="214" t="s">
        <v>4725</v>
      </c>
      <c r="G77" s="207" t="s">
        <v>4400</v>
      </c>
      <c r="H77" s="207" t="s">
        <v>4401</v>
      </c>
      <c r="I77" s="217" t="s">
        <v>4402</v>
      </c>
      <c r="J77" s="215" t="s">
        <v>4726</v>
      </c>
      <c r="K77" s="214" t="s">
        <v>4727</v>
      </c>
      <c r="L77" s="214" t="s">
        <v>4728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4726</v>
      </c>
      <c r="AB77" s="215" t="s">
        <v>4727</v>
      </c>
      <c r="AC77" s="215" t="s">
        <v>4728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>IF(AQ77="SIM","AGUARDANDO CORREÇÃO",IF(AP77&lt;&gt;"","FINALIZADO",IF(AO77&lt;&gt;"","AGUARDANDO ENVIO DTS",IF(AN77&lt;&gt;"","AGUARDANDO ASSINATURA GAB",IF(AM77&lt;&gt;"","AGUARDANDO ASSINATURA CTS",IF(AL77&lt;&gt;"","AGUARDANDO ENVIO ASSINATURA CTS",IF(AK77&lt;&gt;"","AGUARDANDO CONFERÊNCIA","")))))))</f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>IFERROR(IF(BD77-KI77=0,"",BD77-AK77),"")</f>
        <v/>
      </c>
      <c r="BI77" s="98" t="str">
        <f>IF(AND(AH77&lt;&gt;"SIM",AH77="UH"),"AA","INDENIZAÇÃO")</f>
        <v>AA</v>
      </c>
      <c r="BJ77" s="98" t="str">
        <f>IF(AND(BD77&lt;&gt;"AGUARDANDO",BD77&lt;&gt;"",N77="AUXÍLIO ALUGUEL ATÉ INDENIZAÇÃO"),"SIM","NÃO")</f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 x14ac:dyDescent="0.25">
      <c r="A78" s="207">
        <v>74</v>
      </c>
      <c r="B78" s="197" t="s">
        <v>4396</v>
      </c>
      <c r="C78" s="207" t="s">
        <v>4452</v>
      </c>
      <c r="D78" s="207">
        <v>1</v>
      </c>
      <c r="E78" s="207" t="s">
        <v>4398</v>
      </c>
      <c r="F78" s="214" t="s">
        <v>4729</v>
      </c>
      <c r="G78" s="207" t="s">
        <v>4400</v>
      </c>
      <c r="H78" s="207" t="s">
        <v>4401</v>
      </c>
      <c r="I78" s="217" t="s">
        <v>4402</v>
      </c>
      <c r="J78" s="242" t="s">
        <v>4730</v>
      </c>
      <c r="K78" s="214" t="s">
        <v>4731</v>
      </c>
      <c r="L78" s="214" t="s">
        <v>4732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4730</v>
      </c>
      <c r="AB78" s="215" t="s">
        <v>4731</v>
      </c>
      <c r="AC78" s="215" t="s">
        <v>4732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>IF(AQ78="SIM","AGUARDANDO CORREÇÃO",IF(AP78&lt;&gt;"","FINALIZADO",IF(AO78&lt;&gt;"","AGUARDANDO ENVIO DTS",IF(AN78&lt;&gt;"","AGUARDANDO ASSINATURA GAB",IF(AM78&lt;&gt;"","AGUARDANDO ASSINATURA CTS",IF(AL78&lt;&gt;"","AGUARDANDO ENVIO ASSINATURA CTS",IF(AK78&lt;&gt;"","AGUARDANDO CONFERÊNCIA","")))))))</f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>IFERROR(IF(BD78-KI78=0,"",BD78-AK78),"")</f>
        <v/>
      </c>
      <c r="BI78" s="98" t="str">
        <f>IF(AND(AH78&lt;&gt;"SIM",AH78="UH"),"AA","INDENIZAÇÃO")</f>
        <v>AA</v>
      </c>
      <c r="BJ78" s="98" t="str">
        <f>IF(AND(BD78&lt;&gt;"AGUARDANDO",BD78&lt;&gt;"",N78="AUXÍLIO ALUGUEL ATÉ INDENIZAÇÃO"),"SIM","NÃO")</f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 x14ac:dyDescent="0.25">
      <c r="A79" s="197">
        <v>75</v>
      </c>
      <c r="B79" s="197" t="s">
        <v>4396</v>
      </c>
      <c r="C79" s="207" t="s">
        <v>4452</v>
      </c>
      <c r="D79" s="207">
        <v>1</v>
      </c>
      <c r="E79" s="207" t="s">
        <v>4398</v>
      </c>
      <c r="F79" s="214" t="s">
        <v>4733</v>
      </c>
      <c r="G79" s="207" t="s">
        <v>4400</v>
      </c>
      <c r="H79" s="207" t="s">
        <v>4401</v>
      </c>
      <c r="I79" s="217" t="s">
        <v>4402</v>
      </c>
      <c r="J79" s="215" t="s">
        <v>4734</v>
      </c>
      <c r="K79" s="214" t="s">
        <v>4735</v>
      </c>
      <c r="L79" s="214" t="s">
        <v>4736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4734</v>
      </c>
      <c r="AB79" s="215" t="s">
        <v>4735</v>
      </c>
      <c r="AC79" s="215" t="s">
        <v>4736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>IF(AQ79="SIM","AGUARDANDO CORREÇÃO",IF(AP79&lt;&gt;"","FINALIZADO",IF(AO79&lt;&gt;"","AGUARDANDO ENVIO DTS",IF(AN79&lt;&gt;"","AGUARDANDO ASSINATURA GAB",IF(AM79&lt;&gt;"","AGUARDANDO ASSINATURA CTS",IF(AL79&lt;&gt;"","AGUARDANDO ENVIO ASSINATURA CTS",IF(AK79&lt;&gt;"","AGUARDANDO CONFERÊNCIA","")))))))</f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>IFERROR(IF(BD79-KI79=0,"",BD79-AK79),"")</f>
        <v/>
      </c>
      <c r="BI79" s="98" t="str">
        <f>IF(AND(AH79&lt;&gt;"SIM",AH79="UH"),"AA","INDENIZAÇÃO")</f>
        <v>AA</v>
      </c>
      <c r="BJ79" s="98" t="str">
        <f>IF(AND(BD79&lt;&gt;"AGUARDANDO",BD79&lt;&gt;"",N79="AUXÍLIO ALUGUEL ATÉ INDENIZAÇÃO"),"SIM","NÃO")</f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 x14ac:dyDescent="0.25">
      <c r="A80" s="197">
        <v>76</v>
      </c>
      <c r="B80" s="197" t="s">
        <v>4396</v>
      </c>
      <c r="C80" s="207" t="s">
        <v>4452</v>
      </c>
      <c r="D80" s="207">
        <v>1</v>
      </c>
      <c r="E80" s="207" t="s">
        <v>4398</v>
      </c>
      <c r="F80" s="214" t="s">
        <v>4737</v>
      </c>
      <c r="G80" s="207" t="s">
        <v>4400</v>
      </c>
      <c r="H80" s="207" t="s">
        <v>4401</v>
      </c>
      <c r="I80" s="217" t="s">
        <v>4402</v>
      </c>
      <c r="J80" s="215" t="s">
        <v>4738</v>
      </c>
      <c r="K80" s="214" t="s">
        <v>4739</v>
      </c>
      <c r="L80" s="214" t="s">
        <v>4740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4738</v>
      </c>
      <c r="AB80" s="215" t="s">
        <v>4739</v>
      </c>
      <c r="AC80" s="215" t="s">
        <v>4740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>IF(AQ80="SIM","AGUARDANDO CORREÇÃO",IF(AP80&lt;&gt;"","FINALIZADO",IF(AO80&lt;&gt;"","AGUARDANDO ENVIO DTS",IF(AN80&lt;&gt;"","AGUARDANDO ASSINATURA GAB",IF(AM80&lt;&gt;"","AGUARDANDO ASSINATURA CTS",IF(AL80&lt;&gt;"","AGUARDANDO ENVIO ASSINATURA CTS",IF(AK80&lt;&gt;"","AGUARDANDO CONFERÊNCIA","")))))))</f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>IFERROR(IF(BD80-KI80=0,"",BD80-AK80),"")</f>
        <v/>
      </c>
      <c r="BI80" s="98" t="str">
        <f>IF(AND(AH80&lt;&gt;"SIM",AH80="UH"),"AA","INDENIZAÇÃO")</f>
        <v>AA</v>
      </c>
      <c r="BJ80" s="98" t="str">
        <f>IF(AND(BD80&lt;&gt;"AGUARDANDO",BD80&lt;&gt;"",N80="AUXÍLIO ALUGUEL ATÉ INDENIZAÇÃO"),"SIM","NÃO")</f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 x14ac:dyDescent="0.25">
      <c r="A81" s="207">
        <v>77</v>
      </c>
      <c r="B81" s="197" t="s">
        <v>4396</v>
      </c>
      <c r="C81" s="207" t="s">
        <v>4452</v>
      </c>
      <c r="D81" s="207">
        <v>1</v>
      </c>
      <c r="E81" s="207" t="s">
        <v>4398</v>
      </c>
      <c r="F81" s="214" t="s">
        <v>4741</v>
      </c>
      <c r="G81" s="207" t="s">
        <v>4400</v>
      </c>
      <c r="H81" s="207" t="s">
        <v>4401</v>
      </c>
      <c r="I81" s="217" t="s">
        <v>4402</v>
      </c>
      <c r="J81" s="215" t="s">
        <v>4742</v>
      </c>
      <c r="K81" s="214" t="s">
        <v>4743</v>
      </c>
      <c r="L81" s="214" t="s">
        <v>4744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4742</v>
      </c>
      <c r="AB81" s="215" t="s">
        <v>4743</v>
      </c>
      <c r="AC81" s="215" t="s">
        <v>4744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>IF(AQ81="SIM","AGUARDANDO CORREÇÃO",IF(AP81&lt;&gt;"","FINALIZADO",IF(AO81&lt;&gt;"","AGUARDANDO ENVIO DTS",IF(AN81&lt;&gt;"","AGUARDANDO ASSINATURA GAB",IF(AM81&lt;&gt;"","AGUARDANDO ASSINATURA CTS",IF(AL81&lt;&gt;"","AGUARDANDO ENVIO ASSINATURA CTS",IF(AK81&lt;&gt;"","AGUARDANDO CONFERÊNCIA","")))))))</f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>IFERROR(IF(BD81-KI81=0,"",BD81-AK81),"")</f>
        <v/>
      </c>
      <c r="BI81" s="98" t="str">
        <f>IF(AND(AH81&lt;&gt;"SIM",AH81="UH"),"AA","INDENIZAÇÃO")</f>
        <v>AA</v>
      </c>
      <c r="BJ81" s="98" t="str">
        <f>IF(AND(BD81&lt;&gt;"AGUARDANDO",BD81&lt;&gt;"",N81="AUXÍLIO ALUGUEL ATÉ INDENIZAÇÃO"),"SIM","NÃO")</f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 x14ac:dyDescent="0.25">
      <c r="A82" s="207">
        <v>78</v>
      </c>
      <c r="B82" s="197" t="s">
        <v>4396</v>
      </c>
      <c r="C82" s="207" t="s">
        <v>4452</v>
      </c>
      <c r="D82" s="207">
        <v>1</v>
      </c>
      <c r="E82" s="207" t="s">
        <v>4398</v>
      </c>
      <c r="F82" s="214" t="s">
        <v>4745</v>
      </c>
      <c r="G82" s="207" t="s">
        <v>4400</v>
      </c>
      <c r="H82" s="207" t="s">
        <v>4401</v>
      </c>
      <c r="I82" s="217" t="s">
        <v>4402</v>
      </c>
      <c r="J82" s="215" t="s">
        <v>4746</v>
      </c>
      <c r="K82" s="214" t="s">
        <v>4747</v>
      </c>
      <c r="L82" s="214" t="s">
        <v>4748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4746</v>
      </c>
      <c r="AB82" s="215" t="s">
        <v>4747</v>
      </c>
      <c r="AC82" s="215" t="s">
        <v>4748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>IF(AQ82="SIM","AGUARDANDO CORREÇÃO",IF(AP82&lt;&gt;"","FINALIZADO",IF(AO82&lt;&gt;"","AGUARDANDO ENVIO DTS",IF(AN82&lt;&gt;"","AGUARDANDO ASSINATURA GAB",IF(AM82&lt;&gt;"","AGUARDANDO ASSINATURA CTS",IF(AL82&lt;&gt;"","AGUARDANDO ENVIO ASSINATURA CTS",IF(AK82&lt;&gt;"","AGUARDANDO CONFERÊNCIA","")))))))</f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>IFERROR(IF(BD82-KI82=0,"",BD82-AK82),"")</f>
        <v/>
      </c>
      <c r="BI82" s="98" t="str">
        <f>IF(AND(AH82&lt;&gt;"SIM",AH82="UH"),"AA","INDENIZAÇÃO")</f>
        <v>AA</v>
      </c>
      <c r="BJ82" s="98" t="str">
        <f>IF(AND(BD82&lt;&gt;"AGUARDANDO",BD82&lt;&gt;"",N82="AUXÍLIO ALUGUEL ATÉ INDENIZAÇÃO"),"SIM","NÃO")</f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customHeight="1" x14ac:dyDescent="0.25">
      <c r="A83" s="207">
        <v>79</v>
      </c>
      <c r="B83" s="197" t="s">
        <v>4396</v>
      </c>
      <c r="C83" s="207" t="s">
        <v>4452</v>
      </c>
      <c r="D83" s="207">
        <v>1</v>
      </c>
      <c r="E83" s="207" t="s">
        <v>4398</v>
      </c>
      <c r="F83" s="214" t="s">
        <v>4749</v>
      </c>
      <c r="G83" s="207" t="s">
        <v>4400</v>
      </c>
      <c r="H83" s="207" t="s">
        <v>4401</v>
      </c>
      <c r="I83" s="217" t="s">
        <v>4402</v>
      </c>
      <c r="J83" s="242" t="s">
        <v>4750</v>
      </c>
      <c r="K83" s="214" t="s">
        <v>4439</v>
      </c>
      <c r="L83" s="214" t="s">
        <v>4751</v>
      </c>
      <c r="M83" s="197" t="s">
        <v>4405</v>
      </c>
      <c r="N83" s="207" t="s">
        <v>4441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4750</v>
      </c>
      <c r="AB83" s="214" t="s">
        <v>4398</v>
      </c>
      <c r="AC83" s="214" t="s">
        <v>4751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4432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>IF(AQ83="SIM","AGUARDANDO CORREÇÃO",IF(AP83&lt;&gt;"","FINALIZADO",IF(AO83&lt;&gt;"","AGUARDANDO ENVIO DTS",IF(AN83&lt;&gt;"","AGUARDANDO ASSINATURA GAB",IF(AM83&lt;&gt;"","AGUARDANDO ASSINATURA CTS",IF(AL83&lt;&gt;"","AGUARDANDO ENVIO ASSINATURA CTS",IF(AK83&lt;&gt;"","AGUARDANDO CONFERÊNCIA","")))))))</f>
        <v>FINALIZADO</v>
      </c>
      <c r="AS83" s="207" t="s">
        <v>4423</v>
      </c>
      <c r="AT83" s="207"/>
      <c r="AU83" s="220" t="s">
        <v>4752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>IFERROR(IF(BD83-KI83=0,"",BD83-AK83),"")</f>
        <v>35</v>
      </c>
      <c r="BI83" s="98" t="str">
        <f>IF(AND(AH83&lt;&gt;"SIM",AH83="UH"),"AA","INDENIZAÇÃO")</f>
        <v>INDENIZAÇÃO</v>
      </c>
      <c r="BJ83" s="98" t="str">
        <f>IF(AND(BD83&lt;&gt;"AGUARDANDO",BD83&lt;&gt;"",N83="AUXÍLIO ALUGUEL ATÉ INDENIZAÇÃO"),"SIM","NÃO")</f>
        <v>NÃO</v>
      </c>
      <c r="BK83" s="230" t="s">
        <v>4436</v>
      </c>
      <c r="BL83" s="230" t="s">
        <v>4436</v>
      </c>
      <c r="BM83" s="230" t="s">
        <v>4436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4434</v>
      </c>
    </row>
    <row r="84" spans="1:73" s="240" customFormat="1" ht="27" customHeight="1" x14ac:dyDescent="0.25">
      <c r="A84" s="197">
        <v>80</v>
      </c>
      <c r="B84" s="197" t="s">
        <v>4396</v>
      </c>
      <c r="C84" s="207" t="s">
        <v>4452</v>
      </c>
      <c r="D84" s="207">
        <v>1</v>
      </c>
      <c r="E84" s="207" t="s">
        <v>4398</v>
      </c>
      <c r="F84" s="214" t="s">
        <v>4753</v>
      </c>
      <c r="G84" s="207" t="s">
        <v>4400</v>
      </c>
      <c r="H84" s="207" t="s">
        <v>4401</v>
      </c>
      <c r="I84" s="217" t="s">
        <v>4414</v>
      </c>
      <c r="J84" s="215" t="s">
        <v>4754</v>
      </c>
      <c r="K84" s="215" t="s">
        <v>4755</v>
      </c>
      <c r="L84" s="215" t="s">
        <v>4756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4757</v>
      </c>
      <c r="AB84" s="214" t="s">
        <v>4758</v>
      </c>
      <c r="AC84" s="214" t="s">
        <v>4759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4432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>IF(AQ84="SIM","AGUARDANDO CORREÇÃO",IF(AP84&lt;&gt;"","FINALIZADO",IF(AO84&lt;&gt;"","AGUARDANDO ENVIO DTS",IF(AN84&lt;&gt;"","AGUARDANDO ASSINATURA GAB",IF(AM84&lt;&gt;"","AGUARDANDO ASSINATURA CTS",IF(AL84&lt;&gt;"","AGUARDANDO ENVIO ASSINATURA CTS",IF(AK84&lt;&gt;"","AGUARDANDO CONFERÊNCIA","")))))))</f>
        <v>FINALIZADO</v>
      </c>
      <c r="AS84" s="207" t="s">
        <v>4423</v>
      </c>
      <c r="AT84" s="207"/>
      <c r="AU84" s="220" t="s">
        <v>4760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4761</v>
      </c>
      <c r="BG84" s="229" t="s">
        <v>4425</v>
      </c>
      <c r="BH84" s="321">
        <f>IFERROR(IF(BD84-KI84=0,"",BD84-AK84),"")</f>
        <v>84</v>
      </c>
      <c r="BI84" s="98" t="str">
        <f>IF(AND(AH84&lt;&gt;"SIM",AH84="UH"),"AA","INDENIZAÇÃO")</f>
        <v>INDENIZAÇÃO</v>
      </c>
      <c r="BJ84" s="98" t="str">
        <f>IF(AND(BD84&lt;&gt;"AGUARDANDO",BD84&lt;&gt;"",N84="AUXÍLIO ALUGUEL ATÉ INDENIZAÇÃO"),"SIM","NÃO")</f>
        <v>NÃO</v>
      </c>
      <c r="BK84" s="230" t="s">
        <v>4436</v>
      </c>
      <c r="BL84" s="230" t="s">
        <v>4436</v>
      </c>
      <c r="BM84" s="230" t="s">
        <v>4436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4434</v>
      </c>
    </row>
    <row r="85" spans="1:73" s="240" customFormat="1" ht="27" customHeight="1" x14ac:dyDescent="0.25">
      <c r="A85" s="197">
        <v>81</v>
      </c>
      <c r="B85" s="197" t="s">
        <v>4396</v>
      </c>
      <c r="C85" s="207" t="s">
        <v>4452</v>
      </c>
      <c r="D85" s="207">
        <v>1</v>
      </c>
      <c r="E85" s="207" t="s">
        <v>4398</v>
      </c>
      <c r="F85" s="214" t="s">
        <v>4762</v>
      </c>
      <c r="G85" s="207" t="s">
        <v>4400</v>
      </c>
      <c r="H85" s="207" t="s">
        <v>4401</v>
      </c>
      <c r="I85" s="217" t="s">
        <v>4402</v>
      </c>
      <c r="J85" s="242" t="s">
        <v>4763</v>
      </c>
      <c r="K85" s="215" t="s">
        <v>4398</v>
      </c>
      <c r="L85" s="214" t="s">
        <v>4764</v>
      </c>
      <c r="M85" s="197" t="s">
        <v>4405</v>
      </c>
      <c r="N85" s="207" t="s">
        <v>4441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4763</v>
      </c>
      <c r="AB85" s="214" t="s">
        <v>4398</v>
      </c>
      <c r="AC85" s="214" t="s">
        <v>4764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4432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>IF(AQ85="SIM","AGUARDANDO CORREÇÃO",IF(AP85&lt;&gt;"","FINALIZADO",IF(AO85&lt;&gt;"","AGUARDANDO ENVIO DTS",IF(AN85&lt;&gt;"","AGUARDANDO ASSINATURA GAB",IF(AM85&lt;&gt;"","AGUARDANDO ASSINATURA CTS",IF(AL85&lt;&gt;"","AGUARDANDO ENVIO ASSINATURA CTS",IF(AK85&lt;&gt;"","AGUARDANDO CONFERÊNCIA","")))))))</f>
        <v>FINALIZADO</v>
      </c>
      <c r="AS85" s="207" t="s">
        <v>4423</v>
      </c>
      <c r="AT85" s="207"/>
      <c r="AU85" s="220" t="s">
        <v>4765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>IFERROR(IF(BD85-KI85=0,"",BD85-AK85),"")</f>
        <v>400</v>
      </c>
      <c r="BI85" s="98" t="str">
        <f>IF(AND(AH85&lt;&gt;"SIM",AH85="UH"),"AA","INDENIZAÇÃO")</f>
        <v>INDENIZAÇÃO</v>
      </c>
      <c r="BJ85" s="98" t="str">
        <f>IF(AND(BD85&lt;&gt;"AGUARDANDO",BD85&lt;&gt;"",N85="AUXÍLIO ALUGUEL ATÉ INDENIZAÇÃO"),"SIM","NÃO")</f>
        <v>NÃO</v>
      </c>
      <c r="BK85" s="230" t="s">
        <v>4436</v>
      </c>
      <c r="BL85" s="230" t="s">
        <v>4436</v>
      </c>
      <c r="BM85" s="230" t="s">
        <v>4436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4434</v>
      </c>
    </row>
    <row r="86" spans="1:73" s="240" customFormat="1" ht="27" hidden="1" customHeight="1" x14ac:dyDescent="0.25">
      <c r="A86" s="207">
        <v>82</v>
      </c>
      <c r="B86" s="197" t="s">
        <v>4396</v>
      </c>
      <c r="C86" s="207" t="s">
        <v>4452</v>
      </c>
      <c r="D86" s="207">
        <v>1</v>
      </c>
      <c r="E86" s="207" t="s">
        <v>4398</v>
      </c>
      <c r="F86" s="214" t="s">
        <v>4766</v>
      </c>
      <c r="G86" s="207" t="s">
        <v>4400</v>
      </c>
      <c r="H86" s="207" t="s">
        <v>4401</v>
      </c>
      <c r="I86" s="217" t="s">
        <v>4402</v>
      </c>
      <c r="J86" s="215" t="s">
        <v>4767</v>
      </c>
      <c r="K86" s="214" t="s">
        <v>4768</v>
      </c>
      <c r="L86" s="214" t="s">
        <v>4769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4767</v>
      </c>
      <c r="AB86" s="215" t="s">
        <v>4768</v>
      </c>
      <c r="AC86" s="215" t="s">
        <v>4769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>IF(AQ86="SIM","AGUARDANDO CORREÇÃO",IF(AP86&lt;&gt;"","FINALIZADO",IF(AO86&lt;&gt;"","AGUARDANDO ENVIO DTS",IF(AN86&lt;&gt;"","AGUARDANDO ASSINATURA GAB",IF(AM86&lt;&gt;"","AGUARDANDO ASSINATURA CTS",IF(AL86&lt;&gt;"","AGUARDANDO ENVIO ASSINATURA CTS",IF(AK86&lt;&gt;"","AGUARDANDO CONFERÊNCIA","")))))))</f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>IFERROR(IF(BD86-KI86=0,"",BD86-AK86),"")</f>
        <v/>
      </c>
      <c r="BI86" s="98" t="str">
        <f>IF(AND(AH86&lt;&gt;"SIM",AH86="UH"),"AA","INDENIZAÇÃO")</f>
        <v>AA</v>
      </c>
      <c r="BJ86" s="98" t="str">
        <f>IF(AND(BD86&lt;&gt;"AGUARDANDO",BD86&lt;&gt;"",N86="AUXÍLIO ALUGUEL ATÉ INDENIZAÇÃO"),"SIM","NÃO")</f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customHeight="1" x14ac:dyDescent="0.25">
      <c r="A87" s="207">
        <v>83</v>
      </c>
      <c r="B87" s="197" t="s">
        <v>4396</v>
      </c>
      <c r="C87" s="207" t="s">
        <v>4452</v>
      </c>
      <c r="D87" s="207">
        <v>1</v>
      </c>
      <c r="E87" s="207" t="s">
        <v>4398</v>
      </c>
      <c r="F87" s="214" t="s">
        <v>4770</v>
      </c>
      <c r="G87" s="207" t="s">
        <v>4400</v>
      </c>
      <c r="H87" s="207" t="s">
        <v>4401</v>
      </c>
      <c r="I87" s="217" t="s">
        <v>4402</v>
      </c>
      <c r="J87" s="215" t="s">
        <v>4771</v>
      </c>
      <c r="K87" s="214" t="s">
        <v>4772</v>
      </c>
      <c r="L87" s="214" t="s">
        <v>4773</v>
      </c>
      <c r="M87" s="197" t="s">
        <v>4405</v>
      </c>
      <c r="N87" s="207" t="s">
        <v>4441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4771</v>
      </c>
      <c r="AB87" s="214" t="s">
        <v>4772</v>
      </c>
      <c r="AC87" s="214" t="s">
        <v>4773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4432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>IF(AQ87="SIM","AGUARDANDO CORREÇÃO",IF(AP87&lt;&gt;"","FINALIZADO",IF(AO87&lt;&gt;"","AGUARDANDO ENVIO DTS",IF(AN87&lt;&gt;"","AGUARDANDO ASSINATURA GAB",IF(AM87&lt;&gt;"","AGUARDANDO ASSINATURA CTS",IF(AL87&lt;&gt;"","AGUARDANDO ENVIO ASSINATURA CTS",IF(AK87&lt;&gt;"","AGUARDANDO CONFERÊNCIA","")))))))</f>
        <v>FINALIZADO</v>
      </c>
      <c r="AS87" s="207" t="s">
        <v>4423</v>
      </c>
      <c r="AT87" s="207"/>
      <c r="AU87" s="220" t="s">
        <v>4774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>IFERROR(IF(BD87-KI87=0,"",BD87-AK87),"")</f>
        <v>21</v>
      </c>
      <c r="BI87" s="98" t="str">
        <f>IF(AND(AH87&lt;&gt;"SIM",AH87="UH"),"AA","INDENIZAÇÃO")</f>
        <v>INDENIZAÇÃO</v>
      </c>
      <c r="BJ87" s="98" t="str">
        <f>IF(AND(BD87&lt;&gt;"AGUARDANDO",BD87&lt;&gt;"",N87="AUXÍLIO ALUGUEL ATÉ INDENIZAÇÃO"),"SIM","NÃO")</f>
        <v>NÃO</v>
      </c>
      <c r="BK87" s="230" t="s">
        <v>4436</v>
      </c>
      <c r="BL87" s="230" t="s">
        <v>4436</v>
      </c>
      <c r="BM87" s="230" t="s">
        <v>4436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4434</v>
      </c>
    </row>
    <row r="88" spans="1:73" s="240" customFormat="1" ht="27" customHeight="1" x14ac:dyDescent="0.25">
      <c r="A88" s="207">
        <v>84</v>
      </c>
      <c r="B88" s="197" t="s">
        <v>4396</v>
      </c>
      <c r="C88" s="207" t="s">
        <v>4452</v>
      </c>
      <c r="D88" s="207">
        <v>1</v>
      </c>
      <c r="E88" s="207" t="s">
        <v>4398</v>
      </c>
      <c r="F88" s="214" t="s">
        <v>4775</v>
      </c>
      <c r="G88" s="207" t="s">
        <v>4400</v>
      </c>
      <c r="H88" s="207" t="s">
        <v>4401</v>
      </c>
      <c r="I88" s="217" t="s">
        <v>4402</v>
      </c>
      <c r="J88" s="215" t="s">
        <v>4776</v>
      </c>
      <c r="K88" s="214" t="s">
        <v>4777</v>
      </c>
      <c r="L88" s="214" t="s">
        <v>4778</v>
      </c>
      <c r="M88" s="197" t="s">
        <v>4405</v>
      </c>
      <c r="N88" s="207" t="s">
        <v>4441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4776</v>
      </c>
      <c r="AB88" s="214" t="s">
        <v>4777</v>
      </c>
      <c r="AC88" s="214" t="s">
        <v>4778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4432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>IF(AQ88="SIM","AGUARDANDO CORREÇÃO",IF(AP88&lt;&gt;"","FINALIZADO",IF(AO88&lt;&gt;"","AGUARDANDO ENVIO DTS",IF(AN88&lt;&gt;"","AGUARDANDO ASSINATURA GAB",IF(AM88&lt;&gt;"","AGUARDANDO ASSINATURA CTS",IF(AL88&lt;&gt;"","AGUARDANDO ENVIO ASSINATURA CTS",IF(AK88&lt;&gt;"","AGUARDANDO CONFERÊNCIA","")))))))</f>
        <v>FINALIZADO</v>
      </c>
      <c r="AS88" s="207" t="s">
        <v>4423</v>
      </c>
      <c r="AT88" s="207"/>
      <c r="AU88" s="220" t="s">
        <v>4779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>IFERROR(IF(BD88-KI88=0,"",BD88-AK88),"")</f>
        <v>42</v>
      </c>
      <c r="BI88" s="98" t="str">
        <f>IF(AND(AH88&lt;&gt;"SIM",AH88="UH"),"AA","INDENIZAÇÃO")</f>
        <v>INDENIZAÇÃO</v>
      </c>
      <c r="BJ88" s="98" t="str">
        <f>IF(AND(BD88&lt;&gt;"AGUARDANDO",BD88&lt;&gt;"",N88="AUXÍLIO ALUGUEL ATÉ INDENIZAÇÃO"),"SIM","NÃO")</f>
        <v>NÃO</v>
      </c>
      <c r="BK88" s="230" t="s">
        <v>4436</v>
      </c>
      <c r="BL88" s="230" t="s">
        <v>4436</v>
      </c>
      <c r="BM88" s="230" t="s">
        <v>4436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4434</v>
      </c>
    </row>
    <row r="89" spans="1:73" s="240" customFormat="1" ht="27" customHeight="1" x14ac:dyDescent="0.25">
      <c r="A89" s="197">
        <v>85</v>
      </c>
      <c r="B89" s="197" t="s">
        <v>4396</v>
      </c>
      <c r="C89" s="207" t="s">
        <v>4452</v>
      </c>
      <c r="D89" s="207">
        <v>1</v>
      </c>
      <c r="E89" s="207" t="s">
        <v>4398</v>
      </c>
      <c r="F89" s="214" t="s">
        <v>4780</v>
      </c>
      <c r="G89" s="207" t="s">
        <v>4400</v>
      </c>
      <c r="H89" s="207" t="s">
        <v>4401</v>
      </c>
      <c r="I89" s="217" t="s">
        <v>4402</v>
      </c>
      <c r="J89" s="215" t="s">
        <v>4781</v>
      </c>
      <c r="K89" s="214" t="s">
        <v>4782</v>
      </c>
      <c r="L89" s="214" t="s">
        <v>4783</v>
      </c>
      <c r="M89" s="197" t="s">
        <v>4405</v>
      </c>
      <c r="N89" s="207" t="s">
        <v>4441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4781</v>
      </c>
      <c r="AB89" s="214" t="s">
        <v>4782</v>
      </c>
      <c r="AC89" s="214" t="s">
        <v>4783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4432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>IF(AQ89="SIM","AGUARDANDO CORREÇÃO",IF(AP89&lt;&gt;"","FINALIZADO",IF(AO89&lt;&gt;"","AGUARDANDO ENVIO DTS",IF(AN89&lt;&gt;"","AGUARDANDO ASSINATURA GAB",IF(AM89&lt;&gt;"","AGUARDANDO ASSINATURA CTS",IF(AL89&lt;&gt;"","AGUARDANDO ENVIO ASSINATURA CTS",IF(AK89&lt;&gt;"","AGUARDANDO CONFERÊNCIA","")))))))</f>
        <v>FINALIZADO</v>
      </c>
      <c r="AS89" s="207" t="s">
        <v>4423</v>
      </c>
      <c r="AT89" s="207"/>
      <c r="AU89" s="220" t="s">
        <v>4784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>IFERROR(IF(BD89-KI89=0,"",BD89-AK89),"")</f>
        <v>42</v>
      </c>
      <c r="BI89" s="98" t="str">
        <f>IF(AND(AH89&lt;&gt;"SIM",AH89="UH"),"AA","INDENIZAÇÃO")</f>
        <v>INDENIZAÇÃO</v>
      </c>
      <c r="BJ89" s="98" t="str">
        <f>IF(AND(BD89&lt;&gt;"AGUARDANDO",BD89&lt;&gt;"",N89="AUXÍLIO ALUGUEL ATÉ INDENIZAÇÃO"),"SIM","NÃO")</f>
        <v>NÃO</v>
      </c>
      <c r="BK89" s="230" t="s">
        <v>4436</v>
      </c>
      <c r="BL89" s="230" t="s">
        <v>4436</v>
      </c>
      <c r="BM89" s="230" t="s">
        <v>4436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4434</v>
      </c>
    </row>
    <row r="90" spans="1:73" s="240" customFormat="1" ht="27" hidden="1" customHeight="1" x14ac:dyDescent="0.25">
      <c r="A90" s="197">
        <v>86</v>
      </c>
      <c r="B90" s="197" t="s">
        <v>4396</v>
      </c>
      <c r="C90" s="207" t="s">
        <v>4452</v>
      </c>
      <c r="D90" s="207">
        <v>1</v>
      </c>
      <c r="E90" s="207" t="s">
        <v>4398</v>
      </c>
      <c r="F90" s="214" t="s">
        <v>4785</v>
      </c>
      <c r="G90" s="207" t="s">
        <v>4400</v>
      </c>
      <c r="H90" s="207" t="s">
        <v>4401</v>
      </c>
      <c r="I90" s="217" t="s">
        <v>4402</v>
      </c>
      <c r="J90" s="215" t="s">
        <v>4786</v>
      </c>
      <c r="K90" s="214" t="s">
        <v>4787</v>
      </c>
      <c r="L90" s="214" t="s">
        <v>4788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4786</v>
      </c>
      <c r="AB90" s="215" t="s">
        <v>4787</v>
      </c>
      <c r="AC90" s="215" t="s">
        <v>4788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>IF(AQ90="SIM","AGUARDANDO CORREÇÃO",IF(AP90&lt;&gt;"","FINALIZADO",IF(AO90&lt;&gt;"","AGUARDANDO ENVIO DTS",IF(AN90&lt;&gt;"","AGUARDANDO ASSINATURA GAB",IF(AM90&lt;&gt;"","AGUARDANDO ASSINATURA CTS",IF(AL90&lt;&gt;"","AGUARDANDO ENVIO ASSINATURA CTS",IF(AK90&lt;&gt;"","AGUARDANDO CONFERÊNCIA","")))))))</f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>IFERROR(IF(BD90-KI90=0,"",BD90-AK90),"")</f>
        <v/>
      </c>
      <c r="BI90" s="98" t="str">
        <f>IF(AND(AH90&lt;&gt;"SIM",AH90="UH"),"AA","INDENIZAÇÃO")</f>
        <v>AA</v>
      </c>
      <c r="BJ90" s="98" t="str">
        <f>IF(AND(BD90&lt;&gt;"AGUARDANDO",BD90&lt;&gt;"",N90="AUXÍLIO ALUGUEL ATÉ INDENIZAÇÃO"),"SIM","NÃO")</f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 x14ac:dyDescent="0.25">
      <c r="A91" s="207">
        <v>87</v>
      </c>
      <c r="B91" s="197" t="s">
        <v>4396</v>
      </c>
      <c r="C91" s="207" t="s">
        <v>4452</v>
      </c>
      <c r="D91" s="207">
        <v>1</v>
      </c>
      <c r="E91" s="207" t="s">
        <v>4398</v>
      </c>
      <c r="F91" s="214" t="s">
        <v>4789</v>
      </c>
      <c r="G91" s="207" t="s">
        <v>4400</v>
      </c>
      <c r="H91" s="207" t="s">
        <v>4401</v>
      </c>
      <c r="I91" s="217" t="s">
        <v>4402</v>
      </c>
      <c r="J91" s="214" t="s">
        <v>4790</v>
      </c>
      <c r="K91" s="214" t="s">
        <v>4791</v>
      </c>
      <c r="L91" s="214" t="s">
        <v>4792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4790</v>
      </c>
      <c r="AB91" s="215" t="s">
        <v>4791</v>
      </c>
      <c r="AC91" s="215" t="s">
        <v>4792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>IF(AQ91="SIM","AGUARDANDO CORREÇÃO",IF(AP91&lt;&gt;"","FINALIZADO",IF(AO91&lt;&gt;"","AGUARDANDO ENVIO DTS",IF(AN91&lt;&gt;"","AGUARDANDO ASSINATURA GAB",IF(AM91&lt;&gt;"","AGUARDANDO ASSINATURA CTS",IF(AL91&lt;&gt;"","AGUARDANDO ENVIO ASSINATURA CTS",IF(AK91&lt;&gt;"","AGUARDANDO CONFERÊNCIA","")))))))</f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>IFERROR(IF(BD91-KI91=0,"",BD91-AK91),"")</f>
        <v/>
      </c>
      <c r="BI91" s="98" t="str">
        <f>IF(AND(AH91&lt;&gt;"SIM",AH91="UH"),"AA","INDENIZAÇÃO")</f>
        <v>AA</v>
      </c>
      <c r="BJ91" s="98" t="str">
        <f>IF(AND(BD91&lt;&gt;"AGUARDANDO",BD91&lt;&gt;"",N91="AUXÍLIO ALUGUEL ATÉ INDENIZAÇÃO"),"SIM","NÃO")</f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 x14ac:dyDescent="0.25">
      <c r="A92" s="207">
        <v>88</v>
      </c>
      <c r="B92" s="197" t="s">
        <v>4396</v>
      </c>
      <c r="C92" s="207" t="s">
        <v>4452</v>
      </c>
      <c r="D92" s="207">
        <v>1</v>
      </c>
      <c r="E92" s="207" t="s">
        <v>4398</v>
      </c>
      <c r="F92" s="214" t="s">
        <v>4793</v>
      </c>
      <c r="G92" s="207" t="s">
        <v>4400</v>
      </c>
      <c r="H92" s="207" t="s">
        <v>4401</v>
      </c>
      <c r="I92" s="217" t="s">
        <v>4402</v>
      </c>
      <c r="J92" s="215" t="s">
        <v>4794</v>
      </c>
      <c r="K92" s="214" t="s">
        <v>4795</v>
      </c>
      <c r="L92" s="214" t="s">
        <v>4796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4794</v>
      </c>
      <c r="AB92" s="215" t="s">
        <v>4795</v>
      </c>
      <c r="AC92" s="215" t="s">
        <v>4796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>IF(AQ92="SIM","AGUARDANDO CORREÇÃO",IF(AP92&lt;&gt;"","FINALIZADO",IF(AO92&lt;&gt;"","AGUARDANDO ENVIO DTS",IF(AN92&lt;&gt;"","AGUARDANDO ASSINATURA GAB",IF(AM92&lt;&gt;"","AGUARDANDO ASSINATURA CTS",IF(AL92&lt;&gt;"","AGUARDANDO ENVIO ASSINATURA CTS",IF(AK92&lt;&gt;"","AGUARDANDO CONFERÊNCIA","")))))))</f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>IFERROR(IF(BD92-KI92=0,"",BD92-AK92),"")</f>
        <v/>
      </c>
      <c r="BI92" s="98" t="str">
        <f>IF(AND(AH92&lt;&gt;"SIM",AH92="UH"),"AA","INDENIZAÇÃO")</f>
        <v>AA</v>
      </c>
      <c r="BJ92" s="98" t="str">
        <f>IF(AND(BD92&lt;&gt;"AGUARDANDO",BD92&lt;&gt;"",N92="AUXÍLIO ALUGUEL ATÉ INDENIZAÇÃO"),"SIM","NÃO")</f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 x14ac:dyDescent="0.25">
      <c r="A93" s="207">
        <v>89</v>
      </c>
      <c r="B93" s="197" t="s">
        <v>4396</v>
      </c>
      <c r="C93" s="207" t="s">
        <v>4452</v>
      </c>
      <c r="D93" s="207">
        <v>1</v>
      </c>
      <c r="E93" s="207" t="s">
        <v>4398</v>
      </c>
      <c r="F93" s="214" t="s">
        <v>4797</v>
      </c>
      <c r="G93" s="207" t="s">
        <v>4400</v>
      </c>
      <c r="H93" s="207" t="s">
        <v>4401</v>
      </c>
      <c r="I93" s="217" t="s">
        <v>4402</v>
      </c>
      <c r="J93" s="215" t="s">
        <v>4798</v>
      </c>
      <c r="K93" s="214" t="s">
        <v>4799</v>
      </c>
      <c r="L93" s="214" t="s">
        <v>4800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4798</v>
      </c>
      <c r="AB93" s="215" t="s">
        <v>4799</v>
      </c>
      <c r="AC93" s="215" t="s">
        <v>4800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>IF(AQ93="SIM","AGUARDANDO CORREÇÃO",IF(AP93&lt;&gt;"","FINALIZADO",IF(AO93&lt;&gt;"","AGUARDANDO ENVIO DTS",IF(AN93&lt;&gt;"","AGUARDANDO ASSINATURA GAB",IF(AM93&lt;&gt;"","AGUARDANDO ASSINATURA CTS",IF(AL93&lt;&gt;"","AGUARDANDO ENVIO ASSINATURA CTS",IF(AK93&lt;&gt;"","AGUARDANDO CONFERÊNCIA","")))))))</f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>IFERROR(IF(BD93-KI93=0,"",BD93-AK93),"")</f>
        <v/>
      </c>
      <c r="BI93" s="98" t="str">
        <f>IF(AND(AH93&lt;&gt;"SIM",AH93="UH"),"AA","INDENIZAÇÃO")</f>
        <v>AA</v>
      </c>
      <c r="BJ93" s="98" t="str">
        <f>IF(AND(BD93&lt;&gt;"AGUARDANDO",BD93&lt;&gt;"",N93="AUXÍLIO ALUGUEL ATÉ INDENIZAÇÃO"),"SIM","NÃO")</f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 x14ac:dyDescent="0.25">
      <c r="A94" s="197">
        <v>90</v>
      </c>
      <c r="B94" s="197" t="s">
        <v>4396</v>
      </c>
      <c r="C94" s="207" t="s">
        <v>4452</v>
      </c>
      <c r="D94" s="207">
        <v>1</v>
      </c>
      <c r="E94" s="207" t="s">
        <v>4398</v>
      </c>
      <c r="F94" s="214" t="s">
        <v>4801</v>
      </c>
      <c r="G94" s="207" t="s">
        <v>4400</v>
      </c>
      <c r="H94" s="207" t="s">
        <v>4401</v>
      </c>
      <c r="I94" s="217" t="s">
        <v>4402</v>
      </c>
      <c r="J94" s="215" t="s">
        <v>4802</v>
      </c>
      <c r="K94" s="215" t="s">
        <v>4398</v>
      </c>
      <c r="L94" s="214" t="s">
        <v>4803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4802</v>
      </c>
      <c r="AB94" s="215" t="s">
        <v>4398</v>
      </c>
      <c r="AC94" s="215" t="s">
        <v>4803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>IF(AQ94="SIM","AGUARDANDO CORREÇÃO",IF(AP94&lt;&gt;"","FINALIZADO",IF(AO94&lt;&gt;"","AGUARDANDO ENVIO DTS",IF(AN94&lt;&gt;"","AGUARDANDO ASSINATURA GAB",IF(AM94&lt;&gt;"","AGUARDANDO ASSINATURA CTS",IF(AL94&lt;&gt;"","AGUARDANDO ENVIO ASSINATURA CTS",IF(AK94&lt;&gt;"","AGUARDANDO CONFERÊNCIA","")))))))</f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>IFERROR(IF(BD94-KI94=0,"",BD94-AK94),"")</f>
        <v/>
      </c>
      <c r="BI94" s="98" t="str">
        <f>IF(AND(AH94&lt;&gt;"SIM",AH94="UH"),"AA","INDENIZAÇÃO")</f>
        <v>AA</v>
      </c>
      <c r="BJ94" s="98" t="str">
        <f>IF(AND(BD94&lt;&gt;"AGUARDANDO",BD94&lt;&gt;"",N94="AUXÍLIO ALUGUEL ATÉ INDENIZAÇÃO"),"SIM","NÃO")</f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customHeight="1" x14ac:dyDescent="0.25">
      <c r="A95" s="197">
        <v>91</v>
      </c>
      <c r="B95" s="197" t="s">
        <v>4396</v>
      </c>
      <c r="C95" s="207" t="s">
        <v>4452</v>
      </c>
      <c r="D95" s="207">
        <v>1</v>
      </c>
      <c r="E95" s="207" t="s">
        <v>4398</v>
      </c>
      <c r="F95" s="214" t="s">
        <v>4804</v>
      </c>
      <c r="G95" s="207" t="s">
        <v>4400</v>
      </c>
      <c r="H95" s="207" t="s">
        <v>4401</v>
      </c>
      <c r="I95" s="217" t="s">
        <v>4402</v>
      </c>
      <c r="J95" s="215" t="s">
        <v>4805</v>
      </c>
      <c r="K95" s="214" t="s">
        <v>4806</v>
      </c>
      <c r="L95" s="214" t="s">
        <v>4807</v>
      </c>
      <c r="M95" s="197" t="s">
        <v>4405</v>
      </c>
      <c r="N95" s="207" t="s">
        <v>4441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4805</v>
      </c>
      <c r="AB95" s="214" t="s">
        <v>4806</v>
      </c>
      <c r="AC95" s="214" t="s">
        <v>4807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4432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>IF(AQ95="SIM","AGUARDANDO CORREÇÃO",IF(AP95&lt;&gt;"","FINALIZADO",IF(AO95&lt;&gt;"","AGUARDANDO ENVIO DTS",IF(AN95&lt;&gt;"","AGUARDANDO ASSINATURA GAB",IF(AM95&lt;&gt;"","AGUARDANDO ASSINATURA CTS",IF(AL95&lt;&gt;"","AGUARDANDO ENVIO ASSINATURA CTS",IF(AK95&lt;&gt;"","AGUARDANDO CONFERÊNCIA","")))))))</f>
        <v>FINALIZADO</v>
      </c>
      <c r="AS95" s="207" t="s">
        <v>4423</v>
      </c>
      <c r="AT95" s="207"/>
      <c r="AU95" s="220" t="s">
        <v>4808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>IFERROR(IF(BD95-KI95=0,"",BD95-AK95),"")</f>
        <v>38</v>
      </c>
      <c r="BI95" s="98" t="str">
        <f>IF(AND(AH95&lt;&gt;"SIM",AH95="UH"),"AA","INDENIZAÇÃO")</f>
        <v>INDENIZAÇÃO</v>
      </c>
      <c r="BJ95" s="98" t="str">
        <f>IF(AND(BD95&lt;&gt;"AGUARDANDO",BD95&lt;&gt;"",N95="AUXÍLIO ALUGUEL ATÉ INDENIZAÇÃO"),"SIM","NÃO")</f>
        <v>NÃO</v>
      </c>
      <c r="BK95" s="230" t="s">
        <v>4436</v>
      </c>
      <c r="BL95" s="230" t="s">
        <v>4436</v>
      </c>
      <c r="BM95" s="230" t="s">
        <v>4436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4434</v>
      </c>
    </row>
    <row r="96" spans="1:73" s="240" customFormat="1" ht="27" customHeight="1" x14ac:dyDescent="0.25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4804</v>
      </c>
      <c r="G96" s="207" t="s">
        <v>4400</v>
      </c>
      <c r="H96" s="207" t="s">
        <v>4401</v>
      </c>
      <c r="I96" s="217" t="s">
        <v>4402</v>
      </c>
      <c r="J96" s="215" t="s">
        <v>4809</v>
      </c>
      <c r="K96" s="215" t="s">
        <v>4810</v>
      </c>
      <c r="L96" s="215" t="s">
        <v>4811</v>
      </c>
      <c r="M96" s="197" t="s">
        <v>4405</v>
      </c>
      <c r="N96" s="207" t="s">
        <v>4441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4809</v>
      </c>
      <c r="AB96" s="215" t="s">
        <v>4810</v>
      </c>
      <c r="AC96" s="215" t="s">
        <v>4811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>IF(AQ96="SIM","AGUARDANDO CORREÇÃO",IF(AP96&lt;&gt;"","FINALIZADO",IF(AO96&lt;&gt;"","AGUARDANDO ENVIO DTS",IF(AN96&lt;&gt;"","AGUARDANDO ASSINATURA GAB",IF(AM96&lt;&gt;"","AGUARDANDO ASSINATURA CTS",IF(AL96&lt;&gt;"","AGUARDANDO ENVIO ASSINATURA CTS",IF(AK96&lt;&gt;"","AGUARDANDO CONFERÊNCIA","")))))))</f>
        <v>FINALIZADO</v>
      </c>
      <c r="AS96" s="207" t="s">
        <v>4423</v>
      </c>
      <c r="AT96" s="219"/>
      <c r="AU96" s="220" t="s">
        <v>4812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4434</v>
      </c>
      <c r="BF96" s="228" t="s">
        <v>4400</v>
      </c>
      <c r="BG96" s="219" t="s">
        <v>4425</v>
      </c>
      <c r="BH96" s="321">
        <f>IFERROR(IF(BD96-KI96=0,"",BD96-AK96),"")</f>
        <v>99</v>
      </c>
      <c r="BI96" s="98" t="str">
        <f>IF(AND(AH96&lt;&gt;"SIM",AH96="UH"),"AA","INDENIZAÇÃO")</f>
        <v>INDENIZAÇÃO</v>
      </c>
      <c r="BJ96" s="98" t="str">
        <f>IF(AND(BD96&lt;&gt;"AGUARDANDO",BD96&lt;&gt;"",N96="AUXÍLIO ALUGUEL ATÉ INDENIZAÇÃO"),"SIM","NÃO")</f>
        <v>NÃO</v>
      </c>
      <c r="BK96" s="219" t="s">
        <v>4436</v>
      </c>
      <c r="BL96" s="219" t="s">
        <v>4436</v>
      </c>
      <c r="BM96" s="219" t="s">
        <v>4436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4434</v>
      </c>
      <c r="BS96" s="223"/>
      <c r="BT96" s="223"/>
      <c r="BU96" s="223"/>
    </row>
    <row r="97" spans="1:73" s="240" customFormat="1" ht="27" customHeight="1" x14ac:dyDescent="0.25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4804</v>
      </c>
      <c r="G97" s="207" t="s">
        <v>4544</v>
      </c>
      <c r="H97" s="207"/>
      <c r="I97" s="217" t="s">
        <v>4421</v>
      </c>
      <c r="J97" s="215" t="s">
        <v>4813</v>
      </c>
      <c r="K97" s="215" t="s">
        <v>4814</v>
      </c>
      <c r="L97" s="215" t="s">
        <v>4815</v>
      </c>
      <c r="M97" s="197" t="s">
        <v>4405</v>
      </c>
      <c r="N97" s="207" t="s">
        <v>4441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4813</v>
      </c>
      <c r="AB97" s="215" t="s">
        <v>4814</v>
      </c>
      <c r="AC97" s="215" t="s">
        <v>4815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4432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>IF(AQ97="SIM","AGUARDANDO CORREÇÃO",IF(AP97&lt;&gt;"","FINALIZADO",IF(AO97&lt;&gt;"","AGUARDANDO ENVIO DTS",IF(AN97&lt;&gt;"","AGUARDANDO ASSINATURA GAB",IF(AM97&lt;&gt;"","AGUARDANDO ASSINATURA CTS",IF(AL97&lt;&gt;"","AGUARDANDO ENVIO ASSINATURA CTS",IF(AK97&lt;&gt;"","AGUARDANDO CONFERÊNCIA","")))))))</f>
        <v>FINALIZADO</v>
      </c>
      <c r="AS97" s="207" t="s">
        <v>4423</v>
      </c>
      <c r="AT97" s="219"/>
      <c r="AU97" s="220" t="s">
        <v>4816</v>
      </c>
      <c r="AV97" s="207" t="s">
        <v>4817</v>
      </c>
      <c r="AW97" s="207" t="s">
        <v>4817</v>
      </c>
      <c r="AX97" s="207" t="s">
        <v>4817</v>
      </c>
      <c r="AY97" s="207" t="s">
        <v>4817</v>
      </c>
      <c r="AZ97" s="202">
        <v>46233</v>
      </c>
      <c r="BA97" s="207" t="s">
        <v>4817</v>
      </c>
      <c r="BB97" s="207" t="s">
        <v>4817</v>
      </c>
      <c r="BC97" s="202">
        <v>46234</v>
      </c>
      <c r="BD97" s="226">
        <v>46234</v>
      </c>
      <c r="BE97" s="257" t="s">
        <v>4434</v>
      </c>
      <c r="BF97" s="257" t="s">
        <v>4435</v>
      </c>
      <c r="BG97" s="219" t="s">
        <v>4425</v>
      </c>
      <c r="BH97" s="321">
        <f>IFERROR(IF(BD97-KI97=0,"",BD97-AK97),"")</f>
        <v>49</v>
      </c>
      <c r="BI97" s="98" t="str">
        <f>IF(AND(AH97&lt;&gt;"SIM",AH97="UH"),"AA","INDENIZAÇÃO")</f>
        <v>INDENIZAÇÃO</v>
      </c>
      <c r="BJ97" s="98" t="str">
        <f>IF(AND(BD97&lt;&gt;"AGUARDANDO",BD97&lt;&gt;"",N97="AUXÍLIO ALUGUEL ATÉ INDENIZAÇÃO"),"SIM","NÃO")</f>
        <v>NÃO</v>
      </c>
      <c r="BK97" s="219" t="s">
        <v>4436</v>
      </c>
      <c r="BL97" s="219" t="s">
        <v>4436</v>
      </c>
      <c r="BM97" s="219" t="s">
        <v>4436</v>
      </c>
      <c r="BN97" s="250" t="s">
        <v>4425</v>
      </c>
      <c r="BO97" s="250" t="s">
        <v>4425</v>
      </c>
      <c r="BP97" s="202">
        <v>46269</v>
      </c>
      <c r="BQ97" s="257" t="s">
        <v>4818</v>
      </c>
      <c r="BR97" s="258"/>
      <c r="BS97" s="223"/>
      <c r="BT97" s="223"/>
      <c r="BU97" s="223"/>
    </row>
    <row r="98" spans="1:73" s="240" customFormat="1" ht="27" hidden="1" customHeight="1" x14ac:dyDescent="0.25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4819</v>
      </c>
      <c r="G98" s="207" t="s">
        <v>4400</v>
      </c>
      <c r="H98" s="207" t="s">
        <v>4401</v>
      </c>
      <c r="I98" s="207" t="s">
        <v>4414</v>
      </c>
      <c r="J98" s="215" t="s">
        <v>4820</v>
      </c>
      <c r="K98" s="215" t="s">
        <v>4821</v>
      </c>
      <c r="L98" s="215" t="s">
        <v>4822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4439</v>
      </c>
      <c r="Z98" s="202"/>
      <c r="AA98" s="215" t="s">
        <v>4823</v>
      </c>
      <c r="AB98" s="215" t="s">
        <v>4824</v>
      </c>
      <c r="AC98" s="215" t="s">
        <v>4825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4432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>IF(AQ98="SIM","AGUARDANDO CORREÇÃO",IF(AP98&lt;&gt;"","FINALIZADO",IF(AO98&lt;&gt;"","AGUARDANDO ENVIO DTS",IF(AN98&lt;&gt;"","AGUARDANDO ASSINATURA GAB",IF(AM98&lt;&gt;"","AGUARDANDO ASSINATURA CTS",IF(AL98&lt;&gt;"","AGUARDANDO ENVIO ASSINATURA CTS",IF(AK98&lt;&gt;"","AGUARDANDO CONFERÊNCIA","")))))))</f>
        <v>FINALIZADO</v>
      </c>
      <c r="AS98" s="207" t="s">
        <v>4423</v>
      </c>
      <c r="AT98" s="219"/>
      <c r="AU98" s="220" t="s">
        <v>4826</v>
      </c>
      <c r="AV98" s="219" t="s">
        <v>4425</v>
      </c>
      <c r="AW98" s="219" t="s">
        <v>4425</v>
      </c>
      <c r="AX98" s="257" t="s">
        <v>8612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>IFERROR(IF(BD98-KI98=0,"",BD98-AK98),"")</f>
        <v/>
      </c>
      <c r="BI98" s="98" t="str">
        <f>IF(AND(AH98&lt;&gt;"SIM",AH98="UH"),"AA","INDENIZAÇÃO")</f>
        <v>INDENIZAÇÃO</v>
      </c>
      <c r="BJ98" s="98" t="str">
        <f>IF(AND(BD98&lt;&gt;"AGUARDANDO",BD98&lt;&gt;"",N98="AUXÍLIO ALUGUEL ATÉ INDENIZAÇÃO"),"SIM","NÃO")</f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 x14ac:dyDescent="0.25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4827</v>
      </c>
      <c r="G99" s="207" t="s">
        <v>4400</v>
      </c>
      <c r="H99" s="207" t="s">
        <v>4401</v>
      </c>
      <c r="I99" s="207" t="s">
        <v>4414</v>
      </c>
      <c r="J99" s="215" t="s">
        <v>4828</v>
      </c>
      <c r="K99" s="215" t="s">
        <v>4829</v>
      </c>
      <c r="L99" s="215" t="s">
        <v>4830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4831</v>
      </c>
      <c r="AB99" s="242" t="s">
        <v>4832</v>
      </c>
      <c r="AC99" s="242" t="s">
        <v>4833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>IF(AQ99="SIM","AGUARDANDO CORREÇÃO",IF(AP99&lt;&gt;"","FINALIZADO",IF(AO99&lt;&gt;"","AGUARDANDO ENVIO DTS",IF(AN99&lt;&gt;"","AGUARDANDO ASSINATURA GAB",IF(AM99&lt;&gt;"","AGUARDANDO ASSINATURA CTS",IF(AL99&lt;&gt;"","AGUARDANDO ENVIO ASSINATURA CTS",IF(AK99&lt;&gt;"","AGUARDANDO CONFERÊNCIA","")))))))</f>
        <v>FINALIZADO</v>
      </c>
      <c r="AS99" s="207" t="s">
        <v>4423</v>
      </c>
      <c r="AT99" s="219"/>
      <c r="AU99" s="220" t="s">
        <v>4834</v>
      </c>
      <c r="AV99" s="197" t="s">
        <v>4817</v>
      </c>
      <c r="AW99" s="207" t="s">
        <v>4817</v>
      </c>
      <c r="AX99" s="207" t="s">
        <v>4817</v>
      </c>
      <c r="AY99" s="207" t="s">
        <v>4817</v>
      </c>
      <c r="AZ99" s="202">
        <v>46233</v>
      </c>
      <c r="BA99" s="207" t="s">
        <v>4817</v>
      </c>
      <c r="BB99" s="207" t="s">
        <v>4817</v>
      </c>
      <c r="BC99" s="202">
        <v>46234</v>
      </c>
      <c r="BD99" s="226">
        <v>46234</v>
      </c>
      <c r="BE99" s="257" t="s">
        <v>4434</v>
      </c>
      <c r="BF99" s="257" t="s">
        <v>4435</v>
      </c>
      <c r="BG99" s="219" t="s">
        <v>4425</v>
      </c>
      <c r="BH99" s="321">
        <f>IFERROR(IF(BD99-KI99=0,"",BD99-AK99),"")</f>
        <v>46</v>
      </c>
      <c r="BI99" s="98" t="str">
        <f>IF(AND(AH99&lt;&gt;"SIM",AH99="UH"),"AA","INDENIZAÇÃO")</f>
        <v>INDENIZAÇÃO</v>
      </c>
      <c r="BJ99" s="98" t="str">
        <f>IF(AND(BD99&lt;&gt;"AGUARDANDO",BD99&lt;&gt;"",N99="AUXÍLIO ALUGUEL ATÉ INDENIZAÇÃO"),"SIM","NÃO")</f>
        <v>NÃO</v>
      </c>
      <c r="BK99" s="219" t="s">
        <v>4436</v>
      </c>
      <c r="BL99" s="219" t="s">
        <v>4436</v>
      </c>
      <c r="BM99" s="219" t="s">
        <v>4436</v>
      </c>
      <c r="BN99" s="250" t="s">
        <v>4425</v>
      </c>
      <c r="BO99" s="250" t="s">
        <v>4425</v>
      </c>
      <c r="BP99" s="202">
        <v>46269</v>
      </c>
      <c r="BQ99" s="257" t="s">
        <v>4818</v>
      </c>
      <c r="BR99" s="258"/>
      <c r="BS99" s="223"/>
      <c r="BT99" s="223"/>
    </row>
    <row r="100" spans="1:73" s="240" customFormat="1" ht="27" hidden="1" customHeight="1" x14ac:dyDescent="0.25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4835</v>
      </c>
      <c r="G100" s="207" t="s">
        <v>4400</v>
      </c>
      <c r="H100" s="207" t="s">
        <v>4582</v>
      </c>
      <c r="I100" s="207" t="s">
        <v>4414</v>
      </c>
      <c r="J100" s="215" t="s">
        <v>4836</v>
      </c>
      <c r="K100" s="215" t="s">
        <v>4837</v>
      </c>
      <c r="L100" s="215" t="s">
        <v>4838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4839</v>
      </c>
      <c r="AB100" s="242" t="s">
        <v>4439</v>
      </c>
      <c r="AC100" s="242" t="s">
        <v>4840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4432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>IF(AQ100="SIM","AGUARDANDO CORREÇÃO",IF(AP100&lt;&gt;"","FINALIZADO",IF(AO100&lt;&gt;"","AGUARDANDO ENVIO DTS",IF(AN100&lt;&gt;"","AGUARDANDO ASSINATURA GAB",IF(AM100&lt;&gt;"","AGUARDANDO ASSINATURA CTS",IF(AL100&lt;&gt;"","AGUARDANDO ENVIO ASSINATURA CTS",IF(AK100&lt;&gt;"","AGUARDANDO CONFERÊNCIA","")))))))</f>
        <v>FINALIZADO</v>
      </c>
      <c r="AS100" s="207" t="s">
        <v>4423</v>
      </c>
      <c r="AT100" s="219"/>
      <c r="AU100" s="220" t="s">
        <v>4841</v>
      </c>
      <c r="AV100" s="219" t="s">
        <v>4425</v>
      </c>
      <c r="AW100" s="219" t="s">
        <v>4425</v>
      </c>
      <c r="AX100" s="257" t="s">
        <v>8612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>IFERROR(IF(BD100-KI100=0,"",BD100-AK100),"")</f>
        <v/>
      </c>
      <c r="BI100" s="98" t="str">
        <f>IF(AND(AH100&lt;&gt;"SIM",AH100="UH"),"AA","INDENIZAÇÃO")</f>
        <v>INDENIZAÇÃO</v>
      </c>
      <c r="BJ100" s="98" t="str">
        <f>IF(AND(BD100&lt;&gt;"AGUARDANDO",BD100&lt;&gt;"",N100="AUXÍLIO ALUGUEL ATÉ INDENIZAÇÃO"),"SIM","NÃO")</f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 x14ac:dyDescent="0.25">
      <c r="A101" s="207">
        <v>97</v>
      </c>
      <c r="B101" s="197" t="s">
        <v>4396</v>
      </c>
      <c r="C101" s="207" t="s">
        <v>4452</v>
      </c>
      <c r="D101" s="207">
        <v>1</v>
      </c>
      <c r="E101" s="207" t="s">
        <v>4398</v>
      </c>
      <c r="F101" s="214" t="s">
        <v>4835</v>
      </c>
      <c r="G101" s="207" t="s">
        <v>4400</v>
      </c>
      <c r="H101" s="207" t="s">
        <v>4401</v>
      </c>
      <c r="I101" s="217" t="s">
        <v>4402</v>
      </c>
      <c r="J101" s="242" t="s">
        <v>4842</v>
      </c>
      <c r="K101" s="214" t="s">
        <v>4843</v>
      </c>
      <c r="L101" s="214" t="s">
        <v>4844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4842</v>
      </c>
      <c r="AB101" s="215" t="s">
        <v>4843</v>
      </c>
      <c r="AC101" s="215" t="s">
        <v>4844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>IF(AQ101="SIM","AGUARDANDO CORREÇÃO",IF(AP101&lt;&gt;"","FINALIZADO",IF(AO101&lt;&gt;"","AGUARDANDO ENVIO DTS",IF(AN101&lt;&gt;"","AGUARDANDO ASSINATURA GAB",IF(AM101&lt;&gt;"","AGUARDANDO ASSINATURA CTS",IF(AL101&lt;&gt;"","AGUARDANDO ENVIO ASSINATURA CTS",IF(AK101&lt;&gt;"","AGUARDANDO CONFERÊNCIA","")))))))</f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>IFERROR(IF(BD101-KI101=0,"",BD101-AK101),"")</f>
        <v/>
      </c>
      <c r="BI101" s="98" t="str">
        <f>IF(AND(AH101&lt;&gt;"SIM",AH101="UH"),"AA","INDENIZAÇÃO")</f>
        <v>AA</v>
      </c>
      <c r="BJ101" s="98" t="str">
        <f>IF(AND(BD101&lt;&gt;"AGUARDANDO",BD101&lt;&gt;"",N101="AUXÍLIO ALUGUEL ATÉ INDENIZAÇÃO"),"SIM","NÃO")</f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customHeight="1" x14ac:dyDescent="0.25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4835</v>
      </c>
      <c r="G102" s="207" t="s">
        <v>4545</v>
      </c>
      <c r="H102" s="207" t="s">
        <v>4545</v>
      </c>
      <c r="I102" s="233" t="s">
        <v>4421</v>
      </c>
      <c r="J102" s="215" t="s">
        <v>4845</v>
      </c>
      <c r="K102" s="215" t="s">
        <v>4398</v>
      </c>
      <c r="L102" s="215" t="s">
        <v>4846</v>
      </c>
      <c r="M102" s="197" t="s">
        <v>4405</v>
      </c>
      <c r="N102" s="207" t="s">
        <v>4441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4845</v>
      </c>
      <c r="AB102" s="215" t="s">
        <v>4398</v>
      </c>
      <c r="AC102" s="215" t="s">
        <v>4846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4432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>IF(AQ102="SIM","AGUARDANDO CORREÇÃO",IF(AP102&lt;&gt;"","FINALIZADO",IF(AO102&lt;&gt;"","AGUARDANDO ENVIO DTS",IF(AN102&lt;&gt;"","AGUARDANDO ASSINATURA GAB",IF(AM102&lt;&gt;"","AGUARDANDO ASSINATURA CTS",IF(AL102&lt;&gt;"","AGUARDANDO ENVIO ASSINATURA CTS",IF(AK102&lt;&gt;"","AGUARDANDO CONFERÊNCIA","")))))))</f>
        <v>FINALIZADO</v>
      </c>
      <c r="AS102" s="207" t="s">
        <v>4423</v>
      </c>
      <c r="AT102" s="219"/>
      <c r="AU102" s="220" t="s">
        <v>4847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4434</v>
      </c>
      <c r="BF102" s="245" t="s">
        <v>4435</v>
      </c>
      <c r="BG102" s="229" t="s">
        <v>4425</v>
      </c>
      <c r="BH102" s="321">
        <f>IFERROR(IF(BD102-KI102=0,"",BD102-AK102),"")</f>
        <v>53</v>
      </c>
      <c r="BI102" s="98" t="str">
        <f>IF(AND(AH102&lt;&gt;"SIM",AH102="UH"),"AA","INDENIZAÇÃO")</f>
        <v>INDENIZAÇÃO</v>
      </c>
      <c r="BJ102" s="98" t="str">
        <f>IF(AND(BD102&lt;&gt;"AGUARDANDO",BD102&lt;&gt;"",N102="AUXÍLIO ALUGUEL ATÉ INDENIZAÇÃO"),"SIM","NÃO")</f>
        <v>NÃO</v>
      </c>
      <c r="BK102" s="219" t="s">
        <v>4436</v>
      </c>
      <c r="BL102" s="219" t="s">
        <v>4436</v>
      </c>
      <c r="BM102" s="219" t="s">
        <v>4436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4434</v>
      </c>
    </row>
    <row r="103" spans="1:73" s="240" customFormat="1" ht="27" hidden="1" customHeight="1" x14ac:dyDescent="0.25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4848</v>
      </c>
      <c r="G103" s="207" t="s">
        <v>4400</v>
      </c>
      <c r="H103" s="207" t="s">
        <v>4401</v>
      </c>
      <c r="I103" s="160" t="s">
        <v>4414</v>
      </c>
      <c r="J103" s="215" t="s">
        <v>4849</v>
      </c>
      <c r="K103" s="215" t="s">
        <v>4398</v>
      </c>
      <c r="L103" s="215" t="s">
        <v>4850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4851</v>
      </c>
      <c r="AB103" s="242" t="s">
        <v>4852</v>
      </c>
      <c r="AC103" s="242" t="s">
        <v>4853</v>
      </c>
      <c r="AD103" s="241" t="s">
        <v>4854</v>
      </c>
      <c r="AE103" s="207" t="s">
        <v>4405</v>
      </c>
      <c r="AF103" s="218">
        <v>114220.05</v>
      </c>
      <c r="AG103" s="218">
        <v>114220.05</v>
      </c>
      <c r="AH103" s="207" t="s">
        <v>4432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>IF(AQ103="SIM","AGUARDANDO CORREÇÃO",IF(AP103&lt;&gt;"","FINALIZADO",IF(AO103&lt;&gt;"","AGUARDANDO ENVIO DTS",IF(AN103&lt;&gt;"","AGUARDANDO ASSINATURA GAB",IF(AM103&lt;&gt;"","AGUARDANDO ASSINATURA CTS",IF(AL103&lt;&gt;"","AGUARDANDO ENVIO ASSINATURA CTS",IF(AK103&lt;&gt;"","AGUARDANDO CONFERÊNCIA","")))))))</f>
        <v>FINALIZADO</v>
      </c>
      <c r="AS103" s="207" t="s">
        <v>4423</v>
      </c>
      <c r="AT103" s="219"/>
      <c r="AU103" s="220" t="s">
        <v>4855</v>
      </c>
      <c r="AV103" s="219" t="s">
        <v>4425</v>
      </c>
      <c r="AW103" s="219" t="s">
        <v>4425</v>
      </c>
      <c r="AX103" s="257" t="s">
        <v>4856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>IFERROR(IF(BD103-KI103=0,"",BD103-AK103),"")</f>
        <v/>
      </c>
      <c r="BI103" s="98" t="str">
        <f>IF(AND(AH103&lt;&gt;"SIM",AH103="UH"),"AA","INDENIZAÇÃO")</f>
        <v>INDENIZAÇÃO</v>
      </c>
      <c r="BJ103" s="98" t="str">
        <f>IF(AND(BD103&lt;&gt;"AGUARDANDO",BD103&lt;&gt;"",N103="AUXÍLIO ALUGUEL ATÉ INDENIZAÇÃO"),"SIM","NÃO")</f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 x14ac:dyDescent="0.25">
      <c r="A104" s="197">
        <v>100</v>
      </c>
      <c r="B104" s="197" t="s">
        <v>4396</v>
      </c>
      <c r="C104" s="207" t="s">
        <v>4452</v>
      </c>
      <c r="D104" s="207">
        <v>1</v>
      </c>
      <c r="E104" s="207" t="s">
        <v>4398</v>
      </c>
      <c r="F104" s="214" t="s">
        <v>4848</v>
      </c>
      <c r="G104" s="207" t="s">
        <v>4400</v>
      </c>
      <c r="H104" s="207" t="s">
        <v>4401</v>
      </c>
      <c r="I104" s="217" t="s">
        <v>4402</v>
      </c>
      <c r="J104" s="242" t="s">
        <v>4857</v>
      </c>
      <c r="K104" s="214" t="s">
        <v>4858</v>
      </c>
      <c r="L104" s="214" t="s">
        <v>4859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4857</v>
      </c>
      <c r="AB104" s="215" t="s">
        <v>4858</v>
      </c>
      <c r="AC104" s="215" t="s">
        <v>4859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>IF(AQ104="SIM","AGUARDANDO CORREÇÃO",IF(AP104&lt;&gt;"","FINALIZADO",IF(AO104&lt;&gt;"","AGUARDANDO ENVIO DTS",IF(AN104&lt;&gt;"","AGUARDANDO ASSINATURA GAB",IF(AM104&lt;&gt;"","AGUARDANDO ASSINATURA CTS",IF(AL104&lt;&gt;"","AGUARDANDO ENVIO ASSINATURA CTS",IF(AK104&lt;&gt;"","AGUARDANDO CONFERÊNCIA","")))))))</f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>IFERROR(IF(BD104-KI104=0,"",BD104-AK104),"")</f>
        <v/>
      </c>
      <c r="BI104" s="98" t="str">
        <f>IF(AND(AH104&lt;&gt;"SIM",AH104="UH"),"AA","INDENIZAÇÃO")</f>
        <v>AA</v>
      </c>
      <c r="BJ104" s="98" t="str">
        <f>IF(AND(BD104&lt;&gt;"AGUARDANDO",BD104&lt;&gt;"",N104="AUXÍLIO ALUGUEL ATÉ INDENIZAÇÃO"),"SIM","NÃO")</f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 x14ac:dyDescent="0.25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4848</v>
      </c>
      <c r="G105" s="207" t="s">
        <v>4400</v>
      </c>
      <c r="H105" s="207" t="s">
        <v>4401</v>
      </c>
      <c r="I105" s="217" t="s">
        <v>4402</v>
      </c>
      <c r="J105" s="215" t="s">
        <v>4860</v>
      </c>
      <c r="K105" s="215" t="s">
        <v>4861</v>
      </c>
      <c r="L105" s="215" t="s">
        <v>4862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4860</v>
      </c>
      <c r="AB105" s="215" t="s">
        <v>4861</v>
      </c>
      <c r="AC105" s="215" t="s">
        <v>4862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>IF(AQ105="SIM","AGUARDANDO CORREÇÃO",IF(AP105&lt;&gt;"","FINALIZADO",IF(AO105&lt;&gt;"","AGUARDANDO ENVIO DTS",IF(AN105&lt;&gt;"","AGUARDANDO ASSINATURA GAB",IF(AM105&lt;&gt;"","AGUARDANDO ASSINATURA CTS",IF(AL105&lt;&gt;"","AGUARDANDO ENVIO ASSINATURA CTS",IF(AK105&lt;&gt;"","AGUARDANDO CONFERÊNCIA","")))))))</f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>IFERROR(IF(BD105-KI105=0,"",BD105-AK105),"")</f>
        <v/>
      </c>
      <c r="BI105" s="98" t="str">
        <f>IF(AND(AH105&lt;&gt;"SIM",AH105="UH"),"AA","INDENIZAÇÃO")</f>
        <v>AA</v>
      </c>
      <c r="BJ105" s="98" t="str">
        <f>IF(AND(BD105&lt;&gt;"AGUARDANDO",BD105&lt;&gt;"",N105="AUXÍLIO ALUGUEL ATÉ INDENIZAÇÃO"),"SIM","NÃO")</f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 x14ac:dyDescent="0.25">
      <c r="A106" s="207">
        <v>102</v>
      </c>
      <c r="B106" s="197" t="s">
        <v>4396</v>
      </c>
      <c r="C106" s="207" t="s">
        <v>4452</v>
      </c>
      <c r="D106" s="207">
        <v>1</v>
      </c>
      <c r="E106" s="207" t="s">
        <v>4398</v>
      </c>
      <c r="F106" s="214" t="s">
        <v>4863</v>
      </c>
      <c r="G106" s="207" t="s">
        <v>4400</v>
      </c>
      <c r="H106" s="207" t="s">
        <v>4401</v>
      </c>
      <c r="I106" s="217" t="s">
        <v>4402</v>
      </c>
      <c r="J106" s="242" t="s">
        <v>4864</v>
      </c>
      <c r="K106" s="215" t="s">
        <v>4398</v>
      </c>
      <c r="L106" s="214" t="s">
        <v>4865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4864</v>
      </c>
      <c r="AB106" s="215" t="s">
        <v>4398</v>
      </c>
      <c r="AC106" s="215" t="s">
        <v>4865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>IF(AQ106="SIM","AGUARDANDO CORREÇÃO",IF(AP106&lt;&gt;"","FINALIZADO",IF(AO106&lt;&gt;"","AGUARDANDO ENVIO DTS",IF(AN106&lt;&gt;"","AGUARDANDO ASSINATURA GAB",IF(AM106&lt;&gt;"","AGUARDANDO ASSINATURA CTS",IF(AL106&lt;&gt;"","AGUARDANDO ENVIO ASSINATURA CTS",IF(AK106&lt;&gt;"","AGUARDANDO CONFERÊNCIA","")))))))</f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>IFERROR(IF(BD106-KI106=0,"",BD106-AK106),"")</f>
        <v/>
      </c>
      <c r="BI106" s="98" t="str">
        <f>IF(AND(AH106&lt;&gt;"SIM",AH106="UH"),"AA","INDENIZAÇÃO")</f>
        <v>AA</v>
      </c>
      <c r="BJ106" s="98" t="str">
        <f>IF(AND(BD106&lt;&gt;"AGUARDANDO",BD106&lt;&gt;"",N106="AUXÍLIO ALUGUEL ATÉ INDENIZAÇÃO"),"SIM","NÃO")</f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 x14ac:dyDescent="0.25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4863</v>
      </c>
      <c r="G107" s="207" t="s">
        <v>4400</v>
      </c>
      <c r="H107" s="207" t="s">
        <v>4401</v>
      </c>
      <c r="I107" s="217" t="s">
        <v>4402</v>
      </c>
      <c r="J107" s="215" t="s">
        <v>4866</v>
      </c>
      <c r="K107" s="215" t="s">
        <v>4867</v>
      </c>
      <c r="L107" s="215" t="s">
        <v>4868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4866</v>
      </c>
      <c r="AB107" s="215" t="s">
        <v>4867</v>
      </c>
      <c r="AC107" s="215" t="s">
        <v>4868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>IF(AQ107="SIM","AGUARDANDO CORREÇÃO",IF(AP107&lt;&gt;"","FINALIZADO",IF(AO107&lt;&gt;"","AGUARDANDO ENVIO DTS",IF(AN107&lt;&gt;"","AGUARDANDO ASSINATURA GAB",IF(AM107&lt;&gt;"","AGUARDANDO ASSINATURA CTS",IF(AL107&lt;&gt;"","AGUARDANDO ENVIO ASSINATURA CTS",IF(AK107&lt;&gt;"","AGUARDANDO CONFERÊNCIA","")))))))</f>
        <v>FINALIZADO</v>
      </c>
      <c r="AS107" s="207"/>
      <c r="AT107" s="219"/>
      <c r="AU107" s="220"/>
      <c r="AV107" s="219"/>
      <c r="AW107" s="219"/>
      <c r="AX107" s="219" t="s">
        <v>4436</v>
      </c>
      <c r="AY107" s="219" t="s">
        <v>4436</v>
      </c>
      <c r="AZ107" s="219" t="s">
        <v>4436</v>
      </c>
      <c r="BA107" s="219" t="s">
        <v>4436</v>
      </c>
      <c r="BB107" s="219" t="s">
        <v>4436</v>
      </c>
      <c r="BC107" s="219" t="s">
        <v>4436</v>
      </c>
      <c r="BD107" s="208"/>
      <c r="BE107" s="253"/>
      <c r="BF107" s="254"/>
      <c r="BG107" s="219"/>
      <c r="BH107" s="321" t="str">
        <f>IFERROR(IF(BD107-KI107=0,"",BD107-AK107),"")</f>
        <v/>
      </c>
      <c r="BI107" s="98" t="str">
        <f>IF(AND(AH107&lt;&gt;"SIM",AH107="UH"),"AA","INDENIZAÇÃO")</f>
        <v>AA</v>
      </c>
      <c r="BJ107" s="98" t="str">
        <f>IF(AND(BD107&lt;&gt;"AGUARDANDO",BD107&lt;&gt;"",N107="AUXÍLIO ALUGUEL ATÉ INDENIZAÇÃO"),"SIM","NÃO")</f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 x14ac:dyDescent="0.25">
      <c r="A108" s="207">
        <v>104</v>
      </c>
      <c r="B108" s="197" t="s">
        <v>4396</v>
      </c>
      <c r="C108" s="207" t="s">
        <v>4452</v>
      </c>
      <c r="D108" s="207">
        <v>1</v>
      </c>
      <c r="E108" s="207" t="s">
        <v>4398</v>
      </c>
      <c r="F108" s="214" t="s">
        <v>4869</v>
      </c>
      <c r="G108" s="207" t="s">
        <v>4400</v>
      </c>
      <c r="H108" s="207" t="s">
        <v>4401</v>
      </c>
      <c r="I108" s="217" t="s">
        <v>4402</v>
      </c>
      <c r="J108" s="242" t="s">
        <v>4870</v>
      </c>
      <c r="K108" s="215" t="s">
        <v>4398</v>
      </c>
      <c r="L108" s="246" t="s">
        <v>4871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4870</v>
      </c>
      <c r="AB108" s="215" t="s">
        <v>4398</v>
      </c>
      <c r="AC108" s="215" t="s">
        <v>4871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>IF(AQ108="SIM","AGUARDANDO CORREÇÃO",IF(AP108&lt;&gt;"","FINALIZADO",IF(AO108&lt;&gt;"","AGUARDANDO ENVIO DTS",IF(AN108&lt;&gt;"","AGUARDANDO ASSINATURA GAB",IF(AM108&lt;&gt;"","AGUARDANDO ASSINATURA CTS",IF(AL108&lt;&gt;"","AGUARDANDO ENVIO ASSINATURA CTS",IF(AK108&lt;&gt;"","AGUARDANDO CONFERÊNCIA","")))))))</f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>IFERROR(IF(BD108-KI108=0,"",BD108-AK108),"")</f>
        <v/>
      </c>
      <c r="BI108" s="98" t="str">
        <f>IF(AND(AH108&lt;&gt;"SIM",AH108="UH"),"AA","INDENIZAÇÃO")</f>
        <v>AA</v>
      </c>
      <c r="BJ108" s="98" t="str">
        <f>IF(AND(BD108&lt;&gt;"AGUARDANDO",BD108&lt;&gt;"",N108="AUXÍLIO ALUGUEL ATÉ INDENIZAÇÃO"),"SIM","NÃO")</f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customHeight="1" x14ac:dyDescent="0.25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4869</v>
      </c>
      <c r="G109" s="207" t="s">
        <v>4400</v>
      </c>
      <c r="H109" s="207" t="s">
        <v>4401</v>
      </c>
      <c r="I109" s="217" t="s">
        <v>4402</v>
      </c>
      <c r="J109" s="215" t="s">
        <v>4872</v>
      </c>
      <c r="K109" s="215" t="s">
        <v>4873</v>
      </c>
      <c r="L109" s="215" t="s">
        <v>4874</v>
      </c>
      <c r="M109" s="207" t="s">
        <v>4405</v>
      </c>
      <c r="N109" s="207" t="s">
        <v>4441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4872</v>
      </c>
      <c r="AB109" s="215" t="s">
        <v>4873</v>
      </c>
      <c r="AC109" s="215" t="s">
        <v>4874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4432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>IF(AQ109="SIM","AGUARDANDO CORREÇÃO",IF(AP109&lt;&gt;"","FINALIZADO",IF(AO109&lt;&gt;"","AGUARDANDO ENVIO DTS",IF(AN109&lt;&gt;"","AGUARDANDO ASSINATURA GAB",IF(AM109&lt;&gt;"","AGUARDANDO ASSINATURA CTS",IF(AL109&lt;&gt;"","AGUARDANDO ENVIO ASSINATURA CTS",IF(AK109&lt;&gt;"","AGUARDANDO CONFERÊNCIA","")))))))</f>
        <v>FINALIZADO</v>
      </c>
      <c r="AS109" s="207" t="s">
        <v>4423</v>
      </c>
      <c r="AT109" s="207"/>
      <c r="AU109" s="220" t="s">
        <v>4875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4434</v>
      </c>
      <c r="BF109" s="245" t="s">
        <v>4435</v>
      </c>
      <c r="BG109" s="229" t="s">
        <v>4425</v>
      </c>
      <c r="BH109" s="321">
        <f>IFERROR(IF(BD109-KI109=0,"",BD109-AK109),"")</f>
        <v>33</v>
      </c>
      <c r="BI109" s="98" t="str">
        <f>IF(AND(AH109&lt;&gt;"SIM",AH109="UH"),"AA","INDENIZAÇÃO")</f>
        <v>INDENIZAÇÃO</v>
      </c>
      <c r="BJ109" s="98" t="str">
        <f>IF(AND(BD109&lt;&gt;"AGUARDANDO",BD109&lt;&gt;"",N109="AUXÍLIO ALUGUEL ATÉ INDENIZAÇÃO"),"SIM","NÃO")</f>
        <v>NÃO</v>
      </c>
      <c r="BK109" s="219" t="s">
        <v>4436</v>
      </c>
      <c r="BL109" s="219" t="s">
        <v>4436</v>
      </c>
      <c r="BM109" s="219" t="s">
        <v>4436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4434</v>
      </c>
    </row>
    <row r="110" spans="1:73" s="240" customFormat="1" ht="27" hidden="1" customHeight="1" x14ac:dyDescent="0.25">
      <c r="A110" s="197">
        <v>106</v>
      </c>
      <c r="B110" s="197" t="s">
        <v>4396</v>
      </c>
      <c r="C110" s="207" t="s">
        <v>4452</v>
      </c>
      <c r="D110" s="207">
        <v>1</v>
      </c>
      <c r="E110" s="207" t="s">
        <v>4398</v>
      </c>
      <c r="F110" s="214" t="s">
        <v>4876</v>
      </c>
      <c r="G110" s="207" t="s">
        <v>4400</v>
      </c>
      <c r="H110" s="207" t="s">
        <v>4401</v>
      </c>
      <c r="I110" s="217" t="s">
        <v>4402</v>
      </c>
      <c r="J110" s="215" t="s">
        <v>4877</v>
      </c>
      <c r="K110" s="214" t="s">
        <v>4878</v>
      </c>
      <c r="L110" s="214" t="s">
        <v>4879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4877</v>
      </c>
      <c r="AB110" s="215" t="s">
        <v>4878</v>
      </c>
      <c r="AC110" s="215" t="s">
        <v>4879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>IF(AQ110="SIM","AGUARDANDO CORREÇÃO",IF(AP110&lt;&gt;"","FINALIZADO",IF(AO110&lt;&gt;"","AGUARDANDO ENVIO DTS",IF(AN110&lt;&gt;"","AGUARDANDO ASSINATURA GAB",IF(AM110&lt;&gt;"","AGUARDANDO ASSINATURA CTS",IF(AL110&lt;&gt;"","AGUARDANDO ENVIO ASSINATURA CTS",IF(AK110&lt;&gt;"","AGUARDANDO CONFERÊNCIA","")))))))</f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>IFERROR(IF(BD110-KI110=0,"",BD110-AK110),"")</f>
        <v/>
      </c>
      <c r="BI110" s="98" t="str">
        <f>IF(AND(AH110&lt;&gt;"SIM",AH110="UH"),"AA","INDENIZAÇÃO")</f>
        <v>AA</v>
      </c>
      <c r="BJ110" s="98" t="str">
        <f>IF(AND(BD110&lt;&gt;"AGUARDANDO",BD110&lt;&gt;"",N110="AUXÍLIO ALUGUEL ATÉ INDENIZAÇÃO"),"SIM","NÃO")</f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 x14ac:dyDescent="0.25">
      <c r="A111" s="207">
        <v>107</v>
      </c>
      <c r="B111" s="197" t="s">
        <v>4396</v>
      </c>
      <c r="C111" s="207" t="s">
        <v>4452</v>
      </c>
      <c r="D111" s="207">
        <v>1</v>
      </c>
      <c r="E111" s="207" t="s">
        <v>4398</v>
      </c>
      <c r="F111" s="214" t="s">
        <v>4880</v>
      </c>
      <c r="G111" s="207" t="s">
        <v>4400</v>
      </c>
      <c r="H111" s="207" t="s">
        <v>4401</v>
      </c>
      <c r="I111" s="217" t="s">
        <v>4402</v>
      </c>
      <c r="J111" s="215" t="s">
        <v>4881</v>
      </c>
      <c r="K111" s="215" t="s">
        <v>4882</v>
      </c>
      <c r="L111" s="215" t="s">
        <v>4883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4881</v>
      </c>
      <c r="AB111" s="215" t="s">
        <v>4882</v>
      </c>
      <c r="AC111" s="215" t="s">
        <v>4883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>IF(AQ111="SIM","AGUARDANDO CORREÇÃO",IF(AP111&lt;&gt;"","FINALIZADO",IF(AO111&lt;&gt;"","AGUARDANDO ENVIO DTS",IF(AN111&lt;&gt;"","AGUARDANDO ASSINATURA GAB",IF(AM111&lt;&gt;"","AGUARDANDO ASSINATURA CTS",IF(AL111&lt;&gt;"","AGUARDANDO ENVIO ASSINATURA CTS",IF(AK111&lt;&gt;"","AGUARDANDO CONFERÊNCIA","")))))))</f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>IFERROR(IF(BD111-KI111=0,"",BD111-AK111),"")</f>
        <v/>
      </c>
      <c r="BI111" s="98" t="str">
        <f>IF(AND(AH111&lt;&gt;"SIM",AH111="UH"),"AA","INDENIZAÇÃO")</f>
        <v>AA</v>
      </c>
      <c r="BJ111" s="98" t="str">
        <f>IF(AND(BD111&lt;&gt;"AGUARDANDO",BD111&lt;&gt;"",N111="AUXÍLIO ALUGUEL ATÉ INDENIZAÇÃO"),"SIM","NÃO")</f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customHeight="1" x14ac:dyDescent="0.25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4880</v>
      </c>
      <c r="G112" s="207" t="s">
        <v>4400</v>
      </c>
      <c r="H112" s="207" t="s">
        <v>4401</v>
      </c>
      <c r="I112" s="217" t="s">
        <v>4402</v>
      </c>
      <c r="J112" s="215" t="s">
        <v>4884</v>
      </c>
      <c r="K112" s="215" t="s">
        <v>4885</v>
      </c>
      <c r="L112" s="215" t="s">
        <v>4886</v>
      </c>
      <c r="M112" s="207" t="s">
        <v>4405</v>
      </c>
      <c r="N112" s="207" t="s">
        <v>4431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4884</v>
      </c>
      <c r="AB112" s="215" t="s">
        <v>4885</v>
      </c>
      <c r="AC112" s="215" t="s">
        <v>4886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>IF(AQ112="SIM","AGUARDANDO CORREÇÃO",IF(AP112&lt;&gt;"","FINALIZADO",IF(AO112&lt;&gt;"","AGUARDANDO ENVIO DTS",IF(AN112&lt;&gt;"","AGUARDANDO ASSINATURA GAB",IF(AM112&lt;&gt;"","AGUARDANDO ASSINATURA CTS",IF(AL112&lt;&gt;"","AGUARDANDO ENVIO ASSINATURA CTS",IF(AK112&lt;&gt;"","AGUARDANDO CONFERÊNCIA","")))))))</f>
        <v>FINALIZADO</v>
      </c>
      <c r="AS112" s="207" t="s">
        <v>4423</v>
      </c>
      <c r="AT112" s="217"/>
      <c r="AU112" s="220" t="s">
        <v>4887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4434</v>
      </c>
      <c r="BF112" s="236" t="s">
        <v>4435</v>
      </c>
      <c r="BG112" s="237" t="s">
        <v>4425</v>
      </c>
      <c r="BH112" s="321">
        <f>IFERROR(IF(BD112-KI112=0,"",BD112-AK112),"")</f>
        <v>203</v>
      </c>
      <c r="BI112" s="98" t="str">
        <f>IF(AND(AH112&lt;&gt;"SIM",AH112="UH"),"AA","INDENIZAÇÃO")</f>
        <v>INDENIZAÇÃO</v>
      </c>
      <c r="BJ112" s="98" t="str">
        <f>IF(AND(BD112&lt;&gt;"AGUARDANDO",BD112&lt;&gt;"",N112="AUXÍLIO ALUGUEL ATÉ INDENIZAÇÃO"),"SIM","NÃO")</f>
        <v>NÃO</v>
      </c>
      <c r="BK112" s="238" t="s">
        <v>4436</v>
      </c>
      <c r="BL112" s="238" t="s">
        <v>4436</v>
      </c>
      <c r="BM112" s="238" t="s">
        <v>4436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4434</v>
      </c>
      <c r="BS112" s="223"/>
    </row>
    <row r="113" spans="1:112" s="240" customFormat="1" ht="27" hidden="1" customHeight="1" x14ac:dyDescent="0.25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4888</v>
      </c>
      <c r="G113" s="207" t="s">
        <v>4400</v>
      </c>
      <c r="H113" s="207" t="s">
        <v>4535</v>
      </c>
      <c r="I113" s="217" t="s">
        <v>4535</v>
      </c>
      <c r="J113" s="215" t="s">
        <v>4889</v>
      </c>
      <c r="K113" s="215" t="s">
        <v>4890</v>
      </c>
      <c r="L113" s="215" t="s">
        <v>4891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4889</v>
      </c>
      <c r="AB113" s="215" t="s">
        <v>4890</v>
      </c>
      <c r="AC113" s="215" t="s">
        <v>4891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>IF(AQ113="SIM","AGUARDANDO CORREÇÃO",IF(AP113&lt;&gt;"","FINALIZADO",IF(AO113&lt;&gt;"","AGUARDANDO ENVIO DTS",IF(AN113&lt;&gt;"","AGUARDANDO ASSINATURA GAB",IF(AM113&lt;&gt;"","AGUARDANDO ASSINATURA CTS",IF(AL113&lt;&gt;"","AGUARDANDO ENVIO ASSINATURA CTS",IF(AK113&lt;&gt;"","AGUARDANDO CONFERÊNCIA","")))))))</f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>IFERROR(IF(BD113-KI113=0,"",BD113-AK113),"")</f>
        <v/>
      </c>
      <c r="BI113" s="98" t="str">
        <f>IF(AND(AH113&lt;&gt;"SIM",AH113="UH"),"AA","INDENIZAÇÃO")</f>
        <v>AA</v>
      </c>
      <c r="BJ113" s="98" t="str">
        <f>IF(AND(BD113&lt;&gt;"AGUARDANDO",BD113&lt;&gt;"",N113="AUXÍLIO ALUGUEL ATÉ INDENIZAÇÃO"),"SIM","NÃO")</f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 x14ac:dyDescent="0.25">
      <c r="A114" s="197">
        <v>110</v>
      </c>
      <c r="B114" s="197" t="s">
        <v>4396</v>
      </c>
      <c r="C114" s="207" t="s">
        <v>4452</v>
      </c>
      <c r="D114" s="207">
        <v>1</v>
      </c>
      <c r="E114" s="207" t="s">
        <v>4398</v>
      </c>
      <c r="F114" s="214" t="s">
        <v>4892</v>
      </c>
      <c r="G114" s="207" t="s">
        <v>4400</v>
      </c>
      <c r="H114" s="207" t="s">
        <v>4401</v>
      </c>
      <c r="I114" s="217" t="s">
        <v>4402</v>
      </c>
      <c r="J114" s="215" t="s">
        <v>4893</v>
      </c>
      <c r="K114" s="215" t="s">
        <v>4894</v>
      </c>
      <c r="L114" s="215" t="s">
        <v>4895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4893</v>
      </c>
      <c r="AB114" s="215" t="s">
        <v>4894</v>
      </c>
      <c r="AC114" s="215" t="s">
        <v>4895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>IF(AQ114="SIM","AGUARDANDO CORREÇÃO",IF(AP114&lt;&gt;"","FINALIZADO",IF(AO114&lt;&gt;"","AGUARDANDO ENVIO DTS",IF(AN114&lt;&gt;"","AGUARDANDO ASSINATURA GAB",IF(AM114&lt;&gt;"","AGUARDANDO ASSINATURA CTS",IF(AL114&lt;&gt;"","AGUARDANDO ENVIO ASSINATURA CTS",IF(AK114&lt;&gt;"","AGUARDANDO CONFERÊNCIA","")))))))</f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>IFERROR(IF(BD114-KI114=0,"",BD114-AK114),"")</f>
        <v/>
      </c>
      <c r="BI114" s="98" t="str">
        <f>IF(AND(AH114&lt;&gt;"SIM",AH114="UH"),"AA","INDENIZAÇÃO")</f>
        <v>AA</v>
      </c>
      <c r="BJ114" s="98" t="str">
        <f>IF(AND(BD114&lt;&gt;"AGUARDANDO",BD114&lt;&gt;"",N114="AUXÍLIO ALUGUEL ATÉ INDENIZAÇÃO"),"SIM","NÃO")</f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customHeight="1" x14ac:dyDescent="0.25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4892</v>
      </c>
      <c r="G115" s="207" t="s">
        <v>4400</v>
      </c>
      <c r="H115" s="207" t="s">
        <v>4401</v>
      </c>
      <c r="I115" s="217" t="s">
        <v>4402</v>
      </c>
      <c r="J115" s="215" t="s">
        <v>4896</v>
      </c>
      <c r="K115" s="215" t="s">
        <v>4398</v>
      </c>
      <c r="L115" s="215" t="s">
        <v>4897</v>
      </c>
      <c r="M115" s="207" t="s">
        <v>4405</v>
      </c>
      <c r="N115" s="207" t="s">
        <v>4441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4896</v>
      </c>
      <c r="AB115" s="215" t="s">
        <v>4398</v>
      </c>
      <c r="AC115" s="215" t="s">
        <v>4897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4432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>IF(AQ115="SIM","AGUARDANDO CORREÇÃO",IF(AP115&lt;&gt;"","FINALIZADO",IF(AO115&lt;&gt;"","AGUARDANDO ENVIO DTS",IF(AN115&lt;&gt;"","AGUARDANDO ASSINATURA GAB",IF(AM115&lt;&gt;"","AGUARDANDO ASSINATURA CTS",IF(AL115&lt;&gt;"","AGUARDANDO ENVIO ASSINATURA CTS",IF(AK115&lt;&gt;"","AGUARDANDO CONFERÊNCIA","")))))))</f>
        <v>FINALIZADO</v>
      </c>
      <c r="AS115" s="207" t="s">
        <v>4423</v>
      </c>
      <c r="AT115" s="219"/>
      <c r="AU115" s="220" t="s">
        <v>4898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4434</v>
      </c>
      <c r="BF115" s="228" t="s">
        <v>4435</v>
      </c>
      <c r="BG115" s="219" t="s">
        <v>4425</v>
      </c>
      <c r="BH115" s="321">
        <f>IFERROR(IF(BD115-KI115=0,"",BD115-AK115),"")</f>
        <v>61</v>
      </c>
      <c r="BI115" s="98" t="str">
        <f>IF(AND(AH115&lt;&gt;"SIM",AH115="UH"),"AA","INDENIZAÇÃO")</f>
        <v>INDENIZAÇÃO</v>
      </c>
      <c r="BJ115" s="98" t="str">
        <f>IF(AND(BD115&lt;&gt;"AGUARDANDO",BD115&lt;&gt;"",N115="AUXÍLIO ALUGUEL ATÉ INDENIZAÇÃO"),"SIM","NÃO")</f>
        <v>NÃO</v>
      </c>
      <c r="BK115" s="219" t="s">
        <v>4436</v>
      </c>
      <c r="BL115" s="219" t="s">
        <v>4436</v>
      </c>
      <c r="BM115" s="219" t="s">
        <v>4436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4434</v>
      </c>
    </row>
    <row r="116" spans="1:112" s="240" customFormat="1" ht="27" customHeight="1" x14ac:dyDescent="0.25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4892</v>
      </c>
      <c r="G116" s="207" t="s">
        <v>4400</v>
      </c>
      <c r="H116" s="207" t="s">
        <v>4401</v>
      </c>
      <c r="I116" s="207" t="s">
        <v>4402</v>
      </c>
      <c r="J116" s="215" t="s">
        <v>4899</v>
      </c>
      <c r="K116" s="215" t="s">
        <v>4900</v>
      </c>
      <c r="L116" s="215" t="s">
        <v>4901</v>
      </c>
      <c r="M116" s="207" t="s">
        <v>4405</v>
      </c>
      <c r="N116" s="207" t="s">
        <v>4441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4899</v>
      </c>
      <c r="AB116" s="215" t="s">
        <v>4900</v>
      </c>
      <c r="AC116" s="215" t="s">
        <v>4901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>IF(AQ116="SIM","AGUARDANDO CORREÇÃO",IF(AP116&lt;&gt;"","FINALIZADO",IF(AO116&lt;&gt;"","AGUARDANDO ENVIO DTS",IF(AN116&lt;&gt;"","AGUARDANDO ASSINATURA GAB",IF(AM116&lt;&gt;"","AGUARDANDO ASSINATURA CTS",IF(AL116&lt;&gt;"","AGUARDANDO ENVIO ASSINATURA CTS",IF(AK116&lt;&gt;"","AGUARDANDO CONFERÊNCIA","")))))))</f>
        <v>FINALIZADO</v>
      </c>
      <c r="AS116" s="207" t="s">
        <v>4423</v>
      </c>
      <c r="AT116" s="219"/>
      <c r="AU116" s="220" t="s">
        <v>4902</v>
      </c>
      <c r="AV116" s="207" t="s">
        <v>4817</v>
      </c>
      <c r="AW116" s="207" t="s">
        <v>4817</v>
      </c>
      <c r="AX116" s="207" t="s">
        <v>4817</v>
      </c>
      <c r="AY116" s="207" t="s">
        <v>4817</v>
      </c>
      <c r="AZ116" s="202">
        <v>46233</v>
      </c>
      <c r="BA116" s="207" t="s">
        <v>4817</v>
      </c>
      <c r="BB116" s="207" t="s">
        <v>4817</v>
      </c>
      <c r="BC116" s="202">
        <v>46234</v>
      </c>
      <c r="BD116" s="226">
        <v>46234</v>
      </c>
      <c r="BE116" s="257" t="s">
        <v>4434</v>
      </c>
      <c r="BF116" s="257" t="s">
        <v>4435</v>
      </c>
      <c r="BG116" s="219" t="s">
        <v>4425</v>
      </c>
      <c r="BH116" s="321">
        <f>IFERROR(IF(BD116-KI116=0,"",BD116-AK116),"")</f>
        <v>46</v>
      </c>
      <c r="BI116" s="98" t="str">
        <f>IF(AND(AH116&lt;&gt;"SIM",AH116="UH"),"AA","INDENIZAÇÃO")</f>
        <v>INDENIZAÇÃO</v>
      </c>
      <c r="BJ116" s="98" t="str">
        <f>IF(AND(BD116&lt;&gt;"AGUARDANDO",BD116&lt;&gt;"",N116="AUXÍLIO ALUGUEL ATÉ INDENIZAÇÃO"),"SIM","NÃO")</f>
        <v>NÃO</v>
      </c>
      <c r="BK116" s="219" t="s">
        <v>4436</v>
      </c>
      <c r="BL116" s="219" t="s">
        <v>4436</v>
      </c>
      <c r="BM116" s="219" t="s">
        <v>4436</v>
      </c>
      <c r="BN116" s="250" t="s">
        <v>4425</v>
      </c>
      <c r="BO116" s="250" t="s">
        <v>4425</v>
      </c>
      <c r="BP116" s="202">
        <v>46269</v>
      </c>
      <c r="BQ116" s="257" t="s">
        <v>4818</v>
      </c>
      <c r="BR116" s="258"/>
      <c r="BS116" s="223"/>
      <c r="BT116" s="223"/>
    </row>
    <row r="117" spans="1:112" s="240" customFormat="1" ht="27" customHeight="1" x14ac:dyDescent="0.25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4903</v>
      </c>
      <c r="G117" s="207" t="s">
        <v>4400</v>
      </c>
      <c r="H117" s="207" t="s">
        <v>4401</v>
      </c>
      <c r="I117" s="217" t="s">
        <v>4402</v>
      </c>
      <c r="J117" s="215" t="s">
        <v>4904</v>
      </c>
      <c r="K117" s="215" t="s">
        <v>4905</v>
      </c>
      <c r="L117" s="215" t="s">
        <v>4906</v>
      </c>
      <c r="M117" s="207" t="s">
        <v>4405</v>
      </c>
      <c r="N117" s="207" t="s">
        <v>4441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4904</v>
      </c>
      <c r="AB117" s="215" t="s">
        <v>4905</v>
      </c>
      <c r="AC117" s="215" t="s">
        <v>4906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4432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>IF(AQ117="SIM","AGUARDANDO CORREÇÃO",IF(AP117&lt;&gt;"","FINALIZADO",IF(AO117&lt;&gt;"","AGUARDANDO ENVIO DTS",IF(AN117&lt;&gt;"","AGUARDANDO ASSINATURA GAB",IF(AM117&lt;&gt;"","AGUARDANDO ASSINATURA CTS",IF(AL117&lt;&gt;"","AGUARDANDO ENVIO ASSINATURA CTS",IF(AK117&lt;&gt;"","AGUARDANDO CONFERÊNCIA","")))))))</f>
        <v>FINALIZADO</v>
      </c>
      <c r="AS117" s="207" t="s">
        <v>4423</v>
      </c>
      <c r="AT117" s="262"/>
      <c r="AU117" s="220" t="s">
        <v>4907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4434</v>
      </c>
      <c r="BF117" s="228" t="s">
        <v>4435</v>
      </c>
      <c r="BG117" s="229" t="s">
        <v>4425</v>
      </c>
      <c r="BH117" s="321">
        <f>IFERROR(IF(BD117-KI117=0,"",BD117-AK117),"")</f>
        <v>78</v>
      </c>
      <c r="BI117" s="98" t="str">
        <f>IF(AND(AH117&lt;&gt;"SIM",AH117="UH"),"AA","INDENIZAÇÃO")</f>
        <v>INDENIZAÇÃO</v>
      </c>
      <c r="BJ117" s="98" t="str">
        <f>IF(AND(BD117&lt;&gt;"AGUARDANDO",BD117&lt;&gt;"",N117="AUXÍLIO ALUGUEL ATÉ INDENIZAÇÃO"),"SIM","NÃO")</f>
        <v>NÃO</v>
      </c>
      <c r="BK117" s="230" t="s">
        <v>4436</v>
      </c>
      <c r="BL117" s="230" t="s">
        <v>4436</v>
      </c>
      <c r="BM117" s="230" t="s">
        <v>4436</v>
      </c>
      <c r="BN117" s="250" t="s">
        <v>4425</v>
      </c>
      <c r="BO117" s="250" t="s">
        <v>4425</v>
      </c>
      <c r="BP117" s="202">
        <v>46269</v>
      </c>
      <c r="BQ117" s="257" t="s">
        <v>4818</v>
      </c>
      <c r="BR117" s="231"/>
    </row>
    <row r="118" spans="1:112" s="240" customFormat="1" ht="27" customHeight="1" x14ac:dyDescent="0.25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4908</v>
      </c>
      <c r="G118" s="207" t="s">
        <v>4400</v>
      </c>
      <c r="H118" s="207" t="s">
        <v>4401</v>
      </c>
      <c r="I118" s="217" t="s">
        <v>4402</v>
      </c>
      <c r="J118" s="215" t="s">
        <v>4909</v>
      </c>
      <c r="K118" s="215" t="s">
        <v>4905</v>
      </c>
      <c r="L118" s="215" t="s">
        <v>4910</v>
      </c>
      <c r="M118" s="207" t="s">
        <v>4405</v>
      </c>
      <c r="N118" s="207" t="s">
        <v>4441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4909</v>
      </c>
      <c r="AB118" s="215" t="s">
        <v>4905</v>
      </c>
      <c r="AC118" s="215" t="s">
        <v>4910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>IF(AQ118="SIM","AGUARDANDO CORREÇÃO",IF(AP118&lt;&gt;"","FINALIZADO",IF(AO118&lt;&gt;"","AGUARDANDO ENVIO DTS",IF(AN118&lt;&gt;"","AGUARDANDO ASSINATURA GAB",IF(AM118&lt;&gt;"","AGUARDANDO ASSINATURA CTS",IF(AL118&lt;&gt;"","AGUARDANDO ENVIO ASSINATURA CTS",IF(AK118&lt;&gt;"","AGUARDANDO CONFERÊNCIA","")))))))</f>
        <v>FINALIZADO</v>
      </c>
      <c r="AS118" s="207" t="s">
        <v>4423</v>
      </c>
      <c r="AT118" s="262"/>
      <c r="AU118" s="220" t="s">
        <v>4911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4434</v>
      </c>
      <c r="BF118" s="228" t="s">
        <v>4435</v>
      </c>
      <c r="BG118" s="229" t="s">
        <v>4425</v>
      </c>
      <c r="BH118" s="321">
        <f>IFERROR(IF(BD118-KI118=0,"",BD118-AK118),"")</f>
        <v>81</v>
      </c>
      <c r="BI118" s="98" t="str">
        <f>IF(AND(AH118&lt;&gt;"SIM",AH118="UH"),"AA","INDENIZAÇÃO")</f>
        <v>INDENIZAÇÃO</v>
      </c>
      <c r="BJ118" s="98" t="str">
        <f>IF(AND(BD118&lt;&gt;"AGUARDANDO",BD118&lt;&gt;"",N118="AUXÍLIO ALUGUEL ATÉ INDENIZAÇÃO"),"SIM","NÃO")</f>
        <v>NÃO</v>
      </c>
      <c r="BK118" s="230" t="s">
        <v>4436</v>
      </c>
      <c r="BL118" s="230" t="s">
        <v>4436</v>
      </c>
      <c r="BM118" s="230" t="s">
        <v>4436</v>
      </c>
      <c r="BN118" s="250" t="s">
        <v>4425</v>
      </c>
      <c r="BO118" s="250" t="s">
        <v>4425</v>
      </c>
      <c r="BP118" s="202">
        <v>46269</v>
      </c>
      <c r="BQ118" s="257" t="s">
        <v>4818</v>
      </c>
      <c r="BR118" s="231"/>
    </row>
    <row r="119" spans="1:112" s="240" customFormat="1" ht="27" customHeight="1" x14ac:dyDescent="0.25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4912</v>
      </c>
      <c r="G119" s="207" t="s">
        <v>4400</v>
      </c>
      <c r="H119" s="207" t="s">
        <v>4401</v>
      </c>
      <c r="I119" s="217" t="s">
        <v>4402</v>
      </c>
      <c r="J119" s="215" t="s">
        <v>4913</v>
      </c>
      <c r="K119" s="215" t="s">
        <v>4914</v>
      </c>
      <c r="L119" s="215" t="s">
        <v>4915</v>
      </c>
      <c r="M119" s="207" t="s">
        <v>4405</v>
      </c>
      <c r="N119" s="207" t="s">
        <v>4441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4913</v>
      </c>
      <c r="AB119" s="215" t="s">
        <v>4914</v>
      </c>
      <c r="AC119" s="215" t="s">
        <v>4915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>IF(AQ119="SIM","AGUARDANDO CORREÇÃO",IF(AP119&lt;&gt;"","FINALIZADO",IF(AO119&lt;&gt;"","AGUARDANDO ENVIO DTS",IF(AN119&lt;&gt;"","AGUARDANDO ASSINATURA GAB",IF(AM119&lt;&gt;"","AGUARDANDO ASSINATURA CTS",IF(AL119&lt;&gt;"","AGUARDANDO ENVIO ASSINATURA CTS",IF(AK119&lt;&gt;"","AGUARDANDO CONFERÊNCIA","")))))))</f>
        <v>FINALIZADO</v>
      </c>
      <c r="AS119" s="207" t="s">
        <v>4423</v>
      </c>
      <c r="AT119" s="219"/>
      <c r="AU119" s="220" t="s">
        <v>4916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4434</v>
      </c>
      <c r="BF119" s="257" t="s">
        <v>4435</v>
      </c>
      <c r="BG119" s="219" t="s">
        <v>4425</v>
      </c>
      <c r="BH119" s="321">
        <f>IFERROR(IF(BD119-KI119=0,"",BD119-AK119),"")</f>
        <v>43</v>
      </c>
      <c r="BI119" s="98" t="str">
        <f>IF(AND(AH119&lt;&gt;"SIM",AH119="UH"),"AA","INDENIZAÇÃO")</f>
        <v>INDENIZAÇÃO</v>
      </c>
      <c r="BJ119" s="98" t="str">
        <f>IF(AND(BD119&lt;&gt;"AGUARDANDO",BD119&lt;&gt;"",N119="AUXÍLIO ALUGUEL ATÉ INDENIZAÇÃO"),"SIM","NÃO")</f>
        <v>NÃO</v>
      </c>
      <c r="BK119" s="219" t="s">
        <v>4436</v>
      </c>
      <c r="BL119" s="219" t="s">
        <v>4436</v>
      </c>
      <c r="BM119" s="219" t="s">
        <v>4436</v>
      </c>
      <c r="BN119" s="250" t="s">
        <v>4425</v>
      </c>
      <c r="BO119" s="250" t="s">
        <v>4425</v>
      </c>
      <c r="BP119" s="202">
        <v>46269</v>
      </c>
      <c r="BQ119" s="257" t="s">
        <v>4818</v>
      </c>
      <c r="BR119" s="258"/>
      <c r="BS119" s="223"/>
      <c r="BT119" s="223"/>
    </row>
    <row r="120" spans="1:112" s="240" customFormat="1" ht="27" hidden="1" customHeight="1" x14ac:dyDescent="0.25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4917</v>
      </c>
      <c r="G120" s="207" t="s">
        <v>4400</v>
      </c>
      <c r="H120" s="207" t="s">
        <v>4401</v>
      </c>
      <c r="I120" s="207" t="s">
        <v>4402</v>
      </c>
      <c r="J120" s="215" t="s">
        <v>4918</v>
      </c>
      <c r="K120" s="215" t="s">
        <v>4919</v>
      </c>
      <c r="L120" s="215" t="s">
        <v>4920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4918</v>
      </c>
      <c r="AB120" s="215" t="s">
        <v>4919</v>
      </c>
      <c r="AC120" s="215" t="s">
        <v>4920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>IF(AQ120="SIM","AGUARDANDO CORREÇÃO",IF(AP120&lt;&gt;"","FINALIZADO",IF(AO120&lt;&gt;"","AGUARDANDO ENVIO DTS",IF(AN120&lt;&gt;"","AGUARDANDO ASSINATURA GAB",IF(AM120&lt;&gt;"","AGUARDANDO ASSINATURA CTS",IF(AL120&lt;&gt;"","AGUARDANDO ENVIO ASSINATURA CTS",IF(AK120&lt;&gt;"","AGUARDANDO CONFERÊNCIA","")))))))</f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>IFERROR(IF(BD120-KI120=0,"",BD120-AK120),"")</f>
        <v/>
      </c>
      <c r="BI120" s="98" t="str">
        <f>IF(AND(AH120&lt;&gt;"SIM",AH120="UH"),"AA","INDENIZAÇÃO")</f>
        <v>AA</v>
      </c>
      <c r="BJ120" s="98" t="str">
        <f>IF(AND(BD120&lt;&gt;"AGUARDANDO",BD120&lt;&gt;"",N120="AUXÍLIO ALUGUEL ATÉ INDENIZAÇÃO"),"SIM","NÃO")</f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customHeight="1" x14ac:dyDescent="0.25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4917</v>
      </c>
      <c r="G121" s="207" t="s">
        <v>4400</v>
      </c>
      <c r="H121" s="207" t="s">
        <v>4401</v>
      </c>
      <c r="I121" s="217" t="s">
        <v>4921</v>
      </c>
      <c r="J121" s="215" t="s">
        <v>4922</v>
      </c>
      <c r="K121" s="215" t="s">
        <v>4923</v>
      </c>
      <c r="L121" s="215" t="s">
        <v>4924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4925</v>
      </c>
      <c r="AB121" s="215" t="s">
        <v>4926</v>
      </c>
      <c r="AC121" s="215" t="s">
        <v>4927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>IF(AQ121="SIM","AGUARDANDO CORREÇÃO",IF(AP121&lt;&gt;"","FINALIZADO",IF(AO121&lt;&gt;"","AGUARDANDO ENVIO DTS",IF(AN121&lt;&gt;"","AGUARDANDO ASSINATURA GAB",IF(AM121&lt;&gt;"","AGUARDANDO ASSINATURA CTS",IF(AL121&lt;&gt;"","AGUARDANDO ENVIO ASSINATURA CTS",IF(AK121&lt;&gt;"","AGUARDANDO CONFERÊNCIA","")))))))</f>
        <v>FINALIZADO</v>
      </c>
      <c r="AS121" s="207" t="s">
        <v>4423</v>
      </c>
      <c r="AT121" s="219"/>
      <c r="AU121" s="220" t="s">
        <v>4928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4434</v>
      </c>
      <c r="BF121" s="257" t="s">
        <v>4435</v>
      </c>
      <c r="BG121" s="219" t="s">
        <v>4425</v>
      </c>
      <c r="BH121" s="321">
        <f>IFERROR(IF(BD121-KI121=0,"",BD121-AK121),"")</f>
        <v>43</v>
      </c>
      <c r="BI121" s="98" t="str">
        <f>IF(AND(AH121&lt;&gt;"SIM",AH121="UH"),"AA","INDENIZAÇÃO")</f>
        <v>INDENIZAÇÃO</v>
      </c>
      <c r="BJ121" s="98" t="str">
        <f>IF(AND(BD121&lt;&gt;"AGUARDANDO",BD121&lt;&gt;"",N121="AUXÍLIO ALUGUEL ATÉ INDENIZAÇÃO"),"SIM","NÃO")</f>
        <v>NÃO</v>
      </c>
      <c r="BK121" s="219" t="s">
        <v>4436</v>
      </c>
      <c r="BL121" s="219" t="s">
        <v>4436</v>
      </c>
      <c r="BM121" s="219" t="s">
        <v>4436</v>
      </c>
      <c r="BN121" s="250" t="s">
        <v>4425</v>
      </c>
      <c r="BO121" s="250" t="s">
        <v>4425</v>
      </c>
      <c r="BP121" s="202">
        <v>46269</v>
      </c>
      <c r="BQ121" s="257" t="s">
        <v>4818</v>
      </c>
      <c r="BR121" s="258"/>
      <c r="BS121" s="223"/>
    </row>
    <row r="122" spans="1:112" s="240" customFormat="1" ht="27" customHeight="1" x14ac:dyDescent="0.25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4929</v>
      </c>
      <c r="G122" s="207" t="s">
        <v>4400</v>
      </c>
      <c r="H122" s="207" t="s">
        <v>4401</v>
      </c>
      <c r="I122" s="217" t="s">
        <v>4402</v>
      </c>
      <c r="J122" s="215" t="s">
        <v>4930</v>
      </c>
      <c r="K122" s="215" t="s">
        <v>4931</v>
      </c>
      <c r="L122" s="215" t="s">
        <v>4932</v>
      </c>
      <c r="M122" s="207" t="s">
        <v>4405</v>
      </c>
      <c r="N122" s="207" t="s">
        <v>4441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4930</v>
      </c>
      <c r="AB122" s="215" t="s">
        <v>4931</v>
      </c>
      <c r="AC122" s="215" t="s">
        <v>4932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>IF(AQ122="SIM","AGUARDANDO CORREÇÃO",IF(AP122&lt;&gt;"","FINALIZADO",IF(AO122&lt;&gt;"","AGUARDANDO ENVIO DTS",IF(AN122&lt;&gt;"","AGUARDANDO ASSINATURA GAB",IF(AM122&lt;&gt;"","AGUARDANDO ASSINATURA CTS",IF(AL122&lt;&gt;"","AGUARDANDO ENVIO ASSINATURA CTS",IF(AK122&lt;&gt;"","AGUARDANDO CONFERÊNCIA","")))))))</f>
        <v>FINALIZADO</v>
      </c>
      <c r="AS122" s="207" t="s">
        <v>4423</v>
      </c>
      <c r="AT122" s="219"/>
      <c r="AU122" s="220" t="s">
        <v>4933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4434</v>
      </c>
      <c r="BF122" s="228" t="s">
        <v>4435</v>
      </c>
      <c r="BG122" s="229" t="s">
        <v>4425</v>
      </c>
      <c r="BH122" s="321">
        <f>IFERROR(IF(BD122-KI122=0,"",BD122-AK122),"")</f>
        <v>53</v>
      </c>
      <c r="BI122" s="98" t="str">
        <f>IF(AND(AH122&lt;&gt;"SIM",AH122="UH"),"AA","INDENIZAÇÃO")</f>
        <v>INDENIZAÇÃO</v>
      </c>
      <c r="BJ122" s="98" t="str">
        <f>IF(AND(BD122&lt;&gt;"AGUARDANDO",BD122&lt;&gt;"",N122="AUXÍLIO ALUGUEL ATÉ INDENIZAÇÃO"),"SIM","NÃO")</f>
        <v>NÃO</v>
      </c>
      <c r="BK122" s="219" t="s">
        <v>4436</v>
      </c>
      <c r="BL122" s="219" t="s">
        <v>4436</v>
      </c>
      <c r="BM122" s="219" t="s">
        <v>4436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4434</v>
      </c>
    </row>
    <row r="123" spans="1:112" s="240" customFormat="1" ht="27" customHeight="1" x14ac:dyDescent="0.25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4929</v>
      </c>
      <c r="G123" s="207" t="s">
        <v>4400</v>
      </c>
      <c r="H123" s="207" t="s">
        <v>4401</v>
      </c>
      <c r="I123" s="217" t="s">
        <v>4402</v>
      </c>
      <c r="J123" s="215" t="s">
        <v>4934</v>
      </c>
      <c r="K123" s="215"/>
      <c r="L123" s="215" t="s">
        <v>4935</v>
      </c>
      <c r="M123" s="207" t="s">
        <v>4405</v>
      </c>
      <c r="N123" s="207" t="s">
        <v>4441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4934</v>
      </c>
      <c r="AB123" s="215" t="s">
        <v>4905</v>
      </c>
      <c r="AC123" s="215" t="s">
        <v>4935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>IF(AQ123="SIM","AGUARDANDO CORREÇÃO",IF(AP123&lt;&gt;"","FINALIZADO",IF(AO123&lt;&gt;"","AGUARDANDO ENVIO DTS",IF(AN123&lt;&gt;"","AGUARDANDO ASSINATURA GAB",IF(AM123&lt;&gt;"","AGUARDANDO ASSINATURA CTS",IF(AL123&lt;&gt;"","AGUARDANDO ENVIO ASSINATURA CTS",IF(AK123&lt;&gt;"","AGUARDANDO CONFERÊNCIA","")))))))</f>
        <v>FINALIZADO</v>
      </c>
      <c r="AS123" s="207" t="s">
        <v>4423</v>
      </c>
      <c r="AT123" s="219"/>
      <c r="AU123" s="220" t="s">
        <v>4936</v>
      </c>
      <c r="AV123" s="207" t="s">
        <v>4817</v>
      </c>
      <c r="AW123" s="207" t="s">
        <v>4817</v>
      </c>
      <c r="AX123" s="207" t="s">
        <v>4817</v>
      </c>
      <c r="AY123" s="207" t="s">
        <v>4817</v>
      </c>
      <c r="AZ123" s="202">
        <v>46233</v>
      </c>
      <c r="BA123" s="207" t="s">
        <v>4817</v>
      </c>
      <c r="BB123" s="207" t="s">
        <v>4817</v>
      </c>
      <c r="BC123" s="202">
        <v>46234</v>
      </c>
      <c r="BD123" s="226">
        <v>46234</v>
      </c>
      <c r="BE123" s="257" t="s">
        <v>4434</v>
      </c>
      <c r="BF123" s="257" t="s">
        <v>4435</v>
      </c>
      <c r="BG123" s="219" t="s">
        <v>4425</v>
      </c>
      <c r="BH123" s="321">
        <f>IFERROR(IF(BD123-KI123=0,"",BD123-AK123),"")</f>
        <v>46</v>
      </c>
      <c r="BI123" s="98" t="str">
        <f>IF(AND(AH123&lt;&gt;"SIM",AH123="UH"),"AA","INDENIZAÇÃO")</f>
        <v>INDENIZAÇÃO</v>
      </c>
      <c r="BJ123" s="98" t="str">
        <f>IF(AND(BD123&lt;&gt;"AGUARDANDO",BD123&lt;&gt;"",N123="AUXÍLIO ALUGUEL ATÉ INDENIZAÇÃO"),"SIM","NÃO")</f>
        <v>NÃO</v>
      </c>
      <c r="BK123" s="219" t="s">
        <v>4436</v>
      </c>
      <c r="BL123" s="219" t="s">
        <v>4436</v>
      </c>
      <c r="BM123" s="219" t="s">
        <v>4436</v>
      </c>
      <c r="BN123" s="250" t="s">
        <v>4425</v>
      </c>
      <c r="BO123" s="250" t="s">
        <v>4425</v>
      </c>
      <c r="BP123" s="202">
        <v>46269</v>
      </c>
      <c r="BQ123" s="257" t="s">
        <v>4818</v>
      </c>
      <c r="BR123" s="258"/>
      <c r="BS123" s="223"/>
    </row>
    <row r="124" spans="1:112" s="240" customFormat="1" ht="27" customHeight="1" x14ac:dyDescent="0.25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4937</v>
      </c>
      <c r="G124" s="207" t="s">
        <v>4400</v>
      </c>
      <c r="H124" s="207" t="s">
        <v>4401</v>
      </c>
      <c r="I124" s="207" t="s">
        <v>4402</v>
      </c>
      <c r="J124" s="215" t="s">
        <v>4938</v>
      </c>
      <c r="K124" s="215" t="s">
        <v>4939</v>
      </c>
      <c r="L124" s="215" t="s">
        <v>4940</v>
      </c>
      <c r="M124" s="207" t="s">
        <v>4405</v>
      </c>
      <c r="N124" s="207" t="s">
        <v>4441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4938</v>
      </c>
      <c r="AB124" s="215" t="s">
        <v>4939</v>
      </c>
      <c r="AC124" s="215" t="s">
        <v>4940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4432</v>
      </c>
      <c r="AI124" s="214" t="s">
        <v>4941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>IF(AQ124="SIM","AGUARDANDO CORREÇÃO",IF(AP124&lt;&gt;"","FINALIZADO",IF(AO124&lt;&gt;"","AGUARDANDO ENVIO DTS",IF(AN124&lt;&gt;"","AGUARDANDO ASSINATURA GAB",IF(AM124&lt;&gt;"","AGUARDANDO ASSINATURA CTS",IF(AL124&lt;&gt;"","AGUARDANDO ENVIO ASSINATURA CTS",IF(AK124&lt;&gt;"","AGUARDANDO CONFERÊNCIA","")))))))</f>
        <v>FINALIZADO</v>
      </c>
      <c r="AS124" s="207" t="s">
        <v>4423</v>
      </c>
      <c r="AT124" s="207"/>
      <c r="AU124" s="220" t="s">
        <v>4941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4434</v>
      </c>
      <c r="BF124" s="228" t="s">
        <v>4435</v>
      </c>
      <c r="BG124" s="229" t="s">
        <v>4425</v>
      </c>
      <c r="BH124" s="321">
        <f>IFERROR(IF(BD124-KI124=0,"",BD124-AK124),"")</f>
        <v>33</v>
      </c>
      <c r="BI124" s="98" t="str">
        <f>IF(AND(AH124&lt;&gt;"SIM",AH124="UH"),"AA","INDENIZAÇÃO")</f>
        <v>INDENIZAÇÃO</v>
      </c>
      <c r="BJ124" s="98" t="str">
        <f>IF(AND(BD124&lt;&gt;"AGUARDANDO",BD124&lt;&gt;"",N124="AUXÍLIO ALUGUEL ATÉ INDENIZAÇÃO"),"SIM","NÃO")</f>
        <v>NÃO</v>
      </c>
      <c r="BK124" s="219" t="s">
        <v>4436</v>
      </c>
      <c r="BL124" s="219" t="s">
        <v>4436</v>
      </c>
      <c r="BM124" s="219" t="s">
        <v>4436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4434</v>
      </c>
      <c r="BS124" s="223"/>
      <c r="BT124" s="223"/>
    </row>
    <row r="125" spans="1:112" s="240" customFormat="1" ht="27" customHeight="1" x14ac:dyDescent="0.25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4937</v>
      </c>
      <c r="G125" s="207" t="s">
        <v>4400</v>
      </c>
      <c r="H125" s="207" t="s">
        <v>4582</v>
      </c>
      <c r="I125" s="217" t="s">
        <v>4402</v>
      </c>
      <c r="J125" s="215" t="s">
        <v>4942</v>
      </c>
      <c r="K125" s="215" t="s">
        <v>4943</v>
      </c>
      <c r="L125" s="215" t="s">
        <v>4944</v>
      </c>
      <c r="M125" s="207" t="s">
        <v>4405</v>
      </c>
      <c r="N125" s="207" t="s">
        <v>4441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4942</v>
      </c>
      <c r="AB125" s="215" t="s">
        <v>4943</v>
      </c>
      <c r="AC125" s="215" t="s">
        <v>4944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4432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>IF(AQ125="SIM","AGUARDANDO CORREÇÃO",IF(AP125&lt;&gt;"","FINALIZADO",IF(AO125&lt;&gt;"","AGUARDANDO ENVIO DTS",IF(AN125&lt;&gt;"","AGUARDANDO ASSINATURA GAB",IF(AM125&lt;&gt;"","AGUARDANDO ASSINATURA CTS",IF(AL125&lt;&gt;"","AGUARDANDO ENVIO ASSINATURA CTS",IF(AK125&lt;&gt;"","AGUARDANDO CONFERÊNCIA","")))))))</f>
        <v>FINALIZADO</v>
      </c>
      <c r="AS125" s="207" t="s">
        <v>4423</v>
      </c>
      <c r="AT125" s="207"/>
      <c r="AU125" s="220" t="s">
        <v>4945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4434</v>
      </c>
      <c r="BF125" s="228" t="s">
        <v>4435</v>
      </c>
      <c r="BG125" s="219" t="s">
        <v>4425</v>
      </c>
      <c r="BH125" s="321">
        <f>IFERROR(IF(BD125-KI125=0,"",BD125-AK125),"")</f>
        <v>46</v>
      </c>
      <c r="BI125" s="98" t="str">
        <f>IF(AND(AH125&lt;&gt;"SIM",AH125="UH"),"AA","INDENIZAÇÃO")</f>
        <v>INDENIZAÇÃO</v>
      </c>
      <c r="BJ125" s="98" t="str">
        <f>IF(AND(BD125&lt;&gt;"AGUARDANDO",BD125&lt;&gt;"",N125="AUXÍLIO ALUGUEL ATÉ INDENIZAÇÃO"),"SIM","NÃO")</f>
        <v>NÃO</v>
      </c>
      <c r="BK125" s="219" t="s">
        <v>4436</v>
      </c>
      <c r="BL125" s="219" t="s">
        <v>4436</v>
      </c>
      <c r="BM125" s="219" t="s">
        <v>4436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4434</v>
      </c>
      <c r="BS125" s="223"/>
      <c r="BT125" s="223"/>
    </row>
    <row r="126" spans="1:112" s="240" customFormat="1" ht="27" customHeight="1" x14ac:dyDescent="0.25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4946</v>
      </c>
      <c r="G126" s="219" t="s">
        <v>4400</v>
      </c>
      <c r="H126" s="219" t="s">
        <v>4401</v>
      </c>
      <c r="I126" s="219" t="s">
        <v>4402</v>
      </c>
      <c r="J126" s="255" t="s">
        <v>4947</v>
      </c>
      <c r="K126" s="255" t="s">
        <v>4948</v>
      </c>
      <c r="L126" s="220" t="s">
        <v>4949</v>
      </c>
      <c r="M126" s="219" t="s">
        <v>4405</v>
      </c>
      <c r="N126" s="219" t="s">
        <v>4431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4947</v>
      </c>
      <c r="AB126" s="255" t="s">
        <v>4948</v>
      </c>
      <c r="AC126" s="220" t="s">
        <v>4949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4432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>IF(AQ126="SIM","AGUARDANDO CORREÇÃO",IF(AP126&lt;&gt;"","FINALIZADO",IF(AO126&lt;&gt;"","AGUARDANDO ENVIO DTS",IF(AN126&lt;&gt;"","AGUARDANDO ASSINATURA GAB",IF(AM126&lt;&gt;"","AGUARDANDO ASSINATURA CTS",IF(AL126&lt;&gt;"","AGUARDANDO ENVIO ASSINATURA CTS",IF(AK126&lt;&gt;"","AGUARDANDO CONFERÊNCIA","")))))))</f>
        <v>FINALIZADO</v>
      </c>
      <c r="AS126" s="207" t="s">
        <v>4423</v>
      </c>
      <c r="AT126" s="262"/>
      <c r="AU126" s="220" t="s">
        <v>4950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4434</v>
      </c>
      <c r="BF126" s="257" t="s">
        <v>4435</v>
      </c>
      <c r="BG126" s="219" t="s">
        <v>4425</v>
      </c>
      <c r="BH126" s="321">
        <f>IFERROR(IF(BD126-KI126=0,"",BD126-AK126),"")</f>
        <v>103</v>
      </c>
      <c r="BI126" s="98" t="str">
        <f>IF(AND(AH126&lt;&gt;"SIM",AH126="UH"),"AA","INDENIZAÇÃO")</f>
        <v>INDENIZAÇÃO</v>
      </c>
      <c r="BJ126" s="98" t="str">
        <f>IF(AND(BD126&lt;&gt;"AGUARDANDO",BD126&lt;&gt;"",N126="AUXÍLIO ALUGUEL ATÉ INDENIZAÇÃO"),"SIM","NÃO")</f>
        <v>NÃO</v>
      </c>
      <c r="BK126" s="219" t="s">
        <v>4436</v>
      </c>
      <c r="BL126" s="219" t="s">
        <v>4436</v>
      </c>
      <c r="BM126" s="219" t="s">
        <v>4436</v>
      </c>
      <c r="BN126" s="250" t="s">
        <v>4425</v>
      </c>
      <c r="BO126" s="250" t="s">
        <v>4425</v>
      </c>
      <c r="BP126" s="202">
        <v>46269</v>
      </c>
      <c r="BQ126" s="257" t="s">
        <v>4818</v>
      </c>
      <c r="BR126" s="258"/>
      <c r="BS126" s="223"/>
    </row>
    <row r="127" spans="1:112" s="240" customFormat="1" ht="27" customHeight="1" x14ac:dyDescent="0.25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4951</v>
      </c>
      <c r="G127" s="219" t="s">
        <v>4400</v>
      </c>
      <c r="H127" s="219" t="s">
        <v>4401</v>
      </c>
      <c r="I127" s="219" t="s">
        <v>4402</v>
      </c>
      <c r="J127" s="255" t="s">
        <v>4952</v>
      </c>
      <c r="K127" s="255" t="s">
        <v>4953</v>
      </c>
      <c r="L127" s="220" t="s">
        <v>4954</v>
      </c>
      <c r="M127" s="219" t="s">
        <v>4405</v>
      </c>
      <c r="N127" s="219" t="s">
        <v>4431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4952</v>
      </c>
      <c r="AB127" s="255" t="s">
        <v>4953</v>
      </c>
      <c r="AC127" s="220" t="s">
        <v>4954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4432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>IF(AQ127="SIM","AGUARDANDO CORREÇÃO",IF(AP127&lt;&gt;"","FINALIZADO",IF(AO127&lt;&gt;"","AGUARDANDO ENVIO DTS",IF(AN127&lt;&gt;"","AGUARDANDO ASSINATURA GAB",IF(AM127&lt;&gt;"","AGUARDANDO ASSINATURA CTS",IF(AL127&lt;&gt;"","AGUARDANDO ENVIO ASSINATURA CTS",IF(AK127&lt;&gt;"","AGUARDANDO CONFERÊNCIA","")))))))</f>
        <v>FINALIZADO</v>
      </c>
      <c r="AS127" s="207" t="s">
        <v>4423</v>
      </c>
      <c r="AT127" s="262"/>
      <c r="AU127" s="220" t="s">
        <v>4955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4434</v>
      </c>
      <c r="BF127" s="257" t="s">
        <v>4435</v>
      </c>
      <c r="BG127" s="219" t="s">
        <v>4425</v>
      </c>
      <c r="BH127" s="321">
        <f>IFERROR(IF(BD127-KI127=0,"",BD127-AK127),"")</f>
        <v>125</v>
      </c>
      <c r="BI127" s="98" t="str">
        <f>IF(AND(AH127&lt;&gt;"SIM",AH127="UH"),"AA","INDENIZAÇÃO")</f>
        <v>INDENIZAÇÃO</v>
      </c>
      <c r="BJ127" s="98" t="str">
        <f>IF(AND(BD127&lt;&gt;"AGUARDANDO",BD127&lt;&gt;"",N127="AUXÍLIO ALUGUEL ATÉ INDENIZAÇÃO"),"SIM","NÃO")</f>
        <v>NÃO</v>
      </c>
      <c r="BK127" s="219" t="s">
        <v>4436</v>
      </c>
      <c r="BL127" s="219" t="s">
        <v>4436</v>
      </c>
      <c r="BM127" s="219" t="s">
        <v>4436</v>
      </c>
      <c r="BN127" s="257" t="s">
        <v>4956</v>
      </c>
      <c r="BO127" s="257"/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 x14ac:dyDescent="0.25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4441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>IF(AQ128="SIM","AGUARDANDO CORREÇÃO",IF(AP128&lt;&gt;"","FINALIZADO",IF(AO128&lt;&gt;"","AGUARDANDO ENVIO DTS",IF(AN128&lt;&gt;"","AGUARDANDO ASSINATURA GAB",IF(AM128&lt;&gt;"","AGUARDANDO ASSINATURA CTS",IF(AL128&lt;&gt;"","AGUARDANDO ENVIO ASSINATURA CTS",IF(AK128&lt;&gt;"","AGUARDANDO CONFERÊNCIA","")))))))</f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4434</v>
      </c>
      <c r="BF128" s="228" t="s">
        <v>4435</v>
      </c>
      <c r="BG128" s="229" t="s">
        <v>4425</v>
      </c>
      <c r="BH128" s="321">
        <f>IFERROR(IF(BD128-KI128=0,"",BD128-AK128),"")</f>
        <v>45</v>
      </c>
      <c r="BI128" s="98" t="str">
        <f>IF(AND(AH128&lt;&gt;"SIM",AH128="UH"),"AA","INDENIZAÇÃO")</f>
        <v>INDENIZAÇÃO</v>
      </c>
      <c r="BJ128" s="98" t="str">
        <f>IF(AND(BD128&lt;&gt;"AGUARDANDO",BD128&lt;&gt;"",N128="AUXÍLIO ALUGUEL ATÉ INDENIZAÇÃO"),"SIM","NÃO")</f>
        <v>NÃO</v>
      </c>
      <c r="BK128" s="230" t="s">
        <v>4436</v>
      </c>
      <c r="BL128" s="230" t="s">
        <v>4436</v>
      </c>
      <c r="BM128" s="230" t="s">
        <v>4436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4434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customHeight="1" x14ac:dyDescent="0.25">
      <c r="A129" s="197">
        <v>125</v>
      </c>
      <c r="B129" s="197" t="s">
        <v>4396</v>
      </c>
      <c r="C129" s="207" t="s">
        <v>4426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4441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4432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>IF(AQ129="SIM","AGUARDANDO CORREÇÃO",IF(AP129&lt;&gt;"","FINALIZADO",IF(AO129&lt;&gt;"","AGUARDANDO ENVIO DTS",IF(AN129&lt;&gt;"","AGUARDANDO ASSINATURA GAB",IF(AM129&lt;&gt;"","AGUARDANDO ASSINATURA CTS",IF(AL129&lt;&gt;"","AGUARDANDO ENVIO ASSINATURA CTS",IF(AK129&lt;&gt;"","AGUARDANDO CONFERÊNCIA","")))))))</f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4434</v>
      </c>
      <c r="BF129" s="228" t="s">
        <v>4435</v>
      </c>
      <c r="BG129" s="229" t="s">
        <v>4425</v>
      </c>
      <c r="BH129" s="321">
        <f>IFERROR(IF(BD129-KI129=0,"",BD129-AK129),"")</f>
        <v>63</v>
      </c>
      <c r="BI129" s="98" t="str">
        <f>IF(AND(AH129&lt;&gt;"SIM",AH129="UH"),"AA","INDENIZAÇÃO")</f>
        <v>INDENIZAÇÃO</v>
      </c>
      <c r="BJ129" s="98" t="str">
        <f>IF(AND(BD129&lt;&gt;"AGUARDANDO",BD129&lt;&gt;"",N129="AUXÍLIO ALUGUEL ATÉ INDENIZAÇÃO"),"SIM","NÃO")</f>
        <v>NÃO</v>
      </c>
      <c r="BK129" s="230" t="s">
        <v>4436</v>
      </c>
      <c r="BL129" s="230" t="s">
        <v>4436</v>
      </c>
      <c r="BM129" s="230" t="s">
        <v>4436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4434</v>
      </c>
    </row>
    <row r="130" spans="1:72" s="240" customFormat="1" ht="27" customHeight="1" x14ac:dyDescent="0.25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4431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>IF(AQ130="SIM","AGUARDANDO CORREÇÃO",IF(AP130&lt;&gt;"","FINALIZADO",IF(AO130&lt;&gt;"","AGUARDANDO ENVIO DTS",IF(AN130&lt;&gt;"","AGUARDANDO ASSINATURA GAB",IF(AM130&lt;&gt;"","AGUARDANDO ASSINATURA CTS",IF(AL130&lt;&gt;"","AGUARDANDO ENVIO ASSINATURA CTS",IF(AK130&lt;&gt;"","AGUARDANDO CONFERÊNCIA","")))))))</f>
        <v>FINALIZADO</v>
      </c>
      <c r="AS130" s="207" t="s">
        <v>4423</v>
      </c>
      <c r="AT130" s="207"/>
      <c r="AU130" s="220" t="s">
        <v>4970</v>
      </c>
      <c r="AV130" s="207" t="s">
        <v>4817</v>
      </c>
      <c r="AW130" s="207" t="s">
        <v>4817</v>
      </c>
      <c r="AX130" s="207" t="s">
        <v>4817</v>
      </c>
      <c r="AY130" s="207" t="s">
        <v>4817</v>
      </c>
      <c r="AZ130" s="202">
        <v>46233</v>
      </c>
      <c r="BA130" s="197" t="s">
        <v>4817</v>
      </c>
      <c r="BB130" s="197" t="s">
        <v>4817</v>
      </c>
      <c r="BC130" s="202">
        <v>46234</v>
      </c>
      <c r="BD130" s="226">
        <v>46234</v>
      </c>
      <c r="BE130" s="257" t="s">
        <v>4434</v>
      </c>
      <c r="BF130" s="257" t="s">
        <v>4435</v>
      </c>
      <c r="BG130" s="219" t="s">
        <v>4425</v>
      </c>
      <c r="BH130" s="321">
        <f>IFERROR(IF(BD130-KI130=0,"",BD130-AK130),"")</f>
        <v>46</v>
      </c>
      <c r="BI130" s="98" t="str">
        <f>IF(AND(AH130&lt;&gt;"SIM",AH130="UH"),"AA","INDENIZAÇÃO")</f>
        <v>INDENIZAÇÃO</v>
      </c>
      <c r="BJ130" s="98" t="str">
        <f>IF(AND(BD130&lt;&gt;"AGUARDANDO",BD130&lt;&gt;"",N130="AUXÍLIO ALUGUEL ATÉ INDENIZAÇÃO"),"SIM","NÃO")</f>
        <v>NÃO</v>
      </c>
      <c r="BK130" s="219" t="s">
        <v>4436</v>
      </c>
      <c r="BL130" s="219" t="s">
        <v>4436</v>
      </c>
      <c r="BM130" s="219" t="s">
        <v>4436</v>
      </c>
      <c r="BN130" s="250" t="s">
        <v>4425</v>
      </c>
      <c r="BO130" s="250" t="s">
        <v>4425</v>
      </c>
      <c r="BP130" s="202">
        <v>46269</v>
      </c>
      <c r="BQ130" s="257" t="s">
        <v>4818</v>
      </c>
      <c r="BR130" s="258"/>
      <c r="BS130" s="223"/>
    </row>
    <row r="131" spans="1:72" s="240" customFormat="1" ht="27" customHeight="1" x14ac:dyDescent="0.25">
      <c r="A131" s="207">
        <v>127</v>
      </c>
      <c r="B131" s="197" t="s">
        <v>4396</v>
      </c>
      <c r="C131" s="207" t="s">
        <v>4426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4441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4432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>IF(AQ131="SIM","AGUARDANDO CORREÇÃO",IF(AP131&lt;&gt;"","FINALIZADO",IF(AO131&lt;&gt;"","AGUARDANDO ENVIO DTS",IF(AN131&lt;&gt;"","AGUARDANDO ASSINATURA GAB",IF(AM131&lt;&gt;"","AGUARDANDO ASSINATURA CTS",IF(AL131&lt;&gt;"","AGUARDANDO ENVIO ASSINATURA CTS",IF(AK131&lt;&gt;"","AGUARDANDO CONFERÊNCIA","")))))))</f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4434</v>
      </c>
      <c r="BF131" s="228" t="s">
        <v>4435</v>
      </c>
      <c r="BG131" s="229" t="s">
        <v>4425</v>
      </c>
      <c r="BH131" s="321">
        <f>IFERROR(IF(BD131-KI131=0,"",BD131-AK131),"")</f>
        <v>50</v>
      </c>
      <c r="BI131" s="98" t="str">
        <f>IF(AND(AH131&lt;&gt;"SIM",AH131="UH"),"AA","INDENIZAÇÃO")</f>
        <v>INDENIZAÇÃO</v>
      </c>
      <c r="BJ131" s="98" t="str">
        <f>IF(AND(BD131&lt;&gt;"AGUARDANDO",BD131&lt;&gt;"",N131="AUXÍLIO ALUGUEL ATÉ INDENIZAÇÃO"),"SIM","NÃO")</f>
        <v>NÃO</v>
      </c>
      <c r="BK131" s="230" t="s">
        <v>4436</v>
      </c>
      <c r="BL131" s="230" t="s">
        <v>4436</v>
      </c>
      <c r="BM131" s="230" t="s">
        <v>4436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4434</v>
      </c>
    </row>
    <row r="132" spans="1:72" s="240" customFormat="1" ht="27" customHeight="1" x14ac:dyDescent="0.25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4441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>IF(AQ132="SIM","AGUARDANDO CORREÇÃO",IF(AP132&lt;&gt;"","FINALIZADO",IF(AO132&lt;&gt;"","AGUARDANDO ENVIO DTS",IF(AN132&lt;&gt;"","AGUARDANDO ASSINATURA GAB",IF(AM132&lt;&gt;"","AGUARDANDO ASSINATURA CTS",IF(AL132&lt;&gt;"","AGUARDANDO ENVIO ASSINATURA CTS",IF(AK132&lt;&gt;"","AGUARDANDO CONFERÊNCIA","")))))))</f>
        <v>FINALIZADO</v>
      </c>
      <c r="AS132" s="207" t="s">
        <v>4423</v>
      </c>
      <c r="AT132" s="207"/>
      <c r="AU132" s="220" t="s">
        <v>4978</v>
      </c>
      <c r="AV132" s="197" t="s">
        <v>4817</v>
      </c>
      <c r="AW132" s="207" t="s">
        <v>4817</v>
      </c>
      <c r="AX132" s="207" t="s">
        <v>4817</v>
      </c>
      <c r="AY132" s="207" t="s">
        <v>4817</v>
      </c>
      <c r="AZ132" s="202">
        <v>46233</v>
      </c>
      <c r="BA132" s="207" t="s">
        <v>4817</v>
      </c>
      <c r="BB132" s="207" t="s">
        <v>4817</v>
      </c>
      <c r="BC132" s="202">
        <v>46234</v>
      </c>
      <c r="BD132" s="226">
        <v>46234</v>
      </c>
      <c r="BE132" s="257" t="s">
        <v>4434</v>
      </c>
      <c r="BF132" s="257" t="s">
        <v>4435</v>
      </c>
      <c r="BG132" s="219" t="s">
        <v>4425</v>
      </c>
      <c r="BH132" s="321">
        <f>IFERROR(IF(BD132-KI132=0,"",BD132-AK132),"")</f>
        <v>64</v>
      </c>
      <c r="BI132" s="98" t="str">
        <f>IF(AND(AH132&lt;&gt;"SIM",AH132="UH"),"AA","INDENIZAÇÃO")</f>
        <v>INDENIZAÇÃO</v>
      </c>
      <c r="BJ132" s="98" t="str">
        <f>IF(AND(BD132&lt;&gt;"AGUARDANDO",BD132&lt;&gt;"",N132="AUXÍLIO ALUGUEL ATÉ INDENIZAÇÃO"),"SIM","NÃO")</f>
        <v>NÃO</v>
      </c>
      <c r="BK132" s="219" t="s">
        <v>4436</v>
      </c>
      <c r="BL132" s="219" t="s">
        <v>4436</v>
      </c>
      <c r="BM132" s="219" t="s">
        <v>4436</v>
      </c>
      <c r="BN132" s="250" t="s">
        <v>4425</v>
      </c>
      <c r="BO132" s="250" t="s">
        <v>4425</v>
      </c>
      <c r="BP132" s="202">
        <v>46269</v>
      </c>
      <c r="BQ132" s="257" t="s">
        <v>4818</v>
      </c>
      <c r="BR132" s="258"/>
      <c r="BS132" s="223"/>
    </row>
    <row r="133" spans="1:72" s="240" customFormat="1" ht="27" hidden="1" customHeight="1" x14ac:dyDescent="0.25">
      <c r="A133" s="207">
        <v>129</v>
      </c>
      <c r="B133" s="197" t="s">
        <v>4396</v>
      </c>
      <c r="C133" s="207" t="s">
        <v>4426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>IF(AQ133="SIM","AGUARDANDO CORREÇÃO",IF(AP133&lt;&gt;"","FINALIZADO",IF(AO133&lt;&gt;"","AGUARDANDO ENVIO DTS",IF(AN133&lt;&gt;"","AGUARDANDO ASSINATURA GAB",IF(AM133&lt;&gt;"","AGUARDANDO ASSINATURA CTS",IF(AL133&lt;&gt;"","AGUARDANDO ENVIO ASSINATURA CTS",IF(AK133&lt;&gt;"","AGUARDANDO CONFERÊNCIA","")))))))</f>
        <v>AGUARDANDO ASSINATURA GAB</v>
      </c>
      <c r="AS133" s="207" t="s">
        <v>4446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>IFERROR(IF(BD133-KI133=0,"",BD133-AK133),"")</f>
        <v/>
      </c>
      <c r="BI133" s="98" t="str">
        <f>IF(AND(AH133&lt;&gt;"SIM",AH133="UH"),"AA","INDENIZAÇÃO")</f>
        <v>INDENIZAÇÃO</v>
      </c>
      <c r="BJ133" s="98" t="str">
        <f>IF(AND(BD133&lt;&gt;"AGUARDANDO",BD133&lt;&gt;"",N133="AUXÍLIO ALUGUEL ATÉ INDENIZAÇÃO"),"SIM","NÃO")</f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hidden="1" customHeight="1" x14ac:dyDescent="0.25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4441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4432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4856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>IFERROR(IF(BD134-KI134=0,"",BD134-AK134),"")</f>
        <v/>
      </c>
      <c r="BI134" s="98" t="str">
        <f>IF(AND(AH134&lt;&gt;"SIM",AH134="UH"),"AA","INDENIZAÇÃO")</f>
        <v>INDENIZAÇÃO</v>
      </c>
      <c r="BJ134" s="98" t="str">
        <f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customHeight="1" x14ac:dyDescent="0.25">
      <c r="A135" s="197">
        <v>131</v>
      </c>
      <c r="B135" s="197" t="s">
        <v>4396</v>
      </c>
      <c r="C135" s="207" t="s">
        <v>4426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4441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4432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>IF(AQ135="SIM","AGUARDANDO CORREÇÃO",IF(AP135&lt;&gt;"","FINALIZADO",IF(AO135&lt;&gt;"","AGUARDANDO ENVIO DTS",IF(AN135&lt;&gt;"","AGUARDANDO ASSINATURA GAB",IF(AM135&lt;&gt;"","AGUARDANDO ASSINATURA CTS",IF(AL135&lt;&gt;"","AGUARDANDO ENVIO ASSINATURA CTS",IF(AK135&lt;&gt;"","AGUARDANDO CONFERÊNCIA","")))))))</f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4434</v>
      </c>
      <c r="BF135" s="228" t="s">
        <v>4435</v>
      </c>
      <c r="BG135" s="229" t="s">
        <v>4425</v>
      </c>
      <c r="BH135" s="321">
        <f>IFERROR(IF(BD135-KI135=0,"",BD135-AK135),"")</f>
        <v>102</v>
      </c>
      <c r="BI135" s="98" t="str">
        <f>IF(AND(AH135&lt;&gt;"SIM",AH135="UH"),"AA","INDENIZAÇÃO")</f>
        <v>INDENIZAÇÃO</v>
      </c>
      <c r="BJ135" s="98" t="str">
        <f>IF(AND(BD135&lt;&gt;"AGUARDANDO",BD135&lt;&gt;"",N135="AUXÍLIO ALUGUEL ATÉ INDENIZAÇÃO"),"SIM","NÃO")</f>
        <v>NÃO</v>
      </c>
      <c r="BK135" s="219" t="s">
        <v>4436</v>
      </c>
      <c r="BL135" s="219" t="s">
        <v>4436</v>
      </c>
      <c r="BM135" s="219" t="s">
        <v>4436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4434</v>
      </c>
    </row>
    <row r="136" spans="1:72" s="240" customFormat="1" ht="27" customHeight="1" x14ac:dyDescent="0.25">
      <c r="A136" s="207">
        <v>132</v>
      </c>
      <c r="B136" s="197" t="s">
        <v>4396</v>
      </c>
      <c r="C136" s="207" t="s">
        <v>4426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4441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4432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>IF(AQ136="SIM","AGUARDANDO CORREÇÃO",IF(AP136&lt;&gt;"","FINALIZADO",IF(AO136&lt;&gt;"","AGUARDANDO ENVIO DTS",IF(AN136&lt;&gt;"","AGUARDANDO ASSINATURA GAB",IF(AM136&lt;&gt;"","AGUARDANDO ASSINATURA CTS",IF(AL136&lt;&gt;"","AGUARDANDO ENVIO ASSINATURA CTS",IF(AK136&lt;&gt;"","AGUARDANDO CONFERÊNCIA","")))))))</f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4434</v>
      </c>
      <c r="BF136" s="228" t="s">
        <v>4435</v>
      </c>
      <c r="BG136" s="229" t="s">
        <v>4425</v>
      </c>
      <c r="BH136" s="321">
        <f>IFERROR(IF(BD136-KI136=0,"",BD136-AK136),"")</f>
        <v>63</v>
      </c>
      <c r="BI136" s="98" t="str">
        <f>IF(AND(AH136&lt;&gt;"SIM",AH136="UH"),"AA","INDENIZAÇÃO")</f>
        <v>INDENIZAÇÃO</v>
      </c>
      <c r="BJ136" s="98" t="str">
        <f>IF(AND(BD136&lt;&gt;"AGUARDANDO",BD136&lt;&gt;"",N136="AUXÍLIO ALUGUEL ATÉ INDENIZAÇÃO"),"SIM","NÃO")</f>
        <v>NÃO</v>
      </c>
      <c r="BK136" s="230" t="s">
        <v>4436</v>
      </c>
      <c r="BL136" s="230" t="s">
        <v>4436</v>
      </c>
      <c r="BM136" s="230" t="s">
        <v>4436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4434</v>
      </c>
      <c r="BS136" s="223"/>
      <c r="BT136" s="223"/>
    </row>
    <row r="137" spans="1:72" s="240" customFormat="1" ht="27" customHeight="1" x14ac:dyDescent="0.25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4441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4432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>IF(AQ137="SIM","AGUARDANDO CORREÇÃO",IF(AP137&lt;&gt;"","FINALIZADO",IF(AO137&lt;&gt;"","AGUARDANDO ENVIO DTS",IF(AN137&lt;&gt;"","AGUARDANDO ASSINATURA GAB",IF(AM137&lt;&gt;"","AGUARDANDO ASSINATURA CTS",IF(AL137&lt;&gt;"","AGUARDANDO ENVIO ASSINATURA CTS",IF(AK137&lt;&gt;"","AGUARDANDO CONFERÊNCIA","")))))))</f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4434</v>
      </c>
      <c r="BF137" s="228" t="s">
        <v>4435</v>
      </c>
      <c r="BG137" s="229" t="s">
        <v>4425</v>
      </c>
      <c r="BH137" s="321">
        <f>IFERROR(IF(BD137-KI137=0,"",BD137-AK137),"")</f>
        <v>40</v>
      </c>
      <c r="BI137" s="98" t="str">
        <f>IF(AND(AH137&lt;&gt;"SIM",AH137="UH"),"AA","INDENIZAÇÃO")</f>
        <v>INDENIZAÇÃO</v>
      </c>
      <c r="BJ137" s="98" t="str">
        <f>IF(AND(BD137&lt;&gt;"AGUARDANDO",BD137&lt;&gt;"",N137="AUXÍLIO ALUGUEL ATÉ INDENIZAÇÃO"),"SIM","NÃO")</f>
        <v>NÃO</v>
      </c>
      <c r="BK137" s="219" t="s">
        <v>4436</v>
      </c>
      <c r="BL137" s="219" t="s">
        <v>4436</v>
      </c>
      <c r="BM137" s="219" t="s">
        <v>4436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4434</v>
      </c>
      <c r="BS137" s="223"/>
      <c r="BT137" s="223"/>
    </row>
    <row r="138" spans="1:72" s="240" customFormat="1" ht="27" hidden="1" customHeight="1" x14ac:dyDescent="0.25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>IF(AQ138="SIM","AGUARDANDO CORREÇÃO",IF(AP138&lt;&gt;"","FINALIZADO",IF(AO138&lt;&gt;"","AGUARDANDO ENVIO DTS",IF(AN138&lt;&gt;"","AGUARDANDO ASSINATURA GAB",IF(AM138&lt;&gt;"","AGUARDANDO ASSINATURA CTS",IF(AL138&lt;&gt;"","AGUARDANDO ENVIO ASSINATURA CTS",IF(AK138&lt;&gt;"","AGUARDANDO CONFERÊNCIA","")))))))</f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>IFERROR(IF(BD138-KI138=0,"",BD138-AK138),"")</f>
        <v/>
      </c>
      <c r="BI138" s="98" t="str">
        <f>IF(AND(AH138&lt;&gt;"SIM",AH138="UH"),"AA","INDENIZAÇÃO")</f>
        <v>AA</v>
      </c>
      <c r="BJ138" s="98" t="str">
        <f>IF(AND(BD138&lt;&gt;"AGUARDANDO",BD138&lt;&gt;"",N138="AUXÍLIO ALUGUEL ATÉ INDENIZAÇÃO"),"SIM","NÃO")</f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customHeight="1" x14ac:dyDescent="0.25">
      <c r="A139" s="197">
        <v>135</v>
      </c>
      <c r="B139" s="197" t="s">
        <v>4396</v>
      </c>
      <c r="C139" s="207" t="s">
        <v>4426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4441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4432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>IF(AQ139="SIM","AGUARDANDO CORREÇÃO",IF(AP139&lt;&gt;"","FINALIZADO",IF(AO139&lt;&gt;"","AGUARDANDO ENVIO DTS",IF(AN139&lt;&gt;"","AGUARDANDO ASSINATURA GAB",IF(AM139&lt;&gt;"","AGUARDANDO ASSINATURA CTS",IF(AL139&lt;&gt;"","AGUARDANDO ENVIO ASSINATURA CTS",IF(AK139&lt;&gt;"","AGUARDANDO CONFERÊNCIA","")))))))</f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4434</v>
      </c>
      <c r="BF139" s="228" t="s">
        <v>4435</v>
      </c>
      <c r="BG139" s="229" t="s">
        <v>4425</v>
      </c>
      <c r="BH139" s="321">
        <f>IFERROR(IF(BD139-KI139=0,"",BD139-AK139),"")</f>
        <v>76</v>
      </c>
      <c r="BI139" s="98" t="str">
        <f>IF(AND(AH139&lt;&gt;"SIM",AH139="UH"),"AA","INDENIZAÇÃO")</f>
        <v>INDENIZAÇÃO</v>
      </c>
      <c r="BJ139" s="98" t="str">
        <f>IF(AND(BD139&lt;&gt;"AGUARDANDO",BD139&lt;&gt;"",N139="AUXÍLIO ALUGUEL ATÉ INDENIZAÇÃO"),"SIM","NÃO")</f>
        <v>NÃO</v>
      </c>
      <c r="BK139" s="230" t="s">
        <v>4436</v>
      </c>
      <c r="BL139" s="230" t="s">
        <v>4436</v>
      </c>
      <c r="BM139" s="230" t="s">
        <v>4436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4434</v>
      </c>
      <c r="BS139" s="223"/>
      <c r="BT139" s="223"/>
    </row>
    <row r="140" spans="1:72" s="240" customFormat="1" ht="27" customHeight="1" x14ac:dyDescent="0.25">
      <c r="A140" s="197">
        <v>136</v>
      </c>
      <c r="B140" s="197" t="s">
        <v>4396</v>
      </c>
      <c r="C140" s="207" t="s">
        <v>4426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4441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>IF(AQ140="SIM","AGUARDANDO CORREÇÃO",IF(AP140&lt;&gt;"","FINALIZADO",IF(AO140&lt;&gt;"","AGUARDANDO ENVIO DTS",IF(AN140&lt;&gt;"","AGUARDANDO ASSINATURA GAB",IF(AM140&lt;&gt;"","AGUARDANDO ASSINATURA CTS",IF(AL140&lt;&gt;"","AGUARDANDO ENVIO ASSINATURA CTS",IF(AK140&lt;&gt;"","AGUARDANDO CONFERÊNCIA","")))))))</f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4434</v>
      </c>
      <c r="BF140" s="228" t="s">
        <v>4435</v>
      </c>
      <c r="BG140" s="229" t="s">
        <v>4425</v>
      </c>
      <c r="BH140" s="321">
        <f>IFERROR(IF(BD140-KI140=0,"",BD140-AK140),"")</f>
        <v>58</v>
      </c>
      <c r="BI140" s="98" t="str">
        <f>IF(AND(AH140&lt;&gt;"SIM",AH140="UH"),"AA","INDENIZAÇÃO")</f>
        <v>INDENIZAÇÃO</v>
      </c>
      <c r="BJ140" s="98" t="str">
        <f>IF(AND(BD140&lt;&gt;"AGUARDANDO",BD140&lt;&gt;"",N140="AUXÍLIO ALUGUEL ATÉ INDENIZAÇÃO"),"SIM","NÃO")</f>
        <v>NÃO</v>
      </c>
      <c r="BK140" s="230" t="s">
        <v>4436</v>
      </c>
      <c r="BL140" s="230" t="s">
        <v>4436</v>
      </c>
      <c r="BM140" s="230" t="s">
        <v>4436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4434</v>
      </c>
      <c r="BS140" s="223"/>
    </row>
    <row r="141" spans="1:72" s="240" customFormat="1" ht="27" customHeight="1" x14ac:dyDescent="0.25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4441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4432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>IF(AQ141="SIM","AGUARDANDO CORREÇÃO",IF(AP141&lt;&gt;"","FINALIZADO",IF(AO141&lt;&gt;"","AGUARDANDO ENVIO DTS",IF(AN141&lt;&gt;"","AGUARDANDO ASSINATURA GAB",IF(AM141&lt;&gt;"","AGUARDANDO ASSINATURA CTS",IF(AL141&lt;&gt;"","AGUARDANDO ENVIO ASSINATURA CTS",IF(AK141&lt;&gt;"","AGUARDANDO CONFERÊNCIA","")))))))</f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4434</v>
      </c>
      <c r="BF141" s="257" t="s">
        <v>4435</v>
      </c>
      <c r="BG141" s="219" t="s">
        <v>4425</v>
      </c>
      <c r="BH141" s="321">
        <f>IFERROR(IF(BD141-KI141=0,"",BD141-AK141),"")</f>
        <v>103</v>
      </c>
      <c r="BI141" s="98" t="str">
        <f>IF(AND(AH141&lt;&gt;"SIM",AH141="UH"),"AA","INDENIZAÇÃO")</f>
        <v>INDENIZAÇÃO</v>
      </c>
      <c r="BJ141" s="98" t="str">
        <f>IF(AND(BD141&lt;&gt;"AGUARDANDO",BD141&lt;&gt;"",N141="AUXÍLIO ALUGUEL ATÉ INDENIZAÇÃO"),"SIM","NÃO")</f>
        <v>NÃO</v>
      </c>
      <c r="BK141" s="219" t="s">
        <v>4436</v>
      </c>
      <c r="BL141" s="219" t="s">
        <v>4436</v>
      </c>
      <c r="BM141" s="219" t="s">
        <v>4436</v>
      </c>
      <c r="BN141" s="250" t="s">
        <v>4425</v>
      </c>
      <c r="BO141" s="250" t="s">
        <v>4425</v>
      </c>
      <c r="BP141" s="202">
        <v>46269</v>
      </c>
      <c r="BQ141" s="257" t="s">
        <v>4818</v>
      </c>
      <c r="BR141" s="258"/>
    </row>
    <row r="142" spans="1:72" s="240" customFormat="1" ht="27" hidden="1" customHeight="1" x14ac:dyDescent="0.25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4441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>IF(AQ142="SIM","AGUARDANDO CORREÇÃO",IF(AP142&lt;&gt;"","FINALIZADO",IF(AO142&lt;&gt;"","AGUARDANDO ENVIO DTS",IF(AN142&lt;&gt;"","AGUARDANDO ASSINATURA GAB",IF(AM142&lt;&gt;"","AGUARDANDO ASSINATURA CTS",IF(AL142&lt;&gt;"","AGUARDANDO ENVIO ASSINATURA CTS",IF(AK142&lt;&gt;"","AGUARDANDO CONFERÊNCIA","")))))))</f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8612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>IFERROR(IF(BD142-KI142=0,"",BD142-AK142),"")</f>
        <v/>
      </c>
      <c r="BI142" s="98" t="str">
        <f>IF(AND(AH142&lt;&gt;"SIM",AH142="UH"),"AA","INDENIZAÇÃO")</f>
        <v>INDENIZAÇÃO</v>
      </c>
      <c r="BJ142" s="98" t="str">
        <f>IF(AND(BD142&lt;&gt;"AGUARDANDO",BD142&lt;&gt;"",N142="AUXÍLIO ALUGUEL ATÉ INDENIZAÇÃO"),"SIM","NÃO")</f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 x14ac:dyDescent="0.25">
      <c r="A143" s="207">
        <v>139</v>
      </c>
      <c r="B143" s="197" t="s">
        <v>4396</v>
      </c>
      <c r="C143" s="207" t="s">
        <v>4426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>IF(AQ143="SIM","AGUARDANDO CORREÇÃO",IF(AP143&lt;&gt;"","FINALIZADO",IF(AO143&lt;&gt;"","AGUARDANDO ENVIO DTS",IF(AN143&lt;&gt;"","AGUARDANDO ASSINATURA GAB",IF(AM143&lt;&gt;"","AGUARDANDO ASSINATURA CTS",IF(AL143&lt;&gt;"","AGUARDANDO ENVIO ASSINATURA CTS",IF(AK143&lt;&gt;"","AGUARDANDO CONFERÊNCIA","")))))))</f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>IFERROR(IF(BD143-KI143=0,"",BD143-AK143),"")</f>
        <v/>
      </c>
      <c r="BI143" s="98" t="str">
        <f>IF(AND(AH143&lt;&gt;"SIM",AH143="UH"),"AA","INDENIZAÇÃO")</f>
        <v>AA</v>
      </c>
      <c r="BJ143" s="98" t="str">
        <f>IF(AND(BD143&lt;&gt;"AGUARDANDO",BD143&lt;&gt;"",N143="AUXÍLIO ALUGUEL ATÉ INDENIZAÇÃO"),"SIM","NÃO")</f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 x14ac:dyDescent="0.25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>IF(AQ144="SIM","AGUARDANDO CORREÇÃO",IF(AP144&lt;&gt;"","FINALIZADO",IF(AO144&lt;&gt;"","AGUARDANDO ENVIO DTS",IF(AN144&lt;&gt;"","AGUARDANDO ASSINATURA GAB",IF(AM144&lt;&gt;"","AGUARDANDO ASSINATURA CTS",IF(AL144&lt;&gt;"","AGUARDANDO ENVIO ASSINATURA CTS",IF(AK144&lt;&gt;"","AGUARDANDO CONFERÊNCIA","")))))))</f>
        <v>FINALIZADO</v>
      </c>
      <c r="AS144" s="207" t="s">
        <v>4423</v>
      </c>
      <c r="AT144" s="219"/>
      <c r="AU144" s="220" t="s">
        <v>5037</v>
      </c>
      <c r="AV144" s="197" t="s">
        <v>4817</v>
      </c>
      <c r="AW144" s="207" t="s">
        <v>4817</v>
      </c>
      <c r="AX144" s="207" t="s">
        <v>4817</v>
      </c>
      <c r="AY144" s="207" t="s">
        <v>4817</v>
      </c>
      <c r="AZ144" s="202">
        <v>46233</v>
      </c>
      <c r="BA144" s="207" t="s">
        <v>4817</v>
      </c>
      <c r="BB144" s="207" t="s">
        <v>4817</v>
      </c>
      <c r="BC144" s="202">
        <v>46237</v>
      </c>
      <c r="BD144" s="226">
        <v>46237</v>
      </c>
      <c r="BE144" s="257" t="s">
        <v>4434</v>
      </c>
      <c r="BF144" s="257" t="s">
        <v>4435</v>
      </c>
      <c r="BG144" s="219" t="s">
        <v>4425</v>
      </c>
      <c r="BH144" s="321">
        <f>IFERROR(IF(BD144-KI144=0,"",BD144-AK144),"")</f>
        <v>49</v>
      </c>
      <c r="BI144" s="98" t="str">
        <f>IF(AND(AH144&lt;&gt;"SIM",AH144="UH"),"AA","INDENIZAÇÃO")</f>
        <v>INDENIZAÇÃO</v>
      </c>
      <c r="BJ144" s="98" t="str">
        <f>IF(AND(BD144&lt;&gt;"AGUARDANDO",BD144&lt;&gt;"",N144="AUXÍLIO ALUGUEL ATÉ INDENIZAÇÃO"),"SIM","NÃO")</f>
        <v>NÃO</v>
      </c>
      <c r="BK144" s="219" t="s">
        <v>4436</v>
      </c>
      <c r="BL144" s="219" t="s">
        <v>4436</v>
      </c>
      <c r="BM144" s="219" t="s">
        <v>4436</v>
      </c>
      <c r="BN144" s="250" t="s">
        <v>4425</v>
      </c>
      <c r="BO144" s="250" t="s">
        <v>4425</v>
      </c>
      <c r="BP144" s="202">
        <v>46269</v>
      </c>
      <c r="BQ144" s="257" t="s">
        <v>4818</v>
      </c>
      <c r="BR144" s="258"/>
      <c r="BS144" s="223"/>
    </row>
    <row r="145" spans="1:73" s="240" customFormat="1" ht="27" customHeight="1" x14ac:dyDescent="0.25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4432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>IF(AQ145="SIM","AGUARDANDO CORREÇÃO",IF(AP145&lt;&gt;"","FINALIZADO",IF(AO145&lt;&gt;"","AGUARDANDO ENVIO DTS",IF(AN145&lt;&gt;"","AGUARDANDO ASSINATURA GAB",IF(AM145&lt;&gt;"","AGUARDANDO ASSINATURA CTS",IF(AL145&lt;&gt;"","AGUARDANDO ENVIO ASSINATURA CTS",IF(AK145&lt;&gt;"","AGUARDANDO CONFERÊNCIA","")))))))</f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4434</v>
      </c>
      <c r="BF145" s="228" t="s">
        <v>4435</v>
      </c>
      <c r="BG145" s="229" t="s">
        <v>4425</v>
      </c>
      <c r="BH145" s="321">
        <f>IFERROR(IF(BD145-KI145=0,"",BD145-AK145),"")</f>
        <v>36</v>
      </c>
      <c r="BI145" s="98" t="str">
        <f>IF(AND(AH145&lt;&gt;"SIM",AH145="UH"),"AA","INDENIZAÇÃO")</f>
        <v>INDENIZAÇÃO</v>
      </c>
      <c r="BJ145" s="98" t="str">
        <f>IF(AND(BD145&lt;&gt;"AGUARDANDO",BD145&lt;&gt;"",N145="AUXÍLIO ALUGUEL ATÉ INDENIZAÇÃO"),"SIM","NÃO")</f>
        <v>NÃO</v>
      </c>
      <c r="BK145" s="219" t="s">
        <v>4436</v>
      </c>
      <c r="BL145" s="219" t="s">
        <v>4436</v>
      </c>
      <c r="BM145" s="219" t="s">
        <v>4436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4434</v>
      </c>
      <c r="BS145" s="223"/>
    </row>
    <row r="146" spans="1:73" s="240" customFormat="1" ht="27" customHeight="1" x14ac:dyDescent="0.25">
      <c r="A146" s="207">
        <v>142</v>
      </c>
      <c r="B146" s="197" t="s">
        <v>4396</v>
      </c>
      <c r="C146" s="207" t="s">
        <v>4426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4441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4432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>IF(AQ146="SIM","AGUARDANDO CORREÇÃO",IF(AP146&lt;&gt;"","FINALIZADO",IF(AO146&lt;&gt;"","AGUARDANDO ENVIO DTS",IF(AN146&lt;&gt;"","AGUARDANDO ASSINATURA GAB",IF(AM146&lt;&gt;"","AGUARDANDO ASSINATURA CTS",IF(AL146&lt;&gt;"","AGUARDANDO ENVIO ASSINATURA CTS",IF(AK146&lt;&gt;"","AGUARDANDO CONFERÊNCIA","")))))))</f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4434</v>
      </c>
      <c r="BF146" s="228" t="s">
        <v>4400</v>
      </c>
      <c r="BG146" s="219" t="s">
        <v>4425</v>
      </c>
      <c r="BH146" s="321">
        <f>IFERROR(IF(BD146-KI146=0,"",BD146-AK146),"")</f>
        <v>150</v>
      </c>
      <c r="BI146" s="98" t="str">
        <f>IF(AND(AH146&lt;&gt;"SIM",AH146="UH"),"AA","INDENIZAÇÃO")</f>
        <v>INDENIZAÇÃO</v>
      </c>
      <c r="BJ146" s="98" t="str">
        <f>IF(AND(BD146&lt;&gt;"AGUARDANDO",BD146&lt;&gt;"",N146="AUXÍLIO ALUGUEL ATÉ INDENIZAÇÃO"),"SIM","NÃO")</f>
        <v>NÃO</v>
      </c>
      <c r="BK146" s="219" t="s">
        <v>4436</v>
      </c>
      <c r="BL146" s="219" t="s">
        <v>4436</v>
      </c>
      <c r="BM146" s="219" t="s">
        <v>4436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4434</v>
      </c>
      <c r="BS146" s="223"/>
      <c r="BT146" s="223"/>
    </row>
    <row r="147" spans="1:73" s="240" customFormat="1" ht="27" hidden="1" customHeight="1" x14ac:dyDescent="0.25">
      <c r="A147" s="207">
        <v>143</v>
      </c>
      <c r="B147" s="197" t="s">
        <v>4396</v>
      </c>
      <c r="C147" s="207" t="s">
        <v>4426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4535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>IF(AQ147="SIM","AGUARDANDO CORREÇÃO",IF(AP147&lt;&gt;"","FINALIZADO",IF(AO147&lt;&gt;"","AGUARDANDO ENVIO DTS",IF(AN147&lt;&gt;"","AGUARDANDO ASSINATURA GAB",IF(AM147&lt;&gt;"","AGUARDANDO ASSINATURA CTS",IF(AL147&lt;&gt;"","AGUARDANDO ENVIO ASSINATURA CTS",IF(AK147&lt;&gt;"","AGUARDANDO CONFERÊNCIA","")))))))</f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>IFERROR(IF(BD147-KI147=0,"",BD147-AK147),"")</f>
        <v/>
      </c>
      <c r="BI147" s="98" t="str">
        <f>IF(AND(AH147&lt;&gt;"SIM",AH147="UH"),"AA","INDENIZAÇÃO")</f>
        <v>AA</v>
      </c>
      <c r="BJ147" s="98" t="str">
        <f>IF(AND(BD147&lt;&gt;"AGUARDANDO",BD147&lt;&gt;"",N147="AUXÍLIO ALUGUEL ATÉ INDENIZAÇÃO"),"SIM","NÃO")</f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hidden="1" customHeight="1" x14ac:dyDescent="0.25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>IF(AQ148="SIM","AGUARDANDO CORREÇÃO",IF(AP148&lt;&gt;"","FINALIZADO",IF(AO148&lt;&gt;"","AGUARDANDO ENVIO DTS",IF(AN148&lt;&gt;"","AGUARDANDO ASSINATURA GAB",IF(AM148&lt;&gt;"","AGUARDANDO ASSINATURA CTS",IF(AL148&lt;&gt;"","AGUARDANDO ENVIO ASSINATURA CTS",IF(AK148&lt;&gt;"","AGUARDANDO CONFERÊNCIA","")))))))</f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>IFERROR(IF(BD148-KI148=0,"",BD148-AK148),"")</f>
        <v/>
      </c>
      <c r="BI148" s="98" t="str">
        <f>IF(AND(AH148&lt;&gt;"SIM",AH148="UH"),"AA","INDENIZAÇÃO")</f>
        <v>INDENIZAÇÃO</v>
      </c>
      <c r="BJ148" s="98" t="str">
        <f>IF(AND(BD148&lt;&gt;"AGUARDANDO",BD148&lt;&gt;"",N148="AUXÍLIO ALUGUEL ATÉ INDENIZAÇÃO"),"SIM","NÃO")</f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customHeight="1" x14ac:dyDescent="0.25">
      <c r="A149" s="197">
        <v>145</v>
      </c>
      <c r="B149" s="197" t="s">
        <v>4396</v>
      </c>
      <c r="C149" s="207" t="s">
        <v>4426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4441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4432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>IF(AQ149="SIM","AGUARDANDO CORREÇÃO",IF(AP149&lt;&gt;"","FINALIZADO",IF(AO149&lt;&gt;"","AGUARDANDO ENVIO DTS",IF(AN149&lt;&gt;"","AGUARDANDO ASSINATURA GAB",IF(AM149&lt;&gt;"","AGUARDANDO ASSINATURA CTS",IF(AL149&lt;&gt;"","AGUARDANDO ENVIO ASSINATURA CTS",IF(AK149&lt;&gt;"","AGUARDANDO CONFERÊNCIA","")))))))</f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4434</v>
      </c>
      <c r="BF149" s="228" t="s">
        <v>4435</v>
      </c>
      <c r="BG149" s="229" t="s">
        <v>4425</v>
      </c>
      <c r="BH149" s="321">
        <f>IFERROR(IF(BD149-KI149=0,"",BD149-AK149),"")</f>
        <v>60</v>
      </c>
      <c r="BI149" s="98" t="str">
        <f>IF(AND(AH149&lt;&gt;"SIM",AH149="UH"),"AA","INDENIZAÇÃO")</f>
        <v>INDENIZAÇÃO</v>
      </c>
      <c r="BJ149" s="98" t="str">
        <f>IF(AND(BD149&lt;&gt;"AGUARDANDO",BD149&lt;&gt;"",N149="AUXÍLIO ALUGUEL ATÉ INDENIZAÇÃO"),"SIM","NÃO")</f>
        <v>NÃO</v>
      </c>
      <c r="BK149" s="219" t="s">
        <v>4436</v>
      </c>
      <c r="BL149" s="219" t="s">
        <v>4436</v>
      </c>
      <c r="BM149" s="219" t="s">
        <v>4436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4434</v>
      </c>
    </row>
    <row r="150" spans="1:73" s="240" customFormat="1" ht="27" customHeight="1" x14ac:dyDescent="0.25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4441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4432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>IF(AQ150="SIM","AGUARDANDO CORREÇÃO",IF(AP150&lt;&gt;"","FINALIZADO",IF(AO150&lt;&gt;"","AGUARDANDO ENVIO DTS",IF(AN150&lt;&gt;"","AGUARDANDO ASSINATURA GAB",IF(AM150&lt;&gt;"","AGUARDANDO ASSINATURA CTS",IF(AL150&lt;&gt;"","AGUARDANDO ENVIO ASSINATURA CTS",IF(AK150&lt;&gt;"","AGUARDANDO CONFERÊNCIA","")))))))</f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4434</v>
      </c>
      <c r="BF150" s="228" t="s">
        <v>4435</v>
      </c>
      <c r="BG150" s="229" t="s">
        <v>4425</v>
      </c>
      <c r="BH150" s="321">
        <f>IFERROR(IF(BD150-KI150=0,"",BD150-AK150),"")</f>
        <v>71</v>
      </c>
      <c r="BI150" s="98" t="str">
        <f>IF(AND(AH150&lt;&gt;"SIM",AH150="UH"),"AA","INDENIZAÇÃO")</f>
        <v>INDENIZAÇÃO</v>
      </c>
      <c r="BJ150" s="98" t="str">
        <f>IF(AND(BD150&lt;&gt;"AGUARDANDO",BD150&lt;&gt;"",N150="AUXÍLIO ALUGUEL ATÉ INDENIZAÇÃO"),"SIM","NÃO")</f>
        <v>NÃO</v>
      </c>
      <c r="BK150" s="230" t="s">
        <v>4436</v>
      </c>
      <c r="BL150" s="230" t="s">
        <v>4436</v>
      </c>
      <c r="BM150" s="230" t="s">
        <v>4436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4434</v>
      </c>
    </row>
    <row r="151" spans="1:73" s="240" customFormat="1" ht="27" hidden="1" customHeight="1" x14ac:dyDescent="0.25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4431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4432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>IF(AQ151="SIM","AGUARDANDO CORREÇÃO",IF(AP151&lt;&gt;"","FINALIZADO",IF(AO151&lt;&gt;"","AGUARDANDO ENVIO DTS",IF(AN151&lt;&gt;"","AGUARDANDO ASSINATURA GAB",IF(AM151&lt;&gt;"","AGUARDANDO ASSINATURA CTS",IF(AL151&lt;&gt;"","AGUARDANDO ENVIO ASSINATURA CTS",IF(AK151&lt;&gt;"","AGUARDANDO CONFERÊNCIA","")))))))</f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8612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>IFERROR(IF(BD151-KI151=0,"",BD151-AK151),"")</f>
        <v/>
      </c>
      <c r="BI151" s="98" t="str">
        <f>IF(AND(AH151&lt;&gt;"SIM",AH151="UH"),"AA","INDENIZAÇÃO")</f>
        <v>INDENIZAÇÃO</v>
      </c>
      <c r="BJ151" s="98" t="str">
        <f>IF(AND(BD151&lt;&gt;"AGUARDANDO",BD151&lt;&gt;"",N151="AUXÍLIO ALUGUEL ATÉ INDENIZAÇÃO"),"SIM","NÃO")</f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 x14ac:dyDescent="0.25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4441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>IF(AQ152="SIM","AGUARDANDO CORREÇÃO",IF(AP152&lt;&gt;"","FINALIZADO",IF(AO152&lt;&gt;"","AGUARDANDO ENVIO DTS",IF(AN152&lt;&gt;"","AGUARDANDO ASSINATURA GAB",IF(AM152&lt;&gt;"","AGUARDANDO ASSINATURA CTS",IF(AL152&lt;&gt;"","AGUARDANDO ENVIO ASSINATURA CTS",IF(AK152&lt;&gt;"","AGUARDANDO CONFERÊNCIA","")))))))</f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4434</v>
      </c>
      <c r="BF152" s="228" t="s">
        <v>4435</v>
      </c>
      <c r="BG152" s="219" t="s">
        <v>4425</v>
      </c>
      <c r="BH152" s="321">
        <f>IFERROR(IF(BD152-KI152=0,"",BD152-AK152),"")</f>
        <v>45</v>
      </c>
      <c r="BI152" s="98" t="str">
        <f>IF(AND(AH152&lt;&gt;"SIM",AH152="UH"),"AA","INDENIZAÇÃO")</f>
        <v>INDENIZAÇÃO</v>
      </c>
      <c r="BJ152" s="98" t="str">
        <f>IF(AND(BD152&lt;&gt;"AGUARDANDO",BD152&lt;&gt;"",N152="AUXÍLIO ALUGUEL ATÉ INDENIZAÇÃO"),"SIM","NÃO")</f>
        <v>NÃO</v>
      </c>
      <c r="BK152" s="219" t="s">
        <v>4436</v>
      </c>
      <c r="BL152" s="219" t="s">
        <v>4436</v>
      </c>
      <c r="BM152" s="219" t="s">
        <v>4436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4434</v>
      </c>
    </row>
    <row r="153" spans="1:73" s="240" customFormat="1" ht="27" customHeight="1" x14ac:dyDescent="0.25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4441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>IF(AQ153="SIM","AGUARDANDO CORREÇÃO",IF(AP153&lt;&gt;"","FINALIZADO",IF(AO153&lt;&gt;"","AGUARDANDO ENVIO DTS",IF(AN153&lt;&gt;"","AGUARDANDO ASSINATURA GAB",IF(AM153&lt;&gt;"","AGUARDANDO ASSINATURA CTS",IF(AL153&lt;&gt;"","AGUARDANDO ENVIO ASSINATURA CTS",IF(AK153&lt;&gt;"","AGUARDANDO CONFERÊNCIA","")))))))</f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4434</v>
      </c>
      <c r="BF153" s="228" t="s">
        <v>4400</v>
      </c>
      <c r="BG153" s="219" t="s">
        <v>4425</v>
      </c>
      <c r="BH153" s="321">
        <f>IFERROR(IF(BD153-KI153=0,"",BD153-AK153),"")</f>
        <v>77</v>
      </c>
      <c r="BI153" s="98" t="str">
        <f>IF(AND(AH153&lt;&gt;"SIM",AH153="UH"),"AA","INDENIZAÇÃO")</f>
        <v>INDENIZAÇÃO</v>
      </c>
      <c r="BJ153" s="98" t="str">
        <f>IF(AND(BD153&lt;&gt;"AGUARDANDO",BD153&lt;&gt;"",N153="AUXÍLIO ALUGUEL ATÉ INDENIZAÇÃO"),"SIM","NÃO")</f>
        <v>NÃO</v>
      </c>
      <c r="BK153" s="219" t="s">
        <v>4436</v>
      </c>
      <c r="BL153" s="219" t="s">
        <v>4436</v>
      </c>
      <c r="BM153" s="219" t="s">
        <v>4436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4434</v>
      </c>
      <c r="BS153" s="223"/>
    </row>
    <row r="154" spans="1:73" s="240" customFormat="1" ht="27" customHeight="1" x14ac:dyDescent="0.25">
      <c r="A154" s="197">
        <v>150</v>
      </c>
      <c r="B154" s="197" t="s">
        <v>4396</v>
      </c>
      <c r="C154" s="207" t="s">
        <v>4426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4441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4432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>IF(AQ154="SIM","AGUARDANDO CORREÇÃO",IF(AP154&lt;&gt;"","FINALIZADO",IF(AO154&lt;&gt;"","AGUARDANDO ENVIO DTS",IF(AN154&lt;&gt;"","AGUARDANDO ASSINATURA GAB",IF(AM154&lt;&gt;"","AGUARDANDO ASSINATURA CTS",IF(AL154&lt;&gt;"","AGUARDANDO ENVIO ASSINATURA CTS",IF(AK154&lt;&gt;"","AGUARDANDO CONFERÊNCIA","")))))))</f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4434</v>
      </c>
      <c r="BF154" s="228" t="s">
        <v>4435</v>
      </c>
      <c r="BG154" s="229" t="s">
        <v>4425</v>
      </c>
      <c r="BH154" s="321">
        <f>IFERROR(IF(BD154-KI154=0,"",BD154-AK154),"")</f>
        <v>55</v>
      </c>
      <c r="BI154" s="98" t="str">
        <f>IF(AND(AH154&lt;&gt;"SIM",AH154="UH"),"AA","INDENIZAÇÃO")</f>
        <v>INDENIZAÇÃO</v>
      </c>
      <c r="BJ154" s="98" t="str">
        <f>IF(AND(BD154&lt;&gt;"AGUARDANDO",BD154&lt;&gt;"",N154="AUXÍLIO ALUGUEL ATÉ INDENIZAÇÃO"),"SIM","NÃO")</f>
        <v>NÃO</v>
      </c>
      <c r="BK154" s="230" t="s">
        <v>4436</v>
      </c>
      <c r="BL154" s="230" t="s">
        <v>4436</v>
      </c>
      <c r="BM154" s="230" t="s">
        <v>4436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4434</v>
      </c>
    </row>
    <row r="155" spans="1:73" s="240" customFormat="1" ht="27" customHeight="1" x14ac:dyDescent="0.25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4427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4441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>IF(AQ155="SIM","AGUARDANDO CORREÇÃO",IF(AP155&lt;&gt;"","FINALIZADO",IF(AO155&lt;&gt;"","AGUARDANDO ENVIO DTS",IF(AN155&lt;&gt;"","AGUARDANDO ASSINATURA GAB",IF(AM155&lt;&gt;"","AGUARDANDO ASSINATURA CTS",IF(AL155&lt;&gt;"","AGUARDANDO ENVIO ASSINATURA CTS",IF(AK155&lt;&gt;"","AGUARDANDO CONFERÊNCIA","")))))))</f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4434</v>
      </c>
      <c r="BF155" s="228" t="s">
        <v>4435</v>
      </c>
      <c r="BG155" s="229" t="s">
        <v>4425</v>
      </c>
      <c r="BH155" s="321">
        <f>IFERROR(IF(BD155-KI155=0,"",BD155-AK155),"")</f>
        <v>45</v>
      </c>
      <c r="BI155" s="98" t="str">
        <f>IF(AND(AH155&lt;&gt;"SIM",AH155="UH"),"AA","INDENIZAÇÃO")</f>
        <v>INDENIZAÇÃO</v>
      </c>
      <c r="BJ155" s="98" t="str">
        <f>IF(AND(BD155&lt;&gt;"AGUARDANDO",BD155&lt;&gt;"",N155="AUXÍLIO ALUGUEL ATÉ INDENIZAÇÃO"),"SIM","NÃO")</f>
        <v>NÃO</v>
      </c>
      <c r="BK155" s="230" t="s">
        <v>4436</v>
      </c>
      <c r="BL155" s="230" t="s">
        <v>4436</v>
      </c>
      <c r="BM155" s="230" t="s">
        <v>4436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4434</v>
      </c>
    </row>
    <row r="156" spans="1:73" s="240" customFormat="1" ht="27" customHeight="1" x14ac:dyDescent="0.25">
      <c r="A156" s="207">
        <v>152</v>
      </c>
      <c r="B156" s="197" t="s">
        <v>4396</v>
      </c>
      <c r="C156" s="207" t="s">
        <v>4426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4441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4432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>IF(AQ156="SIM","AGUARDANDO CORREÇÃO",IF(AP156&lt;&gt;"","FINALIZADO",IF(AO156&lt;&gt;"","AGUARDANDO ENVIO DTS",IF(AN156&lt;&gt;"","AGUARDANDO ASSINATURA GAB",IF(AM156&lt;&gt;"","AGUARDANDO ASSINATURA CTS",IF(AL156&lt;&gt;"","AGUARDANDO ENVIO ASSINATURA CTS",IF(AK156&lt;&gt;"","AGUARDANDO CONFERÊNCIA","")))))))</f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4434</v>
      </c>
      <c r="BF156" s="228" t="s">
        <v>4435</v>
      </c>
      <c r="BG156" s="229" t="s">
        <v>4425</v>
      </c>
      <c r="BH156" s="321">
        <f>IFERROR(IF(BD156-KI156=0,"",BD156-AK156),"")</f>
        <v>76</v>
      </c>
      <c r="BI156" s="98" t="str">
        <f>IF(AND(AH156&lt;&gt;"SIM",AH156="UH"),"AA","INDENIZAÇÃO")</f>
        <v>INDENIZAÇÃO</v>
      </c>
      <c r="BJ156" s="98" t="str">
        <f>IF(AND(BD156&lt;&gt;"AGUARDANDO",BD156&lt;&gt;"",N156="AUXÍLIO ALUGUEL ATÉ INDENIZAÇÃO"),"SIM","NÃO")</f>
        <v>NÃO</v>
      </c>
      <c r="BK156" s="230" t="s">
        <v>4436</v>
      </c>
      <c r="BL156" s="230" t="s">
        <v>4436</v>
      </c>
      <c r="BM156" s="230" t="s">
        <v>4436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4434</v>
      </c>
      <c r="BS156" s="223"/>
      <c r="BT156" s="223"/>
    </row>
    <row r="157" spans="1:73" s="240" customFormat="1" ht="27" customHeight="1" x14ac:dyDescent="0.25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4582</v>
      </c>
      <c r="I157" s="207" t="s">
        <v>4402</v>
      </c>
      <c r="J157" s="215" t="s">
        <v>5095</v>
      </c>
      <c r="K157" s="215" t="s">
        <v>4905</v>
      </c>
      <c r="L157" s="215" t="s">
        <v>5096</v>
      </c>
      <c r="M157" s="207" t="s">
        <v>4405</v>
      </c>
      <c r="N157" s="207" t="s">
        <v>4431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4905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4432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>IF(AQ157="SIM","AGUARDANDO CORREÇÃO",IF(AP157&lt;&gt;"","FINALIZADO",IF(AO157&lt;&gt;"","AGUARDANDO ENVIO DTS",IF(AN157&lt;&gt;"","AGUARDANDO ASSINATURA GAB",IF(AM157&lt;&gt;"","AGUARDANDO ASSINATURA CTS",IF(AL157&lt;&gt;"","AGUARDANDO ENVIO ASSINATURA CTS",IF(AK157&lt;&gt;"","AGUARDANDO CONFERÊNCIA","")))))))</f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4434</v>
      </c>
      <c r="BF157" s="228" t="s">
        <v>4400</v>
      </c>
      <c r="BG157" s="219" t="s">
        <v>4425</v>
      </c>
      <c r="BH157" s="321">
        <f>IFERROR(IF(BD157-KI157=0,"",BD157-AK157),"")</f>
        <v>53</v>
      </c>
      <c r="BI157" s="98" t="str">
        <f>IF(AND(AH157&lt;&gt;"SIM",AH157="UH"),"AA","INDENIZAÇÃO")</f>
        <v>INDENIZAÇÃO</v>
      </c>
      <c r="BJ157" s="98" t="str">
        <f>IF(AND(BD157&lt;&gt;"AGUARDANDO",BD157&lt;&gt;"",N157="AUXÍLIO ALUGUEL ATÉ INDENIZAÇÃO"),"SIM","NÃO")</f>
        <v>NÃO</v>
      </c>
      <c r="BK157" s="219" t="s">
        <v>4436</v>
      </c>
      <c r="BL157" s="219" t="s">
        <v>4436</v>
      </c>
      <c r="BM157" s="219" t="s">
        <v>4436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4434</v>
      </c>
      <c r="BS157" s="223"/>
      <c r="BT157" s="223"/>
      <c r="BU157" s="223"/>
    </row>
    <row r="158" spans="1:73" s="240" customFormat="1" ht="27" hidden="1" customHeight="1" x14ac:dyDescent="0.25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>IF(AQ158="SIM","AGUARDANDO CORREÇÃO",IF(AP158&lt;&gt;"","FINALIZADO",IF(AO158&lt;&gt;"","AGUARDANDO ENVIO DTS",IF(AN158&lt;&gt;"","AGUARDANDO ASSINATURA GAB",IF(AM158&lt;&gt;"","AGUARDANDO ASSINATURA CTS",IF(AL158&lt;&gt;"","AGUARDANDO ENVIO ASSINATURA CTS",IF(AK158&lt;&gt;"","AGUARDANDO CONFERÊNCIA","")))))))</f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>IFERROR(IF(BD158-KI158=0,"",BD158-AK158),"")</f>
        <v/>
      </c>
      <c r="BI158" s="98" t="str">
        <f>IF(AND(AH158&lt;&gt;"SIM",AH158="UH"),"AA","INDENIZAÇÃO")</f>
        <v>AA</v>
      </c>
      <c r="BJ158" s="98" t="str">
        <f>IF(AND(BD158&lt;&gt;"AGUARDANDO",BD158&lt;&gt;"",N158="AUXÍLIO ALUGUEL ATÉ INDENIZAÇÃO"),"SIM","NÃO")</f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customHeight="1" x14ac:dyDescent="0.25">
      <c r="A159" s="197">
        <v>155</v>
      </c>
      <c r="B159" s="197" t="s">
        <v>4396</v>
      </c>
      <c r="C159" s="207" t="s">
        <v>4426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4441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4432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>IF(AQ159="SIM","AGUARDANDO CORREÇÃO",IF(AP159&lt;&gt;"","FINALIZADO",IF(AO159&lt;&gt;"","AGUARDANDO ENVIO DTS",IF(AN159&lt;&gt;"","AGUARDANDO ASSINATURA GAB",IF(AM159&lt;&gt;"","AGUARDANDO ASSINATURA CTS",IF(AL159&lt;&gt;"","AGUARDANDO ENVIO ASSINATURA CTS",IF(AK159&lt;&gt;"","AGUARDANDO CONFERÊNCIA","")))))))</f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4434</v>
      </c>
      <c r="BF159" s="236" t="s">
        <v>4435</v>
      </c>
      <c r="BG159" s="237" t="s">
        <v>4425</v>
      </c>
      <c r="BH159" s="321">
        <f>IFERROR(IF(BD159-KI159=0,"",BD159-AK159),"")</f>
        <v>144</v>
      </c>
      <c r="BI159" s="98" t="str">
        <f>IF(AND(AH159&lt;&gt;"SIM",AH159="UH"),"AA","INDENIZAÇÃO")</f>
        <v>INDENIZAÇÃO</v>
      </c>
      <c r="BJ159" s="98" t="str">
        <f>IF(AND(BD159&lt;&gt;"AGUARDANDO",BD159&lt;&gt;"",N159="AUXÍLIO ALUGUEL ATÉ INDENIZAÇÃO"),"SIM","NÃO")</f>
        <v>NÃO</v>
      </c>
      <c r="BK159" s="238" t="s">
        <v>4436</v>
      </c>
      <c r="BL159" s="238" t="s">
        <v>4436</v>
      </c>
      <c r="BM159" s="238" t="s">
        <v>4436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4434</v>
      </c>
      <c r="BS159" s="223"/>
    </row>
    <row r="160" spans="1:73" s="240" customFormat="1" ht="27" hidden="1" customHeight="1" x14ac:dyDescent="0.25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4535</v>
      </c>
      <c r="I160" s="207" t="s">
        <v>4535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>IF(AQ160="SIM","AGUARDANDO CORREÇÃO",IF(AP160&lt;&gt;"","FINALIZADO",IF(AO160&lt;&gt;"","AGUARDANDO ENVIO DTS",IF(AN160&lt;&gt;"","AGUARDANDO ASSINATURA GAB",IF(AM160&lt;&gt;"","AGUARDANDO ASSINATURA CTS",IF(AL160&lt;&gt;"","AGUARDANDO ENVIO ASSINATURA CTS",IF(AK160&lt;&gt;"","AGUARDANDO CONFERÊNCIA","")))))))</f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>IFERROR(IF(BD160-KI160=0,"",BD160-AK160),"")</f>
        <v/>
      </c>
      <c r="BI160" s="98" t="str">
        <f>IF(AND(AH160&lt;&gt;"SIM",AH160="UH"),"AA","INDENIZAÇÃO")</f>
        <v>AA</v>
      </c>
      <c r="BJ160" s="98" t="str">
        <f>IF(AND(BD160&lt;&gt;"AGUARDANDO",BD160&lt;&gt;"",N160="AUXÍLIO ALUGUEL ATÉ INDENIZAÇÃO"),"SIM","NÃO")</f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hidden="1" customHeight="1" x14ac:dyDescent="0.25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4431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4432</v>
      </c>
      <c r="AR161" s="315" t="str">
        <f>IF(AQ161="SIM","AGUARDANDO CORREÇÃO",IF(AP161&lt;&gt;"","FINALIZADO",IF(AO161&lt;&gt;"","AGUARDANDO ENVIO DTS",IF(AN161&lt;&gt;"","AGUARDANDO ASSINATURA GAB",IF(AM161&lt;&gt;"","AGUARDANDO ASSINATURA CTS",IF(AL161&lt;&gt;"","AGUARDANDO ENVIO ASSINATURA CTS",IF(AK161&lt;&gt;"","AGUARDANDO CONFERÊNCIA","")))))))</f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>IFERROR(IF(BD161-KI161=0,"",BD161-AK161),"")</f>
        <v/>
      </c>
      <c r="BI161" s="98" t="str">
        <f>IF(AND(AH161&lt;&gt;"SIM",AH161="UH"),"AA","INDENIZAÇÃO")</f>
        <v>INDENIZAÇÃO</v>
      </c>
      <c r="BJ161" s="98" t="str">
        <f>IF(AND(BD161&lt;&gt;"AGUARDANDO",BD161&lt;&gt;"",N161="AUXÍLIO ALUGUEL ATÉ INDENIZAÇÃO"),"SIM","NÃO")</f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customHeight="1" x14ac:dyDescent="0.2">
      <c r="A162" s="207">
        <v>158</v>
      </c>
      <c r="B162" s="197" t="s">
        <v>4396</v>
      </c>
      <c r="C162" s="207" t="s">
        <v>4426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4427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4441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4432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>IF(AQ162="SIM","AGUARDANDO CORREÇÃO",IF(AP162&lt;&gt;"","FINALIZADO",IF(AO162&lt;&gt;"","AGUARDANDO ENVIO DTS",IF(AN162&lt;&gt;"","AGUARDANDO ASSINATURA GAB",IF(AM162&lt;&gt;"","AGUARDANDO ASSINATURA CTS",IF(AL162&lt;&gt;"","AGUARDANDO ENVIO ASSINATURA CTS",IF(AK162&lt;&gt;"","AGUARDANDO CONFERÊNCIA","")))))))</f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4434</v>
      </c>
      <c r="BF162" s="228" t="s">
        <v>4435</v>
      </c>
      <c r="BG162" s="229" t="s">
        <v>4425</v>
      </c>
      <c r="BH162" s="321">
        <f>IFERROR(IF(BD162-KI162=0,"",BD162-AK162),"")</f>
        <v>76</v>
      </c>
      <c r="BI162" s="98" t="str">
        <f>IF(AND(AH162&lt;&gt;"SIM",AH162="UH"),"AA","INDENIZAÇÃO")</f>
        <v>INDENIZAÇÃO</v>
      </c>
      <c r="BJ162" s="98" t="str">
        <f>IF(AND(BD162&lt;&gt;"AGUARDANDO",BD162&lt;&gt;"",N162="AUXÍLIO ALUGUEL ATÉ INDENIZAÇÃO"),"SIM","NÃO")</f>
        <v>NÃO</v>
      </c>
      <c r="BK162" s="230" t="s">
        <v>4436</v>
      </c>
      <c r="BL162" s="230" t="s">
        <v>4436</v>
      </c>
      <c r="BM162" s="230" t="s">
        <v>4436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4434</v>
      </c>
    </row>
    <row r="163" spans="1:73" s="240" customFormat="1" ht="27" hidden="1" customHeight="1" x14ac:dyDescent="0.25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>IF(AQ163="SIM","AGUARDANDO CORREÇÃO",IF(AP163&lt;&gt;"","FINALIZADO",IF(AO163&lt;&gt;"","AGUARDANDO ENVIO DTS",IF(AN163&lt;&gt;"","AGUARDANDO ASSINATURA GAB",IF(AM163&lt;&gt;"","AGUARDANDO ASSINATURA CTS",IF(AL163&lt;&gt;"","AGUARDANDO ENVIO ASSINATURA CTS",IF(AK163&lt;&gt;"","AGUARDANDO CONFERÊNCIA","")))))))</f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>IFERROR(IF(BD163-KI163=0,"",BD163-AK163),"")</f>
        <v/>
      </c>
      <c r="BI163" s="98" t="str">
        <f>IF(AND(AH163&lt;&gt;"SIM",AH163="UH"),"AA","INDENIZAÇÃO")</f>
        <v>AA</v>
      </c>
      <c r="BJ163" s="98" t="str">
        <f>IF(AND(BD163&lt;&gt;"AGUARDANDO",BD163&lt;&gt;"",N163="AUXÍLIO ALUGUEL ATÉ INDENIZAÇÃO"),"SIM","NÃO")</f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hidden="1" customHeight="1" x14ac:dyDescent="0.25">
      <c r="A164" s="197">
        <v>160</v>
      </c>
      <c r="B164" s="197" t="s">
        <v>4396</v>
      </c>
      <c r="C164" s="207" t="s">
        <v>4426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>IF(AQ164="SIM","AGUARDANDO CORREÇÃO",IF(AP164&lt;&gt;"","FINALIZADO",IF(AO164&lt;&gt;"","AGUARDANDO ENVIO DTS",IF(AN164&lt;&gt;"","AGUARDANDO ASSINATURA GAB",IF(AM164&lt;&gt;"","AGUARDANDO ASSINATURA CTS",IF(AL164&lt;&gt;"","AGUARDANDO ENVIO ASSINATURA CTS",IF(AK164&lt;&gt;"","AGUARDANDO CONFERÊNCIA","")))))))</f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>IFERROR(IF(BD164-KI164=0,"",BD164-AK164),"")</f>
        <v/>
      </c>
      <c r="BI164" s="98" t="str">
        <f>IF(AND(AH164&lt;&gt;"SIM",AH164="UH"),"AA","INDENIZAÇÃO")</f>
        <v>AA</v>
      </c>
      <c r="BJ164" s="98" t="str">
        <f>IF(AND(BD164&lt;&gt;"AGUARDANDO",BD164&lt;&gt;"",N164="AUXÍLIO ALUGUEL ATÉ INDENIZAÇÃO"),"SIM","NÃO")</f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hidden="1" customHeight="1" x14ac:dyDescent="0.25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>IF(AQ165="SIM","AGUARDANDO CORREÇÃO",IF(AP165&lt;&gt;"","FINALIZADO",IF(AO165&lt;&gt;"","AGUARDANDO ENVIO DTS",IF(AN165&lt;&gt;"","AGUARDANDO ASSINATURA GAB",IF(AM165&lt;&gt;"","AGUARDANDO ASSINATURA CTS",IF(AL165&lt;&gt;"","AGUARDANDO ENVIO ASSINATURA CTS",IF(AK165&lt;&gt;"","AGUARDANDO CONFERÊNCIA","")))))))</f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4856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>IFERROR(IF(BD165-KI165=0,"",BD165-AK165),"")</f>
        <v/>
      </c>
      <c r="BI165" s="98" t="str">
        <f>IF(AND(AH165&lt;&gt;"SIM",AH165="UH"),"AA","INDENIZAÇÃO")</f>
        <v>INDENIZAÇÃO</v>
      </c>
      <c r="BJ165" s="98" t="str">
        <f>IF(AND(BD165&lt;&gt;"AGUARDANDO",BD165&lt;&gt;"",N165="AUXÍLIO ALUGUEL ATÉ INDENIZAÇÃO"),"SIM","NÃO")</f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customHeight="1" x14ac:dyDescent="0.25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4441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>IF(AQ166="SIM","AGUARDANDO CORREÇÃO",IF(AP166&lt;&gt;"","FINALIZADO",IF(AO166&lt;&gt;"","AGUARDANDO ENVIO DTS",IF(AN166&lt;&gt;"","AGUARDANDO ASSINATURA GAB",IF(AM166&lt;&gt;"","AGUARDANDO ASSINATURA CTS",IF(AL166&lt;&gt;"","AGUARDANDO ENVIO ASSINATURA CTS",IF(AK166&lt;&gt;"","AGUARDANDO CONFERÊNCIA","")))))))</f>
        <v>FINALIZADO</v>
      </c>
      <c r="AS166" s="207" t="s">
        <v>4423</v>
      </c>
      <c r="AT166" s="260"/>
      <c r="AU166" s="220" t="s">
        <v>5138</v>
      </c>
      <c r="AV166" s="197" t="s">
        <v>4817</v>
      </c>
      <c r="AW166" s="207" t="s">
        <v>4817</v>
      </c>
      <c r="AX166" s="207" t="s">
        <v>4817</v>
      </c>
      <c r="AY166" s="207" t="s">
        <v>4817</v>
      </c>
      <c r="AZ166" s="202">
        <v>46233</v>
      </c>
      <c r="BA166" s="207" t="s">
        <v>4817</v>
      </c>
      <c r="BB166" s="207" t="s">
        <v>4817</v>
      </c>
      <c r="BC166" s="202">
        <v>46237</v>
      </c>
      <c r="BD166" s="226">
        <v>46237</v>
      </c>
      <c r="BE166" s="257" t="s">
        <v>4434</v>
      </c>
      <c r="BF166" s="257" t="s">
        <v>4435</v>
      </c>
      <c r="BG166" s="219" t="s">
        <v>4425</v>
      </c>
      <c r="BH166" s="321">
        <f>IFERROR(IF(BD166-KI166=0,"",BD166-AK166),"")</f>
        <v>49</v>
      </c>
      <c r="BI166" s="98" t="str">
        <f>IF(AND(AH166&lt;&gt;"SIM",AH166="UH"),"AA","INDENIZAÇÃO")</f>
        <v>INDENIZAÇÃO</v>
      </c>
      <c r="BJ166" s="98" t="str">
        <f>IF(AND(BD166&lt;&gt;"AGUARDANDO",BD166&lt;&gt;"",N166="AUXÍLIO ALUGUEL ATÉ INDENIZAÇÃO"),"SIM","NÃO")</f>
        <v>NÃO</v>
      </c>
      <c r="BK166" s="219" t="s">
        <v>4436</v>
      </c>
      <c r="BL166" s="219" t="s">
        <v>4436</v>
      </c>
      <c r="BM166" s="219" t="s">
        <v>4436</v>
      </c>
      <c r="BN166" s="250" t="s">
        <v>4425</v>
      </c>
      <c r="BO166" s="250" t="s">
        <v>4425</v>
      </c>
      <c r="BP166" s="202">
        <v>46269</v>
      </c>
      <c r="BQ166" s="257" t="s">
        <v>4818</v>
      </c>
      <c r="BR166" s="258"/>
      <c r="BS166" s="223"/>
    </row>
    <row r="167" spans="1:73" s="240" customFormat="1" ht="27" customHeight="1" x14ac:dyDescent="0.25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4582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4441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4432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>IF(AQ167="SIM","AGUARDANDO CORREÇÃO",IF(AP167&lt;&gt;"","FINALIZADO",IF(AO167&lt;&gt;"","AGUARDANDO ENVIO DTS",IF(AN167&lt;&gt;"","AGUARDANDO ASSINATURA GAB",IF(AM167&lt;&gt;"","AGUARDANDO ASSINATURA CTS",IF(AL167&lt;&gt;"","AGUARDANDO ENVIO ASSINATURA CTS",IF(AK167&lt;&gt;"","AGUARDANDO CONFERÊNCIA","")))))))</f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4434</v>
      </c>
      <c r="BF167" s="268" t="s">
        <v>4435</v>
      </c>
      <c r="BG167" s="269" t="s">
        <v>4425</v>
      </c>
      <c r="BH167" s="321">
        <f>IFERROR(IF(BD167-KI167=0,"",BD167-AK167),"")</f>
        <v>30</v>
      </c>
      <c r="BI167" s="98" t="str">
        <f>IF(AND(AH167&lt;&gt;"SIM",AH167="UH"),"AA","INDENIZAÇÃO")</f>
        <v>INDENIZAÇÃO</v>
      </c>
      <c r="BJ167" s="98" t="str">
        <f>IF(AND(BD167&lt;&gt;"AGUARDANDO",BD167&lt;&gt;"",N167="AUXÍLIO ALUGUEL ATÉ INDENIZAÇÃO"),"SIM","NÃO")</f>
        <v>NÃO</v>
      </c>
      <c r="BK167" s="161" t="s">
        <v>4436</v>
      </c>
      <c r="BL167" s="219" t="s">
        <v>4436</v>
      </c>
      <c r="BM167" s="219" t="s">
        <v>4436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4434</v>
      </c>
    </row>
    <row r="168" spans="1:73" s="240" customFormat="1" ht="27" customHeight="1" x14ac:dyDescent="0.25">
      <c r="A168" s="207">
        <v>164</v>
      </c>
      <c r="B168" s="197" t="s">
        <v>4396</v>
      </c>
      <c r="C168" s="207" t="s">
        <v>4426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4441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4432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>IF(AQ168="SIM","AGUARDANDO CORREÇÃO",IF(AP168&lt;&gt;"","FINALIZADO",IF(AO168&lt;&gt;"","AGUARDANDO ENVIO DTS",IF(AN168&lt;&gt;"","AGUARDANDO ASSINATURA GAB",IF(AM168&lt;&gt;"","AGUARDANDO ASSINATURA CTS",IF(AL168&lt;&gt;"","AGUARDANDO ENVIO ASSINATURA CTS",IF(AK168&lt;&gt;"","AGUARDANDO CONFERÊNCIA","")))))))</f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4434</v>
      </c>
      <c r="BF168" s="228" t="s">
        <v>4435</v>
      </c>
      <c r="BG168" s="229" t="s">
        <v>4425</v>
      </c>
      <c r="BH168" s="321">
        <f>IFERROR(IF(BD168-KI168=0,"",BD168-AK168),"")</f>
        <v>56</v>
      </c>
      <c r="BI168" s="98" t="str">
        <f>IF(AND(AH168&lt;&gt;"SIM",AH168="UH"),"AA","INDENIZAÇÃO")</f>
        <v>INDENIZAÇÃO</v>
      </c>
      <c r="BJ168" s="98" t="str">
        <f>IF(AND(BD168&lt;&gt;"AGUARDANDO",BD168&lt;&gt;"",N168="AUXÍLIO ALUGUEL ATÉ INDENIZAÇÃO"),"SIM","NÃO")</f>
        <v>NÃO</v>
      </c>
      <c r="BK168" s="230" t="s">
        <v>4436</v>
      </c>
      <c r="BL168" s="230" t="s">
        <v>4436</v>
      </c>
      <c r="BM168" s="230" t="s">
        <v>4436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4434</v>
      </c>
      <c r="BS168" s="223"/>
      <c r="BT168" s="223"/>
    </row>
    <row r="169" spans="1:73" s="240" customFormat="1" ht="27" customHeight="1" x14ac:dyDescent="0.25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4441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4432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>IF(AQ169="SIM","AGUARDANDO CORREÇÃO",IF(AP169&lt;&gt;"","FINALIZADO",IF(AO169&lt;&gt;"","AGUARDANDO ENVIO DTS",IF(AN169&lt;&gt;"","AGUARDANDO ASSINATURA GAB",IF(AM169&lt;&gt;"","AGUARDANDO ASSINATURA CTS",IF(AL169&lt;&gt;"","AGUARDANDO ENVIO ASSINATURA CTS",IF(AK169&lt;&gt;"","AGUARDANDO CONFERÊNCIA","")))))))</f>
        <v>FINALIZADO</v>
      </c>
      <c r="AS169" s="207" t="s">
        <v>4423</v>
      </c>
      <c r="AT169" s="260"/>
      <c r="AU169" s="220" t="s">
        <v>5152</v>
      </c>
      <c r="AV169" s="207" t="s">
        <v>4817</v>
      </c>
      <c r="AW169" s="207" t="s">
        <v>4817</v>
      </c>
      <c r="AX169" s="207" t="s">
        <v>4817</v>
      </c>
      <c r="AY169" s="207" t="s">
        <v>4817</v>
      </c>
      <c r="AZ169" s="202">
        <v>46233</v>
      </c>
      <c r="BA169" s="207" t="s">
        <v>4817</v>
      </c>
      <c r="BB169" s="207" t="s">
        <v>4817</v>
      </c>
      <c r="BC169" s="202">
        <v>46237</v>
      </c>
      <c r="BD169" s="226">
        <v>46237</v>
      </c>
      <c r="BE169" s="257" t="s">
        <v>4434</v>
      </c>
      <c r="BF169" s="257" t="s">
        <v>4435</v>
      </c>
      <c r="BG169" s="219" t="s">
        <v>4425</v>
      </c>
      <c r="BH169" s="321">
        <f>IFERROR(IF(BD169-KI169=0,"",BD169-AK169),"")</f>
        <v>49</v>
      </c>
      <c r="BI169" s="98" t="str">
        <f>IF(AND(AH169&lt;&gt;"SIM",AH169="UH"),"AA","INDENIZAÇÃO")</f>
        <v>INDENIZAÇÃO</v>
      </c>
      <c r="BJ169" s="98" t="str">
        <f>IF(AND(BD169&lt;&gt;"AGUARDANDO",BD169&lt;&gt;"",N169="AUXÍLIO ALUGUEL ATÉ INDENIZAÇÃO"),"SIM","NÃO")</f>
        <v>NÃO</v>
      </c>
      <c r="BK169" s="219" t="s">
        <v>4436</v>
      </c>
      <c r="BL169" s="219" t="s">
        <v>4436</v>
      </c>
      <c r="BM169" s="219" t="s">
        <v>4436</v>
      </c>
      <c r="BN169" s="250" t="s">
        <v>4425</v>
      </c>
      <c r="BO169" s="250" t="s">
        <v>4425</v>
      </c>
      <c r="BP169" s="202">
        <v>46269</v>
      </c>
      <c r="BQ169" s="257" t="s">
        <v>4818</v>
      </c>
      <c r="BR169" s="258"/>
      <c r="BS169" s="223"/>
    </row>
    <row r="170" spans="1:73" s="240" customFormat="1" ht="27" customHeight="1" x14ac:dyDescent="0.25">
      <c r="A170" s="197">
        <v>166</v>
      </c>
      <c r="B170" s="197" t="s">
        <v>4396</v>
      </c>
      <c r="C170" s="207" t="s">
        <v>4426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4441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4432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>IF(AQ170="SIM","AGUARDANDO CORREÇÃO",IF(AP170&lt;&gt;"","FINALIZADO",IF(AO170&lt;&gt;"","AGUARDANDO ENVIO DTS",IF(AN170&lt;&gt;"","AGUARDANDO ASSINATURA GAB",IF(AM170&lt;&gt;"","AGUARDANDO ASSINATURA CTS",IF(AL170&lt;&gt;"","AGUARDANDO ENVIO ASSINATURA CTS",IF(AK170&lt;&gt;"","AGUARDANDO CONFERÊNCIA","")))))))</f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4434</v>
      </c>
      <c r="BF170" s="228" t="s">
        <v>4435</v>
      </c>
      <c r="BG170" s="229" t="s">
        <v>4425</v>
      </c>
      <c r="BH170" s="321">
        <f>IFERROR(IF(BD170-KI170=0,"",BD170-AK170),"")</f>
        <v>40</v>
      </c>
      <c r="BI170" s="98" t="str">
        <f>IF(AND(AH170&lt;&gt;"SIM",AH170="UH"),"AA","INDENIZAÇÃO")</f>
        <v>INDENIZAÇÃO</v>
      </c>
      <c r="BJ170" s="98" t="str">
        <f>IF(AND(BD170&lt;&gt;"AGUARDANDO",BD170&lt;&gt;"",N170="AUXÍLIO ALUGUEL ATÉ INDENIZAÇÃO"),"SIM","NÃO")</f>
        <v>NÃO</v>
      </c>
      <c r="BK170" s="230" t="s">
        <v>4436</v>
      </c>
      <c r="BL170" s="230" t="s">
        <v>4436</v>
      </c>
      <c r="BM170" s="230" t="s">
        <v>4436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4434</v>
      </c>
    </row>
    <row r="171" spans="1:73" s="240" customFormat="1" ht="27" customHeight="1" x14ac:dyDescent="0.25">
      <c r="A171" s="207">
        <v>167</v>
      </c>
      <c r="B171" s="197" t="s">
        <v>4396</v>
      </c>
      <c r="C171" s="207" t="s">
        <v>4426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4441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4432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>IF(AQ171="SIM","AGUARDANDO CORREÇÃO",IF(AP171&lt;&gt;"","FINALIZADO",IF(AO171&lt;&gt;"","AGUARDANDO ENVIO DTS",IF(AN171&lt;&gt;"","AGUARDANDO ASSINATURA GAB",IF(AM171&lt;&gt;"","AGUARDANDO ASSINATURA CTS",IF(AL171&lt;&gt;"","AGUARDANDO ENVIO ASSINATURA CTS",IF(AK171&lt;&gt;"","AGUARDANDO CONFERÊNCIA","")))))))</f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4434</v>
      </c>
      <c r="BF171" s="257" t="s">
        <v>4435</v>
      </c>
      <c r="BG171" s="219" t="s">
        <v>4425</v>
      </c>
      <c r="BH171" s="321">
        <f>IFERROR(IF(BD171-KI171=0,"",BD171-AK171),"")</f>
        <v>103</v>
      </c>
      <c r="BI171" s="98" t="str">
        <f>IF(AND(AH171&lt;&gt;"SIM",AH171="UH"),"AA","INDENIZAÇÃO")</f>
        <v>INDENIZAÇÃO</v>
      </c>
      <c r="BJ171" s="98" t="str">
        <f>IF(AND(BD171&lt;&gt;"AGUARDANDO",BD171&lt;&gt;"",N171="AUXÍLIO ALUGUEL ATÉ INDENIZAÇÃO"),"SIM","NÃO")</f>
        <v>NÃO</v>
      </c>
      <c r="BK171" s="219" t="s">
        <v>4436</v>
      </c>
      <c r="BL171" s="219" t="s">
        <v>4436</v>
      </c>
      <c r="BM171" s="219" t="s">
        <v>4436</v>
      </c>
      <c r="BN171" s="250" t="s">
        <v>4425</v>
      </c>
      <c r="BO171" s="250" t="s">
        <v>4425</v>
      </c>
      <c r="BP171" s="202">
        <v>46269</v>
      </c>
      <c r="BQ171" s="257" t="s">
        <v>4818</v>
      </c>
      <c r="BR171" s="258"/>
      <c r="BS171" s="223"/>
    </row>
    <row r="172" spans="1:73" s="240" customFormat="1" ht="27" customHeight="1" x14ac:dyDescent="0.25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4441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>IF(AQ172="SIM","AGUARDANDO CORREÇÃO",IF(AP172&lt;&gt;"","FINALIZADO",IF(AO172&lt;&gt;"","AGUARDANDO ENVIO DTS",IF(AN172&lt;&gt;"","AGUARDANDO ASSINATURA GAB",IF(AM172&lt;&gt;"","AGUARDANDO ASSINATURA CTS",IF(AL172&lt;&gt;"","AGUARDANDO ENVIO ASSINATURA CTS",IF(AK172&lt;&gt;"","AGUARDANDO CONFERÊNCIA","")))))))</f>
        <v>FINALIZADO</v>
      </c>
      <c r="AS172" s="207" t="s">
        <v>4423</v>
      </c>
      <c r="AT172" s="233"/>
      <c r="AU172" s="220" t="s">
        <v>5166</v>
      </c>
      <c r="AV172" s="207" t="s">
        <v>4817</v>
      </c>
      <c r="AW172" s="207" t="s">
        <v>4817</v>
      </c>
      <c r="AX172" s="207" t="s">
        <v>4817</v>
      </c>
      <c r="AY172" s="207" t="s">
        <v>4817</v>
      </c>
      <c r="AZ172" s="202">
        <v>46233</v>
      </c>
      <c r="BA172" s="207" t="s">
        <v>4817</v>
      </c>
      <c r="BB172" s="207" t="s">
        <v>4817</v>
      </c>
      <c r="BC172" s="202">
        <v>46237</v>
      </c>
      <c r="BD172" s="226">
        <v>46237</v>
      </c>
      <c r="BE172" s="257" t="s">
        <v>4434</v>
      </c>
      <c r="BF172" s="257" t="s">
        <v>4435</v>
      </c>
      <c r="BG172" s="219" t="s">
        <v>4425</v>
      </c>
      <c r="BH172" s="321">
        <f>IFERROR(IF(BD172-KI172=0,"",BD172-AK172),"")</f>
        <v>48</v>
      </c>
      <c r="BI172" s="98" t="str">
        <f>IF(AND(AH172&lt;&gt;"SIM",AH172="UH"),"AA","INDENIZAÇÃO")</f>
        <v>INDENIZAÇÃO</v>
      </c>
      <c r="BJ172" s="98" t="str">
        <f>IF(AND(BD172&lt;&gt;"AGUARDANDO",BD172&lt;&gt;"",N172="AUXÍLIO ALUGUEL ATÉ INDENIZAÇÃO"),"SIM","NÃO")</f>
        <v>NÃO</v>
      </c>
      <c r="BK172" s="219" t="s">
        <v>4436</v>
      </c>
      <c r="BL172" s="219" t="s">
        <v>4436</v>
      </c>
      <c r="BM172" s="219" t="s">
        <v>4436</v>
      </c>
      <c r="BN172" s="250" t="s">
        <v>4425</v>
      </c>
      <c r="BO172" s="250" t="s">
        <v>4425</v>
      </c>
      <c r="BP172" s="202">
        <v>46269</v>
      </c>
      <c r="BQ172" s="257" t="s">
        <v>4818</v>
      </c>
      <c r="BR172" s="258"/>
      <c r="BS172" s="223"/>
    </row>
    <row r="173" spans="1:73" s="240" customFormat="1" ht="27" customHeight="1" x14ac:dyDescent="0.25">
      <c r="A173" s="207">
        <v>169</v>
      </c>
      <c r="B173" s="197" t="s">
        <v>4396</v>
      </c>
      <c r="C173" s="207" t="s">
        <v>4426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4441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4432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>IF(AQ173="SIM","AGUARDANDO CORREÇÃO",IF(AP173&lt;&gt;"","FINALIZADO",IF(AO173&lt;&gt;"","AGUARDANDO ENVIO DTS",IF(AN173&lt;&gt;"","AGUARDANDO ASSINATURA GAB",IF(AM173&lt;&gt;"","AGUARDANDO ASSINATURA CTS",IF(AL173&lt;&gt;"","AGUARDANDO ENVIO ASSINATURA CTS",IF(AK173&lt;&gt;"","AGUARDANDO CONFERÊNCIA","")))))))</f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4434</v>
      </c>
      <c r="BF173" s="228" t="s">
        <v>4435</v>
      </c>
      <c r="BG173" s="229" t="s">
        <v>4425</v>
      </c>
      <c r="BH173" s="321">
        <f>IFERROR(IF(BD173-KI173=0,"",BD173-AK173),"")</f>
        <v>28</v>
      </c>
      <c r="BI173" s="98" t="str">
        <f>IF(AND(AH173&lt;&gt;"SIM",AH173="UH"),"AA","INDENIZAÇÃO")</f>
        <v>INDENIZAÇÃO</v>
      </c>
      <c r="BJ173" s="98" t="str">
        <f>IF(AND(BD173&lt;&gt;"AGUARDANDO",BD173&lt;&gt;"",N173="AUXÍLIO ALUGUEL ATÉ INDENIZAÇÃO"),"SIM","NÃO")</f>
        <v>NÃO</v>
      </c>
      <c r="BK173" s="230" t="s">
        <v>4436</v>
      </c>
      <c r="BL173" s="230" t="s">
        <v>4436</v>
      </c>
      <c r="BM173" s="230" t="s">
        <v>4436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4434</v>
      </c>
    </row>
    <row r="174" spans="1:73" s="240" customFormat="1" ht="27" customHeight="1" x14ac:dyDescent="0.25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4441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>IF(AQ174="SIM","AGUARDANDO CORREÇÃO",IF(AP174&lt;&gt;"","FINALIZADO",IF(AO174&lt;&gt;"","AGUARDANDO ENVIO DTS",IF(AN174&lt;&gt;"","AGUARDANDO ASSINATURA GAB",IF(AM174&lt;&gt;"","AGUARDANDO ASSINATURA CTS",IF(AL174&lt;&gt;"","AGUARDANDO ENVIO ASSINATURA CTS",IF(AK174&lt;&gt;"","AGUARDANDO CONFERÊNCIA","")))))))</f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4434</v>
      </c>
      <c r="BF174" s="228" t="s">
        <v>4435</v>
      </c>
      <c r="BG174" s="229" t="s">
        <v>4425</v>
      </c>
      <c r="BH174" s="321">
        <f>IFERROR(IF(BD174-KI174=0,"",BD174-AK174),"")</f>
        <v>45</v>
      </c>
      <c r="BI174" s="98" t="str">
        <f>IF(AND(AH174&lt;&gt;"SIM",AH174="UH"),"AA","INDENIZAÇÃO")</f>
        <v>INDENIZAÇÃO</v>
      </c>
      <c r="BJ174" s="98" t="str">
        <f>IF(AND(BD174&lt;&gt;"AGUARDANDO",BD174&lt;&gt;"",N174="AUXÍLIO ALUGUEL ATÉ INDENIZAÇÃO"),"SIM","NÃO")</f>
        <v>NÃO</v>
      </c>
      <c r="BK174" s="230" t="s">
        <v>4436</v>
      </c>
      <c r="BL174" s="230" t="s">
        <v>4436</v>
      </c>
      <c r="BM174" s="230" t="s">
        <v>4436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4434</v>
      </c>
    </row>
    <row r="175" spans="1:73" s="240" customFormat="1" ht="27" customHeight="1" x14ac:dyDescent="0.25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4483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4441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>IF(AQ175="SIM","AGUARDANDO CORREÇÃO",IF(AP175&lt;&gt;"","FINALIZADO",IF(AO175&lt;&gt;"","AGUARDANDO ENVIO DTS",IF(AN175&lt;&gt;"","AGUARDANDO ASSINATURA GAB",IF(AM175&lt;&gt;"","AGUARDANDO ASSINATURA CTS",IF(AL175&lt;&gt;"","AGUARDANDO ENVIO ASSINATURA CTS",IF(AK175&lt;&gt;"","AGUARDANDO CONFERÊNCIA","")))))))</f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4434</v>
      </c>
      <c r="BF175" s="236" t="s">
        <v>4435</v>
      </c>
      <c r="BG175" s="237" t="s">
        <v>4425</v>
      </c>
      <c r="BH175" s="321">
        <f>IFERROR(IF(BD175-KI175=0,"",BD175-AK175),"")</f>
        <v>59</v>
      </c>
      <c r="BI175" s="98" t="str">
        <f>IF(AND(AH175&lt;&gt;"SIM",AH175="UH"),"AA","INDENIZAÇÃO")</f>
        <v>INDENIZAÇÃO</v>
      </c>
      <c r="BJ175" s="98" t="str">
        <f>IF(AND(BD175&lt;&gt;"AGUARDANDO",BD175&lt;&gt;"",N175="AUXÍLIO ALUGUEL ATÉ INDENIZAÇÃO"),"SIM","NÃO")</f>
        <v>NÃO</v>
      </c>
      <c r="BK175" s="238" t="s">
        <v>4436</v>
      </c>
      <c r="BL175" s="238" t="s">
        <v>4436</v>
      </c>
      <c r="BM175" s="238" t="s">
        <v>4436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4434</v>
      </c>
    </row>
    <row r="176" spans="1:73" s="240" customFormat="1" ht="27" customHeight="1" x14ac:dyDescent="0.25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4441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>IF(AQ176="SIM","AGUARDANDO CORREÇÃO",IF(AP176&lt;&gt;"","FINALIZADO",IF(AO176&lt;&gt;"","AGUARDANDO ENVIO DTS",IF(AN176&lt;&gt;"","AGUARDANDO ASSINATURA GAB",IF(AM176&lt;&gt;"","AGUARDANDO ASSINATURA CTS",IF(AL176&lt;&gt;"","AGUARDANDO ENVIO ASSINATURA CTS",IF(AK176&lt;&gt;"","AGUARDANDO CONFERÊNCIA","")))))))</f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4434</v>
      </c>
      <c r="BF176" s="228" t="s">
        <v>4435</v>
      </c>
      <c r="BG176" s="229" t="s">
        <v>4425</v>
      </c>
      <c r="BH176" s="321">
        <f>IFERROR(IF(BD176-KI176=0,"",BD176-AK176),"")</f>
        <v>48</v>
      </c>
      <c r="BI176" s="98" t="str">
        <f>IF(AND(AH176&lt;&gt;"SIM",AH176="UH"),"AA","INDENIZAÇÃO")</f>
        <v>INDENIZAÇÃO</v>
      </c>
      <c r="BJ176" s="98" t="str">
        <f>IF(AND(BD176&lt;&gt;"AGUARDANDO",BD176&lt;&gt;"",N176="AUXÍLIO ALUGUEL ATÉ INDENIZAÇÃO"),"SIM","NÃO")</f>
        <v>NÃO</v>
      </c>
      <c r="BK176" s="230" t="s">
        <v>4436</v>
      </c>
      <c r="BL176" s="230" t="s">
        <v>4436</v>
      </c>
      <c r="BM176" s="230" t="s">
        <v>4436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4434</v>
      </c>
    </row>
    <row r="177" spans="1:112" s="240" customFormat="1" ht="27" hidden="1" customHeight="1" x14ac:dyDescent="0.25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4486</v>
      </c>
      <c r="K177" s="215" t="s">
        <v>4487</v>
      </c>
      <c r="L177" s="215" t="s">
        <v>4488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4486</v>
      </c>
      <c r="AB177" s="215" t="s">
        <v>4487</v>
      </c>
      <c r="AC177" s="215" t="s">
        <v>4488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>IF(AQ177="SIM","AGUARDANDO CORREÇÃO",IF(AP177&lt;&gt;"","FINALIZADO",IF(AO177&lt;&gt;"","AGUARDANDO ENVIO DTS",IF(AN177&lt;&gt;"","AGUARDANDO ASSINATURA GAB",IF(AM177&lt;&gt;"","AGUARDANDO ASSINATURA CTS",IF(AL177&lt;&gt;"","AGUARDANDO ENVIO ASSINATURA CTS",IF(AK177&lt;&gt;"","AGUARDANDO CONFERÊNCIA","")))))))</f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>IFERROR(IF(BD177-KI177=0,"",BD177-AK177),"")</f>
        <v/>
      </c>
      <c r="BI177" s="98" t="str">
        <f>IF(AND(AH177&lt;&gt;"SIM",AH177="UH"),"AA","INDENIZAÇÃO")</f>
        <v>AA</v>
      </c>
      <c r="BJ177" s="98" t="str">
        <f>IF(AND(BD177&lt;&gt;"AGUARDANDO",BD177&lt;&gt;"",N177="AUXÍLIO ALUGUEL ATÉ INDENIZAÇÃO"),"SIM","NÃO")</f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hidden="1" customHeight="1" x14ac:dyDescent="0.25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>IF(AQ178="SIM","AGUARDANDO CORREÇÃO",IF(AP178&lt;&gt;"","FINALIZADO",IF(AO178&lt;&gt;"","AGUARDANDO ENVIO DTS",IF(AN178&lt;&gt;"","AGUARDANDO ASSINATURA GAB",IF(AM178&lt;&gt;"","AGUARDANDO ASSINATURA CTS",IF(AL178&lt;&gt;"","AGUARDANDO ENVIO ASSINATURA CTS",IF(AK178&lt;&gt;"","AGUARDANDO CONFERÊNCIA","")))))))</f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>IFERROR(IF(BD178-KI178=0,"",BD178-AK178),"")</f>
        <v/>
      </c>
      <c r="BI178" s="98" t="str">
        <f>IF(AND(AH178&lt;&gt;"SIM",AH178="UH"),"AA","INDENIZAÇÃO")</f>
        <v>AA</v>
      </c>
      <c r="BJ178" s="98" t="str">
        <f>IF(AND(BD178&lt;&gt;"AGUARDANDO",BD178&lt;&gt;"",N178="AUXÍLIO ALUGUEL ATÉ INDENIZAÇÃO"),"SIM","NÃO")</f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customHeight="1" x14ac:dyDescent="0.25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4545</v>
      </c>
      <c r="H179" s="207" t="s">
        <v>4545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4441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>IF(AQ179="SIM","AGUARDANDO CORREÇÃO",IF(AP179&lt;&gt;"","FINALIZADO",IF(AO179&lt;&gt;"","AGUARDANDO ENVIO DTS",IF(AN179&lt;&gt;"","AGUARDANDO ASSINATURA GAB",IF(AM179&lt;&gt;"","AGUARDANDO ASSINATURA CTS",IF(AL179&lt;&gt;"","AGUARDANDO ENVIO ASSINATURA CTS",IF(AK179&lt;&gt;"","AGUARDANDO CONFERÊNCIA","")))))))</f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4434</v>
      </c>
      <c r="BF179" s="236" t="s">
        <v>4435</v>
      </c>
      <c r="BG179" s="237" t="s">
        <v>4425</v>
      </c>
      <c r="BH179" s="321">
        <f>IFERROR(IF(BD179-KI179=0,"",BD179-AK179),"")</f>
        <v>70</v>
      </c>
      <c r="BI179" s="98" t="str">
        <f>IF(AND(AH179&lt;&gt;"SIM",AH179="UH"),"AA","INDENIZAÇÃO")</f>
        <v>INDENIZAÇÃO</v>
      </c>
      <c r="BJ179" s="98" t="str">
        <f>IF(AND(BD179&lt;&gt;"AGUARDANDO",BD179&lt;&gt;"",N179="AUXÍLIO ALUGUEL ATÉ INDENIZAÇÃO"),"SIM","NÃO")</f>
        <v>NÃO</v>
      </c>
      <c r="BK179" s="238" t="s">
        <v>4436</v>
      </c>
      <c r="BL179" s="238" t="s">
        <v>4436</v>
      </c>
      <c r="BM179" s="238" t="s">
        <v>4436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4434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customHeight="1" x14ac:dyDescent="0.25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4441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>IF(AQ180="SIM","AGUARDANDO CORREÇÃO",IF(AP180&lt;&gt;"","FINALIZADO",IF(AO180&lt;&gt;"","AGUARDANDO ENVIO DTS",IF(AN180&lt;&gt;"","AGUARDANDO ASSINATURA GAB",IF(AM180&lt;&gt;"","AGUARDANDO ASSINATURA CTS",IF(AL180&lt;&gt;"","AGUARDANDO ENVIO ASSINATURA CTS",IF(AK180&lt;&gt;"","AGUARDANDO CONFERÊNCIA","")))))))</f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4434</v>
      </c>
      <c r="BF180" s="228" t="s">
        <v>4435</v>
      </c>
      <c r="BG180" s="219" t="s">
        <v>4425</v>
      </c>
      <c r="BH180" s="321">
        <f>IFERROR(IF(BD180-KI180=0,"",BD180-AK180),"")</f>
        <v>48</v>
      </c>
      <c r="BI180" s="98" t="str">
        <f>IF(AND(AH180&lt;&gt;"SIM",AH180="UH"),"AA","INDENIZAÇÃO")</f>
        <v>INDENIZAÇÃO</v>
      </c>
      <c r="BJ180" s="98" t="str">
        <f>IF(AND(BD180&lt;&gt;"AGUARDANDO",BD180&lt;&gt;"",N180="AUXÍLIO ALUGUEL ATÉ INDENIZAÇÃO"),"SIM","NÃO")</f>
        <v>NÃO</v>
      </c>
      <c r="BK180" s="219" t="s">
        <v>4436</v>
      </c>
      <c r="BL180" s="219" t="s">
        <v>4436</v>
      </c>
      <c r="BM180" s="219" t="s">
        <v>4436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4434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 x14ac:dyDescent="0.25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4441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>IF(AQ181="SIM","AGUARDANDO CORREÇÃO",IF(AP181&lt;&gt;"","FINALIZADO",IF(AO181&lt;&gt;"","AGUARDANDO ENVIO DTS",IF(AN181&lt;&gt;"","AGUARDANDO ASSINATURA GAB",IF(AM181&lt;&gt;"","AGUARDANDO ASSINATURA CTS",IF(AL181&lt;&gt;"","AGUARDANDO ENVIO ASSINATURA CTS",IF(AK181&lt;&gt;"","AGUARDANDO CONFERÊNCIA","")))))))</f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4434</v>
      </c>
      <c r="BF181" s="228" t="s">
        <v>4435</v>
      </c>
      <c r="BG181" s="219" t="s">
        <v>4425</v>
      </c>
      <c r="BH181" s="321">
        <f>IFERROR(IF(BD181-KI181=0,"",BD181-AK181),"")</f>
        <v>48</v>
      </c>
      <c r="BI181" s="98" t="str">
        <f>IF(AND(AH181&lt;&gt;"SIM",AH181="UH"),"AA","INDENIZAÇÃO")</f>
        <v>INDENIZAÇÃO</v>
      </c>
      <c r="BJ181" s="98" t="str">
        <f>IF(AND(BD181&lt;&gt;"AGUARDANDO",BD181&lt;&gt;"",N181="AUXÍLIO ALUGUEL ATÉ INDENIZAÇÃO"),"SIM","NÃO")</f>
        <v>NÃO</v>
      </c>
      <c r="BK181" s="219" t="s">
        <v>4436</v>
      </c>
      <c r="BL181" s="219" t="s">
        <v>4436</v>
      </c>
      <c r="BM181" s="219" t="s">
        <v>4436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4434</v>
      </c>
    </row>
    <row r="182" spans="1:112" s="240" customFormat="1" ht="27" customHeight="1" x14ac:dyDescent="0.25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4441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>IF(AQ182="SIM","AGUARDANDO CORREÇÃO",IF(AP182&lt;&gt;"","FINALIZADO",IF(AO182&lt;&gt;"","AGUARDANDO ENVIO DTS",IF(AN182&lt;&gt;"","AGUARDANDO ASSINATURA GAB",IF(AM182&lt;&gt;"","AGUARDANDO ASSINATURA CTS",IF(AL182&lt;&gt;"","AGUARDANDO ENVIO ASSINATURA CTS",IF(AK182&lt;&gt;"","AGUARDANDO CONFERÊNCIA","")))))))</f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4434</v>
      </c>
      <c r="BF182" s="228" t="s">
        <v>4435</v>
      </c>
      <c r="BG182" s="219" t="s">
        <v>4425</v>
      </c>
      <c r="BH182" s="321">
        <f>IFERROR(IF(BD182-KI182=0,"",BD182-AK182),"")</f>
        <v>48</v>
      </c>
      <c r="BI182" s="98" t="str">
        <f>IF(AND(AH182&lt;&gt;"SIM",AH182="UH"),"AA","INDENIZAÇÃO")</f>
        <v>INDENIZAÇÃO</v>
      </c>
      <c r="BJ182" s="98" t="str">
        <f>IF(AND(BD182&lt;&gt;"AGUARDANDO",BD182&lt;&gt;"",N182="AUXÍLIO ALUGUEL ATÉ INDENIZAÇÃO"),"SIM","NÃO")</f>
        <v>NÃO</v>
      </c>
      <c r="BK182" s="219" t="s">
        <v>4436</v>
      </c>
      <c r="BL182" s="219" t="s">
        <v>4436</v>
      </c>
      <c r="BM182" s="219" t="s">
        <v>4436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4434</v>
      </c>
    </row>
    <row r="183" spans="1:112" s="240" customFormat="1" ht="27" hidden="1" customHeight="1" x14ac:dyDescent="0.25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4431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4432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>IF(AQ183="SIM","AGUARDANDO CORREÇÃO",IF(AP183&lt;&gt;"","FINALIZADO",IF(AO183&lt;&gt;"","AGUARDANDO ENVIO DTS",IF(AN183&lt;&gt;"","AGUARDANDO ASSINATURA GAB",IF(AM183&lt;&gt;"","AGUARDANDO ASSINATURA CTS",IF(AL183&lt;&gt;"","AGUARDANDO ENVIO ASSINATURA CTS",IF(AK183&lt;&gt;"","AGUARDANDO CONFERÊNCIA","")))))))</f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8612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>IFERROR(IF(BD183-KI183=0,"",BD183-AK183),"")</f>
        <v/>
      </c>
      <c r="BI183" s="98" t="str">
        <f>IF(AND(AH183&lt;&gt;"SIM",AH183="UH"),"AA","INDENIZAÇÃO")</f>
        <v>INDENIZAÇÃO</v>
      </c>
      <c r="BJ183" s="98" t="str">
        <f>IF(AND(BD183&lt;&gt;"AGUARDANDO",BD183&lt;&gt;"",N183="AUXÍLIO ALUGUEL ATÉ INDENIZAÇÃO"),"SIM","NÃO")</f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customHeight="1" x14ac:dyDescent="0.25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4439</v>
      </c>
      <c r="L184" s="215" t="s">
        <v>5221</v>
      </c>
      <c r="M184" s="207" t="s">
        <v>4405</v>
      </c>
      <c r="N184" s="207" t="s">
        <v>4441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4439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>IF(AQ184="SIM","AGUARDANDO CORREÇÃO",IF(AP184&lt;&gt;"","FINALIZADO",IF(AO184&lt;&gt;"","AGUARDANDO ENVIO DTS",IF(AN184&lt;&gt;"","AGUARDANDO ASSINATURA GAB",IF(AM184&lt;&gt;"","AGUARDANDO ASSINATURA CTS",IF(AL184&lt;&gt;"","AGUARDANDO ENVIO ASSINATURA CTS",IF(AK184&lt;&gt;"","AGUARDANDO CONFERÊNCIA","")))))))</f>
        <v>FINALIZADO</v>
      </c>
      <c r="AS184" s="207" t="s">
        <v>4423</v>
      </c>
      <c r="AT184" s="219"/>
      <c r="AU184" s="220" t="s">
        <v>5222</v>
      </c>
      <c r="AV184" s="197" t="s">
        <v>4817</v>
      </c>
      <c r="AW184" s="207" t="s">
        <v>4817</v>
      </c>
      <c r="AX184" s="207" t="s">
        <v>4817</v>
      </c>
      <c r="AY184" s="207" t="s">
        <v>4817</v>
      </c>
      <c r="AZ184" s="202">
        <v>46233</v>
      </c>
      <c r="BA184" s="207" t="s">
        <v>4817</v>
      </c>
      <c r="BB184" s="207" t="s">
        <v>4817</v>
      </c>
      <c r="BC184" s="202">
        <v>46237</v>
      </c>
      <c r="BD184" s="226">
        <v>46237</v>
      </c>
      <c r="BE184" s="257" t="s">
        <v>4434</v>
      </c>
      <c r="BF184" s="257" t="s">
        <v>4435</v>
      </c>
      <c r="BG184" s="219" t="s">
        <v>4425</v>
      </c>
      <c r="BH184" s="321">
        <f>IFERROR(IF(BD184-KI184=0,"",BD184-AK184),"")</f>
        <v>49</v>
      </c>
      <c r="BI184" s="98" t="str">
        <f>IF(AND(AH184&lt;&gt;"SIM",AH184="UH"),"AA","INDENIZAÇÃO")</f>
        <v>INDENIZAÇÃO</v>
      </c>
      <c r="BJ184" s="98" t="str">
        <f>IF(AND(BD184&lt;&gt;"AGUARDANDO",BD184&lt;&gt;"",N184="AUXÍLIO ALUGUEL ATÉ INDENIZAÇÃO"),"SIM","NÃO")</f>
        <v>NÃO</v>
      </c>
      <c r="BK184" s="219" t="s">
        <v>4436</v>
      </c>
      <c r="BL184" s="219" t="s">
        <v>4436</v>
      </c>
      <c r="BM184" s="219" t="s">
        <v>4436</v>
      </c>
      <c r="BN184" s="250" t="s">
        <v>4425</v>
      </c>
      <c r="BO184" s="250" t="s">
        <v>4425</v>
      </c>
      <c r="BP184" s="202">
        <v>46269</v>
      </c>
      <c r="BQ184" s="257" t="s">
        <v>4818</v>
      </c>
      <c r="BR184" s="258"/>
      <c r="BS184" s="223"/>
    </row>
    <row r="185" spans="1:112" s="240" customFormat="1" ht="27" hidden="1" customHeight="1" x14ac:dyDescent="0.25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>IF(AQ185="SIM","AGUARDANDO CORREÇÃO",IF(AP185&lt;&gt;"","FINALIZADO",IF(AO185&lt;&gt;"","AGUARDANDO ENVIO DTS",IF(AN185&lt;&gt;"","AGUARDANDO ASSINATURA GAB",IF(AM185&lt;&gt;"","AGUARDANDO ASSINATURA CTS",IF(AL185&lt;&gt;"","AGUARDANDO ENVIO ASSINATURA CTS",IF(AK185&lt;&gt;"","AGUARDANDO CONFERÊNCIA","")))))))</f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>IFERROR(IF(BD185-KI185=0,"",BD185-AK185),"")</f>
        <v/>
      </c>
      <c r="BI185" s="98" t="str">
        <f>IF(AND(AH185&lt;&gt;"SIM",AH185="UH"),"AA","INDENIZAÇÃO")</f>
        <v>AA</v>
      </c>
      <c r="BJ185" s="98" t="str">
        <f>IF(AND(BD185&lt;&gt;"AGUARDANDO",BD185&lt;&gt;"",N185="AUXÍLIO ALUGUEL ATÉ INDENIZAÇÃO"),"SIM","NÃO")</f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hidden="1" customHeight="1" x14ac:dyDescent="0.25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>IF(AQ186="SIM","AGUARDANDO CORREÇÃO",IF(AP186&lt;&gt;"","FINALIZADO",IF(AO186&lt;&gt;"","AGUARDANDO ENVIO DTS",IF(AN186&lt;&gt;"","AGUARDANDO ASSINATURA GAB",IF(AM186&lt;&gt;"","AGUARDANDO ASSINATURA CTS",IF(AL186&lt;&gt;"","AGUARDANDO ENVIO ASSINATURA CTS",IF(AK186&lt;&gt;"","AGUARDANDO CONFERÊNCIA","")))))))</f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>IFERROR(IF(BD186-KI186=0,"",BD186-AK186),"")</f>
        <v/>
      </c>
      <c r="BI186" s="98" t="str">
        <f>IF(AND(AH186&lt;&gt;"SIM",AH186="UH"),"AA","INDENIZAÇÃO")</f>
        <v>AA</v>
      </c>
      <c r="BJ186" s="98" t="str">
        <f>IF(AND(BD186&lt;&gt;"AGUARDANDO",BD186&lt;&gt;"",N186="AUXÍLIO ALUGUEL ATÉ INDENIZAÇÃO"),"SIM","NÃO")</f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hidden="1" customHeight="1" x14ac:dyDescent="0.25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>IF(AQ187="SIM","AGUARDANDO CORREÇÃO",IF(AP187&lt;&gt;"","FINALIZADO",IF(AO187&lt;&gt;"","AGUARDANDO ENVIO DTS",IF(AN187&lt;&gt;"","AGUARDANDO ASSINATURA GAB",IF(AM187&lt;&gt;"","AGUARDANDO ASSINATURA CTS",IF(AL187&lt;&gt;"","AGUARDANDO ENVIO ASSINATURA CTS",IF(AK187&lt;&gt;"","AGUARDANDO CONFERÊNCIA","")))))))</f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>IFERROR(IF(BD187-KI187=0,"",BD187-AK187),"")</f>
        <v/>
      </c>
      <c r="BI187" s="98" t="str">
        <f>IF(AND(AH187&lt;&gt;"SIM",AH187="UH"),"AA","INDENIZAÇÃO")</f>
        <v>AA</v>
      </c>
      <c r="BJ187" s="98" t="str">
        <f>IF(AND(BD187&lt;&gt;"AGUARDANDO",BD187&lt;&gt;"",N187="AUXÍLIO ALUGUEL ATÉ INDENIZAÇÃO"),"SIM","NÃO")</f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customHeight="1" x14ac:dyDescent="0.25">
      <c r="A188" s="207">
        <v>184</v>
      </c>
      <c r="B188" s="197" t="s">
        <v>4396</v>
      </c>
      <c r="C188" s="207" t="s">
        <v>4452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4441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4432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>IF(AQ188="SIM","AGUARDANDO CORREÇÃO",IF(AP188&lt;&gt;"","FINALIZADO",IF(AO188&lt;&gt;"","AGUARDANDO ENVIO DTS",IF(AN188&lt;&gt;"","AGUARDANDO ASSINATURA GAB",IF(AM188&lt;&gt;"","AGUARDANDO ASSINATURA CTS",IF(AL188&lt;&gt;"","AGUARDANDO ENVIO ASSINATURA CTS",IF(AK188&lt;&gt;"","AGUARDANDO CONFERÊNCIA","")))))))</f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>IFERROR(IF(BD188-KI188=0,"",BD188-AK188),"")</f>
        <v>42</v>
      </c>
      <c r="BI188" s="98" t="str">
        <f>IF(AND(AH188&lt;&gt;"SIM",AH188="UH"),"AA","INDENIZAÇÃO")</f>
        <v>INDENIZAÇÃO</v>
      </c>
      <c r="BJ188" s="98" t="str">
        <f>IF(AND(BD188&lt;&gt;"AGUARDANDO",BD188&lt;&gt;"",N188="AUXÍLIO ALUGUEL ATÉ INDENIZAÇÃO"),"SIM","NÃO")</f>
        <v>NÃO</v>
      </c>
      <c r="BK188" s="230" t="s">
        <v>4436</v>
      </c>
      <c r="BL188" s="230" t="s">
        <v>4436</v>
      </c>
      <c r="BM188" s="230" t="s">
        <v>4436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4434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customHeight="1" x14ac:dyDescent="0.25">
      <c r="A189" s="197">
        <v>185</v>
      </c>
      <c r="B189" s="197" t="s">
        <v>4396</v>
      </c>
      <c r="C189" s="207" t="s">
        <v>4426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4441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4432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>IF(AQ189="SIM","AGUARDANDO CORREÇÃO",IF(AP189&lt;&gt;"","FINALIZADO",IF(AO189&lt;&gt;"","AGUARDANDO ENVIO DTS",IF(AN189&lt;&gt;"","AGUARDANDO ASSINATURA GAB",IF(AM189&lt;&gt;"","AGUARDANDO ASSINATURA CTS",IF(AL189&lt;&gt;"","AGUARDANDO ENVIO ASSINATURA CTS",IF(AK189&lt;&gt;"","AGUARDANDO CONFERÊNCIA","")))))))</f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4434</v>
      </c>
      <c r="BF189" s="228" t="s">
        <v>4435</v>
      </c>
      <c r="BG189" s="229" t="s">
        <v>4425</v>
      </c>
      <c r="BH189" s="321">
        <f>IFERROR(IF(BD189-KI189=0,"",BD189-AK189),"")</f>
        <v>76</v>
      </c>
      <c r="BI189" s="98" t="str">
        <f>IF(AND(AH189&lt;&gt;"SIM",AH189="UH"),"AA","INDENIZAÇÃO")</f>
        <v>INDENIZAÇÃO</v>
      </c>
      <c r="BJ189" s="98" t="str">
        <f>IF(AND(BD189&lt;&gt;"AGUARDANDO",BD189&lt;&gt;"",N189="AUXÍLIO ALUGUEL ATÉ INDENIZAÇÃO"),"SIM","NÃO")</f>
        <v>NÃO</v>
      </c>
      <c r="BK189" s="230" t="s">
        <v>4436</v>
      </c>
      <c r="BL189" s="230" t="s">
        <v>4436</v>
      </c>
      <c r="BM189" s="230" t="s">
        <v>4436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4434</v>
      </c>
    </row>
    <row r="190" spans="1:112" s="240" customFormat="1" ht="27" customHeight="1" x14ac:dyDescent="0.25">
      <c r="A190" s="197">
        <v>186</v>
      </c>
      <c r="B190" s="197" t="s">
        <v>4396</v>
      </c>
      <c r="C190" s="207" t="s">
        <v>4452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4432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>IF(AQ190="SIM","AGUARDANDO CORREÇÃO",IF(AP190&lt;&gt;"","FINALIZADO",IF(AO190&lt;&gt;"","AGUARDANDO ENVIO DTS",IF(AN190&lt;&gt;"","AGUARDANDO ASSINATURA GAB",IF(AM190&lt;&gt;"","AGUARDANDO ASSINATURA CTS",IF(AL190&lt;&gt;"","AGUARDANDO ENVIO ASSINATURA CTS",IF(AK190&lt;&gt;"","AGUARDANDO CONFERÊNCIA","")))))))</f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4761</v>
      </c>
      <c r="BG190" s="229" t="s">
        <v>4425</v>
      </c>
      <c r="BH190" s="321">
        <f>IFERROR(IF(BD190-KI190=0,"",BD190-AK190),"")</f>
        <v>45</v>
      </c>
      <c r="BI190" s="98" t="str">
        <f>IF(AND(AH190&lt;&gt;"SIM",AH190="UH"),"AA","INDENIZAÇÃO")</f>
        <v>INDENIZAÇÃO</v>
      </c>
      <c r="BJ190" s="98" t="str">
        <f>IF(AND(BD190&lt;&gt;"AGUARDANDO",BD190&lt;&gt;"",N190="AUXÍLIO ALUGUEL ATÉ INDENIZAÇÃO"),"SIM","NÃO")</f>
        <v>NÃO</v>
      </c>
      <c r="BK190" s="230" t="s">
        <v>4436</v>
      </c>
      <c r="BL190" s="230" t="s">
        <v>4436</v>
      </c>
      <c r="BM190" s="230" t="s">
        <v>4436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4434</v>
      </c>
    </row>
    <row r="191" spans="1:112" s="240" customFormat="1" ht="27" customHeight="1" x14ac:dyDescent="0.25">
      <c r="A191" s="207">
        <v>187</v>
      </c>
      <c r="B191" s="197" t="s">
        <v>4396</v>
      </c>
      <c r="C191" s="207" t="s">
        <v>4426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4441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4432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>IF(AQ191="SIM","AGUARDANDO CORREÇÃO",IF(AP191&lt;&gt;"","FINALIZADO",IF(AO191&lt;&gt;"","AGUARDANDO ENVIO DTS",IF(AN191&lt;&gt;"","AGUARDANDO ASSINATURA GAB",IF(AM191&lt;&gt;"","AGUARDANDO ASSINATURA CTS",IF(AL191&lt;&gt;"","AGUARDANDO ENVIO ASSINATURA CTS",IF(AK191&lt;&gt;"","AGUARDANDO CONFERÊNCIA","")))))))</f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4434</v>
      </c>
      <c r="BF191" s="228" t="s">
        <v>4435</v>
      </c>
      <c r="BG191" s="229" t="s">
        <v>4425</v>
      </c>
      <c r="BH191" s="321">
        <f>IFERROR(IF(BD191-KI191=0,"",BD191-AK191),"")</f>
        <v>63</v>
      </c>
      <c r="BI191" s="98" t="str">
        <f>IF(AND(AH191&lt;&gt;"SIM",AH191="UH"),"AA","INDENIZAÇÃO")</f>
        <v>INDENIZAÇÃO</v>
      </c>
      <c r="BJ191" s="98" t="str">
        <f>IF(AND(BD191&lt;&gt;"AGUARDANDO",BD191&lt;&gt;"",N191="AUXÍLIO ALUGUEL ATÉ INDENIZAÇÃO"),"SIM","NÃO")</f>
        <v>NÃO</v>
      </c>
      <c r="BK191" s="219" t="s">
        <v>4436</v>
      </c>
      <c r="BL191" s="219" t="s">
        <v>4436</v>
      </c>
      <c r="BM191" s="219" t="s">
        <v>4436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4434</v>
      </c>
      <c r="BS191" s="223"/>
      <c r="BT191" s="223"/>
    </row>
    <row r="192" spans="1:112" s="240" customFormat="1" ht="27" customHeight="1" x14ac:dyDescent="0.25">
      <c r="A192" s="207">
        <v>188</v>
      </c>
      <c r="B192" s="197" t="s">
        <v>4396</v>
      </c>
      <c r="C192" s="207" t="s">
        <v>4452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4441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4432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>IF(AQ192="SIM","AGUARDANDO CORREÇÃO",IF(AP192&lt;&gt;"","FINALIZADO",IF(AO192&lt;&gt;"","AGUARDANDO ENVIO DTS",IF(AN192&lt;&gt;"","AGUARDANDO ASSINATURA GAB",IF(AM192&lt;&gt;"","AGUARDANDO ASSINATURA CTS",IF(AL192&lt;&gt;"","AGUARDANDO ENVIO ASSINATURA CTS",IF(AK192&lt;&gt;"","AGUARDANDO CONFERÊNCIA","")))))))</f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>IFERROR(IF(BD192-KI192=0,"",BD192-AK192),"")</f>
        <v>35</v>
      </c>
      <c r="BI192" s="98" t="str">
        <f>IF(AND(AH192&lt;&gt;"SIM",AH192="UH"),"AA","INDENIZAÇÃO")</f>
        <v>INDENIZAÇÃO</v>
      </c>
      <c r="BJ192" s="98" t="str">
        <f>IF(AND(BD192&lt;&gt;"AGUARDANDO",BD192&lt;&gt;"",N192="AUXÍLIO ALUGUEL ATÉ INDENIZAÇÃO"),"SIM","NÃO")</f>
        <v>NÃO</v>
      </c>
      <c r="BK192" s="230" t="s">
        <v>4436</v>
      </c>
      <c r="BL192" s="230" t="s">
        <v>4436</v>
      </c>
      <c r="BM192" s="230" t="s">
        <v>4436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4434</v>
      </c>
    </row>
    <row r="193" spans="1:73" s="240" customFormat="1" ht="27" customHeight="1" x14ac:dyDescent="0.25">
      <c r="A193" s="207">
        <v>189</v>
      </c>
      <c r="B193" s="197" t="s">
        <v>4396</v>
      </c>
      <c r="C193" s="207" t="s">
        <v>4426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4441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4432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>IF(AQ193="SIM","AGUARDANDO CORREÇÃO",IF(AP193&lt;&gt;"","FINALIZADO",IF(AO193&lt;&gt;"","AGUARDANDO ENVIO DTS",IF(AN193&lt;&gt;"","AGUARDANDO ASSINATURA GAB",IF(AM193&lt;&gt;"","AGUARDANDO ASSINATURA CTS",IF(AL193&lt;&gt;"","AGUARDANDO ENVIO ASSINATURA CTS",IF(AK193&lt;&gt;"","AGUARDANDO CONFERÊNCIA","")))))))</f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4817</v>
      </c>
      <c r="AY193" s="207" t="s">
        <v>4817</v>
      </c>
      <c r="AZ193" s="202">
        <v>46233</v>
      </c>
      <c r="BA193" s="207" t="s">
        <v>4817</v>
      </c>
      <c r="BB193" s="207" t="s">
        <v>4817</v>
      </c>
      <c r="BC193" s="202">
        <v>46237</v>
      </c>
      <c r="BD193" s="226">
        <v>46237</v>
      </c>
      <c r="BE193" s="257" t="s">
        <v>4434</v>
      </c>
      <c r="BF193" s="257" t="s">
        <v>4435</v>
      </c>
      <c r="BG193" s="219" t="s">
        <v>4425</v>
      </c>
      <c r="BH193" s="321">
        <f>IFERROR(IF(BD193-KI193=0,"",BD193-AK193),"")</f>
        <v>95</v>
      </c>
      <c r="BI193" s="98" t="str">
        <f>IF(AND(AH193&lt;&gt;"SIM",AH193="UH"),"AA","INDENIZAÇÃO")</f>
        <v>INDENIZAÇÃO</v>
      </c>
      <c r="BJ193" s="98" t="str">
        <f>IF(AND(BD193&lt;&gt;"AGUARDANDO",BD193&lt;&gt;"",N193="AUXÍLIO ALUGUEL ATÉ INDENIZAÇÃO"),"SIM","NÃO")</f>
        <v>NÃO</v>
      </c>
      <c r="BK193" s="219" t="s">
        <v>4436</v>
      </c>
      <c r="BL193" s="219" t="s">
        <v>4436</v>
      </c>
      <c r="BM193" s="219" t="s">
        <v>4436</v>
      </c>
      <c r="BN193" s="250" t="s">
        <v>4425</v>
      </c>
      <c r="BO193" s="250" t="s">
        <v>4425</v>
      </c>
      <c r="BP193" s="202">
        <v>46269</v>
      </c>
      <c r="BQ193" s="257" t="s">
        <v>4818</v>
      </c>
      <c r="BR193" s="258"/>
      <c r="BS193" s="223"/>
    </row>
    <row r="194" spans="1:73" s="240" customFormat="1" ht="27" hidden="1" customHeight="1" x14ac:dyDescent="0.25">
      <c r="A194" s="197">
        <v>190</v>
      </c>
      <c r="B194" s="197" t="s">
        <v>4396</v>
      </c>
      <c r="C194" s="207" t="s">
        <v>4426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>IF(AQ194="SIM","AGUARDANDO CORREÇÃO",IF(AP194&lt;&gt;"","FINALIZADO",IF(AO194&lt;&gt;"","AGUARDANDO ENVIO DTS",IF(AN194&lt;&gt;"","AGUARDANDO ASSINATURA GAB",IF(AM194&lt;&gt;"","AGUARDANDO ASSINATURA CTS",IF(AL194&lt;&gt;"","AGUARDANDO ENVIO ASSINATURA CTS",IF(AK194&lt;&gt;"","AGUARDANDO CONFERÊNCIA","")))))))</f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>IFERROR(IF(BD194-KI194=0,"",BD194-AK194),"")</f>
        <v/>
      </c>
      <c r="BI194" s="98" t="str">
        <f>IF(AND(AH194&lt;&gt;"SIM",AH194="UH"),"AA","INDENIZAÇÃO")</f>
        <v>AA</v>
      </c>
      <c r="BJ194" s="98" t="str">
        <f>IF(AND(BD194&lt;&gt;"AGUARDANDO",BD194&lt;&gt;"",N194="AUXÍLIO ALUGUEL ATÉ INDENIZAÇÃO"),"SIM","NÃO")</f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hidden="1" customHeight="1" x14ac:dyDescent="0.25">
      <c r="A195" s="197">
        <v>191</v>
      </c>
      <c r="B195" s="197" t="s">
        <v>4396</v>
      </c>
      <c r="C195" s="207" t="s">
        <v>4452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>IF(AQ195="SIM","AGUARDANDO CORREÇÃO",IF(AP195&lt;&gt;"","FINALIZADO",IF(AO195&lt;&gt;"","AGUARDANDO ENVIO DTS",IF(AN195&lt;&gt;"","AGUARDANDO ASSINATURA GAB",IF(AM195&lt;&gt;"","AGUARDANDO ASSINATURA CTS",IF(AL195&lt;&gt;"","AGUARDANDO ENVIO ASSINATURA CTS",IF(AK195&lt;&gt;"","AGUARDANDO CONFERÊNCIA","")))))))</f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>IFERROR(IF(BD195-KI195=0,"",BD195-AK195),"")</f>
        <v/>
      </c>
      <c r="BI195" s="98" t="str">
        <f>IF(AND(AH195&lt;&gt;"SIM",AH195="UH"),"AA","INDENIZAÇÃO")</f>
        <v>AA</v>
      </c>
      <c r="BJ195" s="98" t="str">
        <f>IF(AND(BD195&lt;&gt;"AGUARDANDO",BD195&lt;&gt;"",N195="AUXÍLIO ALUGUEL ATÉ INDENIZAÇÃO"),"SIM","NÃO")</f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customHeight="1" x14ac:dyDescent="0.25">
      <c r="A196" s="207">
        <v>192</v>
      </c>
      <c r="B196" s="197" t="s">
        <v>4396</v>
      </c>
      <c r="C196" s="207" t="s">
        <v>4426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4441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4432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>IF(AQ196="SIM","AGUARDANDO CORREÇÃO",IF(AP196&lt;&gt;"","FINALIZADO",IF(AO196&lt;&gt;"","AGUARDANDO ENVIO DTS",IF(AN196&lt;&gt;"","AGUARDANDO ASSINATURA GAB",IF(AM196&lt;&gt;"","AGUARDANDO ASSINATURA CTS",IF(AL196&lt;&gt;"","AGUARDANDO ENVIO ASSINATURA CTS",IF(AK196&lt;&gt;"","AGUARDANDO CONFERÊNCIA","")))))))</f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4434</v>
      </c>
      <c r="BF196" s="228" t="s">
        <v>4435</v>
      </c>
      <c r="BG196" s="229" t="s">
        <v>4425</v>
      </c>
      <c r="BH196" s="321">
        <f>IFERROR(IF(BD196-KI196=0,"",BD196-AK196),"")</f>
        <v>63</v>
      </c>
      <c r="BI196" s="98" t="str">
        <f>IF(AND(AH196&lt;&gt;"SIM",AH196="UH"),"AA","INDENIZAÇÃO")</f>
        <v>INDENIZAÇÃO</v>
      </c>
      <c r="BJ196" s="98" t="str">
        <f>IF(AND(BD196&lt;&gt;"AGUARDANDO",BD196&lt;&gt;"",N196="AUXÍLIO ALUGUEL ATÉ INDENIZAÇÃO"),"SIM","NÃO")</f>
        <v>NÃO</v>
      </c>
      <c r="BK196" s="219" t="s">
        <v>4436</v>
      </c>
      <c r="BL196" s="219" t="s">
        <v>4436</v>
      </c>
      <c r="BM196" s="219" t="s">
        <v>4436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4434</v>
      </c>
      <c r="BS196" s="223"/>
      <c r="BT196" s="223"/>
    </row>
    <row r="197" spans="1:73" s="240" customFormat="1" ht="27" customHeight="1" x14ac:dyDescent="0.25">
      <c r="A197" s="207">
        <v>193</v>
      </c>
      <c r="B197" s="197" t="s">
        <v>4396</v>
      </c>
      <c r="C197" s="207" t="s">
        <v>4452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4441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4432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>IF(AQ197="SIM","AGUARDANDO CORREÇÃO",IF(AP197&lt;&gt;"","FINALIZADO",IF(AO197&lt;&gt;"","AGUARDANDO ENVIO DTS",IF(AN197&lt;&gt;"","AGUARDANDO ASSINATURA GAB",IF(AM197&lt;&gt;"","AGUARDANDO ASSINATURA CTS",IF(AL197&lt;&gt;"","AGUARDANDO ENVIO ASSINATURA CTS",IF(AK197&lt;&gt;"","AGUARDANDO CONFERÊNCIA","")))))))</f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>IFERROR(IF(BD197-KI197=0,"",BD197-AK197),"")</f>
        <v>42</v>
      </c>
      <c r="BI197" s="98" t="str">
        <f>IF(AND(AH197&lt;&gt;"SIM",AH197="UH"),"AA","INDENIZAÇÃO")</f>
        <v>INDENIZAÇÃO</v>
      </c>
      <c r="BJ197" s="98" t="str">
        <f>IF(AND(BD197&lt;&gt;"AGUARDANDO",BD197&lt;&gt;"",N197="AUXÍLIO ALUGUEL ATÉ INDENIZAÇÃO"),"SIM","NÃO")</f>
        <v>NÃO</v>
      </c>
      <c r="BK197" s="230" t="s">
        <v>4436</v>
      </c>
      <c r="BL197" s="230" t="s">
        <v>4436</v>
      </c>
      <c r="BM197" s="230" t="s">
        <v>4436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4434</v>
      </c>
    </row>
    <row r="198" spans="1:73" s="240" customFormat="1" ht="27" hidden="1" customHeight="1" x14ac:dyDescent="0.25">
      <c r="A198" s="207">
        <v>194</v>
      </c>
      <c r="B198" s="197" t="s">
        <v>4396</v>
      </c>
      <c r="C198" s="207" t="s">
        <v>4426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>IFERROR(IF(BD198-KI198=0,"",BD198-AK198),"")</f>
        <v/>
      </c>
      <c r="BI198" s="98" t="str">
        <f>IF(AND(AH198&lt;&gt;"SIM",AH198="UH"),"AA","INDENIZAÇÃO")</f>
        <v>AA</v>
      </c>
      <c r="BJ198" s="98" t="str">
        <f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hidden="1" customHeight="1" x14ac:dyDescent="0.25">
      <c r="A199" s="197">
        <v>195</v>
      </c>
      <c r="B199" s="197" t="s">
        <v>4396</v>
      </c>
      <c r="C199" s="207" t="s">
        <v>4452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>IFERROR(IF(BD199-KI199=0,"",BD199-AK199),"")</f>
        <v/>
      </c>
      <c r="BI199" s="98" t="str">
        <f>IF(AND(AH199&lt;&gt;"SIM",AH199="UH"),"AA","INDENIZAÇÃO")</f>
        <v>AA</v>
      </c>
      <c r="BJ199" s="98" t="str">
        <f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customHeight="1" x14ac:dyDescent="0.25">
      <c r="A200" s="197">
        <v>196</v>
      </c>
      <c r="B200" s="197" t="s">
        <v>4396</v>
      </c>
      <c r="C200" s="207" t="s">
        <v>4426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4441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4432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>IF(AQ200="SIM","AGUARDANDO CORREÇÃO",IF(AP200&lt;&gt;"","FINALIZADO",IF(AO200&lt;&gt;"","AGUARDANDO ENVIO DTS",IF(AN200&lt;&gt;"","AGUARDANDO ASSINATURA GAB",IF(AM200&lt;&gt;"","AGUARDANDO ASSINATURA CTS",IF(AL200&lt;&gt;"","AGUARDANDO ENVIO ASSINATURA CTS",IF(AK200&lt;&gt;"","AGUARDANDO CONFERÊNCIA","")))))))</f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4434</v>
      </c>
      <c r="BF200" s="245" t="s">
        <v>4435</v>
      </c>
      <c r="BG200" s="229" t="s">
        <v>4425</v>
      </c>
      <c r="BH200" s="321">
        <f>IFERROR(IF(BD200-KI200=0,"",BD200-AK200),"")</f>
        <v>117</v>
      </c>
      <c r="BI200" s="98" t="str">
        <f>IF(AND(AH200&lt;&gt;"SIM",AH200="UH"),"AA","INDENIZAÇÃO")</f>
        <v>INDENIZAÇÃO</v>
      </c>
      <c r="BJ200" s="98" t="str">
        <f>IF(AND(BD200&lt;&gt;"AGUARDANDO",BD200&lt;&gt;"",N200="AUXÍLIO ALUGUEL ATÉ INDENIZAÇÃO"),"SIM","NÃO")</f>
        <v>NÃO</v>
      </c>
      <c r="BK200" s="230" t="s">
        <v>4436</v>
      </c>
      <c r="BL200" s="230" t="s">
        <v>4436</v>
      </c>
      <c r="BM200" s="230" t="s">
        <v>4436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4434</v>
      </c>
    </row>
    <row r="201" spans="1:73" s="240" customFormat="1" ht="27" hidden="1" customHeight="1" x14ac:dyDescent="0.25">
      <c r="A201" s="207">
        <v>197</v>
      </c>
      <c r="B201" s="197" t="s">
        <v>4396</v>
      </c>
      <c r="C201" s="207" t="s">
        <v>4426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4535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>IF(AQ201="SIM","AGUARDANDO CORREÇÃO",IF(AP201&lt;&gt;"","FINALIZADO",IF(AO201&lt;&gt;"","AGUARDANDO ENVIO DTS",IF(AN201&lt;&gt;"","AGUARDANDO ASSINATURA GAB",IF(AM201&lt;&gt;"","AGUARDANDO ASSINATURA CTS",IF(AL201&lt;&gt;"","AGUARDANDO ENVIO ASSINATURA CTS",IF(AK201&lt;&gt;"","AGUARDANDO CONFERÊNCIA","")))))))</f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>IFERROR(IF(BD201-KI201=0,"",BD201-AK201),"")</f>
        <v/>
      </c>
      <c r="BI201" s="98" t="str">
        <f>IF(AND(AH201&lt;&gt;"SIM",AH201="UH"),"AA","INDENIZAÇÃO")</f>
        <v>AA</v>
      </c>
      <c r="BJ201" s="98" t="str">
        <f>IF(AND(BD201&lt;&gt;"AGUARDANDO",BD201&lt;&gt;"",N201="AUXÍLIO ALUGUEL ATÉ INDENIZAÇÃO"),"SIM","NÃO")</f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hidden="1" customHeight="1" x14ac:dyDescent="0.25">
      <c r="A202" s="207">
        <v>198</v>
      </c>
      <c r="B202" s="197" t="s">
        <v>4396</v>
      </c>
      <c r="C202" s="207" t="s">
        <v>4426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4535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>IF(AQ202="SIM","AGUARDANDO CORREÇÃO",IF(AP202&lt;&gt;"","FINALIZADO",IF(AO202&lt;&gt;"","AGUARDANDO ENVIO DTS",IF(AN202&lt;&gt;"","AGUARDANDO ASSINATURA GAB",IF(AM202&lt;&gt;"","AGUARDANDO ASSINATURA CTS",IF(AL202&lt;&gt;"","AGUARDANDO ENVIO ASSINATURA CTS",IF(AK202&lt;&gt;"","AGUARDANDO CONFERÊNCIA","")))))))</f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>IFERROR(IF(BD202-KI202=0,"",BD202-AK202),"")</f>
        <v/>
      </c>
      <c r="BI202" s="98" t="str">
        <f>IF(AND(AH202&lt;&gt;"SIM",AH202="UH"),"AA","INDENIZAÇÃO")</f>
        <v>AA</v>
      </c>
      <c r="BJ202" s="98" t="str">
        <f>IF(AND(BD202&lt;&gt;"AGUARDANDO",BD202&lt;&gt;"",N202="AUXÍLIO ALUGUEL ATÉ INDENIZAÇÃO"),"SIM","NÃO")</f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hidden="1" customHeight="1" x14ac:dyDescent="0.25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>IF(AQ203="SIM","AGUARDANDO CORREÇÃO",IF(AP203&lt;&gt;"","FINALIZADO",IF(AO203&lt;&gt;"","AGUARDANDO ENVIO DTS",IF(AN203&lt;&gt;"","AGUARDANDO ASSINATURA GAB",IF(AM203&lt;&gt;"","AGUARDANDO ASSINATURA CTS",IF(AL203&lt;&gt;"","AGUARDANDO ENVIO ASSINATURA CTS",IF(AK203&lt;&gt;"","AGUARDANDO CONFERÊNCIA","")))))))</f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>IFERROR(IF(BD203-KI203=0,"",BD203-AK203),"")</f>
        <v/>
      </c>
      <c r="BI203" s="98" t="str">
        <f>IF(AND(AH203&lt;&gt;"SIM",AH203="UH"),"AA","INDENIZAÇÃO")</f>
        <v>AA</v>
      </c>
      <c r="BJ203" s="98" t="str">
        <f>IF(AND(BD203&lt;&gt;"AGUARDANDO",BD203&lt;&gt;"",N203="AUXÍLIO ALUGUEL ATÉ INDENIZAÇÃO"),"SIM","NÃO")</f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customHeight="1" x14ac:dyDescent="0.25">
      <c r="A204" s="197">
        <v>200</v>
      </c>
      <c r="B204" s="197" t="s">
        <v>4396</v>
      </c>
      <c r="C204" s="207" t="s">
        <v>4426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>IF(AQ204="SIM","AGUARDANDO CORREÇÃO",IF(AP204&lt;&gt;"","FINALIZADO",IF(AO204&lt;&gt;"","AGUARDANDO ENVIO DTS",IF(AN204&lt;&gt;"","AGUARDANDO ASSINATURA GAB",IF(AM204&lt;&gt;"","AGUARDANDO ASSINATURA CTS",IF(AL204&lt;&gt;"","AGUARDANDO ENVIO ASSINATURA CTS",IF(AK204&lt;&gt;"","AGUARDANDO CONFERÊNCIA","")))))))</f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4434</v>
      </c>
      <c r="BF204" s="228" t="s">
        <v>4435</v>
      </c>
      <c r="BG204" s="219" t="s">
        <v>4425</v>
      </c>
      <c r="BH204" s="321">
        <f>IFERROR(IF(BD204-KI204=0,"",BD204-AK204),"")</f>
        <v>74</v>
      </c>
      <c r="BI204" s="98" t="str">
        <f>IF(AND(AH204&lt;&gt;"SIM",AH204="UH"),"AA","INDENIZAÇÃO")</f>
        <v>INDENIZAÇÃO</v>
      </c>
      <c r="BJ204" s="98" t="str">
        <f>IF(AND(BD204&lt;&gt;"AGUARDANDO",BD204&lt;&gt;"",N204="AUXÍLIO ALUGUEL ATÉ INDENIZAÇÃO"),"SIM","NÃO")</f>
        <v>NÃO</v>
      </c>
      <c r="BK204" s="219" t="s">
        <v>4436</v>
      </c>
      <c r="BL204" s="219" t="s">
        <v>4436</v>
      </c>
      <c r="BM204" s="219" t="s">
        <v>4436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4434</v>
      </c>
    </row>
    <row r="205" spans="1:73" s="240" customFormat="1" ht="27" customHeight="1" x14ac:dyDescent="0.25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4441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4432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>IF(AQ205="SIM","AGUARDANDO CORREÇÃO",IF(AP205&lt;&gt;"","FINALIZADO",IF(AO205&lt;&gt;"","AGUARDANDO ENVIO DTS",IF(AN205&lt;&gt;"","AGUARDANDO ASSINATURA GAB",IF(AM205&lt;&gt;"","AGUARDANDO ASSINATURA CTS",IF(AL205&lt;&gt;"","AGUARDANDO ENVIO ASSINATURA CTS",IF(AK205&lt;&gt;"","AGUARDANDO CONFERÊNCIA","")))))))</f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>IFERROR(IF(BD205-KI205=0,"",BD205-AK205),"")</f>
        <v>42</v>
      </c>
      <c r="BI205" s="98" t="str">
        <f>IF(AND(AH205&lt;&gt;"SIM",AH205="UH"),"AA","INDENIZAÇÃO")</f>
        <v>INDENIZAÇÃO</v>
      </c>
      <c r="BJ205" s="98" t="str">
        <f>IF(AND(BD205&lt;&gt;"AGUARDANDO",BD205&lt;&gt;"",N205="AUXÍLIO ALUGUEL ATÉ INDENIZAÇÃO"),"SIM","NÃO")</f>
        <v>NÃO</v>
      </c>
      <c r="BK205" s="230" t="s">
        <v>4436</v>
      </c>
      <c r="BL205" s="230" t="s">
        <v>4436</v>
      </c>
      <c r="BM205" s="230" t="s">
        <v>4436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4434</v>
      </c>
      <c r="BS205" s="223"/>
      <c r="BT205" s="223"/>
      <c r="BU205" s="223"/>
    </row>
    <row r="206" spans="1:73" s="240" customFormat="1" ht="27" customHeight="1" x14ac:dyDescent="0.25">
      <c r="A206" s="207">
        <v>202</v>
      </c>
      <c r="B206" s="197" t="s">
        <v>4396</v>
      </c>
      <c r="C206" s="207" t="s">
        <v>4426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4439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>IF(AQ206="SIM","AGUARDANDO CORREÇÃO",IF(AP206&lt;&gt;"","FINALIZADO",IF(AO206&lt;&gt;"","AGUARDANDO ENVIO DTS",IF(AN206&lt;&gt;"","AGUARDANDO ASSINATURA GAB",IF(AM206&lt;&gt;"","AGUARDANDO ASSINATURA CTS",IF(AL206&lt;&gt;"","AGUARDANDO ENVIO ASSINATURA CTS",IF(AK206&lt;&gt;"","AGUARDANDO CONFERÊNCIA","")))))))</f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4434</v>
      </c>
      <c r="BF206" s="228" t="s">
        <v>4435</v>
      </c>
      <c r="BG206" s="219" t="s">
        <v>4425</v>
      </c>
      <c r="BH206" s="321">
        <f>IFERROR(IF(BD206-KI206=0,"",BD206-AK206),"")</f>
        <v>102</v>
      </c>
      <c r="BI206" s="98" t="str">
        <f>IF(AND(AH206&lt;&gt;"SIM",AH206="UH"),"AA","INDENIZAÇÃO")</f>
        <v>INDENIZAÇÃO</v>
      </c>
      <c r="BJ206" s="98" t="str">
        <f>IF(AND(BD206&lt;&gt;"AGUARDANDO",BD206&lt;&gt;"",N206="AUXÍLIO ALUGUEL ATÉ INDENIZAÇÃO"),"SIM","NÃO")</f>
        <v>NÃO</v>
      </c>
      <c r="BK206" s="219" t="s">
        <v>4436</v>
      </c>
      <c r="BL206" s="230" t="s">
        <v>4436</v>
      </c>
      <c r="BM206" s="230" t="s">
        <v>4436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4434</v>
      </c>
    </row>
    <row r="207" spans="1:73" s="240" customFormat="1" ht="27" customHeight="1" x14ac:dyDescent="0.25">
      <c r="A207" s="207">
        <v>203</v>
      </c>
      <c r="B207" s="197" t="s">
        <v>4396</v>
      </c>
      <c r="C207" s="207" t="s">
        <v>4426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4441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4432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>IF(AQ207="SIM","AGUARDANDO CORREÇÃO",IF(AP207&lt;&gt;"","FINALIZADO",IF(AO207&lt;&gt;"","AGUARDANDO ENVIO DTS",IF(AN207&lt;&gt;"","AGUARDANDO ASSINATURA GAB",IF(AM207&lt;&gt;"","AGUARDANDO ASSINATURA CTS",IF(AL207&lt;&gt;"","AGUARDANDO ENVIO ASSINATURA CTS",IF(AK207&lt;&gt;"","AGUARDANDO CONFERÊNCIA","")))))))</f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4434</v>
      </c>
      <c r="BF207" s="245" t="s">
        <v>4435</v>
      </c>
      <c r="BG207" s="229" t="s">
        <v>4425</v>
      </c>
      <c r="BH207" s="321">
        <f>IFERROR(IF(BD207-KI207=0,"",BD207-AK207),"")</f>
        <v>28</v>
      </c>
      <c r="BI207" s="98" t="str">
        <f>IF(AND(AH207&lt;&gt;"SIM",AH207="UH"),"AA","INDENIZAÇÃO")</f>
        <v>INDENIZAÇÃO</v>
      </c>
      <c r="BJ207" s="98" t="str">
        <f>IF(AND(BD207&lt;&gt;"AGUARDANDO",BD207&lt;&gt;"",N207="AUXÍLIO ALUGUEL ATÉ INDENIZAÇÃO"),"SIM","NÃO")</f>
        <v>NÃO</v>
      </c>
      <c r="BK207" s="230" t="s">
        <v>4436</v>
      </c>
      <c r="BL207" s="230" t="s">
        <v>4436</v>
      </c>
      <c r="BM207" s="230" t="s">
        <v>4436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4434</v>
      </c>
    </row>
    <row r="208" spans="1:73" s="240" customFormat="1" ht="27" hidden="1" customHeight="1" x14ac:dyDescent="0.25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>IF(AQ208="SIM","AGUARDANDO CORREÇÃO",IF(AP208&lt;&gt;"","FINALIZADO",IF(AO208&lt;&gt;"","AGUARDANDO ENVIO DTS",IF(AN208&lt;&gt;"","AGUARDANDO ASSINATURA GAB",IF(AM208&lt;&gt;"","AGUARDANDO ASSINATURA CTS",IF(AL208&lt;&gt;"","AGUARDANDO ENVIO ASSINATURA CTS",IF(AK208&lt;&gt;"","AGUARDANDO CONFERÊNCIA","")))))))</f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>IFERROR(IF(BD208-KI208=0,"",BD208-AK208),"")</f>
        <v/>
      </c>
      <c r="BI208" s="98" t="str">
        <f>IF(AND(AH208&lt;&gt;"SIM",AH208="UH"),"AA","INDENIZAÇÃO")</f>
        <v>AA</v>
      </c>
      <c r="BJ208" s="98" t="str">
        <f>IF(AND(BD208&lt;&gt;"AGUARDANDO",BD208&lt;&gt;"",N208="AUXÍLIO ALUGUEL ATÉ INDENIZAÇÃO"),"SIM","NÃO")</f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customHeight="1" x14ac:dyDescent="0.25">
      <c r="A209" s="197">
        <v>205</v>
      </c>
      <c r="B209" s="197" t="s">
        <v>4396</v>
      </c>
      <c r="C209" s="207" t="s">
        <v>4426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4441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4432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>IF(AQ209="SIM","AGUARDANDO CORREÇÃO",IF(AP209&lt;&gt;"","FINALIZADO",IF(AO209&lt;&gt;"","AGUARDANDO ENVIO DTS",IF(AN209&lt;&gt;"","AGUARDANDO ASSINATURA GAB",IF(AM209&lt;&gt;"","AGUARDANDO ASSINATURA CTS",IF(AL209&lt;&gt;"","AGUARDANDO ENVIO ASSINATURA CTS",IF(AK209&lt;&gt;"","AGUARDANDO CONFERÊNCIA","")))))))</f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4434</v>
      </c>
      <c r="BF209" s="245" t="s">
        <v>4435</v>
      </c>
      <c r="BG209" s="229" t="s">
        <v>4425</v>
      </c>
      <c r="BH209" s="321">
        <f>IFERROR(IF(BD209-KI209=0,"",BD209-AK209),"")</f>
        <v>56</v>
      </c>
      <c r="BI209" s="98" t="str">
        <f>IF(AND(AH209&lt;&gt;"SIM",AH209="UH"),"AA","INDENIZAÇÃO")</f>
        <v>INDENIZAÇÃO</v>
      </c>
      <c r="BJ209" s="98" t="str">
        <f>IF(AND(BD209&lt;&gt;"AGUARDANDO",BD209&lt;&gt;"",N209="AUXÍLIO ALUGUEL ATÉ INDENIZAÇÃO"),"SIM","NÃO")</f>
        <v>NÃO</v>
      </c>
      <c r="BK209" s="230" t="s">
        <v>4436</v>
      </c>
      <c r="BL209" s="230" t="s">
        <v>4436</v>
      </c>
      <c r="BM209" s="230" t="s">
        <v>4436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4434</v>
      </c>
    </row>
    <row r="210" spans="1:72" s="240" customFormat="1" ht="27" hidden="1" customHeight="1" x14ac:dyDescent="0.25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>IF(AQ210="SIM","AGUARDANDO CORREÇÃO",IF(AP210&lt;&gt;"","FINALIZADO",IF(AO210&lt;&gt;"","AGUARDANDO ENVIO DTS",IF(AN210&lt;&gt;"","AGUARDANDO ASSINATURA GAB",IF(AM210&lt;&gt;"","AGUARDANDO ASSINATURA CTS",IF(AL210&lt;&gt;"","AGUARDANDO ENVIO ASSINATURA CTS",IF(AK210&lt;&gt;"","AGUARDANDO CONFERÊNCIA","")))))))</f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>IFERROR(IF(BD210-KI210=0,"",BD210-AK210),"")</f>
        <v/>
      </c>
      <c r="BI210" s="98" t="str">
        <f>IF(AND(AH210&lt;&gt;"SIM",AH210="UH"),"AA","INDENIZAÇÃO")</f>
        <v>AA</v>
      </c>
      <c r="BJ210" s="98" t="str">
        <f>IF(AND(BD210&lt;&gt;"AGUARDANDO",BD210&lt;&gt;"",N210="AUXÍLIO ALUGUEL ATÉ INDENIZAÇÃO"),"SIM","NÃO")</f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hidden="1" customHeight="1" x14ac:dyDescent="0.25">
      <c r="A211" s="207">
        <v>207</v>
      </c>
      <c r="B211" s="197" t="s">
        <v>4396</v>
      </c>
      <c r="C211" s="207" t="s">
        <v>4426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>IF(AQ211="SIM","AGUARDANDO CORREÇÃO",IF(AP211&lt;&gt;"","FINALIZADO",IF(AO211&lt;&gt;"","AGUARDANDO ENVIO DTS",IF(AN211&lt;&gt;"","AGUARDANDO ASSINATURA GAB",IF(AM211&lt;&gt;"","AGUARDANDO ASSINATURA CTS",IF(AL211&lt;&gt;"","AGUARDANDO ENVIO ASSINATURA CTS",IF(AK211&lt;&gt;"","AGUARDANDO CONFERÊNCIA","")))))))</f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>IFERROR(IF(BD211-KI211=0,"",BD211-AK211),"")</f>
        <v/>
      </c>
      <c r="BI211" s="98" t="str">
        <f>IF(AND(AH211&lt;&gt;"SIM",AH211="UH"),"AA","INDENIZAÇÃO")</f>
        <v>AA</v>
      </c>
      <c r="BJ211" s="98" t="str">
        <f>IF(AND(BD211&lt;&gt;"AGUARDANDO",BD211&lt;&gt;"",N211="AUXÍLIO ALUGUEL ATÉ INDENIZAÇÃO"),"SIM","NÃO")</f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customHeight="1" x14ac:dyDescent="0.25">
      <c r="A212" s="207">
        <v>208</v>
      </c>
      <c r="B212" s="197" t="s">
        <v>4396</v>
      </c>
      <c r="C212" s="207" t="s">
        <v>4426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4441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4432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>IF(AQ212="SIM","AGUARDANDO CORREÇÃO",IF(AP212&lt;&gt;"","FINALIZADO",IF(AO212&lt;&gt;"","AGUARDANDO ENVIO DTS",IF(AN212&lt;&gt;"","AGUARDANDO ASSINATURA GAB",IF(AM212&lt;&gt;"","AGUARDANDO ASSINATURA CTS",IF(AL212&lt;&gt;"","AGUARDANDO ENVIO ASSINATURA CTS",IF(AK212&lt;&gt;"","AGUARDANDO CONFERÊNCIA","")))))))</f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4434</v>
      </c>
      <c r="BF212" s="228" t="s">
        <v>4435</v>
      </c>
      <c r="BG212" s="229" t="s">
        <v>4425</v>
      </c>
      <c r="BH212" s="321">
        <f>IFERROR(IF(BD212-KI212=0,"",BD212-AK212),"")</f>
        <v>69</v>
      </c>
      <c r="BI212" s="98" t="str">
        <f>IF(AND(AH212&lt;&gt;"SIM",AH212="UH"),"AA","INDENIZAÇÃO")</f>
        <v>INDENIZAÇÃO</v>
      </c>
      <c r="BJ212" s="98" t="str">
        <f>IF(AND(BD212&lt;&gt;"AGUARDANDO",BD212&lt;&gt;"",N212="AUXÍLIO ALUGUEL ATÉ INDENIZAÇÃO"),"SIM","NÃO")</f>
        <v>NÃO</v>
      </c>
      <c r="BK212" s="230" t="s">
        <v>4436</v>
      </c>
      <c r="BL212" s="230" t="s">
        <v>4436</v>
      </c>
      <c r="BM212" s="230" t="s">
        <v>4436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4434</v>
      </c>
    </row>
    <row r="213" spans="1:72" s="240" customFormat="1" ht="27" hidden="1" customHeight="1" x14ac:dyDescent="0.25">
      <c r="A213" s="207">
        <v>209</v>
      </c>
      <c r="B213" s="197" t="s">
        <v>4396</v>
      </c>
      <c r="C213" s="207" t="s">
        <v>4426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4535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>IF(AQ213="SIM","AGUARDANDO CORREÇÃO",IF(AP213&lt;&gt;"","FINALIZADO",IF(AO213&lt;&gt;"","AGUARDANDO ENVIO DTS",IF(AN213&lt;&gt;"","AGUARDANDO ASSINATURA GAB",IF(AM213&lt;&gt;"","AGUARDANDO ASSINATURA CTS",IF(AL213&lt;&gt;"","AGUARDANDO ENVIO ASSINATURA CTS",IF(AK213&lt;&gt;"","AGUARDANDO CONFERÊNCIA","")))))))</f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>IFERROR(IF(BD213-KI213=0,"",BD213-AK213),"")</f>
        <v/>
      </c>
      <c r="BI213" s="98" t="str">
        <f>IF(AND(AH213&lt;&gt;"SIM",AH213="UH"),"AA","INDENIZAÇÃO")</f>
        <v>AA</v>
      </c>
      <c r="BJ213" s="98" t="str">
        <f>IF(AND(BD213&lt;&gt;"AGUARDANDO",BD213&lt;&gt;"",N213="AUXÍLIO ALUGUEL ATÉ INDENIZAÇÃO"),"SIM","NÃO")</f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hidden="1" customHeight="1" x14ac:dyDescent="0.25">
      <c r="A214" s="197">
        <v>210</v>
      </c>
      <c r="B214" s="197" t="s">
        <v>4396</v>
      </c>
      <c r="C214" s="207" t="s">
        <v>4426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4535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>IF(AQ214="SIM","AGUARDANDO CORREÇÃO",IF(AP214&lt;&gt;"","FINALIZADO",IF(AO214&lt;&gt;"","AGUARDANDO ENVIO DTS",IF(AN214&lt;&gt;"","AGUARDANDO ASSINATURA GAB",IF(AM214&lt;&gt;"","AGUARDANDO ASSINATURA CTS",IF(AL214&lt;&gt;"","AGUARDANDO ENVIO ASSINATURA CTS",IF(AK214&lt;&gt;"","AGUARDANDO CONFERÊNCIA","")))))))</f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>IFERROR(IF(BD214-KI214=0,"",BD214-AK214),"")</f>
        <v/>
      </c>
      <c r="BI214" s="98" t="str">
        <f>IF(AND(AH214&lt;&gt;"SIM",AH214="UH"),"AA","INDENIZAÇÃO")</f>
        <v>AA</v>
      </c>
      <c r="BJ214" s="98" t="str">
        <f>IF(AND(BD214&lt;&gt;"AGUARDANDO",BD214&lt;&gt;"",N214="AUXÍLIO ALUGUEL ATÉ INDENIZAÇÃO"),"SIM","NÃO")</f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customHeight="1" x14ac:dyDescent="0.25">
      <c r="A215" s="197">
        <v>211</v>
      </c>
      <c r="B215" s="197" t="s">
        <v>4396</v>
      </c>
      <c r="C215" s="207" t="s">
        <v>4426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4441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4432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>IF(AQ215="SIM","AGUARDANDO CORREÇÃO",IF(AP215&lt;&gt;"","FINALIZADO",IF(AO215&lt;&gt;"","AGUARDANDO ENVIO DTS",IF(AN215&lt;&gt;"","AGUARDANDO ASSINATURA GAB",IF(AM215&lt;&gt;"","AGUARDANDO ASSINATURA CTS",IF(AL215&lt;&gt;"","AGUARDANDO ENVIO ASSINATURA CTS",IF(AK215&lt;&gt;"","AGUARDANDO CONFERÊNCIA","")))))))</f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4434</v>
      </c>
      <c r="BF215" s="228" t="s">
        <v>4435</v>
      </c>
      <c r="BG215" s="229" t="s">
        <v>4425</v>
      </c>
      <c r="BH215" s="321">
        <f>IFERROR(IF(BD215-KI215=0,"",BD215-AK215),"")</f>
        <v>77</v>
      </c>
      <c r="BI215" s="98" t="str">
        <f>IF(AND(AH215&lt;&gt;"SIM",AH215="UH"),"AA","INDENIZAÇÃO")</f>
        <v>INDENIZAÇÃO</v>
      </c>
      <c r="BJ215" s="98" t="str">
        <f>IF(AND(BD215&lt;&gt;"AGUARDANDO",BD215&lt;&gt;"",N215="AUXÍLIO ALUGUEL ATÉ INDENIZAÇÃO"),"SIM","NÃO")</f>
        <v>NÃO</v>
      </c>
      <c r="BK215" s="219" t="s">
        <v>4436</v>
      </c>
      <c r="BL215" s="219" t="s">
        <v>4436</v>
      </c>
      <c r="BM215" s="219" t="s">
        <v>4436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4434</v>
      </c>
    </row>
    <row r="216" spans="1:72" s="240" customFormat="1" ht="27" hidden="1" customHeight="1" x14ac:dyDescent="0.25">
      <c r="A216" s="207">
        <v>212</v>
      </c>
      <c r="B216" s="197" t="s">
        <v>4396</v>
      </c>
      <c r="C216" s="207" t="s">
        <v>4426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>IF(AQ216="SIM","AGUARDANDO CORREÇÃO",IF(AP216&lt;&gt;"","FINALIZADO",IF(AO216&lt;&gt;"","AGUARDANDO ENVIO DTS",IF(AN216&lt;&gt;"","AGUARDANDO ASSINATURA GAB",IF(AM216&lt;&gt;"","AGUARDANDO ASSINATURA CTS",IF(AL216&lt;&gt;"","AGUARDANDO ENVIO ASSINATURA CTS",IF(AK216&lt;&gt;"","AGUARDANDO CONFERÊNCIA","")))))))</f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>IFERROR(IF(BD216-KI216=0,"",BD216-AK216),"")</f>
        <v/>
      </c>
      <c r="BI216" s="98" t="str">
        <f>IF(AND(AH216&lt;&gt;"SIM",AH216="UH"),"AA","INDENIZAÇÃO")</f>
        <v>AA</v>
      </c>
      <c r="BJ216" s="98" t="str">
        <f>IF(AND(BD216&lt;&gt;"AGUARDANDO",BD216&lt;&gt;"",N216="AUXÍLIO ALUGUEL ATÉ INDENIZAÇÃO"),"SIM","NÃO")</f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hidden="1" customHeight="1" x14ac:dyDescent="0.25">
      <c r="A217" s="207">
        <v>213</v>
      </c>
      <c r="B217" s="197" t="s">
        <v>4396</v>
      </c>
      <c r="C217" s="207" t="s">
        <v>4426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>IF(AQ217="SIM","AGUARDANDO CORREÇÃO",IF(AP217&lt;&gt;"","FINALIZADO",IF(AO217&lt;&gt;"","AGUARDANDO ENVIO DTS",IF(AN217&lt;&gt;"","AGUARDANDO ASSINATURA GAB",IF(AM217&lt;&gt;"","AGUARDANDO ASSINATURA CTS",IF(AL217&lt;&gt;"","AGUARDANDO ENVIO ASSINATURA CTS",IF(AK217&lt;&gt;"","AGUARDANDO CONFERÊNCIA","")))))))</f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>IFERROR(IF(BD217-KI217=0,"",BD217-AK217),"")</f>
        <v/>
      </c>
      <c r="BI217" s="98" t="str">
        <f>IF(AND(AH217&lt;&gt;"SIM",AH217="UH"),"AA","INDENIZAÇÃO")</f>
        <v>AA</v>
      </c>
      <c r="BJ217" s="98" t="str">
        <f>IF(AND(BD217&lt;&gt;"AGUARDANDO",BD217&lt;&gt;"",N217="AUXÍLIO ALUGUEL ATÉ INDENIZAÇÃO"),"SIM","NÃO")</f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hidden="1" customHeight="1" x14ac:dyDescent="0.25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>IF(AQ218="SIM","AGUARDANDO CORREÇÃO",IF(AP218&lt;&gt;"","FINALIZADO",IF(AO218&lt;&gt;"","AGUARDANDO ENVIO DTS",IF(AN218&lt;&gt;"","AGUARDANDO ASSINATURA GAB",IF(AM218&lt;&gt;"","AGUARDANDO ASSINATURA CTS",IF(AL218&lt;&gt;"","AGUARDANDO ENVIO ASSINATURA CTS",IF(AK218&lt;&gt;"","AGUARDANDO CONFERÊNCIA","")))))))</f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>IFERROR(IF(BD218-KI218=0,"",BD218-AK218),"")</f>
        <v/>
      </c>
      <c r="BI218" s="98" t="str">
        <f>IF(AND(AH218&lt;&gt;"SIM",AH218="UH"),"AA","INDENIZAÇÃO")</f>
        <v>AA</v>
      </c>
      <c r="BJ218" s="98" t="str">
        <f>IF(AND(BD218&lt;&gt;"AGUARDANDO",BD218&lt;&gt;"",N218="AUXÍLIO ALUGUEL ATÉ INDENIZAÇÃO"),"SIM","NÃO")</f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customHeight="1" x14ac:dyDescent="0.25">
      <c r="A219" s="197">
        <v>215</v>
      </c>
      <c r="B219" s="197" t="s">
        <v>4396</v>
      </c>
      <c r="C219" s="207" t="s">
        <v>4426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4441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4432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>IF(AQ219="SIM","AGUARDANDO CORREÇÃO",IF(AP219&lt;&gt;"","FINALIZADO",IF(AO219&lt;&gt;"","AGUARDANDO ENVIO DTS",IF(AN219&lt;&gt;"","AGUARDANDO ASSINATURA GAB",IF(AM219&lt;&gt;"","AGUARDANDO ASSINATURA CTS",IF(AL219&lt;&gt;"","AGUARDANDO ENVIO ASSINATURA CTS",IF(AK219&lt;&gt;"","AGUARDANDO CONFERÊNCIA","")))))))</f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4434</v>
      </c>
      <c r="BF219" s="245" t="s">
        <v>4435</v>
      </c>
      <c r="BG219" s="229" t="s">
        <v>4425</v>
      </c>
      <c r="BH219" s="321">
        <f>IFERROR(IF(BD219-KI219=0,"",BD219-AK219),"")</f>
        <v>94</v>
      </c>
      <c r="BI219" s="98" t="str">
        <f>IF(AND(AH219&lt;&gt;"SIM",AH219="UH"),"AA","INDENIZAÇÃO")</f>
        <v>INDENIZAÇÃO</v>
      </c>
      <c r="BJ219" s="98" t="str">
        <f>IF(AND(BD219&lt;&gt;"AGUARDANDO",BD219&lt;&gt;"",N219="AUXÍLIO ALUGUEL ATÉ INDENIZAÇÃO"),"SIM","NÃO")</f>
        <v>NÃO</v>
      </c>
      <c r="BK219" s="219" t="s">
        <v>4436</v>
      </c>
      <c r="BL219" s="219" t="s">
        <v>4436</v>
      </c>
      <c r="BM219" s="219" t="s">
        <v>4436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4434</v>
      </c>
    </row>
    <row r="220" spans="1:72" s="240" customFormat="1" ht="27" hidden="1" customHeight="1" x14ac:dyDescent="0.25">
      <c r="A220" s="197">
        <v>216</v>
      </c>
      <c r="B220" s="197" t="s">
        <v>4396</v>
      </c>
      <c r="C220" s="207" t="s">
        <v>4426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>IF(AQ220="SIM","AGUARDANDO CORREÇÃO",IF(AP220&lt;&gt;"","FINALIZADO",IF(AO220&lt;&gt;"","AGUARDANDO ENVIO DTS",IF(AN220&lt;&gt;"","AGUARDANDO ASSINATURA GAB",IF(AM220&lt;&gt;"","AGUARDANDO ASSINATURA CTS",IF(AL220&lt;&gt;"","AGUARDANDO ENVIO ASSINATURA CTS",IF(AK220&lt;&gt;"","AGUARDANDO CONFERÊNCIA","")))))))</f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>IFERROR(IF(BD220-KI220=0,"",BD220-AK220),"")</f>
        <v/>
      </c>
      <c r="BI220" s="98" t="str">
        <f>IF(AND(AH220&lt;&gt;"SIM",AH220="UH"),"AA","INDENIZAÇÃO")</f>
        <v>AA</v>
      </c>
      <c r="BJ220" s="98" t="str">
        <f>IF(AND(BD220&lt;&gt;"AGUARDANDO",BD220&lt;&gt;"",N220="AUXÍLIO ALUGUEL ATÉ INDENIZAÇÃO"),"SIM","NÃO")</f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customHeight="1" x14ac:dyDescent="0.25">
      <c r="A221" s="207">
        <v>217</v>
      </c>
      <c r="B221" s="197" t="s">
        <v>4396</v>
      </c>
      <c r="C221" s="207" t="s">
        <v>4426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4441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4432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>IF(AQ221="SIM","AGUARDANDO CORREÇÃO",IF(AP221&lt;&gt;"","FINALIZADO",IF(AO221&lt;&gt;"","AGUARDANDO ENVIO DTS",IF(AN221&lt;&gt;"","AGUARDANDO ASSINATURA GAB",IF(AM221&lt;&gt;"","AGUARDANDO ASSINATURA CTS",IF(AL221&lt;&gt;"","AGUARDANDO ENVIO ASSINATURA CTS",IF(AK221&lt;&gt;"","AGUARDANDO CONFERÊNCIA","")))))))</f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4434</v>
      </c>
      <c r="BF221" s="228" t="s">
        <v>4435</v>
      </c>
      <c r="BG221" s="219" t="s">
        <v>4425</v>
      </c>
      <c r="BH221" s="321">
        <f>IFERROR(IF(BD221-KI221=0,"",BD221-AK221),"")</f>
        <v>101</v>
      </c>
      <c r="BI221" s="98" t="str">
        <f>IF(AND(AH221&lt;&gt;"SIM",AH221="UH"),"AA","INDENIZAÇÃO")</f>
        <v>INDENIZAÇÃO</v>
      </c>
      <c r="BJ221" s="98" t="str">
        <f>IF(AND(BD221&lt;&gt;"AGUARDANDO",BD221&lt;&gt;"",N221="AUXÍLIO ALUGUEL ATÉ INDENIZAÇÃO"),"SIM","NÃO")</f>
        <v>NÃO</v>
      </c>
      <c r="BK221" s="219" t="s">
        <v>4436</v>
      </c>
      <c r="BL221" s="219" t="s">
        <v>4436</v>
      </c>
      <c r="BM221" s="219" t="s">
        <v>4436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4434</v>
      </c>
    </row>
    <row r="222" spans="1:72" s="240" customFormat="1" ht="27" customHeight="1" x14ac:dyDescent="0.25">
      <c r="A222" s="207">
        <v>218</v>
      </c>
      <c r="B222" s="197" t="s">
        <v>4396</v>
      </c>
      <c r="C222" s="207" t="s">
        <v>4426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4441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4432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>IF(AQ222="SIM","AGUARDANDO CORREÇÃO",IF(AP222&lt;&gt;"","FINALIZADO",IF(AO222&lt;&gt;"","AGUARDANDO ENVIO DTS",IF(AN222&lt;&gt;"","AGUARDANDO ASSINATURA GAB",IF(AM222&lt;&gt;"","AGUARDANDO ASSINATURA CTS",IF(AL222&lt;&gt;"","AGUARDANDO ENVIO ASSINATURA CTS",IF(AK222&lt;&gt;"","AGUARDANDO CONFERÊNCIA","")))))))</f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4434</v>
      </c>
      <c r="BF222" s="228" t="s">
        <v>4435</v>
      </c>
      <c r="BG222" s="219" t="s">
        <v>4425</v>
      </c>
      <c r="BH222" s="321">
        <f>IFERROR(IF(BD222-KI222=0,"",BD222-AK222),"")</f>
        <v>94</v>
      </c>
      <c r="BI222" s="98" t="str">
        <f>IF(AND(AH222&lt;&gt;"SIM",AH222="UH"),"AA","INDENIZAÇÃO")</f>
        <v>INDENIZAÇÃO</v>
      </c>
      <c r="BJ222" s="98" t="str">
        <f>IF(AND(BD222&lt;&gt;"AGUARDANDO",BD222&lt;&gt;"",N222="AUXÍLIO ALUGUEL ATÉ INDENIZAÇÃO"),"SIM","NÃO")</f>
        <v>NÃO</v>
      </c>
      <c r="BK222" s="219" t="s">
        <v>4436</v>
      </c>
      <c r="BL222" s="219" t="s">
        <v>4436</v>
      </c>
      <c r="BM222" s="219" t="s">
        <v>4436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4434</v>
      </c>
    </row>
    <row r="223" spans="1:72" s="240" customFormat="1" ht="27" hidden="1" customHeight="1" x14ac:dyDescent="0.25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>IF(AQ223="SIM","AGUARDANDO CORREÇÃO",IF(AP223&lt;&gt;"","FINALIZADO",IF(AO223&lt;&gt;"","AGUARDANDO ENVIO DTS",IF(AN223&lt;&gt;"","AGUARDANDO ASSINATURA GAB",IF(AM223&lt;&gt;"","AGUARDANDO ASSINATURA CTS",IF(AL223&lt;&gt;"","AGUARDANDO ENVIO ASSINATURA CTS",IF(AK223&lt;&gt;"","AGUARDANDO CONFERÊNCIA","")))))))</f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>IFERROR(IF(BD223-KI223=0,"",BD223-AK223),"")</f>
        <v/>
      </c>
      <c r="BI223" s="98" t="str">
        <f>IF(AND(AH223&lt;&gt;"SIM",AH223="UH"),"AA","INDENIZAÇÃO")</f>
        <v>AA</v>
      </c>
      <c r="BJ223" s="98" t="str">
        <f>IF(AND(BD223&lt;&gt;"AGUARDANDO",BD223&lt;&gt;"",N223="AUXÍLIO ALUGUEL ATÉ INDENIZAÇÃO"),"SIM","NÃO")</f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customHeight="1" x14ac:dyDescent="0.25">
      <c r="A224" s="197">
        <v>220</v>
      </c>
      <c r="B224" s="197" t="s">
        <v>4396</v>
      </c>
      <c r="C224" s="207" t="s">
        <v>4426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4441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4432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>IF(AQ224="SIM","AGUARDANDO CORREÇÃO",IF(AP224&lt;&gt;"","FINALIZADO",IF(AO224&lt;&gt;"","AGUARDANDO ENVIO DTS",IF(AN224&lt;&gt;"","AGUARDANDO ASSINATURA GAB",IF(AM224&lt;&gt;"","AGUARDANDO ASSINATURA CTS",IF(AL224&lt;&gt;"","AGUARDANDO ENVIO ASSINATURA CTS",IF(AK224&lt;&gt;"","AGUARDANDO CONFERÊNCIA","")))))))</f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4434</v>
      </c>
      <c r="BF224" s="236" t="s">
        <v>4435</v>
      </c>
      <c r="BG224" s="237" t="s">
        <v>4425</v>
      </c>
      <c r="BH224" s="321">
        <f>IFERROR(IF(BD224-KI224=0,"",BD224-AK224),"")</f>
        <v>96</v>
      </c>
      <c r="BI224" s="98" t="str">
        <f>IF(AND(AH224&lt;&gt;"SIM",AH224="UH"),"AA","INDENIZAÇÃO")</f>
        <v>INDENIZAÇÃO</v>
      </c>
      <c r="BJ224" s="98" t="str">
        <f>IF(AND(BD224&lt;&gt;"AGUARDANDO",BD224&lt;&gt;"",N224="AUXÍLIO ALUGUEL ATÉ INDENIZAÇÃO"),"SIM","NÃO")</f>
        <v>NÃO</v>
      </c>
      <c r="BK224" s="238" t="s">
        <v>4436</v>
      </c>
      <c r="BL224" s="238" t="s">
        <v>4436</v>
      </c>
      <c r="BM224" s="238" t="s">
        <v>4436</v>
      </c>
      <c r="BN224" s="207" t="s">
        <v>4425</v>
      </c>
      <c r="BO224" s="250" t="s">
        <v>4425</v>
      </c>
      <c r="BP224" s="202">
        <v>46269</v>
      </c>
      <c r="BQ224" s="257" t="s">
        <v>4818</v>
      </c>
      <c r="BR224" s="231"/>
      <c r="BS224" s="223"/>
    </row>
    <row r="225" spans="1:72" s="240" customFormat="1" ht="27" hidden="1" customHeight="1" x14ac:dyDescent="0.25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>IF(AQ225="SIM","AGUARDANDO CORREÇÃO",IF(AP225&lt;&gt;"","FINALIZADO",IF(AO225&lt;&gt;"","AGUARDANDO ENVIO DTS",IF(AN225&lt;&gt;"","AGUARDANDO ASSINATURA GAB",IF(AM225&lt;&gt;"","AGUARDANDO ASSINATURA CTS",IF(AL225&lt;&gt;"","AGUARDANDO ENVIO ASSINATURA CTS",IF(AK225&lt;&gt;"","AGUARDANDO CONFERÊNCIA","")))))))</f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>IFERROR(IF(BD225-KI225=0,"",BD225-AK225),"")</f>
        <v/>
      </c>
      <c r="BI225" s="98" t="str">
        <f>IF(AND(AH225&lt;&gt;"SIM",AH225="UH"),"AA","INDENIZAÇÃO")</f>
        <v>AA</v>
      </c>
      <c r="BJ225" s="98" t="str">
        <f>IF(AND(BD225&lt;&gt;"AGUARDANDO",BD225&lt;&gt;"",N225="AUXÍLIO ALUGUEL ATÉ INDENIZAÇÃO"),"SIM","NÃO")</f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hidden="1" customHeight="1" x14ac:dyDescent="0.25">
      <c r="A226" s="207">
        <v>222</v>
      </c>
      <c r="B226" s="197" t="s">
        <v>4396</v>
      </c>
      <c r="C226" s="207" t="s">
        <v>4426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4582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4439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>IF(AQ226="SIM","AGUARDANDO CORREÇÃO",IF(AP226&lt;&gt;"","FINALIZADO",IF(AO226&lt;&gt;"","AGUARDANDO ENVIO DTS",IF(AN226&lt;&gt;"","AGUARDANDO ASSINATURA GAB",IF(AM226&lt;&gt;"","AGUARDANDO ASSINATURA CTS",IF(AL226&lt;&gt;"","AGUARDANDO ENVIO ASSINATURA CTS",IF(AK226&lt;&gt;"","AGUARDANDO CONFERÊNCIA","")))))))</f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>IFERROR(IF(BD226-KI226=0,"",BD226-AK226),"")</f>
        <v/>
      </c>
      <c r="BI226" s="98" t="str">
        <f>IF(AND(AH226&lt;&gt;"SIM",AH226="UH"),"AA","INDENIZAÇÃO")</f>
        <v>AA</v>
      </c>
      <c r="BJ226" s="98" t="str">
        <f>IF(AND(BD226&lt;&gt;"AGUARDANDO",BD226&lt;&gt;"",N226="AUXÍLIO ALUGUEL ATÉ INDENIZAÇÃO"),"SIM","NÃO")</f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customHeight="1" x14ac:dyDescent="0.25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4545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4441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4432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>IF(AQ227="SIM","AGUARDANDO CORREÇÃO",IF(AP227&lt;&gt;"","FINALIZADO",IF(AO227&lt;&gt;"","AGUARDANDO ENVIO DTS",IF(AN227&lt;&gt;"","AGUARDANDO ASSINATURA GAB",IF(AM227&lt;&gt;"","AGUARDANDO ASSINATURA CTS",IF(AL227&lt;&gt;"","AGUARDANDO ENVIO ASSINATURA CTS",IF(AK227&lt;&gt;"","AGUARDANDO CONFERÊNCIA","")))))))</f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4761</v>
      </c>
      <c r="BG227" s="229" t="s">
        <v>4425</v>
      </c>
      <c r="BH227" s="321">
        <f>IFERROR(IF(BD227-KI227=0,"",BD227-AK227),"")</f>
        <v>42</v>
      </c>
      <c r="BI227" s="98" t="str">
        <f>IF(AND(AH227&lt;&gt;"SIM",AH227="UH"),"AA","INDENIZAÇÃO")</f>
        <v>INDENIZAÇÃO</v>
      </c>
      <c r="BJ227" s="98" t="str">
        <f>IF(AND(BD227&lt;&gt;"AGUARDANDO",BD227&lt;&gt;"",N227="AUXÍLIO ALUGUEL ATÉ INDENIZAÇÃO"),"SIM","NÃO")</f>
        <v>NÃO</v>
      </c>
      <c r="BK227" s="230" t="s">
        <v>4436</v>
      </c>
      <c r="BL227" s="230" t="s">
        <v>4436</v>
      </c>
      <c r="BM227" s="230" t="s">
        <v>4436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4434</v>
      </c>
    </row>
    <row r="228" spans="1:72" s="240" customFormat="1" ht="27" hidden="1" customHeight="1" x14ac:dyDescent="0.25">
      <c r="A228" s="207">
        <v>224</v>
      </c>
      <c r="B228" s="197" t="s">
        <v>4396</v>
      </c>
      <c r="C228" s="207" t="s">
        <v>4426</v>
      </c>
      <c r="D228" s="207">
        <v>1</v>
      </c>
      <c r="E228" s="207" t="s">
        <v>4398</v>
      </c>
      <c r="F228" s="214" t="s">
        <v>5408</v>
      </c>
      <c r="G228" s="207" t="s">
        <v>4544</v>
      </c>
      <c r="H228" s="207" t="s">
        <v>4544</v>
      </c>
      <c r="I228" s="249" t="s">
        <v>4544</v>
      </c>
      <c r="J228" s="215" t="s">
        <v>5409</v>
      </c>
      <c r="K228" s="215" t="s">
        <v>4439</v>
      </c>
      <c r="L228" s="215" t="s">
        <v>5410</v>
      </c>
      <c r="M228" s="207" t="s">
        <v>4405</v>
      </c>
      <c r="N228" s="207" t="s">
        <v>4441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>IF(AQ228="SIM","AGUARDANDO CORREÇÃO",IF(AP228&lt;&gt;"","FINALIZADO",IF(AO228&lt;&gt;"","AGUARDANDO ENVIO DTS",IF(AN228&lt;&gt;"","AGUARDANDO ASSINATURA GAB",IF(AM228&lt;&gt;"","AGUARDANDO ASSINATURA CTS",IF(AL228&lt;&gt;"","AGUARDANDO ENVIO ASSINATURA CTS",IF(AK228&lt;&gt;"","AGUARDANDO CONFERÊNCIA","")))))))</f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>IFERROR(IF(BD228-KI228=0,"",BD228-AK228),"")</f>
        <v/>
      </c>
      <c r="BI228" s="98" t="str">
        <f>IF(AND(AH228&lt;&gt;"SIM",AH228="UH"),"AA","INDENIZAÇÃO")</f>
        <v>INDENIZAÇÃO</v>
      </c>
      <c r="BJ228" s="98" t="str">
        <f>IF(AND(BD228&lt;&gt;"AGUARDANDO",BD228&lt;&gt;"",N228="AUXÍLIO ALUGUEL ATÉ INDENIZAÇÃO"),"SIM","NÃO")</f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hidden="1" customHeight="1" x14ac:dyDescent="0.25">
      <c r="A229" s="197">
        <v>225</v>
      </c>
      <c r="B229" s="197" t="s">
        <v>4396</v>
      </c>
      <c r="C229" s="207" t="s">
        <v>4426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>IF(AQ229="SIM","AGUARDANDO CORREÇÃO",IF(AP229&lt;&gt;"","FINALIZADO",IF(AO229&lt;&gt;"","AGUARDANDO ENVIO DTS",IF(AN229&lt;&gt;"","AGUARDANDO ASSINATURA GAB",IF(AM229&lt;&gt;"","AGUARDANDO ASSINATURA CTS",IF(AL229&lt;&gt;"","AGUARDANDO ENVIO ASSINATURA CTS",IF(AK229&lt;&gt;"","AGUARDANDO CONFERÊNCIA","")))))))</f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>IFERROR(IF(BD229-KI229=0,"",BD229-AK229),"")</f>
        <v/>
      </c>
      <c r="BI229" s="98" t="str">
        <f>IF(AND(AH229&lt;&gt;"SIM",AH229="UH"),"AA","INDENIZAÇÃO")</f>
        <v>INDENIZAÇÃO</v>
      </c>
      <c r="BJ229" s="98" t="str">
        <f>IF(AND(BD229&lt;&gt;"AGUARDANDO",BD229&lt;&gt;"",N229="AUXÍLIO ALUGUEL ATÉ INDENIZAÇÃO"),"SIM","NÃO")</f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hidden="1" customHeight="1" x14ac:dyDescent="0.25">
      <c r="A230" s="197">
        <v>226</v>
      </c>
      <c r="B230" s="197" t="s">
        <v>4396</v>
      </c>
      <c r="C230" s="207" t="s">
        <v>4426</v>
      </c>
      <c r="D230" s="207">
        <v>1</v>
      </c>
      <c r="E230" s="207" t="s">
        <v>4398</v>
      </c>
      <c r="F230" s="214" t="s">
        <v>5418</v>
      </c>
      <c r="G230" s="207" t="s">
        <v>4544</v>
      </c>
      <c r="H230" s="207" t="s">
        <v>4544</v>
      </c>
      <c r="I230" s="217" t="s">
        <v>4544</v>
      </c>
      <c r="J230" s="215" t="s">
        <v>5419</v>
      </c>
      <c r="K230" s="215" t="s">
        <v>4439</v>
      </c>
      <c r="L230" s="215" t="s">
        <v>5420</v>
      </c>
      <c r="M230" s="207" t="s">
        <v>4405</v>
      </c>
      <c r="N230" s="207" t="s">
        <v>4441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>IF(AQ230="SIM","AGUARDANDO CORREÇÃO",IF(AP230&lt;&gt;"","FINALIZADO",IF(AO230&lt;&gt;"","AGUARDANDO ENVIO DTS",IF(AN230&lt;&gt;"","AGUARDANDO ASSINATURA GAB",IF(AM230&lt;&gt;"","AGUARDANDO ASSINATURA CTS",IF(AL230&lt;&gt;"","AGUARDANDO ENVIO ASSINATURA CTS",IF(AK230&lt;&gt;"","AGUARDANDO CONFERÊNCIA","")))))))</f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>IFERROR(IF(BD230-KI230=0,"",BD230-AK230),"")</f>
        <v/>
      </c>
      <c r="BI230" s="98" t="str">
        <f>IF(AND(AH230&lt;&gt;"SIM",AH230="UH"),"AA","INDENIZAÇÃO")</f>
        <v>INDENIZAÇÃO</v>
      </c>
      <c r="BJ230" s="98" t="str">
        <f>IF(AND(BD230&lt;&gt;"AGUARDANDO",BD230&lt;&gt;"",N230="AUXÍLIO ALUGUEL ATÉ INDENIZAÇÃO"),"SIM","NÃO")</f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 x14ac:dyDescent="0.25">
      <c r="A231" s="207">
        <v>227</v>
      </c>
      <c r="B231" s="197" t="s">
        <v>4396</v>
      </c>
      <c r="C231" s="207" t="s">
        <v>4426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>IF(AQ231="SIM","AGUARDANDO CORREÇÃO",IF(AP231&lt;&gt;"","FINALIZADO",IF(AO231&lt;&gt;"","AGUARDANDO ENVIO DTS",IF(AN231&lt;&gt;"","AGUARDANDO ASSINATURA GAB",IF(AM231&lt;&gt;"","AGUARDANDO ASSINATURA CTS",IF(AL231&lt;&gt;"","AGUARDANDO ENVIO ASSINATURA CTS",IF(AK231&lt;&gt;"","AGUARDANDO CONFERÊNCIA","")))))))</f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>IFERROR(IF(BD231-KI231=0,"",BD231-AK231),"")</f>
        <v/>
      </c>
      <c r="BI231" s="98" t="str">
        <f>IF(AND(AH231&lt;&gt;"SIM",AH231="UH"),"AA","INDENIZAÇÃO")</f>
        <v>INDENIZAÇÃO</v>
      </c>
      <c r="BJ231" s="98" t="str">
        <f>IF(AND(BD231&lt;&gt;"AGUARDANDO",BD231&lt;&gt;"",N231="AUXÍLIO ALUGUEL ATÉ INDENIZAÇÃO"),"SIM","NÃO")</f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 x14ac:dyDescent="0.25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>IF(AQ232="SIM","AGUARDANDO CORREÇÃO",IF(AP232&lt;&gt;"","FINALIZADO",IF(AO232&lt;&gt;"","AGUARDANDO ENVIO DTS",IF(AN232&lt;&gt;"","AGUARDANDO ASSINATURA GAB",IF(AM232&lt;&gt;"","AGUARDANDO ASSINATURA CTS",IF(AL232&lt;&gt;"","AGUARDANDO ENVIO ASSINATURA CTS",IF(AK232&lt;&gt;"","AGUARDANDO CONFERÊNCIA","")))))))</f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>IFERROR(IF(BD232-KI232=0,"",BD232-AK232),"")</f>
        <v/>
      </c>
      <c r="BI232" s="98" t="str">
        <f>IF(AND(AH232&lt;&gt;"SIM",AH232="UH"),"AA","INDENIZAÇÃO")</f>
        <v>AA</v>
      </c>
      <c r="BJ232" s="98" t="str">
        <f>IF(AND(BD232&lt;&gt;"AGUARDANDO",BD232&lt;&gt;"",N232="AUXÍLIO ALUGUEL ATÉ INDENIZAÇÃO"),"SIM","NÃO")</f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 x14ac:dyDescent="0.25">
      <c r="A233" s="207">
        <v>229</v>
      </c>
      <c r="B233" s="197" t="s">
        <v>4396</v>
      </c>
      <c r="C233" s="207" t="s">
        <v>4426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4582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>IF(AQ233="SIM","AGUARDANDO CORREÇÃO",IF(AP233&lt;&gt;"","FINALIZADO",IF(AO233&lt;&gt;"","AGUARDANDO ENVIO DTS",IF(AN233&lt;&gt;"","AGUARDANDO ASSINATURA GAB",IF(AM233&lt;&gt;"","AGUARDANDO ASSINATURA CTS",IF(AL233&lt;&gt;"","AGUARDANDO ENVIO ASSINATURA CTS",IF(AK233&lt;&gt;"","AGUARDANDO CONFERÊNCIA","")))))))</f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>IFERROR(IF(BD233-KI233=0,"",BD233-AK233),"")</f>
        <v/>
      </c>
      <c r="BI233" s="98" t="str">
        <f>IF(AND(AH233&lt;&gt;"SIM",AH233="UH"),"AA","INDENIZAÇÃO")</f>
        <v>AA</v>
      </c>
      <c r="BJ233" s="98" t="str">
        <f>IF(AND(BD233&lt;&gt;"AGUARDANDO",BD233&lt;&gt;"",N233="AUXÍLIO ALUGUEL ATÉ INDENIZAÇÃO"),"SIM","NÃO")</f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customHeight="1" x14ac:dyDescent="0.25">
      <c r="A234" s="197">
        <v>230</v>
      </c>
      <c r="B234" s="197" t="s">
        <v>4396</v>
      </c>
      <c r="C234" s="207" t="s">
        <v>4426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4441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4432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>IF(AQ234="SIM","AGUARDANDO CORREÇÃO",IF(AP234&lt;&gt;"","FINALIZADO",IF(AO234&lt;&gt;"","AGUARDANDO ENVIO DTS",IF(AN234&lt;&gt;"","AGUARDANDO ASSINATURA GAB",IF(AM234&lt;&gt;"","AGUARDANDO ASSINATURA CTS",IF(AL234&lt;&gt;"","AGUARDANDO ENVIO ASSINATURA CTS",IF(AK234&lt;&gt;"","AGUARDANDO CONFERÊNCIA","")))))))</f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4434</v>
      </c>
      <c r="BF234" s="228" t="s">
        <v>4435</v>
      </c>
      <c r="BG234" s="229" t="s">
        <v>4425</v>
      </c>
      <c r="BH234" s="321">
        <f>IFERROR(IF(BD234-KI234=0,"",BD234-AK234),"")</f>
        <v>84</v>
      </c>
      <c r="BI234" s="98" t="str">
        <f>IF(AND(AH234&lt;&gt;"SIM",AH234="UH"),"AA","INDENIZAÇÃO")</f>
        <v>INDENIZAÇÃO</v>
      </c>
      <c r="BJ234" s="98" t="str">
        <f>IF(AND(BD234&lt;&gt;"AGUARDANDO",BD234&lt;&gt;"",N234="AUXÍLIO ALUGUEL ATÉ INDENIZAÇÃO"),"SIM","NÃO")</f>
        <v>NÃO</v>
      </c>
      <c r="BK234" s="219" t="s">
        <v>4436</v>
      </c>
      <c r="BL234" s="219" t="s">
        <v>4436</v>
      </c>
      <c r="BM234" s="219" t="s">
        <v>4436</v>
      </c>
      <c r="BN234" s="257" t="s">
        <v>4956</v>
      </c>
      <c r="BO234" s="257"/>
      <c r="BP234" s="257"/>
      <c r="BQ234" s="257"/>
      <c r="BR234" s="258"/>
    </row>
    <row r="235" spans="1:72" s="240" customFormat="1" ht="27" customHeight="1" x14ac:dyDescent="0.25">
      <c r="A235" s="197">
        <v>231</v>
      </c>
      <c r="B235" s="197" t="s">
        <v>4396</v>
      </c>
      <c r="C235" s="207" t="s">
        <v>4426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4441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4432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>IF(AQ235="SIM","AGUARDANDO CORREÇÃO",IF(AP235&lt;&gt;"","FINALIZADO",IF(AO235&lt;&gt;"","AGUARDANDO ENVIO DTS",IF(AN235&lt;&gt;"","AGUARDANDO ASSINATURA GAB",IF(AM235&lt;&gt;"","AGUARDANDO ASSINATURA CTS",IF(AL235&lt;&gt;"","AGUARDANDO ENVIO ASSINATURA CTS",IF(AK235&lt;&gt;"","AGUARDANDO CONFERÊNCIA","")))))))</f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4434</v>
      </c>
      <c r="BF235" s="228" t="s">
        <v>4435</v>
      </c>
      <c r="BG235" s="229" t="s">
        <v>4425</v>
      </c>
      <c r="BH235" s="321">
        <f>IFERROR(IF(BD235-KI235=0,"",BD235-AK235),"")</f>
        <v>101</v>
      </c>
      <c r="BI235" s="98" t="str">
        <f>IF(AND(AH235&lt;&gt;"SIM",AH235="UH"),"AA","INDENIZAÇÃO")</f>
        <v>INDENIZAÇÃO</v>
      </c>
      <c r="BJ235" s="98" t="str">
        <f>IF(AND(BD235&lt;&gt;"AGUARDANDO",BD235&lt;&gt;"",N235="AUXÍLIO ALUGUEL ATÉ INDENIZAÇÃO"),"SIM","NÃO")</f>
        <v>NÃO</v>
      </c>
      <c r="BK235" s="219" t="s">
        <v>4436</v>
      </c>
      <c r="BL235" s="219" t="s">
        <v>4436</v>
      </c>
      <c r="BM235" s="219" t="s">
        <v>4436</v>
      </c>
      <c r="BN235" s="257" t="s">
        <v>4956</v>
      </c>
      <c r="BO235" s="257"/>
      <c r="BP235" s="257"/>
      <c r="BQ235" s="257"/>
      <c r="BR235" s="258"/>
      <c r="BS235" s="223"/>
      <c r="BT235" s="223"/>
    </row>
    <row r="236" spans="1:72" s="240" customFormat="1" ht="27" customHeight="1" x14ac:dyDescent="0.25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4441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4432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>IF(AQ236="SIM","AGUARDANDO CORREÇÃO",IF(AP236&lt;&gt;"","FINALIZADO",IF(AO236&lt;&gt;"","AGUARDANDO ENVIO DTS",IF(AN236&lt;&gt;"","AGUARDANDO ASSINATURA GAB",IF(AM236&lt;&gt;"","AGUARDANDO ASSINATURA CTS",IF(AL236&lt;&gt;"","AGUARDANDO ENVIO ASSINATURA CTS",IF(AK236&lt;&gt;"","AGUARDANDO CONFERÊNCIA","")))))))</f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>IFERROR(IF(BD236-KI236=0,"",BD236-AK236),"")</f>
        <v>42</v>
      </c>
      <c r="BI236" s="98" t="str">
        <f>IF(AND(AH236&lt;&gt;"SIM",AH236="UH"),"AA","INDENIZAÇÃO")</f>
        <v>INDENIZAÇÃO</v>
      </c>
      <c r="BJ236" s="98" t="str">
        <f>IF(AND(BD236&lt;&gt;"AGUARDANDO",BD236&lt;&gt;"",N236="AUXÍLIO ALUGUEL ATÉ INDENIZAÇÃO"),"SIM","NÃO")</f>
        <v>NÃO</v>
      </c>
      <c r="BK236" s="230" t="s">
        <v>4436</v>
      </c>
      <c r="BL236" s="230" t="s">
        <v>4436</v>
      </c>
      <c r="BM236" s="230" t="s">
        <v>4436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4434</v>
      </c>
      <c r="BS236" s="223"/>
      <c r="BT236" s="223"/>
    </row>
    <row r="237" spans="1:72" s="240" customFormat="1" ht="27" customHeight="1" x14ac:dyDescent="0.25">
      <c r="A237" s="207">
        <v>233</v>
      </c>
      <c r="B237" s="197" t="s">
        <v>4396</v>
      </c>
      <c r="C237" s="207" t="s">
        <v>4426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4441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4432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>IF(AQ237="SIM","AGUARDANDO CORREÇÃO",IF(AP237&lt;&gt;"","FINALIZADO",IF(AO237&lt;&gt;"","AGUARDANDO ENVIO DTS",IF(AN237&lt;&gt;"","AGUARDANDO ASSINATURA GAB",IF(AM237&lt;&gt;"","AGUARDANDO ASSINATURA CTS",IF(AL237&lt;&gt;"","AGUARDANDO ENVIO ASSINATURA CTS",IF(AK237&lt;&gt;"","AGUARDANDO CONFERÊNCIA","")))))))</f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4434</v>
      </c>
      <c r="BF237" s="245" t="s">
        <v>4435</v>
      </c>
      <c r="BG237" s="219" t="s">
        <v>4425</v>
      </c>
      <c r="BH237" s="321">
        <f>IFERROR(IF(BD237-KI237=0,"",BD237-AK237),"")</f>
        <v>101</v>
      </c>
      <c r="BI237" s="98" t="str">
        <f>IF(AND(AH237&lt;&gt;"SIM",AH237="UH"),"AA","INDENIZAÇÃO")</f>
        <v>INDENIZAÇÃO</v>
      </c>
      <c r="BJ237" s="98" t="str">
        <f>IF(AND(BD237&lt;&gt;"AGUARDANDO",BD237&lt;&gt;"",N237="AUXÍLIO ALUGUEL ATÉ INDENIZAÇÃO"),"SIM","NÃO")</f>
        <v>NÃO</v>
      </c>
      <c r="BK237" s="219" t="s">
        <v>4436</v>
      </c>
      <c r="BL237" s="219" t="s">
        <v>4436</v>
      </c>
      <c r="BM237" s="219" t="s">
        <v>4436</v>
      </c>
      <c r="BN237" s="257" t="s">
        <v>4956</v>
      </c>
      <c r="BO237" s="257"/>
      <c r="BP237" s="257"/>
      <c r="BQ237" s="257"/>
      <c r="BR237" s="258"/>
    </row>
    <row r="238" spans="1:72" s="240" customFormat="1" ht="27" customHeight="1" x14ac:dyDescent="0.25">
      <c r="A238" s="207">
        <v>234</v>
      </c>
      <c r="B238" s="197" t="s">
        <v>4396</v>
      </c>
      <c r="C238" s="207" t="s">
        <v>4426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4441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4432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>IF(AQ238="SIM","AGUARDANDO CORREÇÃO",IF(AP238&lt;&gt;"","FINALIZADO",IF(AO238&lt;&gt;"","AGUARDANDO ENVIO DTS",IF(AN238&lt;&gt;"","AGUARDANDO ASSINATURA GAB",IF(AM238&lt;&gt;"","AGUARDANDO ASSINATURA CTS",IF(AL238&lt;&gt;"","AGUARDANDO ENVIO ASSINATURA CTS",IF(AK238&lt;&gt;"","AGUARDANDO CONFERÊNCIA","")))))))</f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4434</v>
      </c>
      <c r="BF238" s="228" t="s">
        <v>4435</v>
      </c>
      <c r="BG238" s="229" t="s">
        <v>4425</v>
      </c>
      <c r="BH238" s="321">
        <f>IFERROR(IF(BD238-KI238=0,"",BD238-AK238),"")</f>
        <v>25</v>
      </c>
      <c r="BI238" s="98" t="str">
        <f>IF(AND(AH238&lt;&gt;"SIM",AH238="UH"),"AA","INDENIZAÇÃO")</f>
        <v>INDENIZAÇÃO</v>
      </c>
      <c r="BJ238" s="98" t="str">
        <f>IF(AND(BD238&lt;&gt;"AGUARDANDO",BD238&lt;&gt;"",N238="AUXÍLIO ALUGUEL ATÉ INDENIZAÇÃO"),"SIM","NÃO")</f>
        <v>NÃO</v>
      </c>
      <c r="BK238" s="230" t="s">
        <v>4436</v>
      </c>
      <c r="BL238" s="230" t="s">
        <v>4436</v>
      </c>
      <c r="BM238" s="230" t="s">
        <v>4436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4434</v>
      </c>
    </row>
    <row r="239" spans="1:72" s="240" customFormat="1" ht="27" customHeight="1" x14ac:dyDescent="0.25">
      <c r="A239" s="197">
        <v>235</v>
      </c>
      <c r="B239" s="197" t="s">
        <v>4396</v>
      </c>
      <c r="C239" s="207" t="s">
        <v>4426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4441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4432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>IF(AQ239="SIM","AGUARDANDO CORREÇÃO",IF(AP239&lt;&gt;"","FINALIZADO",IF(AO239&lt;&gt;"","AGUARDANDO ENVIO DTS",IF(AN239&lt;&gt;"","AGUARDANDO ASSINATURA GAB",IF(AM239&lt;&gt;"","AGUARDANDO ASSINATURA CTS",IF(AL239&lt;&gt;"","AGUARDANDO ENVIO ASSINATURA CTS",IF(AK239&lt;&gt;"","AGUARDANDO CONFERÊNCIA","")))))))</f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4434</v>
      </c>
      <c r="BF239" s="228" t="s">
        <v>4435</v>
      </c>
      <c r="BG239" s="229" t="s">
        <v>4425</v>
      </c>
      <c r="BH239" s="321">
        <f>IFERROR(IF(BD239-KI239=0,"",BD239-AK239),"")</f>
        <v>63</v>
      </c>
      <c r="BI239" s="98" t="str">
        <f>IF(AND(AH239&lt;&gt;"SIM",AH239="UH"),"AA","INDENIZAÇÃO")</f>
        <v>INDENIZAÇÃO</v>
      </c>
      <c r="BJ239" s="98" t="str">
        <f>IF(AND(BD239&lt;&gt;"AGUARDANDO",BD239&lt;&gt;"",N239="AUXÍLIO ALUGUEL ATÉ INDENIZAÇÃO"),"SIM","NÃO")</f>
        <v>NÃO</v>
      </c>
      <c r="BK239" s="219" t="s">
        <v>4436</v>
      </c>
      <c r="BL239" s="219" t="s">
        <v>4436</v>
      </c>
      <c r="BM239" s="219" t="s">
        <v>4436</v>
      </c>
      <c r="BN239" s="257" t="s">
        <v>4956</v>
      </c>
      <c r="BO239" s="257"/>
      <c r="BP239" s="257"/>
      <c r="BQ239" s="257"/>
      <c r="BR239" s="258"/>
    </row>
    <row r="240" spans="1:72" s="240" customFormat="1" ht="27" customHeight="1" x14ac:dyDescent="0.25">
      <c r="A240" s="197">
        <v>236</v>
      </c>
      <c r="B240" s="197" t="s">
        <v>4396</v>
      </c>
      <c r="C240" s="207" t="s">
        <v>4426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4441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4432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>IF(AQ240="SIM","AGUARDANDO CORREÇÃO",IF(AP240&lt;&gt;"","FINALIZADO",IF(AO240&lt;&gt;"","AGUARDANDO ENVIO DTS",IF(AN240&lt;&gt;"","AGUARDANDO ASSINATURA GAB",IF(AM240&lt;&gt;"","AGUARDANDO ASSINATURA CTS",IF(AL240&lt;&gt;"","AGUARDANDO ENVIO ASSINATURA CTS",IF(AK240&lt;&gt;"","AGUARDANDO CONFERÊNCIA","")))))))</f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4434</v>
      </c>
      <c r="BF240" s="228" t="s">
        <v>4435</v>
      </c>
      <c r="BG240" s="229" t="s">
        <v>4425</v>
      </c>
      <c r="BH240" s="321">
        <f>IFERROR(IF(BD240-KI240=0,"",BD240-AK240),"")</f>
        <v>69</v>
      </c>
      <c r="BI240" s="98" t="str">
        <f>IF(AND(AH240&lt;&gt;"SIM",AH240="UH"),"AA","INDENIZAÇÃO")</f>
        <v>INDENIZAÇÃO</v>
      </c>
      <c r="BJ240" s="98" t="str">
        <f>IF(AND(BD240&lt;&gt;"AGUARDANDO",BD240&lt;&gt;"",N240="AUXÍLIO ALUGUEL ATÉ INDENIZAÇÃO"),"SIM","NÃO")</f>
        <v>NÃO</v>
      </c>
      <c r="BK240" s="230" t="s">
        <v>4436</v>
      </c>
      <c r="BL240" s="230" t="s">
        <v>4436</v>
      </c>
      <c r="BM240" s="230" t="s">
        <v>4436</v>
      </c>
      <c r="BN240" s="265" t="s">
        <v>4956</v>
      </c>
      <c r="BO240" s="265"/>
      <c r="BP240" s="265"/>
      <c r="BQ240" s="265"/>
      <c r="BR240" s="231"/>
      <c r="BS240" s="223"/>
      <c r="BT240" s="223"/>
    </row>
    <row r="241" spans="1:112" s="240" customFormat="1" ht="27" hidden="1" customHeight="1" x14ac:dyDescent="0.25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>IF(AQ241="SIM","AGUARDANDO CORREÇÃO",IF(AP241&lt;&gt;"","FINALIZADO",IF(AO241&lt;&gt;"","AGUARDANDO ENVIO DTS",IF(AN241&lt;&gt;"","AGUARDANDO ASSINATURA GAB",IF(AM241&lt;&gt;"","AGUARDANDO ASSINATURA CTS",IF(AL241&lt;&gt;"","AGUARDANDO ENVIO ASSINATURA CTS",IF(AK241&lt;&gt;"","AGUARDANDO CONFERÊNCIA","")))))))</f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>IFERROR(IF(BD241-KI241=0,"",BD241-AK241),"")</f>
        <v/>
      </c>
      <c r="BI241" s="98" t="str">
        <f>IF(AND(AH241&lt;&gt;"SIM",AH241="UH"),"AA","INDENIZAÇÃO")</f>
        <v>AA</v>
      </c>
      <c r="BJ241" s="98" t="str">
        <f>IF(AND(BD241&lt;&gt;"AGUARDANDO",BD241&lt;&gt;"",N241="AUXÍLIO ALUGUEL ATÉ INDENIZAÇÃO"),"SIM","NÃO")</f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customHeight="1" x14ac:dyDescent="0.25">
      <c r="A242" s="207">
        <v>238</v>
      </c>
      <c r="B242" s="197" t="s">
        <v>4396</v>
      </c>
      <c r="C242" s="207" t="s">
        <v>4426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4441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4432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>IF(AQ242="SIM","AGUARDANDO CORREÇÃO",IF(AP242&lt;&gt;"","FINALIZADO",IF(AO242&lt;&gt;"","AGUARDANDO ENVIO DTS",IF(AN242&lt;&gt;"","AGUARDANDO ASSINATURA GAB",IF(AM242&lt;&gt;"","AGUARDANDO ASSINATURA CTS",IF(AL242&lt;&gt;"","AGUARDANDO ENVIO ASSINATURA CTS",IF(AK242&lt;&gt;"","AGUARDANDO CONFERÊNCIA","")))))))</f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4434</v>
      </c>
      <c r="BF242" s="245" t="s">
        <v>4435</v>
      </c>
      <c r="BG242" s="229" t="s">
        <v>4425</v>
      </c>
      <c r="BH242" s="321">
        <f>IFERROR(IF(BD242-KI242=0,"",BD242-AK242),"")</f>
        <v>23</v>
      </c>
      <c r="BI242" s="98" t="str">
        <f>IF(AND(AH242&lt;&gt;"SIM",AH242="UH"),"AA","INDENIZAÇÃO")</f>
        <v>INDENIZAÇÃO</v>
      </c>
      <c r="BJ242" s="98" t="str">
        <f>IF(AND(BD242&lt;&gt;"AGUARDANDO",BD242&lt;&gt;"",N242="AUXÍLIO ALUGUEL ATÉ INDENIZAÇÃO"),"SIM","NÃO")</f>
        <v>NÃO</v>
      </c>
      <c r="BK242" s="230" t="s">
        <v>4436</v>
      </c>
      <c r="BL242" s="230" t="s">
        <v>4436</v>
      </c>
      <c r="BM242" s="230" t="s">
        <v>4436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4434</v>
      </c>
    </row>
    <row r="243" spans="1:112" s="240" customFormat="1" ht="27" hidden="1" customHeight="1" x14ac:dyDescent="0.25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>IF(AQ243="SIM","AGUARDANDO CORREÇÃO",IF(AP243&lt;&gt;"","FINALIZADO",IF(AO243&lt;&gt;"","AGUARDANDO ENVIO DTS",IF(AN243&lt;&gt;"","AGUARDANDO ASSINATURA GAB",IF(AM243&lt;&gt;"","AGUARDANDO ASSINATURA CTS",IF(AL243&lt;&gt;"","AGUARDANDO ENVIO ASSINATURA CTS",IF(AK243&lt;&gt;"","AGUARDANDO CONFERÊNCIA","")))))))</f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>IFERROR(IF(BD243-KI243=0,"",BD243-AK243),"")</f>
        <v/>
      </c>
      <c r="BI243" s="98" t="str">
        <f>IF(AND(AH243&lt;&gt;"SIM",AH243="UH"),"AA","INDENIZAÇÃO")</f>
        <v>AA</v>
      </c>
      <c r="BJ243" s="98" t="str">
        <f>IF(AND(BD243&lt;&gt;"AGUARDANDO",BD243&lt;&gt;"",N243="AUXÍLIO ALUGUEL ATÉ INDENIZAÇÃO"),"SIM","NÃO")</f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hidden="1" customHeight="1" x14ac:dyDescent="0.25">
      <c r="A244" s="197">
        <v>240</v>
      </c>
      <c r="B244" s="197" t="s">
        <v>4396</v>
      </c>
      <c r="C244" s="207" t="s">
        <v>4426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4441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4432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>IF(AQ244="SIM","AGUARDANDO CORREÇÃO",IF(AP244&lt;&gt;"","FINALIZADO",IF(AO244&lt;&gt;"","AGUARDANDO ENVIO DTS",IF(AN244&lt;&gt;"","AGUARDANDO ASSINATURA GAB",IF(AM244&lt;&gt;"","AGUARDANDO ASSINATURA CTS",IF(AL244&lt;&gt;"","AGUARDANDO ENVIO ASSINATURA CTS",IF(AK244&lt;&gt;"","AGUARDANDO CONFERÊNCIA","")))))))</f>
        <v>FINALIZADO</v>
      </c>
      <c r="AS244" s="207" t="s">
        <v>4423</v>
      </c>
      <c r="AT244" s="207"/>
      <c r="AU244" s="220" t="s">
        <v>4434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>IFERROR(IF(BD244-KI244=0,"",BD244-AK244),"")</f>
        <v/>
      </c>
      <c r="BI244" s="98" t="str">
        <f>IF(AND(AH244&lt;&gt;"SIM",AH244="UH"),"AA","INDENIZAÇÃO")</f>
        <v>INDENIZAÇÃO</v>
      </c>
      <c r="BJ244" s="98" t="str">
        <f>IF(AND(BD244&lt;&gt;"AGUARDANDO",BD244&lt;&gt;"",N244="AUXÍLIO ALUGUEL ATÉ INDENIZAÇÃO"),"SIM","NÃO")</f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customHeight="1" x14ac:dyDescent="0.25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4441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4432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>IF(AQ245="SIM","AGUARDANDO CORREÇÃO",IF(AP245&lt;&gt;"","FINALIZADO",IF(AO245&lt;&gt;"","AGUARDANDO ENVIO DTS",IF(AN245&lt;&gt;"","AGUARDANDO ASSINATURA GAB",IF(AM245&lt;&gt;"","AGUARDANDO ASSINATURA CTS",IF(AL245&lt;&gt;"","AGUARDANDO ENVIO ASSINATURA CTS",IF(AK245&lt;&gt;"","AGUARDANDO CONFERÊNCIA","")))))))</f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>IFERROR(IF(BD245-KI245=0,"",BD245-AK245),"")</f>
        <v>42</v>
      </c>
      <c r="BI245" s="98" t="str">
        <f>IF(AND(AH245&lt;&gt;"SIM",AH245="UH"),"AA","INDENIZAÇÃO")</f>
        <v>INDENIZAÇÃO</v>
      </c>
      <c r="BJ245" s="98" t="str">
        <f>IF(AND(BD245&lt;&gt;"AGUARDANDO",BD245&lt;&gt;"",N245="AUXÍLIO ALUGUEL ATÉ INDENIZAÇÃO"),"SIM","NÃO")</f>
        <v>NÃO</v>
      </c>
      <c r="BK245" s="230" t="s">
        <v>4436</v>
      </c>
      <c r="BL245" s="230" t="s">
        <v>4436</v>
      </c>
      <c r="BM245" s="230" t="s">
        <v>4436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4434</v>
      </c>
    </row>
    <row r="246" spans="1:112" s="275" customFormat="1" ht="27" hidden="1" customHeight="1" x14ac:dyDescent="0.25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>IF(AQ246="SIM","AGUARDANDO CORREÇÃO",IF(AP246&lt;&gt;"","FINALIZADO",IF(AO246&lt;&gt;"","AGUARDANDO ENVIO DTS",IF(AN246&lt;&gt;"","AGUARDANDO ASSINATURA GAB",IF(AM246&lt;&gt;"","AGUARDANDO ASSINATURA CTS",IF(AL246&lt;&gt;"","AGUARDANDO ENVIO ASSINATURA CTS",IF(AK246&lt;&gt;"","AGUARDANDO CONFERÊNCIA","")))))))</f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>IFERROR(IF(BD246-KI246=0,"",BD246-AK246),"")</f>
        <v/>
      </c>
      <c r="BI246" s="98" t="str">
        <f>IF(AND(AH246&lt;&gt;"SIM",AH246="UH"),"AA","INDENIZAÇÃO")</f>
        <v>AA</v>
      </c>
      <c r="BJ246" s="98" t="str">
        <f>IF(AND(BD246&lt;&gt;"AGUARDANDO",BD246&lt;&gt;"",N246="AUXÍLIO ALUGUEL ATÉ INDENIZAÇÃO"),"SIM","NÃO")</f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hidden="1" customHeight="1" x14ac:dyDescent="0.25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>IF(AQ247="SIM","AGUARDANDO CORREÇÃO",IF(AP247&lt;&gt;"","FINALIZADO",IF(AO247&lt;&gt;"","AGUARDANDO ENVIO DTS",IF(AN247&lt;&gt;"","AGUARDANDO ASSINATURA GAB",IF(AM247&lt;&gt;"","AGUARDANDO ASSINATURA CTS",IF(AL247&lt;&gt;"","AGUARDANDO ENVIO ASSINATURA CTS",IF(AK247&lt;&gt;"","AGUARDANDO CONFERÊNCIA","")))))))</f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>IFERROR(IF(BD247-KI247=0,"",BD247-AK247),"")</f>
        <v/>
      </c>
      <c r="BI247" s="98" t="str">
        <f>IF(AND(AH247&lt;&gt;"SIM",AH247="UH"),"AA","INDENIZAÇÃO")</f>
        <v>AA</v>
      </c>
      <c r="BJ247" s="98" t="str">
        <f>IF(AND(BD247&lt;&gt;"AGUARDANDO",BD247&lt;&gt;"",N247="AUXÍLIO ALUGUEL ATÉ INDENIZAÇÃO"),"SIM","NÃO")</f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customHeight="1" x14ac:dyDescent="0.25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4441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4432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>IF(AQ248="SIM","AGUARDANDO CORREÇÃO",IF(AP248&lt;&gt;"","FINALIZADO",IF(AO248&lt;&gt;"","AGUARDANDO ENVIO DTS",IF(AN248&lt;&gt;"","AGUARDANDO ASSINATURA GAB",IF(AM248&lt;&gt;"","AGUARDANDO ASSINATURA CTS",IF(AL248&lt;&gt;"","AGUARDANDO ENVIO ASSINATURA CTS",IF(AK248&lt;&gt;"","AGUARDANDO CONFERÊNCIA","")))))))</f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>IFERROR(IF(BD248-KI248=0,"",BD248-AK248),"")</f>
        <v>35</v>
      </c>
      <c r="BI248" s="98" t="str">
        <f>IF(AND(AH248&lt;&gt;"SIM",AH248="UH"),"AA","INDENIZAÇÃO")</f>
        <v>INDENIZAÇÃO</v>
      </c>
      <c r="BJ248" s="98" t="str">
        <f>IF(AND(BD248&lt;&gt;"AGUARDANDO",BD248&lt;&gt;"",N248="AUXÍLIO ALUGUEL ATÉ INDENIZAÇÃO"),"SIM","NÃO")</f>
        <v>NÃO</v>
      </c>
      <c r="BK248" s="230" t="s">
        <v>4436</v>
      </c>
      <c r="BL248" s="230" t="s">
        <v>4436</v>
      </c>
      <c r="BM248" s="230" t="s">
        <v>4436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4434</v>
      </c>
    </row>
    <row r="249" spans="1:112" s="240" customFormat="1" ht="27" hidden="1" customHeight="1" x14ac:dyDescent="0.25">
      <c r="A249" s="197">
        <v>245</v>
      </c>
      <c r="B249" s="197" t="s">
        <v>4396</v>
      </c>
      <c r="C249" s="207" t="s">
        <v>4426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>IF(AQ249="SIM","AGUARDANDO CORREÇÃO",IF(AP249&lt;&gt;"","FINALIZADO",IF(AO249&lt;&gt;"","AGUARDANDO ENVIO DTS",IF(AN249&lt;&gt;"","AGUARDANDO ASSINATURA GAB",IF(AM249&lt;&gt;"","AGUARDANDO ASSINATURA CTS",IF(AL249&lt;&gt;"","AGUARDANDO ENVIO ASSINATURA CTS",IF(AK249&lt;&gt;"","AGUARDANDO CONFERÊNCIA","")))))))</f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>IFERROR(IF(BD249-KI249=0,"",BD249-AK249),"")</f>
        <v/>
      </c>
      <c r="BI249" s="98" t="str">
        <f>IF(AND(AH249&lt;&gt;"SIM",AH249="UH"),"AA","INDENIZAÇÃO")</f>
        <v>AA</v>
      </c>
      <c r="BJ249" s="98" t="str">
        <f>IF(AND(BD249&lt;&gt;"AGUARDANDO",BD249&lt;&gt;"",N249="AUXÍLIO ALUGUEL ATÉ INDENIZAÇÃO"),"SIM","NÃO")</f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 x14ac:dyDescent="0.25">
      <c r="A250" s="197">
        <v>246</v>
      </c>
      <c r="B250" s="197" t="s">
        <v>4396</v>
      </c>
      <c r="C250" s="207" t="s">
        <v>4426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>IF(AQ250="SIM","AGUARDANDO CORREÇÃO",IF(AP250&lt;&gt;"","FINALIZADO",IF(AO250&lt;&gt;"","AGUARDANDO ENVIO DTS",IF(AN250&lt;&gt;"","AGUARDANDO ASSINATURA GAB",IF(AM250&lt;&gt;"","AGUARDANDO ASSINATURA CTS",IF(AL250&lt;&gt;"","AGUARDANDO ENVIO ASSINATURA CTS",IF(AK250&lt;&gt;"","AGUARDANDO CONFERÊNCIA","")))))))</f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>IFERROR(IF(BD250-KI250=0,"",BD250-AK250),"")</f>
        <v/>
      </c>
      <c r="BI250" s="98" t="str">
        <f>IF(AND(AH250&lt;&gt;"SIM",AH250="UH"),"AA","INDENIZAÇÃO")</f>
        <v>AA</v>
      </c>
      <c r="BJ250" s="98" t="str">
        <f>IF(AND(BD250&lt;&gt;"AGUARDANDO",BD250&lt;&gt;"",N250="AUXÍLIO ALUGUEL ATÉ INDENIZAÇÃO"),"SIM","NÃO")</f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 x14ac:dyDescent="0.25">
      <c r="A251" s="207">
        <v>247</v>
      </c>
      <c r="B251" s="197" t="s">
        <v>4396</v>
      </c>
      <c r="C251" s="207" t="s">
        <v>4426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>IF(AQ251="SIM","AGUARDANDO CORREÇÃO",IF(AP251&lt;&gt;"","FINALIZADO",IF(AO251&lt;&gt;"","AGUARDANDO ENVIO DTS",IF(AN251&lt;&gt;"","AGUARDANDO ASSINATURA GAB",IF(AM251&lt;&gt;"","AGUARDANDO ASSINATURA CTS",IF(AL251&lt;&gt;"","AGUARDANDO ENVIO ASSINATURA CTS",IF(AK251&lt;&gt;"","AGUARDANDO CONFERÊNCIA","")))))))</f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>IFERROR(IF(BD251-KI251=0,"",BD251-AK251),"")</f>
        <v/>
      </c>
      <c r="BI251" s="98" t="str">
        <f>IF(AND(AH251&lt;&gt;"SIM",AH251="UH"),"AA","INDENIZAÇÃO")</f>
        <v>AA</v>
      </c>
      <c r="BJ251" s="98" t="str">
        <f>IF(AND(BD251&lt;&gt;"AGUARDANDO",BD251&lt;&gt;"",N251="AUXÍLIO ALUGUEL ATÉ INDENIZAÇÃO"),"SIM","NÃO")</f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 x14ac:dyDescent="0.25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>IF(AQ252="SIM","AGUARDANDO CORREÇÃO",IF(AP252&lt;&gt;"","FINALIZADO",IF(AO252&lt;&gt;"","AGUARDANDO ENVIO DTS",IF(AN252&lt;&gt;"","AGUARDANDO ASSINATURA GAB",IF(AM252&lt;&gt;"","AGUARDANDO ASSINATURA CTS",IF(AL252&lt;&gt;"","AGUARDANDO ENVIO ASSINATURA CTS",IF(AK252&lt;&gt;"","AGUARDANDO CONFERÊNCIA","")))))))</f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>IFERROR(IF(BD252-KI252=0,"",BD252-AK252),"")</f>
        <v/>
      </c>
      <c r="BI252" s="98" t="str">
        <f>IF(AND(AH252&lt;&gt;"SIM",AH252="UH"),"AA","INDENIZAÇÃO")</f>
        <v>AA</v>
      </c>
      <c r="BJ252" s="98" t="str">
        <f>IF(AND(BD252&lt;&gt;"AGUARDANDO",BD252&lt;&gt;"",N252="AUXÍLIO ALUGUEL ATÉ INDENIZAÇÃO"),"SIM","NÃO")</f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 x14ac:dyDescent="0.25">
      <c r="A253" s="207">
        <v>249</v>
      </c>
      <c r="B253" s="197" t="s">
        <v>4396</v>
      </c>
      <c r="C253" s="207" t="s">
        <v>4426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4535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4432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>IF(AQ253="SIM","AGUARDANDO CORREÇÃO",IF(AP253&lt;&gt;"","FINALIZADO",IF(AO253&lt;&gt;"","AGUARDANDO ENVIO DTS",IF(AN253&lt;&gt;"","AGUARDANDO ASSINATURA GAB",IF(AM253&lt;&gt;"","AGUARDANDO ASSINATURA CTS",IF(AL253&lt;&gt;"","AGUARDANDO ENVIO ASSINATURA CTS",IF(AK253&lt;&gt;"","AGUARDANDO CONFERÊNCIA","")))))))</f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>IFERROR(IF(BD253-KI253=0,"",BD253-AK253),"")</f>
        <v/>
      </c>
      <c r="BI253" s="98" t="str">
        <f>IF(AND(AH253&lt;&gt;"SIM",AH253="UH"),"AA","INDENIZAÇÃO")</f>
        <v>INDENIZAÇÃO</v>
      </c>
      <c r="BJ253" s="98" t="str">
        <f>IF(AND(BD253&lt;&gt;"AGUARDANDO",BD253&lt;&gt;"",N253="AUXÍLIO ALUGUEL ATÉ INDENIZAÇÃO"),"SIM","NÃO")</f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hidden="1" customHeight="1" x14ac:dyDescent="0.25">
      <c r="A254" s="197">
        <v>250</v>
      </c>
      <c r="B254" s="197" t="s">
        <v>4396</v>
      </c>
      <c r="C254" s="207" t="s">
        <v>4426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4441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4432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>IF(AQ254="SIM","AGUARDANDO CORREÇÃO",IF(AP254&lt;&gt;"","FINALIZADO",IF(AO254&lt;&gt;"","AGUARDANDO ENVIO DTS",IF(AN254&lt;&gt;"","AGUARDANDO ASSINATURA GAB",IF(AM254&lt;&gt;"","AGUARDANDO ASSINATURA CTS",IF(AL254&lt;&gt;"","AGUARDANDO ENVIO ASSINATURA CTS",IF(AK254&lt;&gt;"","AGUARDANDO CONFERÊNCIA","")))))))</f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>IFERROR(IF(BD254-KI254=0,"",BD254-AK254),"")</f>
        <v/>
      </c>
      <c r="BI254" s="98" t="str">
        <f>IF(AND(AH254&lt;&gt;"SIM",AH254="UH"),"AA","INDENIZAÇÃO")</f>
        <v>INDENIZAÇÃO</v>
      </c>
      <c r="BJ254" s="98" t="str">
        <f>IF(AND(BD254&lt;&gt;"AGUARDANDO",BD254&lt;&gt;"",N254="AUXÍLIO ALUGUEL ATÉ INDENIZAÇÃO"),"SIM","NÃO")</f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 x14ac:dyDescent="0.25">
      <c r="A255" s="197">
        <v>251</v>
      </c>
      <c r="B255" s="197" t="s">
        <v>4396</v>
      </c>
      <c r="C255" s="207" t="s">
        <v>4426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>IF(AQ255="SIM","AGUARDANDO CORREÇÃO",IF(AP255&lt;&gt;"","FINALIZADO",IF(AO255&lt;&gt;"","AGUARDANDO ENVIO DTS",IF(AN255&lt;&gt;"","AGUARDANDO ASSINATURA GAB",IF(AM255&lt;&gt;"","AGUARDANDO ASSINATURA CTS",IF(AL255&lt;&gt;"","AGUARDANDO ENVIO ASSINATURA CTS",IF(AK255&lt;&gt;"","AGUARDANDO CONFERÊNCIA","")))))))</f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>IFERROR(IF(BD255-KI255=0,"",BD255-AK255),"")</f>
        <v/>
      </c>
      <c r="BI255" s="98" t="str">
        <f>IF(AND(AH255&lt;&gt;"SIM",AH255="UH"),"AA","INDENIZAÇÃO")</f>
        <v>AA</v>
      </c>
      <c r="BJ255" s="98" t="str">
        <f>IF(AND(BD255&lt;&gt;"AGUARDANDO",BD255&lt;&gt;"",N255="AUXÍLIO ALUGUEL ATÉ INDENIZAÇÃO"),"SIM","NÃO")</f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 x14ac:dyDescent="0.25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>IF(AQ256="SIM","AGUARDANDO CORREÇÃO",IF(AP256&lt;&gt;"","FINALIZADO",IF(AO256&lt;&gt;"","AGUARDANDO ENVIO DTS",IF(AN256&lt;&gt;"","AGUARDANDO ASSINATURA GAB",IF(AM256&lt;&gt;"","AGUARDANDO ASSINATURA CTS",IF(AL256&lt;&gt;"","AGUARDANDO ENVIO ASSINATURA CTS",IF(AK256&lt;&gt;"","AGUARDANDO CONFERÊNCIA","")))))))</f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>IFERROR(IF(BD256-KI256=0,"",BD256-AK256),"")</f>
        <v/>
      </c>
      <c r="BI256" s="98" t="str">
        <f>IF(AND(AH256&lt;&gt;"SIM",AH256="UH"),"AA","INDENIZAÇÃO")</f>
        <v>AA</v>
      </c>
      <c r="BJ256" s="98" t="str">
        <f>IF(AND(BD256&lt;&gt;"AGUARDANDO",BD256&lt;&gt;"",N256="AUXÍLIO ALUGUEL ATÉ INDENIZAÇÃO"),"SIM","NÃO")</f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hidden="1" customHeight="1" x14ac:dyDescent="0.25">
      <c r="A257" s="207">
        <v>253</v>
      </c>
      <c r="B257" s="197" t="s">
        <v>4396</v>
      </c>
      <c r="C257" s="207" t="s">
        <v>4426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>IF(AQ257="SIM","AGUARDANDO CORREÇÃO",IF(AP257&lt;&gt;"","FINALIZADO",IF(AO257&lt;&gt;"","AGUARDANDO ENVIO DTS",IF(AN257&lt;&gt;"","AGUARDANDO ASSINATURA GAB",IF(AM257&lt;&gt;"","AGUARDANDO ASSINATURA CTS",IF(AL257&lt;&gt;"","AGUARDANDO ENVIO ASSINATURA CTS",IF(AK257&lt;&gt;"","AGUARDANDO CONFERÊNCIA","")))))))</f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>IFERROR(IF(BD257-KI257=0,"",BD257-AK257),"")</f>
        <v/>
      </c>
      <c r="BI257" s="98" t="str">
        <f>IF(AND(AH257&lt;&gt;"SIM",AH257="UH"),"AA","INDENIZAÇÃO")</f>
        <v>AA</v>
      </c>
      <c r="BJ257" s="98" t="str">
        <f>IF(AND(BD257&lt;&gt;"AGUARDANDO",BD257&lt;&gt;"",N257="AUXÍLIO ALUGUEL ATÉ INDENIZAÇÃO"),"SIM","NÃO")</f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hidden="1" customHeight="1" x14ac:dyDescent="0.25">
      <c r="A258" s="207">
        <v>254</v>
      </c>
      <c r="B258" s="197" t="s">
        <v>4396</v>
      </c>
      <c r="C258" s="207" t="s">
        <v>4426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4535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4432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>IF(AQ258="SIM","AGUARDANDO CORREÇÃO",IF(AP258&lt;&gt;"","FINALIZADO",IF(AO258&lt;&gt;"","AGUARDANDO ENVIO DTS",IF(AN258&lt;&gt;"","AGUARDANDO ASSINATURA GAB",IF(AM258&lt;&gt;"","AGUARDANDO ASSINATURA CTS",IF(AL258&lt;&gt;"","AGUARDANDO ENVIO ASSINATURA CTS",IF(AK258&lt;&gt;"","AGUARDANDO CONFERÊNCIA","")))))))</f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>IFERROR(IF(BD258-KI258=0,"",BD258-AK258),"")</f>
        <v/>
      </c>
      <c r="BI258" s="98" t="str">
        <f>IF(AND(AH258&lt;&gt;"SIM",AH258="UH"),"AA","INDENIZAÇÃO")</f>
        <v>INDENIZAÇÃO</v>
      </c>
      <c r="BJ258" s="98" t="str">
        <f>IF(AND(BD258&lt;&gt;"AGUARDANDO",BD258&lt;&gt;"",N258="AUXÍLIO ALUGUEL ATÉ INDENIZAÇÃO"),"SIM","NÃO")</f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hidden="1" customHeight="1" x14ac:dyDescent="0.25">
      <c r="A259" s="197">
        <v>255</v>
      </c>
      <c r="B259" s="197" t="s">
        <v>4396</v>
      </c>
      <c r="C259" s="207" t="s">
        <v>4426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>IF(AQ259="SIM","AGUARDANDO CORREÇÃO",IF(AP259&lt;&gt;"","FINALIZADO",IF(AO259&lt;&gt;"","AGUARDANDO ENVIO DTS",IF(AN259&lt;&gt;"","AGUARDANDO ASSINATURA GAB",IF(AM259&lt;&gt;"","AGUARDANDO ASSINATURA CTS",IF(AL259&lt;&gt;"","AGUARDANDO ENVIO ASSINATURA CTS",IF(AK259&lt;&gt;"","AGUARDANDO CONFERÊNCIA","")))))))</f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>IFERROR(IF(BD259-KI259=0,"",BD259-AK259),"")</f>
        <v/>
      </c>
      <c r="BI259" s="98" t="str">
        <f>IF(AND(AH259&lt;&gt;"SIM",AH259="UH"),"AA","INDENIZAÇÃO")</f>
        <v>AA</v>
      </c>
      <c r="BJ259" s="98" t="str">
        <f>IF(AND(BD259&lt;&gt;"AGUARDANDO",BD259&lt;&gt;"",N259="AUXÍLIO ALUGUEL ATÉ INDENIZAÇÃO"),"SIM","NÃO")</f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hidden="1" customHeight="1" x14ac:dyDescent="0.25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>IF(AQ260="SIM","AGUARDANDO CORREÇÃO",IF(AP260&lt;&gt;"","FINALIZADO",IF(AO260&lt;&gt;"","AGUARDANDO ENVIO DTS",IF(AN260&lt;&gt;"","AGUARDANDO ASSINATURA GAB",IF(AM260&lt;&gt;"","AGUARDANDO ASSINATURA CTS",IF(AL260&lt;&gt;"","AGUARDANDO ENVIO ASSINATURA CTS",IF(AK260&lt;&gt;"","AGUARDANDO CONFERÊNCIA","")))))))</f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>IFERROR(IF(BD260-KI260=0,"",BD260-AK260),"")</f>
        <v/>
      </c>
      <c r="BI260" s="98" t="str">
        <f>IF(AND(AH260&lt;&gt;"SIM",AH260="UH"),"AA","INDENIZAÇÃO")</f>
        <v>AA</v>
      </c>
      <c r="BJ260" s="98" t="str">
        <f>IF(AND(BD260&lt;&gt;"AGUARDANDO",BD260&lt;&gt;"",N260="AUXÍLIO ALUGUEL ATÉ INDENIZAÇÃO"),"SIM","NÃO")</f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customHeight="1" x14ac:dyDescent="0.25">
      <c r="A261" s="207">
        <v>257</v>
      </c>
      <c r="B261" s="197" t="s">
        <v>4396</v>
      </c>
      <c r="C261" s="207" t="s">
        <v>4452</v>
      </c>
      <c r="D261" s="207">
        <v>1</v>
      </c>
      <c r="E261" s="207" t="s">
        <v>4398</v>
      </c>
      <c r="F261" s="214" t="s">
        <v>5550</v>
      </c>
      <c r="G261" s="207" t="s">
        <v>4545</v>
      </c>
      <c r="H261" s="207" t="s">
        <v>4545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4441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4432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>IF(AQ261="SIM","AGUARDANDO CORREÇÃO",IF(AP261&lt;&gt;"","FINALIZADO",IF(AO261&lt;&gt;"","AGUARDANDO ENVIO DTS",IF(AN261&lt;&gt;"","AGUARDANDO ASSINATURA GAB",IF(AM261&lt;&gt;"","AGUARDANDO ASSINATURA CTS",IF(AL261&lt;&gt;"","AGUARDANDO ENVIO ASSINATURA CTS",IF(AK261&lt;&gt;"","AGUARDANDO CONFERÊNCIA","")))))))</f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4761</v>
      </c>
      <c r="BG261" s="229" t="s">
        <v>4425</v>
      </c>
      <c r="BH261" s="321">
        <f>IFERROR(IF(BD261-KI261=0,"",BD261-AK261),"")</f>
        <v>21</v>
      </c>
      <c r="BI261" s="98" t="str">
        <f>IF(AND(AH261&lt;&gt;"SIM",AH261="UH"),"AA","INDENIZAÇÃO")</f>
        <v>INDENIZAÇÃO</v>
      </c>
      <c r="BJ261" s="98" t="str">
        <f>IF(AND(BD261&lt;&gt;"AGUARDANDO",BD261&lt;&gt;"",N261="AUXÍLIO ALUGUEL ATÉ INDENIZAÇÃO"),"SIM","NÃO")</f>
        <v>NÃO</v>
      </c>
      <c r="BK261" s="230" t="s">
        <v>4436</v>
      </c>
      <c r="BL261" s="230" t="s">
        <v>4436</v>
      </c>
      <c r="BM261" s="230" t="s">
        <v>4436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4434</v>
      </c>
    </row>
    <row r="262" spans="1:72" s="240" customFormat="1" ht="27" customHeight="1" x14ac:dyDescent="0.25">
      <c r="A262" s="207">
        <v>258</v>
      </c>
      <c r="B262" s="197" t="s">
        <v>4396</v>
      </c>
      <c r="C262" s="207" t="s">
        <v>4426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4441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4432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4434</v>
      </c>
      <c r="BF262" s="236" t="s">
        <v>4435</v>
      </c>
      <c r="BG262" s="237" t="s">
        <v>4425</v>
      </c>
      <c r="BH262" s="321">
        <f>IFERROR(IF(BD262-KI262=0,"",BD262-AK262),"")</f>
        <v>137</v>
      </c>
      <c r="BI262" s="98" t="str">
        <f>IF(AND(AH262&lt;&gt;"SIM",AH262="UH"),"AA","INDENIZAÇÃO")</f>
        <v>INDENIZAÇÃO</v>
      </c>
      <c r="BJ262" s="98" t="str">
        <f>IF(AND(BD262&lt;&gt;"AGUARDANDO",BD262&lt;&gt;"",N262="AUXÍLIO ALUGUEL ATÉ INDENIZAÇÃO"),"SIM","NÃO")</f>
        <v>NÃO</v>
      </c>
      <c r="BK262" s="238" t="s">
        <v>4436</v>
      </c>
      <c r="BL262" s="238" t="s">
        <v>4436</v>
      </c>
      <c r="BM262" s="238" t="s">
        <v>4436</v>
      </c>
      <c r="BN262" s="273" t="s">
        <v>4956</v>
      </c>
      <c r="BO262" s="265"/>
      <c r="BP262" s="265"/>
      <c r="BQ262" s="265"/>
      <c r="BR262" s="231"/>
      <c r="BS262" s="223"/>
    </row>
    <row r="263" spans="1:72" s="240" customFormat="1" ht="27" customHeight="1" x14ac:dyDescent="0.25">
      <c r="A263" s="207">
        <v>259</v>
      </c>
      <c r="B263" s="197" t="s">
        <v>4396</v>
      </c>
      <c r="C263" s="207" t="s">
        <v>4426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4582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4441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4432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>IF(AQ263="SIM","AGUARDANDO CORREÇÃO",IF(AP263&lt;&gt;"","FINALIZADO",IF(AO263&lt;&gt;"","AGUARDANDO ENVIO DTS",IF(AN263&lt;&gt;"","AGUARDANDO ASSINATURA GAB",IF(AM263&lt;&gt;"","AGUARDANDO ASSINATURA CTS",IF(AL263&lt;&gt;"","AGUARDANDO ENVIO ASSINATURA CTS",IF(AK263&lt;&gt;"","AGUARDANDO CONFERÊNCIA","")))))))</f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4434</v>
      </c>
      <c r="BF263" s="228" t="s">
        <v>4435</v>
      </c>
      <c r="BG263" s="229" t="s">
        <v>4425</v>
      </c>
      <c r="BH263" s="321">
        <f>IFERROR(IF(BD263-KI263=0,"",BD263-AK263),"")</f>
        <v>46</v>
      </c>
      <c r="BI263" s="98" t="str">
        <f>IF(AND(AH263&lt;&gt;"SIM",AH263="UH"),"AA","INDENIZAÇÃO")</f>
        <v>INDENIZAÇÃO</v>
      </c>
      <c r="BJ263" s="98" t="str">
        <f>IF(AND(BD263&lt;&gt;"AGUARDANDO",BD263&lt;&gt;"",N263="AUXÍLIO ALUGUEL ATÉ INDENIZAÇÃO"),"SIM","NÃO")</f>
        <v>NÃO</v>
      </c>
      <c r="BK263" s="219" t="s">
        <v>4436</v>
      </c>
      <c r="BL263" s="219" t="s">
        <v>4436</v>
      </c>
      <c r="BM263" s="219" t="s">
        <v>4436</v>
      </c>
      <c r="BN263" s="257" t="s">
        <v>4956</v>
      </c>
      <c r="BO263" s="257"/>
      <c r="BP263" s="257"/>
      <c r="BQ263" s="257"/>
      <c r="BR263" s="258"/>
    </row>
    <row r="264" spans="1:72" s="240" customFormat="1" ht="27" hidden="1" customHeight="1" x14ac:dyDescent="0.25">
      <c r="A264" s="197">
        <v>260</v>
      </c>
      <c r="B264" s="197" t="s">
        <v>4396</v>
      </c>
      <c r="C264" s="207" t="s">
        <v>4452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>IF(AQ264="SIM","AGUARDANDO CORREÇÃO",IF(AP264&lt;&gt;"","FINALIZADO",IF(AO264&lt;&gt;"","AGUARDANDO ENVIO DTS",IF(AN264&lt;&gt;"","AGUARDANDO ASSINATURA GAB",IF(AM264&lt;&gt;"","AGUARDANDO ASSINATURA CTS",IF(AL264&lt;&gt;"","AGUARDANDO ENVIO ASSINATURA CTS",IF(AK264&lt;&gt;"","AGUARDANDO CONFERÊNCIA","")))))))</f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>IFERROR(IF(BD264-KI264=0,"",BD264-AK264),"")</f>
        <v/>
      </c>
      <c r="BI264" s="98" t="str">
        <f>IF(AND(AH264&lt;&gt;"SIM",AH264="UH"),"AA","INDENIZAÇÃO")</f>
        <v>AA</v>
      </c>
      <c r="BJ264" s="98" t="str">
        <f>IF(AND(BD264&lt;&gt;"AGUARDANDO",BD264&lt;&gt;"",N264="AUXÍLIO ALUGUEL ATÉ INDENIZAÇÃO"),"SIM","NÃO")</f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customHeight="1" x14ac:dyDescent="0.25">
      <c r="A265" s="197">
        <v>261</v>
      </c>
      <c r="B265" s="197" t="s">
        <v>4396</v>
      </c>
      <c r="C265" s="207" t="s">
        <v>4426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4441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4432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>IF(AQ265="SIM","AGUARDANDO CORREÇÃO",IF(AP265&lt;&gt;"","FINALIZADO",IF(AO265&lt;&gt;"","AGUARDANDO ENVIO DTS",IF(AN265&lt;&gt;"","AGUARDANDO ASSINATURA GAB",IF(AM265&lt;&gt;"","AGUARDANDO ASSINATURA CTS",IF(AL265&lt;&gt;"","AGUARDANDO ENVIO ASSINATURA CTS",IF(AK265&lt;&gt;"","AGUARDANDO CONFERÊNCIA","")))))))</f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4434</v>
      </c>
      <c r="BF265" s="245" t="s">
        <v>4435</v>
      </c>
      <c r="BG265" s="229" t="s">
        <v>4425</v>
      </c>
      <c r="BH265" s="321">
        <f>IFERROR(IF(BD265-KI265=0,"",BD265-AK265),"")</f>
        <v>63</v>
      </c>
      <c r="BI265" s="98" t="str">
        <f>IF(AND(AH265&lt;&gt;"SIM",AH265="UH"),"AA","INDENIZAÇÃO")</f>
        <v>INDENIZAÇÃO</v>
      </c>
      <c r="BJ265" s="98" t="str">
        <f>IF(AND(BD265&lt;&gt;"AGUARDANDO",BD265&lt;&gt;"",N265="AUXÍLIO ALUGUEL ATÉ INDENIZAÇÃO"),"SIM","NÃO")</f>
        <v>NÃO</v>
      </c>
      <c r="BK265" s="219" t="s">
        <v>4436</v>
      </c>
      <c r="BL265" s="219" t="s">
        <v>4436</v>
      </c>
      <c r="BM265" s="219" t="s">
        <v>4436</v>
      </c>
      <c r="BN265" s="257" t="s">
        <v>4956</v>
      </c>
      <c r="BO265" s="257"/>
      <c r="BP265" s="257"/>
      <c r="BQ265" s="257"/>
      <c r="BR265" s="258"/>
    </row>
    <row r="266" spans="1:72" s="240" customFormat="1" ht="27" hidden="1" customHeight="1" x14ac:dyDescent="0.25">
      <c r="A266" s="207">
        <v>262</v>
      </c>
      <c r="B266" s="197" t="s">
        <v>4396</v>
      </c>
      <c r="C266" s="207" t="s">
        <v>4452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>IF(AQ266="SIM","AGUARDANDO CORREÇÃO",IF(AP266&lt;&gt;"","FINALIZADO",IF(AO266&lt;&gt;"","AGUARDANDO ENVIO DTS",IF(AN266&lt;&gt;"","AGUARDANDO ASSINATURA GAB",IF(AM266&lt;&gt;"","AGUARDANDO ASSINATURA CTS",IF(AL266&lt;&gt;"","AGUARDANDO ENVIO ASSINATURA CTS",IF(AK266&lt;&gt;"","AGUARDANDO CONFERÊNCIA","")))))))</f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>IFERROR(IF(BD266-KI266=0,"",BD266-AK266),"")</f>
        <v/>
      </c>
      <c r="BI266" s="98" t="str">
        <f>IF(AND(AH266&lt;&gt;"SIM",AH266="UH"),"AA","INDENIZAÇÃO")</f>
        <v>AA</v>
      </c>
      <c r="BJ266" s="98" t="str">
        <f>IF(AND(BD266&lt;&gt;"AGUARDANDO",BD266&lt;&gt;"",N266="AUXÍLIO ALUGUEL ATÉ INDENIZAÇÃO"),"SIM","NÃO")</f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hidden="1" customHeight="1" x14ac:dyDescent="0.25">
      <c r="A267" s="207">
        <v>263</v>
      </c>
      <c r="B267" s="197" t="s">
        <v>4396</v>
      </c>
      <c r="C267" s="207" t="s">
        <v>4452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>IF(AQ267="SIM","AGUARDANDO CORREÇÃO",IF(AP267&lt;&gt;"","FINALIZADO",IF(AO267&lt;&gt;"","AGUARDANDO ENVIO DTS",IF(AN267&lt;&gt;"","AGUARDANDO ASSINATURA GAB",IF(AM267&lt;&gt;"","AGUARDANDO ASSINATURA CTS",IF(AL267&lt;&gt;"","AGUARDANDO ENVIO ASSINATURA CTS",IF(AK267&lt;&gt;"","AGUARDANDO CONFERÊNCIA","")))))))</f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>IFERROR(IF(BD267-KI267=0,"",BD267-AK267),"")</f>
        <v/>
      </c>
      <c r="BI267" s="98" t="str">
        <f>IF(AND(AH267&lt;&gt;"SIM",AH267="UH"),"AA","INDENIZAÇÃO")</f>
        <v>AA</v>
      </c>
      <c r="BJ267" s="98" t="str">
        <f>IF(AND(BD267&lt;&gt;"AGUARDANDO",BD267&lt;&gt;"",N267="AUXÍLIO ALUGUEL ATÉ INDENIZAÇÃO"),"SIM","NÃO")</f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customHeight="1" x14ac:dyDescent="0.25">
      <c r="A268" s="207">
        <v>264</v>
      </c>
      <c r="B268" s="197" t="s">
        <v>4396</v>
      </c>
      <c r="C268" s="207" t="s">
        <v>4426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4441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4432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>IF(AQ268="SIM","AGUARDANDO CORREÇÃO",IF(AP268&lt;&gt;"","FINALIZADO",IF(AO268&lt;&gt;"","AGUARDANDO ENVIO DTS",IF(AN268&lt;&gt;"","AGUARDANDO ASSINATURA GAB",IF(AM268&lt;&gt;"","AGUARDANDO ASSINATURA CTS",IF(AL268&lt;&gt;"","AGUARDANDO ENVIO ASSINATURA CTS",IF(AK268&lt;&gt;"","AGUARDANDO CONFERÊNCIA","")))))))</f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4434</v>
      </c>
      <c r="BF268" s="236" t="s">
        <v>4435</v>
      </c>
      <c r="BG268" s="237" t="s">
        <v>4425</v>
      </c>
      <c r="BH268" s="321">
        <f>IFERROR(IF(BD268-KI268=0,"",BD268-AK268),"")</f>
        <v>137</v>
      </c>
      <c r="BI268" s="98" t="str">
        <f>IF(AND(AH268&lt;&gt;"SIM",AH268="UH"),"AA","INDENIZAÇÃO")</f>
        <v>INDENIZAÇÃO</v>
      </c>
      <c r="BJ268" s="98" t="str">
        <f>IF(AND(BD268&lt;&gt;"AGUARDANDO",BD268&lt;&gt;"",N268="AUXÍLIO ALUGUEL ATÉ INDENIZAÇÃO"),"SIM","NÃO")</f>
        <v>NÃO</v>
      </c>
      <c r="BK268" s="238" t="s">
        <v>4436</v>
      </c>
      <c r="BL268" s="238" t="s">
        <v>4436</v>
      </c>
      <c r="BM268" s="238" t="s">
        <v>4436</v>
      </c>
      <c r="BN268" s="273" t="s">
        <v>4956</v>
      </c>
      <c r="BO268" s="265"/>
      <c r="BP268" s="265"/>
      <c r="BQ268" s="265"/>
      <c r="BR268" s="231"/>
      <c r="BS268" s="223"/>
    </row>
    <row r="269" spans="1:72" s="240" customFormat="1" ht="27" customHeight="1" x14ac:dyDescent="0.25">
      <c r="A269" s="197">
        <v>265</v>
      </c>
      <c r="B269" s="197" t="s">
        <v>4396</v>
      </c>
      <c r="C269" s="207" t="s">
        <v>4452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4441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4432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>IF(AQ269="SIM","AGUARDANDO CORREÇÃO",IF(AP269&lt;&gt;"","FINALIZADO",IF(AO269&lt;&gt;"","AGUARDANDO ENVIO DTS",IF(AN269&lt;&gt;"","AGUARDANDO ASSINATURA GAB",IF(AM269&lt;&gt;"","AGUARDANDO ASSINATURA CTS",IF(AL269&lt;&gt;"","AGUARDANDO ENVIO ASSINATURA CTS",IF(AK269&lt;&gt;"","AGUARDANDO CONFERÊNCIA","")))))))</f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>IFERROR(IF(BD269-KI269=0,"",BD269-AK269),"")</f>
        <v>70</v>
      </c>
      <c r="BI269" s="98" t="str">
        <f>IF(AND(AH269&lt;&gt;"SIM",AH269="UH"),"AA","INDENIZAÇÃO")</f>
        <v>INDENIZAÇÃO</v>
      </c>
      <c r="BJ269" s="98" t="str">
        <f>IF(AND(BD269&lt;&gt;"AGUARDANDO",BD269&lt;&gt;"",N269="AUXÍLIO ALUGUEL ATÉ INDENIZAÇÃO"),"SIM","NÃO")</f>
        <v>NÃO</v>
      </c>
      <c r="BK269" s="230" t="s">
        <v>4436</v>
      </c>
      <c r="BL269" s="230" t="s">
        <v>4436</v>
      </c>
      <c r="BM269" s="230" t="s">
        <v>4436</v>
      </c>
      <c r="BN269" s="265" t="s">
        <v>4956</v>
      </c>
      <c r="BO269" s="265"/>
      <c r="BP269" s="265"/>
      <c r="BQ269" s="265"/>
      <c r="BR269" s="231"/>
    </row>
    <row r="270" spans="1:72" s="240" customFormat="1" ht="27" hidden="1" customHeight="1" x14ac:dyDescent="0.25">
      <c r="A270" s="197">
        <v>266</v>
      </c>
      <c r="B270" s="197" t="s">
        <v>4396</v>
      </c>
      <c r="C270" s="207" t="s">
        <v>4426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4439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4439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>IF(AQ270="SIM","AGUARDANDO CORREÇÃO",IF(AP270&lt;&gt;"","FINALIZADO",IF(AO270&lt;&gt;"","AGUARDANDO ENVIO DTS",IF(AN270&lt;&gt;"","AGUARDANDO ASSINATURA GAB",IF(AM270&lt;&gt;"","AGUARDANDO ASSINATURA CTS",IF(AL270&lt;&gt;"","AGUARDANDO ENVIO ASSINATURA CTS",IF(AK270&lt;&gt;"","AGUARDANDO CONFERÊNCIA","")))))))</f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>IFERROR(IF(BD270-KI270=0,"",BD270-AK270),"")</f>
        <v/>
      </c>
      <c r="BI270" s="98" t="str">
        <f>IF(AND(AH270&lt;&gt;"SIM",AH270="UH"),"AA","INDENIZAÇÃO")</f>
        <v>AA</v>
      </c>
      <c r="BJ270" s="98" t="str">
        <f>IF(AND(BD270&lt;&gt;"AGUARDANDO",BD270&lt;&gt;"",N270="AUXÍLIO ALUGUEL ATÉ INDENIZAÇÃO"),"SIM","NÃO")</f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hidden="1" customHeight="1" x14ac:dyDescent="0.25">
      <c r="A271" s="207">
        <v>267</v>
      </c>
      <c r="B271" s="197" t="s">
        <v>4396</v>
      </c>
      <c r="C271" s="207" t="s">
        <v>4426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4441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4432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>IF(AQ271="SIM","AGUARDANDO CORREÇÃO",IF(AP271&lt;&gt;"","FINALIZADO",IF(AO271&lt;&gt;"","AGUARDANDO ENVIO DTS",IF(AN271&lt;&gt;"","AGUARDANDO ASSINATURA GAB",IF(AM271&lt;&gt;"","AGUARDANDO ASSINATURA CTS",IF(AL271&lt;&gt;"","AGUARDANDO ENVIO ASSINATURA CTS",IF(AK271&lt;&gt;"","AGUARDANDO CONFERÊNCIA","")))))))</f>
        <v>FINALIZADO</v>
      </c>
      <c r="AS271" s="207" t="s">
        <v>4423</v>
      </c>
      <c r="AT271" s="207"/>
      <c r="AU271" s="220" t="s">
        <v>4434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>IFERROR(IF(BD271-KI271=0,"",BD271-AK271),"")</f>
        <v/>
      </c>
      <c r="BI271" s="98" t="str">
        <f>IF(AND(AH271&lt;&gt;"SIM",AH271="UH"),"AA","INDENIZAÇÃO")</f>
        <v>INDENIZAÇÃO</v>
      </c>
      <c r="BJ271" s="98" t="str">
        <f>IF(AND(BD271&lt;&gt;"AGUARDANDO",BD271&lt;&gt;"",N271="AUXÍLIO ALUGUEL ATÉ INDENIZAÇÃO"),"SIM","NÃO")</f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customHeight="1" x14ac:dyDescent="0.25">
      <c r="A272" s="207">
        <v>268</v>
      </c>
      <c r="B272" s="197" t="s">
        <v>4396</v>
      </c>
      <c r="C272" s="207" t="s">
        <v>4426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4441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4432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>IF(AQ272="SIM","AGUARDANDO CORREÇÃO",IF(AP272&lt;&gt;"","FINALIZADO",IF(AO272&lt;&gt;"","AGUARDANDO ENVIO DTS",IF(AN272&lt;&gt;"","AGUARDANDO ASSINATURA GAB",IF(AM272&lt;&gt;"","AGUARDANDO ASSINATURA CTS",IF(AL272&lt;&gt;"","AGUARDANDO ENVIO ASSINATURA CTS",IF(AK272&lt;&gt;"","AGUARDANDO CONFERÊNCIA","")))))))</f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4434</v>
      </c>
      <c r="BF272" s="228" t="s">
        <v>4435</v>
      </c>
      <c r="BG272" s="229" t="s">
        <v>4425</v>
      </c>
      <c r="BH272" s="321">
        <f>IFERROR(IF(BD272-KI272=0,"",BD272-AK272),"")</f>
        <v>63</v>
      </c>
      <c r="BI272" s="98" t="str">
        <f>IF(AND(AH272&lt;&gt;"SIM",AH272="UH"),"AA","INDENIZAÇÃO")</f>
        <v>INDENIZAÇÃO</v>
      </c>
      <c r="BJ272" s="98" t="str">
        <f>IF(AND(BD272&lt;&gt;"AGUARDANDO",BD272&lt;&gt;"",N272="AUXÍLIO ALUGUEL ATÉ INDENIZAÇÃO"),"SIM","NÃO")</f>
        <v>NÃO</v>
      </c>
      <c r="BK272" s="219" t="s">
        <v>4436</v>
      </c>
      <c r="BL272" s="219" t="s">
        <v>4436</v>
      </c>
      <c r="BM272" s="219" t="s">
        <v>4436</v>
      </c>
      <c r="BN272" s="257" t="s">
        <v>4956</v>
      </c>
      <c r="BO272" s="257"/>
      <c r="BP272" s="257"/>
      <c r="BQ272" s="257"/>
      <c r="BR272" s="258"/>
    </row>
    <row r="273" spans="1:72" s="240" customFormat="1" ht="27" hidden="1" customHeight="1" x14ac:dyDescent="0.25">
      <c r="A273" s="207">
        <v>269</v>
      </c>
      <c r="B273" s="197" t="s">
        <v>4396</v>
      </c>
      <c r="C273" s="207" t="s">
        <v>4452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>IF(AQ273="SIM","AGUARDANDO CORREÇÃO",IF(AP273&lt;&gt;"","FINALIZADO",IF(AO273&lt;&gt;"","AGUARDANDO ENVIO DTS",IF(AN273&lt;&gt;"","AGUARDANDO ASSINATURA GAB",IF(AM273&lt;&gt;"","AGUARDANDO ASSINATURA CTS",IF(AL273&lt;&gt;"","AGUARDANDO ENVIO ASSINATURA CTS",IF(AK273&lt;&gt;"","AGUARDANDO CONFERÊNCIA","")))))))</f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>IFERROR(IF(BD273-KI273=0,"",BD273-AK273),"")</f>
        <v/>
      </c>
      <c r="BI273" s="98" t="str">
        <f>IF(AND(AH273&lt;&gt;"SIM",AH273="UH"),"AA","INDENIZAÇÃO")</f>
        <v>AA</v>
      </c>
      <c r="BJ273" s="98" t="str">
        <f>IF(AND(BD273&lt;&gt;"AGUARDANDO",BD273&lt;&gt;"",N273="AUXÍLIO ALUGUEL ATÉ INDENIZAÇÃO"),"SIM","NÃO")</f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customHeight="1" x14ac:dyDescent="0.25">
      <c r="A274" s="197">
        <v>270</v>
      </c>
      <c r="B274" s="197" t="s">
        <v>4396</v>
      </c>
      <c r="C274" s="207" t="s">
        <v>4426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4441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4432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>IF(AQ274="SIM","AGUARDANDO CORREÇÃO",IF(AP274&lt;&gt;"","FINALIZADO",IF(AO274&lt;&gt;"","AGUARDANDO ENVIO DTS",IF(AN274&lt;&gt;"","AGUARDANDO ASSINATURA GAB",IF(AM274&lt;&gt;"","AGUARDANDO ASSINATURA CTS",IF(AL274&lt;&gt;"","AGUARDANDO ENVIO ASSINATURA CTS",IF(AK274&lt;&gt;"","AGUARDANDO CONFERÊNCIA","")))))))</f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4434</v>
      </c>
      <c r="BF274" s="245" t="s">
        <v>4435</v>
      </c>
      <c r="BG274" s="229" t="s">
        <v>4425</v>
      </c>
      <c r="BH274" s="321">
        <f>IFERROR(IF(BD274-KI274=0,"",BD274-AK274),"")</f>
        <v>63</v>
      </c>
      <c r="BI274" s="98" t="str">
        <f>IF(AND(AH274&lt;&gt;"SIM",AH274="UH"),"AA","INDENIZAÇÃO")</f>
        <v>INDENIZAÇÃO</v>
      </c>
      <c r="BJ274" s="98" t="str">
        <f>IF(AND(BD274&lt;&gt;"AGUARDANDO",BD274&lt;&gt;"",N274="AUXÍLIO ALUGUEL ATÉ INDENIZAÇÃO"),"SIM","NÃO")</f>
        <v>NÃO</v>
      </c>
      <c r="BK274" s="230" t="s">
        <v>4436</v>
      </c>
      <c r="BL274" s="230" t="s">
        <v>4436</v>
      </c>
      <c r="BM274" s="230" t="s">
        <v>4436</v>
      </c>
      <c r="BN274" s="265" t="s">
        <v>4956</v>
      </c>
      <c r="BO274" s="265"/>
      <c r="BP274" s="265"/>
      <c r="BQ274" s="265"/>
      <c r="BR274" s="231"/>
    </row>
    <row r="275" spans="1:72" s="240" customFormat="1" ht="27" customHeight="1" x14ac:dyDescent="0.25">
      <c r="A275" s="197">
        <v>271</v>
      </c>
      <c r="B275" s="197" t="s">
        <v>4396</v>
      </c>
      <c r="C275" s="207" t="s">
        <v>4426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4441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4432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>IF(AQ275="SIM","AGUARDANDO CORREÇÃO",IF(AP275&lt;&gt;"","FINALIZADO",IF(AO275&lt;&gt;"","AGUARDANDO ENVIO DTS",IF(AN275&lt;&gt;"","AGUARDANDO ASSINATURA GAB",IF(AM275&lt;&gt;"","AGUARDANDO ASSINATURA CTS",IF(AL275&lt;&gt;"","AGUARDANDO ENVIO ASSINATURA CTS",IF(AK275&lt;&gt;"","AGUARDANDO CONFERÊNCIA","")))))))</f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4434</v>
      </c>
      <c r="BF275" s="228" t="s">
        <v>4435</v>
      </c>
      <c r="BG275" s="229" t="s">
        <v>4425</v>
      </c>
      <c r="BH275" s="321">
        <f>IFERROR(IF(BD275-KI275=0,"",BD275-AK275),"")</f>
        <v>63</v>
      </c>
      <c r="BI275" s="98" t="str">
        <f>IF(AND(AH275&lt;&gt;"SIM",AH275="UH"),"AA","INDENIZAÇÃO")</f>
        <v>INDENIZAÇÃO</v>
      </c>
      <c r="BJ275" s="98" t="str">
        <f>IF(AND(BD275&lt;&gt;"AGUARDANDO",BD275&lt;&gt;"",N275="AUXÍLIO ALUGUEL ATÉ INDENIZAÇÃO"),"SIM","NÃO")</f>
        <v>NÃO</v>
      </c>
      <c r="BK275" s="219" t="s">
        <v>4436</v>
      </c>
      <c r="BL275" s="219" t="s">
        <v>4436</v>
      </c>
      <c r="BM275" s="219" t="s">
        <v>4436</v>
      </c>
      <c r="BN275" s="257" t="s">
        <v>4956</v>
      </c>
      <c r="BO275" s="257"/>
      <c r="BP275" s="257"/>
      <c r="BQ275" s="257"/>
      <c r="BR275" s="258"/>
      <c r="BS275" s="223"/>
      <c r="BT275" s="223"/>
    </row>
    <row r="276" spans="1:72" s="240" customFormat="1" ht="27" hidden="1" customHeight="1" x14ac:dyDescent="0.25">
      <c r="A276" s="207">
        <v>272</v>
      </c>
      <c r="B276" s="197" t="s">
        <v>4396</v>
      </c>
      <c r="C276" s="207" t="s">
        <v>4452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>IF(AQ276="SIM","AGUARDANDO CORREÇÃO",IF(AP276&lt;&gt;"","FINALIZADO",IF(AO276&lt;&gt;"","AGUARDANDO ENVIO DTS",IF(AN276&lt;&gt;"","AGUARDANDO ASSINATURA GAB",IF(AM276&lt;&gt;"","AGUARDANDO ASSINATURA CTS",IF(AL276&lt;&gt;"","AGUARDANDO ENVIO ASSINATURA CTS",IF(AK276&lt;&gt;"","AGUARDANDO CONFERÊNCIA","")))))))</f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>IFERROR(IF(BD276-KI276=0,"",BD276-AK276),"")</f>
        <v/>
      </c>
      <c r="BI276" s="98" t="str">
        <f>IF(AND(AH276&lt;&gt;"SIM",AH276="UH"),"AA","INDENIZAÇÃO")</f>
        <v>INDENIZAÇÃO</v>
      </c>
      <c r="BJ276" s="98" t="str">
        <f>IF(AND(BD276&lt;&gt;"AGUARDANDO",BD276&lt;&gt;"",N276="AUXÍLIO ALUGUEL ATÉ INDENIZAÇÃO"),"SIM","NÃO")</f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hidden="1" customHeight="1" x14ac:dyDescent="0.25">
      <c r="A277" s="207">
        <v>273</v>
      </c>
      <c r="B277" s="197" t="s">
        <v>4396</v>
      </c>
      <c r="C277" s="207" t="s">
        <v>4452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4535</v>
      </c>
      <c r="J277" s="242" t="s">
        <v>5612</v>
      </c>
      <c r="K277" s="215" t="s">
        <v>4439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4439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>IF(AQ277="SIM","AGUARDANDO CORREÇÃO",IF(AP277&lt;&gt;"","FINALIZADO",IF(AO277&lt;&gt;"","AGUARDANDO ENVIO DTS",IF(AN277&lt;&gt;"","AGUARDANDO ASSINATURA GAB",IF(AM277&lt;&gt;"","AGUARDANDO ASSINATURA CTS",IF(AL277&lt;&gt;"","AGUARDANDO ENVIO ASSINATURA CTS",IF(AK277&lt;&gt;"","AGUARDANDO CONFERÊNCIA","")))))))</f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>IFERROR(IF(BD277-KI277=0,"",BD277-AK277),"")</f>
        <v/>
      </c>
      <c r="BI277" s="98" t="str">
        <f>IF(AND(AH277&lt;&gt;"SIM",AH277="UH"),"AA","INDENIZAÇÃO")</f>
        <v>AA</v>
      </c>
      <c r="BJ277" s="98" t="str">
        <f>IF(AND(BD277&lt;&gt;"AGUARDANDO",BD277&lt;&gt;"",N277="AUXÍLIO ALUGUEL ATÉ INDENIZAÇÃO"),"SIM","NÃO")</f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customHeight="1" x14ac:dyDescent="0.25">
      <c r="A278" s="207">
        <v>274</v>
      </c>
      <c r="B278" s="197" t="s">
        <v>4396</v>
      </c>
      <c r="C278" s="207" t="s">
        <v>4426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4441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4432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>IF(AQ278="SIM","AGUARDANDO CORREÇÃO",IF(AP278&lt;&gt;"","FINALIZADO",IF(AO278&lt;&gt;"","AGUARDANDO ENVIO DTS",IF(AN278&lt;&gt;"","AGUARDANDO ASSINATURA GAB",IF(AM278&lt;&gt;"","AGUARDANDO ASSINATURA CTS",IF(AL278&lt;&gt;"","AGUARDANDO ENVIO ASSINATURA CTS",IF(AK278&lt;&gt;"","AGUARDANDO CONFERÊNCIA","")))))))</f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4434</v>
      </c>
      <c r="BF278" s="228" t="s">
        <v>4435</v>
      </c>
      <c r="BG278" s="229" t="s">
        <v>4425</v>
      </c>
      <c r="BH278" s="321">
        <f>IFERROR(IF(BD278-KI278=0,"",BD278-AK278),"")</f>
        <v>69</v>
      </c>
      <c r="BI278" s="98" t="str">
        <f>IF(AND(AH278&lt;&gt;"SIM",AH278="UH"),"AA","INDENIZAÇÃO")</f>
        <v>INDENIZAÇÃO</v>
      </c>
      <c r="BJ278" s="98" t="str">
        <f>IF(AND(BD278&lt;&gt;"AGUARDANDO",BD278&lt;&gt;"",N278="AUXÍLIO ALUGUEL ATÉ INDENIZAÇÃO"),"SIM","NÃO")</f>
        <v>NÃO</v>
      </c>
      <c r="BK278" s="230" t="s">
        <v>4436</v>
      </c>
      <c r="BL278" s="230" t="s">
        <v>4436</v>
      </c>
      <c r="BM278" s="230" t="s">
        <v>4436</v>
      </c>
      <c r="BN278" s="265" t="s">
        <v>4956</v>
      </c>
      <c r="BO278" s="265"/>
      <c r="BP278" s="265"/>
      <c r="BQ278" s="265"/>
      <c r="BR278" s="231"/>
    </row>
    <row r="279" spans="1:72" s="240" customFormat="1" ht="27" hidden="1" customHeight="1" x14ac:dyDescent="0.25">
      <c r="A279" s="197">
        <v>275</v>
      </c>
      <c r="B279" s="197" t="s">
        <v>4396</v>
      </c>
      <c r="C279" s="207" t="s">
        <v>4452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>IF(AQ279="SIM","AGUARDANDO CORREÇÃO",IF(AP279&lt;&gt;"","FINALIZADO",IF(AO279&lt;&gt;"","AGUARDANDO ENVIO DTS",IF(AN279&lt;&gt;"","AGUARDANDO ASSINATURA GAB",IF(AM279&lt;&gt;"","AGUARDANDO ASSINATURA CTS",IF(AL279&lt;&gt;"","AGUARDANDO ENVIO ASSINATURA CTS",IF(AK279&lt;&gt;"","AGUARDANDO CONFERÊNCIA","")))))))</f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>IFERROR(IF(BD279-KI279=0,"",BD279-AK279),"")</f>
        <v/>
      </c>
      <c r="BI279" s="98" t="str">
        <f>IF(AND(AH279&lt;&gt;"SIM",AH279="UH"),"AA","INDENIZAÇÃO")</f>
        <v>AA</v>
      </c>
      <c r="BJ279" s="98" t="str">
        <f>IF(AND(BD279&lt;&gt;"AGUARDANDO",BD279&lt;&gt;"",N279="AUXÍLIO ALUGUEL ATÉ INDENIZAÇÃO"),"SIM","NÃO")</f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 x14ac:dyDescent="0.25">
      <c r="A280" s="197">
        <v>276</v>
      </c>
      <c r="B280" s="197" t="s">
        <v>4396</v>
      </c>
      <c r="C280" s="207" t="s">
        <v>4426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4439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4439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>IF(AQ280="SIM","AGUARDANDO CORREÇÃO",IF(AP280&lt;&gt;"","FINALIZADO",IF(AO280&lt;&gt;"","AGUARDANDO ENVIO DTS",IF(AN280&lt;&gt;"","AGUARDANDO ASSINATURA GAB",IF(AM280&lt;&gt;"","AGUARDANDO ASSINATURA CTS",IF(AL280&lt;&gt;"","AGUARDANDO ENVIO ASSINATURA CTS",IF(AK280&lt;&gt;"","AGUARDANDO CONFERÊNCIA","")))))))</f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>IFERROR(IF(BD280-KI280=0,"",BD280-AK280),"")</f>
        <v/>
      </c>
      <c r="BI280" s="98" t="str">
        <f>IF(AND(AH280&lt;&gt;"SIM",AH280="UH"),"AA","INDENIZAÇÃO")</f>
        <v>INDENIZAÇÃO</v>
      </c>
      <c r="BJ280" s="98" t="str">
        <f>IF(AND(BD280&lt;&gt;"AGUARDANDO",BD280&lt;&gt;"",N280="AUXÍLIO ALUGUEL ATÉ INDENIZAÇÃO"),"SIM","NÃO")</f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 x14ac:dyDescent="0.25">
      <c r="A281" s="207">
        <v>277</v>
      </c>
      <c r="B281" s="197" t="s">
        <v>4396</v>
      </c>
      <c r="C281" s="207" t="s">
        <v>4426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>IF(AQ281="SIM","AGUARDANDO CORREÇÃO",IF(AP281&lt;&gt;"","FINALIZADO",IF(AO281&lt;&gt;"","AGUARDANDO ENVIO DTS",IF(AN281&lt;&gt;"","AGUARDANDO ASSINATURA GAB",IF(AM281&lt;&gt;"","AGUARDANDO ASSINATURA CTS",IF(AL281&lt;&gt;"","AGUARDANDO ENVIO ASSINATURA CTS",IF(AK281&lt;&gt;"","AGUARDANDO CONFERÊNCIA","")))))))</f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>IFERROR(IF(BD281-KI281=0,"",BD281-AK281),"")</f>
        <v/>
      </c>
      <c r="BI281" s="98" t="str">
        <f>IF(AND(AH281&lt;&gt;"SIM",AH281="UH"),"AA","INDENIZAÇÃO")</f>
        <v>AA</v>
      </c>
      <c r="BJ281" s="98" t="str">
        <f>IF(AND(BD281&lt;&gt;"AGUARDANDO",BD281&lt;&gt;"",N281="AUXÍLIO ALUGUEL ATÉ INDENIZAÇÃO"),"SIM","NÃO")</f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 x14ac:dyDescent="0.25">
      <c r="A282" s="207">
        <v>278</v>
      </c>
      <c r="B282" s="197" t="s">
        <v>4396</v>
      </c>
      <c r="C282" s="207" t="s">
        <v>4452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>IF(AQ282="SIM","AGUARDANDO CORREÇÃO",IF(AP282&lt;&gt;"","FINALIZADO",IF(AO282&lt;&gt;"","AGUARDANDO ENVIO DTS",IF(AN282&lt;&gt;"","AGUARDANDO ASSINATURA GAB",IF(AM282&lt;&gt;"","AGUARDANDO ASSINATURA CTS",IF(AL282&lt;&gt;"","AGUARDANDO ENVIO ASSINATURA CTS",IF(AK282&lt;&gt;"","AGUARDANDO CONFERÊNCIA","")))))))</f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>IFERROR(IF(BD282-KI282=0,"",BD282-AK282),"")</f>
        <v/>
      </c>
      <c r="BI282" s="98" t="str">
        <f>IF(AND(AH282&lt;&gt;"SIM",AH282="UH"),"AA","INDENIZAÇÃO")</f>
        <v>AA</v>
      </c>
      <c r="BJ282" s="98" t="str">
        <f>IF(AND(BD282&lt;&gt;"AGUARDANDO",BD282&lt;&gt;"",N282="AUXÍLIO ALUGUEL ATÉ INDENIZAÇÃO"),"SIM","NÃO")</f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customHeight="1" x14ac:dyDescent="0.25">
      <c r="A283" s="207">
        <v>279</v>
      </c>
      <c r="B283" s="197" t="s">
        <v>4396</v>
      </c>
      <c r="C283" s="207" t="s">
        <v>4426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4441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4432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>IF(AQ283="SIM","AGUARDANDO CORREÇÃO",IF(AP283&lt;&gt;"","FINALIZADO",IF(AO283&lt;&gt;"","AGUARDANDO ENVIO DTS",IF(AN283&lt;&gt;"","AGUARDANDO ASSINATURA GAB",IF(AM283&lt;&gt;"","AGUARDANDO ASSINATURA CTS",IF(AL283&lt;&gt;"","AGUARDANDO ENVIO ASSINATURA CTS",IF(AK283&lt;&gt;"","AGUARDANDO CONFERÊNCIA","")))))))</f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4434</v>
      </c>
      <c r="BF283" s="245" t="s">
        <v>4435</v>
      </c>
      <c r="BG283" s="229" t="s">
        <v>4425</v>
      </c>
      <c r="BH283" s="321">
        <f>IFERROR(IF(BD283-KI283=0,"",BD283-AK283),"")</f>
        <v>97</v>
      </c>
      <c r="BI283" s="98" t="str">
        <f>IF(AND(AH283&lt;&gt;"SIM",AH283="UH"),"AA","INDENIZAÇÃO")</f>
        <v>INDENIZAÇÃO</v>
      </c>
      <c r="BJ283" s="98" t="str">
        <f>IF(AND(BD283&lt;&gt;"AGUARDANDO",BD283&lt;&gt;"",N283="AUXÍLIO ALUGUEL ATÉ INDENIZAÇÃO"),"SIM","NÃO")</f>
        <v>NÃO</v>
      </c>
      <c r="BK283" s="230" t="s">
        <v>4436</v>
      </c>
      <c r="BL283" s="230" t="s">
        <v>4436</v>
      </c>
      <c r="BM283" s="230" t="s">
        <v>4436</v>
      </c>
      <c r="BN283" s="265" t="s">
        <v>4956</v>
      </c>
      <c r="BO283" s="265"/>
      <c r="BP283" s="265"/>
      <c r="BQ283" s="265"/>
      <c r="BR283" s="231"/>
    </row>
    <row r="284" spans="1:72" s="240" customFormat="1" ht="27" hidden="1" customHeight="1" x14ac:dyDescent="0.25">
      <c r="A284" s="197">
        <v>280</v>
      </c>
      <c r="B284" s="197" t="s">
        <v>4396</v>
      </c>
      <c r="C284" s="207" t="s">
        <v>4452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>IF(AQ284="SIM","AGUARDANDO CORREÇÃO",IF(AP284&lt;&gt;"","FINALIZADO",IF(AO284&lt;&gt;"","AGUARDANDO ENVIO DTS",IF(AN284&lt;&gt;"","AGUARDANDO ASSINATURA GAB",IF(AM284&lt;&gt;"","AGUARDANDO ASSINATURA CTS",IF(AL284&lt;&gt;"","AGUARDANDO ENVIO ASSINATURA CTS",IF(AK284&lt;&gt;"","AGUARDANDO CONFERÊNCIA","")))))))</f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>IFERROR(IF(BD284-KI284=0,"",BD284-AK284),"")</f>
        <v/>
      </c>
      <c r="BI284" s="98" t="str">
        <f>IF(AND(AH284&lt;&gt;"SIM",AH284="UH"),"AA","INDENIZAÇÃO")</f>
        <v>AA</v>
      </c>
      <c r="BJ284" s="98" t="str">
        <f>IF(AND(BD284&lt;&gt;"AGUARDANDO",BD284&lt;&gt;"",N284="AUXÍLIO ALUGUEL ATÉ INDENIZAÇÃO"),"SIM","NÃO")</f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customHeight="1" x14ac:dyDescent="0.25">
      <c r="A285" s="197">
        <v>281</v>
      </c>
      <c r="B285" s="197" t="s">
        <v>4396</v>
      </c>
      <c r="C285" s="207" t="s">
        <v>4426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4441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4432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>IF(AQ285="SIM","AGUARDANDO CORREÇÃO",IF(AP285&lt;&gt;"","FINALIZADO",IF(AO285&lt;&gt;"","AGUARDANDO ENVIO DTS",IF(AN285&lt;&gt;"","AGUARDANDO ASSINATURA GAB",IF(AM285&lt;&gt;"","AGUARDANDO ASSINATURA CTS",IF(AL285&lt;&gt;"","AGUARDANDO ENVIO ASSINATURA CTS",IF(AK285&lt;&gt;"","AGUARDANDO CONFERÊNCIA","")))))))</f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4434</v>
      </c>
      <c r="BF285" s="245" t="s">
        <v>4435</v>
      </c>
      <c r="BG285" s="229" t="s">
        <v>4425</v>
      </c>
      <c r="BH285" s="321">
        <f>IFERROR(IF(BD285-KI285=0,"",BD285-AK285),"")</f>
        <v>41</v>
      </c>
      <c r="BI285" s="98" t="str">
        <f>IF(AND(AH285&lt;&gt;"SIM",AH285="UH"),"AA","INDENIZAÇÃO")</f>
        <v>INDENIZAÇÃO</v>
      </c>
      <c r="BJ285" s="98" t="str">
        <f>IF(AND(BD285&lt;&gt;"AGUARDANDO",BD285&lt;&gt;"",N285="AUXÍLIO ALUGUEL ATÉ INDENIZAÇÃO"),"SIM","NÃO")</f>
        <v>NÃO</v>
      </c>
      <c r="BK285" s="230" t="s">
        <v>4436</v>
      </c>
      <c r="BL285" s="230" t="s">
        <v>4436</v>
      </c>
      <c r="BM285" s="230" t="s">
        <v>4436</v>
      </c>
      <c r="BN285" s="265" t="s">
        <v>4956</v>
      </c>
      <c r="BO285" s="265"/>
      <c r="BP285" s="265"/>
      <c r="BQ285" s="265"/>
      <c r="BR285" s="231"/>
    </row>
    <row r="286" spans="1:72" s="240" customFormat="1" ht="27" customHeight="1" x14ac:dyDescent="0.25">
      <c r="A286" s="207">
        <v>282</v>
      </c>
      <c r="B286" s="197" t="s">
        <v>4396</v>
      </c>
      <c r="C286" s="207" t="s">
        <v>4426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4441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4432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>IF(AQ286="SIM","AGUARDANDO CORREÇÃO",IF(AP286&lt;&gt;"","FINALIZADO",IF(AO286&lt;&gt;"","AGUARDANDO ENVIO DTS",IF(AN286&lt;&gt;"","AGUARDANDO ASSINATURA GAB",IF(AM286&lt;&gt;"","AGUARDANDO ASSINATURA CTS",IF(AL286&lt;&gt;"","AGUARDANDO ENVIO ASSINATURA CTS",IF(AK286&lt;&gt;"","AGUARDANDO CONFERÊNCIA","")))))))</f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4434</v>
      </c>
      <c r="BF286" s="228" t="s">
        <v>4435</v>
      </c>
      <c r="BG286" s="229" t="s">
        <v>4425</v>
      </c>
      <c r="BH286" s="321">
        <f>IFERROR(IF(BD286-KI286=0,"",BD286-AK286),"")</f>
        <v>35</v>
      </c>
      <c r="BI286" s="98" t="str">
        <f>IF(AND(AH286&lt;&gt;"SIM",AH286="UH"),"AA","INDENIZAÇÃO")</f>
        <v>INDENIZAÇÃO</v>
      </c>
      <c r="BJ286" s="98" t="str">
        <f>IF(AND(BD286&lt;&gt;"AGUARDANDO",BD286&lt;&gt;"",N286="AUXÍLIO ALUGUEL ATÉ INDENIZAÇÃO"),"SIM","NÃO")</f>
        <v>NÃO</v>
      </c>
      <c r="BK286" s="230" t="s">
        <v>4436</v>
      </c>
      <c r="BL286" s="230" t="s">
        <v>4436</v>
      </c>
      <c r="BM286" s="230" t="s">
        <v>4436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4434</v>
      </c>
    </row>
    <row r="287" spans="1:72" s="240" customFormat="1" ht="27" hidden="1" customHeight="1" x14ac:dyDescent="0.25">
      <c r="A287" s="207">
        <v>283</v>
      </c>
      <c r="B287" s="197" t="s">
        <v>4396</v>
      </c>
      <c r="C287" s="207" t="s">
        <v>4452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>IF(AQ287="SIM","AGUARDANDO CORREÇÃO",IF(AP287&lt;&gt;"","FINALIZADO",IF(AO287&lt;&gt;"","AGUARDANDO ENVIO DTS",IF(AN287&lt;&gt;"","AGUARDANDO ASSINATURA GAB",IF(AM287&lt;&gt;"","AGUARDANDO ASSINATURA CTS",IF(AL287&lt;&gt;"","AGUARDANDO ENVIO ASSINATURA CTS",IF(AK287&lt;&gt;"","AGUARDANDO CONFERÊNCIA","")))))))</f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>IFERROR(IF(BD287-KI287=0,"",BD287-AK287),"")</f>
        <v/>
      </c>
      <c r="BI287" s="98" t="str">
        <f>IF(AND(AH287&lt;&gt;"SIM",AH287="UH"),"AA","INDENIZAÇÃO")</f>
        <v>AA</v>
      </c>
      <c r="BJ287" s="98" t="str">
        <f>IF(AND(BD287&lt;&gt;"AGUARDANDO",BD287&lt;&gt;"",N287="AUXÍLIO ALUGUEL ATÉ INDENIZAÇÃO"),"SIM","NÃO")</f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hidden="1" customHeight="1" x14ac:dyDescent="0.25">
      <c r="A288" s="207">
        <v>284</v>
      </c>
      <c r="B288" s="197" t="s">
        <v>4396</v>
      </c>
      <c r="C288" s="207" t="s">
        <v>4452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>IF(AQ288="SIM","AGUARDANDO CORREÇÃO",IF(AP288&lt;&gt;"","FINALIZADO",IF(AO288&lt;&gt;"","AGUARDANDO ENVIO DTS",IF(AN288&lt;&gt;"","AGUARDANDO ASSINATURA GAB",IF(AM288&lt;&gt;"","AGUARDANDO ASSINATURA CTS",IF(AL288&lt;&gt;"","AGUARDANDO ENVIO ASSINATURA CTS",IF(AK288&lt;&gt;"","AGUARDANDO CONFERÊNCIA","")))))))</f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>IFERROR(IF(BD288-KI288=0,"",BD288-AK288),"")</f>
        <v/>
      </c>
      <c r="BI288" s="98" t="str">
        <f>IF(AND(AH288&lt;&gt;"SIM",AH288="UH"),"AA","INDENIZAÇÃO")</f>
        <v>AA</v>
      </c>
      <c r="BJ288" s="98" t="str">
        <f>IF(AND(BD288&lt;&gt;"AGUARDANDO",BD288&lt;&gt;"",N288="AUXÍLIO ALUGUEL ATÉ INDENIZAÇÃO"),"SIM","NÃO")</f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customHeight="1" x14ac:dyDescent="0.25">
      <c r="A289" s="197">
        <v>285</v>
      </c>
      <c r="B289" s="197" t="s">
        <v>4396</v>
      </c>
      <c r="C289" s="207" t="s">
        <v>4452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4441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4432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>IF(AQ289="SIM","AGUARDANDO CORREÇÃO",IF(AP289&lt;&gt;"","FINALIZADO",IF(AO289&lt;&gt;"","AGUARDANDO ENVIO DTS",IF(AN289&lt;&gt;"","AGUARDANDO ASSINATURA GAB",IF(AM289&lt;&gt;"","AGUARDANDO ASSINATURA CTS",IF(AL289&lt;&gt;"","AGUARDANDO ENVIO ASSINATURA CTS",IF(AK289&lt;&gt;"","AGUARDANDO CONFERÊNCIA","")))))))</f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>IFERROR(IF(BD289-KI289=0,"",BD289-AK289),"")</f>
        <v>42</v>
      </c>
      <c r="BI289" s="98" t="str">
        <f>IF(AND(AH289&lt;&gt;"SIM",AH289="UH"),"AA","INDENIZAÇÃO")</f>
        <v>INDENIZAÇÃO</v>
      </c>
      <c r="BJ289" s="98" t="str">
        <f>IF(AND(BD289&lt;&gt;"AGUARDANDO",BD289&lt;&gt;"",N289="AUXÍLIO ALUGUEL ATÉ INDENIZAÇÃO"),"SIM","NÃO")</f>
        <v>NÃO</v>
      </c>
      <c r="BK289" s="230" t="s">
        <v>4436</v>
      </c>
      <c r="BL289" s="230" t="s">
        <v>4436</v>
      </c>
      <c r="BM289" s="230" t="s">
        <v>4436</v>
      </c>
      <c r="BN289" s="265" t="s">
        <v>4956</v>
      </c>
      <c r="BO289" s="265"/>
      <c r="BP289" s="265"/>
      <c r="BQ289" s="265"/>
      <c r="BR289" s="231"/>
    </row>
    <row r="290" spans="1:80" s="240" customFormat="1" ht="27" hidden="1" customHeight="1" x14ac:dyDescent="0.25">
      <c r="A290" s="197">
        <v>286</v>
      </c>
      <c r="B290" s="197" t="s">
        <v>4396</v>
      </c>
      <c r="C290" s="207" t="s">
        <v>4452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>IF(AQ290="SIM","AGUARDANDO CORREÇÃO",IF(AP290&lt;&gt;"","FINALIZADO",IF(AO290&lt;&gt;"","AGUARDANDO ENVIO DTS",IF(AN290&lt;&gt;"","AGUARDANDO ASSINATURA GAB",IF(AM290&lt;&gt;"","AGUARDANDO ASSINATURA CTS",IF(AL290&lt;&gt;"","AGUARDANDO ENVIO ASSINATURA CTS",IF(AK290&lt;&gt;"","AGUARDANDO CONFERÊNCIA","")))))))</f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>IFERROR(IF(BD290-KI290=0,"",BD290-AK290),"")</f>
        <v/>
      </c>
      <c r="BI290" s="98" t="str">
        <f>IF(AND(AH290&lt;&gt;"SIM",AH290="UH"),"AA","INDENIZAÇÃO")</f>
        <v>AA</v>
      </c>
      <c r="BJ290" s="98" t="str">
        <f>IF(AND(BD290&lt;&gt;"AGUARDANDO",BD290&lt;&gt;"",N290="AUXÍLIO ALUGUEL ATÉ INDENIZAÇÃO"),"SIM","NÃO")</f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customHeight="1" x14ac:dyDescent="0.25">
      <c r="A291" s="207">
        <v>287</v>
      </c>
      <c r="B291" s="197" t="s">
        <v>4396</v>
      </c>
      <c r="C291" s="207" t="s">
        <v>4452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4441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4432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>IF(AQ291="SIM","AGUARDANDO CORREÇÃO",IF(AP291&lt;&gt;"","FINALIZADO",IF(AO291&lt;&gt;"","AGUARDANDO ENVIO DTS",IF(AN291&lt;&gt;"","AGUARDANDO ASSINATURA GAB",IF(AM291&lt;&gt;"","AGUARDANDO ASSINATURA CTS",IF(AL291&lt;&gt;"","AGUARDANDO ENVIO ASSINATURA CTS",IF(AK291&lt;&gt;"","AGUARDANDO CONFERÊNCIA","")))))))</f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>IFERROR(IF(BD291-KI291=0,"",BD291-AK291),"")</f>
        <v>63</v>
      </c>
      <c r="BI291" s="98" t="str">
        <f>IF(AND(AH291&lt;&gt;"SIM",AH291="UH"),"AA","INDENIZAÇÃO")</f>
        <v>INDENIZAÇÃO</v>
      </c>
      <c r="BJ291" s="98" t="str">
        <f>IF(AND(BD291&lt;&gt;"AGUARDANDO",BD291&lt;&gt;"",N291="AUXÍLIO ALUGUEL ATÉ INDENIZAÇÃO"),"SIM","NÃO")</f>
        <v>NÃO</v>
      </c>
      <c r="BK291" s="230" t="s">
        <v>4436</v>
      </c>
      <c r="BL291" s="230" t="s">
        <v>4436</v>
      </c>
      <c r="BM291" s="230" t="s">
        <v>4436</v>
      </c>
      <c r="BN291" s="265" t="s">
        <v>4956</v>
      </c>
      <c r="BO291" s="265"/>
      <c r="BP291" s="265"/>
      <c r="BQ291" s="265"/>
      <c r="BR291" s="231"/>
    </row>
    <row r="292" spans="1:80" s="240" customFormat="1" ht="27" customHeight="1" x14ac:dyDescent="0.25">
      <c r="A292" s="207">
        <v>288</v>
      </c>
      <c r="B292" s="197" t="s">
        <v>4396</v>
      </c>
      <c r="C292" s="207" t="s">
        <v>4452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4441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4432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>IF(AQ292="SIM","AGUARDANDO CORREÇÃO",IF(AP292&lt;&gt;"","FINALIZADO",IF(AO292&lt;&gt;"","AGUARDANDO ENVIO DTS",IF(AN292&lt;&gt;"","AGUARDANDO ASSINATURA GAB",IF(AM292&lt;&gt;"","AGUARDANDO ASSINATURA CTS",IF(AL292&lt;&gt;"","AGUARDANDO ENVIO ASSINATURA CTS",IF(AK292&lt;&gt;"","AGUARDANDO CONFERÊNCIA","")))))))</f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>IFERROR(IF(BD292-KI292=0,"",BD292-AK292),"")</f>
        <v>14</v>
      </c>
      <c r="BI292" s="98" t="str">
        <f>IF(AND(AH292&lt;&gt;"SIM",AH292="UH"),"AA","INDENIZAÇÃO")</f>
        <v>INDENIZAÇÃO</v>
      </c>
      <c r="BJ292" s="98" t="str">
        <f>IF(AND(BD292&lt;&gt;"AGUARDANDO",BD292&lt;&gt;"",N292="AUXÍLIO ALUGUEL ATÉ INDENIZAÇÃO"),"SIM","NÃO")</f>
        <v>NÃO</v>
      </c>
      <c r="BK292" s="230" t="s">
        <v>4436</v>
      </c>
      <c r="BL292" s="230" t="s">
        <v>4436</v>
      </c>
      <c r="BM292" s="230" t="s">
        <v>4436</v>
      </c>
      <c r="BN292" s="265" t="s">
        <v>4956</v>
      </c>
      <c r="BO292" s="265"/>
      <c r="BP292" s="265"/>
      <c r="BQ292" s="265"/>
      <c r="BR292" s="231"/>
    </row>
    <row r="293" spans="1:80" s="240" customFormat="1" ht="27" hidden="1" customHeight="1" x14ac:dyDescent="0.25">
      <c r="A293" s="207">
        <v>289</v>
      </c>
      <c r="B293" s="197" t="s">
        <v>4396</v>
      </c>
      <c r="C293" s="207" t="s">
        <v>4452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>IF(AQ293="SIM","AGUARDANDO CORREÇÃO",IF(AP293&lt;&gt;"","FINALIZADO",IF(AO293&lt;&gt;"","AGUARDANDO ENVIO DTS",IF(AN293&lt;&gt;"","AGUARDANDO ASSINATURA GAB",IF(AM293&lt;&gt;"","AGUARDANDO ASSINATURA CTS",IF(AL293&lt;&gt;"","AGUARDANDO ENVIO ASSINATURA CTS",IF(AK293&lt;&gt;"","AGUARDANDO CONFERÊNCIA","")))))))</f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>IFERROR(IF(BD293-KI293=0,"",BD293-AK293),"")</f>
        <v/>
      </c>
      <c r="BI293" s="98" t="str">
        <f>IF(AND(AH293&lt;&gt;"SIM",AH293="UH"),"AA","INDENIZAÇÃO")</f>
        <v>AA</v>
      </c>
      <c r="BJ293" s="98" t="str">
        <f>IF(AND(BD293&lt;&gt;"AGUARDANDO",BD293&lt;&gt;"",N293="AUXÍLIO ALUGUEL ATÉ INDENIZAÇÃO"),"SIM","NÃO")</f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hidden="1" customHeight="1" x14ac:dyDescent="0.25">
      <c r="A294" s="197">
        <v>290</v>
      </c>
      <c r="B294" s="197" t="s">
        <v>4396</v>
      </c>
      <c r="C294" s="207" t="s">
        <v>4452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>IF(AQ294="SIM","AGUARDANDO CORREÇÃO",IF(AP294&lt;&gt;"","FINALIZADO",IF(AO294&lt;&gt;"","AGUARDANDO ENVIO DTS",IF(AN294&lt;&gt;"","AGUARDANDO ASSINATURA GAB",IF(AM294&lt;&gt;"","AGUARDANDO ASSINATURA CTS",IF(AL294&lt;&gt;"","AGUARDANDO ENVIO ASSINATURA CTS",IF(AK294&lt;&gt;"","AGUARDANDO CONFERÊNCIA","")))))))</f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>IFERROR(IF(BD294-KI294=0,"",BD294-AK294),"")</f>
        <v/>
      </c>
      <c r="BI294" s="98" t="str">
        <f>IF(AND(AH294&lt;&gt;"SIM",AH294="UH"),"AA","INDENIZAÇÃO")</f>
        <v>AA</v>
      </c>
      <c r="BJ294" s="98" t="str">
        <f>IF(AND(BD294&lt;&gt;"AGUARDANDO",BD294&lt;&gt;"",N294="AUXÍLIO ALUGUEL ATÉ INDENIZAÇÃO"),"SIM","NÃO")</f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 x14ac:dyDescent="0.25">
      <c r="A295" s="197">
        <v>291</v>
      </c>
      <c r="B295" s="197" t="s">
        <v>4396</v>
      </c>
      <c r="C295" s="207" t="s">
        <v>4452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>IF(AQ295="SIM","AGUARDANDO CORREÇÃO",IF(AP295&lt;&gt;"","FINALIZADO",IF(AO295&lt;&gt;"","AGUARDANDO ENVIO DTS",IF(AN295&lt;&gt;"","AGUARDANDO ASSINATURA GAB",IF(AM295&lt;&gt;"","AGUARDANDO ASSINATURA CTS",IF(AL295&lt;&gt;"","AGUARDANDO ENVIO ASSINATURA CTS",IF(AK295&lt;&gt;"","AGUARDANDO CONFERÊNCIA","")))))))</f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>IFERROR(IF(BD295-KI295=0,"",BD295-AK295),"")</f>
        <v/>
      </c>
      <c r="BI295" s="98" t="str">
        <f>IF(AND(AH295&lt;&gt;"SIM",AH295="UH"),"AA","INDENIZAÇÃO")</f>
        <v>AA</v>
      </c>
      <c r="BJ295" s="98" t="str">
        <f>IF(AND(BD295&lt;&gt;"AGUARDANDO",BD295&lt;&gt;"",N295="AUXÍLIO ALUGUEL ATÉ INDENIZAÇÃO"),"SIM","NÃO")</f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customHeight="1" x14ac:dyDescent="0.25">
      <c r="A296" s="207">
        <v>292</v>
      </c>
      <c r="B296" s="197" t="s">
        <v>4396</v>
      </c>
      <c r="C296" s="250" t="s">
        <v>4452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4921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4432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>IF(AQ296="SIM","AGUARDANDO CORREÇÃO",IF(AP296&lt;&gt;"","FINALIZADO",IF(AO296&lt;&gt;"","AGUARDANDO ENVIO DTS",IF(AN296&lt;&gt;"","AGUARDANDO ASSINATURA GAB",IF(AM296&lt;&gt;"","AGUARDANDO ASSINATURA CTS",IF(AL296&lt;&gt;"","AGUARDANDO ENVIO ASSINATURA CTS",IF(AK296&lt;&gt;"","AGUARDANDO CONFERÊNCIA","")))))))</f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4761</v>
      </c>
      <c r="BG296" s="229" t="s">
        <v>4425</v>
      </c>
      <c r="BH296" s="321">
        <f>IFERROR(IF(BD296-KI296=0,"",BD296-AK296),"")</f>
        <v>147</v>
      </c>
      <c r="BI296" s="98" t="str">
        <f>IF(AND(AH296&lt;&gt;"SIM",AH296="UH"),"AA","INDENIZAÇÃO")</f>
        <v>INDENIZAÇÃO</v>
      </c>
      <c r="BJ296" s="98" t="str">
        <f>IF(AND(BD296&lt;&gt;"AGUARDANDO",BD296&lt;&gt;"",N296="AUXÍLIO ALUGUEL ATÉ INDENIZAÇÃO"),"SIM","NÃO")</f>
        <v>NÃO</v>
      </c>
      <c r="BK296" s="230" t="s">
        <v>4436</v>
      </c>
      <c r="BL296" s="230" t="s">
        <v>4436</v>
      </c>
      <c r="BM296" s="230" t="s">
        <v>4436</v>
      </c>
      <c r="BN296" s="265" t="s">
        <v>4956</v>
      </c>
      <c r="BO296" s="265"/>
      <c r="BP296" s="265"/>
      <c r="BQ296" s="265"/>
      <c r="BR296" s="231"/>
    </row>
    <row r="297" spans="1:80" s="240" customFormat="1" ht="27" customHeight="1" x14ac:dyDescent="0.25">
      <c r="A297" s="207">
        <v>293</v>
      </c>
      <c r="B297" s="197" t="s">
        <v>4396</v>
      </c>
      <c r="C297" s="207" t="s">
        <v>4452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4441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4432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>IF(AQ297="SIM","AGUARDANDO CORREÇÃO",IF(AP297&lt;&gt;"","FINALIZADO",IF(AO297&lt;&gt;"","AGUARDANDO ENVIO DTS",IF(AN297&lt;&gt;"","AGUARDANDO ASSINATURA GAB",IF(AM297&lt;&gt;"","AGUARDANDO ASSINATURA CTS",IF(AL297&lt;&gt;"","AGUARDANDO ENVIO ASSINATURA CTS",IF(AK297&lt;&gt;"","AGUARDANDO CONFERÊNCIA","")))))))</f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>IFERROR(IF(BD297-KI297=0,"",BD297-AK297),"")</f>
        <v>25</v>
      </c>
      <c r="BI297" s="98" t="str">
        <f>IF(AND(AH297&lt;&gt;"SIM",AH297="UH"),"AA","INDENIZAÇÃO")</f>
        <v>INDENIZAÇÃO</v>
      </c>
      <c r="BJ297" s="98" t="str">
        <f>IF(AND(BD297&lt;&gt;"AGUARDANDO",BD297&lt;&gt;"",N297="AUXÍLIO ALUGUEL ATÉ INDENIZAÇÃO"),"SIM","NÃO")</f>
        <v>NÃO</v>
      </c>
      <c r="BK297" s="230" t="s">
        <v>4436</v>
      </c>
      <c r="BL297" s="230" t="s">
        <v>4436</v>
      </c>
      <c r="BM297" s="230" t="s">
        <v>4436</v>
      </c>
      <c r="BN297" s="265" t="s">
        <v>4956</v>
      </c>
      <c r="BO297" s="265"/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customHeight="1" x14ac:dyDescent="0.25">
      <c r="A298" s="207">
        <v>294</v>
      </c>
      <c r="B298" s="197" t="s">
        <v>4396</v>
      </c>
      <c r="C298" s="207" t="s">
        <v>4452</v>
      </c>
      <c r="D298" s="207">
        <v>1</v>
      </c>
      <c r="E298" s="207" t="s">
        <v>4398</v>
      </c>
      <c r="F298" s="214" t="s">
        <v>5698</v>
      </c>
      <c r="G298" s="207" t="s">
        <v>4545</v>
      </c>
      <c r="H298" s="207" t="s">
        <v>4545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4441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4432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>IF(AQ298="SIM","AGUARDANDO CORREÇÃO",IF(AP298&lt;&gt;"","FINALIZADO",IF(AO298&lt;&gt;"","AGUARDANDO ENVIO DTS",IF(AN298&lt;&gt;"","AGUARDANDO ASSINATURA GAB",IF(AM298&lt;&gt;"","AGUARDANDO ASSINATURA CTS",IF(AL298&lt;&gt;"","AGUARDANDO ENVIO ASSINATURA CTS",IF(AK298&lt;&gt;"","AGUARDANDO CONFERÊNCIA","")))))))</f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4434</v>
      </c>
      <c r="BF298" s="245" t="s">
        <v>4435</v>
      </c>
      <c r="BG298" s="229" t="s">
        <v>4425</v>
      </c>
      <c r="BH298" s="321">
        <f>IFERROR(IF(BD298-KI298=0,"",BD298-AK298),"")</f>
        <v>147</v>
      </c>
      <c r="BI298" s="98" t="str">
        <f>IF(AND(AH298&lt;&gt;"SIM",AH298="UH"),"AA","INDENIZAÇÃO")</f>
        <v>INDENIZAÇÃO</v>
      </c>
      <c r="BJ298" s="98" t="str">
        <f>IF(AND(BD298&lt;&gt;"AGUARDANDO",BD298&lt;&gt;"",N298="AUXÍLIO ALUGUEL ATÉ INDENIZAÇÃO"),"SIM","NÃO")</f>
        <v>NÃO</v>
      </c>
      <c r="BK298" s="230" t="s">
        <v>4436</v>
      </c>
      <c r="BL298" s="230" t="s">
        <v>4436</v>
      </c>
      <c r="BM298" s="230" t="s">
        <v>4436</v>
      </c>
      <c r="BN298" s="265" t="s">
        <v>4956</v>
      </c>
      <c r="BO298" s="265"/>
      <c r="BP298" s="265"/>
      <c r="BQ298" s="265"/>
      <c r="BR298" s="231"/>
    </row>
    <row r="299" spans="1:80" s="240" customFormat="1" ht="27" customHeight="1" x14ac:dyDescent="0.25">
      <c r="A299" s="197">
        <v>295</v>
      </c>
      <c r="B299" s="197" t="s">
        <v>4396</v>
      </c>
      <c r="C299" s="207" t="s">
        <v>4452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4441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4439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4432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>IF(AQ299="SIM","AGUARDANDO CORREÇÃO",IF(AP299&lt;&gt;"","FINALIZADO",IF(AO299&lt;&gt;"","AGUARDANDO ENVIO DTS",IF(AN299&lt;&gt;"","AGUARDANDO ASSINATURA GAB",IF(AM299&lt;&gt;"","AGUARDANDO ASSINATURA CTS",IF(AL299&lt;&gt;"","AGUARDANDO ENVIO ASSINATURA CTS",IF(AK299&lt;&gt;"","AGUARDANDO CONFERÊNCIA","")))))))</f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>IFERROR(IF(BD299-KI299=0,"",BD299-AK299),"")</f>
        <v>58</v>
      </c>
      <c r="BI299" s="98" t="str">
        <f>IF(AND(AH299&lt;&gt;"SIM",AH299="UH"),"AA","INDENIZAÇÃO")</f>
        <v>INDENIZAÇÃO</v>
      </c>
      <c r="BJ299" s="98" t="str">
        <f>IF(AND(BD299&lt;&gt;"AGUARDANDO",BD299&lt;&gt;"",N299="AUXÍLIO ALUGUEL ATÉ INDENIZAÇÃO"),"SIM","NÃO")</f>
        <v>NÃO</v>
      </c>
      <c r="BK299" s="230" t="s">
        <v>4436</v>
      </c>
      <c r="BL299" s="230" t="s">
        <v>4436</v>
      </c>
      <c r="BM299" s="230" t="s">
        <v>4436</v>
      </c>
      <c r="BN299" s="265" t="s">
        <v>4956</v>
      </c>
      <c r="BO299" s="265"/>
      <c r="BP299" s="265"/>
      <c r="BQ299" s="265"/>
      <c r="BR299" s="231"/>
    </row>
    <row r="300" spans="1:80" s="240" customFormat="1" ht="27" customHeight="1" x14ac:dyDescent="0.25">
      <c r="A300" s="197">
        <v>296</v>
      </c>
      <c r="B300" s="197" t="s">
        <v>4396</v>
      </c>
      <c r="C300" s="207" t="s">
        <v>4452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4921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4432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>IF(AQ300="SIM","AGUARDANDO CORREÇÃO",IF(AP300&lt;&gt;"","FINALIZADO",IF(AO300&lt;&gt;"","AGUARDANDO ENVIO DTS",IF(AN300&lt;&gt;"","AGUARDANDO ASSINATURA GAB",IF(AM300&lt;&gt;"","AGUARDANDO ASSINATURA CTS",IF(AL300&lt;&gt;"","AGUARDANDO ENVIO ASSINATURA CTS",IF(AK300&lt;&gt;"","AGUARDANDO CONFERÊNCIA","")))))))</f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4761</v>
      </c>
      <c r="BG300" s="229" t="s">
        <v>4425</v>
      </c>
      <c r="BH300" s="321">
        <f>IFERROR(IF(BD300-KI300=0,"",BD300-AK300),"")</f>
        <v>18</v>
      </c>
      <c r="BI300" s="98" t="str">
        <f>IF(AND(AH300&lt;&gt;"SIM",AH300="UH"),"AA","INDENIZAÇÃO")</f>
        <v>INDENIZAÇÃO</v>
      </c>
      <c r="BJ300" s="98" t="str">
        <f>IF(AND(BD300&lt;&gt;"AGUARDANDO",BD300&lt;&gt;"",N300="AUXÍLIO ALUGUEL ATÉ INDENIZAÇÃO"),"SIM","NÃO")</f>
        <v>NÃO</v>
      </c>
      <c r="BK300" s="230" t="s">
        <v>4436</v>
      </c>
      <c r="BL300" s="230" t="s">
        <v>4436</v>
      </c>
      <c r="BM300" s="230" t="s">
        <v>4436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4434</v>
      </c>
    </row>
    <row r="301" spans="1:80" s="240" customFormat="1" ht="27" customHeight="1" x14ac:dyDescent="0.25">
      <c r="A301" s="207">
        <v>297</v>
      </c>
      <c r="B301" s="197" t="s">
        <v>4396</v>
      </c>
      <c r="C301" s="207" t="s">
        <v>4452</v>
      </c>
      <c r="D301" s="207">
        <v>1</v>
      </c>
      <c r="E301" s="207" t="s">
        <v>4398</v>
      </c>
      <c r="F301" s="214" t="s">
        <v>5717</v>
      </c>
      <c r="G301" s="207" t="s">
        <v>4545</v>
      </c>
      <c r="H301" s="207" t="s">
        <v>4545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4441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4432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>IF(AQ301="SIM","AGUARDANDO CORREÇÃO",IF(AP301&lt;&gt;"","FINALIZADO",IF(AO301&lt;&gt;"","AGUARDANDO ENVIO DTS",IF(AN301&lt;&gt;"","AGUARDANDO ASSINATURA GAB",IF(AM301&lt;&gt;"","AGUARDANDO ASSINATURA CTS",IF(AL301&lt;&gt;"","AGUARDANDO ENVIO ASSINATURA CTS",IF(AK301&lt;&gt;"","AGUARDANDO CONFERÊNCIA","")))))))</f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4761</v>
      </c>
      <c r="BG301" s="229" t="s">
        <v>4425</v>
      </c>
      <c r="BH301" s="321">
        <f>IFERROR(IF(BD301-KI301=0,"",BD301-AK301),"")</f>
        <v>42</v>
      </c>
      <c r="BI301" s="98" t="str">
        <f>IF(AND(AH301&lt;&gt;"SIM",AH301="UH"),"AA","INDENIZAÇÃO")</f>
        <v>INDENIZAÇÃO</v>
      </c>
      <c r="BJ301" s="98" t="str">
        <f>IF(AND(BD301&lt;&gt;"AGUARDANDO",BD301&lt;&gt;"",N301="AUXÍLIO ALUGUEL ATÉ INDENIZAÇÃO"),"SIM","NÃO")</f>
        <v>NÃO</v>
      </c>
      <c r="BK301" s="230" t="s">
        <v>4436</v>
      </c>
      <c r="BL301" s="230" t="s">
        <v>4436</v>
      </c>
      <c r="BM301" s="230" t="s">
        <v>4436</v>
      </c>
      <c r="BN301" s="265" t="s">
        <v>4956</v>
      </c>
      <c r="BO301" s="265"/>
      <c r="BP301" s="265"/>
      <c r="BQ301" s="265"/>
      <c r="BR301" s="231"/>
    </row>
    <row r="302" spans="1:80" s="240" customFormat="1" ht="27" customHeight="1" x14ac:dyDescent="0.25">
      <c r="A302" s="207">
        <v>298</v>
      </c>
      <c r="B302" s="197" t="s">
        <v>4396</v>
      </c>
      <c r="C302" s="207" t="s">
        <v>4452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4441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4432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>IF(AQ302="SIM","AGUARDANDO CORREÇÃO",IF(AP302&lt;&gt;"","FINALIZADO",IF(AO302&lt;&gt;"","AGUARDANDO ENVIO DTS",IF(AN302&lt;&gt;"","AGUARDANDO ASSINATURA GAB",IF(AM302&lt;&gt;"","AGUARDANDO ASSINATURA CTS",IF(AL302&lt;&gt;"","AGUARDANDO ENVIO ASSINATURA CTS",IF(AK302&lt;&gt;"","AGUARDANDO CONFERÊNCIA","")))))))</f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>IFERROR(IF(BD302-KI302=0,"",BD302-AK302),"")</f>
        <v>25</v>
      </c>
      <c r="BI302" s="98" t="str">
        <f>IF(AND(AH302&lt;&gt;"SIM",AH302="UH"),"AA","INDENIZAÇÃO")</f>
        <v>INDENIZAÇÃO</v>
      </c>
      <c r="BJ302" s="98" t="str">
        <f>IF(AND(BD302&lt;&gt;"AGUARDANDO",BD302&lt;&gt;"",N302="AUXÍLIO ALUGUEL ATÉ INDENIZAÇÃO"),"SIM","NÃO")</f>
        <v>NÃO</v>
      </c>
      <c r="BK302" s="230" t="s">
        <v>4436</v>
      </c>
      <c r="BL302" s="230" t="s">
        <v>4436</v>
      </c>
      <c r="BM302" s="230" t="s">
        <v>4436</v>
      </c>
      <c r="BN302" s="265" t="s">
        <v>4956</v>
      </c>
      <c r="BO302" s="265"/>
      <c r="BP302" s="265"/>
      <c r="BQ302" s="265"/>
      <c r="BR302" s="231"/>
    </row>
    <row r="303" spans="1:80" s="240" customFormat="1" ht="27" customHeight="1" x14ac:dyDescent="0.25">
      <c r="A303" s="207">
        <v>299</v>
      </c>
      <c r="B303" s="197" t="s">
        <v>4396</v>
      </c>
      <c r="C303" s="207" t="s">
        <v>4452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4441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4432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>IF(AQ303="SIM","AGUARDANDO CORREÇÃO",IF(AP303&lt;&gt;"","FINALIZADO",IF(AO303&lt;&gt;"","AGUARDANDO ENVIO DTS",IF(AN303&lt;&gt;"","AGUARDANDO ASSINATURA GAB",IF(AM303&lt;&gt;"","AGUARDANDO ASSINATURA CTS",IF(AL303&lt;&gt;"","AGUARDANDO ENVIO ASSINATURA CTS",IF(AK303&lt;&gt;"","AGUARDANDO CONFERÊNCIA","")))))))</f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>IFERROR(IF(BD303-KI303=0,"",BD303-AK303),"")</f>
        <v>14</v>
      </c>
      <c r="BI303" s="98" t="str">
        <f>IF(AND(AH303&lt;&gt;"SIM",AH303="UH"),"AA","INDENIZAÇÃO")</f>
        <v>INDENIZAÇÃO</v>
      </c>
      <c r="BJ303" s="98" t="str">
        <f>IF(AND(BD303&lt;&gt;"AGUARDANDO",BD303&lt;&gt;"",N303="AUXÍLIO ALUGUEL ATÉ INDENIZAÇÃO"),"SIM","NÃO")</f>
        <v>NÃO</v>
      </c>
      <c r="BK303" s="230" t="s">
        <v>4436</v>
      </c>
      <c r="BL303" s="230" t="s">
        <v>4436</v>
      </c>
      <c r="BM303" s="230" t="s">
        <v>4436</v>
      </c>
      <c r="BN303" s="265" t="s">
        <v>4956</v>
      </c>
      <c r="BO303" s="265"/>
      <c r="BP303" s="265"/>
      <c r="BQ303" s="265"/>
      <c r="BR303" s="231"/>
    </row>
    <row r="304" spans="1:80" s="240" customFormat="1" ht="27" hidden="1" customHeight="1" x14ac:dyDescent="0.25">
      <c r="A304" s="197">
        <v>300</v>
      </c>
      <c r="B304" s="197" t="s">
        <v>4396</v>
      </c>
      <c r="C304" s="207" t="s">
        <v>4452</v>
      </c>
      <c r="D304" s="207">
        <v>1</v>
      </c>
      <c r="E304" s="207" t="s">
        <v>4398</v>
      </c>
      <c r="F304" s="214" t="s">
        <v>5732</v>
      </c>
      <c r="G304" s="207" t="s">
        <v>4400</v>
      </c>
      <c r="H304" s="207" t="s">
        <v>4401</v>
      </c>
      <c r="I304" s="217" t="s">
        <v>4402</v>
      </c>
      <c r="J304" s="215" t="s">
        <v>5733</v>
      </c>
      <c r="K304" s="215" t="s">
        <v>5734</v>
      </c>
      <c r="L304" s="215" t="s">
        <v>5735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5733</v>
      </c>
      <c r="AB304" s="215" t="s">
        <v>5734</v>
      </c>
      <c r="AC304" s="215" t="s">
        <v>5735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>IF(AQ304="SIM","AGUARDANDO CORREÇÃO",IF(AP304&lt;&gt;"","FINALIZADO",IF(AO304&lt;&gt;"","AGUARDANDO ENVIO DTS",IF(AN304&lt;&gt;"","AGUARDANDO ASSINATURA GAB",IF(AM304&lt;&gt;"","AGUARDANDO ASSINATURA CTS",IF(AL304&lt;&gt;"","AGUARDANDO ENVIO ASSINATURA CTS",IF(AK304&lt;&gt;"","AGUARDANDO CONFERÊNCIA","")))))))</f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>IFERROR(IF(BD304-KI304=0,"",BD304-AK304),"")</f>
        <v/>
      </c>
      <c r="BI304" s="98" t="str">
        <f>IF(AND(AH304&lt;&gt;"SIM",AH304="UH"),"AA","INDENIZAÇÃO")</f>
        <v>AA</v>
      </c>
      <c r="BJ304" s="98" t="str">
        <f>IF(AND(BD304&lt;&gt;"AGUARDANDO",BD304&lt;&gt;"",N304="AUXÍLIO ALUGUEL ATÉ INDENIZAÇÃO"),"SIM","NÃO")</f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customHeight="1" x14ac:dyDescent="0.25">
      <c r="A305" s="197">
        <v>301</v>
      </c>
      <c r="B305" s="197" t="s">
        <v>4396</v>
      </c>
      <c r="C305" s="207" t="s">
        <v>4426</v>
      </c>
      <c r="D305" s="207">
        <v>1</v>
      </c>
      <c r="E305" s="207" t="s">
        <v>4398</v>
      </c>
      <c r="F305" s="214" t="s">
        <v>5736</v>
      </c>
      <c r="G305" s="207" t="s">
        <v>4400</v>
      </c>
      <c r="H305" s="207" t="s">
        <v>4401</v>
      </c>
      <c r="I305" s="217" t="s">
        <v>4402</v>
      </c>
      <c r="J305" s="215" t="s">
        <v>5737</v>
      </c>
      <c r="K305" s="215" t="s">
        <v>5738</v>
      </c>
      <c r="L305" s="215" t="s">
        <v>5739</v>
      </c>
      <c r="M305" s="207" t="s">
        <v>4405</v>
      </c>
      <c r="N305" s="207" t="s">
        <v>4441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5737</v>
      </c>
      <c r="AB305" s="214" t="s">
        <v>5738</v>
      </c>
      <c r="AC305" s="214" t="s">
        <v>5739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4432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>IF(AQ305="SIM","AGUARDANDO CORREÇÃO",IF(AP305&lt;&gt;"","FINALIZADO",IF(AO305&lt;&gt;"","AGUARDANDO ENVIO DTS",IF(AN305&lt;&gt;"","AGUARDANDO ASSINATURA GAB",IF(AM305&lt;&gt;"","AGUARDANDO ASSINATURA CTS",IF(AL305&lt;&gt;"","AGUARDANDO ENVIO ASSINATURA CTS",IF(AK305&lt;&gt;"","AGUARDANDO CONFERÊNCIA","")))))))</f>
        <v>FINALIZADO</v>
      </c>
      <c r="AS305" s="207" t="s">
        <v>4423</v>
      </c>
      <c r="AT305" s="207"/>
      <c r="AU305" s="220" t="s">
        <v>5740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4434</v>
      </c>
      <c r="BF305" s="245" t="s">
        <v>4435</v>
      </c>
      <c r="BG305" s="229" t="s">
        <v>4425</v>
      </c>
      <c r="BH305" s="321">
        <f>IFERROR(IF(BD305-KI305=0,"",BD305-AK305),"")</f>
        <v>69</v>
      </c>
      <c r="BI305" s="98" t="str">
        <f>IF(AND(AH305&lt;&gt;"SIM",AH305="UH"),"AA","INDENIZAÇÃO")</f>
        <v>INDENIZAÇÃO</v>
      </c>
      <c r="BJ305" s="98" t="str">
        <f>IF(AND(BD305&lt;&gt;"AGUARDANDO",BD305&lt;&gt;"",N305="AUXÍLIO ALUGUEL ATÉ INDENIZAÇÃO"),"SIM","NÃO")</f>
        <v>NÃO</v>
      </c>
      <c r="BK305" s="230" t="s">
        <v>4436</v>
      </c>
      <c r="BL305" s="230" t="s">
        <v>4436</v>
      </c>
      <c r="BM305" s="230" t="s">
        <v>4436</v>
      </c>
      <c r="BN305" s="265" t="s">
        <v>4956</v>
      </c>
      <c r="BO305" s="265"/>
      <c r="BP305" s="265"/>
      <c r="BQ305" s="265"/>
      <c r="BR305" s="231"/>
    </row>
    <row r="306" spans="1:70" s="240" customFormat="1" ht="27" customHeight="1" x14ac:dyDescent="0.25">
      <c r="A306" s="207">
        <v>302</v>
      </c>
      <c r="B306" s="197" t="s">
        <v>4396</v>
      </c>
      <c r="C306" s="207" t="s">
        <v>4426</v>
      </c>
      <c r="D306" s="207">
        <v>1</v>
      </c>
      <c r="E306" s="207" t="s">
        <v>4398</v>
      </c>
      <c r="F306" s="214" t="s">
        <v>5741</v>
      </c>
      <c r="G306" s="207" t="s">
        <v>4400</v>
      </c>
      <c r="H306" s="207" t="s">
        <v>4401</v>
      </c>
      <c r="I306" s="217" t="s">
        <v>4402</v>
      </c>
      <c r="J306" s="215" t="s">
        <v>5742</v>
      </c>
      <c r="K306" s="215" t="s">
        <v>5743</v>
      </c>
      <c r="L306" s="215" t="s">
        <v>5744</v>
      </c>
      <c r="M306" s="207" t="s">
        <v>4405</v>
      </c>
      <c r="N306" s="207" t="s">
        <v>4441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5742</v>
      </c>
      <c r="AB306" s="214" t="s">
        <v>5743</v>
      </c>
      <c r="AC306" s="214" t="s">
        <v>5744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4432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>IF(AQ306="SIM","AGUARDANDO CORREÇÃO",IF(AP306&lt;&gt;"","FINALIZADO",IF(AO306&lt;&gt;"","AGUARDANDO ENVIO DTS",IF(AN306&lt;&gt;"","AGUARDANDO ASSINATURA GAB",IF(AM306&lt;&gt;"","AGUARDANDO ASSINATURA CTS",IF(AL306&lt;&gt;"","AGUARDANDO ENVIO ASSINATURA CTS",IF(AK306&lt;&gt;"","AGUARDANDO CONFERÊNCIA","")))))))</f>
        <v>FINALIZADO</v>
      </c>
      <c r="AS306" s="207" t="s">
        <v>4423</v>
      </c>
      <c r="AT306" s="207"/>
      <c r="AU306" s="220" t="s">
        <v>5745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4434</v>
      </c>
      <c r="BF306" s="228" t="s">
        <v>4435</v>
      </c>
      <c r="BG306" s="229" t="s">
        <v>4425</v>
      </c>
      <c r="BH306" s="321">
        <f>IFERROR(IF(BD306-KI306=0,"",BD306-AK306),"")</f>
        <v>23</v>
      </c>
      <c r="BI306" s="98" t="str">
        <f>IF(AND(AH306&lt;&gt;"SIM",AH306="UH"),"AA","INDENIZAÇÃO")</f>
        <v>INDENIZAÇÃO</v>
      </c>
      <c r="BJ306" s="98" t="str">
        <f>IF(AND(BD306&lt;&gt;"AGUARDANDO",BD306&lt;&gt;"",N306="AUXÍLIO ALUGUEL ATÉ INDENIZAÇÃO"),"SIM","NÃO")</f>
        <v>NÃO</v>
      </c>
      <c r="BK306" s="230" t="s">
        <v>4436</v>
      </c>
      <c r="BL306" s="230" t="s">
        <v>4436</v>
      </c>
      <c r="BM306" s="230" t="s">
        <v>4436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4434</v>
      </c>
    </row>
    <row r="307" spans="1:70" s="240" customFormat="1" ht="27" customHeight="1" x14ac:dyDescent="0.25">
      <c r="A307" s="207">
        <v>303</v>
      </c>
      <c r="B307" s="197" t="s">
        <v>4396</v>
      </c>
      <c r="C307" s="207" t="s">
        <v>4426</v>
      </c>
      <c r="D307" s="207">
        <v>1</v>
      </c>
      <c r="E307" s="207" t="s">
        <v>4398</v>
      </c>
      <c r="F307" s="214" t="s">
        <v>5746</v>
      </c>
      <c r="G307" s="207" t="s">
        <v>4400</v>
      </c>
      <c r="H307" s="207" t="s">
        <v>4401</v>
      </c>
      <c r="I307" s="217" t="s">
        <v>4402</v>
      </c>
      <c r="J307" s="215" t="s">
        <v>5747</v>
      </c>
      <c r="K307" s="215" t="s">
        <v>5748</v>
      </c>
      <c r="L307" s="215" t="s">
        <v>5749</v>
      </c>
      <c r="M307" s="207" t="s">
        <v>4405</v>
      </c>
      <c r="N307" s="207" t="s">
        <v>4441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5747</v>
      </c>
      <c r="AB307" s="214" t="s">
        <v>4398</v>
      </c>
      <c r="AC307" s="214" t="s">
        <v>5749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4432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>IF(AQ307="SIM","AGUARDANDO CORREÇÃO",IF(AP307&lt;&gt;"","FINALIZADO",IF(AO307&lt;&gt;"","AGUARDANDO ENVIO DTS",IF(AN307&lt;&gt;"","AGUARDANDO ASSINATURA GAB",IF(AM307&lt;&gt;"","AGUARDANDO ASSINATURA CTS",IF(AL307&lt;&gt;"","AGUARDANDO ENVIO ASSINATURA CTS",IF(AK307&lt;&gt;"","AGUARDANDO CONFERÊNCIA","")))))))</f>
        <v>FINALIZADO</v>
      </c>
      <c r="AS307" s="207" t="s">
        <v>4423</v>
      </c>
      <c r="AT307" s="207"/>
      <c r="AU307" s="220" t="s">
        <v>5750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4434</v>
      </c>
      <c r="BF307" s="228" t="s">
        <v>4435</v>
      </c>
      <c r="BG307" s="229" t="s">
        <v>4425</v>
      </c>
      <c r="BH307" s="321">
        <f>IFERROR(IF(BD307-KI307=0,"",BD307-AK307),"")</f>
        <v>38</v>
      </c>
      <c r="BI307" s="98" t="str">
        <f>IF(AND(AH307&lt;&gt;"SIM",AH307="UH"),"AA","INDENIZAÇÃO")</f>
        <v>INDENIZAÇÃO</v>
      </c>
      <c r="BJ307" s="98" t="str">
        <f>IF(AND(BD307&lt;&gt;"AGUARDANDO",BD307&lt;&gt;"",N307="AUXÍLIO ALUGUEL ATÉ INDENIZAÇÃO"),"SIM","NÃO")</f>
        <v>NÃO</v>
      </c>
      <c r="BK307" s="230" t="s">
        <v>4436</v>
      </c>
      <c r="BL307" s="230" t="s">
        <v>4436</v>
      </c>
      <c r="BM307" s="230" t="s">
        <v>4436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4434</v>
      </c>
    </row>
    <row r="308" spans="1:70" s="240" customFormat="1" ht="27" customHeight="1" x14ac:dyDescent="0.25">
      <c r="A308" s="207">
        <v>304</v>
      </c>
      <c r="B308" s="197" t="s">
        <v>4396</v>
      </c>
      <c r="C308" s="207" t="s">
        <v>4426</v>
      </c>
      <c r="D308" s="207">
        <v>1</v>
      </c>
      <c r="E308" s="207" t="s">
        <v>4398</v>
      </c>
      <c r="F308" s="214" t="s">
        <v>5751</v>
      </c>
      <c r="G308" s="207" t="s">
        <v>4400</v>
      </c>
      <c r="H308" s="207" t="s">
        <v>4401</v>
      </c>
      <c r="I308" s="217" t="s">
        <v>4402</v>
      </c>
      <c r="J308" s="215" t="s">
        <v>5752</v>
      </c>
      <c r="K308" s="215" t="s">
        <v>5753</v>
      </c>
      <c r="L308" s="215" t="s">
        <v>5754</v>
      </c>
      <c r="M308" s="207" t="s">
        <v>4405</v>
      </c>
      <c r="N308" s="207" t="s">
        <v>4441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5752</v>
      </c>
      <c r="AB308" s="214" t="s">
        <v>5753</v>
      </c>
      <c r="AC308" s="214" t="s">
        <v>5754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4432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>IF(AQ308="SIM","AGUARDANDO CORREÇÃO",IF(AP308&lt;&gt;"","FINALIZADO",IF(AO308&lt;&gt;"","AGUARDANDO ENVIO DTS",IF(AN308&lt;&gt;"","AGUARDANDO ASSINATURA GAB",IF(AM308&lt;&gt;"","AGUARDANDO ASSINATURA CTS",IF(AL308&lt;&gt;"","AGUARDANDO ENVIO ASSINATURA CTS",IF(AK308&lt;&gt;"","AGUARDANDO CONFERÊNCIA","")))))))</f>
        <v>FINALIZADO</v>
      </c>
      <c r="AS308" s="207" t="s">
        <v>4423</v>
      </c>
      <c r="AT308" s="207"/>
      <c r="AU308" s="220" t="s">
        <v>5755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4434</v>
      </c>
      <c r="BF308" s="228" t="s">
        <v>4435</v>
      </c>
      <c r="BG308" s="229" t="s">
        <v>4425</v>
      </c>
      <c r="BH308" s="321">
        <f>IFERROR(IF(BD308-KI308=0,"",BD308-AK308),"")</f>
        <v>35</v>
      </c>
      <c r="BI308" s="98" t="str">
        <f>IF(AND(AH308&lt;&gt;"SIM",AH308="UH"),"AA","INDENIZAÇÃO")</f>
        <v>INDENIZAÇÃO</v>
      </c>
      <c r="BJ308" s="98" t="str">
        <f>IF(AND(BD308&lt;&gt;"AGUARDANDO",BD308&lt;&gt;"",N308="AUXÍLIO ALUGUEL ATÉ INDENIZAÇÃO"),"SIM","NÃO")</f>
        <v>NÃO</v>
      </c>
      <c r="BK308" s="230" t="s">
        <v>4436</v>
      </c>
      <c r="BL308" s="230" t="s">
        <v>4436</v>
      </c>
      <c r="BM308" s="230" t="s">
        <v>4436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4434</v>
      </c>
    </row>
    <row r="309" spans="1:70" s="240" customFormat="1" ht="27" hidden="1" customHeight="1" x14ac:dyDescent="0.25">
      <c r="A309" s="197">
        <v>305</v>
      </c>
      <c r="B309" s="197" t="s">
        <v>4396</v>
      </c>
      <c r="C309" s="207" t="s">
        <v>4426</v>
      </c>
      <c r="D309" s="207">
        <v>1</v>
      </c>
      <c r="E309" s="207" t="s">
        <v>4398</v>
      </c>
      <c r="F309" s="214" t="s">
        <v>5756</v>
      </c>
      <c r="G309" s="207" t="s">
        <v>4400</v>
      </c>
      <c r="H309" s="207" t="s">
        <v>4401</v>
      </c>
      <c r="I309" s="217" t="s">
        <v>4402</v>
      </c>
      <c r="J309" s="215" t="s">
        <v>5757</v>
      </c>
      <c r="K309" s="215" t="s">
        <v>5758</v>
      </c>
      <c r="L309" s="215" t="s">
        <v>5759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5757</v>
      </c>
      <c r="AB309" s="214" t="s">
        <v>5758</v>
      </c>
      <c r="AC309" s="214" t="s">
        <v>5759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>IF(AQ309="SIM","AGUARDANDO CORREÇÃO",IF(AP309&lt;&gt;"","FINALIZADO",IF(AO309&lt;&gt;"","AGUARDANDO ENVIO DTS",IF(AN309&lt;&gt;"","AGUARDANDO ASSINATURA GAB",IF(AM309&lt;&gt;"","AGUARDANDO ASSINATURA CTS",IF(AL309&lt;&gt;"","AGUARDANDO ENVIO ASSINATURA CTS",IF(AK309&lt;&gt;"","AGUARDANDO CONFERÊNCIA","")))))))</f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>IFERROR(IF(BD309-KI309=0,"",BD309-AK309),"")</f>
        <v/>
      </c>
      <c r="BI309" s="98" t="str">
        <f>IF(AND(AH309&lt;&gt;"SIM",AH309="UH"),"AA","INDENIZAÇÃO")</f>
        <v>AA</v>
      </c>
      <c r="BJ309" s="98" t="str">
        <f>IF(AND(BD309&lt;&gt;"AGUARDANDO",BD309&lt;&gt;"",N309="AUXÍLIO ALUGUEL ATÉ INDENIZAÇÃO"),"SIM","NÃO")</f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hidden="1" customHeight="1" x14ac:dyDescent="0.25">
      <c r="A310" s="197">
        <v>306</v>
      </c>
      <c r="B310" s="197" t="s">
        <v>4396</v>
      </c>
      <c r="C310" s="207" t="s">
        <v>4426</v>
      </c>
      <c r="D310" s="207">
        <v>1</v>
      </c>
      <c r="E310" s="207" t="s">
        <v>4398</v>
      </c>
      <c r="F310" s="214" t="s">
        <v>5760</v>
      </c>
      <c r="G310" s="207" t="s">
        <v>4400</v>
      </c>
      <c r="H310" s="207" t="s">
        <v>4401</v>
      </c>
      <c r="I310" s="217" t="s">
        <v>4402</v>
      </c>
      <c r="J310" s="215" t="s">
        <v>5761</v>
      </c>
      <c r="K310" s="215" t="s">
        <v>5762</v>
      </c>
      <c r="L310" s="215" t="s">
        <v>5763</v>
      </c>
      <c r="M310" s="207" t="s">
        <v>4405</v>
      </c>
      <c r="N310" s="207" t="s">
        <v>4441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5761</v>
      </c>
      <c r="AB310" s="215" t="s">
        <v>5762</v>
      </c>
      <c r="AC310" s="215" t="s">
        <v>5763</v>
      </c>
      <c r="AD310" s="207" t="s">
        <v>4402</v>
      </c>
      <c r="AE310" s="207" t="s">
        <v>4405</v>
      </c>
      <c r="AF310" s="243"/>
      <c r="AG310" s="243"/>
      <c r="AH310" s="207"/>
      <c r="AI310" s="214" t="s">
        <v>4411</v>
      </c>
      <c r="AJ310" s="207"/>
      <c r="AK310" s="316"/>
      <c r="AL310" s="316"/>
      <c r="AM310" s="316"/>
      <c r="AN310" s="316"/>
      <c r="AO310" s="316"/>
      <c r="AP310" s="316"/>
      <c r="AQ310" s="314"/>
      <c r="AR310" s="315" t="str">
        <f>IF(AQ310="SIM","AGUARDANDO CORREÇÃO",IF(AP310&lt;&gt;"","FINALIZADO",IF(AO310&lt;&gt;"","AGUARDANDO ENVIO DTS",IF(AN310&lt;&gt;"","AGUARDANDO ASSINATURA GAB",IF(AM310&lt;&gt;"","AGUARDANDO ASSINATURA CTS",IF(AL310&lt;&gt;"","AGUARDANDO ENVIO ASSINATURA CTS",IF(AK310&lt;&gt;"","AGUARDANDO CONFERÊNCIA","")))))))</f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>IFERROR(IF(BD310-KI310=0,"",BD310-AK310),"")</f>
        <v/>
      </c>
      <c r="BI310" s="98" t="str">
        <f>IF(AND(AH310&lt;&gt;"SIM",AH310="UH"),"AA","INDENIZAÇÃO")</f>
        <v>INDENIZAÇÃO</v>
      </c>
      <c r="BJ310" s="98" t="str">
        <f>IF(AND(BD310&lt;&gt;"AGUARDANDO",BD310&lt;&gt;"",N310="AUXÍLIO ALUGUEL ATÉ INDENIZAÇÃO"),"SIM","NÃO")</f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 x14ac:dyDescent="0.25">
      <c r="A311" s="207">
        <v>307</v>
      </c>
      <c r="B311" s="197" t="s">
        <v>4396</v>
      </c>
      <c r="C311" s="207" t="s">
        <v>4426</v>
      </c>
      <c r="D311" s="207">
        <v>1</v>
      </c>
      <c r="E311" s="207" t="s">
        <v>4398</v>
      </c>
      <c r="F311" s="214" t="s">
        <v>5764</v>
      </c>
      <c r="G311" s="207" t="s">
        <v>4400</v>
      </c>
      <c r="H311" s="207" t="s">
        <v>4582</v>
      </c>
      <c r="I311" s="217" t="s">
        <v>4402</v>
      </c>
      <c r="J311" s="215" t="s">
        <v>5765</v>
      </c>
      <c r="K311" s="215" t="s">
        <v>4398</v>
      </c>
      <c r="L311" s="215" t="s">
        <v>5766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5765</v>
      </c>
      <c r="AB311" s="215" t="s">
        <v>4398</v>
      </c>
      <c r="AC311" s="215" t="s">
        <v>5766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>IF(AQ311="SIM","AGUARDANDO CORREÇÃO",IF(AP311&lt;&gt;"","FINALIZADO",IF(AO311&lt;&gt;"","AGUARDANDO ENVIO DTS",IF(AN311&lt;&gt;"","AGUARDANDO ASSINATURA GAB",IF(AM311&lt;&gt;"","AGUARDANDO ASSINATURA CTS",IF(AL311&lt;&gt;"","AGUARDANDO ENVIO ASSINATURA CTS",IF(AK311&lt;&gt;"","AGUARDANDO CONFERÊNCIA","")))))))</f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>IFERROR(IF(BD311-KI311=0,"",BD311-AK311),"")</f>
        <v/>
      </c>
      <c r="BI311" s="98" t="str">
        <f>IF(AND(AH311&lt;&gt;"SIM",AH311="UH"),"AA","INDENIZAÇÃO")</f>
        <v>AA</v>
      </c>
      <c r="BJ311" s="98" t="str">
        <f>IF(AND(BD311&lt;&gt;"AGUARDANDO",BD311&lt;&gt;"",N311="AUXÍLIO ALUGUEL ATÉ INDENIZAÇÃO"),"SIM","NÃO")</f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 x14ac:dyDescent="0.25">
      <c r="A312" s="207">
        <v>308</v>
      </c>
      <c r="B312" s="197" t="s">
        <v>4396</v>
      </c>
      <c r="C312" s="207" t="s">
        <v>4426</v>
      </c>
      <c r="D312" s="207">
        <v>1</v>
      </c>
      <c r="E312" s="207" t="s">
        <v>4398</v>
      </c>
      <c r="F312" s="214" t="s">
        <v>5767</v>
      </c>
      <c r="G312" s="207" t="s">
        <v>4400</v>
      </c>
      <c r="H312" s="207" t="s">
        <v>4401</v>
      </c>
      <c r="I312" s="217" t="s">
        <v>4402</v>
      </c>
      <c r="J312" s="215" t="s">
        <v>5768</v>
      </c>
      <c r="K312" s="215" t="s">
        <v>5769</v>
      </c>
      <c r="L312" s="215" t="s">
        <v>5770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5768</v>
      </c>
      <c r="AB312" s="215" t="s">
        <v>5769</v>
      </c>
      <c r="AC312" s="215" t="s">
        <v>5770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>IF(AQ312="SIM","AGUARDANDO CORREÇÃO",IF(AP312&lt;&gt;"","FINALIZADO",IF(AO312&lt;&gt;"","AGUARDANDO ENVIO DTS",IF(AN312&lt;&gt;"","AGUARDANDO ASSINATURA GAB",IF(AM312&lt;&gt;"","AGUARDANDO ASSINATURA CTS",IF(AL312&lt;&gt;"","AGUARDANDO ENVIO ASSINATURA CTS",IF(AK312&lt;&gt;"","AGUARDANDO CONFERÊNCIA","")))))))</f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>IFERROR(IF(BD312-KI312=0,"",BD312-AK312),"")</f>
        <v/>
      </c>
      <c r="BI312" s="98" t="str">
        <f>IF(AND(AH312&lt;&gt;"SIM",AH312="UH"),"AA","INDENIZAÇÃO")</f>
        <v>AA</v>
      </c>
      <c r="BJ312" s="98" t="str">
        <f>IF(AND(BD312&lt;&gt;"AGUARDANDO",BD312&lt;&gt;"",N312="AUXÍLIO ALUGUEL ATÉ INDENIZAÇÃO"),"SIM","NÃO")</f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customHeight="1" x14ac:dyDescent="0.25">
      <c r="A313" s="207">
        <v>309</v>
      </c>
      <c r="B313" s="197" t="s">
        <v>4396</v>
      </c>
      <c r="C313" s="207" t="s">
        <v>4426</v>
      </c>
      <c r="D313" s="207">
        <v>1</v>
      </c>
      <c r="E313" s="207" t="s">
        <v>4398</v>
      </c>
      <c r="F313" s="214" t="s">
        <v>5771</v>
      </c>
      <c r="G313" s="207" t="s">
        <v>4400</v>
      </c>
      <c r="H313" s="207" t="s">
        <v>4401</v>
      </c>
      <c r="I313" s="217" t="s">
        <v>4402</v>
      </c>
      <c r="J313" s="215" t="s">
        <v>5772</v>
      </c>
      <c r="K313" s="215" t="s">
        <v>5773</v>
      </c>
      <c r="L313" s="215" t="s">
        <v>5774</v>
      </c>
      <c r="M313" s="207" t="s">
        <v>4405</v>
      </c>
      <c r="N313" s="207" t="s">
        <v>4441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5772</v>
      </c>
      <c r="AB313" s="214" t="s">
        <v>5773</v>
      </c>
      <c r="AC313" s="214" t="s">
        <v>5774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4432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>IF(AQ313="SIM","AGUARDANDO CORREÇÃO",IF(AP313&lt;&gt;"","FINALIZADO",IF(AO313&lt;&gt;"","AGUARDANDO ENVIO DTS",IF(AN313&lt;&gt;"","AGUARDANDO ASSINATURA GAB",IF(AM313&lt;&gt;"","AGUARDANDO ASSINATURA CTS",IF(AL313&lt;&gt;"","AGUARDANDO ENVIO ASSINATURA CTS",IF(AK313&lt;&gt;"","AGUARDANDO CONFERÊNCIA","")))))))</f>
        <v>FINALIZADO</v>
      </c>
      <c r="AS313" s="207" t="s">
        <v>4423</v>
      </c>
      <c r="AT313" s="207"/>
      <c r="AU313" s="220" t="s">
        <v>5775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4434</v>
      </c>
      <c r="BF313" s="228" t="s">
        <v>4435</v>
      </c>
      <c r="BG313" s="229" t="s">
        <v>4425</v>
      </c>
      <c r="BH313" s="321">
        <f>IFERROR(IF(BD313-KI313=0,"",BD313-AK313),"")</f>
        <v>63</v>
      </c>
      <c r="BI313" s="98" t="str">
        <f>IF(AND(AH313&lt;&gt;"SIM",AH313="UH"),"AA","INDENIZAÇÃO")</f>
        <v>INDENIZAÇÃO</v>
      </c>
      <c r="BJ313" s="98" t="str">
        <f>IF(AND(BD313&lt;&gt;"AGUARDANDO",BD313&lt;&gt;"",N313="AUXÍLIO ALUGUEL ATÉ INDENIZAÇÃO"),"SIM","NÃO")</f>
        <v>NÃO</v>
      </c>
      <c r="BK313" s="230" t="s">
        <v>4436</v>
      </c>
      <c r="BL313" s="230" t="s">
        <v>4436</v>
      </c>
      <c r="BM313" s="230" t="s">
        <v>4436</v>
      </c>
      <c r="BN313" s="265" t="s">
        <v>4956</v>
      </c>
      <c r="BO313" s="265"/>
      <c r="BP313" s="265"/>
      <c r="BQ313" s="265"/>
      <c r="BR313" s="231"/>
    </row>
    <row r="314" spans="1:70" s="240" customFormat="1" ht="27" hidden="1" customHeight="1" x14ac:dyDescent="0.25">
      <c r="A314" s="197">
        <v>310</v>
      </c>
      <c r="B314" s="197" t="s">
        <v>4396</v>
      </c>
      <c r="C314" s="207" t="s">
        <v>4426</v>
      </c>
      <c r="D314" s="207">
        <v>1</v>
      </c>
      <c r="E314" s="207" t="s">
        <v>4398</v>
      </c>
      <c r="F314" s="214" t="s">
        <v>5776</v>
      </c>
      <c r="G314" s="207" t="s">
        <v>4400</v>
      </c>
      <c r="H314" s="207" t="s">
        <v>4401</v>
      </c>
      <c r="I314" s="217" t="s">
        <v>4402</v>
      </c>
      <c r="J314" s="215" t="s">
        <v>5777</v>
      </c>
      <c r="K314" s="215" t="s">
        <v>4398</v>
      </c>
      <c r="L314" s="215" t="s">
        <v>5778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5777</v>
      </c>
      <c r="AB314" s="215" t="s">
        <v>4398</v>
      </c>
      <c r="AC314" s="215" t="s">
        <v>5778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>IF(AQ314="SIM","AGUARDANDO CORREÇÃO",IF(AP314&lt;&gt;"","FINALIZADO",IF(AO314&lt;&gt;"","AGUARDANDO ENVIO DTS",IF(AN314&lt;&gt;"","AGUARDANDO ASSINATURA GAB",IF(AM314&lt;&gt;"","AGUARDANDO ASSINATURA CTS",IF(AL314&lt;&gt;"","AGUARDANDO ENVIO ASSINATURA CTS",IF(AK314&lt;&gt;"","AGUARDANDO CONFERÊNCIA","")))))))</f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>IFERROR(IF(BD314-KI314=0,"",BD314-AK314),"")</f>
        <v/>
      </c>
      <c r="BI314" s="98" t="str">
        <f>IF(AND(AH314&lt;&gt;"SIM",AH314="UH"),"AA","INDENIZAÇÃO")</f>
        <v>AA</v>
      </c>
      <c r="BJ314" s="98" t="str">
        <f>IF(AND(BD314&lt;&gt;"AGUARDANDO",BD314&lt;&gt;"",N314="AUXÍLIO ALUGUEL ATÉ INDENIZAÇÃO"),"SIM","NÃO")</f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 x14ac:dyDescent="0.25">
      <c r="A315" s="197">
        <v>311</v>
      </c>
      <c r="B315" s="197" t="s">
        <v>4396</v>
      </c>
      <c r="C315" s="207" t="s">
        <v>4426</v>
      </c>
      <c r="D315" s="207">
        <v>1</v>
      </c>
      <c r="E315" s="207" t="s">
        <v>4398</v>
      </c>
      <c r="F315" s="214" t="s">
        <v>5779</v>
      </c>
      <c r="G315" s="207" t="s">
        <v>4400</v>
      </c>
      <c r="H315" s="207" t="s">
        <v>4401</v>
      </c>
      <c r="I315" s="217" t="s">
        <v>4402</v>
      </c>
      <c r="J315" s="215" t="s">
        <v>5780</v>
      </c>
      <c r="K315" s="215" t="s">
        <v>5781</v>
      </c>
      <c r="L315" s="215" t="s">
        <v>5782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5780</v>
      </c>
      <c r="AB315" s="215" t="s">
        <v>5781</v>
      </c>
      <c r="AC315" s="215" t="s">
        <v>5782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>IF(AQ315="SIM","AGUARDANDO CORREÇÃO",IF(AP315&lt;&gt;"","FINALIZADO",IF(AO315&lt;&gt;"","AGUARDANDO ENVIO DTS",IF(AN315&lt;&gt;"","AGUARDANDO ASSINATURA GAB",IF(AM315&lt;&gt;"","AGUARDANDO ASSINATURA CTS",IF(AL315&lt;&gt;"","AGUARDANDO ENVIO ASSINATURA CTS",IF(AK315&lt;&gt;"","AGUARDANDO CONFERÊNCIA","")))))))</f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>IFERROR(IF(BD315-KI315=0,"",BD315-AK315),"")</f>
        <v/>
      </c>
      <c r="BI315" s="98" t="str">
        <f>IF(AND(AH315&lt;&gt;"SIM",AH315="UH"),"AA","INDENIZAÇÃO")</f>
        <v>AA</v>
      </c>
      <c r="BJ315" s="98" t="str">
        <f>IF(AND(BD315&lt;&gt;"AGUARDANDO",BD315&lt;&gt;"",N315="AUXÍLIO ALUGUEL ATÉ INDENIZAÇÃO"),"SIM","NÃO")</f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 x14ac:dyDescent="0.25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5779</v>
      </c>
      <c r="G316" s="207" t="s">
        <v>4400</v>
      </c>
      <c r="H316" s="207" t="s">
        <v>4401</v>
      </c>
      <c r="I316" s="217" t="s">
        <v>4402</v>
      </c>
      <c r="J316" s="215" t="s">
        <v>5783</v>
      </c>
      <c r="K316" s="215" t="s">
        <v>5784</v>
      </c>
      <c r="L316" s="215" t="s">
        <v>5785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5783</v>
      </c>
      <c r="AB316" s="215" t="s">
        <v>5784</v>
      </c>
      <c r="AC316" s="215" t="s">
        <v>5785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>IF(AQ316="SIM","AGUARDANDO CORREÇÃO",IF(AP316&lt;&gt;"","FINALIZADO",IF(AO316&lt;&gt;"","AGUARDANDO ENVIO DTS",IF(AN316&lt;&gt;"","AGUARDANDO ASSINATURA GAB",IF(AM316&lt;&gt;"","AGUARDANDO ASSINATURA CTS",IF(AL316&lt;&gt;"","AGUARDANDO ENVIO ASSINATURA CTS",IF(AK316&lt;&gt;"","AGUARDANDO CONFERÊNCIA","")))))))</f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>IFERROR(IF(BD316-KI316=0,"",BD316-AK316),"")</f>
        <v/>
      </c>
      <c r="BI316" s="98" t="str">
        <f>IF(AND(AH316&lt;&gt;"SIM",AH316="UH"),"AA","INDENIZAÇÃO")</f>
        <v>AA</v>
      </c>
      <c r="BJ316" s="98" t="str">
        <f>IF(AND(BD316&lt;&gt;"AGUARDANDO",BD316&lt;&gt;"",N316="AUXÍLIO ALUGUEL ATÉ INDENIZAÇÃO"),"SIM","NÃO")</f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 x14ac:dyDescent="0.25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5786</v>
      </c>
      <c r="G317" s="207" t="s">
        <v>4400</v>
      </c>
      <c r="H317" s="207" t="s">
        <v>4401</v>
      </c>
      <c r="I317" s="217" t="s">
        <v>4402</v>
      </c>
      <c r="J317" s="215" t="s">
        <v>5787</v>
      </c>
      <c r="K317" s="215" t="s">
        <v>5788</v>
      </c>
      <c r="L317" s="215" t="s">
        <v>5789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5787</v>
      </c>
      <c r="AB317" s="215" t="s">
        <v>5788</v>
      </c>
      <c r="AC317" s="215" t="s">
        <v>5789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>IF(AQ317="SIM","AGUARDANDO CORREÇÃO",IF(AP317&lt;&gt;"","FINALIZADO",IF(AO317&lt;&gt;"","AGUARDANDO ENVIO DTS",IF(AN317&lt;&gt;"","AGUARDANDO ASSINATURA GAB",IF(AM317&lt;&gt;"","AGUARDANDO ASSINATURA CTS",IF(AL317&lt;&gt;"","AGUARDANDO ENVIO ASSINATURA CTS",IF(AK317&lt;&gt;"","AGUARDANDO CONFERÊNCIA","")))))))</f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>IFERROR(IF(BD317-KI317=0,"",BD317-AK317),"")</f>
        <v/>
      </c>
      <c r="BI317" s="98" t="str">
        <f>IF(AND(AH317&lt;&gt;"SIM",AH317="UH"),"AA","INDENIZAÇÃO")</f>
        <v>AA</v>
      </c>
      <c r="BJ317" s="98" t="str">
        <f>IF(AND(BD317&lt;&gt;"AGUARDANDO",BD317&lt;&gt;"",N317="AUXÍLIO ALUGUEL ATÉ INDENIZAÇÃO"),"SIM","NÃO")</f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 x14ac:dyDescent="0.25">
      <c r="A318" s="207">
        <v>314</v>
      </c>
      <c r="B318" s="197" t="s">
        <v>4396</v>
      </c>
      <c r="C318" s="207" t="s">
        <v>4426</v>
      </c>
      <c r="D318" s="207">
        <v>1</v>
      </c>
      <c r="E318" s="207" t="s">
        <v>4398</v>
      </c>
      <c r="F318" s="214" t="s">
        <v>5790</v>
      </c>
      <c r="G318" s="207" t="s">
        <v>4400</v>
      </c>
      <c r="H318" s="207" t="s">
        <v>4401</v>
      </c>
      <c r="I318" s="217" t="s">
        <v>4402</v>
      </c>
      <c r="J318" s="215" t="s">
        <v>5791</v>
      </c>
      <c r="K318" s="215" t="s">
        <v>5792</v>
      </c>
      <c r="L318" s="215" t="s">
        <v>5793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5791</v>
      </c>
      <c r="AB318" s="215" t="s">
        <v>5792</v>
      </c>
      <c r="AC318" s="215" t="s">
        <v>5793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>IF(AQ318="SIM","AGUARDANDO CORREÇÃO",IF(AP318&lt;&gt;"","FINALIZADO",IF(AO318&lt;&gt;"","AGUARDANDO ENVIO DTS",IF(AN318&lt;&gt;"","AGUARDANDO ASSINATURA GAB",IF(AM318&lt;&gt;"","AGUARDANDO ASSINATURA CTS",IF(AL318&lt;&gt;"","AGUARDANDO ENVIO ASSINATURA CTS",IF(AK318&lt;&gt;"","AGUARDANDO CONFERÊNCIA","")))))))</f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>IFERROR(IF(BD318-KI318=0,"",BD318-AK318),"")</f>
        <v/>
      </c>
      <c r="BI318" s="98" t="str">
        <f>IF(AND(AH318&lt;&gt;"SIM",AH318="UH"),"AA","INDENIZAÇÃO")</f>
        <v>AA</v>
      </c>
      <c r="BJ318" s="98" t="str">
        <f>IF(AND(BD318&lt;&gt;"AGUARDANDO",BD318&lt;&gt;"",N318="AUXÍLIO ALUGUEL ATÉ INDENIZAÇÃO"),"SIM","NÃO")</f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customHeight="1" x14ac:dyDescent="0.25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5790</v>
      </c>
      <c r="G319" s="207" t="s">
        <v>4400</v>
      </c>
      <c r="H319" s="207" t="s">
        <v>4401</v>
      </c>
      <c r="I319" s="207" t="s">
        <v>4402</v>
      </c>
      <c r="J319" s="215" t="s">
        <v>5794</v>
      </c>
      <c r="K319" s="215" t="s">
        <v>5795</v>
      </c>
      <c r="L319" s="215" t="s">
        <v>5796</v>
      </c>
      <c r="M319" s="207" t="s">
        <v>4405</v>
      </c>
      <c r="N319" s="207" t="s">
        <v>4441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5794</v>
      </c>
      <c r="AB319" s="215" t="s">
        <v>5795</v>
      </c>
      <c r="AC319" s="215" t="s">
        <v>5796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>IF(AQ319="SIM","AGUARDANDO CORREÇÃO",IF(AP319&lt;&gt;"","FINALIZADO",IF(AO319&lt;&gt;"","AGUARDANDO ENVIO DTS",IF(AN319&lt;&gt;"","AGUARDANDO ASSINATURA GAB",IF(AM319&lt;&gt;"","AGUARDANDO ASSINATURA CTS",IF(AL319&lt;&gt;"","AGUARDANDO ENVIO ASSINATURA CTS",IF(AK319&lt;&gt;"","AGUARDANDO CONFERÊNCIA","")))))))</f>
        <v>FINALIZADO</v>
      </c>
      <c r="AS319" s="207" t="s">
        <v>4423</v>
      </c>
      <c r="AT319" s="207"/>
      <c r="AU319" s="220" t="s">
        <v>5797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4434</v>
      </c>
      <c r="BF319" s="228" t="s">
        <v>4435</v>
      </c>
      <c r="BG319" s="219" t="s">
        <v>4425</v>
      </c>
      <c r="BH319" s="321">
        <f>IFERROR(IF(BD319-KI319=0,"",BD319-AK319),"")</f>
        <v>84</v>
      </c>
      <c r="BI319" s="98" t="str">
        <f>IF(AND(AH319&lt;&gt;"SIM",AH319="UH"),"AA","INDENIZAÇÃO")</f>
        <v>INDENIZAÇÃO</v>
      </c>
      <c r="BJ319" s="98" t="str">
        <f>IF(AND(BD319&lt;&gt;"AGUARDANDO",BD319&lt;&gt;"",N319="AUXÍLIO ALUGUEL ATÉ INDENIZAÇÃO"),"SIM","NÃO")</f>
        <v>NÃO</v>
      </c>
      <c r="BK319" s="219" t="s">
        <v>4436</v>
      </c>
      <c r="BL319" s="219" t="s">
        <v>4436</v>
      </c>
      <c r="BM319" s="219" t="s">
        <v>4436</v>
      </c>
      <c r="BN319" s="257" t="s">
        <v>4956</v>
      </c>
      <c r="BO319" s="257"/>
      <c r="BP319" s="257"/>
      <c r="BQ319" s="257"/>
      <c r="BR319" s="258"/>
    </row>
    <row r="320" spans="1:70" s="240" customFormat="1" ht="27" customHeight="1" x14ac:dyDescent="0.25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5790</v>
      </c>
      <c r="G320" s="207" t="s">
        <v>4400</v>
      </c>
      <c r="H320" s="207" t="s">
        <v>4401</v>
      </c>
      <c r="I320" s="217" t="s">
        <v>4402</v>
      </c>
      <c r="J320" s="215" t="s">
        <v>5798</v>
      </c>
      <c r="K320" s="215" t="s">
        <v>5799</v>
      </c>
      <c r="L320" s="215" t="s">
        <v>5800</v>
      </c>
      <c r="M320" s="207" t="s">
        <v>4405</v>
      </c>
      <c r="N320" s="207" t="s">
        <v>4441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5798</v>
      </c>
      <c r="AB320" s="215" t="s">
        <v>5799</v>
      </c>
      <c r="AC320" s="215" t="s">
        <v>5800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4432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>IF(AQ320="SIM","AGUARDANDO CORREÇÃO",IF(AP320&lt;&gt;"","FINALIZADO",IF(AO320&lt;&gt;"","AGUARDANDO ENVIO DTS",IF(AN320&lt;&gt;"","AGUARDANDO ASSINATURA GAB",IF(AM320&lt;&gt;"","AGUARDANDO ASSINATURA CTS",IF(AL320&lt;&gt;"","AGUARDANDO ENVIO ASSINATURA CTS",IF(AK320&lt;&gt;"","AGUARDANDO CONFERÊNCIA","")))))))</f>
        <v>FINALIZADO</v>
      </c>
      <c r="AS320" s="207" t="s">
        <v>4423</v>
      </c>
      <c r="AT320" s="262"/>
      <c r="AU320" s="220" t="s">
        <v>5801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4434</v>
      </c>
      <c r="BF320" s="228" t="s">
        <v>4435</v>
      </c>
      <c r="BG320" s="229" t="s">
        <v>4425</v>
      </c>
      <c r="BH320" s="321">
        <f>IFERROR(IF(BD320-KI320=0,"",BD320-AK320),"")</f>
        <v>81</v>
      </c>
      <c r="BI320" s="98" t="str">
        <f>IF(AND(AH320&lt;&gt;"SIM",AH320="UH"),"AA","INDENIZAÇÃO")</f>
        <v>INDENIZAÇÃO</v>
      </c>
      <c r="BJ320" s="98" t="str">
        <f>IF(AND(BD320&lt;&gt;"AGUARDANDO",BD320&lt;&gt;"",N320="AUXÍLIO ALUGUEL ATÉ INDENIZAÇÃO"),"SIM","NÃO")</f>
        <v>NÃO</v>
      </c>
      <c r="BK320" s="230" t="s">
        <v>4436</v>
      </c>
      <c r="BL320" s="230" t="s">
        <v>4436</v>
      </c>
      <c r="BM320" s="230" t="s">
        <v>4436</v>
      </c>
      <c r="BN320" s="265" t="s">
        <v>4956</v>
      </c>
      <c r="BO320" s="265"/>
      <c r="BP320" s="265"/>
      <c r="BQ320" s="265"/>
      <c r="BR320" s="231"/>
    </row>
    <row r="321" spans="1:72" s="240" customFormat="1" ht="27" hidden="1" customHeight="1" x14ac:dyDescent="0.25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5802</v>
      </c>
      <c r="G321" s="207" t="s">
        <v>4400</v>
      </c>
      <c r="H321" s="207" t="s">
        <v>4401</v>
      </c>
      <c r="I321" s="217" t="s">
        <v>4402</v>
      </c>
      <c r="J321" s="215" t="s">
        <v>5803</v>
      </c>
      <c r="K321" s="215" t="s">
        <v>4439</v>
      </c>
      <c r="L321" s="215" t="s">
        <v>5804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5803</v>
      </c>
      <c r="AB321" s="215" t="s">
        <v>4439</v>
      </c>
      <c r="AC321" s="215" t="s">
        <v>5804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>IF(AQ321="SIM","AGUARDANDO CORREÇÃO",IF(AP321&lt;&gt;"","FINALIZADO",IF(AO321&lt;&gt;"","AGUARDANDO ENVIO DTS",IF(AN321&lt;&gt;"","AGUARDANDO ASSINATURA GAB",IF(AM321&lt;&gt;"","AGUARDANDO ASSINATURA CTS",IF(AL321&lt;&gt;"","AGUARDANDO ENVIO ASSINATURA CTS",IF(AK321&lt;&gt;"","AGUARDANDO CONFERÊNCIA","")))))))</f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>IFERROR(IF(BD321-KI321=0,"",BD321-AK321),"")</f>
        <v/>
      </c>
      <c r="BI321" s="98" t="str">
        <f>IF(AND(AH321&lt;&gt;"SIM",AH321="UH"),"AA","INDENIZAÇÃO")</f>
        <v>AA</v>
      </c>
      <c r="BJ321" s="98" t="str">
        <f>IF(AND(BD321&lt;&gt;"AGUARDANDO",BD321&lt;&gt;"",N321="AUXÍLIO ALUGUEL ATÉ INDENIZAÇÃO"),"SIM","NÃO")</f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hidden="1" customHeight="1" x14ac:dyDescent="0.25">
      <c r="A322" s="207">
        <v>318</v>
      </c>
      <c r="B322" s="197" t="s">
        <v>4396</v>
      </c>
      <c r="C322" s="207" t="s">
        <v>4426</v>
      </c>
      <c r="D322" s="207">
        <v>1</v>
      </c>
      <c r="E322" s="207" t="s">
        <v>4398</v>
      </c>
      <c r="F322" s="214" t="s">
        <v>5805</v>
      </c>
      <c r="G322" s="207" t="s">
        <v>4400</v>
      </c>
      <c r="H322" s="207" t="s">
        <v>4401</v>
      </c>
      <c r="I322" s="217" t="s">
        <v>4402</v>
      </c>
      <c r="J322" s="215" t="s">
        <v>5806</v>
      </c>
      <c r="K322" s="215" t="s">
        <v>5807</v>
      </c>
      <c r="L322" s="215" t="s">
        <v>5808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5806</v>
      </c>
      <c r="AB322" s="215" t="s">
        <v>5807</v>
      </c>
      <c r="AC322" s="215" t="s">
        <v>5808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>IF(AQ322="SIM","AGUARDANDO CORREÇÃO",IF(AP322&lt;&gt;"","FINALIZADO",IF(AO322&lt;&gt;"","AGUARDANDO ENVIO DTS",IF(AN322&lt;&gt;"","AGUARDANDO ASSINATURA GAB",IF(AM322&lt;&gt;"","AGUARDANDO ASSINATURA CTS",IF(AL322&lt;&gt;"","AGUARDANDO ENVIO ASSINATURA CTS",IF(AK322&lt;&gt;"","AGUARDANDO CONFERÊNCIA","")))))))</f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>IFERROR(IF(BD322-KI322=0,"",BD322-AK322),"")</f>
        <v/>
      </c>
      <c r="BI322" s="98" t="str">
        <f>IF(AND(AH322&lt;&gt;"SIM",AH322="UH"),"AA","INDENIZAÇÃO")</f>
        <v>AA</v>
      </c>
      <c r="BJ322" s="98" t="str">
        <f>IF(AND(BD322&lt;&gt;"AGUARDANDO",BD322&lt;&gt;"",N322="AUXÍLIO ALUGUEL ATÉ INDENIZAÇÃO"),"SIM","NÃO")</f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customHeight="1" x14ac:dyDescent="0.25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5805</v>
      </c>
      <c r="G323" s="207" t="s">
        <v>4400</v>
      </c>
      <c r="H323" s="207" t="s">
        <v>4401</v>
      </c>
      <c r="I323" s="207" t="s">
        <v>4402</v>
      </c>
      <c r="J323" s="215" t="s">
        <v>5809</v>
      </c>
      <c r="K323" s="215" t="s">
        <v>5810</v>
      </c>
      <c r="L323" s="215" t="s">
        <v>5811</v>
      </c>
      <c r="M323" s="207" t="s">
        <v>4405</v>
      </c>
      <c r="N323" s="207" t="s">
        <v>4441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5809</v>
      </c>
      <c r="AB323" s="215" t="s">
        <v>5810</v>
      </c>
      <c r="AC323" s="215" t="s">
        <v>5811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>IF(AQ323="SIM","AGUARDANDO CORREÇÃO",IF(AP323&lt;&gt;"","FINALIZADO",IF(AO323&lt;&gt;"","AGUARDANDO ENVIO DTS",IF(AN323&lt;&gt;"","AGUARDANDO ASSINATURA GAB",IF(AM323&lt;&gt;"","AGUARDANDO ASSINATURA CTS",IF(AL323&lt;&gt;"","AGUARDANDO ENVIO ASSINATURA CTS",IF(AK323&lt;&gt;"","AGUARDANDO CONFERÊNCIA","")))))))</f>
        <v>FINALIZADO</v>
      </c>
      <c r="AS323" s="207" t="s">
        <v>4423</v>
      </c>
      <c r="AT323" s="207"/>
      <c r="AU323" s="220" t="s">
        <v>5812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4434</v>
      </c>
      <c r="BF323" s="228" t="s">
        <v>4435</v>
      </c>
      <c r="BG323" s="219" t="s">
        <v>4425</v>
      </c>
      <c r="BH323" s="321">
        <f>IFERROR(IF(BD323-KI323=0,"",BD323-AK323),"")</f>
        <v>48</v>
      </c>
      <c r="BI323" s="98" t="str">
        <f>IF(AND(AH323&lt;&gt;"SIM",AH323="UH"),"AA","INDENIZAÇÃO")</f>
        <v>INDENIZAÇÃO</v>
      </c>
      <c r="BJ323" s="98" t="str">
        <f>IF(AND(BD323&lt;&gt;"AGUARDANDO",BD323&lt;&gt;"",N323="AUXÍLIO ALUGUEL ATÉ INDENIZAÇÃO"),"SIM","NÃO")</f>
        <v>NÃO</v>
      </c>
      <c r="BK323" s="219" t="s">
        <v>4436</v>
      </c>
      <c r="BL323" s="219" t="s">
        <v>4436</v>
      </c>
      <c r="BM323" s="219" t="s">
        <v>4436</v>
      </c>
      <c r="BN323" s="257" t="s">
        <v>4956</v>
      </c>
      <c r="BO323" s="257"/>
      <c r="BP323" s="257"/>
      <c r="BQ323" s="257"/>
      <c r="BR323" s="258"/>
    </row>
    <row r="324" spans="1:72" s="240" customFormat="1" ht="27" customHeight="1" x14ac:dyDescent="0.25">
      <c r="A324" s="197">
        <v>320</v>
      </c>
      <c r="B324" s="197" t="s">
        <v>4396</v>
      </c>
      <c r="C324" s="207" t="s">
        <v>4426</v>
      </c>
      <c r="D324" s="207">
        <v>1</v>
      </c>
      <c r="E324" s="207" t="s">
        <v>4398</v>
      </c>
      <c r="F324" s="214" t="s">
        <v>5813</v>
      </c>
      <c r="G324" s="207" t="s">
        <v>4400</v>
      </c>
      <c r="H324" s="207" t="s">
        <v>4401</v>
      </c>
      <c r="I324" s="217" t="s">
        <v>4402</v>
      </c>
      <c r="J324" s="215" t="s">
        <v>5814</v>
      </c>
      <c r="K324" s="215" t="s">
        <v>4398</v>
      </c>
      <c r="L324" s="215" t="s">
        <v>5815</v>
      </c>
      <c r="M324" s="207" t="s">
        <v>4405</v>
      </c>
      <c r="N324" s="207" t="s">
        <v>4441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5814</v>
      </c>
      <c r="AB324" s="215" t="s">
        <v>4398</v>
      </c>
      <c r="AC324" s="215" t="s">
        <v>5815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4432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>IF(AQ324="SIM","AGUARDANDO CORREÇÃO",IF(AP324&lt;&gt;"","FINALIZADO",IF(AO324&lt;&gt;"","AGUARDANDO ENVIO DTS",IF(AN324&lt;&gt;"","AGUARDANDO ASSINATURA GAB",IF(AM324&lt;&gt;"","AGUARDANDO ASSINATURA CTS",IF(AL324&lt;&gt;"","AGUARDANDO ENVIO ASSINATURA CTS",IF(AK324&lt;&gt;"","AGUARDANDO CONFERÊNCIA","")))))))</f>
        <v>FINALIZADO</v>
      </c>
      <c r="AS324" s="207" t="s">
        <v>4423</v>
      </c>
      <c r="AT324" s="207"/>
      <c r="AU324" s="220" t="s">
        <v>5816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4434</v>
      </c>
      <c r="BF324" s="228" t="s">
        <v>4435</v>
      </c>
      <c r="BG324" s="229" t="s">
        <v>4425</v>
      </c>
      <c r="BH324" s="321">
        <f>IFERROR(IF(BD324-KI324=0,"",BD324-AK324),"")</f>
        <v>62</v>
      </c>
      <c r="BI324" s="98" t="str">
        <f>IF(AND(AH324&lt;&gt;"SIM",AH324="UH"),"AA","INDENIZAÇÃO")</f>
        <v>INDENIZAÇÃO</v>
      </c>
      <c r="BJ324" s="98" t="str">
        <f>IF(AND(BD324&lt;&gt;"AGUARDANDO",BD324&lt;&gt;"",N324="AUXÍLIO ALUGUEL ATÉ INDENIZAÇÃO"),"SIM","NÃO")</f>
        <v>NÃO</v>
      </c>
      <c r="BK324" s="219" t="s">
        <v>4436</v>
      </c>
      <c r="BL324" s="219" t="s">
        <v>4436</v>
      </c>
      <c r="BM324" s="219" t="s">
        <v>4436</v>
      </c>
      <c r="BN324" s="257" t="s">
        <v>4956</v>
      </c>
      <c r="BO324" s="257"/>
      <c r="BP324" s="257"/>
      <c r="BQ324" s="257"/>
      <c r="BR324" s="258"/>
    </row>
    <row r="325" spans="1:72" s="240" customFormat="1" ht="27" hidden="1" customHeight="1" x14ac:dyDescent="0.25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5813</v>
      </c>
      <c r="G325" s="207" t="s">
        <v>4400</v>
      </c>
      <c r="H325" s="207" t="s">
        <v>4401</v>
      </c>
      <c r="I325" s="217" t="s">
        <v>4402</v>
      </c>
      <c r="J325" s="215" t="s">
        <v>5817</v>
      </c>
      <c r="K325" s="215" t="s">
        <v>5818</v>
      </c>
      <c r="L325" s="215" t="s">
        <v>5819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5817</v>
      </c>
      <c r="AB325" s="215" t="s">
        <v>5818</v>
      </c>
      <c r="AC325" s="215" t="s">
        <v>5819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>IF(AQ325="SIM","AGUARDANDO CORREÇÃO",IF(AP325&lt;&gt;"","FINALIZADO",IF(AO325&lt;&gt;"","AGUARDANDO ENVIO DTS",IF(AN325&lt;&gt;"","AGUARDANDO ASSINATURA GAB",IF(AM325&lt;&gt;"","AGUARDANDO ASSINATURA CTS",IF(AL325&lt;&gt;"","AGUARDANDO ENVIO ASSINATURA CTS",IF(AK325&lt;&gt;"","AGUARDANDO CONFERÊNCIA","")))))))</f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>IFERROR(IF(BD325-KI325=0,"",BD325-AK325),"")</f>
        <v/>
      </c>
      <c r="BI325" s="98" t="str">
        <f>IF(AND(AH325&lt;&gt;"SIM",AH325="UH"),"AA","INDENIZAÇÃO")</f>
        <v>AA</v>
      </c>
      <c r="BJ325" s="98" t="str">
        <f>IF(AND(BD325&lt;&gt;"AGUARDANDO",BD325&lt;&gt;"",N325="AUXÍLIO ALUGUEL ATÉ INDENIZAÇÃO"),"SIM","NÃO")</f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customHeight="1" x14ac:dyDescent="0.25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5813</v>
      </c>
      <c r="G326" s="207" t="s">
        <v>4400</v>
      </c>
      <c r="H326" s="207" t="s">
        <v>4401</v>
      </c>
      <c r="I326" s="217" t="s">
        <v>4402</v>
      </c>
      <c r="J326" s="215" t="s">
        <v>5820</v>
      </c>
      <c r="K326" s="215"/>
      <c r="L326" s="215" t="s">
        <v>5821</v>
      </c>
      <c r="M326" s="207" t="s">
        <v>4405</v>
      </c>
      <c r="N326" s="207" t="s">
        <v>4431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5820</v>
      </c>
      <c r="AB326" s="215"/>
      <c r="AC326" s="215" t="s">
        <v>5821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4432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5822</v>
      </c>
      <c r="AV326" s="207" t="s">
        <v>4425</v>
      </c>
      <c r="AW326" s="197" t="s">
        <v>4425</v>
      </c>
      <c r="AX326" s="207" t="s">
        <v>4817</v>
      </c>
      <c r="AY326" s="207" t="s">
        <v>4817</v>
      </c>
      <c r="AZ326" s="202">
        <v>46233</v>
      </c>
      <c r="BA326" s="207" t="s">
        <v>4817</v>
      </c>
      <c r="BB326" s="207" t="s">
        <v>4817</v>
      </c>
      <c r="BC326" s="202">
        <v>46237</v>
      </c>
      <c r="BD326" s="226">
        <v>46237</v>
      </c>
      <c r="BE326" s="257" t="s">
        <v>4434</v>
      </c>
      <c r="BF326" s="257" t="s">
        <v>4435</v>
      </c>
      <c r="BG326" s="219" t="s">
        <v>4425</v>
      </c>
      <c r="BH326" s="321">
        <f>IFERROR(IF(BD326-KI326=0,"",BD326-AK326),"")</f>
        <v>49</v>
      </c>
      <c r="BI326" s="98" t="str">
        <f>IF(AND(AH326&lt;&gt;"SIM",AH326="UH"),"AA","INDENIZAÇÃO")</f>
        <v>INDENIZAÇÃO</v>
      </c>
      <c r="BJ326" s="98" t="str">
        <f>IF(AND(BD326&lt;&gt;"AGUARDANDO",BD326&lt;&gt;"",N326="AUXÍLIO ALUGUEL ATÉ INDENIZAÇÃO"),"SIM","NÃO")</f>
        <v>NÃO</v>
      </c>
      <c r="BK326" s="219" t="s">
        <v>4436</v>
      </c>
      <c r="BL326" s="219" t="s">
        <v>4436</v>
      </c>
      <c r="BM326" s="219" t="s">
        <v>4436</v>
      </c>
      <c r="BN326" s="257" t="s">
        <v>4956</v>
      </c>
      <c r="BO326" s="257"/>
      <c r="BP326" s="257"/>
      <c r="BQ326" s="257"/>
      <c r="BR326" s="258"/>
      <c r="BS326" s="223"/>
      <c r="BT326" s="223"/>
    </row>
    <row r="327" spans="1:72" s="240" customFormat="1" ht="27" hidden="1" customHeight="1" x14ac:dyDescent="0.25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5823</v>
      </c>
      <c r="G327" s="207" t="s">
        <v>4400</v>
      </c>
      <c r="H327" s="207" t="s">
        <v>4401</v>
      </c>
      <c r="I327" s="207" t="s">
        <v>4402</v>
      </c>
      <c r="J327" s="215" t="s">
        <v>5824</v>
      </c>
      <c r="K327" s="215" t="s">
        <v>5825</v>
      </c>
      <c r="L327" s="215" t="s">
        <v>5826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5824</v>
      </c>
      <c r="AB327" s="215" t="s">
        <v>5825</v>
      </c>
      <c r="AC327" s="215" t="s">
        <v>5826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>IF(AQ327="SIM","AGUARDANDO CORREÇÃO",IF(AP327&lt;&gt;"","FINALIZADO",IF(AO327&lt;&gt;"","AGUARDANDO ENVIO DTS",IF(AN327&lt;&gt;"","AGUARDANDO ASSINATURA GAB",IF(AM327&lt;&gt;"","AGUARDANDO ASSINATURA CTS",IF(AL327&lt;&gt;"","AGUARDANDO ENVIO ASSINATURA CTS",IF(AK327&lt;&gt;"","AGUARDANDO CONFERÊNCIA","")))))))</f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>IFERROR(IF(BD327-KI327=0,"",BD327-AK327),"")</f>
        <v/>
      </c>
      <c r="BI327" s="98" t="str">
        <f>IF(AND(AH327&lt;&gt;"SIM",AH327="UH"),"AA","INDENIZAÇÃO")</f>
        <v>AA</v>
      </c>
      <c r="BJ327" s="98" t="str">
        <f>IF(AND(BD327&lt;&gt;"AGUARDANDO",BD327&lt;&gt;"",N327="AUXÍLIO ALUGUEL ATÉ INDENIZAÇÃO"),"SIM","NÃO")</f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customHeight="1" x14ac:dyDescent="0.25">
      <c r="A328" s="207">
        <v>324</v>
      </c>
      <c r="B328" s="197" t="s">
        <v>4396</v>
      </c>
      <c r="C328" s="207" t="s">
        <v>4426</v>
      </c>
      <c r="D328" s="207">
        <v>1</v>
      </c>
      <c r="E328" s="207" t="s">
        <v>4398</v>
      </c>
      <c r="F328" s="214" t="s">
        <v>5823</v>
      </c>
      <c r="G328" s="207" t="s">
        <v>4400</v>
      </c>
      <c r="H328" s="207" t="s">
        <v>4401</v>
      </c>
      <c r="I328" s="207" t="s">
        <v>4402</v>
      </c>
      <c r="J328" s="215" t="s">
        <v>5827</v>
      </c>
      <c r="K328" s="215" t="s">
        <v>5828</v>
      </c>
      <c r="L328" s="215" t="s">
        <v>5829</v>
      </c>
      <c r="M328" s="207" t="s">
        <v>4405</v>
      </c>
      <c r="N328" s="207" t="s">
        <v>4441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5827</v>
      </c>
      <c r="AB328" s="215" t="s">
        <v>5828</v>
      </c>
      <c r="AC328" s="215" t="s">
        <v>5829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4432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>IF(AQ328="SIM","AGUARDANDO CORREÇÃO",IF(AP328&lt;&gt;"","FINALIZADO",IF(AO328&lt;&gt;"","AGUARDANDO ENVIO DTS",IF(AN328&lt;&gt;"","AGUARDANDO ASSINATURA GAB",IF(AM328&lt;&gt;"","AGUARDANDO ASSINATURA CTS",IF(AL328&lt;&gt;"","AGUARDANDO ENVIO ASSINATURA CTS",IF(AK328&lt;&gt;"","AGUARDANDO CONFERÊNCIA","")))))))</f>
        <v>FINALIZADO</v>
      </c>
      <c r="AS328" s="207" t="s">
        <v>4423</v>
      </c>
      <c r="AT328" s="207"/>
      <c r="AU328" s="220" t="s">
        <v>5830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4434</v>
      </c>
      <c r="BF328" s="236" t="s">
        <v>4435</v>
      </c>
      <c r="BG328" s="237" t="s">
        <v>4425</v>
      </c>
      <c r="BH328" s="321">
        <f>IFERROR(IF(BD328-KI328=0,"",BD328-AK328),"")</f>
        <v>71</v>
      </c>
      <c r="BI328" s="98" t="str">
        <f>IF(AND(AH328&lt;&gt;"SIM",AH328="UH"),"AA","INDENIZAÇÃO")</f>
        <v>INDENIZAÇÃO</v>
      </c>
      <c r="BJ328" s="98" t="str">
        <f>IF(AND(BD328&lt;&gt;"AGUARDANDO",BD328&lt;&gt;"",N328="AUXÍLIO ALUGUEL ATÉ INDENIZAÇÃO"),"SIM","NÃO")</f>
        <v>NÃO</v>
      </c>
      <c r="BK328" s="238" t="s">
        <v>4436</v>
      </c>
      <c r="BL328" s="238" t="s">
        <v>4436</v>
      </c>
      <c r="BM328" s="238" t="s">
        <v>4436</v>
      </c>
      <c r="BN328" s="273" t="s">
        <v>4956</v>
      </c>
      <c r="BO328" s="265"/>
      <c r="BP328" s="265"/>
      <c r="BQ328" s="265"/>
      <c r="BR328" s="231"/>
    </row>
    <row r="329" spans="1:72" s="240" customFormat="1" ht="27" hidden="1" customHeight="1" x14ac:dyDescent="0.25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5831</v>
      </c>
      <c r="G329" s="207" t="s">
        <v>4400</v>
      </c>
      <c r="H329" s="207" t="s">
        <v>4401</v>
      </c>
      <c r="I329" s="207" t="s">
        <v>4402</v>
      </c>
      <c r="J329" s="215" t="s">
        <v>5832</v>
      </c>
      <c r="K329" s="215" t="s">
        <v>5833</v>
      </c>
      <c r="L329" s="215" t="s">
        <v>5834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5832</v>
      </c>
      <c r="AB329" s="215" t="s">
        <v>5833</v>
      </c>
      <c r="AC329" s="215" t="s">
        <v>5834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>IF(AQ329="SIM","AGUARDANDO CORREÇÃO",IF(AP329&lt;&gt;"","FINALIZADO",IF(AO329&lt;&gt;"","AGUARDANDO ENVIO DTS",IF(AN329&lt;&gt;"","AGUARDANDO ASSINATURA GAB",IF(AM329&lt;&gt;"","AGUARDANDO ASSINATURA CTS",IF(AL329&lt;&gt;"","AGUARDANDO ENVIO ASSINATURA CTS",IF(AK329&lt;&gt;"","AGUARDANDO CONFERÊNCIA","")))))))</f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>IFERROR(IF(BD329-KI329=0,"",BD329-AK329),"")</f>
        <v/>
      </c>
      <c r="BI329" s="98" t="str">
        <f>IF(AND(AH329&lt;&gt;"SIM",AH329="UH"),"AA","INDENIZAÇÃO")</f>
        <v>AA</v>
      </c>
      <c r="BJ329" s="98" t="str">
        <f>IF(AND(BD329&lt;&gt;"AGUARDANDO",BD329&lt;&gt;"",N329="AUXÍLIO ALUGUEL ATÉ INDENIZAÇÃO"),"SIM","NÃO")</f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customHeight="1" x14ac:dyDescent="0.25">
      <c r="A330" s="197">
        <v>326</v>
      </c>
      <c r="B330" s="197" t="s">
        <v>4396</v>
      </c>
      <c r="C330" s="207" t="s">
        <v>4426</v>
      </c>
      <c r="D330" s="207">
        <v>1</v>
      </c>
      <c r="E330" s="207" t="s">
        <v>4398</v>
      </c>
      <c r="F330" s="214" t="s">
        <v>5831</v>
      </c>
      <c r="G330" s="207" t="s">
        <v>4545</v>
      </c>
      <c r="H330" s="207" t="s">
        <v>4545</v>
      </c>
      <c r="I330" s="233" t="s">
        <v>4421</v>
      </c>
      <c r="J330" s="215" t="s">
        <v>5835</v>
      </c>
      <c r="K330" s="215" t="s">
        <v>5836</v>
      </c>
      <c r="L330" s="215" t="s">
        <v>5837</v>
      </c>
      <c r="M330" s="207" t="s">
        <v>4405</v>
      </c>
      <c r="N330" s="207" t="s">
        <v>4441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5835</v>
      </c>
      <c r="AB330" s="215" t="s">
        <v>5836</v>
      </c>
      <c r="AC330" s="215" t="s">
        <v>5837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4432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>IF(AQ330="SIM","AGUARDANDO CORREÇÃO",IF(AP330&lt;&gt;"","FINALIZADO",IF(AO330&lt;&gt;"","AGUARDANDO ENVIO DTS",IF(AN330&lt;&gt;"","AGUARDANDO ASSINATURA GAB",IF(AM330&lt;&gt;"","AGUARDANDO ASSINATURA CTS",IF(AL330&lt;&gt;"","AGUARDANDO ENVIO ASSINATURA CTS",IF(AK330&lt;&gt;"","AGUARDANDO CONFERÊNCIA","")))))))</f>
        <v>FINALIZADO</v>
      </c>
      <c r="AS330" s="207" t="s">
        <v>4423</v>
      </c>
      <c r="AT330" s="207"/>
      <c r="AU330" s="220" t="s">
        <v>5838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4434</v>
      </c>
      <c r="BF330" s="228" t="s">
        <v>4435</v>
      </c>
      <c r="BG330" s="219" t="s">
        <v>4425</v>
      </c>
      <c r="BH330" s="321">
        <f>IFERROR(IF(BD330-KI330=0,"",BD330-AK330),"")</f>
        <v>49</v>
      </c>
      <c r="BI330" s="98" t="str">
        <f>IF(AND(AH330&lt;&gt;"SIM",AH330="UH"),"AA","INDENIZAÇÃO")</f>
        <v>INDENIZAÇÃO</v>
      </c>
      <c r="BJ330" s="98" t="str">
        <f>IF(AND(BD330&lt;&gt;"AGUARDANDO",BD330&lt;&gt;"",N330="AUXÍLIO ALUGUEL ATÉ INDENIZAÇÃO"),"SIM","NÃO")</f>
        <v>NÃO</v>
      </c>
      <c r="BK330" s="219" t="s">
        <v>4436</v>
      </c>
      <c r="BL330" s="219" t="s">
        <v>4436</v>
      </c>
      <c r="BM330" s="219" t="s">
        <v>4436</v>
      </c>
      <c r="BN330" s="257" t="s">
        <v>4956</v>
      </c>
      <c r="BO330" s="257"/>
      <c r="BP330" s="257"/>
      <c r="BQ330" s="257"/>
      <c r="BR330" s="258"/>
      <c r="BS330" s="223"/>
      <c r="BT330" s="223"/>
    </row>
    <row r="331" spans="1:72" s="240" customFormat="1" ht="27" hidden="1" customHeight="1" x14ac:dyDescent="0.25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5839</v>
      </c>
      <c r="G331" s="207" t="s">
        <v>4400</v>
      </c>
      <c r="H331" s="207" t="s">
        <v>4401</v>
      </c>
      <c r="I331" s="160" t="s">
        <v>4402</v>
      </c>
      <c r="J331" s="215" t="s">
        <v>5840</v>
      </c>
      <c r="K331" s="215" t="s">
        <v>5841</v>
      </c>
      <c r="L331" s="215" t="s">
        <v>5842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5840</v>
      </c>
      <c r="AB331" s="215" t="s">
        <v>5841</v>
      </c>
      <c r="AC331" s="215" t="s">
        <v>5842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>IF(AQ331="SIM","AGUARDANDO CORREÇÃO",IF(AP331&lt;&gt;"","FINALIZADO",IF(AO331&lt;&gt;"","AGUARDANDO ENVIO DTS",IF(AN331&lt;&gt;"","AGUARDANDO ASSINATURA GAB",IF(AM331&lt;&gt;"","AGUARDANDO ASSINATURA CTS",IF(AL331&lt;&gt;"","AGUARDANDO ENVIO ASSINATURA CTS",IF(AK331&lt;&gt;"","AGUARDANDO CONFERÊNCIA","")))))))</f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>IFERROR(IF(BD331-KI331=0,"",BD331-AK331),"")</f>
        <v/>
      </c>
      <c r="BI331" s="98" t="str">
        <f>IF(AND(AH331&lt;&gt;"SIM",AH331="UH"),"AA","INDENIZAÇÃO")</f>
        <v>AA</v>
      </c>
      <c r="BJ331" s="98" t="str">
        <f>IF(AND(BD331&lt;&gt;"AGUARDANDO",BD331&lt;&gt;"",N331="AUXÍLIO ALUGUEL ATÉ INDENIZAÇÃO"),"SIM","NÃO")</f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hidden="1" customHeight="1" x14ac:dyDescent="0.25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5843</v>
      </c>
      <c r="G332" s="207" t="s">
        <v>4400</v>
      </c>
      <c r="H332" s="207" t="s">
        <v>4401</v>
      </c>
      <c r="I332" s="207" t="s">
        <v>4402</v>
      </c>
      <c r="J332" s="215" t="s">
        <v>5844</v>
      </c>
      <c r="K332" s="215" t="s">
        <v>5845</v>
      </c>
      <c r="L332" s="215" t="s">
        <v>5846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5844</v>
      </c>
      <c r="AB332" s="215" t="s">
        <v>5845</v>
      </c>
      <c r="AC332" s="215" t="s">
        <v>5846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>IF(AQ332="SIM","AGUARDANDO CORREÇÃO",IF(AP332&lt;&gt;"","FINALIZADO",IF(AO332&lt;&gt;"","AGUARDANDO ENVIO DTS",IF(AN332&lt;&gt;"","AGUARDANDO ASSINATURA GAB",IF(AM332&lt;&gt;"","AGUARDANDO ASSINATURA CTS",IF(AL332&lt;&gt;"","AGUARDANDO ENVIO ASSINATURA CTS",IF(AK332&lt;&gt;"","AGUARDANDO CONFERÊNCIA","")))))))</f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>IFERROR(IF(BD332-KI332=0,"",BD332-AK332),"")</f>
        <v/>
      </c>
      <c r="BI332" s="98" t="str">
        <f>IF(AND(AH332&lt;&gt;"SIM",AH332="UH"),"AA","INDENIZAÇÃO")</f>
        <v>AA</v>
      </c>
      <c r="BJ332" s="98" t="str">
        <f>IF(AND(BD332&lt;&gt;"AGUARDANDO",BD332&lt;&gt;"",N332="AUXÍLIO ALUGUEL ATÉ INDENIZAÇÃO"),"SIM","NÃO")</f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customHeight="1" x14ac:dyDescent="0.25">
      <c r="A333" s="207">
        <v>329</v>
      </c>
      <c r="B333" s="197" t="s">
        <v>4396</v>
      </c>
      <c r="C333" s="207" t="s">
        <v>4426</v>
      </c>
      <c r="D333" s="207">
        <v>1</v>
      </c>
      <c r="E333" s="207" t="s">
        <v>4398</v>
      </c>
      <c r="F333" s="214" t="s">
        <v>5847</v>
      </c>
      <c r="G333" s="207" t="s">
        <v>4400</v>
      </c>
      <c r="H333" s="207" t="s">
        <v>4401</v>
      </c>
      <c r="I333" s="217" t="s">
        <v>4402</v>
      </c>
      <c r="J333" s="215" t="s">
        <v>5848</v>
      </c>
      <c r="K333" s="215" t="s">
        <v>5849</v>
      </c>
      <c r="L333" s="215" t="s">
        <v>5850</v>
      </c>
      <c r="M333" s="207" t="s">
        <v>4405</v>
      </c>
      <c r="N333" s="207" t="s">
        <v>4441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5848</v>
      </c>
      <c r="AB333" s="215" t="s">
        <v>5849</v>
      </c>
      <c r="AC333" s="215" t="s">
        <v>5850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4432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>IF(AQ333="SIM","AGUARDANDO CORREÇÃO",IF(AP333&lt;&gt;"","FINALIZADO",IF(AO333&lt;&gt;"","AGUARDANDO ENVIO DTS",IF(AN333&lt;&gt;"","AGUARDANDO ASSINATURA GAB",IF(AM333&lt;&gt;"","AGUARDANDO ASSINATURA CTS",IF(AL333&lt;&gt;"","AGUARDANDO ENVIO ASSINATURA CTS",IF(AK333&lt;&gt;"","AGUARDANDO CONFERÊNCIA","")))))))</f>
        <v>FINALIZADO</v>
      </c>
      <c r="AS333" s="207" t="s">
        <v>4423</v>
      </c>
      <c r="AT333" s="207"/>
      <c r="AU333" s="220" t="s">
        <v>5851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4434</v>
      </c>
      <c r="BF333" s="228" t="s">
        <v>4435</v>
      </c>
      <c r="BG333" s="229" t="s">
        <v>4425</v>
      </c>
      <c r="BH333" s="321">
        <f>IFERROR(IF(BD333-KI333=0,"",BD333-AK333),"")</f>
        <v>38</v>
      </c>
      <c r="BI333" s="98" t="str">
        <f>IF(AND(AH333&lt;&gt;"SIM",AH333="UH"),"AA","INDENIZAÇÃO")</f>
        <v>INDENIZAÇÃO</v>
      </c>
      <c r="BJ333" s="98" t="str">
        <f>IF(AND(BD333&lt;&gt;"AGUARDANDO",BD333&lt;&gt;"",N333="AUXÍLIO ALUGUEL ATÉ INDENIZAÇÃO"),"SIM","NÃO")</f>
        <v>NÃO</v>
      </c>
      <c r="BK333" s="230" t="s">
        <v>4436</v>
      </c>
      <c r="BL333" s="230" t="s">
        <v>4436</v>
      </c>
      <c r="BM333" s="230" t="s">
        <v>4436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4434</v>
      </c>
    </row>
    <row r="334" spans="1:72" s="240" customFormat="1" ht="27" hidden="1" customHeight="1" x14ac:dyDescent="0.25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5847</v>
      </c>
      <c r="G334" s="207" t="s">
        <v>4400</v>
      </c>
      <c r="H334" s="207" t="s">
        <v>4401</v>
      </c>
      <c r="I334" s="207" t="s">
        <v>4402</v>
      </c>
      <c r="J334" s="215" t="s">
        <v>5852</v>
      </c>
      <c r="K334" s="215" t="s">
        <v>5853</v>
      </c>
      <c r="L334" s="215" t="s">
        <v>5854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5852</v>
      </c>
      <c r="AB334" s="215" t="s">
        <v>5853</v>
      </c>
      <c r="AC334" s="215" t="s">
        <v>5854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>IF(AQ334="SIM","AGUARDANDO CORREÇÃO",IF(AP334&lt;&gt;"","FINALIZADO",IF(AO334&lt;&gt;"","AGUARDANDO ENVIO DTS",IF(AN334&lt;&gt;"","AGUARDANDO ASSINATURA GAB",IF(AM334&lt;&gt;"","AGUARDANDO ASSINATURA CTS",IF(AL334&lt;&gt;"","AGUARDANDO ENVIO ASSINATURA CTS",IF(AK334&lt;&gt;"","AGUARDANDO CONFERÊNCIA","")))))))</f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>IFERROR(IF(BD334-KI334=0,"",BD334-AK334),"")</f>
        <v/>
      </c>
      <c r="BI334" s="98" t="str">
        <f>IF(AND(AH334&lt;&gt;"SIM",AH334="UH"),"AA","INDENIZAÇÃO")</f>
        <v>AA</v>
      </c>
      <c r="BJ334" s="98" t="str">
        <f>IF(AND(BD334&lt;&gt;"AGUARDANDO",BD334&lt;&gt;"",N334="AUXÍLIO ALUGUEL ATÉ INDENIZAÇÃO"),"SIM","NÃO")</f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customHeight="1" x14ac:dyDescent="0.25">
      <c r="A335" s="197">
        <v>331</v>
      </c>
      <c r="B335" s="197" t="s">
        <v>4396</v>
      </c>
      <c r="C335" s="207" t="s">
        <v>4426</v>
      </c>
      <c r="D335" s="207">
        <v>1</v>
      </c>
      <c r="E335" s="207" t="s">
        <v>4398</v>
      </c>
      <c r="F335" s="214" t="s">
        <v>5855</v>
      </c>
      <c r="G335" s="207" t="s">
        <v>4400</v>
      </c>
      <c r="H335" s="207" t="s">
        <v>4401</v>
      </c>
      <c r="I335" s="217" t="s">
        <v>4402</v>
      </c>
      <c r="J335" s="215" t="s">
        <v>5856</v>
      </c>
      <c r="K335" s="215" t="s">
        <v>5857</v>
      </c>
      <c r="L335" s="215" t="s">
        <v>5858</v>
      </c>
      <c r="M335" s="207" t="s">
        <v>4405</v>
      </c>
      <c r="N335" s="207" t="s">
        <v>4441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5856</v>
      </c>
      <c r="AB335" s="215" t="s">
        <v>5857</v>
      </c>
      <c r="AC335" s="215" t="s">
        <v>5858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4432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>IF(AQ335="SIM","AGUARDANDO CORREÇÃO",IF(AP335&lt;&gt;"","FINALIZADO",IF(AO335&lt;&gt;"","AGUARDANDO ENVIO DTS",IF(AN335&lt;&gt;"","AGUARDANDO ASSINATURA GAB",IF(AM335&lt;&gt;"","AGUARDANDO ASSINATURA CTS",IF(AL335&lt;&gt;"","AGUARDANDO ENVIO ASSINATURA CTS",IF(AK335&lt;&gt;"","AGUARDANDO CONFERÊNCIA","")))))))</f>
        <v>FINALIZADO</v>
      </c>
      <c r="AS335" s="207" t="s">
        <v>4423</v>
      </c>
      <c r="AT335" s="207"/>
      <c r="AU335" s="220" t="s">
        <v>5859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4434</v>
      </c>
      <c r="BF335" s="228" t="s">
        <v>4435</v>
      </c>
      <c r="BG335" s="229" t="s">
        <v>4425</v>
      </c>
      <c r="BH335" s="321">
        <f>IFERROR(IF(BD335-KI335=0,"",BD335-AK335),"")</f>
        <v>77</v>
      </c>
      <c r="BI335" s="98" t="str">
        <f>IF(AND(AH335&lt;&gt;"SIM",AH335="UH"),"AA","INDENIZAÇÃO")</f>
        <v>INDENIZAÇÃO</v>
      </c>
      <c r="BJ335" s="98" t="str">
        <f>IF(AND(BD335&lt;&gt;"AGUARDANDO",BD335&lt;&gt;"",N335="AUXÍLIO ALUGUEL ATÉ INDENIZAÇÃO"),"SIM","NÃO")</f>
        <v>NÃO</v>
      </c>
      <c r="BK335" s="230" t="s">
        <v>4436</v>
      </c>
      <c r="BL335" s="230" t="s">
        <v>4436</v>
      </c>
      <c r="BM335" s="230" t="s">
        <v>4436</v>
      </c>
      <c r="BN335" s="265" t="s">
        <v>4956</v>
      </c>
      <c r="BO335" s="265"/>
      <c r="BP335" s="265"/>
      <c r="BQ335" s="265"/>
      <c r="BR335" s="231"/>
    </row>
    <row r="336" spans="1:72" s="240" customFormat="1" ht="27" hidden="1" customHeight="1" x14ac:dyDescent="0.25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5855</v>
      </c>
      <c r="G336" s="207" t="s">
        <v>4400</v>
      </c>
      <c r="H336" s="207" t="s">
        <v>4401</v>
      </c>
      <c r="I336" s="207" t="s">
        <v>4402</v>
      </c>
      <c r="J336" s="215" t="s">
        <v>5860</v>
      </c>
      <c r="K336" s="215" t="s">
        <v>5861</v>
      </c>
      <c r="L336" s="215" t="s">
        <v>5862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5860</v>
      </c>
      <c r="AB336" s="215" t="s">
        <v>5861</v>
      </c>
      <c r="AC336" s="215" t="s">
        <v>5862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>IF(AQ336="SIM","AGUARDANDO CORREÇÃO",IF(AP336&lt;&gt;"","FINALIZADO",IF(AO336&lt;&gt;"","AGUARDANDO ENVIO DTS",IF(AN336&lt;&gt;"","AGUARDANDO ASSINATURA GAB",IF(AM336&lt;&gt;"","AGUARDANDO ASSINATURA CTS",IF(AL336&lt;&gt;"","AGUARDANDO ENVIO ASSINATURA CTS",IF(AK336&lt;&gt;"","AGUARDANDO CONFERÊNCIA","")))))))</f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>IFERROR(IF(BD336-KI336=0,"",BD336-AK336),"")</f>
        <v/>
      </c>
      <c r="BI336" s="98" t="str">
        <f>IF(AND(AH336&lt;&gt;"SIM",AH336="UH"),"AA","INDENIZAÇÃO")</f>
        <v>AA</v>
      </c>
      <c r="BJ336" s="98" t="str">
        <f>IF(AND(BD336&lt;&gt;"AGUARDANDO",BD336&lt;&gt;"",N336="AUXÍLIO ALUGUEL ATÉ INDENIZAÇÃO"),"SIM","NÃO")</f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 x14ac:dyDescent="0.25">
      <c r="A337" s="207">
        <v>333</v>
      </c>
      <c r="B337" s="197" t="s">
        <v>4396</v>
      </c>
      <c r="C337" s="207" t="s">
        <v>4426</v>
      </c>
      <c r="D337" s="207">
        <v>1</v>
      </c>
      <c r="E337" s="207" t="s">
        <v>4398</v>
      </c>
      <c r="F337" s="214" t="s">
        <v>5863</v>
      </c>
      <c r="G337" s="207" t="s">
        <v>4400</v>
      </c>
      <c r="H337" s="207" t="s">
        <v>4401</v>
      </c>
      <c r="I337" s="217" t="s">
        <v>4402</v>
      </c>
      <c r="J337" s="215" t="s">
        <v>5864</v>
      </c>
      <c r="K337" s="215" t="s">
        <v>5865</v>
      </c>
      <c r="L337" s="215" t="s">
        <v>5866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5864</v>
      </c>
      <c r="AB337" s="215" t="s">
        <v>5865</v>
      </c>
      <c r="AC337" s="215" t="s">
        <v>5866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>IF(AQ337="SIM","AGUARDANDO CORREÇÃO",IF(AP337&lt;&gt;"","FINALIZADO",IF(AO337&lt;&gt;"","AGUARDANDO ENVIO DTS",IF(AN337&lt;&gt;"","AGUARDANDO ASSINATURA GAB",IF(AM337&lt;&gt;"","AGUARDANDO ASSINATURA CTS",IF(AL337&lt;&gt;"","AGUARDANDO ENVIO ASSINATURA CTS",IF(AK337&lt;&gt;"","AGUARDANDO CONFERÊNCIA","")))))))</f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>IFERROR(IF(BD337-KI337=0,"",BD337-AK337),"")</f>
        <v/>
      </c>
      <c r="BI337" s="98" t="str">
        <f>IF(AND(AH337&lt;&gt;"SIM",AH337="UH"),"AA","INDENIZAÇÃO")</f>
        <v>AA</v>
      </c>
      <c r="BJ337" s="98" t="str">
        <f>IF(AND(BD337&lt;&gt;"AGUARDANDO",BD337&lt;&gt;"",N337="AUXÍLIO ALUGUEL ATÉ INDENIZAÇÃO"),"SIM","NÃO")</f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hidden="1" customHeight="1" x14ac:dyDescent="0.25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5863</v>
      </c>
      <c r="G338" s="207" t="s">
        <v>4400</v>
      </c>
      <c r="H338" s="207" t="s">
        <v>4401</v>
      </c>
      <c r="I338" s="207" t="s">
        <v>4402</v>
      </c>
      <c r="J338" s="215" t="s">
        <v>5867</v>
      </c>
      <c r="K338" s="215" t="s">
        <v>5868</v>
      </c>
      <c r="L338" s="215" t="s">
        <v>5869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4439</v>
      </c>
      <c r="Y338" s="202"/>
      <c r="Z338" s="217" t="s">
        <v>5870</v>
      </c>
      <c r="AA338" s="215" t="s">
        <v>5867</v>
      </c>
      <c r="AB338" s="215" t="s">
        <v>5868</v>
      </c>
      <c r="AC338" s="215" t="s">
        <v>5869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>IF(AQ338="SIM","AGUARDANDO CORREÇÃO",IF(AP338&lt;&gt;"","FINALIZADO",IF(AO338&lt;&gt;"","AGUARDANDO ENVIO DTS",IF(AN338&lt;&gt;"","AGUARDANDO ASSINATURA GAB",IF(AM338&lt;&gt;"","AGUARDANDO ASSINATURA CTS",IF(AL338&lt;&gt;"","AGUARDANDO ENVIO ASSINATURA CTS",IF(AK338&lt;&gt;"","AGUARDANDO CONFERÊNCIA","")))))))</f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>IFERROR(IF(BD338-KI338=0,"",BD338-AK338),"")</f>
        <v/>
      </c>
      <c r="BI338" s="98" t="str">
        <f>IF(AND(AH338&lt;&gt;"SIM",AH338="UH"),"AA","INDENIZAÇÃO")</f>
        <v>AA</v>
      </c>
      <c r="BJ338" s="98" t="str">
        <f>IF(AND(BD338&lt;&gt;"AGUARDANDO",BD338&lt;&gt;"",N338="AUXÍLIO ALUGUEL ATÉ INDENIZAÇÃO"),"SIM","NÃO")</f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 x14ac:dyDescent="0.25">
      <c r="A339" s="197">
        <v>335</v>
      </c>
      <c r="B339" s="197" t="s">
        <v>4396</v>
      </c>
      <c r="C339" s="207" t="s">
        <v>4426</v>
      </c>
      <c r="D339" s="207">
        <v>1</v>
      </c>
      <c r="E339" s="250" t="s">
        <v>4398</v>
      </c>
      <c r="F339" s="214" t="s">
        <v>5871</v>
      </c>
      <c r="G339" s="207" t="s">
        <v>4400</v>
      </c>
      <c r="H339" s="207" t="s">
        <v>4401</v>
      </c>
      <c r="I339" s="217" t="s">
        <v>4402</v>
      </c>
      <c r="J339" s="215" t="s">
        <v>5872</v>
      </c>
      <c r="K339" s="215" t="s">
        <v>5873</v>
      </c>
      <c r="L339" s="215" t="s">
        <v>5874</v>
      </c>
      <c r="M339" s="207" t="s">
        <v>4405</v>
      </c>
      <c r="N339" s="207" t="s">
        <v>4441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5872</v>
      </c>
      <c r="AB339" s="215" t="s">
        <v>5873</v>
      </c>
      <c r="AC339" s="215" t="s">
        <v>5874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4432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>IF(AQ339="SIM","AGUARDANDO CORREÇÃO",IF(AP339&lt;&gt;"","FINALIZADO",IF(AO339&lt;&gt;"","AGUARDANDO ENVIO DTS",IF(AN339&lt;&gt;"","AGUARDANDO ASSINATURA GAB",IF(AM339&lt;&gt;"","AGUARDANDO ASSINATURA CTS",IF(AL339&lt;&gt;"","AGUARDANDO ENVIO ASSINATURA CTS",IF(AK339&lt;&gt;"","AGUARDANDO CONFERÊNCIA","")))))))</f>
        <v>AGUARDANDO ASSINATURA GAB</v>
      </c>
      <c r="AS339" s="207" t="s">
        <v>4446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>IFERROR(IF(BD339-KI339=0,"",BD339-AK339),"")</f>
        <v/>
      </c>
      <c r="BI339" s="98" t="str">
        <f>IF(AND(AH339&lt;&gt;"SIM",AH339="UH"),"AA","INDENIZAÇÃO")</f>
        <v>INDENIZAÇÃO</v>
      </c>
      <c r="BJ339" s="98" t="str">
        <f>IF(AND(BD339&lt;&gt;"AGUARDANDO",BD339&lt;&gt;"",N339="AUXÍLIO ALUGUEL ATÉ INDENIZAÇÃO"),"SIM","NÃO")</f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hidden="1" customHeight="1" x14ac:dyDescent="0.25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5871</v>
      </c>
      <c r="G340" s="207" t="s">
        <v>4400</v>
      </c>
      <c r="H340" s="207" t="s">
        <v>4401</v>
      </c>
      <c r="I340" s="207" t="s">
        <v>4402</v>
      </c>
      <c r="J340" s="215" t="s">
        <v>5875</v>
      </c>
      <c r="K340" s="215" t="s">
        <v>5876</v>
      </c>
      <c r="L340" s="215" t="s">
        <v>5877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5875</v>
      </c>
      <c r="AB340" s="215" t="s">
        <v>5876</v>
      </c>
      <c r="AC340" s="215" t="s">
        <v>5877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>IF(AQ340="SIM","AGUARDANDO CORREÇÃO",IF(AP340&lt;&gt;"","FINALIZADO",IF(AO340&lt;&gt;"","AGUARDANDO ENVIO DTS",IF(AN340&lt;&gt;"","AGUARDANDO ASSINATURA GAB",IF(AM340&lt;&gt;"","AGUARDANDO ASSINATURA CTS",IF(AL340&lt;&gt;"","AGUARDANDO ENVIO ASSINATURA CTS",IF(AK340&lt;&gt;"","AGUARDANDO CONFERÊNCIA","")))))))</f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>IFERROR(IF(BD340-KI340=0,"",BD340-AK340),"")</f>
        <v/>
      </c>
      <c r="BI340" s="98" t="str">
        <f>IF(AND(AH340&lt;&gt;"SIM",AH340="UH"),"AA","INDENIZAÇÃO")</f>
        <v>AA</v>
      </c>
      <c r="BJ340" s="98" t="str">
        <f>IF(AND(BD340&lt;&gt;"AGUARDANDO",BD340&lt;&gt;"",N340="AUXÍLIO ALUGUEL ATÉ INDENIZAÇÃO"),"SIM","NÃO")</f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customHeight="1" x14ac:dyDescent="0.25">
      <c r="A341" s="207">
        <v>337</v>
      </c>
      <c r="B341" s="197" t="s">
        <v>4396</v>
      </c>
      <c r="C341" s="207" t="s">
        <v>4426</v>
      </c>
      <c r="D341" s="207">
        <v>1</v>
      </c>
      <c r="E341" s="207" t="s">
        <v>4398</v>
      </c>
      <c r="F341" s="214" t="s">
        <v>5878</v>
      </c>
      <c r="G341" s="207" t="s">
        <v>4400</v>
      </c>
      <c r="H341" s="207" t="s">
        <v>4401</v>
      </c>
      <c r="I341" s="217" t="s">
        <v>4402</v>
      </c>
      <c r="J341" s="215" t="s">
        <v>5879</v>
      </c>
      <c r="K341" s="215" t="s">
        <v>5880</v>
      </c>
      <c r="L341" s="215" t="s">
        <v>5881</v>
      </c>
      <c r="M341" s="207" t="s">
        <v>4405</v>
      </c>
      <c r="N341" s="207" t="s">
        <v>4441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5879</v>
      </c>
      <c r="AB341" s="215" t="s">
        <v>5880</v>
      </c>
      <c r="AC341" s="215" t="s">
        <v>5881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4432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>IF(AQ341="SIM","AGUARDANDO CORREÇÃO",IF(AP341&lt;&gt;"","FINALIZADO",IF(AO341&lt;&gt;"","AGUARDANDO ENVIO DTS",IF(AN341&lt;&gt;"","AGUARDANDO ASSINATURA GAB",IF(AM341&lt;&gt;"","AGUARDANDO ASSINATURA CTS",IF(AL341&lt;&gt;"","AGUARDANDO ENVIO ASSINATURA CTS",IF(AK341&lt;&gt;"","AGUARDANDO CONFERÊNCIA","")))))))</f>
        <v>FINALIZADO</v>
      </c>
      <c r="AS341" s="207" t="s">
        <v>4423</v>
      </c>
      <c r="AT341" s="207"/>
      <c r="AU341" s="220" t="s">
        <v>5882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4434</v>
      </c>
      <c r="BF341" s="228" t="s">
        <v>4435</v>
      </c>
      <c r="BG341" s="229" t="s">
        <v>4425</v>
      </c>
      <c r="BH341" s="321">
        <f>IFERROR(IF(BD341-KI341=0,"",BD341-AK341),"")</f>
        <v>23</v>
      </c>
      <c r="BI341" s="98" t="str">
        <f>IF(AND(AH341&lt;&gt;"SIM",AH341="UH"),"AA","INDENIZAÇÃO")</f>
        <v>INDENIZAÇÃO</v>
      </c>
      <c r="BJ341" s="98" t="str">
        <f>IF(AND(BD341&lt;&gt;"AGUARDANDO",BD341&lt;&gt;"",N341="AUXÍLIO ALUGUEL ATÉ INDENIZAÇÃO"),"SIM","NÃO")</f>
        <v>NÃO</v>
      </c>
      <c r="BK341" s="230" t="s">
        <v>4436</v>
      </c>
      <c r="BL341" s="230" t="s">
        <v>4436</v>
      </c>
      <c r="BM341" s="230" t="s">
        <v>4436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4434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hidden="1" customHeight="1" x14ac:dyDescent="0.25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5878</v>
      </c>
      <c r="G342" s="207" t="s">
        <v>4400</v>
      </c>
      <c r="H342" s="207" t="s">
        <v>4427</v>
      </c>
      <c r="I342" s="163" t="s">
        <v>4421</v>
      </c>
      <c r="J342" s="215" t="s">
        <v>5883</v>
      </c>
      <c r="K342" s="215" t="s">
        <v>5884</v>
      </c>
      <c r="L342" s="215" t="s">
        <v>5885</v>
      </c>
      <c r="M342" s="207" t="s">
        <v>4405</v>
      </c>
      <c r="N342" s="207" t="s">
        <v>4441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5883</v>
      </c>
      <c r="AB342" s="215" t="s">
        <v>5884</v>
      </c>
      <c r="AC342" s="215" t="s">
        <v>5885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4432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>IF(AQ342="SIM","AGUARDANDO CORREÇÃO",IF(AP342&lt;&gt;"","FINALIZADO",IF(AO342&lt;&gt;"","AGUARDANDO ENVIO DTS",IF(AN342&lt;&gt;"","AGUARDANDO ASSINATURA GAB",IF(AM342&lt;&gt;"","AGUARDANDO ASSINATURA CTS",IF(AL342&lt;&gt;"","AGUARDANDO ENVIO ASSINATURA CTS",IF(AK342&lt;&gt;"","AGUARDANDO CONFERÊNCIA","")))))))</f>
        <v>FINALIZADO</v>
      </c>
      <c r="AS342" s="207" t="s">
        <v>4423</v>
      </c>
      <c r="AT342" s="219"/>
      <c r="AU342" s="220" t="s">
        <v>5886</v>
      </c>
      <c r="AV342" s="254" t="s">
        <v>4425</v>
      </c>
      <c r="AW342" s="219" t="s">
        <v>4425</v>
      </c>
      <c r="AX342" s="257" t="s">
        <v>8612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>IFERROR(IF(BD342-KI342=0,"",BD342-AK342),"")</f>
        <v/>
      </c>
      <c r="BI342" s="98" t="str">
        <f>IF(AND(AH342&lt;&gt;"SIM",AH342="UH"),"AA","INDENIZAÇÃO")</f>
        <v>INDENIZAÇÃO</v>
      </c>
      <c r="BJ342" s="98" t="str">
        <f>IF(AND(BD342&lt;&gt;"AGUARDANDO",BD342&lt;&gt;"",N342="AUXÍLIO ALUGUEL ATÉ INDENIZAÇÃO"),"SIM","NÃO")</f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customHeight="1" x14ac:dyDescent="0.25">
      <c r="A343" s="207">
        <v>339</v>
      </c>
      <c r="B343" s="197" t="s">
        <v>4396</v>
      </c>
      <c r="C343" s="207" t="s">
        <v>4426</v>
      </c>
      <c r="D343" s="207">
        <v>1</v>
      </c>
      <c r="E343" s="207" t="s">
        <v>4398</v>
      </c>
      <c r="F343" s="214" t="s">
        <v>5887</v>
      </c>
      <c r="G343" s="207" t="s">
        <v>4400</v>
      </c>
      <c r="H343" s="207" t="s">
        <v>4401</v>
      </c>
      <c r="I343" s="217" t="s">
        <v>4402</v>
      </c>
      <c r="J343" s="215" t="s">
        <v>5888</v>
      </c>
      <c r="K343" s="215" t="s">
        <v>5889</v>
      </c>
      <c r="L343" s="215" t="s">
        <v>5890</v>
      </c>
      <c r="M343" s="207" t="s">
        <v>4405</v>
      </c>
      <c r="N343" s="207" t="s">
        <v>4441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5888</v>
      </c>
      <c r="AB343" s="215" t="s">
        <v>5889</v>
      </c>
      <c r="AC343" s="215" t="s">
        <v>5890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4432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>IF(AQ343="SIM","AGUARDANDO CORREÇÃO",IF(AP343&lt;&gt;"","FINALIZADO",IF(AO343&lt;&gt;"","AGUARDANDO ENVIO DTS",IF(AN343&lt;&gt;"","AGUARDANDO ASSINATURA GAB",IF(AM343&lt;&gt;"","AGUARDANDO ASSINATURA CTS",IF(AL343&lt;&gt;"","AGUARDANDO ENVIO ASSINATURA CTS",IF(AK343&lt;&gt;"","AGUARDANDO CONFERÊNCIA","")))))))</f>
        <v>FINALIZADO</v>
      </c>
      <c r="AS343" s="207" t="s">
        <v>4423</v>
      </c>
      <c r="AT343" s="207"/>
      <c r="AU343" s="220" t="s">
        <v>5891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4434</v>
      </c>
      <c r="BF343" s="228" t="s">
        <v>4435</v>
      </c>
      <c r="BG343" s="229" t="s">
        <v>4425</v>
      </c>
      <c r="BH343" s="321">
        <f>IFERROR(IF(BD343-KI343=0,"",BD343-AK343),"")</f>
        <v>65</v>
      </c>
      <c r="BI343" s="98" t="str">
        <f>IF(AND(AH343&lt;&gt;"SIM",AH343="UH"),"AA","INDENIZAÇÃO")</f>
        <v>INDENIZAÇÃO</v>
      </c>
      <c r="BJ343" s="98" t="str">
        <f>IF(AND(BD343&lt;&gt;"AGUARDANDO",BD343&lt;&gt;"",N343="AUXÍLIO ALUGUEL ATÉ INDENIZAÇÃO"),"SIM","NÃO")</f>
        <v>NÃO</v>
      </c>
      <c r="BK343" s="230" t="s">
        <v>4436</v>
      </c>
      <c r="BL343" s="230" t="s">
        <v>4436</v>
      </c>
      <c r="BM343" s="230" t="s">
        <v>4436</v>
      </c>
      <c r="BN343" s="265" t="s">
        <v>4956</v>
      </c>
      <c r="BO343" s="265"/>
      <c r="BP343" s="265"/>
      <c r="BQ343" s="265"/>
      <c r="BR343" s="231"/>
    </row>
    <row r="344" spans="1:112" s="240" customFormat="1" ht="27" hidden="1" customHeight="1" x14ac:dyDescent="0.25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5887</v>
      </c>
      <c r="G344" s="207" t="s">
        <v>4400</v>
      </c>
      <c r="H344" s="207" t="s">
        <v>4401</v>
      </c>
      <c r="I344" s="207" t="s">
        <v>4402</v>
      </c>
      <c r="J344" s="215" t="s">
        <v>5892</v>
      </c>
      <c r="K344" s="215" t="s">
        <v>4398</v>
      </c>
      <c r="L344" s="215" t="s">
        <v>5893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5892</v>
      </c>
      <c r="AB344" s="215" t="s">
        <v>4398</v>
      </c>
      <c r="AC344" s="215" t="s">
        <v>5893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>IF(AQ344="SIM","AGUARDANDO CORREÇÃO",IF(AP344&lt;&gt;"","FINALIZADO",IF(AO344&lt;&gt;"","AGUARDANDO ENVIO DTS",IF(AN344&lt;&gt;"","AGUARDANDO ASSINATURA GAB",IF(AM344&lt;&gt;"","AGUARDANDO ASSINATURA CTS",IF(AL344&lt;&gt;"","AGUARDANDO ENVIO ASSINATURA CTS",IF(AK344&lt;&gt;"","AGUARDANDO CONFERÊNCIA","")))))))</f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>IFERROR(IF(BD344-KI344=0,"",BD344-AK344),"")</f>
        <v/>
      </c>
      <c r="BI344" s="98" t="str">
        <f>IF(AND(AH344&lt;&gt;"SIM",AH344="UH"),"AA","INDENIZAÇÃO")</f>
        <v>AA</v>
      </c>
      <c r="BJ344" s="98" t="str">
        <f>IF(AND(BD344&lt;&gt;"AGUARDANDO",BD344&lt;&gt;"",N344="AUXÍLIO ALUGUEL ATÉ INDENIZAÇÃO"),"SIM","NÃO")</f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 x14ac:dyDescent="0.25">
      <c r="A345" s="197">
        <v>341</v>
      </c>
      <c r="B345" s="197" t="s">
        <v>4396</v>
      </c>
      <c r="C345" s="207" t="s">
        <v>4426</v>
      </c>
      <c r="D345" s="207">
        <v>1</v>
      </c>
      <c r="E345" s="207" t="s">
        <v>4398</v>
      </c>
      <c r="F345" s="214" t="s">
        <v>5894</v>
      </c>
      <c r="G345" s="207" t="s">
        <v>4400</v>
      </c>
      <c r="H345" s="207" t="s">
        <v>4401</v>
      </c>
      <c r="I345" s="217" t="s">
        <v>4402</v>
      </c>
      <c r="J345" s="215" t="s">
        <v>5895</v>
      </c>
      <c r="K345" s="215" t="s">
        <v>4398</v>
      </c>
      <c r="L345" s="215" t="s">
        <v>5896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5895</v>
      </c>
      <c r="AB345" s="215" t="s">
        <v>4398</v>
      </c>
      <c r="AC345" s="215" t="s">
        <v>5896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>IF(AQ345="SIM","AGUARDANDO CORREÇÃO",IF(AP345&lt;&gt;"","FINALIZADO",IF(AO345&lt;&gt;"","AGUARDANDO ENVIO DTS",IF(AN345&lt;&gt;"","AGUARDANDO ASSINATURA GAB",IF(AM345&lt;&gt;"","AGUARDANDO ASSINATURA CTS",IF(AL345&lt;&gt;"","AGUARDANDO ENVIO ASSINATURA CTS",IF(AK345&lt;&gt;"","AGUARDANDO CONFERÊNCIA","")))))))</f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>IFERROR(IF(BD345-KI345=0,"",BD345-AK345),"")</f>
        <v/>
      </c>
      <c r="BI345" s="98" t="str">
        <f>IF(AND(AH345&lt;&gt;"SIM",AH345="UH"),"AA","INDENIZAÇÃO")</f>
        <v>AA</v>
      </c>
      <c r="BJ345" s="98" t="str">
        <f>IF(AND(BD345&lt;&gt;"AGUARDANDO",BD345&lt;&gt;"",N345="AUXÍLIO ALUGUEL ATÉ INDENIZAÇÃO"),"SIM","NÃO")</f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hidden="1" customHeight="1" x14ac:dyDescent="0.25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5894</v>
      </c>
      <c r="G346" s="207" t="s">
        <v>4400</v>
      </c>
      <c r="H346" s="207" t="s">
        <v>4401</v>
      </c>
      <c r="I346" s="207" t="s">
        <v>4402</v>
      </c>
      <c r="J346" s="215" t="s">
        <v>5897</v>
      </c>
      <c r="K346" s="215" t="s">
        <v>5898</v>
      </c>
      <c r="L346" s="215" t="s">
        <v>5899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5897</v>
      </c>
      <c r="AB346" s="215" t="s">
        <v>5898</v>
      </c>
      <c r="AC346" s="215" t="s">
        <v>5899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>IF(AQ346="SIM","AGUARDANDO CORREÇÃO",IF(AP346&lt;&gt;"","FINALIZADO",IF(AO346&lt;&gt;"","AGUARDANDO ENVIO DTS",IF(AN346&lt;&gt;"","AGUARDANDO ASSINATURA GAB",IF(AM346&lt;&gt;"","AGUARDANDO ASSINATURA CTS",IF(AL346&lt;&gt;"","AGUARDANDO ENVIO ASSINATURA CTS",IF(AK346&lt;&gt;"","AGUARDANDO CONFERÊNCIA","")))))))</f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>IFERROR(IF(BD346-KI346=0,"",BD346-AK346),"")</f>
        <v/>
      </c>
      <c r="BI346" s="98" t="str">
        <f>IF(AND(AH346&lt;&gt;"SIM",AH346="UH"),"AA","INDENIZAÇÃO")</f>
        <v>AA</v>
      </c>
      <c r="BJ346" s="98" t="str">
        <f>IF(AND(BD346&lt;&gt;"AGUARDANDO",BD346&lt;&gt;"",N346="AUXÍLIO ALUGUEL ATÉ INDENIZAÇÃO"),"SIM","NÃO")</f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 x14ac:dyDescent="0.25">
      <c r="A347" s="207">
        <v>343</v>
      </c>
      <c r="B347" s="197" t="s">
        <v>4396</v>
      </c>
      <c r="C347" s="207" t="s">
        <v>4426</v>
      </c>
      <c r="D347" s="207">
        <v>1</v>
      </c>
      <c r="E347" s="207" t="s">
        <v>4398</v>
      </c>
      <c r="F347" s="214" t="s">
        <v>5900</v>
      </c>
      <c r="G347" s="207" t="s">
        <v>4400</v>
      </c>
      <c r="H347" s="207" t="s">
        <v>4401</v>
      </c>
      <c r="I347" s="217" t="s">
        <v>4402</v>
      </c>
      <c r="J347" s="215" t="s">
        <v>5901</v>
      </c>
      <c r="K347" s="215" t="s">
        <v>5902</v>
      </c>
      <c r="L347" s="215" t="s">
        <v>5903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5901</v>
      </c>
      <c r="AB347" s="215" t="s">
        <v>5902</v>
      </c>
      <c r="AC347" s="215" t="s">
        <v>5903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>IF(AQ347="SIM","AGUARDANDO CORREÇÃO",IF(AP347&lt;&gt;"","FINALIZADO",IF(AO347&lt;&gt;"","AGUARDANDO ENVIO DTS",IF(AN347&lt;&gt;"","AGUARDANDO ASSINATURA GAB",IF(AM347&lt;&gt;"","AGUARDANDO ASSINATURA CTS",IF(AL347&lt;&gt;"","AGUARDANDO ENVIO ASSINATURA CTS",IF(AK347&lt;&gt;"","AGUARDANDO CONFERÊNCIA","")))))))</f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>IFERROR(IF(BD347-KI347=0,"",BD347-AK347),"")</f>
        <v/>
      </c>
      <c r="BI347" s="98" t="str">
        <f>IF(AND(AH347&lt;&gt;"SIM",AH347="UH"),"AA","INDENIZAÇÃO")</f>
        <v>AA</v>
      </c>
      <c r="BJ347" s="98" t="str">
        <f>IF(AND(BD347&lt;&gt;"AGUARDANDO",BD347&lt;&gt;"",N347="AUXÍLIO ALUGUEL ATÉ INDENIZAÇÃO"),"SIM","NÃO")</f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hidden="1" customHeight="1" x14ac:dyDescent="0.25">
      <c r="A348" s="207">
        <v>344</v>
      </c>
      <c r="B348" s="197" t="s">
        <v>4396</v>
      </c>
      <c r="C348" s="207" t="s">
        <v>4426</v>
      </c>
      <c r="D348" s="207">
        <v>1</v>
      </c>
      <c r="E348" s="207" t="s">
        <v>4398</v>
      </c>
      <c r="F348" s="214" t="s">
        <v>5904</v>
      </c>
      <c r="G348" s="207" t="s">
        <v>4400</v>
      </c>
      <c r="H348" s="207" t="s">
        <v>4401</v>
      </c>
      <c r="I348" s="217" t="s">
        <v>4402</v>
      </c>
      <c r="J348" s="215" t="s">
        <v>5905</v>
      </c>
      <c r="K348" s="215" t="s">
        <v>4398</v>
      </c>
      <c r="L348" s="215" t="s">
        <v>5906</v>
      </c>
      <c r="M348" s="207" t="s">
        <v>4405</v>
      </c>
      <c r="N348" s="207" t="s">
        <v>4441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5905</v>
      </c>
      <c r="AB348" s="215" t="s">
        <v>4398</v>
      </c>
      <c r="AC348" s="215" t="s">
        <v>5906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>IF(AQ348="SIM","AGUARDANDO CORREÇÃO",IF(AP348&lt;&gt;"","FINALIZADO",IF(AO348&lt;&gt;"","AGUARDANDO ENVIO DTS",IF(AN348&lt;&gt;"","AGUARDANDO ASSINATURA GAB",IF(AM348&lt;&gt;"","AGUARDANDO ASSINATURA CTS",IF(AL348&lt;&gt;"","AGUARDANDO ENVIO ASSINATURA CTS",IF(AK348&lt;&gt;"","AGUARDANDO CONFERÊNCIA","")))))))</f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>IFERROR(IF(BD348-KI348=0,"",BD348-AK348),"")</f>
        <v/>
      </c>
      <c r="BI348" s="98" t="str">
        <f>IF(AND(AH348&lt;&gt;"SIM",AH348="UH"),"AA","INDENIZAÇÃO")</f>
        <v>INDENIZAÇÃO</v>
      </c>
      <c r="BJ348" s="98" t="str">
        <f>IF(AND(BD348&lt;&gt;"AGUARDANDO",BD348&lt;&gt;"",N348="AUXÍLIO ALUGUEL ATÉ INDENIZAÇÃO"),"SIM","NÃO")</f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 x14ac:dyDescent="0.25">
      <c r="A349" s="197">
        <v>345</v>
      </c>
      <c r="B349" s="197" t="s">
        <v>4396</v>
      </c>
      <c r="C349" s="207" t="s">
        <v>4426</v>
      </c>
      <c r="D349" s="207">
        <v>1</v>
      </c>
      <c r="E349" s="207" t="s">
        <v>4398</v>
      </c>
      <c r="F349" s="214" t="s">
        <v>5907</v>
      </c>
      <c r="G349" s="207" t="s">
        <v>4400</v>
      </c>
      <c r="H349" s="207" t="s">
        <v>4401</v>
      </c>
      <c r="I349" s="217" t="s">
        <v>4402</v>
      </c>
      <c r="J349" s="215" t="s">
        <v>5908</v>
      </c>
      <c r="K349" s="215" t="s">
        <v>5909</v>
      </c>
      <c r="L349" s="215" t="s">
        <v>5910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5908</v>
      </c>
      <c r="AB349" s="215" t="s">
        <v>5909</v>
      </c>
      <c r="AC349" s="215" t="s">
        <v>5910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>IF(AQ349="SIM","AGUARDANDO CORREÇÃO",IF(AP349&lt;&gt;"","FINALIZADO",IF(AO349&lt;&gt;"","AGUARDANDO ENVIO DTS",IF(AN349&lt;&gt;"","AGUARDANDO ASSINATURA GAB",IF(AM349&lt;&gt;"","AGUARDANDO ASSINATURA CTS",IF(AL349&lt;&gt;"","AGUARDANDO ENVIO ASSINATURA CTS",IF(AK349&lt;&gt;"","AGUARDANDO CONFERÊNCIA","")))))))</f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>IFERROR(IF(BD349-KI349=0,"",BD349-AK349),"")</f>
        <v/>
      </c>
      <c r="BI349" s="98" t="str">
        <f>IF(AND(AH349&lt;&gt;"SIM",AH349="UH"),"AA","INDENIZAÇÃO")</f>
        <v>AA</v>
      </c>
      <c r="BJ349" s="98" t="str">
        <f>IF(AND(BD349&lt;&gt;"AGUARDANDO",BD349&lt;&gt;"",N349="AUXÍLIO ALUGUEL ATÉ INDENIZAÇÃO"),"SIM","NÃO")</f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customHeight="1" x14ac:dyDescent="0.25">
      <c r="A350" s="197">
        <v>346</v>
      </c>
      <c r="B350" s="197" t="s">
        <v>4396</v>
      </c>
      <c r="C350" s="207" t="s">
        <v>4426</v>
      </c>
      <c r="D350" s="207">
        <v>1</v>
      </c>
      <c r="E350" s="207" t="s">
        <v>4398</v>
      </c>
      <c r="F350" s="214" t="s">
        <v>5911</v>
      </c>
      <c r="G350" s="207" t="s">
        <v>4400</v>
      </c>
      <c r="H350" s="207" t="s">
        <v>4401</v>
      </c>
      <c r="I350" s="217" t="s">
        <v>4402</v>
      </c>
      <c r="J350" s="215" t="s">
        <v>5912</v>
      </c>
      <c r="K350" s="215" t="s">
        <v>5913</v>
      </c>
      <c r="L350" s="215" t="s">
        <v>5914</v>
      </c>
      <c r="M350" s="207" t="s">
        <v>4405</v>
      </c>
      <c r="N350" s="207" t="s">
        <v>4441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5912</v>
      </c>
      <c r="AB350" s="215" t="s">
        <v>5913</v>
      </c>
      <c r="AC350" s="215" t="s">
        <v>5914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4432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>IF(AQ350="SIM","AGUARDANDO CORREÇÃO",IF(AP350&lt;&gt;"","FINALIZADO",IF(AO350&lt;&gt;"","AGUARDANDO ENVIO DTS",IF(AN350&lt;&gt;"","AGUARDANDO ASSINATURA GAB",IF(AM350&lt;&gt;"","AGUARDANDO ASSINATURA CTS",IF(AL350&lt;&gt;"","AGUARDANDO ENVIO ASSINATURA CTS",IF(AK350&lt;&gt;"","AGUARDANDO CONFERÊNCIA","")))))))</f>
        <v>FINALIZADO</v>
      </c>
      <c r="AS350" s="207" t="s">
        <v>4423</v>
      </c>
      <c r="AT350" s="207"/>
      <c r="AU350" s="220" t="s">
        <v>5915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4434</v>
      </c>
      <c r="BF350" s="228" t="s">
        <v>4435</v>
      </c>
      <c r="BG350" s="229" t="s">
        <v>4425</v>
      </c>
      <c r="BH350" s="321">
        <f>IFERROR(IF(BD350-KI350=0,"",BD350-AK350),"")</f>
        <v>37</v>
      </c>
      <c r="BI350" s="98" t="str">
        <f>IF(AND(AH350&lt;&gt;"SIM",AH350="UH"),"AA","INDENIZAÇÃO")</f>
        <v>INDENIZAÇÃO</v>
      </c>
      <c r="BJ350" s="98" t="str">
        <f>IF(AND(BD350&lt;&gt;"AGUARDANDO",BD350&lt;&gt;"",N350="AUXÍLIO ALUGUEL ATÉ INDENIZAÇÃO"),"SIM","NÃO")</f>
        <v>NÃO</v>
      </c>
      <c r="BK350" s="230" t="s">
        <v>4436</v>
      </c>
      <c r="BL350" s="230" t="s">
        <v>4436</v>
      </c>
      <c r="BM350" s="230" t="s">
        <v>4436</v>
      </c>
      <c r="BN350" s="265" t="s">
        <v>4956</v>
      </c>
      <c r="BO350" s="265"/>
      <c r="BP350" s="265"/>
      <c r="BQ350" s="265"/>
      <c r="BR350" s="231"/>
    </row>
    <row r="351" spans="1:112" s="240" customFormat="1" ht="27" customHeight="1" x14ac:dyDescent="0.25">
      <c r="A351" s="207">
        <v>347</v>
      </c>
      <c r="B351" s="197" t="s">
        <v>4396</v>
      </c>
      <c r="C351" s="207" t="s">
        <v>4426</v>
      </c>
      <c r="D351" s="207">
        <v>1</v>
      </c>
      <c r="E351" s="207" t="s">
        <v>4398</v>
      </c>
      <c r="F351" s="214" t="s">
        <v>5916</v>
      </c>
      <c r="G351" s="207" t="s">
        <v>4400</v>
      </c>
      <c r="H351" s="207" t="s">
        <v>4401</v>
      </c>
      <c r="I351" s="217" t="s">
        <v>4402</v>
      </c>
      <c r="J351" s="215" t="s">
        <v>5917</v>
      </c>
      <c r="K351" s="215" t="s">
        <v>5918</v>
      </c>
      <c r="L351" s="215" t="s">
        <v>5919</v>
      </c>
      <c r="M351" s="207" t="s">
        <v>4405</v>
      </c>
      <c r="N351" s="207" t="s">
        <v>4441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5917</v>
      </c>
      <c r="AB351" s="215" t="s">
        <v>4398</v>
      </c>
      <c r="AC351" s="215" t="s">
        <v>5919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4432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>IF(AQ351="SIM","AGUARDANDO CORREÇÃO",IF(AP351&lt;&gt;"","FINALIZADO",IF(AO351&lt;&gt;"","AGUARDANDO ENVIO DTS",IF(AN351&lt;&gt;"","AGUARDANDO ASSINATURA GAB",IF(AM351&lt;&gt;"","AGUARDANDO ASSINATURA CTS",IF(AL351&lt;&gt;"","AGUARDANDO ENVIO ASSINATURA CTS",IF(AK351&lt;&gt;"","AGUARDANDO CONFERÊNCIA","")))))))</f>
        <v>FINALIZADO</v>
      </c>
      <c r="AS351" s="207" t="s">
        <v>4423</v>
      </c>
      <c r="AT351" s="207"/>
      <c r="AU351" s="220" t="s">
        <v>5920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4434</v>
      </c>
      <c r="BF351" s="228" t="s">
        <v>4435</v>
      </c>
      <c r="BG351" s="229" t="s">
        <v>4425</v>
      </c>
      <c r="BH351" s="321">
        <f>IFERROR(IF(BD351-KI351=0,"",BD351-AK351),"")</f>
        <v>64</v>
      </c>
      <c r="BI351" s="98" t="str">
        <f>IF(AND(AH351&lt;&gt;"SIM",AH351="UH"),"AA","INDENIZAÇÃO")</f>
        <v>INDENIZAÇÃO</v>
      </c>
      <c r="BJ351" s="98" t="str">
        <f>IF(AND(BD351&lt;&gt;"AGUARDANDO",BD351&lt;&gt;"",N351="AUXÍLIO ALUGUEL ATÉ INDENIZAÇÃO"),"SIM","NÃO")</f>
        <v>NÃO</v>
      </c>
      <c r="BK351" s="230" t="s">
        <v>4436</v>
      </c>
      <c r="BL351" s="230" t="s">
        <v>4436</v>
      </c>
      <c r="BM351" s="230" t="s">
        <v>4436</v>
      </c>
      <c r="BN351" s="265" t="s">
        <v>4956</v>
      </c>
      <c r="BO351" s="265"/>
      <c r="BP351" s="265"/>
      <c r="BQ351" s="265"/>
      <c r="BR351" s="231"/>
    </row>
    <row r="352" spans="1:112" s="240" customFormat="1" ht="27" customHeight="1" x14ac:dyDescent="0.25">
      <c r="A352" s="207">
        <v>348</v>
      </c>
      <c r="B352" s="197" t="s">
        <v>4396</v>
      </c>
      <c r="C352" s="207" t="s">
        <v>4426</v>
      </c>
      <c r="D352" s="207">
        <v>1</v>
      </c>
      <c r="E352" s="207" t="s">
        <v>4398</v>
      </c>
      <c r="F352" s="214" t="s">
        <v>5921</v>
      </c>
      <c r="G352" s="207" t="s">
        <v>4400</v>
      </c>
      <c r="H352" s="207" t="s">
        <v>4401</v>
      </c>
      <c r="I352" s="217" t="s">
        <v>4402</v>
      </c>
      <c r="J352" s="215" t="s">
        <v>5922</v>
      </c>
      <c r="K352" s="215" t="s">
        <v>5923</v>
      </c>
      <c r="L352" s="215" t="s">
        <v>5924</v>
      </c>
      <c r="M352" s="207" t="s">
        <v>4405</v>
      </c>
      <c r="N352" s="207" t="s">
        <v>4441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5922</v>
      </c>
      <c r="AB352" s="215" t="s">
        <v>5923</v>
      </c>
      <c r="AC352" s="215" t="s">
        <v>5924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4432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>IF(AQ352="SIM","AGUARDANDO CORREÇÃO",IF(AP352&lt;&gt;"","FINALIZADO",IF(AO352&lt;&gt;"","AGUARDANDO ENVIO DTS",IF(AN352&lt;&gt;"","AGUARDANDO ASSINATURA GAB",IF(AM352&lt;&gt;"","AGUARDANDO ASSINATURA CTS",IF(AL352&lt;&gt;"","AGUARDANDO ENVIO ASSINATURA CTS",IF(AK352&lt;&gt;"","AGUARDANDO CONFERÊNCIA","")))))))</f>
        <v>FINALIZADO</v>
      </c>
      <c r="AS352" s="207" t="s">
        <v>4423</v>
      </c>
      <c r="AT352" s="207"/>
      <c r="AU352" s="220" t="s">
        <v>5925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4434</v>
      </c>
      <c r="BF352" s="228" t="s">
        <v>4435</v>
      </c>
      <c r="BG352" s="229" t="s">
        <v>4425</v>
      </c>
      <c r="BH352" s="321">
        <f>IFERROR(IF(BD352-KI352=0,"",BD352-AK352),"")</f>
        <v>23</v>
      </c>
      <c r="BI352" s="98" t="str">
        <f>IF(AND(AH352&lt;&gt;"SIM",AH352="UH"),"AA","INDENIZAÇÃO")</f>
        <v>INDENIZAÇÃO</v>
      </c>
      <c r="BJ352" s="98" t="str">
        <f>IF(AND(BD352&lt;&gt;"AGUARDANDO",BD352&lt;&gt;"",N352="AUXÍLIO ALUGUEL ATÉ INDENIZAÇÃO"),"SIM","NÃO")</f>
        <v>NÃO</v>
      </c>
      <c r="BK352" s="230" t="s">
        <v>4436</v>
      </c>
      <c r="BL352" s="230" t="s">
        <v>4436</v>
      </c>
      <c r="BM352" s="230" t="s">
        <v>4436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4434</v>
      </c>
    </row>
    <row r="353" spans="1:72" s="240" customFormat="1" ht="27" hidden="1" customHeight="1" x14ac:dyDescent="0.25">
      <c r="A353" s="207">
        <v>349</v>
      </c>
      <c r="B353" s="197" t="s">
        <v>4396</v>
      </c>
      <c r="C353" s="207" t="s">
        <v>4426</v>
      </c>
      <c r="D353" s="207">
        <v>1</v>
      </c>
      <c r="E353" s="207" t="s">
        <v>4398</v>
      </c>
      <c r="F353" s="214" t="s">
        <v>5926</v>
      </c>
      <c r="G353" s="207" t="s">
        <v>4400</v>
      </c>
      <c r="H353" s="207" t="s">
        <v>4401</v>
      </c>
      <c r="I353" s="217" t="s">
        <v>4402</v>
      </c>
      <c r="J353" s="215" t="s">
        <v>5927</v>
      </c>
      <c r="K353" s="215" t="s">
        <v>5928</v>
      </c>
      <c r="L353" s="215" t="s">
        <v>5929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5927</v>
      </c>
      <c r="AB353" s="215" t="s">
        <v>5928</v>
      </c>
      <c r="AC353" s="215" t="s">
        <v>5929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>IF(AQ353="SIM","AGUARDANDO CORREÇÃO",IF(AP353&lt;&gt;"","FINALIZADO",IF(AO353&lt;&gt;"","AGUARDANDO ENVIO DTS",IF(AN353&lt;&gt;"","AGUARDANDO ASSINATURA GAB",IF(AM353&lt;&gt;"","AGUARDANDO ASSINATURA CTS",IF(AL353&lt;&gt;"","AGUARDANDO ENVIO ASSINATURA CTS",IF(AK353&lt;&gt;"","AGUARDANDO CONFERÊNCIA","")))))))</f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>IFERROR(IF(BD353-KI353=0,"",BD353-AK353),"")</f>
        <v/>
      </c>
      <c r="BI353" s="98" t="str">
        <f>IF(AND(AH353&lt;&gt;"SIM",AH353="UH"),"AA","INDENIZAÇÃO")</f>
        <v>AA</v>
      </c>
      <c r="BJ353" s="98" t="str">
        <f>IF(AND(BD353&lt;&gt;"AGUARDANDO",BD353&lt;&gt;"",N353="AUXÍLIO ALUGUEL ATÉ INDENIZAÇÃO"),"SIM","NÃO")</f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hidden="1" customHeight="1" x14ac:dyDescent="0.25">
      <c r="A354" s="197">
        <v>350</v>
      </c>
      <c r="B354" s="197" t="s">
        <v>4396</v>
      </c>
      <c r="C354" s="207" t="s">
        <v>4426</v>
      </c>
      <c r="D354" s="207">
        <v>1</v>
      </c>
      <c r="E354" s="207" t="s">
        <v>4398</v>
      </c>
      <c r="F354" s="214" t="s">
        <v>5930</v>
      </c>
      <c r="G354" s="207" t="s">
        <v>4400</v>
      </c>
      <c r="H354" s="207" t="s">
        <v>4401</v>
      </c>
      <c r="I354" s="217" t="s">
        <v>4402</v>
      </c>
      <c r="J354" s="215" t="s">
        <v>5931</v>
      </c>
      <c r="K354" s="215" t="s">
        <v>5932</v>
      </c>
      <c r="L354" s="215" t="s">
        <v>5933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5931</v>
      </c>
      <c r="AB354" s="215" t="s">
        <v>5932</v>
      </c>
      <c r="AC354" s="215" t="s">
        <v>5933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>IF(AQ354="SIM","AGUARDANDO CORREÇÃO",IF(AP354&lt;&gt;"","FINALIZADO",IF(AO354&lt;&gt;"","AGUARDANDO ENVIO DTS",IF(AN354&lt;&gt;"","AGUARDANDO ASSINATURA GAB",IF(AM354&lt;&gt;"","AGUARDANDO ASSINATURA CTS",IF(AL354&lt;&gt;"","AGUARDANDO ENVIO ASSINATURA CTS",IF(AK354&lt;&gt;"","AGUARDANDO CONFERÊNCIA","")))))))</f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>IFERROR(IF(BD354-KI354=0,"",BD354-AK354),"")</f>
        <v/>
      </c>
      <c r="BI354" s="98" t="str">
        <f>IF(AND(AH354&lt;&gt;"SIM",AH354="UH"),"AA","INDENIZAÇÃO")</f>
        <v>AA</v>
      </c>
      <c r="BJ354" s="98" t="str">
        <f>IF(AND(BD354&lt;&gt;"AGUARDANDO",BD354&lt;&gt;"",N354="AUXÍLIO ALUGUEL ATÉ INDENIZAÇÃO"),"SIM","NÃO")</f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customHeight="1" x14ac:dyDescent="0.25">
      <c r="A355" s="197">
        <v>351</v>
      </c>
      <c r="B355" s="197" t="s">
        <v>4396</v>
      </c>
      <c r="C355" s="207" t="s">
        <v>4426</v>
      </c>
      <c r="D355" s="207">
        <v>1</v>
      </c>
      <c r="E355" s="207" t="s">
        <v>4398</v>
      </c>
      <c r="F355" s="214" t="s">
        <v>5934</v>
      </c>
      <c r="G355" s="207" t="s">
        <v>4400</v>
      </c>
      <c r="H355" s="207" t="s">
        <v>4401</v>
      </c>
      <c r="I355" s="217" t="s">
        <v>4414</v>
      </c>
      <c r="J355" s="215" t="s">
        <v>5935</v>
      </c>
      <c r="K355" s="215" t="s">
        <v>5936</v>
      </c>
      <c r="L355" s="215" t="s">
        <v>5937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5938</v>
      </c>
      <c r="AB355" s="215" t="s">
        <v>5939</v>
      </c>
      <c r="AC355" s="215" t="s">
        <v>5940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4432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>IF(AQ355="SIM","AGUARDANDO CORREÇÃO",IF(AP355&lt;&gt;"","FINALIZADO",IF(AO355&lt;&gt;"","AGUARDANDO ENVIO DTS",IF(AN355&lt;&gt;"","AGUARDANDO ASSINATURA GAB",IF(AM355&lt;&gt;"","AGUARDANDO ASSINATURA CTS",IF(AL355&lt;&gt;"","AGUARDANDO ENVIO ASSINATURA CTS",IF(AK355&lt;&gt;"","AGUARDANDO CONFERÊNCIA","")))))))</f>
        <v>FINALIZADO</v>
      </c>
      <c r="AS355" s="207" t="s">
        <v>4423</v>
      </c>
      <c r="AT355" s="207"/>
      <c r="AU355" s="220" t="s">
        <v>5941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4434</v>
      </c>
      <c r="BF355" s="228" t="s">
        <v>4435</v>
      </c>
      <c r="BG355" s="229" t="s">
        <v>4425</v>
      </c>
      <c r="BH355" s="321">
        <f>IFERROR(IF(BD355-KI355=0,"",BD355-AK355),"")</f>
        <v>38</v>
      </c>
      <c r="BI355" s="98" t="str">
        <f>IF(AND(AH355&lt;&gt;"SIM",AH355="UH"),"AA","INDENIZAÇÃO")</f>
        <v>INDENIZAÇÃO</v>
      </c>
      <c r="BJ355" s="98" t="str">
        <f>IF(AND(BD355&lt;&gt;"AGUARDANDO",BD355&lt;&gt;"",N355="AUXÍLIO ALUGUEL ATÉ INDENIZAÇÃO"),"SIM","NÃO")</f>
        <v>NÃO</v>
      </c>
      <c r="BK355" s="230" t="s">
        <v>4436</v>
      </c>
      <c r="BL355" s="230" t="s">
        <v>4436</v>
      </c>
      <c r="BM355" s="230" t="s">
        <v>4436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4434</v>
      </c>
    </row>
    <row r="356" spans="1:72" s="240" customFormat="1" ht="27" hidden="1" customHeight="1" x14ac:dyDescent="0.25">
      <c r="A356" s="207">
        <v>352</v>
      </c>
      <c r="B356" s="197" t="s">
        <v>4396</v>
      </c>
      <c r="C356" s="207" t="s">
        <v>4426</v>
      </c>
      <c r="D356" s="207">
        <v>1</v>
      </c>
      <c r="E356" s="207" t="s">
        <v>4398</v>
      </c>
      <c r="F356" s="214" t="s">
        <v>5942</v>
      </c>
      <c r="G356" s="207" t="s">
        <v>4400</v>
      </c>
      <c r="H356" s="207" t="s">
        <v>4401</v>
      </c>
      <c r="I356" s="217" t="s">
        <v>4414</v>
      </c>
      <c r="J356" s="215" t="s">
        <v>5943</v>
      </c>
      <c r="K356" s="215" t="s">
        <v>5944</v>
      </c>
      <c r="L356" s="215" t="s">
        <v>5945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5946</v>
      </c>
      <c r="AB356" s="215" t="s">
        <v>5947</v>
      </c>
      <c r="AC356" s="215" t="s">
        <v>5948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>IF(AQ356="SIM","AGUARDANDO CORREÇÃO",IF(AP356&lt;&gt;"","FINALIZADO",IF(AO356&lt;&gt;"","AGUARDANDO ENVIO DTS",IF(AN356&lt;&gt;"","AGUARDANDO ASSINATURA GAB",IF(AM356&lt;&gt;"","AGUARDANDO ASSINATURA CTS",IF(AL356&lt;&gt;"","AGUARDANDO ENVIO ASSINATURA CTS",IF(AK356&lt;&gt;"","AGUARDANDO CONFERÊNCIA","")))))))</f>
        <v>FINALIZADO</v>
      </c>
      <c r="AS356" s="207"/>
      <c r="AT356" s="207" t="s">
        <v>5949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>IFERROR(IF(BD356-KI356=0,"",BD356-AK356),"")</f>
        <v/>
      </c>
      <c r="BI356" s="98" t="str">
        <f>IF(AND(AH356&lt;&gt;"SIM",AH356="UH"),"AA","INDENIZAÇÃO")</f>
        <v>INDENIZAÇÃO</v>
      </c>
      <c r="BJ356" s="98" t="str">
        <f>IF(AND(BD356&lt;&gt;"AGUARDANDO",BD356&lt;&gt;"",N356="AUXÍLIO ALUGUEL ATÉ INDENIZAÇÃO"),"SIM","NÃO")</f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customHeight="1" x14ac:dyDescent="0.25">
      <c r="A357" s="207">
        <v>353</v>
      </c>
      <c r="B357" s="197" t="s">
        <v>4396</v>
      </c>
      <c r="C357" s="207" t="s">
        <v>4426</v>
      </c>
      <c r="D357" s="207">
        <v>1</v>
      </c>
      <c r="E357" s="207" t="s">
        <v>4398</v>
      </c>
      <c r="F357" s="214" t="s">
        <v>5950</v>
      </c>
      <c r="G357" s="207" t="s">
        <v>4400</v>
      </c>
      <c r="H357" s="207" t="s">
        <v>4401</v>
      </c>
      <c r="I357" s="217" t="s">
        <v>4402</v>
      </c>
      <c r="J357" s="215" t="s">
        <v>5951</v>
      </c>
      <c r="K357" s="215" t="s">
        <v>5952</v>
      </c>
      <c r="L357" s="215" t="s">
        <v>5953</v>
      </c>
      <c r="M357" s="207" t="s">
        <v>4405</v>
      </c>
      <c r="N357" s="207" t="s">
        <v>4441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5951</v>
      </c>
      <c r="AB357" s="215" t="s">
        <v>5952</v>
      </c>
      <c r="AC357" s="215" t="s">
        <v>5953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4432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>IF(AQ357="SIM","AGUARDANDO CORREÇÃO",IF(AP357&lt;&gt;"","FINALIZADO",IF(AO357&lt;&gt;"","AGUARDANDO ENVIO DTS",IF(AN357&lt;&gt;"","AGUARDANDO ASSINATURA GAB",IF(AM357&lt;&gt;"","AGUARDANDO ASSINATURA CTS",IF(AL357&lt;&gt;"","AGUARDANDO ENVIO ASSINATURA CTS",IF(AK357&lt;&gt;"","AGUARDANDO CONFERÊNCIA","")))))))</f>
        <v>FINALIZADO</v>
      </c>
      <c r="AS357" s="207" t="s">
        <v>4423</v>
      </c>
      <c r="AT357" s="207"/>
      <c r="AU357" s="220" t="s">
        <v>5954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4434</v>
      </c>
      <c r="BF357" s="228" t="s">
        <v>4435</v>
      </c>
      <c r="BG357" s="229" t="s">
        <v>4425</v>
      </c>
      <c r="BH357" s="321">
        <f>IFERROR(IF(BD357-KI357=0,"",BD357-AK357),"")</f>
        <v>55</v>
      </c>
      <c r="BI357" s="98" t="str">
        <f>IF(AND(AH357&lt;&gt;"SIM",AH357="UH"),"AA","INDENIZAÇÃO")</f>
        <v>INDENIZAÇÃO</v>
      </c>
      <c r="BJ357" s="98" t="str">
        <f>IF(AND(BD357&lt;&gt;"AGUARDANDO",BD357&lt;&gt;"",N357="AUXÍLIO ALUGUEL ATÉ INDENIZAÇÃO"),"SIM","NÃO")</f>
        <v>NÃO</v>
      </c>
      <c r="BK357" s="230" t="s">
        <v>4436</v>
      </c>
      <c r="BL357" s="230" t="s">
        <v>4436</v>
      </c>
      <c r="BM357" s="230" t="s">
        <v>4436</v>
      </c>
      <c r="BN357" s="265" t="s">
        <v>4956</v>
      </c>
      <c r="BO357" s="265"/>
      <c r="BP357" s="265"/>
      <c r="BQ357" s="265"/>
      <c r="BR357" s="231"/>
    </row>
    <row r="358" spans="1:72" s="240" customFormat="1" ht="27" customHeight="1" x14ac:dyDescent="0.25">
      <c r="A358" s="207">
        <v>354</v>
      </c>
      <c r="B358" s="197" t="s">
        <v>4396</v>
      </c>
      <c r="C358" s="207" t="s">
        <v>4426</v>
      </c>
      <c r="D358" s="207">
        <v>1</v>
      </c>
      <c r="E358" s="207" t="s">
        <v>4398</v>
      </c>
      <c r="F358" s="214" t="s">
        <v>5955</v>
      </c>
      <c r="G358" s="207" t="s">
        <v>4400</v>
      </c>
      <c r="H358" s="207" t="s">
        <v>4401</v>
      </c>
      <c r="I358" s="217" t="s">
        <v>4402</v>
      </c>
      <c r="J358" s="215" t="s">
        <v>5956</v>
      </c>
      <c r="K358" s="215" t="s">
        <v>5957</v>
      </c>
      <c r="L358" s="215" t="s">
        <v>5958</v>
      </c>
      <c r="M358" s="207" t="s">
        <v>4405</v>
      </c>
      <c r="N358" s="207" t="s">
        <v>4441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5956</v>
      </c>
      <c r="AB358" s="215" t="s">
        <v>5957</v>
      </c>
      <c r="AC358" s="215" t="s">
        <v>5958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4432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>IF(AQ358="SIM","AGUARDANDO CORREÇÃO",IF(AP358&lt;&gt;"","FINALIZADO",IF(AO358&lt;&gt;"","AGUARDANDO ENVIO DTS",IF(AN358&lt;&gt;"","AGUARDANDO ASSINATURA GAB",IF(AM358&lt;&gt;"","AGUARDANDO ASSINATURA CTS",IF(AL358&lt;&gt;"","AGUARDANDO ENVIO ASSINATURA CTS",IF(AK358&lt;&gt;"","AGUARDANDO CONFERÊNCIA","")))))))</f>
        <v>FINALIZADO</v>
      </c>
      <c r="AS358" s="207" t="s">
        <v>4423</v>
      </c>
      <c r="AT358" s="207"/>
      <c r="AU358" s="220" t="s">
        <v>5959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4434</v>
      </c>
      <c r="BF358" s="228" t="s">
        <v>4435</v>
      </c>
      <c r="BG358" s="229" t="s">
        <v>4425</v>
      </c>
      <c r="BH358" s="321">
        <f>IFERROR(IF(BD358-KI358=0,"",BD358-AK358),"")</f>
        <v>23</v>
      </c>
      <c r="BI358" s="98" t="str">
        <f>IF(AND(AH358&lt;&gt;"SIM",AH358="UH"),"AA","INDENIZAÇÃO")</f>
        <v>INDENIZAÇÃO</v>
      </c>
      <c r="BJ358" s="98" t="str">
        <f>IF(AND(BD358&lt;&gt;"AGUARDANDO",BD358&lt;&gt;"",N358="AUXÍLIO ALUGUEL ATÉ INDENIZAÇÃO"),"SIM","NÃO")</f>
        <v>NÃO</v>
      </c>
      <c r="BK358" s="230" t="s">
        <v>4436</v>
      </c>
      <c r="BL358" s="230" t="s">
        <v>4436</v>
      </c>
      <c r="BM358" s="230" t="s">
        <v>4436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4434</v>
      </c>
    </row>
    <row r="359" spans="1:72" s="240" customFormat="1" ht="27" hidden="1" customHeight="1" x14ac:dyDescent="0.25">
      <c r="A359" s="197">
        <v>355</v>
      </c>
      <c r="B359" s="197" t="s">
        <v>4396</v>
      </c>
      <c r="C359" s="207" t="s">
        <v>4426</v>
      </c>
      <c r="D359" s="207">
        <v>1</v>
      </c>
      <c r="E359" s="207" t="s">
        <v>4398</v>
      </c>
      <c r="F359" s="214" t="s">
        <v>5960</v>
      </c>
      <c r="G359" s="207" t="s">
        <v>4400</v>
      </c>
      <c r="H359" s="207" t="s">
        <v>4401</v>
      </c>
      <c r="I359" s="217" t="s">
        <v>4402</v>
      </c>
      <c r="J359" s="215" t="s">
        <v>5961</v>
      </c>
      <c r="K359" s="215" t="s">
        <v>5962</v>
      </c>
      <c r="L359" s="215" t="s">
        <v>5963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5961</v>
      </c>
      <c r="AB359" s="215" t="s">
        <v>5962</v>
      </c>
      <c r="AC359" s="215" t="s">
        <v>5963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>IF(AQ359="SIM","AGUARDANDO CORREÇÃO",IF(AP359&lt;&gt;"","FINALIZADO",IF(AO359&lt;&gt;"","AGUARDANDO ENVIO DTS",IF(AN359&lt;&gt;"","AGUARDANDO ASSINATURA GAB",IF(AM359&lt;&gt;"","AGUARDANDO ASSINATURA CTS",IF(AL359&lt;&gt;"","AGUARDANDO ENVIO ASSINATURA CTS",IF(AK359&lt;&gt;"","AGUARDANDO CONFERÊNCIA","")))))))</f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>IFERROR(IF(BD359-KI359=0,"",BD359-AK359),"")</f>
        <v/>
      </c>
      <c r="BI359" s="98" t="str">
        <f>IF(AND(AH359&lt;&gt;"SIM",AH359="UH"),"AA","INDENIZAÇÃO")</f>
        <v>AA</v>
      </c>
      <c r="BJ359" s="98" t="str">
        <f>IF(AND(BD359&lt;&gt;"AGUARDANDO",BD359&lt;&gt;"",N359="AUXÍLIO ALUGUEL ATÉ INDENIZAÇÃO"),"SIM","NÃO")</f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customHeight="1" x14ac:dyDescent="0.25">
      <c r="A360" s="197">
        <v>356</v>
      </c>
      <c r="B360" s="197" t="s">
        <v>4396</v>
      </c>
      <c r="C360" s="207" t="s">
        <v>4426</v>
      </c>
      <c r="D360" s="207">
        <v>1</v>
      </c>
      <c r="E360" s="207" t="s">
        <v>4398</v>
      </c>
      <c r="F360" s="214" t="s">
        <v>5964</v>
      </c>
      <c r="G360" s="207" t="s">
        <v>4400</v>
      </c>
      <c r="H360" s="207" t="s">
        <v>4401</v>
      </c>
      <c r="I360" s="217" t="s">
        <v>4402</v>
      </c>
      <c r="J360" s="215" t="s">
        <v>5965</v>
      </c>
      <c r="K360" s="215" t="s">
        <v>5966</v>
      </c>
      <c r="L360" s="215" t="s">
        <v>5967</v>
      </c>
      <c r="M360" s="207" t="s">
        <v>4405</v>
      </c>
      <c r="N360" s="207" t="s">
        <v>4441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5965</v>
      </c>
      <c r="AB360" s="215" t="s">
        <v>5966</v>
      </c>
      <c r="AC360" s="215" t="s">
        <v>5967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4432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>IF(AQ360="SIM","AGUARDANDO CORREÇÃO",IF(AP360&lt;&gt;"","FINALIZADO",IF(AO360&lt;&gt;"","AGUARDANDO ENVIO DTS",IF(AN360&lt;&gt;"","AGUARDANDO ASSINATURA GAB",IF(AM360&lt;&gt;"","AGUARDANDO ASSINATURA CTS",IF(AL360&lt;&gt;"","AGUARDANDO ENVIO ASSINATURA CTS",IF(AK360&lt;&gt;"","AGUARDANDO CONFERÊNCIA","")))))))</f>
        <v>FINALIZADO</v>
      </c>
      <c r="AS360" s="207" t="s">
        <v>4423</v>
      </c>
      <c r="AT360" s="207"/>
      <c r="AU360" s="220" t="s">
        <v>5968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4434</v>
      </c>
      <c r="BF360" s="228" t="s">
        <v>4435</v>
      </c>
      <c r="BG360" s="229" t="s">
        <v>4425</v>
      </c>
      <c r="BH360" s="321">
        <f>IFERROR(IF(BD360-KI360=0,"",BD360-AK360),"")</f>
        <v>41</v>
      </c>
      <c r="BI360" s="98" t="str">
        <f>IF(AND(AH360&lt;&gt;"SIM",AH360="UH"),"AA","INDENIZAÇÃO")</f>
        <v>INDENIZAÇÃO</v>
      </c>
      <c r="BJ360" s="98" t="str">
        <f>IF(AND(BD360&lt;&gt;"AGUARDANDO",BD360&lt;&gt;"",N360="AUXÍLIO ALUGUEL ATÉ INDENIZAÇÃO"),"SIM","NÃO")</f>
        <v>NÃO</v>
      </c>
      <c r="BK360" s="230" t="s">
        <v>4436</v>
      </c>
      <c r="BL360" s="230" t="s">
        <v>4436</v>
      </c>
      <c r="BM360" s="230" t="s">
        <v>4436</v>
      </c>
      <c r="BN360" s="265" t="s">
        <v>4956</v>
      </c>
      <c r="BO360" s="265"/>
      <c r="BP360" s="265"/>
      <c r="BQ360" s="265"/>
      <c r="BR360" s="231"/>
    </row>
    <row r="361" spans="1:72" s="240" customFormat="1" ht="27" customHeight="1" x14ac:dyDescent="0.25">
      <c r="A361" s="207">
        <v>357</v>
      </c>
      <c r="B361" s="197" t="s">
        <v>4396</v>
      </c>
      <c r="C361" s="207" t="s">
        <v>4426</v>
      </c>
      <c r="D361" s="207">
        <v>1</v>
      </c>
      <c r="E361" s="207" t="s">
        <v>4398</v>
      </c>
      <c r="F361" s="214" t="s">
        <v>5969</v>
      </c>
      <c r="G361" s="207" t="s">
        <v>4400</v>
      </c>
      <c r="H361" s="207" t="s">
        <v>4401</v>
      </c>
      <c r="I361" s="217" t="s">
        <v>4402</v>
      </c>
      <c r="J361" s="215" t="s">
        <v>5970</v>
      </c>
      <c r="K361" s="215" t="s">
        <v>5971</v>
      </c>
      <c r="L361" s="215" t="s">
        <v>5972</v>
      </c>
      <c r="M361" s="207" t="s">
        <v>4405</v>
      </c>
      <c r="N361" s="207" t="s">
        <v>4441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5970</v>
      </c>
      <c r="AB361" s="215" t="s">
        <v>5971</v>
      </c>
      <c r="AC361" s="215" t="s">
        <v>5972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4432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>IF(AQ361="SIM","AGUARDANDO CORREÇÃO",IF(AP361&lt;&gt;"","FINALIZADO",IF(AO361&lt;&gt;"","AGUARDANDO ENVIO DTS",IF(AN361&lt;&gt;"","AGUARDANDO ASSINATURA GAB",IF(AM361&lt;&gt;"","AGUARDANDO ASSINATURA CTS",IF(AL361&lt;&gt;"","AGUARDANDO ENVIO ASSINATURA CTS",IF(AK361&lt;&gt;"","AGUARDANDO CONFERÊNCIA","")))))))</f>
        <v>FINALIZADO</v>
      </c>
      <c r="AS361" s="207" t="s">
        <v>4423</v>
      </c>
      <c r="AT361" s="207"/>
      <c r="AU361" s="220" t="s">
        <v>5973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4434</v>
      </c>
      <c r="BF361" s="228" t="s">
        <v>4435</v>
      </c>
      <c r="BG361" s="229" t="s">
        <v>4425</v>
      </c>
      <c r="BH361" s="321">
        <f>IFERROR(IF(BD361-KI361=0,"",BD361-AK361),"")</f>
        <v>23</v>
      </c>
      <c r="BI361" s="98" t="str">
        <f>IF(AND(AH361&lt;&gt;"SIM",AH361="UH"),"AA","INDENIZAÇÃO")</f>
        <v>INDENIZAÇÃO</v>
      </c>
      <c r="BJ361" s="98" t="str">
        <f>IF(AND(BD361&lt;&gt;"AGUARDANDO",BD361&lt;&gt;"",N361="AUXÍLIO ALUGUEL ATÉ INDENIZAÇÃO"),"SIM","NÃO")</f>
        <v>NÃO</v>
      </c>
      <c r="BK361" s="230" t="s">
        <v>4436</v>
      </c>
      <c r="BL361" s="230" t="s">
        <v>4436</v>
      </c>
      <c r="BM361" s="230" t="s">
        <v>4436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4434</v>
      </c>
    </row>
    <row r="362" spans="1:72" s="240" customFormat="1" ht="27" customHeight="1" x14ac:dyDescent="0.25">
      <c r="A362" s="207">
        <v>358</v>
      </c>
      <c r="B362" s="197" t="s">
        <v>4396</v>
      </c>
      <c r="C362" s="207" t="s">
        <v>4426</v>
      </c>
      <c r="D362" s="207">
        <v>1</v>
      </c>
      <c r="E362" s="207" t="s">
        <v>4398</v>
      </c>
      <c r="F362" s="214" t="s">
        <v>5974</v>
      </c>
      <c r="G362" s="207" t="s">
        <v>4400</v>
      </c>
      <c r="H362" s="207" t="s">
        <v>4401</v>
      </c>
      <c r="I362" s="217" t="s">
        <v>4402</v>
      </c>
      <c r="J362" s="215" t="s">
        <v>5975</v>
      </c>
      <c r="K362" s="215" t="s">
        <v>5976</v>
      </c>
      <c r="L362" s="215" t="s">
        <v>5977</v>
      </c>
      <c r="M362" s="207" t="s">
        <v>4405</v>
      </c>
      <c r="N362" s="207" t="s">
        <v>4441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5975</v>
      </c>
      <c r="AB362" s="215" t="s">
        <v>5976</v>
      </c>
      <c r="AC362" s="215" t="s">
        <v>5977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4432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>IF(AQ362="SIM","AGUARDANDO CORREÇÃO",IF(AP362&lt;&gt;"","FINALIZADO",IF(AO362&lt;&gt;"","AGUARDANDO ENVIO DTS",IF(AN362&lt;&gt;"","AGUARDANDO ASSINATURA GAB",IF(AM362&lt;&gt;"","AGUARDANDO ASSINATURA CTS",IF(AL362&lt;&gt;"","AGUARDANDO ENVIO ASSINATURA CTS",IF(AK362&lt;&gt;"","AGUARDANDO CONFERÊNCIA","")))))))</f>
        <v>FINALIZADO</v>
      </c>
      <c r="AS362" s="207" t="s">
        <v>4423</v>
      </c>
      <c r="AT362" s="207"/>
      <c r="AU362" s="220" t="s">
        <v>5978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4434</v>
      </c>
      <c r="BF362" s="228" t="s">
        <v>4435</v>
      </c>
      <c r="BG362" s="219" t="s">
        <v>4425</v>
      </c>
      <c r="BH362" s="321">
        <f>IFERROR(IF(BD362-KI362=0,"",BD362-AK362),"")</f>
        <v>94</v>
      </c>
      <c r="BI362" s="98" t="str">
        <f>IF(AND(AH362&lt;&gt;"SIM",AH362="UH"),"AA","INDENIZAÇÃO")</f>
        <v>INDENIZAÇÃO</v>
      </c>
      <c r="BJ362" s="98" t="str">
        <f>IF(AND(BD362&lt;&gt;"AGUARDANDO",BD362&lt;&gt;"",N362="AUXÍLIO ALUGUEL ATÉ INDENIZAÇÃO"),"SIM","NÃO")</f>
        <v>NÃO</v>
      </c>
      <c r="BK362" s="219" t="s">
        <v>4436</v>
      </c>
      <c r="BL362" s="219" t="s">
        <v>4436</v>
      </c>
      <c r="BM362" s="219" t="s">
        <v>4436</v>
      </c>
      <c r="BN362" s="257" t="s">
        <v>4956</v>
      </c>
      <c r="BO362" s="257"/>
      <c r="BP362" s="257"/>
      <c r="BQ362" s="257"/>
      <c r="BR362" s="258"/>
    </row>
    <row r="363" spans="1:72" s="240" customFormat="1" ht="27" customHeight="1" x14ac:dyDescent="0.25">
      <c r="A363" s="207">
        <v>359</v>
      </c>
      <c r="B363" s="197" t="s">
        <v>4396</v>
      </c>
      <c r="C363" s="207" t="s">
        <v>4426</v>
      </c>
      <c r="D363" s="207">
        <v>1</v>
      </c>
      <c r="E363" s="207" t="s">
        <v>4398</v>
      </c>
      <c r="F363" s="214" t="s">
        <v>5979</v>
      </c>
      <c r="G363" s="207" t="s">
        <v>4400</v>
      </c>
      <c r="H363" s="207" t="s">
        <v>4401</v>
      </c>
      <c r="I363" s="217" t="s">
        <v>4402</v>
      </c>
      <c r="J363" s="215" t="s">
        <v>5980</v>
      </c>
      <c r="K363" s="215" t="s">
        <v>5981</v>
      </c>
      <c r="L363" s="215" t="s">
        <v>5982</v>
      </c>
      <c r="M363" s="207" t="s">
        <v>4405</v>
      </c>
      <c r="N363" s="207" t="s">
        <v>4441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5980</v>
      </c>
      <c r="AB363" s="215" t="s">
        <v>5981</v>
      </c>
      <c r="AC363" s="215" t="s">
        <v>5982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4432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>IF(AQ363="SIM","AGUARDANDO CORREÇÃO",IF(AP363&lt;&gt;"","FINALIZADO",IF(AO363&lt;&gt;"","AGUARDANDO ENVIO DTS",IF(AN363&lt;&gt;"","AGUARDANDO ASSINATURA GAB",IF(AM363&lt;&gt;"","AGUARDANDO ASSINATURA CTS",IF(AL363&lt;&gt;"","AGUARDANDO ENVIO ASSINATURA CTS",IF(AK363&lt;&gt;"","AGUARDANDO CONFERÊNCIA","")))))))</f>
        <v>FINALIZADO</v>
      </c>
      <c r="AS363" s="207" t="s">
        <v>4423</v>
      </c>
      <c r="AT363" s="207"/>
      <c r="AU363" s="220" t="s">
        <v>5983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4434</v>
      </c>
      <c r="BF363" s="228" t="s">
        <v>4435</v>
      </c>
      <c r="BG363" s="229" t="s">
        <v>4425</v>
      </c>
      <c r="BH363" s="321">
        <f>IFERROR(IF(BD363-KI363=0,"",BD363-AK363),"")</f>
        <v>94</v>
      </c>
      <c r="BI363" s="98" t="str">
        <f>IF(AND(AH363&lt;&gt;"SIM",AH363="UH"),"AA","INDENIZAÇÃO")</f>
        <v>INDENIZAÇÃO</v>
      </c>
      <c r="BJ363" s="98" t="str">
        <f>IF(AND(BD363&lt;&gt;"AGUARDANDO",BD363&lt;&gt;"",N363="AUXÍLIO ALUGUEL ATÉ INDENIZAÇÃO"),"SIM","NÃO")</f>
        <v>NÃO</v>
      </c>
      <c r="BK363" s="219" t="s">
        <v>4436</v>
      </c>
      <c r="BL363" s="219" t="s">
        <v>4436</v>
      </c>
      <c r="BM363" s="219" t="s">
        <v>4436</v>
      </c>
      <c r="BN363" s="257" t="s">
        <v>4956</v>
      </c>
      <c r="BO363" s="257"/>
      <c r="BP363" s="257"/>
      <c r="BQ363" s="257"/>
      <c r="BR363" s="258"/>
    </row>
    <row r="364" spans="1:72" s="240" customFormat="1" ht="27" hidden="1" customHeight="1" x14ac:dyDescent="0.25">
      <c r="A364" s="197">
        <v>360</v>
      </c>
      <c r="B364" s="197" t="s">
        <v>4396</v>
      </c>
      <c r="C364" s="207" t="s">
        <v>4426</v>
      </c>
      <c r="D364" s="207">
        <v>1</v>
      </c>
      <c r="E364" s="207" t="s">
        <v>4398</v>
      </c>
      <c r="F364" s="214" t="s">
        <v>5984</v>
      </c>
      <c r="G364" s="207" t="s">
        <v>4400</v>
      </c>
      <c r="H364" s="207" t="s">
        <v>4401</v>
      </c>
      <c r="I364" s="217" t="s">
        <v>4402</v>
      </c>
      <c r="J364" s="255" t="s">
        <v>5985</v>
      </c>
      <c r="K364" s="215" t="s">
        <v>5986</v>
      </c>
      <c r="L364" s="215" t="s">
        <v>5987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5985</v>
      </c>
      <c r="AB364" s="215" t="s">
        <v>5986</v>
      </c>
      <c r="AC364" s="215" t="s">
        <v>5987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>IF(AQ364="SIM","AGUARDANDO CORREÇÃO",IF(AP364&lt;&gt;"","FINALIZADO",IF(AO364&lt;&gt;"","AGUARDANDO ENVIO DTS",IF(AN364&lt;&gt;"","AGUARDANDO ASSINATURA GAB",IF(AM364&lt;&gt;"","AGUARDANDO ASSINATURA CTS",IF(AL364&lt;&gt;"","AGUARDANDO ENVIO ASSINATURA CTS",IF(AK364&lt;&gt;"","AGUARDANDO CONFERÊNCIA","")))))))</f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>IFERROR(IF(BD364-KI364=0,"",BD364-AK364),"")</f>
        <v/>
      </c>
      <c r="BI364" s="98" t="str">
        <f>IF(AND(AH364&lt;&gt;"SIM",AH364="UH"),"AA","INDENIZAÇÃO")</f>
        <v>AA</v>
      </c>
      <c r="BJ364" s="98" t="str">
        <f>IF(AND(BD364&lt;&gt;"AGUARDANDO",BD364&lt;&gt;"",N364="AUXÍLIO ALUGUEL ATÉ INDENIZAÇÃO"),"SIM","NÃO")</f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hidden="1" customHeight="1" x14ac:dyDescent="0.25">
      <c r="A365" s="197">
        <v>361</v>
      </c>
      <c r="B365" s="197" t="s">
        <v>4396</v>
      </c>
      <c r="C365" s="207" t="s">
        <v>4426</v>
      </c>
      <c r="D365" s="207">
        <v>1</v>
      </c>
      <c r="E365" s="207" t="s">
        <v>4398</v>
      </c>
      <c r="F365" s="214" t="s">
        <v>5988</v>
      </c>
      <c r="G365" s="207" t="s">
        <v>4400</v>
      </c>
      <c r="H365" s="207" t="s">
        <v>4401</v>
      </c>
      <c r="I365" s="217" t="s">
        <v>4402</v>
      </c>
      <c r="J365" s="215" t="s">
        <v>5989</v>
      </c>
      <c r="K365" s="215" t="s">
        <v>5990</v>
      </c>
      <c r="L365" s="215" t="s">
        <v>5991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5989</v>
      </c>
      <c r="AB365" s="215" t="s">
        <v>5990</v>
      </c>
      <c r="AC365" s="215" t="s">
        <v>5991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>IF(AQ365="SIM","AGUARDANDO CORREÇÃO",IF(AP365&lt;&gt;"","FINALIZADO",IF(AO365&lt;&gt;"","AGUARDANDO ENVIO DTS",IF(AN365&lt;&gt;"","AGUARDANDO ASSINATURA GAB",IF(AM365&lt;&gt;"","AGUARDANDO ASSINATURA CTS",IF(AL365&lt;&gt;"","AGUARDANDO ENVIO ASSINATURA CTS",IF(AK365&lt;&gt;"","AGUARDANDO CONFERÊNCIA","")))))))</f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>IFERROR(IF(BD365-KI365=0,"",BD365-AK365),"")</f>
        <v/>
      </c>
      <c r="BI365" s="98" t="str">
        <f>IF(AND(AH365&lt;&gt;"SIM",AH365="UH"),"AA","INDENIZAÇÃO")</f>
        <v>AA</v>
      </c>
      <c r="BJ365" s="98" t="str">
        <f>IF(AND(BD365&lt;&gt;"AGUARDANDO",BD365&lt;&gt;"",N365="AUXÍLIO ALUGUEL ATÉ INDENIZAÇÃO"),"SIM","NÃO")</f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customHeight="1" x14ac:dyDescent="0.25">
      <c r="A366" s="207">
        <v>362</v>
      </c>
      <c r="B366" s="197" t="s">
        <v>4396</v>
      </c>
      <c r="C366" s="207" t="s">
        <v>4426</v>
      </c>
      <c r="D366" s="207">
        <v>1</v>
      </c>
      <c r="E366" s="207" t="s">
        <v>4398</v>
      </c>
      <c r="F366" s="214" t="s">
        <v>5992</v>
      </c>
      <c r="G366" s="207" t="s">
        <v>4400</v>
      </c>
      <c r="H366" s="207" t="s">
        <v>4582</v>
      </c>
      <c r="I366" s="217" t="s">
        <v>4402</v>
      </c>
      <c r="J366" s="215" t="s">
        <v>5993</v>
      </c>
      <c r="K366" s="215" t="s">
        <v>5994</v>
      </c>
      <c r="L366" s="215" t="s">
        <v>5995</v>
      </c>
      <c r="M366" s="207" t="s">
        <v>4405</v>
      </c>
      <c r="N366" s="207" t="s">
        <v>4441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5993</v>
      </c>
      <c r="AB366" s="215" t="s">
        <v>5994</v>
      </c>
      <c r="AC366" s="215" t="s">
        <v>5995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4432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>IF(AQ366="SIM","AGUARDANDO CORREÇÃO",IF(AP366&lt;&gt;"","FINALIZADO",IF(AO366&lt;&gt;"","AGUARDANDO ENVIO DTS",IF(AN366&lt;&gt;"","AGUARDANDO ASSINATURA GAB",IF(AM366&lt;&gt;"","AGUARDANDO ASSINATURA CTS",IF(AL366&lt;&gt;"","AGUARDANDO ENVIO ASSINATURA CTS",IF(AK366&lt;&gt;"","AGUARDANDO CONFERÊNCIA","")))))))</f>
        <v>FINALIZADO</v>
      </c>
      <c r="AS366" s="207" t="s">
        <v>4423</v>
      </c>
      <c r="AT366" s="207"/>
      <c r="AU366" s="220" t="s">
        <v>5996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4434</v>
      </c>
      <c r="BF366" s="228" t="s">
        <v>4435</v>
      </c>
      <c r="BG366" s="229" t="s">
        <v>4425</v>
      </c>
      <c r="BH366" s="321">
        <f>IFERROR(IF(BD366-KI366=0,"",BD366-AK366),"")</f>
        <v>28</v>
      </c>
      <c r="BI366" s="98" t="str">
        <f>IF(AND(AH366&lt;&gt;"SIM",AH366="UH"),"AA","INDENIZAÇÃO")</f>
        <v>INDENIZAÇÃO</v>
      </c>
      <c r="BJ366" s="98" t="str">
        <f>IF(AND(BD366&lt;&gt;"AGUARDANDO",BD366&lt;&gt;"",N366="AUXÍLIO ALUGUEL ATÉ INDENIZAÇÃO"),"SIM","NÃO")</f>
        <v>NÃO</v>
      </c>
      <c r="BK366" s="230" t="s">
        <v>4436</v>
      </c>
      <c r="BL366" s="230" t="s">
        <v>4436</v>
      </c>
      <c r="BM366" s="230" t="s">
        <v>4436</v>
      </c>
      <c r="BN366" s="265" t="s">
        <v>4956</v>
      </c>
      <c r="BO366" s="265"/>
      <c r="BP366" s="265"/>
      <c r="BQ366" s="265"/>
      <c r="BR366" s="231"/>
    </row>
    <row r="367" spans="1:72" s="240" customFormat="1" ht="27" customHeight="1" x14ac:dyDescent="0.25">
      <c r="A367" s="207">
        <v>363</v>
      </c>
      <c r="B367" s="197" t="s">
        <v>4396</v>
      </c>
      <c r="C367" s="207" t="s">
        <v>4426</v>
      </c>
      <c r="D367" s="207">
        <v>1</v>
      </c>
      <c r="E367" s="207" t="s">
        <v>4398</v>
      </c>
      <c r="F367" s="214" t="s">
        <v>5997</v>
      </c>
      <c r="G367" s="207" t="s">
        <v>4400</v>
      </c>
      <c r="H367" s="207" t="s">
        <v>4401</v>
      </c>
      <c r="I367" s="217" t="s">
        <v>4402</v>
      </c>
      <c r="J367" s="215" t="s">
        <v>5998</v>
      </c>
      <c r="K367" s="215" t="s">
        <v>5999</v>
      </c>
      <c r="L367" s="215" t="s">
        <v>6000</v>
      </c>
      <c r="M367" s="207" t="s">
        <v>4405</v>
      </c>
      <c r="N367" s="207" t="s">
        <v>4441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5998</v>
      </c>
      <c r="AB367" s="215" t="s">
        <v>5999</v>
      </c>
      <c r="AC367" s="215" t="s">
        <v>6000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4432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>IF(AQ367="SIM","AGUARDANDO CORREÇÃO",IF(AP367&lt;&gt;"","FINALIZADO",IF(AO367&lt;&gt;"","AGUARDANDO ENVIO DTS",IF(AN367&lt;&gt;"","AGUARDANDO ASSINATURA GAB",IF(AM367&lt;&gt;"","AGUARDANDO ASSINATURA CTS",IF(AL367&lt;&gt;"","AGUARDANDO ENVIO ASSINATURA CTS",IF(AK367&lt;&gt;"","AGUARDANDO CONFERÊNCIA","")))))))</f>
        <v>FINALIZADO</v>
      </c>
      <c r="AS367" s="207" t="s">
        <v>4423</v>
      </c>
      <c r="AT367" s="207"/>
      <c r="AU367" s="220" t="s">
        <v>6001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4434</v>
      </c>
      <c r="BF367" s="228" t="s">
        <v>4435</v>
      </c>
      <c r="BG367" s="219" t="s">
        <v>4425</v>
      </c>
      <c r="BH367" s="321">
        <f>IFERROR(IF(BD367-KI367=0,"",BD367-AK367),"")</f>
        <v>115</v>
      </c>
      <c r="BI367" s="98" t="str">
        <f>IF(AND(AH367&lt;&gt;"SIM",AH367="UH"),"AA","INDENIZAÇÃO")</f>
        <v>INDENIZAÇÃO</v>
      </c>
      <c r="BJ367" s="98" t="str">
        <f>IF(AND(BD367&lt;&gt;"AGUARDANDO",BD367&lt;&gt;"",N367="AUXÍLIO ALUGUEL ATÉ INDENIZAÇÃO"),"SIM","NÃO")</f>
        <v>NÃO</v>
      </c>
      <c r="BK367" s="219" t="s">
        <v>4436</v>
      </c>
      <c r="BL367" s="219" t="s">
        <v>4436</v>
      </c>
      <c r="BM367" s="219" t="s">
        <v>4436</v>
      </c>
      <c r="BN367" s="257" t="s">
        <v>4956</v>
      </c>
      <c r="BO367" s="257"/>
      <c r="BP367" s="257"/>
      <c r="BQ367" s="257"/>
      <c r="BR367" s="258"/>
    </row>
    <row r="368" spans="1:72" s="240" customFormat="1" ht="27" customHeight="1" x14ac:dyDescent="0.25">
      <c r="A368" s="207">
        <v>364</v>
      </c>
      <c r="B368" s="197" t="s">
        <v>4396</v>
      </c>
      <c r="C368" s="207" t="s">
        <v>4426</v>
      </c>
      <c r="D368" s="207">
        <v>1</v>
      </c>
      <c r="E368" s="207" t="s">
        <v>4398</v>
      </c>
      <c r="F368" s="214" t="s">
        <v>6002</v>
      </c>
      <c r="G368" s="207" t="s">
        <v>4400</v>
      </c>
      <c r="H368" s="207" t="s">
        <v>4401</v>
      </c>
      <c r="I368" s="217" t="s">
        <v>4402</v>
      </c>
      <c r="J368" s="215" t="s">
        <v>6003</v>
      </c>
      <c r="K368" s="215" t="s">
        <v>6004</v>
      </c>
      <c r="L368" s="215" t="s">
        <v>6005</v>
      </c>
      <c r="M368" s="207" t="s">
        <v>4405</v>
      </c>
      <c r="N368" s="207" t="s">
        <v>4441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6003</v>
      </c>
      <c r="AB368" s="215" t="s">
        <v>6004</v>
      </c>
      <c r="AC368" s="215" t="s">
        <v>6005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4432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>IF(AQ368="SIM","AGUARDANDO CORREÇÃO",IF(AP368&lt;&gt;"","FINALIZADO",IF(AO368&lt;&gt;"","AGUARDANDO ENVIO DTS",IF(AN368&lt;&gt;"","AGUARDANDO ASSINATURA GAB",IF(AM368&lt;&gt;"","AGUARDANDO ASSINATURA CTS",IF(AL368&lt;&gt;"","AGUARDANDO ENVIO ASSINATURA CTS",IF(AK368&lt;&gt;"","AGUARDANDO CONFERÊNCIA","")))))))</f>
        <v>FINALIZADO</v>
      </c>
      <c r="AS368" s="207" t="s">
        <v>4423</v>
      </c>
      <c r="AT368" s="207"/>
      <c r="AU368" s="220" t="s">
        <v>6006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4434</v>
      </c>
      <c r="BF368" s="228" t="s">
        <v>4435</v>
      </c>
      <c r="BG368" s="229" t="s">
        <v>4425</v>
      </c>
      <c r="BH368" s="321">
        <f>IFERROR(IF(BD368-KI368=0,"",BD368-AK368),"")</f>
        <v>80</v>
      </c>
      <c r="BI368" s="98" t="str">
        <f>IF(AND(AH368&lt;&gt;"SIM",AH368="UH"),"AA","INDENIZAÇÃO")</f>
        <v>INDENIZAÇÃO</v>
      </c>
      <c r="BJ368" s="98" t="str">
        <f>IF(AND(BD368&lt;&gt;"AGUARDANDO",BD368&lt;&gt;"",N368="AUXÍLIO ALUGUEL ATÉ INDENIZAÇÃO"),"SIM","NÃO")</f>
        <v>NÃO</v>
      </c>
      <c r="BK368" s="219" t="s">
        <v>4436</v>
      </c>
      <c r="BL368" s="219" t="s">
        <v>4436</v>
      </c>
      <c r="BM368" s="219" t="s">
        <v>4436</v>
      </c>
      <c r="BN368" s="257" t="s">
        <v>4956</v>
      </c>
      <c r="BO368" s="257"/>
      <c r="BP368" s="257"/>
      <c r="BQ368" s="257"/>
      <c r="BR368" s="258"/>
      <c r="BS368" s="223"/>
      <c r="BT368" s="223"/>
    </row>
    <row r="369" spans="1:72" s="240" customFormat="1" ht="27" customHeight="1" x14ac:dyDescent="0.25">
      <c r="A369" s="197">
        <v>365</v>
      </c>
      <c r="B369" s="197" t="s">
        <v>4396</v>
      </c>
      <c r="C369" s="207" t="s">
        <v>4426</v>
      </c>
      <c r="D369" s="207">
        <v>1</v>
      </c>
      <c r="E369" s="207" t="s">
        <v>4398</v>
      </c>
      <c r="F369" s="214" t="s">
        <v>6007</v>
      </c>
      <c r="G369" s="207" t="s">
        <v>4400</v>
      </c>
      <c r="H369" s="207" t="s">
        <v>4401</v>
      </c>
      <c r="I369" s="217" t="s">
        <v>4402</v>
      </c>
      <c r="J369" s="215" t="s">
        <v>6008</v>
      </c>
      <c r="K369" s="215" t="s">
        <v>6009</v>
      </c>
      <c r="L369" s="215" t="s">
        <v>6010</v>
      </c>
      <c r="M369" s="207" t="s">
        <v>4405</v>
      </c>
      <c r="N369" s="207" t="s">
        <v>4441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6008</v>
      </c>
      <c r="AB369" s="215" t="s">
        <v>6009</v>
      </c>
      <c r="AC369" s="215" t="s">
        <v>6010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4432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>IF(AQ369="SIM","AGUARDANDO CORREÇÃO",IF(AP369&lt;&gt;"","FINALIZADO",IF(AO369&lt;&gt;"","AGUARDANDO ENVIO DTS",IF(AN369&lt;&gt;"","AGUARDANDO ASSINATURA GAB",IF(AM369&lt;&gt;"","AGUARDANDO ASSINATURA CTS",IF(AL369&lt;&gt;"","AGUARDANDO ENVIO ASSINATURA CTS",IF(AK369&lt;&gt;"","AGUARDANDO CONFERÊNCIA","")))))))</f>
        <v>FINALIZADO</v>
      </c>
      <c r="AS369" s="207" t="s">
        <v>4423</v>
      </c>
      <c r="AT369" s="207"/>
      <c r="AU369" s="220" t="s">
        <v>6011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4434</v>
      </c>
      <c r="BF369" s="228" t="s">
        <v>4435</v>
      </c>
      <c r="BG369" s="229" t="s">
        <v>4425</v>
      </c>
      <c r="BH369" s="321">
        <f>IFERROR(IF(BD369-KI369=0,"",BD369-AK369),"")</f>
        <v>23</v>
      </c>
      <c r="BI369" s="98" t="str">
        <f>IF(AND(AH369&lt;&gt;"SIM",AH369="UH"),"AA","INDENIZAÇÃO")</f>
        <v>INDENIZAÇÃO</v>
      </c>
      <c r="BJ369" s="98" t="str">
        <f>IF(AND(BD369&lt;&gt;"AGUARDANDO",BD369&lt;&gt;"",N369="AUXÍLIO ALUGUEL ATÉ INDENIZAÇÃO"),"SIM","NÃO")</f>
        <v>NÃO</v>
      </c>
      <c r="BK369" s="230" t="s">
        <v>4436</v>
      </c>
      <c r="BL369" s="230" t="s">
        <v>4436</v>
      </c>
      <c r="BM369" s="230" t="s">
        <v>4436</v>
      </c>
      <c r="BN369" s="265" t="s">
        <v>4956</v>
      </c>
      <c r="BO369" s="265"/>
      <c r="BP369" s="265"/>
      <c r="BQ369" s="265"/>
      <c r="BR369" s="231"/>
      <c r="BS369" s="223"/>
      <c r="BT369" s="223"/>
    </row>
    <row r="370" spans="1:72" s="240" customFormat="1" ht="27" hidden="1" customHeight="1" x14ac:dyDescent="0.25">
      <c r="A370" s="197">
        <v>366</v>
      </c>
      <c r="B370" s="197" t="s">
        <v>4396</v>
      </c>
      <c r="C370" s="207" t="s">
        <v>4426</v>
      </c>
      <c r="D370" s="207">
        <v>1</v>
      </c>
      <c r="E370" s="207" t="s">
        <v>4398</v>
      </c>
      <c r="F370" s="214" t="s">
        <v>6012</v>
      </c>
      <c r="G370" s="207" t="s">
        <v>4400</v>
      </c>
      <c r="H370" s="207" t="s">
        <v>4401</v>
      </c>
      <c r="I370" s="217" t="s">
        <v>4402</v>
      </c>
      <c r="J370" s="215" t="s">
        <v>6013</v>
      </c>
      <c r="K370" s="215" t="s">
        <v>6014</v>
      </c>
      <c r="L370" s="215" t="s">
        <v>6015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6013</v>
      </c>
      <c r="AB370" s="215" t="s">
        <v>6014</v>
      </c>
      <c r="AC370" s="215" t="s">
        <v>6015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>IF(AQ370="SIM","AGUARDANDO CORREÇÃO",IF(AP370&lt;&gt;"","FINALIZADO",IF(AO370&lt;&gt;"","AGUARDANDO ENVIO DTS",IF(AN370&lt;&gt;"","AGUARDANDO ASSINATURA GAB",IF(AM370&lt;&gt;"","AGUARDANDO ASSINATURA CTS",IF(AL370&lt;&gt;"","AGUARDANDO ENVIO ASSINATURA CTS",IF(AK370&lt;&gt;"","AGUARDANDO CONFERÊNCIA","")))))))</f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>IFERROR(IF(BD370-KI370=0,"",BD370-AK370),"")</f>
        <v/>
      </c>
      <c r="BI370" s="98" t="str">
        <f>IF(AND(AH370&lt;&gt;"SIM",AH370="UH"),"AA","INDENIZAÇÃO")</f>
        <v>AA</v>
      </c>
      <c r="BJ370" s="98" t="str">
        <f>IF(AND(BD370&lt;&gt;"AGUARDANDO",BD370&lt;&gt;"",N370="AUXÍLIO ALUGUEL ATÉ INDENIZAÇÃO"),"SIM","NÃO")</f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customHeight="1" x14ac:dyDescent="0.25">
      <c r="A371" s="207">
        <v>367</v>
      </c>
      <c r="B371" s="197" t="s">
        <v>4396</v>
      </c>
      <c r="C371" s="207" t="s">
        <v>4426</v>
      </c>
      <c r="D371" s="207">
        <v>1</v>
      </c>
      <c r="E371" s="207" t="s">
        <v>4398</v>
      </c>
      <c r="F371" s="214" t="s">
        <v>6016</v>
      </c>
      <c r="G371" s="207" t="s">
        <v>4400</v>
      </c>
      <c r="H371" s="207" t="s">
        <v>4401</v>
      </c>
      <c r="I371" s="217" t="s">
        <v>4402</v>
      </c>
      <c r="J371" s="215" t="s">
        <v>6017</v>
      </c>
      <c r="K371" s="215" t="s">
        <v>6018</v>
      </c>
      <c r="L371" s="215" t="s">
        <v>6019</v>
      </c>
      <c r="M371" s="207" t="s">
        <v>4405</v>
      </c>
      <c r="N371" s="207" t="s">
        <v>4441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6017</v>
      </c>
      <c r="AB371" s="215" t="s">
        <v>6018</v>
      </c>
      <c r="AC371" s="215" t="s">
        <v>6019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4432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>IF(AQ371="SIM","AGUARDANDO CORREÇÃO",IF(AP371&lt;&gt;"","FINALIZADO",IF(AO371&lt;&gt;"","AGUARDANDO ENVIO DTS",IF(AN371&lt;&gt;"","AGUARDANDO ASSINATURA GAB",IF(AM371&lt;&gt;"","AGUARDANDO ASSINATURA CTS",IF(AL371&lt;&gt;"","AGUARDANDO ENVIO ASSINATURA CTS",IF(AK371&lt;&gt;"","AGUARDANDO CONFERÊNCIA","")))))))</f>
        <v>FINALIZADO</v>
      </c>
      <c r="AS371" s="207" t="s">
        <v>4423</v>
      </c>
      <c r="AT371" s="207"/>
      <c r="AU371" s="220" t="s">
        <v>6020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4434</v>
      </c>
      <c r="BF371" s="228" t="s">
        <v>4435</v>
      </c>
      <c r="BG371" s="229" t="s">
        <v>4425</v>
      </c>
      <c r="BH371" s="321">
        <f>IFERROR(IF(BD371-KI371=0,"",BD371-AK371),"")</f>
        <v>61</v>
      </c>
      <c r="BI371" s="98" t="str">
        <f>IF(AND(AH371&lt;&gt;"SIM",AH371="UH"),"AA","INDENIZAÇÃO")</f>
        <v>INDENIZAÇÃO</v>
      </c>
      <c r="BJ371" s="98" t="str">
        <f>IF(AND(BD371&lt;&gt;"AGUARDANDO",BD371&lt;&gt;"",N371="AUXÍLIO ALUGUEL ATÉ INDENIZAÇÃO"),"SIM","NÃO")</f>
        <v>NÃO</v>
      </c>
      <c r="BK371" s="230" t="s">
        <v>4436</v>
      </c>
      <c r="BL371" s="230" t="s">
        <v>4436</v>
      </c>
      <c r="BM371" s="230" t="s">
        <v>4436</v>
      </c>
      <c r="BN371" s="265" t="s">
        <v>4956</v>
      </c>
      <c r="BO371" s="265"/>
      <c r="BP371" s="265"/>
      <c r="BQ371" s="265"/>
      <c r="BR371" s="231"/>
    </row>
    <row r="372" spans="1:72" s="240" customFormat="1" ht="27" customHeight="1" x14ac:dyDescent="0.25">
      <c r="A372" s="207">
        <v>368</v>
      </c>
      <c r="B372" s="197" t="s">
        <v>4396</v>
      </c>
      <c r="C372" s="207" t="s">
        <v>4426</v>
      </c>
      <c r="D372" s="207">
        <v>1</v>
      </c>
      <c r="E372" s="207" t="s">
        <v>4398</v>
      </c>
      <c r="F372" s="214" t="s">
        <v>6021</v>
      </c>
      <c r="G372" s="207" t="s">
        <v>4400</v>
      </c>
      <c r="H372" s="207" t="s">
        <v>4401</v>
      </c>
      <c r="I372" s="217" t="s">
        <v>4402</v>
      </c>
      <c r="J372" s="215" t="s">
        <v>6022</v>
      </c>
      <c r="K372" s="215" t="s">
        <v>6023</v>
      </c>
      <c r="L372" s="215" t="s">
        <v>6024</v>
      </c>
      <c r="M372" s="207" t="s">
        <v>4405</v>
      </c>
      <c r="N372" s="207" t="s">
        <v>4441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6022</v>
      </c>
      <c r="AB372" s="215" t="s">
        <v>6023</v>
      </c>
      <c r="AC372" s="215" t="s">
        <v>6024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4432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>IF(AQ372="SIM","AGUARDANDO CORREÇÃO",IF(AP372&lt;&gt;"","FINALIZADO",IF(AO372&lt;&gt;"","AGUARDANDO ENVIO DTS",IF(AN372&lt;&gt;"","AGUARDANDO ASSINATURA GAB",IF(AM372&lt;&gt;"","AGUARDANDO ASSINATURA CTS",IF(AL372&lt;&gt;"","AGUARDANDO ENVIO ASSINATURA CTS",IF(AK372&lt;&gt;"","AGUARDANDO CONFERÊNCIA","")))))))</f>
        <v>FINALIZADO</v>
      </c>
      <c r="AS372" s="207" t="s">
        <v>4423</v>
      </c>
      <c r="AT372" s="207"/>
      <c r="AU372" s="220" t="s">
        <v>6025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4434</v>
      </c>
      <c r="BF372" s="228" t="s">
        <v>4435</v>
      </c>
      <c r="BG372" s="219" t="s">
        <v>4425</v>
      </c>
      <c r="BH372" s="321">
        <f>IFERROR(IF(BD372-KI372=0,"",BD372-AK372),"")</f>
        <v>68</v>
      </c>
      <c r="BI372" s="98" t="str">
        <f>IF(AND(AH372&lt;&gt;"SIM",AH372="UH"),"AA","INDENIZAÇÃO")</f>
        <v>INDENIZAÇÃO</v>
      </c>
      <c r="BJ372" s="98" t="str">
        <f>IF(AND(BD372&lt;&gt;"AGUARDANDO",BD372&lt;&gt;"",N372="AUXÍLIO ALUGUEL ATÉ INDENIZAÇÃO"),"SIM","NÃO")</f>
        <v>NÃO</v>
      </c>
      <c r="BK372" s="219" t="s">
        <v>4436</v>
      </c>
      <c r="BL372" s="219" t="s">
        <v>4436</v>
      </c>
      <c r="BM372" s="219" t="s">
        <v>4436</v>
      </c>
      <c r="BN372" s="257" t="s">
        <v>4956</v>
      </c>
      <c r="BO372" s="257"/>
      <c r="BP372" s="257"/>
      <c r="BQ372" s="257"/>
      <c r="BR372" s="258"/>
    </row>
    <row r="373" spans="1:72" s="240" customFormat="1" ht="27" customHeight="1" x14ac:dyDescent="0.25">
      <c r="A373" s="207">
        <v>369</v>
      </c>
      <c r="B373" s="197" t="s">
        <v>4396</v>
      </c>
      <c r="C373" s="207" t="s">
        <v>4426</v>
      </c>
      <c r="D373" s="207">
        <v>1</v>
      </c>
      <c r="E373" s="207" t="s">
        <v>4398</v>
      </c>
      <c r="F373" s="214" t="s">
        <v>6026</v>
      </c>
      <c r="G373" s="207" t="s">
        <v>4400</v>
      </c>
      <c r="H373" s="207" t="s">
        <v>4401</v>
      </c>
      <c r="I373" s="217" t="s">
        <v>4402</v>
      </c>
      <c r="J373" s="215" t="s">
        <v>6027</v>
      </c>
      <c r="K373" s="215" t="s">
        <v>6028</v>
      </c>
      <c r="L373" s="215" t="s">
        <v>6029</v>
      </c>
      <c r="M373" s="207" t="s">
        <v>4405</v>
      </c>
      <c r="N373" s="207" t="s">
        <v>4441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6027</v>
      </c>
      <c r="AB373" s="215" t="s">
        <v>6028</v>
      </c>
      <c r="AC373" s="215" t="s">
        <v>6029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4432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>IF(AQ373="SIM","AGUARDANDO CORREÇÃO",IF(AP373&lt;&gt;"","FINALIZADO",IF(AO373&lt;&gt;"","AGUARDANDO ENVIO DTS",IF(AN373&lt;&gt;"","AGUARDANDO ASSINATURA GAB",IF(AM373&lt;&gt;"","AGUARDANDO ASSINATURA CTS",IF(AL373&lt;&gt;"","AGUARDANDO ENVIO ASSINATURA CTS",IF(AK373&lt;&gt;"","AGUARDANDO CONFERÊNCIA","")))))))</f>
        <v>FINALIZADO</v>
      </c>
      <c r="AS373" s="207" t="s">
        <v>4423</v>
      </c>
      <c r="AT373" s="207"/>
      <c r="AU373" s="220" t="s">
        <v>6030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4434</v>
      </c>
      <c r="BF373" s="228" t="s">
        <v>4435</v>
      </c>
      <c r="BG373" s="229" t="s">
        <v>4425</v>
      </c>
      <c r="BH373" s="321">
        <f>IFERROR(IF(BD373-KI373=0,"",BD373-AK373),"")</f>
        <v>23</v>
      </c>
      <c r="BI373" s="98" t="str">
        <f>IF(AND(AH373&lt;&gt;"SIM",AH373="UH"),"AA","INDENIZAÇÃO")</f>
        <v>INDENIZAÇÃO</v>
      </c>
      <c r="BJ373" s="98" t="str">
        <f>IF(AND(BD373&lt;&gt;"AGUARDANDO",BD373&lt;&gt;"",N373="AUXÍLIO ALUGUEL ATÉ INDENIZAÇÃO"),"SIM","NÃO")</f>
        <v>NÃO</v>
      </c>
      <c r="BK373" s="230" t="s">
        <v>4436</v>
      </c>
      <c r="BL373" s="230" t="s">
        <v>4436</v>
      </c>
      <c r="BM373" s="230" t="s">
        <v>4436</v>
      </c>
      <c r="BN373" s="265" t="s">
        <v>4956</v>
      </c>
      <c r="BO373" s="265"/>
      <c r="BP373" s="265"/>
      <c r="BQ373" s="265"/>
      <c r="BR373" s="231"/>
      <c r="BS373" s="223"/>
      <c r="BT373" s="223"/>
    </row>
    <row r="374" spans="1:72" s="240" customFormat="1" ht="27" hidden="1" customHeight="1" x14ac:dyDescent="0.25">
      <c r="A374" s="197">
        <v>370</v>
      </c>
      <c r="B374" s="197" t="s">
        <v>4396</v>
      </c>
      <c r="C374" s="207" t="s">
        <v>4426</v>
      </c>
      <c r="D374" s="207">
        <v>1</v>
      </c>
      <c r="E374" s="207" t="s">
        <v>4398</v>
      </c>
      <c r="F374" s="214" t="s">
        <v>6031</v>
      </c>
      <c r="G374" s="207" t="s">
        <v>4400</v>
      </c>
      <c r="H374" s="207" t="s">
        <v>4401</v>
      </c>
      <c r="I374" s="217" t="s">
        <v>4402</v>
      </c>
      <c r="J374" s="215" t="s">
        <v>6032</v>
      </c>
      <c r="K374" s="215" t="s">
        <v>6033</v>
      </c>
      <c r="L374" s="215" t="s">
        <v>6034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6032</v>
      </c>
      <c r="AB374" s="215" t="s">
        <v>6033</v>
      </c>
      <c r="AC374" s="215" t="s">
        <v>6034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>IF(AQ374="SIM","AGUARDANDO CORREÇÃO",IF(AP374&lt;&gt;"","FINALIZADO",IF(AO374&lt;&gt;"","AGUARDANDO ENVIO DTS",IF(AN374&lt;&gt;"","AGUARDANDO ASSINATURA GAB",IF(AM374&lt;&gt;"","AGUARDANDO ASSINATURA CTS",IF(AL374&lt;&gt;"","AGUARDANDO ENVIO ASSINATURA CTS",IF(AK374&lt;&gt;"","AGUARDANDO CONFERÊNCIA","")))))))</f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>IFERROR(IF(BD374-KI374=0,"",BD374-AK374),"")</f>
        <v/>
      </c>
      <c r="BI374" s="98" t="str">
        <f>IF(AND(AH374&lt;&gt;"SIM",AH374="UH"),"AA","INDENIZAÇÃO")</f>
        <v>AA</v>
      </c>
      <c r="BJ374" s="98" t="str">
        <f>IF(AND(BD374&lt;&gt;"AGUARDANDO",BD374&lt;&gt;"",N374="AUXÍLIO ALUGUEL ATÉ INDENIZAÇÃO"),"SIM","NÃO")</f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hidden="1" customHeight="1" x14ac:dyDescent="0.25">
      <c r="A375" s="197">
        <v>371</v>
      </c>
      <c r="B375" s="197" t="s">
        <v>4396</v>
      </c>
      <c r="C375" s="207" t="s">
        <v>4426</v>
      </c>
      <c r="D375" s="207">
        <v>1</v>
      </c>
      <c r="E375" s="207" t="s">
        <v>4398</v>
      </c>
      <c r="F375" s="214" t="s">
        <v>6035</v>
      </c>
      <c r="G375" s="207" t="s">
        <v>4400</v>
      </c>
      <c r="H375" s="207" t="s">
        <v>4401</v>
      </c>
      <c r="I375" s="217" t="s">
        <v>4402</v>
      </c>
      <c r="J375" s="215" t="s">
        <v>6036</v>
      </c>
      <c r="K375" s="215" t="s">
        <v>6037</v>
      </c>
      <c r="L375" s="215" t="s">
        <v>6038</v>
      </c>
      <c r="M375" s="207" t="s">
        <v>4405</v>
      </c>
      <c r="N375" s="207" t="s">
        <v>4441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6039</v>
      </c>
      <c r="AB375" s="215" t="s">
        <v>6037</v>
      </c>
      <c r="AC375" s="215" t="s">
        <v>6038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>IF(AQ375="SIM","AGUARDANDO CORREÇÃO",IF(AP375&lt;&gt;"","FINALIZADO",IF(AO375&lt;&gt;"","AGUARDANDO ENVIO DTS",IF(AN375&lt;&gt;"","AGUARDANDO ASSINATURA GAB",IF(AM375&lt;&gt;"","AGUARDANDO ASSINATURA CTS",IF(AL375&lt;&gt;"","AGUARDANDO ENVIO ASSINATURA CTS",IF(AK375&lt;&gt;"","AGUARDANDO CONFERÊNCIA","")))))))</f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>IFERROR(IF(BD375-KI375=0,"",BD375-AK375),"")</f>
        <v/>
      </c>
      <c r="BI375" s="98" t="str">
        <f>IF(AND(AH375&lt;&gt;"SIM",AH375="UH"),"AA","INDENIZAÇÃO")</f>
        <v>INDENIZAÇÃO</v>
      </c>
      <c r="BJ375" s="98" t="str">
        <f>IF(AND(BD375&lt;&gt;"AGUARDANDO",BD375&lt;&gt;"",N375="AUXÍLIO ALUGUEL ATÉ INDENIZAÇÃO"),"SIM","NÃO")</f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customHeight="1" x14ac:dyDescent="0.25">
      <c r="A376" s="207">
        <v>372</v>
      </c>
      <c r="B376" s="197" t="s">
        <v>4396</v>
      </c>
      <c r="C376" s="207" t="s">
        <v>4426</v>
      </c>
      <c r="D376" s="207">
        <v>1</v>
      </c>
      <c r="E376" s="207" t="s">
        <v>4398</v>
      </c>
      <c r="F376" s="214" t="s">
        <v>6040</v>
      </c>
      <c r="G376" s="207" t="s">
        <v>4400</v>
      </c>
      <c r="H376" s="207" t="s">
        <v>4401</v>
      </c>
      <c r="I376" s="217" t="s">
        <v>4414</v>
      </c>
      <c r="J376" s="215" t="s">
        <v>6041</v>
      </c>
      <c r="K376" s="215" t="s">
        <v>6042</v>
      </c>
      <c r="L376" s="215" t="s">
        <v>6043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6044</v>
      </c>
      <c r="AB376" s="215">
        <v>50431772</v>
      </c>
      <c r="AC376" s="215" t="s">
        <v>6045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4432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>IF(AQ376="SIM","AGUARDANDO CORREÇÃO",IF(AP376&lt;&gt;"","FINALIZADO",IF(AO376&lt;&gt;"","AGUARDANDO ENVIO DTS",IF(AN376&lt;&gt;"","AGUARDANDO ASSINATURA GAB",IF(AM376&lt;&gt;"","AGUARDANDO ASSINATURA CTS",IF(AL376&lt;&gt;"","AGUARDANDO ENVIO ASSINATURA CTS",IF(AK376&lt;&gt;"","AGUARDANDO CONFERÊNCIA","")))))))</f>
        <v>FINALIZADO</v>
      </c>
      <c r="AS376" s="207" t="s">
        <v>4423</v>
      </c>
      <c r="AT376" s="207"/>
      <c r="AU376" s="220" t="s">
        <v>6046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4434</v>
      </c>
      <c r="BF376" s="228" t="s">
        <v>4435</v>
      </c>
      <c r="BG376" s="229" t="s">
        <v>4425</v>
      </c>
      <c r="BH376" s="321">
        <f>IFERROR(IF(BD376-KI376=0,"",BD376-AK376),"")</f>
        <v>40</v>
      </c>
      <c r="BI376" s="98" t="str">
        <f>IF(AND(AH376&lt;&gt;"SIM",AH376="UH"),"AA","INDENIZAÇÃO")</f>
        <v>INDENIZAÇÃO</v>
      </c>
      <c r="BJ376" s="98" t="str">
        <f>IF(AND(BD376&lt;&gt;"AGUARDANDO",BD376&lt;&gt;"",N376="AUXÍLIO ALUGUEL ATÉ INDENIZAÇÃO"),"SIM","NÃO")</f>
        <v>NÃO</v>
      </c>
      <c r="BK376" s="230" t="s">
        <v>4436</v>
      </c>
      <c r="BL376" s="230" t="s">
        <v>4436</v>
      </c>
      <c r="BM376" s="230" t="s">
        <v>4436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4434</v>
      </c>
    </row>
    <row r="377" spans="1:72" s="240" customFormat="1" ht="27" customHeight="1" x14ac:dyDescent="0.25">
      <c r="A377" s="207">
        <v>373</v>
      </c>
      <c r="B377" s="197" t="s">
        <v>4396</v>
      </c>
      <c r="C377" s="207" t="s">
        <v>4426</v>
      </c>
      <c r="D377" s="207">
        <v>1</v>
      </c>
      <c r="E377" s="207" t="s">
        <v>4398</v>
      </c>
      <c r="F377" s="214" t="s">
        <v>6047</v>
      </c>
      <c r="G377" s="207" t="s">
        <v>4400</v>
      </c>
      <c r="H377" s="207" t="s">
        <v>4401</v>
      </c>
      <c r="I377" s="217" t="s">
        <v>4402</v>
      </c>
      <c r="J377" s="215" t="s">
        <v>6048</v>
      </c>
      <c r="K377" s="215" t="s">
        <v>6049</v>
      </c>
      <c r="L377" s="215" t="s">
        <v>6050</v>
      </c>
      <c r="M377" s="207" t="s">
        <v>4405</v>
      </c>
      <c r="N377" s="207" t="s">
        <v>4441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6048</v>
      </c>
      <c r="AB377" s="215" t="s">
        <v>6049</v>
      </c>
      <c r="AC377" s="215" t="s">
        <v>6050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4432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>IF(AQ377="SIM","AGUARDANDO CORREÇÃO",IF(AP377&lt;&gt;"","FINALIZADO",IF(AO377&lt;&gt;"","AGUARDANDO ENVIO DTS",IF(AN377&lt;&gt;"","AGUARDANDO ASSINATURA GAB",IF(AM377&lt;&gt;"","AGUARDANDO ASSINATURA CTS",IF(AL377&lt;&gt;"","AGUARDANDO ENVIO ASSINATURA CTS",IF(AK377&lt;&gt;"","AGUARDANDO CONFERÊNCIA","")))))))</f>
        <v>FINALIZADO</v>
      </c>
      <c r="AS377" s="207" t="s">
        <v>4423</v>
      </c>
      <c r="AT377" s="207"/>
      <c r="AU377" s="220" t="s">
        <v>6051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4434</v>
      </c>
      <c r="BF377" s="228" t="s">
        <v>4435</v>
      </c>
      <c r="BG377" s="229" t="s">
        <v>4425</v>
      </c>
      <c r="BH377" s="321">
        <f>IFERROR(IF(BD377-KI377=0,"",BD377-AK377),"")</f>
        <v>80</v>
      </c>
      <c r="BI377" s="98" t="str">
        <f>IF(AND(AH377&lt;&gt;"SIM",AH377="UH"),"AA","INDENIZAÇÃO")</f>
        <v>INDENIZAÇÃO</v>
      </c>
      <c r="BJ377" s="98" t="str">
        <f>IF(AND(BD377&lt;&gt;"AGUARDANDO",BD377&lt;&gt;"",N377="AUXÍLIO ALUGUEL ATÉ INDENIZAÇÃO"),"SIM","NÃO")</f>
        <v>NÃO</v>
      </c>
      <c r="BK377" s="219" t="s">
        <v>4436</v>
      </c>
      <c r="BL377" s="219" t="s">
        <v>4436</v>
      </c>
      <c r="BM377" s="219" t="s">
        <v>4436</v>
      </c>
      <c r="BN377" s="257" t="s">
        <v>4956</v>
      </c>
      <c r="BO377" s="257"/>
      <c r="BP377" s="257"/>
      <c r="BQ377" s="257"/>
      <c r="BR377" s="258"/>
    </row>
    <row r="378" spans="1:72" s="240" customFormat="1" ht="27" customHeight="1" x14ac:dyDescent="0.25">
      <c r="A378" s="207">
        <v>374</v>
      </c>
      <c r="B378" s="197" t="s">
        <v>4396</v>
      </c>
      <c r="C378" s="207" t="s">
        <v>4426</v>
      </c>
      <c r="D378" s="207">
        <v>1</v>
      </c>
      <c r="E378" s="207" t="s">
        <v>4398</v>
      </c>
      <c r="F378" s="214" t="s">
        <v>6052</v>
      </c>
      <c r="G378" s="207" t="s">
        <v>4400</v>
      </c>
      <c r="H378" s="207" t="s">
        <v>4401</v>
      </c>
      <c r="I378" s="217" t="s">
        <v>4402</v>
      </c>
      <c r="J378" s="215" t="s">
        <v>6053</v>
      </c>
      <c r="K378" s="215" t="s">
        <v>6054</v>
      </c>
      <c r="L378" s="215" t="s">
        <v>6055</v>
      </c>
      <c r="M378" s="207" t="s">
        <v>4405</v>
      </c>
      <c r="N378" s="207" t="s">
        <v>4441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6053</v>
      </c>
      <c r="AB378" s="215" t="s">
        <v>6054</v>
      </c>
      <c r="AC378" s="215" t="s">
        <v>6056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>IF(AQ378="SIM","AGUARDANDO CORREÇÃO",IF(AP378&lt;&gt;"","FINALIZADO",IF(AO378&lt;&gt;"","AGUARDANDO ENVIO DTS",IF(AN378&lt;&gt;"","AGUARDANDO ASSINATURA GAB",IF(AM378&lt;&gt;"","AGUARDANDO ASSINATURA CTS",IF(AL378&lt;&gt;"","AGUARDANDO ENVIO ASSINATURA CTS",IF(AK378&lt;&gt;"","AGUARDANDO CONFERÊNCIA","")))))))</f>
        <v>FINALIZADO</v>
      </c>
      <c r="AS378" s="207" t="s">
        <v>4423</v>
      </c>
      <c r="AT378" s="207"/>
      <c r="AU378" s="220" t="s">
        <v>6057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4434</v>
      </c>
      <c r="BF378" s="228" t="s">
        <v>4435</v>
      </c>
      <c r="BG378" s="229" t="s">
        <v>4425</v>
      </c>
      <c r="BH378" s="321">
        <f>IFERROR(IF(BD378-KI378=0,"",BD378-AK378),"")</f>
        <v>37</v>
      </c>
      <c r="BI378" s="98" t="str">
        <f>IF(AND(AH378&lt;&gt;"SIM",AH378="UH"),"AA","INDENIZAÇÃO")</f>
        <v>INDENIZAÇÃO</v>
      </c>
      <c r="BJ378" s="98" t="str">
        <f>IF(AND(BD378&lt;&gt;"AGUARDANDO",BD378&lt;&gt;"",N378="AUXÍLIO ALUGUEL ATÉ INDENIZAÇÃO"),"SIM","NÃO")</f>
        <v>NÃO</v>
      </c>
      <c r="BK378" s="230" t="s">
        <v>4436</v>
      </c>
      <c r="BL378" s="230" t="s">
        <v>4436</v>
      </c>
      <c r="BM378" s="230" t="s">
        <v>4436</v>
      </c>
      <c r="BN378" s="265" t="s">
        <v>4956</v>
      </c>
      <c r="BO378" s="265"/>
      <c r="BP378" s="265"/>
      <c r="BQ378" s="265"/>
      <c r="BR378" s="231"/>
      <c r="BS378" s="223"/>
      <c r="BT378" s="223"/>
    </row>
    <row r="379" spans="1:72" s="240" customFormat="1" ht="27" hidden="1" customHeight="1" x14ac:dyDescent="0.25">
      <c r="A379" s="197">
        <v>375</v>
      </c>
      <c r="B379" s="197" t="s">
        <v>4396</v>
      </c>
      <c r="C379" s="207" t="s">
        <v>4426</v>
      </c>
      <c r="D379" s="207">
        <v>1</v>
      </c>
      <c r="E379" s="207" t="s">
        <v>4398</v>
      </c>
      <c r="F379" s="214" t="s">
        <v>6058</v>
      </c>
      <c r="G379" s="207" t="s">
        <v>4400</v>
      </c>
      <c r="H379" s="207" t="s">
        <v>4401</v>
      </c>
      <c r="I379" s="217" t="s">
        <v>4402</v>
      </c>
      <c r="J379" s="215" t="s">
        <v>6059</v>
      </c>
      <c r="K379" s="215" t="s">
        <v>6060</v>
      </c>
      <c r="L379" s="215" t="s">
        <v>6061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6059</v>
      </c>
      <c r="AB379" s="215" t="s">
        <v>6060</v>
      </c>
      <c r="AC379" s="215" t="s">
        <v>6061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>IF(AQ379="SIM","AGUARDANDO CORREÇÃO",IF(AP379&lt;&gt;"","FINALIZADO",IF(AO379&lt;&gt;"","AGUARDANDO ENVIO DTS",IF(AN379&lt;&gt;"","AGUARDANDO ASSINATURA GAB",IF(AM379&lt;&gt;"","AGUARDANDO ASSINATURA CTS",IF(AL379&lt;&gt;"","AGUARDANDO ENVIO ASSINATURA CTS",IF(AK379&lt;&gt;"","AGUARDANDO CONFERÊNCIA","")))))))</f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>IFERROR(IF(BD379-KI379=0,"",BD379-AK379),"")</f>
        <v/>
      </c>
      <c r="BI379" s="98" t="str">
        <f>IF(AND(AH379&lt;&gt;"SIM",AH379="UH"),"AA","INDENIZAÇÃO")</f>
        <v>AA</v>
      </c>
      <c r="BJ379" s="98" t="str">
        <f>IF(AND(BD379&lt;&gt;"AGUARDANDO",BD379&lt;&gt;"",N379="AUXÍLIO ALUGUEL ATÉ INDENIZAÇÃO"),"SIM","NÃO")</f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hidden="1" customHeight="1" x14ac:dyDescent="0.25">
      <c r="A380" s="197">
        <v>376</v>
      </c>
      <c r="B380" s="197" t="s">
        <v>4396</v>
      </c>
      <c r="C380" s="207" t="s">
        <v>4426</v>
      </c>
      <c r="D380" s="207">
        <v>1</v>
      </c>
      <c r="E380" s="207" t="s">
        <v>4398</v>
      </c>
      <c r="F380" s="214" t="s">
        <v>6062</v>
      </c>
      <c r="G380" s="207" t="s">
        <v>4400</v>
      </c>
      <c r="H380" s="207" t="s">
        <v>4535</v>
      </c>
      <c r="I380" s="217" t="s">
        <v>4535</v>
      </c>
      <c r="J380" s="215" t="s">
        <v>6063</v>
      </c>
      <c r="K380" s="215" t="s">
        <v>6064</v>
      </c>
      <c r="L380" s="215" t="s">
        <v>6065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6063</v>
      </c>
      <c r="AB380" s="215" t="s">
        <v>6064</v>
      </c>
      <c r="AC380" s="215" t="s">
        <v>6065</v>
      </c>
      <c r="AD380" s="207" t="s">
        <v>4535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>IF(AQ380="SIM","AGUARDANDO CORREÇÃO",IF(AP380&lt;&gt;"","FINALIZADO",IF(AO380&lt;&gt;"","AGUARDANDO ENVIO DTS",IF(AN380&lt;&gt;"","AGUARDANDO ASSINATURA GAB",IF(AM380&lt;&gt;"","AGUARDANDO ASSINATURA CTS",IF(AL380&lt;&gt;"","AGUARDANDO ENVIO ASSINATURA CTS",IF(AK380&lt;&gt;"","AGUARDANDO CONFERÊNCIA","")))))))</f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>IFERROR(IF(BD380-KI380=0,"",BD380-AK380),"")</f>
        <v/>
      </c>
      <c r="BI380" s="98" t="str">
        <f>IF(AND(AH380&lt;&gt;"SIM",AH380="UH"),"AA","INDENIZAÇÃO")</f>
        <v>AA</v>
      </c>
      <c r="BJ380" s="98" t="str">
        <f>IF(AND(BD380&lt;&gt;"AGUARDANDO",BD380&lt;&gt;"",N380="AUXÍLIO ALUGUEL ATÉ INDENIZAÇÃO"),"SIM","NÃO")</f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customHeight="1" x14ac:dyDescent="0.25">
      <c r="A381" s="207">
        <v>377</v>
      </c>
      <c r="B381" s="197" t="s">
        <v>4396</v>
      </c>
      <c r="C381" s="207" t="s">
        <v>4426</v>
      </c>
      <c r="D381" s="207">
        <v>1</v>
      </c>
      <c r="E381" s="207" t="s">
        <v>4398</v>
      </c>
      <c r="F381" s="214" t="s">
        <v>6066</v>
      </c>
      <c r="G381" s="207" t="s">
        <v>4400</v>
      </c>
      <c r="H381" s="207" t="s">
        <v>4401</v>
      </c>
      <c r="I381" s="217" t="s">
        <v>4402</v>
      </c>
      <c r="J381" s="215" t="s">
        <v>6067</v>
      </c>
      <c r="K381" s="215" t="s">
        <v>6068</v>
      </c>
      <c r="L381" s="215" t="s">
        <v>6069</v>
      </c>
      <c r="M381" s="207" t="s">
        <v>4405</v>
      </c>
      <c r="N381" s="207" t="s">
        <v>4441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6067</v>
      </c>
      <c r="AB381" s="215" t="s">
        <v>6068</v>
      </c>
      <c r="AC381" s="215" t="s">
        <v>6069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4432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>IF(AQ381="SIM","AGUARDANDO CORREÇÃO",IF(AP381&lt;&gt;"","FINALIZADO",IF(AO381&lt;&gt;"","AGUARDANDO ENVIO DTS",IF(AN381&lt;&gt;"","AGUARDANDO ASSINATURA GAB",IF(AM381&lt;&gt;"","AGUARDANDO ASSINATURA CTS",IF(AL381&lt;&gt;"","AGUARDANDO ENVIO ASSINATURA CTS",IF(AK381&lt;&gt;"","AGUARDANDO CONFERÊNCIA","")))))))</f>
        <v>FINALIZADO</v>
      </c>
      <c r="AS381" s="207" t="s">
        <v>4423</v>
      </c>
      <c r="AT381" s="207"/>
      <c r="AU381" s="220" t="s">
        <v>6070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4434</v>
      </c>
      <c r="BF381" s="257" t="s">
        <v>4435</v>
      </c>
      <c r="BG381" s="219" t="s">
        <v>4425</v>
      </c>
      <c r="BH381" s="321">
        <f>IFERROR(IF(BD381-KI381=0,"",BD381-AK381),"")</f>
        <v>90</v>
      </c>
      <c r="BI381" s="98" t="str">
        <f>IF(AND(AH381&lt;&gt;"SIM",AH381="UH"),"AA","INDENIZAÇÃO")</f>
        <v>INDENIZAÇÃO</v>
      </c>
      <c r="BJ381" s="98" t="str">
        <f>IF(AND(BD381&lt;&gt;"AGUARDANDO",BD381&lt;&gt;"",N381="AUXÍLIO ALUGUEL ATÉ INDENIZAÇÃO"),"SIM","NÃO")</f>
        <v>NÃO</v>
      </c>
      <c r="BK381" s="219" t="s">
        <v>4436</v>
      </c>
      <c r="BL381" s="219" t="s">
        <v>4436</v>
      </c>
      <c r="BM381" s="219" t="s">
        <v>4436</v>
      </c>
      <c r="BN381" s="257" t="s">
        <v>4956</v>
      </c>
      <c r="BO381" s="257"/>
      <c r="BP381" s="257"/>
      <c r="BQ381" s="257"/>
      <c r="BR381" s="258"/>
      <c r="BS381" s="223"/>
    </row>
    <row r="382" spans="1:72" s="240" customFormat="1" ht="27" customHeight="1" x14ac:dyDescent="0.25">
      <c r="A382" s="207">
        <v>378</v>
      </c>
      <c r="B382" s="197" t="s">
        <v>4396</v>
      </c>
      <c r="C382" s="207" t="s">
        <v>4426</v>
      </c>
      <c r="D382" s="207">
        <v>1</v>
      </c>
      <c r="E382" s="207" t="s">
        <v>4398</v>
      </c>
      <c r="F382" s="214" t="s">
        <v>6071</v>
      </c>
      <c r="G382" s="207" t="s">
        <v>4400</v>
      </c>
      <c r="H382" s="207" t="s">
        <v>4401</v>
      </c>
      <c r="I382" s="217" t="s">
        <v>4402</v>
      </c>
      <c r="J382" s="215" t="s">
        <v>6072</v>
      </c>
      <c r="K382" s="215" t="s">
        <v>6073</v>
      </c>
      <c r="L382" s="215" t="s">
        <v>6074</v>
      </c>
      <c r="M382" s="207" t="s">
        <v>4405</v>
      </c>
      <c r="N382" s="207" t="s">
        <v>4441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6072</v>
      </c>
      <c r="AB382" s="215" t="s">
        <v>6073</v>
      </c>
      <c r="AC382" s="215" t="s">
        <v>6074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4432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>IF(AQ382="SIM","AGUARDANDO CORREÇÃO",IF(AP382&lt;&gt;"","FINALIZADO",IF(AO382&lt;&gt;"","AGUARDANDO ENVIO DTS",IF(AN382&lt;&gt;"","AGUARDANDO ASSINATURA GAB",IF(AM382&lt;&gt;"","AGUARDANDO ASSINATURA CTS",IF(AL382&lt;&gt;"","AGUARDANDO ENVIO ASSINATURA CTS",IF(AK382&lt;&gt;"","AGUARDANDO CONFERÊNCIA","")))))))</f>
        <v>FINALIZADO</v>
      </c>
      <c r="AS382" s="207" t="s">
        <v>4423</v>
      </c>
      <c r="AT382" s="207"/>
      <c r="AU382" s="220" t="s">
        <v>6075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4434</v>
      </c>
      <c r="BF382" s="228" t="s">
        <v>4435</v>
      </c>
      <c r="BG382" s="229" t="s">
        <v>4425</v>
      </c>
      <c r="BH382" s="321">
        <f>IFERROR(IF(BD382-KI382=0,"",BD382-AK382),"")</f>
        <v>95</v>
      </c>
      <c r="BI382" s="98" t="str">
        <f>IF(AND(AH382&lt;&gt;"SIM",AH382="UH"),"AA","INDENIZAÇÃO")</f>
        <v>INDENIZAÇÃO</v>
      </c>
      <c r="BJ382" s="98" t="str">
        <f>IF(AND(BD382&lt;&gt;"AGUARDANDO",BD382&lt;&gt;"",N382="AUXÍLIO ALUGUEL ATÉ INDENIZAÇÃO"),"SIM","NÃO")</f>
        <v>NÃO</v>
      </c>
      <c r="BK382" s="219" t="s">
        <v>4436</v>
      </c>
      <c r="BL382" s="219" t="s">
        <v>4436</v>
      </c>
      <c r="BM382" s="219" t="s">
        <v>4436</v>
      </c>
      <c r="BN382" s="257" t="s">
        <v>4956</v>
      </c>
      <c r="BO382" s="257"/>
      <c r="BP382" s="257"/>
      <c r="BQ382" s="257"/>
      <c r="BR382" s="258"/>
    </row>
    <row r="383" spans="1:72" s="240" customFormat="1" ht="27" customHeight="1" x14ac:dyDescent="0.25">
      <c r="A383" s="207">
        <v>379</v>
      </c>
      <c r="B383" s="197" t="s">
        <v>4396</v>
      </c>
      <c r="C383" s="207" t="s">
        <v>4426</v>
      </c>
      <c r="D383" s="207">
        <v>1</v>
      </c>
      <c r="E383" s="207" t="s">
        <v>4398</v>
      </c>
      <c r="F383" s="214" t="s">
        <v>6076</v>
      </c>
      <c r="G383" s="207" t="s">
        <v>4400</v>
      </c>
      <c r="H383" s="207" t="s">
        <v>4401</v>
      </c>
      <c r="I383" s="217" t="s">
        <v>4402</v>
      </c>
      <c r="J383" s="215" t="s">
        <v>6077</v>
      </c>
      <c r="K383" s="215" t="s">
        <v>6078</v>
      </c>
      <c r="L383" s="215" t="s">
        <v>6079</v>
      </c>
      <c r="M383" s="207" t="s">
        <v>4405</v>
      </c>
      <c r="N383" s="207" t="s">
        <v>4441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6077</v>
      </c>
      <c r="AB383" s="215" t="s">
        <v>6078</v>
      </c>
      <c r="AC383" s="215" t="s">
        <v>6079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4432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>IF(AQ383="SIM","AGUARDANDO CORREÇÃO",IF(AP383&lt;&gt;"","FINALIZADO",IF(AO383&lt;&gt;"","AGUARDANDO ENVIO DTS",IF(AN383&lt;&gt;"","AGUARDANDO ASSINATURA GAB",IF(AM383&lt;&gt;"","AGUARDANDO ASSINATURA CTS",IF(AL383&lt;&gt;"","AGUARDANDO ENVIO ASSINATURA CTS",IF(AK383&lt;&gt;"","AGUARDANDO CONFERÊNCIA","")))))))</f>
        <v>FINALIZADO</v>
      </c>
      <c r="AS383" s="207" t="s">
        <v>4423</v>
      </c>
      <c r="AT383" s="207"/>
      <c r="AU383" s="220" t="s">
        <v>6080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4434</v>
      </c>
      <c r="BF383" s="228" t="s">
        <v>4435</v>
      </c>
      <c r="BG383" s="219" t="s">
        <v>4425</v>
      </c>
      <c r="BH383" s="321">
        <f>IFERROR(IF(BD383-KI383=0,"",BD383-AK383),"")</f>
        <v>116</v>
      </c>
      <c r="BI383" s="98" t="str">
        <f>IF(AND(AH383&lt;&gt;"SIM",AH383="UH"),"AA","INDENIZAÇÃO")</f>
        <v>INDENIZAÇÃO</v>
      </c>
      <c r="BJ383" s="98" t="str">
        <f>IF(AND(BD383&lt;&gt;"AGUARDANDO",BD383&lt;&gt;"",N383="AUXÍLIO ALUGUEL ATÉ INDENIZAÇÃO"),"SIM","NÃO")</f>
        <v>NÃO</v>
      </c>
      <c r="BK383" s="219" t="s">
        <v>4436</v>
      </c>
      <c r="BL383" s="219" t="s">
        <v>4436</v>
      </c>
      <c r="BM383" s="219" t="s">
        <v>4436</v>
      </c>
      <c r="BN383" s="257" t="s">
        <v>4956</v>
      </c>
      <c r="BO383" s="257"/>
      <c r="BP383" s="257"/>
      <c r="BQ383" s="257"/>
      <c r="BR383" s="258"/>
    </row>
    <row r="384" spans="1:72" s="240" customFormat="1" ht="27" customHeight="1" x14ac:dyDescent="0.25">
      <c r="A384" s="197">
        <v>380</v>
      </c>
      <c r="B384" s="197" t="s">
        <v>4396</v>
      </c>
      <c r="C384" s="207" t="s">
        <v>4426</v>
      </c>
      <c r="D384" s="207">
        <v>1</v>
      </c>
      <c r="E384" s="207" t="s">
        <v>4398</v>
      </c>
      <c r="F384" s="214" t="s">
        <v>6081</v>
      </c>
      <c r="G384" s="207" t="s">
        <v>4400</v>
      </c>
      <c r="H384" s="207" t="s">
        <v>4401</v>
      </c>
      <c r="I384" s="217" t="s">
        <v>4402</v>
      </c>
      <c r="J384" s="215" t="s">
        <v>6082</v>
      </c>
      <c r="K384" s="215" t="s">
        <v>6083</v>
      </c>
      <c r="L384" s="215" t="s">
        <v>6084</v>
      </c>
      <c r="M384" s="207" t="s">
        <v>4405</v>
      </c>
      <c r="N384" s="207" t="s">
        <v>4441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6082</v>
      </c>
      <c r="AB384" s="215" t="s">
        <v>6083</v>
      </c>
      <c r="AC384" s="215" t="s">
        <v>6084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>IF(AQ384="SIM","AGUARDANDO CORREÇÃO",IF(AP384&lt;&gt;"","FINALIZADO",IF(AO384&lt;&gt;"","AGUARDANDO ENVIO DTS",IF(AN384&lt;&gt;"","AGUARDANDO ASSINATURA GAB",IF(AM384&lt;&gt;"","AGUARDANDO ASSINATURA CTS",IF(AL384&lt;&gt;"","AGUARDANDO ENVIO ASSINATURA CTS",IF(AK384&lt;&gt;"","AGUARDANDO CONFERÊNCIA","")))))))</f>
        <v>FINALIZADO</v>
      </c>
      <c r="AS384" s="207" t="s">
        <v>4423</v>
      </c>
      <c r="AT384" s="262"/>
      <c r="AU384" s="220" t="s">
        <v>6085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4434</v>
      </c>
      <c r="BF384" s="257" t="s">
        <v>4435</v>
      </c>
      <c r="BG384" s="219" t="s">
        <v>4425</v>
      </c>
      <c r="BH384" s="321">
        <f>IFERROR(IF(BD384-KI384=0,"",BD384-AK384),"")</f>
        <v>41</v>
      </c>
      <c r="BI384" s="98" t="str">
        <f>IF(AND(AH384&lt;&gt;"SIM",AH384="UH"),"AA","INDENIZAÇÃO")</f>
        <v>INDENIZAÇÃO</v>
      </c>
      <c r="BJ384" s="98" t="str">
        <f>IF(AND(BD384&lt;&gt;"AGUARDANDO",BD384&lt;&gt;"",N384="AUXÍLIO ALUGUEL ATÉ INDENIZAÇÃO"),"SIM","NÃO")</f>
        <v>NÃO</v>
      </c>
      <c r="BK384" s="219" t="s">
        <v>4436</v>
      </c>
      <c r="BL384" s="219" t="s">
        <v>4436</v>
      </c>
      <c r="BM384" s="219" t="s">
        <v>4436</v>
      </c>
      <c r="BN384" s="257" t="s">
        <v>4956</v>
      </c>
      <c r="BO384" s="257"/>
      <c r="BP384" s="257"/>
      <c r="BQ384" s="257"/>
      <c r="BR384" s="258"/>
      <c r="BS384" s="223"/>
    </row>
    <row r="385" spans="1:70" s="240" customFormat="1" ht="27" hidden="1" customHeight="1" x14ac:dyDescent="0.25">
      <c r="A385" s="197">
        <v>381</v>
      </c>
      <c r="B385" s="197" t="s">
        <v>4396</v>
      </c>
      <c r="C385" s="207" t="s">
        <v>4426</v>
      </c>
      <c r="D385" s="207">
        <v>1</v>
      </c>
      <c r="E385" s="207" t="s">
        <v>4398</v>
      </c>
      <c r="F385" s="214" t="s">
        <v>6086</v>
      </c>
      <c r="G385" s="207" t="s">
        <v>4400</v>
      </c>
      <c r="H385" s="207" t="s">
        <v>4401</v>
      </c>
      <c r="I385" s="217" t="s">
        <v>4402</v>
      </c>
      <c r="J385" s="215" t="s">
        <v>6087</v>
      </c>
      <c r="K385" s="215" t="s">
        <v>4398</v>
      </c>
      <c r="L385" s="215" t="s">
        <v>6088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6087</v>
      </c>
      <c r="AB385" s="215" t="s">
        <v>4398</v>
      </c>
      <c r="AC385" s="215" t="s">
        <v>6088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>IF(AQ385="SIM","AGUARDANDO CORREÇÃO",IF(AP385&lt;&gt;"","FINALIZADO",IF(AO385&lt;&gt;"","AGUARDANDO ENVIO DTS",IF(AN385&lt;&gt;"","AGUARDANDO ASSINATURA GAB",IF(AM385&lt;&gt;"","AGUARDANDO ASSINATURA CTS",IF(AL385&lt;&gt;"","AGUARDANDO ENVIO ASSINATURA CTS",IF(AK385&lt;&gt;"","AGUARDANDO CONFERÊNCIA","")))))))</f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>IFERROR(IF(BD385-KI385=0,"",BD385-AK385),"")</f>
        <v/>
      </c>
      <c r="BI385" s="98" t="str">
        <f>IF(AND(AH385&lt;&gt;"SIM",AH385="UH"),"AA","INDENIZAÇÃO")</f>
        <v>AA</v>
      </c>
      <c r="BJ385" s="98" t="str">
        <f>IF(AND(BD385&lt;&gt;"AGUARDANDO",BD385&lt;&gt;"",N385="AUXÍLIO ALUGUEL ATÉ INDENIZAÇÃO"),"SIM","NÃO")</f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customHeight="1" x14ac:dyDescent="0.25">
      <c r="A386" s="207">
        <v>382</v>
      </c>
      <c r="B386" s="197" t="s">
        <v>4396</v>
      </c>
      <c r="C386" s="207" t="s">
        <v>4426</v>
      </c>
      <c r="D386" s="207">
        <v>1</v>
      </c>
      <c r="E386" s="207" t="s">
        <v>4398</v>
      </c>
      <c r="F386" s="214" t="s">
        <v>6089</v>
      </c>
      <c r="G386" s="207" t="s">
        <v>4400</v>
      </c>
      <c r="H386" s="207" t="s">
        <v>4401</v>
      </c>
      <c r="I386" s="217" t="s">
        <v>4402</v>
      </c>
      <c r="J386" s="215" t="s">
        <v>6090</v>
      </c>
      <c r="K386" s="215" t="s">
        <v>6091</v>
      </c>
      <c r="L386" s="215" t="s">
        <v>6092</v>
      </c>
      <c r="M386" s="207" t="s">
        <v>4405</v>
      </c>
      <c r="N386" s="207" t="s">
        <v>4441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6090</v>
      </c>
      <c r="AB386" s="215" t="s">
        <v>6091</v>
      </c>
      <c r="AC386" s="215" t="s">
        <v>6092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4432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>IF(AQ386="SIM","AGUARDANDO CORREÇÃO",IF(AP386&lt;&gt;"","FINALIZADO",IF(AO386&lt;&gt;"","AGUARDANDO ENVIO DTS",IF(AN386&lt;&gt;"","AGUARDANDO ASSINATURA GAB",IF(AM386&lt;&gt;"","AGUARDANDO ASSINATURA CTS",IF(AL386&lt;&gt;"","AGUARDANDO ENVIO ASSINATURA CTS",IF(AK386&lt;&gt;"","AGUARDANDO CONFERÊNCIA","")))))))</f>
        <v>FINALIZADO</v>
      </c>
      <c r="AS386" s="207" t="s">
        <v>4423</v>
      </c>
      <c r="AT386" s="207"/>
      <c r="AU386" s="220" t="s">
        <v>6093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4434</v>
      </c>
      <c r="BF386" s="228" t="s">
        <v>4435</v>
      </c>
      <c r="BG386" s="229" t="s">
        <v>4425</v>
      </c>
      <c r="BH386" s="321">
        <f>IFERROR(IF(BD386-KI386=0,"",BD386-AK386),"")</f>
        <v>65</v>
      </c>
      <c r="BI386" s="98" t="str">
        <f>IF(AND(AH386&lt;&gt;"SIM",AH386="UH"),"AA","INDENIZAÇÃO")</f>
        <v>INDENIZAÇÃO</v>
      </c>
      <c r="BJ386" s="98" t="str">
        <f>IF(AND(BD386&lt;&gt;"AGUARDANDO",BD386&lt;&gt;"",N386="AUXÍLIO ALUGUEL ATÉ INDENIZAÇÃO"),"SIM","NÃO")</f>
        <v>NÃO</v>
      </c>
      <c r="BK386" s="230" t="s">
        <v>4436</v>
      </c>
      <c r="BL386" s="230" t="s">
        <v>4436</v>
      </c>
      <c r="BM386" s="230" t="s">
        <v>4436</v>
      </c>
      <c r="BN386" s="265" t="s">
        <v>4956</v>
      </c>
      <c r="BO386" s="265"/>
      <c r="BP386" s="265"/>
      <c r="BQ386" s="265"/>
      <c r="BR386" s="231"/>
    </row>
    <row r="387" spans="1:70" s="240" customFormat="1" ht="27" customHeight="1" x14ac:dyDescent="0.25">
      <c r="A387" s="207">
        <v>383</v>
      </c>
      <c r="B387" s="197" t="s">
        <v>4396</v>
      </c>
      <c r="C387" s="207" t="s">
        <v>4426</v>
      </c>
      <c r="D387" s="207">
        <v>1</v>
      </c>
      <c r="E387" s="207" t="s">
        <v>4398</v>
      </c>
      <c r="F387" s="214" t="s">
        <v>6094</v>
      </c>
      <c r="G387" s="207" t="s">
        <v>4400</v>
      </c>
      <c r="H387" s="207" t="s">
        <v>4401</v>
      </c>
      <c r="I387" s="217" t="s">
        <v>4402</v>
      </c>
      <c r="J387" s="215" t="s">
        <v>6095</v>
      </c>
      <c r="K387" s="215" t="s">
        <v>6096</v>
      </c>
      <c r="L387" s="215" t="s">
        <v>6097</v>
      </c>
      <c r="M387" s="207" t="s">
        <v>4405</v>
      </c>
      <c r="N387" s="207" t="s">
        <v>4441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6095</v>
      </c>
      <c r="AB387" s="215" t="s">
        <v>6096</v>
      </c>
      <c r="AC387" s="215" t="s">
        <v>6097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4432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>IF(AQ387="SIM","AGUARDANDO CORREÇÃO",IF(AP387&lt;&gt;"","FINALIZADO",IF(AO387&lt;&gt;"","AGUARDANDO ENVIO DTS",IF(AN387&lt;&gt;"","AGUARDANDO ASSINATURA GAB",IF(AM387&lt;&gt;"","AGUARDANDO ASSINATURA CTS",IF(AL387&lt;&gt;"","AGUARDANDO ENVIO ASSINATURA CTS",IF(AK387&lt;&gt;"","AGUARDANDO CONFERÊNCIA","")))))))</f>
        <v>FINALIZADO</v>
      </c>
      <c r="AS387" s="207" t="s">
        <v>4423</v>
      </c>
      <c r="AT387" s="207"/>
      <c r="AU387" s="220" t="s">
        <v>6098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4434</v>
      </c>
      <c r="BF387" s="228" t="s">
        <v>4435</v>
      </c>
      <c r="BG387" s="229" t="s">
        <v>4425</v>
      </c>
      <c r="BH387" s="321">
        <f>IFERROR(IF(BD387-KI387=0,"",BD387-AK387),"")</f>
        <v>20</v>
      </c>
      <c r="BI387" s="98" t="str">
        <f>IF(AND(AH387&lt;&gt;"SIM",AH387="UH"),"AA","INDENIZAÇÃO")</f>
        <v>INDENIZAÇÃO</v>
      </c>
      <c r="BJ387" s="98" t="str">
        <f>IF(AND(BD387&lt;&gt;"AGUARDANDO",BD387&lt;&gt;"",N387="AUXÍLIO ALUGUEL ATÉ INDENIZAÇÃO"),"SIM","NÃO")</f>
        <v>NÃO</v>
      </c>
      <c r="BK387" s="230" t="s">
        <v>4436</v>
      </c>
      <c r="BL387" s="230" t="s">
        <v>4436</v>
      </c>
      <c r="BM387" s="230" t="s">
        <v>4436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4434</v>
      </c>
    </row>
    <row r="388" spans="1:70" s="240" customFormat="1" ht="27" hidden="1" customHeight="1" x14ac:dyDescent="0.25">
      <c r="A388" s="207">
        <v>384</v>
      </c>
      <c r="B388" s="197" t="s">
        <v>4396</v>
      </c>
      <c r="C388" s="207" t="s">
        <v>4426</v>
      </c>
      <c r="D388" s="207">
        <v>1</v>
      </c>
      <c r="E388" s="207" t="s">
        <v>4398</v>
      </c>
      <c r="F388" s="214" t="s">
        <v>6099</v>
      </c>
      <c r="G388" s="207" t="s">
        <v>4400</v>
      </c>
      <c r="H388" s="207" t="s">
        <v>4401</v>
      </c>
      <c r="I388" s="217" t="s">
        <v>4402</v>
      </c>
      <c r="J388" s="215" t="s">
        <v>6100</v>
      </c>
      <c r="K388" s="215" t="s">
        <v>6101</v>
      </c>
      <c r="L388" s="215" t="s">
        <v>6102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6100</v>
      </c>
      <c r="AB388" s="215" t="s">
        <v>6101</v>
      </c>
      <c r="AC388" s="215" t="s">
        <v>6102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>IF(AQ388="SIM","AGUARDANDO CORREÇÃO",IF(AP388&lt;&gt;"","FINALIZADO",IF(AO388&lt;&gt;"","AGUARDANDO ENVIO DTS",IF(AN388&lt;&gt;"","AGUARDANDO ASSINATURA GAB",IF(AM388&lt;&gt;"","AGUARDANDO ASSINATURA CTS",IF(AL388&lt;&gt;"","AGUARDANDO ENVIO ASSINATURA CTS",IF(AK388&lt;&gt;"","AGUARDANDO CONFERÊNCIA","")))))))</f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>IFERROR(IF(BD388-KI388=0,"",BD388-AK388),"")</f>
        <v/>
      </c>
      <c r="BI388" s="98" t="str">
        <f>IF(AND(AH388&lt;&gt;"SIM",AH388="UH"),"AA","INDENIZAÇÃO")</f>
        <v>AA</v>
      </c>
      <c r="BJ388" s="98" t="str">
        <f>IF(AND(BD388&lt;&gt;"AGUARDANDO",BD388&lt;&gt;"",N388="AUXÍLIO ALUGUEL ATÉ INDENIZAÇÃO"),"SIM","NÃO")</f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hidden="1" customHeight="1" x14ac:dyDescent="0.25">
      <c r="A389" s="197">
        <v>385</v>
      </c>
      <c r="B389" s="197" t="s">
        <v>4396</v>
      </c>
      <c r="C389" s="207" t="s">
        <v>4426</v>
      </c>
      <c r="D389" s="207">
        <v>1</v>
      </c>
      <c r="E389" s="207" t="s">
        <v>4398</v>
      </c>
      <c r="F389" s="214" t="s">
        <v>6103</v>
      </c>
      <c r="G389" s="207" t="s">
        <v>4400</v>
      </c>
      <c r="H389" s="207" t="s">
        <v>4401</v>
      </c>
      <c r="I389" s="217" t="s">
        <v>4402</v>
      </c>
      <c r="J389" s="215" t="s">
        <v>6104</v>
      </c>
      <c r="K389" s="215" t="s">
        <v>6105</v>
      </c>
      <c r="L389" s="215" t="s">
        <v>6106</v>
      </c>
      <c r="M389" s="207" t="s">
        <v>4405</v>
      </c>
      <c r="N389" s="207" t="s">
        <v>4431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6104</v>
      </c>
      <c r="AB389" s="215" t="s">
        <v>6105</v>
      </c>
      <c r="AC389" s="215" t="s">
        <v>6106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>IF(AQ389="SIM","AGUARDANDO CORREÇÃO",IF(AP389&lt;&gt;"","FINALIZADO",IF(AO389&lt;&gt;"","AGUARDANDO ENVIO DTS",IF(AN389&lt;&gt;"","AGUARDANDO ASSINATURA GAB",IF(AM389&lt;&gt;"","AGUARDANDO ASSINATURA CTS",IF(AL389&lt;&gt;"","AGUARDANDO ENVIO ASSINATURA CTS",IF(AK389&lt;&gt;"","AGUARDANDO CONFERÊNCIA","")))))))</f>
        <v>AGUARDANDO ASSINATURA GAB</v>
      </c>
      <c r="AS389" s="207" t="s">
        <v>4446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>IFERROR(IF(BD389-KI389=0,"",BD389-AK389),"")</f>
        <v/>
      </c>
      <c r="BI389" s="98" t="str">
        <f>IF(AND(AH389&lt;&gt;"SIM",AH389="UH"),"AA","INDENIZAÇÃO")</f>
        <v>INDENIZAÇÃO</v>
      </c>
      <c r="BJ389" s="98" t="str">
        <f>IF(AND(BD389&lt;&gt;"AGUARDANDO",BD389&lt;&gt;"",N389="AUXÍLIO ALUGUEL ATÉ INDENIZAÇÃO"),"SIM","NÃO")</f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hidden="1" customHeight="1" x14ac:dyDescent="0.25">
      <c r="A390" s="197">
        <v>386</v>
      </c>
      <c r="B390" s="197" t="s">
        <v>4396</v>
      </c>
      <c r="C390" s="207" t="s">
        <v>4426</v>
      </c>
      <c r="D390" s="207">
        <v>2</v>
      </c>
      <c r="E390" s="207" t="s">
        <v>4398</v>
      </c>
      <c r="F390" s="214" t="s">
        <v>6107</v>
      </c>
      <c r="G390" s="207" t="s">
        <v>4400</v>
      </c>
      <c r="H390" s="207" t="s">
        <v>4401</v>
      </c>
      <c r="I390" s="217" t="s">
        <v>4402</v>
      </c>
      <c r="J390" s="215" t="s">
        <v>6108</v>
      </c>
      <c r="K390" s="215" t="s">
        <v>6109</v>
      </c>
      <c r="L390" s="215" t="s">
        <v>6110</v>
      </c>
      <c r="M390" s="207" t="s">
        <v>4405</v>
      </c>
      <c r="N390" s="207" t="s">
        <v>4431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6108</v>
      </c>
      <c r="AB390" s="215" t="s">
        <v>6109</v>
      </c>
      <c r="AC390" s="215" t="s">
        <v>6110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4432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4446</v>
      </c>
      <c r="AT390" s="207" t="s">
        <v>6111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>IFERROR(IF(BD390-KI390=0,"",BD390-AK390),"")</f>
        <v/>
      </c>
      <c r="BI390" s="98" t="str">
        <f>IF(AND(AH390&lt;&gt;"SIM",AH390="UH"),"AA","INDENIZAÇÃO")</f>
        <v>INDENIZAÇÃO</v>
      </c>
      <c r="BJ390" s="98" t="str">
        <f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hidden="1" customHeight="1" x14ac:dyDescent="0.25">
      <c r="A391" s="207">
        <v>387</v>
      </c>
      <c r="B391" s="197" t="s">
        <v>4396</v>
      </c>
      <c r="C391" s="207" t="s">
        <v>4426</v>
      </c>
      <c r="D391" s="207">
        <v>1</v>
      </c>
      <c r="E391" s="250" t="s">
        <v>4398</v>
      </c>
      <c r="F391" s="214" t="s">
        <v>6112</v>
      </c>
      <c r="G391" s="207" t="s">
        <v>4400</v>
      </c>
      <c r="H391" s="207" t="s">
        <v>4401</v>
      </c>
      <c r="I391" s="217" t="s">
        <v>4402</v>
      </c>
      <c r="J391" s="215" t="s">
        <v>6113</v>
      </c>
      <c r="K391" s="215" t="s">
        <v>6114</v>
      </c>
      <c r="L391" s="215" t="s">
        <v>6115</v>
      </c>
      <c r="M391" s="207" t="s">
        <v>4405</v>
      </c>
      <c r="N391" s="207" t="s">
        <v>4441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6113</v>
      </c>
      <c r="AB391" s="215" t="s">
        <v>6114</v>
      </c>
      <c r="AC391" s="215" t="s">
        <v>6115</v>
      </c>
      <c r="AD391" s="217" t="s">
        <v>6116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6117</v>
      </c>
      <c r="AL391" s="316" t="s">
        <v>6117</v>
      </c>
      <c r="AM391" s="316" t="s">
        <v>6117</v>
      </c>
      <c r="AN391" s="316" t="s">
        <v>6117</v>
      </c>
      <c r="AO391" s="316" t="s">
        <v>6117</v>
      </c>
      <c r="AP391" s="316" t="s">
        <v>6117</v>
      </c>
      <c r="AQ391" s="314"/>
      <c r="AR391" s="315" t="str">
        <f>IF(AQ391="SIM","AGUARDANDO CORREÇÃO",IF(AP391&lt;&gt;"","FINALIZADO",IF(AO391&lt;&gt;"","AGUARDANDO ENVIO DTS",IF(AN391&lt;&gt;"","AGUARDANDO ASSINATURA GAB",IF(AM391&lt;&gt;"","AGUARDANDO ASSINATURA CTS",IF(AL391&lt;&gt;"","AGUARDANDO ENVIO ASSINATURA CTS",IF(AK391&lt;&gt;"","AGUARDANDO CONFERÊNCIA","")))))))</f>
        <v>FINALIZADO</v>
      </c>
      <c r="AS391" s="207" t="s">
        <v>4423</v>
      </c>
      <c r="AT391" s="207"/>
      <c r="AU391" s="220" t="s">
        <v>4434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>IFERROR(IF(BD391-KI391=0,"",BD391-AK391),"")</f>
        <v/>
      </c>
      <c r="BI391" s="98" t="str">
        <f>IF(AND(AH391&lt;&gt;"SIM",AH391="UH"),"AA","INDENIZAÇÃO")</f>
        <v>INDENIZAÇÃO</v>
      </c>
      <c r="BJ391" s="98" t="str">
        <f>IF(AND(BD391&lt;&gt;"AGUARDANDO",BD391&lt;&gt;"",N391="AUXÍLIO ALUGUEL ATÉ INDENIZAÇÃO"),"SIM","NÃO")</f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hidden="1" customHeight="1" x14ac:dyDescent="0.25">
      <c r="A392" s="207">
        <v>388</v>
      </c>
      <c r="B392" s="197" t="s">
        <v>4396</v>
      </c>
      <c r="C392" s="207" t="s">
        <v>4426</v>
      </c>
      <c r="D392" s="207">
        <v>1</v>
      </c>
      <c r="E392" s="250" t="s">
        <v>4398</v>
      </c>
      <c r="F392" s="214" t="s">
        <v>6118</v>
      </c>
      <c r="G392" s="207" t="s">
        <v>4400</v>
      </c>
      <c r="H392" s="207" t="s">
        <v>4401</v>
      </c>
      <c r="I392" s="217" t="s">
        <v>4402</v>
      </c>
      <c r="J392" s="215" t="s">
        <v>6119</v>
      </c>
      <c r="K392" s="215" t="s">
        <v>4439</v>
      </c>
      <c r="L392" s="215" t="s">
        <v>6120</v>
      </c>
      <c r="M392" s="207" t="s">
        <v>4405</v>
      </c>
      <c r="N392" s="207" t="s">
        <v>4441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6119</v>
      </c>
      <c r="AB392" s="215" t="s">
        <v>4439</v>
      </c>
      <c r="AC392" s="215" t="s">
        <v>6120</v>
      </c>
      <c r="AD392" s="217" t="s">
        <v>6116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6117</v>
      </c>
      <c r="AL392" s="316" t="s">
        <v>6117</v>
      </c>
      <c r="AM392" s="316" t="s">
        <v>6117</v>
      </c>
      <c r="AN392" s="316" t="s">
        <v>6117</v>
      </c>
      <c r="AO392" s="316" t="s">
        <v>6117</v>
      </c>
      <c r="AP392" s="316" t="s">
        <v>6117</v>
      </c>
      <c r="AQ392" s="314"/>
      <c r="AR392" s="315" t="str">
        <f>IF(AQ392="SIM","AGUARDANDO CORREÇÃO",IF(AP392&lt;&gt;"","FINALIZADO",IF(AO392&lt;&gt;"","AGUARDANDO ENVIO DTS",IF(AN392&lt;&gt;"","AGUARDANDO ASSINATURA GAB",IF(AM392&lt;&gt;"","AGUARDANDO ASSINATURA CTS",IF(AL392&lt;&gt;"","AGUARDANDO ENVIO ASSINATURA CTS",IF(AK392&lt;&gt;"","AGUARDANDO CONFERÊNCIA","")))))))</f>
        <v>FINALIZADO</v>
      </c>
      <c r="AS392" s="207" t="s">
        <v>4423</v>
      </c>
      <c r="AT392" s="207"/>
      <c r="AU392" s="220" t="s">
        <v>4434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>IFERROR(IF(BD392-KI392=0,"",BD392-AK392),"")</f>
        <v/>
      </c>
      <c r="BI392" s="98" t="str">
        <f>IF(AND(AH392&lt;&gt;"SIM",AH392="UH"),"AA","INDENIZAÇÃO")</f>
        <v>INDENIZAÇÃO</v>
      </c>
      <c r="BJ392" s="98" t="str">
        <f>IF(AND(BD392&lt;&gt;"AGUARDANDO",BD392&lt;&gt;"",N392="AUXÍLIO ALUGUEL ATÉ INDENIZAÇÃO"),"SIM","NÃO")</f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hidden="1" customHeight="1" x14ac:dyDescent="0.25">
      <c r="A393" s="207">
        <v>389</v>
      </c>
      <c r="B393" s="197" t="s">
        <v>4396</v>
      </c>
      <c r="C393" s="207" t="s">
        <v>4426</v>
      </c>
      <c r="D393" s="207">
        <v>1</v>
      </c>
      <c r="E393" s="207" t="s">
        <v>4398</v>
      </c>
      <c r="F393" s="214" t="s">
        <v>6121</v>
      </c>
      <c r="G393" s="207" t="s">
        <v>4400</v>
      </c>
      <c r="H393" s="207" t="s">
        <v>4401</v>
      </c>
      <c r="I393" s="217" t="s">
        <v>4402</v>
      </c>
      <c r="J393" s="215" t="s">
        <v>6122</v>
      </c>
      <c r="K393" s="215" t="s">
        <v>6123</v>
      </c>
      <c r="L393" s="215" t="s">
        <v>6124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4439</v>
      </c>
      <c r="Y393" s="202"/>
      <c r="Z393" s="217" t="s">
        <v>5870</v>
      </c>
      <c r="AA393" s="215" t="s">
        <v>6122</v>
      </c>
      <c r="AB393" s="215" t="s">
        <v>6123</v>
      </c>
      <c r="AC393" s="215" t="s">
        <v>6124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>IF(AQ393="SIM","AGUARDANDO CORREÇÃO",IF(AP393&lt;&gt;"","FINALIZADO",IF(AO393&lt;&gt;"","AGUARDANDO ENVIO DTS",IF(AN393&lt;&gt;"","AGUARDANDO ASSINATURA GAB",IF(AM393&lt;&gt;"","AGUARDANDO ASSINATURA CTS",IF(AL393&lt;&gt;"","AGUARDANDO ENVIO ASSINATURA CTS",IF(AK393&lt;&gt;"","AGUARDANDO CONFERÊNCIA","")))))))</f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>IFERROR(IF(BD393-KI393=0,"",BD393-AK393),"")</f>
        <v/>
      </c>
      <c r="BI393" s="98" t="str">
        <f>IF(AND(AH393&lt;&gt;"SIM",AH393="UH"),"AA","INDENIZAÇÃO")</f>
        <v>AA</v>
      </c>
      <c r="BJ393" s="98" t="str">
        <f>IF(AND(BD393&lt;&gt;"AGUARDANDO",BD393&lt;&gt;"",N393="AUXÍLIO ALUGUEL ATÉ INDENIZAÇÃO"),"SIM","NÃO")</f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hidden="1" customHeight="1" x14ac:dyDescent="0.25">
      <c r="A394" s="197">
        <v>390</v>
      </c>
      <c r="B394" s="197" t="s">
        <v>4396</v>
      </c>
      <c r="C394" s="207" t="s">
        <v>4426</v>
      </c>
      <c r="D394" s="207">
        <v>1</v>
      </c>
      <c r="E394" s="207" t="s">
        <v>4398</v>
      </c>
      <c r="F394" s="214" t="s">
        <v>6125</v>
      </c>
      <c r="G394" s="207" t="s">
        <v>4400</v>
      </c>
      <c r="H394" s="207" t="s">
        <v>4401</v>
      </c>
      <c r="I394" s="217" t="s">
        <v>4402</v>
      </c>
      <c r="J394" s="215" t="s">
        <v>6126</v>
      </c>
      <c r="K394" s="215" t="s">
        <v>6127</v>
      </c>
      <c r="L394" s="215" t="s">
        <v>6128</v>
      </c>
      <c r="M394" s="207" t="s">
        <v>4405</v>
      </c>
      <c r="N394" s="207" t="s">
        <v>4441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6126</v>
      </c>
      <c r="AB394" s="215" t="s">
        <v>6127</v>
      </c>
      <c r="AC394" s="215" t="s">
        <v>6128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>IF(AQ394="SIM","AGUARDANDO CORREÇÃO",IF(AP394&lt;&gt;"","FINALIZADO",IF(AO394&lt;&gt;"","AGUARDANDO ENVIO DTS",IF(AN394&lt;&gt;"","AGUARDANDO ASSINATURA GAB",IF(AM394&lt;&gt;"","AGUARDANDO ASSINATURA CTS",IF(AL394&lt;&gt;"","AGUARDANDO ENVIO ASSINATURA CTS",IF(AK394&lt;&gt;"","AGUARDANDO CONFERÊNCIA","")))))))</f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>IFERROR(IF(BD394-KI394=0,"",BD394-AK394),"")</f>
        <v/>
      </c>
      <c r="BI394" s="98" t="str">
        <f>IF(AND(AH394&lt;&gt;"SIM",AH394="UH"),"AA","INDENIZAÇÃO")</f>
        <v>INDENIZAÇÃO</v>
      </c>
      <c r="BJ394" s="98" t="str">
        <f>IF(AND(BD394&lt;&gt;"AGUARDANDO",BD394&lt;&gt;"",N394="AUXÍLIO ALUGUEL ATÉ INDENIZAÇÃO"),"SIM","NÃO")</f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hidden="1" customHeight="1" x14ac:dyDescent="0.25">
      <c r="A395" s="197">
        <v>391</v>
      </c>
      <c r="B395" s="197" t="s">
        <v>4396</v>
      </c>
      <c r="C395" s="207" t="s">
        <v>4426</v>
      </c>
      <c r="D395" s="207">
        <v>1</v>
      </c>
      <c r="E395" s="207" t="s">
        <v>4398</v>
      </c>
      <c r="F395" s="214" t="s">
        <v>6129</v>
      </c>
      <c r="G395" s="207" t="s">
        <v>4545</v>
      </c>
      <c r="H395" s="207" t="s">
        <v>4545</v>
      </c>
      <c r="I395" s="233" t="s">
        <v>4421</v>
      </c>
      <c r="J395" s="215" t="s">
        <v>6130</v>
      </c>
      <c r="K395" s="215" t="s">
        <v>4398</v>
      </c>
      <c r="L395" s="215" t="s">
        <v>6131</v>
      </c>
      <c r="M395" s="207" t="s">
        <v>4405</v>
      </c>
      <c r="N395" s="207" t="s">
        <v>4441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6130</v>
      </c>
      <c r="AB395" s="215" t="s">
        <v>4398</v>
      </c>
      <c r="AC395" s="215" t="s">
        <v>6131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>IF(AQ395="SIM","AGUARDANDO CORREÇÃO",IF(AP395&lt;&gt;"","FINALIZADO",IF(AO395&lt;&gt;"","AGUARDANDO ENVIO DTS",IF(AN395&lt;&gt;"","AGUARDANDO ASSINATURA GAB",IF(AM395&lt;&gt;"","AGUARDANDO ASSINATURA CTS",IF(AL395&lt;&gt;"","AGUARDANDO ENVIO ASSINATURA CTS",IF(AK395&lt;&gt;"","AGUARDANDO CONFERÊNCIA","")))))))</f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>IFERROR(IF(BD395-KI395=0,"",BD395-AK395),"")</f>
        <v/>
      </c>
      <c r="BI395" s="98" t="str">
        <f>IF(AND(AH395&lt;&gt;"SIM",AH395="UH"),"AA","INDENIZAÇÃO")</f>
        <v>INDENIZAÇÃO</v>
      </c>
      <c r="BJ395" s="98" t="str">
        <f>IF(AND(BD395&lt;&gt;"AGUARDANDO",BD395&lt;&gt;"",N395="AUXÍLIO ALUGUEL ATÉ INDENIZAÇÃO"),"SIM","NÃO")</f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hidden="1" customHeight="1" x14ac:dyDescent="0.25">
      <c r="A396" s="207">
        <v>392</v>
      </c>
      <c r="B396" s="197" t="s">
        <v>4396</v>
      </c>
      <c r="C396" s="207" t="s">
        <v>4426</v>
      </c>
      <c r="D396" s="207">
        <v>1</v>
      </c>
      <c r="E396" s="207" t="s">
        <v>4398</v>
      </c>
      <c r="F396" s="214" t="s">
        <v>6132</v>
      </c>
      <c r="G396" s="207" t="s">
        <v>4400</v>
      </c>
      <c r="H396" s="207" t="s">
        <v>4401</v>
      </c>
      <c r="I396" s="249" t="s">
        <v>4414</v>
      </c>
      <c r="J396" s="215" t="s">
        <v>6133</v>
      </c>
      <c r="K396" s="215" t="s">
        <v>6134</v>
      </c>
      <c r="L396" s="215" t="s">
        <v>6135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4439</v>
      </c>
      <c r="Y396" s="202"/>
      <c r="Z396" s="217" t="s">
        <v>6136</v>
      </c>
      <c r="AA396" s="215" t="s">
        <v>6137</v>
      </c>
      <c r="AB396" s="215" t="s">
        <v>4439</v>
      </c>
      <c r="AC396" s="215" t="s">
        <v>4439</v>
      </c>
      <c r="AD396" s="217" t="s">
        <v>4421</v>
      </c>
      <c r="AE396" s="207" t="s">
        <v>6138</v>
      </c>
      <c r="AF396" s="218" t="s">
        <v>4409</v>
      </c>
      <c r="AG396" s="218" t="s">
        <v>4409</v>
      </c>
      <c r="AH396" s="207" t="s">
        <v>6139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>IF(AQ396="SIM","AGUARDANDO CORREÇÃO",IF(AP396&lt;&gt;"","FINALIZADO",IF(AO396&lt;&gt;"","AGUARDANDO ENVIO DTS",IF(AN396&lt;&gt;"","AGUARDANDO ASSINATURA GAB",IF(AM396&lt;&gt;"","AGUARDANDO ASSINATURA CTS",IF(AL396&lt;&gt;"","AGUARDANDO ENVIO ASSINATURA CTS",IF(AK396&lt;&gt;"","AGUARDANDO CONFERÊNCIA","")))))))</f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>IFERROR(IF(BD396-KI396=0,"",BD396-AK396),"")</f>
        <v/>
      </c>
      <c r="BI396" s="98" t="str">
        <f>IF(AND(AH396&lt;&gt;"SIM",AH396="UH"),"AA","INDENIZAÇÃO")</f>
        <v>INDENIZAÇÃO</v>
      </c>
      <c r="BJ396" s="98" t="str">
        <f>IF(AND(BD396&lt;&gt;"AGUARDANDO",BD396&lt;&gt;"",N396="AUXÍLIO ALUGUEL ATÉ INDENIZAÇÃO"),"SIM","NÃO")</f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customHeight="1" x14ac:dyDescent="0.25">
      <c r="A397" s="207">
        <v>393</v>
      </c>
      <c r="B397" s="197" t="s">
        <v>4396</v>
      </c>
      <c r="C397" s="207" t="s">
        <v>4426</v>
      </c>
      <c r="D397" s="207">
        <v>1</v>
      </c>
      <c r="E397" s="207" t="s">
        <v>4398</v>
      </c>
      <c r="F397" s="214" t="s">
        <v>6140</v>
      </c>
      <c r="G397" s="207" t="s">
        <v>4400</v>
      </c>
      <c r="H397" s="207" t="s">
        <v>4401</v>
      </c>
      <c r="I397" s="217" t="s">
        <v>4402</v>
      </c>
      <c r="J397" s="215" t="s">
        <v>6141</v>
      </c>
      <c r="K397" s="215">
        <v>33837673</v>
      </c>
      <c r="L397" s="215" t="s">
        <v>6142</v>
      </c>
      <c r="M397" s="207" t="s">
        <v>4405</v>
      </c>
      <c r="N397" s="207" t="s">
        <v>4441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6141</v>
      </c>
      <c r="AB397" s="215">
        <v>33837673</v>
      </c>
      <c r="AC397" s="215" t="s">
        <v>6142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4432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>IF(AQ397="SIM","AGUARDANDO CORREÇÃO",IF(AP397&lt;&gt;"","FINALIZADO",IF(AO397&lt;&gt;"","AGUARDANDO ENVIO DTS",IF(AN397&lt;&gt;"","AGUARDANDO ASSINATURA GAB",IF(AM397&lt;&gt;"","AGUARDANDO ASSINATURA CTS",IF(AL397&lt;&gt;"","AGUARDANDO ENVIO ASSINATURA CTS",IF(AK397&lt;&gt;"","AGUARDANDO CONFERÊNCIA","")))))))</f>
        <v>FINALIZADO</v>
      </c>
      <c r="AS397" s="207" t="s">
        <v>4423</v>
      </c>
      <c r="AT397" s="207"/>
      <c r="AU397" s="220" t="s">
        <v>6143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4434</v>
      </c>
      <c r="BF397" s="228" t="s">
        <v>4435</v>
      </c>
      <c r="BG397" s="229" t="s">
        <v>4425</v>
      </c>
      <c r="BH397" s="321">
        <f>IFERROR(IF(BD397-KI397=0,"",BD397-AK397),"")</f>
        <v>25</v>
      </c>
      <c r="BI397" s="98" t="str">
        <f>IF(AND(AH397&lt;&gt;"SIM",AH397="UH"),"AA","INDENIZAÇÃO")</f>
        <v>INDENIZAÇÃO</v>
      </c>
      <c r="BJ397" s="98" t="str">
        <f>IF(AND(BD397&lt;&gt;"AGUARDANDO",BD397&lt;&gt;"",N397="AUXÍLIO ALUGUEL ATÉ INDENIZAÇÃO"),"SIM","NÃO")</f>
        <v>NÃO</v>
      </c>
      <c r="BK397" s="230" t="s">
        <v>4436</v>
      </c>
      <c r="BL397" s="230" t="s">
        <v>4436</v>
      </c>
      <c r="BM397" s="230" t="s">
        <v>4436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4434</v>
      </c>
    </row>
    <row r="398" spans="1:70" s="240" customFormat="1" ht="27" hidden="1" customHeight="1" x14ac:dyDescent="0.25">
      <c r="A398" s="207">
        <v>394</v>
      </c>
      <c r="B398" s="197" t="s">
        <v>4396</v>
      </c>
      <c r="C398" s="207" t="s">
        <v>4426</v>
      </c>
      <c r="D398" s="207">
        <v>1</v>
      </c>
      <c r="E398" s="207" t="s">
        <v>4398</v>
      </c>
      <c r="F398" s="214" t="s">
        <v>6144</v>
      </c>
      <c r="G398" s="207" t="s">
        <v>4400</v>
      </c>
      <c r="H398" s="207" t="s">
        <v>4401</v>
      </c>
      <c r="I398" s="217" t="s">
        <v>4402</v>
      </c>
      <c r="J398" s="215" t="s">
        <v>6145</v>
      </c>
      <c r="K398" s="215" t="s">
        <v>6146</v>
      </c>
      <c r="L398" s="215" t="s">
        <v>6147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6145</v>
      </c>
      <c r="AB398" s="215" t="s">
        <v>6146</v>
      </c>
      <c r="AC398" s="215" t="s">
        <v>6147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>IF(AQ398="SIM","AGUARDANDO CORREÇÃO",IF(AP398&lt;&gt;"","FINALIZADO",IF(AO398&lt;&gt;"","AGUARDANDO ENVIO DTS",IF(AN398&lt;&gt;"","AGUARDANDO ASSINATURA GAB",IF(AM398&lt;&gt;"","AGUARDANDO ASSINATURA CTS",IF(AL398&lt;&gt;"","AGUARDANDO ENVIO ASSINATURA CTS",IF(AK398&lt;&gt;"","AGUARDANDO CONFERÊNCIA","")))))))</f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>IFERROR(IF(BD398-KI398=0,"",BD398-AK398),"")</f>
        <v/>
      </c>
      <c r="BI398" s="98" t="str">
        <f>IF(AND(AH398&lt;&gt;"SIM",AH398="UH"),"AA","INDENIZAÇÃO")</f>
        <v>AA</v>
      </c>
      <c r="BJ398" s="98" t="str">
        <f>IF(AND(BD398&lt;&gt;"AGUARDANDO",BD398&lt;&gt;"",N398="AUXÍLIO ALUGUEL ATÉ INDENIZAÇÃO"),"SIM","NÃO")</f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hidden="1" customHeight="1" x14ac:dyDescent="0.25">
      <c r="A399" s="197">
        <v>395</v>
      </c>
      <c r="B399" s="197" t="s">
        <v>4396</v>
      </c>
      <c r="C399" s="207" t="s">
        <v>4426</v>
      </c>
      <c r="D399" s="207">
        <v>1</v>
      </c>
      <c r="E399" s="207" t="s">
        <v>4398</v>
      </c>
      <c r="F399" s="214" t="s">
        <v>6148</v>
      </c>
      <c r="G399" s="207" t="s">
        <v>4400</v>
      </c>
      <c r="H399" s="207" t="s">
        <v>4401</v>
      </c>
      <c r="I399" s="217" t="s">
        <v>4402</v>
      </c>
      <c r="J399" s="215" t="s">
        <v>6149</v>
      </c>
      <c r="K399" s="215" t="s">
        <v>6150</v>
      </c>
      <c r="L399" s="215" t="s">
        <v>6151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6149</v>
      </c>
      <c r="AB399" s="215" t="s">
        <v>6150</v>
      </c>
      <c r="AC399" s="215" t="s">
        <v>6151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>IF(AQ399="SIM","AGUARDANDO CORREÇÃO",IF(AP399&lt;&gt;"","FINALIZADO",IF(AO399&lt;&gt;"","AGUARDANDO ENVIO DTS",IF(AN399&lt;&gt;"","AGUARDANDO ASSINATURA GAB",IF(AM399&lt;&gt;"","AGUARDANDO ASSINATURA CTS",IF(AL399&lt;&gt;"","AGUARDANDO ENVIO ASSINATURA CTS",IF(AK399&lt;&gt;"","AGUARDANDO CONFERÊNCIA","")))))))</f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>IFERROR(IF(BD399-KI399=0,"",BD399-AK399),"")</f>
        <v/>
      </c>
      <c r="BI399" s="98" t="str">
        <f>IF(AND(AH399&lt;&gt;"SIM",AH399="UH"),"AA","INDENIZAÇÃO")</f>
        <v>AA</v>
      </c>
      <c r="BJ399" s="98" t="str">
        <f>IF(AND(BD399&lt;&gt;"AGUARDANDO",BD399&lt;&gt;"",N399="AUXÍLIO ALUGUEL ATÉ INDENIZAÇÃO"),"SIM","NÃO")</f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hidden="1" customHeight="1" x14ac:dyDescent="0.25">
      <c r="A400" s="197">
        <v>396</v>
      </c>
      <c r="B400" s="197" t="s">
        <v>4396</v>
      </c>
      <c r="C400" s="207" t="s">
        <v>4426</v>
      </c>
      <c r="D400" s="207">
        <v>1</v>
      </c>
      <c r="E400" s="207" t="s">
        <v>4398</v>
      </c>
      <c r="F400" s="214" t="s">
        <v>6152</v>
      </c>
      <c r="G400" s="207" t="s">
        <v>4400</v>
      </c>
      <c r="H400" s="207" t="s">
        <v>4401</v>
      </c>
      <c r="I400" s="217" t="s">
        <v>4402</v>
      </c>
      <c r="J400" s="215" t="s">
        <v>6153</v>
      </c>
      <c r="K400" s="215" t="s">
        <v>4439</v>
      </c>
      <c r="L400" s="215" t="s">
        <v>6154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6155</v>
      </c>
      <c r="AB400" s="215" t="s">
        <v>4439</v>
      </c>
      <c r="AC400" s="215" t="s">
        <v>6154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>IF(AQ400="SIM","AGUARDANDO CORREÇÃO",IF(AP400&lt;&gt;"","FINALIZADO",IF(AO400&lt;&gt;"","AGUARDANDO ENVIO DTS",IF(AN400&lt;&gt;"","AGUARDANDO ASSINATURA GAB",IF(AM400&lt;&gt;"","AGUARDANDO ASSINATURA CTS",IF(AL400&lt;&gt;"","AGUARDANDO ENVIO ASSINATURA CTS",IF(AK400&lt;&gt;"","AGUARDANDO CONFERÊNCIA","")))))))</f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>IFERROR(IF(BD400-KI400=0,"",BD400-AK400),"")</f>
        <v/>
      </c>
      <c r="BI400" s="98" t="str">
        <f>IF(AND(AH400&lt;&gt;"SIM",AH400="UH"),"AA","INDENIZAÇÃO")</f>
        <v>AA</v>
      </c>
      <c r="BJ400" s="98" t="str">
        <f>IF(AND(BD400&lt;&gt;"AGUARDANDO",BD400&lt;&gt;"",N400="AUXÍLIO ALUGUEL ATÉ INDENIZAÇÃO"),"SIM","NÃO")</f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 x14ac:dyDescent="0.25">
      <c r="A401" s="207">
        <v>397</v>
      </c>
      <c r="B401" s="197" t="s">
        <v>4396</v>
      </c>
      <c r="C401" s="207" t="s">
        <v>4426</v>
      </c>
      <c r="D401" s="207">
        <v>1</v>
      </c>
      <c r="E401" s="207" t="s">
        <v>4398</v>
      </c>
      <c r="F401" s="214" t="s">
        <v>6156</v>
      </c>
      <c r="G401" s="207" t="s">
        <v>4400</v>
      </c>
      <c r="H401" s="207" t="s">
        <v>4401</v>
      </c>
      <c r="I401" s="217" t="s">
        <v>4402</v>
      </c>
      <c r="J401" s="215" t="s">
        <v>6157</v>
      </c>
      <c r="K401" s="215" t="s">
        <v>6158</v>
      </c>
      <c r="L401" s="215" t="s">
        <v>6159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6157</v>
      </c>
      <c r="AB401" s="215" t="s">
        <v>6158</v>
      </c>
      <c r="AC401" s="215" t="s">
        <v>6159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>IF(AQ401="SIM","AGUARDANDO CORREÇÃO",IF(AP401&lt;&gt;"","FINALIZADO",IF(AO401&lt;&gt;"","AGUARDANDO ENVIO DTS",IF(AN401&lt;&gt;"","AGUARDANDO ASSINATURA GAB",IF(AM401&lt;&gt;"","AGUARDANDO ASSINATURA CTS",IF(AL401&lt;&gt;"","AGUARDANDO ENVIO ASSINATURA CTS",IF(AK401&lt;&gt;"","AGUARDANDO CONFERÊNCIA","")))))))</f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>IFERROR(IF(BD401-KI401=0,"",BD401-AK401),"")</f>
        <v/>
      </c>
      <c r="BI401" s="98" t="str">
        <f>IF(AND(AH401&lt;&gt;"SIM",AH401="UH"),"AA","INDENIZAÇÃO")</f>
        <v>AA</v>
      </c>
      <c r="BJ401" s="98" t="str">
        <f>IF(AND(BD401&lt;&gt;"AGUARDANDO",BD401&lt;&gt;"",N401="AUXÍLIO ALUGUEL ATÉ INDENIZAÇÃO"),"SIM","NÃO")</f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 x14ac:dyDescent="0.25">
      <c r="A402" s="207">
        <v>398</v>
      </c>
      <c r="B402" s="197" t="s">
        <v>4396</v>
      </c>
      <c r="C402" s="207" t="s">
        <v>4426</v>
      </c>
      <c r="D402" s="207">
        <v>1</v>
      </c>
      <c r="E402" s="207" t="s">
        <v>4398</v>
      </c>
      <c r="F402" s="214" t="s">
        <v>6160</v>
      </c>
      <c r="G402" s="207" t="s">
        <v>4400</v>
      </c>
      <c r="H402" s="207" t="s">
        <v>4401</v>
      </c>
      <c r="I402" s="217" t="s">
        <v>4402</v>
      </c>
      <c r="J402" s="215" t="s">
        <v>6161</v>
      </c>
      <c r="K402" s="215" t="s">
        <v>4439</v>
      </c>
      <c r="L402" s="215" t="s">
        <v>6162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6161</v>
      </c>
      <c r="AB402" s="215" t="s">
        <v>4439</v>
      </c>
      <c r="AC402" s="215" t="s">
        <v>6162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>IF(AQ402="SIM","AGUARDANDO CORREÇÃO",IF(AP402&lt;&gt;"","FINALIZADO",IF(AO402&lt;&gt;"","AGUARDANDO ENVIO DTS",IF(AN402&lt;&gt;"","AGUARDANDO ASSINATURA GAB",IF(AM402&lt;&gt;"","AGUARDANDO ASSINATURA CTS",IF(AL402&lt;&gt;"","AGUARDANDO ENVIO ASSINATURA CTS",IF(AK402&lt;&gt;"","AGUARDANDO CONFERÊNCIA","")))))))</f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>IFERROR(IF(BD402-KI402=0,"",BD402-AK402),"")</f>
        <v/>
      </c>
      <c r="BI402" s="98" t="str">
        <f>IF(AND(AH402&lt;&gt;"SIM",AH402="UH"),"AA","INDENIZAÇÃO")</f>
        <v>AA</v>
      </c>
      <c r="BJ402" s="98" t="str">
        <f>IF(AND(BD402&lt;&gt;"AGUARDANDO",BD402&lt;&gt;"",N402="AUXÍLIO ALUGUEL ATÉ INDENIZAÇÃO"),"SIM","NÃO")</f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hidden="1" customHeight="1" x14ac:dyDescent="0.25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6163</v>
      </c>
      <c r="G403" s="207" t="s">
        <v>4400</v>
      </c>
      <c r="H403" s="207" t="s">
        <v>4401</v>
      </c>
      <c r="I403" s="207" t="s">
        <v>4402</v>
      </c>
      <c r="J403" s="215" t="s">
        <v>6164</v>
      </c>
      <c r="K403" s="215" t="s">
        <v>6165</v>
      </c>
      <c r="L403" s="215" t="s">
        <v>6166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6164</v>
      </c>
      <c r="AB403" s="215" t="s">
        <v>6165</v>
      </c>
      <c r="AC403" s="215" t="s">
        <v>6166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>IF(AQ403="SIM","AGUARDANDO CORREÇÃO",IF(AP403&lt;&gt;"","FINALIZADO",IF(AO403&lt;&gt;"","AGUARDANDO ENVIO DTS",IF(AN403&lt;&gt;"","AGUARDANDO ASSINATURA GAB",IF(AM403&lt;&gt;"","AGUARDANDO ASSINATURA CTS",IF(AL403&lt;&gt;"","AGUARDANDO ENVIO ASSINATURA CTS",IF(AK403&lt;&gt;"","AGUARDANDO CONFERÊNCIA","")))))))</f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>IFERROR(IF(BD403-KI403=0,"",BD403-AK403),"")</f>
        <v/>
      </c>
      <c r="BI403" s="98" t="str">
        <f>IF(AND(AH403&lt;&gt;"SIM",AH403="UH"),"AA","INDENIZAÇÃO")</f>
        <v>AA</v>
      </c>
      <c r="BJ403" s="98" t="str">
        <f>IF(AND(BD403&lt;&gt;"AGUARDANDO",BD403&lt;&gt;"",N403="AUXÍLIO ALUGUEL ATÉ INDENIZAÇÃO"),"SIM","NÃO")</f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customHeight="1" x14ac:dyDescent="0.25">
      <c r="A404" s="197">
        <v>400</v>
      </c>
      <c r="B404" s="197" t="s">
        <v>4396</v>
      </c>
      <c r="C404" s="207" t="s">
        <v>4426</v>
      </c>
      <c r="D404" s="207">
        <v>1</v>
      </c>
      <c r="E404" s="207" t="s">
        <v>4398</v>
      </c>
      <c r="F404" s="214" t="s">
        <v>6163</v>
      </c>
      <c r="G404" s="207" t="s">
        <v>4400</v>
      </c>
      <c r="H404" s="207" t="s">
        <v>4401</v>
      </c>
      <c r="I404" s="217" t="s">
        <v>4402</v>
      </c>
      <c r="J404" s="215" t="s">
        <v>6167</v>
      </c>
      <c r="K404" s="215" t="s">
        <v>6168</v>
      </c>
      <c r="L404" s="215" t="s">
        <v>6169</v>
      </c>
      <c r="M404" s="207" t="s">
        <v>4405</v>
      </c>
      <c r="N404" s="207" t="s">
        <v>4441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6167</v>
      </c>
      <c r="AB404" s="215" t="s">
        <v>6168</v>
      </c>
      <c r="AC404" s="215" t="s">
        <v>6169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>IF(AQ404="SIM","AGUARDANDO CORREÇÃO",IF(AP404&lt;&gt;"","FINALIZADO",IF(AO404&lt;&gt;"","AGUARDANDO ENVIO DTS",IF(AN404&lt;&gt;"","AGUARDANDO ASSINATURA GAB",IF(AM404&lt;&gt;"","AGUARDANDO ASSINATURA CTS",IF(AL404&lt;&gt;"","AGUARDANDO ENVIO ASSINATURA CTS",IF(AK404&lt;&gt;"","AGUARDANDO CONFERÊNCIA","")))))))</f>
        <v>FINALIZADO</v>
      </c>
      <c r="AS404" s="207" t="s">
        <v>4423</v>
      </c>
      <c r="AT404" s="262"/>
      <c r="AU404" s="220" t="s">
        <v>6170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4434</v>
      </c>
      <c r="BF404" s="257" t="s">
        <v>4435</v>
      </c>
      <c r="BG404" s="219" t="s">
        <v>4425</v>
      </c>
      <c r="BH404" s="321">
        <f>IFERROR(IF(BD404-KI404=0,"",BD404-AK404),"")</f>
        <v>72</v>
      </c>
      <c r="BI404" s="98" t="str">
        <f>IF(AND(AH404&lt;&gt;"SIM",AH404="UH"),"AA","INDENIZAÇÃO")</f>
        <v>INDENIZAÇÃO</v>
      </c>
      <c r="BJ404" s="98" t="str">
        <f>IF(AND(BD404&lt;&gt;"AGUARDANDO",BD404&lt;&gt;"",N404="AUXÍLIO ALUGUEL ATÉ INDENIZAÇÃO"),"SIM","NÃO")</f>
        <v>NÃO</v>
      </c>
      <c r="BK404" s="219" t="s">
        <v>4436</v>
      </c>
      <c r="BL404" s="219" t="s">
        <v>4436</v>
      </c>
      <c r="BM404" s="219" t="s">
        <v>4436</v>
      </c>
      <c r="BN404" s="257" t="s">
        <v>4956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customHeight="1" x14ac:dyDescent="0.25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6171</v>
      </c>
      <c r="G405" s="207" t="s">
        <v>4400</v>
      </c>
      <c r="H405" s="207" t="s">
        <v>4427</v>
      </c>
      <c r="I405" s="207" t="s">
        <v>4421</v>
      </c>
      <c r="J405" s="215" t="s">
        <v>6172</v>
      </c>
      <c r="K405" s="215" t="s">
        <v>6173</v>
      </c>
      <c r="L405" s="215" t="s">
        <v>6174</v>
      </c>
      <c r="M405" s="207" t="s">
        <v>4405</v>
      </c>
      <c r="N405" s="207" t="s">
        <v>4431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6175</v>
      </c>
      <c r="AB405" s="215" t="s">
        <v>6173</v>
      </c>
      <c r="AC405" s="215" t="s">
        <v>6174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>IF(AQ405="SIM","AGUARDANDO CORREÇÃO",IF(AP405&lt;&gt;"","FINALIZADO",IF(AO405&lt;&gt;"","AGUARDANDO ENVIO DTS",IF(AN405&lt;&gt;"","AGUARDANDO ASSINATURA GAB",IF(AM405&lt;&gt;"","AGUARDANDO ASSINATURA CTS",IF(AL405&lt;&gt;"","AGUARDANDO ENVIO ASSINATURA CTS",IF(AK405&lt;&gt;"","AGUARDANDO CONFERÊNCIA","")))))))</f>
        <v>FINALIZADO</v>
      </c>
      <c r="AS405" s="207" t="s">
        <v>4423</v>
      </c>
      <c r="AT405" s="219"/>
      <c r="AU405" s="220" t="s">
        <v>6176</v>
      </c>
      <c r="AV405" s="197" t="s">
        <v>4817</v>
      </c>
      <c r="AW405" s="207" t="s">
        <v>4817</v>
      </c>
      <c r="AX405" s="207" t="s">
        <v>4817</v>
      </c>
      <c r="AY405" s="207" t="s">
        <v>4817</v>
      </c>
      <c r="AZ405" s="202">
        <v>46233</v>
      </c>
      <c r="BA405" s="207" t="s">
        <v>4817</v>
      </c>
      <c r="BB405" s="207" t="s">
        <v>4817</v>
      </c>
      <c r="BC405" s="202">
        <v>46237</v>
      </c>
      <c r="BD405" s="226">
        <v>46237</v>
      </c>
      <c r="BE405" s="257" t="s">
        <v>4434</v>
      </c>
      <c r="BF405" s="257" t="s">
        <v>4435</v>
      </c>
      <c r="BG405" s="219" t="s">
        <v>4425</v>
      </c>
      <c r="BH405" s="321">
        <f>IFERROR(IF(BD405-KI405=0,"",BD405-AK405),"")</f>
        <v>49</v>
      </c>
      <c r="BI405" s="98" t="str">
        <f>IF(AND(AH405&lt;&gt;"SIM",AH405="UH"),"AA","INDENIZAÇÃO")</f>
        <v>INDENIZAÇÃO</v>
      </c>
      <c r="BJ405" s="98" t="str">
        <f>IF(AND(BD405&lt;&gt;"AGUARDANDO",BD405&lt;&gt;"",N405="AUXÍLIO ALUGUEL ATÉ INDENIZAÇÃO"),"SIM","NÃO")</f>
        <v>NÃO</v>
      </c>
      <c r="BK405" s="219" t="s">
        <v>4436</v>
      </c>
      <c r="BL405" s="219" t="s">
        <v>4436</v>
      </c>
      <c r="BM405" s="219" t="s">
        <v>4436</v>
      </c>
      <c r="BN405" s="257" t="s">
        <v>4956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hidden="1" customHeight="1" x14ac:dyDescent="0.25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6177</v>
      </c>
      <c r="G406" s="207" t="s">
        <v>4400</v>
      </c>
      <c r="H406" s="207" t="s">
        <v>4401</v>
      </c>
      <c r="I406" s="207" t="s">
        <v>4402</v>
      </c>
      <c r="J406" s="215" t="s">
        <v>6178</v>
      </c>
      <c r="K406" s="215" t="s">
        <v>6179</v>
      </c>
      <c r="L406" s="215" t="s">
        <v>6180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6178</v>
      </c>
      <c r="AB406" s="215" t="s">
        <v>6179</v>
      </c>
      <c r="AC406" s="215" t="s">
        <v>6180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>IF(AQ406="SIM","AGUARDANDO CORREÇÃO",IF(AP406&lt;&gt;"","FINALIZADO",IF(AO406&lt;&gt;"","AGUARDANDO ENVIO DTS",IF(AN406&lt;&gt;"","AGUARDANDO ASSINATURA GAB",IF(AM406&lt;&gt;"","AGUARDANDO ASSINATURA CTS",IF(AL406&lt;&gt;"","AGUARDANDO ENVIO ASSINATURA CTS",IF(AK406&lt;&gt;"","AGUARDANDO CONFERÊNCIA","")))))))</f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>IFERROR(IF(BD406-KI406=0,"",BD406-AK406),"")</f>
        <v/>
      </c>
      <c r="BI406" s="98" t="str">
        <f>IF(AND(AH406&lt;&gt;"SIM",AH406="UH"),"AA","INDENIZAÇÃO")</f>
        <v>AA</v>
      </c>
      <c r="BJ406" s="98" t="str">
        <f>IF(AND(BD406&lt;&gt;"AGUARDANDO",BD406&lt;&gt;"",N406="AUXÍLIO ALUGUEL ATÉ INDENIZAÇÃO"),"SIM","NÃO")</f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hidden="1" customHeight="1" x14ac:dyDescent="0.25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6181</v>
      </c>
      <c r="G407" s="207" t="s">
        <v>4400</v>
      </c>
      <c r="H407" s="207" t="s">
        <v>4401</v>
      </c>
      <c r="I407" s="207" t="s">
        <v>4402</v>
      </c>
      <c r="J407" s="215" t="s">
        <v>6182</v>
      </c>
      <c r="K407" s="215" t="s">
        <v>6183</v>
      </c>
      <c r="L407" s="215" t="s">
        <v>6184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6182</v>
      </c>
      <c r="AB407" s="215" t="s">
        <v>6183</v>
      </c>
      <c r="AC407" s="215" t="s">
        <v>6184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>IF(AQ407="SIM","AGUARDANDO CORREÇÃO",IF(AP407&lt;&gt;"","FINALIZADO",IF(AO407&lt;&gt;"","AGUARDANDO ENVIO DTS",IF(AN407&lt;&gt;"","AGUARDANDO ASSINATURA GAB",IF(AM407&lt;&gt;"","AGUARDANDO ASSINATURA CTS",IF(AL407&lt;&gt;"","AGUARDANDO ENVIO ASSINATURA CTS",IF(AK407&lt;&gt;"","AGUARDANDO CONFERÊNCIA","")))))))</f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>IFERROR(IF(BD407-KI407=0,"",BD407-AK407),"")</f>
        <v/>
      </c>
      <c r="BI407" s="98" t="str">
        <f>IF(AND(AH407&lt;&gt;"SIM",AH407="UH"),"AA","INDENIZAÇÃO")</f>
        <v>AA</v>
      </c>
      <c r="BJ407" s="98" t="str">
        <f>IF(AND(BD407&lt;&gt;"AGUARDANDO",BD407&lt;&gt;"",N407="AUXÍLIO ALUGUEL ATÉ INDENIZAÇÃO"),"SIM","NÃO")</f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customHeight="1" x14ac:dyDescent="0.25">
      <c r="A408" s="207">
        <v>404</v>
      </c>
      <c r="B408" s="197" t="s">
        <v>4396</v>
      </c>
      <c r="C408" s="207" t="s">
        <v>4426</v>
      </c>
      <c r="D408" s="207">
        <v>1</v>
      </c>
      <c r="E408" s="207" t="s">
        <v>4398</v>
      </c>
      <c r="F408" s="214" t="s">
        <v>6185</v>
      </c>
      <c r="G408" s="207" t="s">
        <v>4400</v>
      </c>
      <c r="H408" s="207" t="s">
        <v>4582</v>
      </c>
      <c r="I408" s="217" t="s">
        <v>4402</v>
      </c>
      <c r="J408" s="215" t="s">
        <v>6186</v>
      </c>
      <c r="K408" s="215" t="s">
        <v>6187</v>
      </c>
      <c r="L408" s="215" t="s">
        <v>6188</v>
      </c>
      <c r="M408" s="207" t="s">
        <v>4405</v>
      </c>
      <c r="N408" s="207" t="s">
        <v>4441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6186</v>
      </c>
      <c r="AB408" s="215" t="s">
        <v>6187</v>
      </c>
      <c r="AC408" s="215" t="s">
        <v>6188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4432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>IF(AQ408="SIM","AGUARDANDO CORREÇÃO",IF(AP408&lt;&gt;"","FINALIZADO",IF(AO408&lt;&gt;"","AGUARDANDO ENVIO DTS",IF(AN408&lt;&gt;"","AGUARDANDO ASSINATURA GAB",IF(AM408&lt;&gt;"","AGUARDANDO ASSINATURA CTS",IF(AL408&lt;&gt;"","AGUARDANDO ENVIO ASSINATURA CTS",IF(AK408&lt;&gt;"","AGUARDANDO CONFERÊNCIA","")))))))</f>
        <v>FINALIZADO</v>
      </c>
      <c r="AS408" s="207" t="s">
        <v>4423</v>
      </c>
      <c r="AT408" s="207"/>
      <c r="AU408" s="220" t="s">
        <v>6189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4434</v>
      </c>
      <c r="BF408" s="228" t="s">
        <v>4435</v>
      </c>
      <c r="BG408" s="229" t="s">
        <v>4425</v>
      </c>
      <c r="BH408" s="321">
        <f>IFERROR(IF(BD408-KI408=0,"",BD408-AK408),"")</f>
        <v>95</v>
      </c>
      <c r="BI408" s="98" t="str">
        <f>IF(AND(AH408&lt;&gt;"SIM",AH408="UH"),"AA","INDENIZAÇÃO")</f>
        <v>INDENIZAÇÃO</v>
      </c>
      <c r="BJ408" s="98" t="str">
        <f>IF(AND(BD408&lt;&gt;"AGUARDANDO",BD408&lt;&gt;"",N408="AUXÍLIO ALUGUEL ATÉ INDENIZAÇÃO"),"SIM","NÃO")</f>
        <v>NÃO</v>
      </c>
      <c r="BK408" s="219" t="s">
        <v>4436</v>
      </c>
      <c r="BL408" s="219" t="s">
        <v>4436</v>
      </c>
      <c r="BM408" s="219" t="s">
        <v>4436</v>
      </c>
      <c r="BN408" s="257" t="s">
        <v>4956</v>
      </c>
      <c r="BO408" s="257"/>
      <c r="BP408" s="257"/>
      <c r="BQ408" s="257"/>
      <c r="BR408" s="258"/>
    </row>
    <row r="409" spans="1:112" s="240" customFormat="1" ht="27" customHeight="1" x14ac:dyDescent="0.25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6185</v>
      </c>
      <c r="G409" s="207" t="s">
        <v>4400</v>
      </c>
      <c r="H409" s="207" t="s">
        <v>4401</v>
      </c>
      <c r="I409" s="207" t="s">
        <v>4402</v>
      </c>
      <c r="J409" s="215" t="s">
        <v>6190</v>
      </c>
      <c r="K409" s="215" t="s">
        <v>6191</v>
      </c>
      <c r="L409" s="215" t="s">
        <v>6192</v>
      </c>
      <c r="M409" s="207" t="s">
        <v>4405</v>
      </c>
      <c r="N409" s="207" t="s">
        <v>4441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6190</v>
      </c>
      <c r="AB409" s="215" t="s">
        <v>6191</v>
      </c>
      <c r="AC409" s="215" t="s">
        <v>6192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4432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>IF(AQ409="SIM","AGUARDANDO CORREÇÃO",IF(AP409&lt;&gt;"","FINALIZADO",IF(AO409&lt;&gt;"","AGUARDANDO ENVIO DTS",IF(AN409&lt;&gt;"","AGUARDANDO ASSINATURA GAB",IF(AM409&lt;&gt;"","AGUARDANDO ASSINATURA CTS",IF(AL409&lt;&gt;"","AGUARDANDO ENVIO ASSINATURA CTS",IF(AK409&lt;&gt;"","AGUARDANDO CONFERÊNCIA","")))))))</f>
        <v>FINALIZADO</v>
      </c>
      <c r="AS409" s="207" t="s">
        <v>4423</v>
      </c>
      <c r="AT409" s="219"/>
      <c r="AU409" s="220" t="s">
        <v>6193</v>
      </c>
      <c r="AV409" s="262" t="s">
        <v>4817</v>
      </c>
      <c r="AW409" s="262" t="s">
        <v>4817</v>
      </c>
      <c r="AX409" s="262" t="s">
        <v>4817</v>
      </c>
      <c r="AY409" s="262" t="s">
        <v>4817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4434</v>
      </c>
      <c r="BF409" s="228" t="s">
        <v>4435</v>
      </c>
      <c r="BG409" s="219" t="s">
        <v>4425</v>
      </c>
      <c r="BH409" s="321">
        <f>IFERROR(IF(BD409-KI409=0,"",BD409-AK409),"")</f>
        <v>138</v>
      </c>
      <c r="BI409" s="98" t="str">
        <f>IF(AND(AH409&lt;&gt;"SIM",AH409="UH"),"AA","INDENIZAÇÃO")</f>
        <v>INDENIZAÇÃO</v>
      </c>
      <c r="BJ409" s="98" t="str">
        <f>IF(AND(BD409&lt;&gt;"AGUARDANDO",BD409&lt;&gt;"",N409="AUXÍLIO ALUGUEL ATÉ INDENIZAÇÃO"),"SIM","NÃO")</f>
        <v>NÃO</v>
      </c>
      <c r="BK409" s="219" t="s">
        <v>4436</v>
      </c>
      <c r="BL409" s="219" t="s">
        <v>4436</v>
      </c>
      <c r="BM409" s="219" t="s">
        <v>4436</v>
      </c>
      <c r="BN409" s="257" t="s">
        <v>4956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hidden="1" customHeight="1" x14ac:dyDescent="0.25">
      <c r="A410" s="197">
        <v>406</v>
      </c>
      <c r="B410" s="197" t="s">
        <v>4396</v>
      </c>
      <c r="C410" s="207" t="s">
        <v>4426</v>
      </c>
      <c r="D410" s="207">
        <v>1</v>
      </c>
      <c r="E410" s="207" t="s">
        <v>4398</v>
      </c>
      <c r="F410" s="214" t="s">
        <v>6194</v>
      </c>
      <c r="G410" s="207" t="s">
        <v>4400</v>
      </c>
      <c r="H410" s="207" t="s">
        <v>4401</v>
      </c>
      <c r="I410" s="217" t="s">
        <v>4921</v>
      </c>
      <c r="J410" s="215" t="s">
        <v>6195</v>
      </c>
      <c r="K410" s="215"/>
      <c r="L410" s="215" t="s">
        <v>6196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6197</v>
      </c>
      <c r="AB410" s="215" t="s">
        <v>4439</v>
      </c>
      <c r="AC410" s="215" t="s">
        <v>6196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>IF(AQ410="SIM","AGUARDANDO CORREÇÃO",IF(AP410&lt;&gt;"","FINALIZADO",IF(AO410&lt;&gt;"","AGUARDANDO ENVIO DTS",IF(AN410&lt;&gt;"","AGUARDANDO ASSINATURA GAB",IF(AM410&lt;&gt;"","AGUARDANDO ASSINATURA CTS",IF(AL410&lt;&gt;"","AGUARDANDO ENVIO ASSINATURA CTS",IF(AK410&lt;&gt;"","AGUARDANDO CONFERÊNCIA","")))))))</f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>IFERROR(IF(BD410-KI410=0,"",BD410-AK410),"")</f>
        <v/>
      </c>
      <c r="BI410" s="98" t="str">
        <f>IF(AND(AH410&lt;&gt;"SIM",AH410="UH"),"AA","INDENIZAÇÃO")</f>
        <v>INDENIZAÇÃO</v>
      </c>
      <c r="BJ410" s="98" t="str">
        <f>IF(AND(BD410&lt;&gt;"AGUARDANDO",BD410&lt;&gt;"",N410="AUXÍLIO ALUGUEL ATÉ INDENIZAÇÃO"),"SIM","NÃO")</f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hidden="1" customHeight="1" x14ac:dyDescent="0.25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6194</v>
      </c>
      <c r="G411" s="207" t="s">
        <v>4400</v>
      </c>
      <c r="H411" s="207" t="s">
        <v>4401</v>
      </c>
      <c r="I411" s="207" t="s">
        <v>4402</v>
      </c>
      <c r="J411" s="215" t="s">
        <v>6198</v>
      </c>
      <c r="K411" s="215" t="s">
        <v>6199</v>
      </c>
      <c r="L411" s="215" t="s">
        <v>6200</v>
      </c>
      <c r="M411" s="207" t="s">
        <v>4405</v>
      </c>
      <c r="N411" s="207" t="s">
        <v>4431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6198</v>
      </c>
      <c r="AB411" s="215" t="s">
        <v>6199</v>
      </c>
      <c r="AC411" s="215" t="s">
        <v>6200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>IF(AQ411="SIM","AGUARDANDO CORREÇÃO",IF(AP411&lt;&gt;"","FINALIZADO",IF(AO411&lt;&gt;"","AGUARDANDO ENVIO DTS",IF(AN411&lt;&gt;"","AGUARDANDO ASSINATURA GAB",IF(AM411&lt;&gt;"","AGUARDANDO ASSINATURA CTS",IF(AL411&lt;&gt;"","AGUARDANDO ENVIO ASSINATURA CTS",IF(AK411&lt;&gt;"","AGUARDANDO CONFERÊNCIA","")))))))</f>
        <v>FINALIZADO</v>
      </c>
      <c r="AS411" s="207" t="s">
        <v>4423</v>
      </c>
      <c r="AT411" s="161"/>
      <c r="AU411" s="220" t="s">
        <v>6201</v>
      </c>
      <c r="AV411" s="219" t="s">
        <v>4425</v>
      </c>
      <c r="AW411" s="219" t="s">
        <v>4425</v>
      </c>
      <c r="AX411" s="257" t="s">
        <v>8612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>IFERROR(IF(BD411-KI411=0,"",BD411-AK411),"")</f>
        <v/>
      </c>
      <c r="BI411" s="98" t="str">
        <f>IF(AND(AH411&lt;&gt;"SIM",AH411="UH"),"AA","INDENIZAÇÃO")</f>
        <v>INDENIZAÇÃO</v>
      </c>
      <c r="BJ411" s="98" t="str">
        <f>IF(AND(BD411&lt;&gt;"AGUARDANDO",BD411&lt;&gt;"",N411="AUXÍLIO ALUGUEL ATÉ INDENIZAÇÃO"),"SIM","NÃO")</f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hidden="1" customHeight="1" x14ac:dyDescent="0.25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6202</v>
      </c>
      <c r="G412" s="207" t="s">
        <v>4400</v>
      </c>
      <c r="H412" s="207" t="s">
        <v>4401</v>
      </c>
      <c r="I412" s="207" t="s">
        <v>4402</v>
      </c>
      <c r="J412" s="215" t="s">
        <v>6203</v>
      </c>
      <c r="K412" s="215"/>
      <c r="L412" s="215" t="s">
        <v>6204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>IF(AQ412="SIM","AGUARDANDO CORREÇÃO",IF(AP412&lt;&gt;"","FINALIZADO",IF(AO412&lt;&gt;"","AGUARDANDO ENVIO DTS",IF(AN412&lt;&gt;"","AGUARDANDO ASSINATURA GAB",IF(AM412&lt;&gt;"","AGUARDANDO ASSINATURA CTS",IF(AL412&lt;&gt;"","AGUARDANDO ENVIO ASSINATURA CTS",IF(AK412&lt;&gt;"","AGUARDANDO CONFERÊNCIA","")))))))</f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>IFERROR(IF(BD412-KI412=0,"",BD412-AK412),"")</f>
        <v/>
      </c>
      <c r="BI412" s="98" t="str">
        <f>IF(AND(AH412&lt;&gt;"SIM",AH412="UH"),"AA","INDENIZAÇÃO")</f>
        <v>INDENIZAÇÃO</v>
      </c>
      <c r="BJ412" s="98" t="str">
        <f>IF(AND(BD412&lt;&gt;"AGUARDANDO",BD412&lt;&gt;"",N412="AUXÍLIO ALUGUEL ATÉ INDENIZAÇÃO"),"SIM","NÃO")</f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 x14ac:dyDescent="0.25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6205</v>
      </c>
      <c r="G413" s="207" t="s">
        <v>4400</v>
      </c>
      <c r="H413" s="207" t="s">
        <v>4401</v>
      </c>
      <c r="I413" s="207" t="s">
        <v>4402</v>
      </c>
      <c r="J413" s="215" t="s">
        <v>6206</v>
      </c>
      <c r="K413" s="215" t="s">
        <v>6207</v>
      </c>
      <c r="L413" s="215" t="s">
        <v>6208</v>
      </c>
      <c r="M413" s="207" t="s">
        <v>4405</v>
      </c>
      <c r="N413" s="207" t="s">
        <v>4441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6206</v>
      </c>
      <c r="AB413" s="215" t="s">
        <v>6207</v>
      </c>
      <c r="AC413" s="215" t="s">
        <v>6208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>IF(AQ413="SIM","AGUARDANDO CORREÇÃO",IF(AP413&lt;&gt;"","FINALIZADO",IF(AO413&lt;&gt;"","AGUARDANDO ENVIO DTS",IF(AN413&lt;&gt;"","AGUARDANDO ASSINATURA GAB",IF(AM413&lt;&gt;"","AGUARDANDO ASSINATURA CTS",IF(AL413&lt;&gt;"","AGUARDANDO ENVIO ASSINATURA CTS",IF(AK413&lt;&gt;"","AGUARDANDO CONFERÊNCIA","")))))))</f>
        <v>FINALIZADO</v>
      </c>
      <c r="AS413" s="207" t="s">
        <v>4423</v>
      </c>
      <c r="AT413" s="219"/>
      <c r="AU413" s="220" t="s">
        <v>6209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4434</v>
      </c>
      <c r="BF413" s="257" t="s">
        <v>4435</v>
      </c>
      <c r="BG413" s="219" t="s">
        <v>4425</v>
      </c>
      <c r="BH413" s="321">
        <f>IFERROR(IF(BD413-KI413=0,"",BD413-AK413),"")</f>
        <v>103</v>
      </c>
      <c r="BI413" s="98" t="str">
        <f>IF(AND(AH413&lt;&gt;"SIM",AH413="UH"),"AA","INDENIZAÇÃO")</f>
        <v>INDENIZAÇÃO</v>
      </c>
      <c r="BJ413" s="98" t="str">
        <f>IF(AND(BD413&lt;&gt;"AGUARDANDO",BD413&lt;&gt;"",N413="AUXÍLIO ALUGUEL ATÉ INDENIZAÇÃO"),"SIM","NÃO")</f>
        <v>NÃO</v>
      </c>
      <c r="BK413" s="219" t="s">
        <v>4436</v>
      </c>
      <c r="BL413" s="219" t="s">
        <v>4436</v>
      </c>
      <c r="BM413" s="219" t="s">
        <v>4436</v>
      </c>
      <c r="BN413" s="257" t="s">
        <v>4956</v>
      </c>
      <c r="BO413" s="257"/>
      <c r="BP413" s="257"/>
      <c r="BQ413" s="257"/>
      <c r="BR413" s="258"/>
      <c r="BS413" s="223"/>
      <c r="BT413" s="161"/>
    </row>
    <row r="414" spans="1:112" s="240" customFormat="1" ht="27" customHeight="1" x14ac:dyDescent="0.25">
      <c r="A414" s="197">
        <v>410</v>
      </c>
      <c r="B414" s="197" t="s">
        <v>4396</v>
      </c>
      <c r="C414" s="207" t="s">
        <v>4426</v>
      </c>
      <c r="D414" s="207">
        <v>1</v>
      </c>
      <c r="E414" s="207" t="s">
        <v>4398</v>
      </c>
      <c r="F414" s="214" t="s">
        <v>6205</v>
      </c>
      <c r="G414" s="207" t="s">
        <v>4400</v>
      </c>
      <c r="H414" s="207" t="s">
        <v>4401</v>
      </c>
      <c r="I414" s="217" t="s">
        <v>4414</v>
      </c>
      <c r="J414" s="215" t="s">
        <v>6210</v>
      </c>
      <c r="K414" s="215" t="s">
        <v>6211</v>
      </c>
      <c r="L414" s="215" t="s">
        <v>6212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4439</v>
      </c>
      <c r="Y414" s="267"/>
      <c r="Z414" s="219" t="s">
        <v>6213</v>
      </c>
      <c r="AA414" s="215" t="s">
        <v>6214</v>
      </c>
      <c r="AB414" s="215" t="s">
        <v>6215</v>
      </c>
      <c r="AC414" s="215" t="s">
        <v>6216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4432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>IF(AQ414="SIM","AGUARDANDO CORREÇÃO",IF(AP414&lt;&gt;"","FINALIZADO",IF(AO414&lt;&gt;"","AGUARDANDO ENVIO DTS",IF(AN414&lt;&gt;"","AGUARDANDO ASSINATURA GAB",IF(AM414&lt;&gt;"","AGUARDANDO ASSINATURA CTS",IF(AL414&lt;&gt;"","AGUARDANDO ENVIO ASSINATURA CTS",IF(AK414&lt;&gt;"","AGUARDANDO CONFERÊNCIA","")))))))</f>
        <v>FINALIZADO</v>
      </c>
      <c r="AS414" s="207" t="s">
        <v>4423</v>
      </c>
      <c r="AT414" s="219"/>
      <c r="AU414" s="220" t="s">
        <v>6217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4434</v>
      </c>
      <c r="BF414" s="257" t="s">
        <v>4435</v>
      </c>
      <c r="BG414" s="219" t="s">
        <v>4425</v>
      </c>
      <c r="BH414" s="321">
        <f>IFERROR(IF(BD414-KI414=0,"",BD414-AK414),"")</f>
        <v>167</v>
      </c>
      <c r="BI414" s="98" t="str">
        <f>IF(AND(AH414&lt;&gt;"SIM",AH414="UH"),"AA","INDENIZAÇÃO")</f>
        <v>INDENIZAÇÃO</v>
      </c>
      <c r="BJ414" s="98" t="str">
        <f>IF(AND(BD414&lt;&gt;"AGUARDANDO",BD414&lt;&gt;"",N414="AUXÍLIO ALUGUEL ATÉ INDENIZAÇÃO"),"SIM","NÃO")</f>
        <v>NÃO</v>
      </c>
      <c r="BK414" s="219" t="s">
        <v>4436</v>
      </c>
      <c r="BL414" s="219" t="s">
        <v>4436</v>
      </c>
      <c r="BM414" s="219" t="s">
        <v>4436</v>
      </c>
      <c r="BN414" s="257" t="s">
        <v>4956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 x14ac:dyDescent="0.25">
      <c r="A415" s="197">
        <v>411</v>
      </c>
      <c r="B415" s="197" t="s">
        <v>4396</v>
      </c>
      <c r="C415" s="207" t="s">
        <v>4426</v>
      </c>
      <c r="D415" s="207">
        <v>1</v>
      </c>
      <c r="E415" s="207" t="s">
        <v>4398</v>
      </c>
      <c r="F415" s="214" t="s">
        <v>6218</v>
      </c>
      <c r="G415" s="207" t="s">
        <v>4400</v>
      </c>
      <c r="H415" s="207" t="s">
        <v>4401</v>
      </c>
      <c r="I415" s="217" t="s">
        <v>4402</v>
      </c>
      <c r="J415" s="255" t="s">
        <v>6219</v>
      </c>
      <c r="K415" s="215" t="s">
        <v>6220</v>
      </c>
      <c r="L415" s="215" t="s">
        <v>6221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6219</v>
      </c>
      <c r="AB415" s="215" t="s">
        <v>6220</v>
      </c>
      <c r="AC415" s="215" t="s">
        <v>6221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>IF(AQ415="SIM","AGUARDANDO CORREÇÃO",IF(AP415&lt;&gt;"","FINALIZADO",IF(AO415&lt;&gt;"","AGUARDANDO ENVIO DTS",IF(AN415&lt;&gt;"","AGUARDANDO ASSINATURA GAB",IF(AM415&lt;&gt;"","AGUARDANDO ASSINATURA CTS",IF(AL415&lt;&gt;"","AGUARDANDO ENVIO ASSINATURA CTS",IF(AK415&lt;&gt;"","AGUARDANDO CONFERÊNCIA","")))))))</f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>IFERROR(IF(BD415-KI415=0,"",BD415-AK415),"")</f>
        <v/>
      </c>
      <c r="BI415" s="98" t="str">
        <f>IF(AND(AH415&lt;&gt;"SIM",AH415="UH"),"AA","INDENIZAÇÃO")</f>
        <v>AA</v>
      </c>
      <c r="BJ415" s="98" t="str">
        <f>IF(AND(BD415&lt;&gt;"AGUARDANDO",BD415&lt;&gt;"",N415="AUXÍLIO ALUGUEL ATÉ INDENIZAÇÃO"),"SIM","NÃO")</f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customHeight="1" x14ac:dyDescent="0.25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6218</v>
      </c>
      <c r="G416" s="219" t="s">
        <v>4400</v>
      </c>
      <c r="H416" s="219" t="s">
        <v>4401</v>
      </c>
      <c r="I416" s="219" t="s">
        <v>4402</v>
      </c>
      <c r="J416" s="255" t="s">
        <v>6222</v>
      </c>
      <c r="K416" s="255" t="s">
        <v>6223</v>
      </c>
      <c r="L416" s="220" t="s">
        <v>6224</v>
      </c>
      <c r="M416" s="219" t="s">
        <v>4405</v>
      </c>
      <c r="N416" s="219" t="s">
        <v>4431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6222</v>
      </c>
      <c r="AB416" s="255" t="s">
        <v>6223</v>
      </c>
      <c r="AC416" s="220" t="s">
        <v>6224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4432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>IF(AQ416="SIM","AGUARDANDO CORREÇÃO",IF(AP416&lt;&gt;"","FINALIZADO",IF(AO416&lt;&gt;"","AGUARDANDO ENVIO DTS",IF(AN416&lt;&gt;"","AGUARDANDO ASSINATURA GAB",IF(AM416&lt;&gt;"","AGUARDANDO ASSINATURA CTS",IF(AL416&lt;&gt;"","AGUARDANDO ENVIO ASSINATURA CTS",IF(AK416&lt;&gt;"","AGUARDANDO CONFERÊNCIA","")))))))</f>
        <v>FINALIZADO</v>
      </c>
      <c r="AS416" s="207" t="s">
        <v>4423</v>
      </c>
      <c r="AT416" s="219"/>
      <c r="AU416" s="220" t="s">
        <v>6225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4434</v>
      </c>
      <c r="BF416" s="257" t="s">
        <v>4435</v>
      </c>
      <c r="BG416" s="219" t="s">
        <v>4425</v>
      </c>
      <c r="BH416" s="321">
        <f>IFERROR(IF(BD416-KI416=0,"",BD416-AK416),"")</f>
        <v>103</v>
      </c>
      <c r="BI416" s="98" t="str">
        <f>IF(AND(AH416&lt;&gt;"SIM",AH416="UH"),"AA","INDENIZAÇÃO")</f>
        <v>INDENIZAÇÃO</v>
      </c>
      <c r="BJ416" s="98" t="str">
        <f>IF(AND(BD416&lt;&gt;"AGUARDANDO",BD416&lt;&gt;"",N416="AUXÍLIO ALUGUEL ATÉ INDENIZAÇÃO"),"SIM","NÃO")</f>
        <v>NÃO</v>
      </c>
      <c r="BK416" s="219" t="s">
        <v>4436</v>
      </c>
      <c r="BL416" s="219" t="s">
        <v>4436</v>
      </c>
      <c r="BM416" s="219" t="s">
        <v>4436</v>
      </c>
      <c r="BN416" s="257" t="s">
        <v>4956</v>
      </c>
      <c r="BO416" s="257"/>
      <c r="BP416" s="257"/>
      <c r="BQ416" s="257"/>
      <c r="BR416" s="258"/>
    </row>
    <row r="417" spans="1:112" s="240" customFormat="1" ht="27" hidden="1" customHeight="1" x14ac:dyDescent="0.25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6226</v>
      </c>
      <c r="G417" s="207" t="s">
        <v>4400</v>
      </c>
      <c r="H417" s="207" t="s">
        <v>4401</v>
      </c>
      <c r="I417" s="207" t="s">
        <v>4402</v>
      </c>
      <c r="J417" s="215" t="s">
        <v>6227</v>
      </c>
      <c r="K417" s="215" t="s">
        <v>6228</v>
      </c>
      <c r="L417" s="215" t="s">
        <v>6229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6227</v>
      </c>
      <c r="AB417" s="215" t="s">
        <v>6228</v>
      </c>
      <c r="AC417" s="215" t="s">
        <v>6229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>IF(AQ417="SIM","AGUARDANDO CORREÇÃO",IF(AP417&lt;&gt;"","FINALIZADO",IF(AO417&lt;&gt;"","AGUARDANDO ENVIO DTS",IF(AN417&lt;&gt;"","AGUARDANDO ASSINATURA GAB",IF(AM417&lt;&gt;"","AGUARDANDO ASSINATURA CTS",IF(AL417&lt;&gt;"","AGUARDANDO ENVIO ASSINATURA CTS",IF(AK417&lt;&gt;"","AGUARDANDO CONFERÊNCIA","")))))))</f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>IFERROR(IF(BD417-KI417=0,"",BD417-AK417),"")</f>
        <v/>
      </c>
      <c r="BI417" s="98" t="str">
        <f>IF(AND(AH417&lt;&gt;"SIM",AH417="UH"),"AA","INDENIZAÇÃO")</f>
        <v>AA</v>
      </c>
      <c r="BJ417" s="98" t="str">
        <f>IF(AND(BD417&lt;&gt;"AGUARDANDO",BD417&lt;&gt;"",N417="AUXÍLIO ALUGUEL ATÉ INDENIZAÇÃO"),"SIM","NÃO")</f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hidden="1" customHeight="1" x14ac:dyDescent="0.25">
      <c r="A418" s="207">
        <v>414</v>
      </c>
      <c r="B418" s="197" t="s">
        <v>4396</v>
      </c>
      <c r="C418" s="207" t="s">
        <v>4426</v>
      </c>
      <c r="D418" s="207">
        <v>1</v>
      </c>
      <c r="E418" s="207" t="s">
        <v>4398</v>
      </c>
      <c r="F418" s="214" t="s">
        <v>6230</v>
      </c>
      <c r="G418" s="207" t="s">
        <v>4400</v>
      </c>
      <c r="H418" s="207" t="s">
        <v>4401</v>
      </c>
      <c r="I418" s="217" t="s">
        <v>4402</v>
      </c>
      <c r="J418" s="215" t="s">
        <v>6231</v>
      </c>
      <c r="K418" s="215" t="s">
        <v>6232</v>
      </c>
      <c r="L418" s="215" t="s">
        <v>6233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6231</v>
      </c>
      <c r="AB418" s="215" t="s">
        <v>6232</v>
      </c>
      <c r="AC418" s="215" t="s">
        <v>6233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>IF(AQ418="SIM","AGUARDANDO CORREÇÃO",IF(AP418&lt;&gt;"","FINALIZADO",IF(AO418&lt;&gt;"","AGUARDANDO ENVIO DTS",IF(AN418&lt;&gt;"","AGUARDANDO ASSINATURA GAB",IF(AM418&lt;&gt;"","AGUARDANDO ASSINATURA CTS",IF(AL418&lt;&gt;"","AGUARDANDO ENVIO ASSINATURA CTS",IF(AK418&lt;&gt;"","AGUARDANDO CONFERÊNCIA","")))))))</f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>IFERROR(IF(BD418-KI418=0,"",BD418-AK418),"")</f>
        <v/>
      </c>
      <c r="BI418" s="98" t="str">
        <f>IF(AND(AH418&lt;&gt;"SIM",AH418="UH"),"AA","INDENIZAÇÃO")</f>
        <v>AA</v>
      </c>
      <c r="BJ418" s="98" t="str">
        <f>IF(AND(BD418&lt;&gt;"AGUARDANDO",BD418&lt;&gt;"",N418="AUXÍLIO ALUGUEL ATÉ INDENIZAÇÃO"),"SIM","NÃO")</f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customHeight="1" x14ac:dyDescent="0.25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6230</v>
      </c>
      <c r="G419" s="219" t="s">
        <v>4400</v>
      </c>
      <c r="H419" s="219" t="s">
        <v>4401</v>
      </c>
      <c r="I419" s="219" t="s">
        <v>4402</v>
      </c>
      <c r="J419" s="255" t="s">
        <v>6234</v>
      </c>
      <c r="K419" s="255" t="s">
        <v>6235</v>
      </c>
      <c r="L419" s="255" t="s">
        <v>6236</v>
      </c>
      <c r="M419" s="219" t="s">
        <v>4405</v>
      </c>
      <c r="N419" s="219" t="s">
        <v>4431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6234</v>
      </c>
      <c r="AB419" s="255" t="s">
        <v>6235</v>
      </c>
      <c r="AC419" s="255" t="s">
        <v>6236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>IF(AQ419="SIM","AGUARDANDO CORREÇÃO",IF(AP419&lt;&gt;"","FINALIZADO",IF(AO419&lt;&gt;"","AGUARDANDO ENVIO DTS",IF(AN419&lt;&gt;"","AGUARDANDO ASSINATURA GAB",IF(AM419&lt;&gt;"","AGUARDANDO ASSINATURA CTS",IF(AL419&lt;&gt;"","AGUARDANDO ENVIO ASSINATURA CTS",IF(AK419&lt;&gt;"","AGUARDANDO CONFERÊNCIA","")))))))</f>
        <v>FINALIZADO</v>
      </c>
      <c r="AS419" s="207" t="s">
        <v>4423</v>
      </c>
      <c r="AT419" s="219"/>
      <c r="AU419" s="220" t="s">
        <v>6237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4434</v>
      </c>
      <c r="BF419" s="228" t="s">
        <v>4435</v>
      </c>
      <c r="BG419" s="229" t="s">
        <v>4425</v>
      </c>
      <c r="BH419" s="321">
        <f>IFERROR(IF(BD419-KI419=0,"",BD419-AK419),"")</f>
        <v>96</v>
      </c>
      <c r="BI419" s="98" t="str">
        <f>IF(AND(AH419&lt;&gt;"SIM",AH419="UH"),"AA","INDENIZAÇÃO")</f>
        <v>INDENIZAÇÃO</v>
      </c>
      <c r="BJ419" s="98" t="str">
        <f>IF(AND(BD419&lt;&gt;"AGUARDANDO",BD419&lt;&gt;"",N419="AUXÍLIO ALUGUEL ATÉ INDENIZAÇÃO"),"SIM","NÃO")</f>
        <v>NÃO</v>
      </c>
      <c r="BK419" s="230" t="s">
        <v>4436</v>
      </c>
      <c r="BL419" s="230" t="s">
        <v>4436</v>
      </c>
      <c r="BM419" s="230" t="s">
        <v>4436</v>
      </c>
      <c r="BN419" s="265" t="s">
        <v>4956</v>
      </c>
      <c r="BO419" s="265"/>
      <c r="BP419" s="265"/>
      <c r="BQ419" s="265"/>
      <c r="BR419" s="231"/>
    </row>
    <row r="420" spans="1:112" s="240" customFormat="1" ht="27" hidden="1" customHeight="1" x14ac:dyDescent="0.25">
      <c r="A420" s="197">
        <v>416</v>
      </c>
      <c r="B420" s="197" t="s">
        <v>4396</v>
      </c>
      <c r="C420" s="207" t="s">
        <v>4426</v>
      </c>
      <c r="D420" s="207">
        <v>1</v>
      </c>
      <c r="E420" s="207" t="s">
        <v>4398</v>
      </c>
      <c r="F420" s="214" t="s">
        <v>6238</v>
      </c>
      <c r="G420" s="207" t="s">
        <v>4400</v>
      </c>
      <c r="H420" s="207" t="s">
        <v>4401</v>
      </c>
      <c r="I420" s="217" t="s">
        <v>4402</v>
      </c>
      <c r="J420" s="215" t="s">
        <v>6239</v>
      </c>
      <c r="K420" s="215" t="s">
        <v>6240</v>
      </c>
      <c r="L420" s="215" t="s">
        <v>6241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6239</v>
      </c>
      <c r="AB420" s="200" t="s">
        <v>6240</v>
      </c>
      <c r="AC420" s="200" t="s">
        <v>6241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>IF(AQ420="SIM","AGUARDANDO CORREÇÃO",IF(AP420&lt;&gt;"","FINALIZADO",IF(AO420&lt;&gt;"","AGUARDANDO ENVIO DTS",IF(AN420&lt;&gt;"","AGUARDANDO ASSINATURA GAB",IF(AM420&lt;&gt;"","AGUARDANDO ASSINATURA CTS",IF(AL420&lt;&gt;"","AGUARDANDO ENVIO ASSINATURA CTS",IF(AK420&lt;&gt;"","AGUARDANDO CONFERÊNCIA","")))))))</f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>IFERROR(IF(BD420-KI420=0,"",BD420-AK420),"")</f>
        <v/>
      </c>
      <c r="BI420" s="98" t="str">
        <f>IF(AND(AH420&lt;&gt;"SIM",AH420="UH"),"AA","INDENIZAÇÃO")</f>
        <v>AA</v>
      </c>
      <c r="BJ420" s="98" t="str">
        <f>IF(AND(BD420&lt;&gt;"AGUARDANDO",BD420&lt;&gt;"",N420="AUXÍLIO ALUGUEL ATÉ INDENIZAÇÃO"),"SIM","NÃO")</f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customHeight="1" x14ac:dyDescent="0.25">
      <c r="A421" s="207">
        <v>417</v>
      </c>
      <c r="B421" s="197" t="s">
        <v>4396</v>
      </c>
      <c r="C421" s="207" t="s">
        <v>4426</v>
      </c>
      <c r="D421" s="207">
        <v>1</v>
      </c>
      <c r="E421" s="207" t="s">
        <v>4398</v>
      </c>
      <c r="F421" s="214" t="s">
        <v>6242</v>
      </c>
      <c r="G421" s="207" t="s">
        <v>4400</v>
      </c>
      <c r="H421" s="207" t="s">
        <v>4427</v>
      </c>
      <c r="I421" s="233" t="s">
        <v>4421</v>
      </c>
      <c r="J421" s="215" t="s">
        <v>6243</v>
      </c>
      <c r="K421" s="215" t="s">
        <v>6244</v>
      </c>
      <c r="L421" s="215" t="s">
        <v>6245</v>
      </c>
      <c r="M421" s="207" t="s">
        <v>4405</v>
      </c>
      <c r="N421" s="207" t="s">
        <v>4441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6243</v>
      </c>
      <c r="AB421" s="215" t="s">
        <v>6244</v>
      </c>
      <c r="AC421" s="215" t="s">
        <v>6245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>IF(AQ421="SIM","AGUARDANDO CORREÇÃO",IF(AP421&lt;&gt;"","FINALIZADO",IF(AO421&lt;&gt;"","AGUARDANDO ENVIO DTS",IF(AN421&lt;&gt;"","AGUARDANDO ASSINATURA GAB",IF(AM421&lt;&gt;"","AGUARDANDO ASSINATURA CTS",IF(AL421&lt;&gt;"","AGUARDANDO ENVIO ASSINATURA CTS",IF(AK421&lt;&gt;"","AGUARDANDO CONFERÊNCIA","")))))))</f>
        <v>FINALIZADO</v>
      </c>
      <c r="AS421" s="207" t="s">
        <v>4423</v>
      </c>
      <c r="AT421" s="207"/>
      <c r="AU421" s="220" t="s">
        <v>6246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4434</v>
      </c>
      <c r="BF421" s="228" t="s">
        <v>4435</v>
      </c>
      <c r="BG421" s="229" t="s">
        <v>4425</v>
      </c>
      <c r="BH421" s="321">
        <f>IFERROR(IF(BD421-KI421=0,"",BD421-AK421),"")</f>
        <v>73</v>
      </c>
      <c r="BI421" s="98" t="str">
        <f>IF(AND(AH421&lt;&gt;"SIM",AH421="UH"),"AA","INDENIZAÇÃO")</f>
        <v>INDENIZAÇÃO</v>
      </c>
      <c r="BJ421" s="98" t="str">
        <f>IF(AND(BD421&lt;&gt;"AGUARDANDO",BD421&lt;&gt;"",N421="AUXÍLIO ALUGUEL ATÉ INDENIZAÇÃO"),"SIM","NÃO")</f>
        <v>NÃO</v>
      </c>
      <c r="BK421" s="219" t="s">
        <v>4436</v>
      </c>
      <c r="BL421" s="219" t="s">
        <v>4436</v>
      </c>
      <c r="BM421" s="219" t="s">
        <v>4436</v>
      </c>
      <c r="BN421" s="257" t="s">
        <v>4956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hidden="1" customHeight="1" x14ac:dyDescent="0.25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6242</v>
      </c>
      <c r="G422" s="207" t="s">
        <v>4400</v>
      </c>
      <c r="H422" s="207" t="s">
        <v>4401</v>
      </c>
      <c r="I422" s="160" t="s">
        <v>4402</v>
      </c>
      <c r="J422" s="215" t="s">
        <v>6247</v>
      </c>
      <c r="K422" s="215" t="s">
        <v>6248</v>
      </c>
      <c r="L422" s="215" t="s">
        <v>6249</v>
      </c>
      <c r="M422" s="207" t="s">
        <v>4405</v>
      </c>
      <c r="N422" s="207" t="s">
        <v>4441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6247</v>
      </c>
      <c r="AB422" s="215" t="s">
        <v>6248</v>
      </c>
      <c r="AC422" s="215" t="s">
        <v>6249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4432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>IF(AQ422="SIM","AGUARDANDO CORREÇÃO",IF(AP422&lt;&gt;"","FINALIZADO",IF(AO422&lt;&gt;"","AGUARDANDO ENVIO DTS",IF(AN422&lt;&gt;"","AGUARDANDO ASSINATURA GAB",IF(AM422&lt;&gt;"","AGUARDANDO ASSINATURA CTS",IF(AL422&lt;&gt;"","AGUARDANDO ENVIO ASSINATURA CTS",IF(AK422&lt;&gt;"","AGUARDANDO CONFERÊNCIA","")))))))</f>
        <v>FINALIZADO</v>
      </c>
      <c r="AS422" s="207" t="s">
        <v>4423</v>
      </c>
      <c r="AT422" s="219"/>
      <c r="AU422" s="220" t="s">
        <v>6250</v>
      </c>
      <c r="AV422" s="219" t="s">
        <v>4425</v>
      </c>
      <c r="AW422" s="219" t="s">
        <v>4425</v>
      </c>
      <c r="AX422" s="257" t="s">
        <v>8612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>IFERROR(IF(BD422-KI422=0,"",BD422-AK422),"")</f>
        <v/>
      </c>
      <c r="BI422" s="98" t="str">
        <f>IF(AND(AH422&lt;&gt;"SIM",AH422="UH"),"AA","INDENIZAÇÃO")</f>
        <v>INDENIZAÇÃO</v>
      </c>
      <c r="BJ422" s="98" t="str">
        <f>IF(AND(BD422&lt;&gt;"AGUARDANDO",BD422&lt;&gt;"",N422="AUXÍLIO ALUGUEL ATÉ INDENIZAÇÃO"),"SIM","NÃO")</f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customHeight="1" x14ac:dyDescent="0.25">
      <c r="A423" s="207">
        <v>419</v>
      </c>
      <c r="B423" s="197" t="s">
        <v>4396</v>
      </c>
      <c r="C423" s="207" t="s">
        <v>4426</v>
      </c>
      <c r="D423" s="207">
        <v>1</v>
      </c>
      <c r="E423" s="207" t="s">
        <v>4398</v>
      </c>
      <c r="F423" s="214" t="s">
        <v>6251</v>
      </c>
      <c r="G423" s="207" t="s">
        <v>4400</v>
      </c>
      <c r="H423" s="207" t="s">
        <v>4401</v>
      </c>
      <c r="I423" s="217" t="s">
        <v>4402</v>
      </c>
      <c r="J423" s="215" t="s">
        <v>6252</v>
      </c>
      <c r="K423" s="215" t="s">
        <v>6253</v>
      </c>
      <c r="L423" s="215" t="s">
        <v>6254</v>
      </c>
      <c r="M423" s="207" t="s">
        <v>4405</v>
      </c>
      <c r="N423" s="207" t="s">
        <v>4441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6252</v>
      </c>
      <c r="AB423" s="215" t="s">
        <v>6253</v>
      </c>
      <c r="AC423" s="215" t="s">
        <v>6254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>IF(AQ423="SIM","AGUARDANDO CORREÇÃO",IF(AP423&lt;&gt;"","FINALIZADO",IF(AO423&lt;&gt;"","AGUARDANDO ENVIO DTS",IF(AN423&lt;&gt;"","AGUARDANDO ASSINATURA GAB",IF(AM423&lt;&gt;"","AGUARDANDO ASSINATURA CTS",IF(AL423&lt;&gt;"","AGUARDANDO ENVIO ASSINATURA CTS",IF(AK423&lt;&gt;"","AGUARDANDO CONFERÊNCIA","")))))))</f>
        <v>FINALIZADO</v>
      </c>
      <c r="AS423" s="207" t="s">
        <v>4423</v>
      </c>
      <c r="AT423" s="207"/>
      <c r="AU423" s="220" t="s">
        <v>6255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4434</v>
      </c>
      <c r="BF423" s="228" t="s">
        <v>4435</v>
      </c>
      <c r="BG423" s="229" t="s">
        <v>4425</v>
      </c>
      <c r="BH423" s="321">
        <f>IFERROR(IF(BD423-KI423=0,"",BD423-AK423),"")</f>
        <v>91</v>
      </c>
      <c r="BI423" s="98" t="str">
        <f>IF(AND(AH423&lt;&gt;"SIM",AH423="UH"),"AA","INDENIZAÇÃO")</f>
        <v>INDENIZAÇÃO</v>
      </c>
      <c r="BJ423" s="98" t="str">
        <f>IF(AND(BD423&lt;&gt;"AGUARDANDO",BD423&lt;&gt;"",N423="AUXÍLIO ALUGUEL ATÉ INDENIZAÇÃO"),"SIM","NÃO")</f>
        <v>NÃO</v>
      </c>
      <c r="BK423" s="219" t="s">
        <v>4436</v>
      </c>
      <c r="BL423" s="219" t="s">
        <v>4436</v>
      </c>
      <c r="BM423" s="219" t="s">
        <v>4436</v>
      </c>
      <c r="BN423" s="257" t="s">
        <v>4956</v>
      </c>
      <c r="BO423" s="257"/>
      <c r="BP423" s="257"/>
      <c r="BQ423" s="257"/>
      <c r="BR423" s="258"/>
    </row>
    <row r="424" spans="1:112" s="240" customFormat="1" ht="27" hidden="1" customHeight="1" x14ac:dyDescent="0.25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6251</v>
      </c>
      <c r="G424" s="207" t="s">
        <v>4400</v>
      </c>
      <c r="H424" s="207" t="s">
        <v>4401</v>
      </c>
      <c r="I424" s="207" t="s">
        <v>4402</v>
      </c>
      <c r="J424" s="215" t="s">
        <v>6256</v>
      </c>
      <c r="K424" s="215" t="s">
        <v>6257</v>
      </c>
      <c r="L424" s="215" t="s">
        <v>6258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6256</v>
      </c>
      <c r="AB424" s="215" t="s">
        <v>6257</v>
      </c>
      <c r="AC424" s="215" t="s">
        <v>6258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>IF(AQ424="SIM","AGUARDANDO CORREÇÃO",IF(AP424&lt;&gt;"","FINALIZADO",IF(AO424&lt;&gt;"","AGUARDANDO ENVIO DTS",IF(AN424&lt;&gt;"","AGUARDANDO ASSINATURA GAB",IF(AM424&lt;&gt;"","AGUARDANDO ASSINATURA CTS",IF(AL424&lt;&gt;"","AGUARDANDO ENVIO ASSINATURA CTS",IF(AK424&lt;&gt;"","AGUARDANDO CONFERÊNCIA","")))))))</f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>IFERROR(IF(BD424-KI424=0,"",BD424-AK424),"")</f>
        <v/>
      </c>
      <c r="BI424" s="98" t="str">
        <f>IF(AND(AH424&lt;&gt;"SIM",AH424="UH"),"AA","INDENIZAÇÃO")</f>
        <v>AA</v>
      </c>
      <c r="BJ424" s="98" t="str">
        <f>IF(AND(BD424&lt;&gt;"AGUARDANDO",BD424&lt;&gt;"",N424="AUXÍLIO ALUGUEL ATÉ INDENIZAÇÃO"),"SIM","NÃO")</f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customHeight="1" x14ac:dyDescent="0.25">
      <c r="A425" s="197">
        <v>421</v>
      </c>
      <c r="B425" s="197" t="s">
        <v>4396</v>
      </c>
      <c r="C425" s="207" t="s">
        <v>4426</v>
      </c>
      <c r="D425" s="207">
        <v>1</v>
      </c>
      <c r="E425" s="207" t="s">
        <v>4398</v>
      </c>
      <c r="F425" s="214" t="s">
        <v>6259</v>
      </c>
      <c r="G425" s="207" t="s">
        <v>4400</v>
      </c>
      <c r="H425" s="207" t="s">
        <v>4401</v>
      </c>
      <c r="I425" s="217" t="s">
        <v>4414</v>
      </c>
      <c r="J425" s="215" t="s">
        <v>6260</v>
      </c>
      <c r="K425" s="215" t="s">
        <v>6261</v>
      </c>
      <c r="L425" s="215" t="s">
        <v>6262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6263</v>
      </c>
      <c r="AB425" s="215" t="s">
        <v>6264</v>
      </c>
      <c r="AC425" s="215" t="s">
        <v>6265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>IF(AQ425="SIM","AGUARDANDO CORREÇÃO",IF(AP425&lt;&gt;"","FINALIZADO",IF(AO425&lt;&gt;"","AGUARDANDO ENVIO DTS",IF(AN425&lt;&gt;"","AGUARDANDO ASSINATURA GAB",IF(AM425&lt;&gt;"","AGUARDANDO ASSINATURA CTS",IF(AL425&lt;&gt;"","AGUARDANDO ENVIO ASSINATURA CTS",IF(AK425&lt;&gt;"","AGUARDANDO CONFERÊNCIA","")))))))</f>
        <v>FINALIZADO</v>
      </c>
      <c r="AS425" s="207" t="s">
        <v>4423</v>
      </c>
      <c r="AT425" s="207"/>
      <c r="AU425" s="220" t="s">
        <v>6266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4434</v>
      </c>
      <c r="BF425" s="228" t="s">
        <v>4435</v>
      </c>
      <c r="BG425" s="219" t="s">
        <v>4425</v>
      </c>
      <c r="BH425" s="321">
        <f>IFERROR(IF(BD425-KI425=0,"",BD425-AK425),"")</f>
        <v>50</v>
      </c>
      <c r="BI425" s="98" t="str">
        <f>IF(AND(AH425&lt;&gt;"SIM",AH425="UH"),"AA","INDENIZAÇÃO")</f>
        <v>INDENIZAÇÃO</v>
      </c>
      <c r="BJ425" s="98" t="str">
        <f>IF(AND(BD425&lt;&gt;"AGUARDANDO",BD425&lt;&gt;"",N425="AUXÍLIO ALUGUEL ATÉ INDENIZAÇÃO"),"SIM","NÃO")</f>
        <v>NÃO</v>
      </c>
      <c r="BK425" s="219" t="s">
        <v>4436</v>
      </c>
      <c r="BL425" s="219" t="s">
        <v>4436</v>
      </c>
      <c r="BM425" s="219" t="s">
        <v>4436</v>
      </c>
      <c r="BN425" s="257" t="s">
        <v>4956</v>
      </c>
      <c r="BO425" s="257"/>
      <c r="BP425" s="257"/>
      <c r="BQ425" s="257"/>
      <c r="BR425" s="258"/>
      <c r="BS425" s="223"/>
      <c r="BT425" s="223"/>
    </row>
    <row r="426" spans="1:112" s="240" customFormat="1" ht="27" customHeight="1" x14ac:dyDescent="0.25">
      <c r="A426" s="207">
        <v>422</v>
      </c>
      <c r="B426" s="197" t="s">
        <v>4396</v>
      </c>
      <c r="C426" s="207" t="s">
        <v>4426</v>
      </c>
      <c r="D426" s="207">
        <v>1</v>
      </c>
      <c r="E426" s="207" t="s">
        <v>4398</v>
      </c>
      <c r="F426" s="214" t="s">
        <v>6267</v>
      </c>
      <c r="G426" s="207" t="s">
        <v>4400</v>
      </c>
      <c r="H426" s="207" t="s">
        <v>4401</v>
      </c>
      <c r="I426" s="217" t="s">
        <v>4402</v>
      </c>
      <c r="J426" s="215" t="s">
        <v>6268</v>
      </c>
      <c r="K426" s="215" t="s">
        <v>4398</v>
      </c>
      <c r="L426" s="215" t="s">
        <v>6269</v>
      </c>
      <c r="M426" s="207" t="s">
        <v>4405</v>
      </c>
      <c r="N426" s="207" t="s">
        <v>4441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6268</v>
      </c>
      <c r="AB426" s="215" t="s">
        <v>4398</v>
      </c>
      <c r="AC426" s="215" t="s">
        <v>6269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4432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>IF(AQ426="SIM","AGUARDANDO CORREÇÃO",IF(AP426&lt;&gt;"","FINALIZADO",IF(AO426&lt;&gt;"","AGUARDANDO ENVIO DTS",IF(AN426&lt;&gt;"","AGUARDANDO ASSINATURA GAB",IF(AM426&lt;&gt;"","AGUARDANDO ASSINATURA CTS",IF(AL426&lt;&gt;"","AGUARDANDO ENVIO ASSINATURA CTS",IF(AK426&lt;&gt;"","AGUARDANDO CONFERÊNCIA","")))))))</f>
        <v>FINALIZADO</v>
      </c>
      <c r="AS426" s="207" t="s">
        <v>4423</v>
      </c>
      <c r="AT426" s="207"/>
      <c r="AU426" s="220" t="s">
        <v>6270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4434</v>
      </c>
      <c r="BF426" s="228" t="s">
        <v>4435</v>
      </c>
      <c r="BG426" s="229" t="s">
        <v>4425</v>
      </c>
      <c r="BH426" s="321">
        <f>IFERROR(IF(BD426-KI426=0,"",BD426-AK426),"")</f>
        <v>23</v>
      </c>
      <c r="BI426" s="98" t="str">
        <f>IF(AND(AH426&lt;&gt;"SIM",AH426="UH"),"AA","INDENIZAÇÃO")</f>
        <v>INDENIZAÇÃO</v>
      </c>
      <c r="BJ426" s="98" t="str">
        <f>IF(AND(BD426&lt;&gt;"AGUARDANDO",BD426&lt;&gt;"",N426="AUXÍLIO ALUGUEL ATÉ INDENIZAÇÃO"),"SIM","NÃO")</f>
        <v>NÃO</v>
      </c>
      <c r="BK426" s="230" t="s">
        <v>4436</v>
      </c>
      <c r="BL426" s="230" t="s">
        <v>4436</v>
      </c>
      <c r="BM426" s="230" t="s">
        <v>4436</v>
      </c>
      <c r="BN426" s="265" t="s">
        <v>4956</v>
      </c>
      <c r="BO426" s="265"/>
      <c r="BP426" s="265"/>
      <c r="BQ426" s="265"/>
      <c r="BR426" s="231"/>
    </row>
    <row r="427" spans="1:112" s="240" customFormat="1" ht="27" customHeight="1" x14ac:dyDescent="0.25">
      <c r="A427" s="207">
        <v>423</v>
      </c>
      <c r="B427" s="197" t="s">
        <v>4396</v>
      </c>
      <c r="C427" s="207" t="s">
        <v>4426</v>
      </c>
      <c r="D427" s="207">
        <v>1</v>
      </c>
      <c r="E427" s="207" t="s">
        <v>4398</v>
      </c>
      <c r="F427" s="214" t="s">
        <v>6271</v>
      </c>
      <c r="G427" s="207" t="s">
        <v>4400</v>
      </c>
      <c r="H427" s="207" t="s">
        <v>4401</v>
      </c>
      <c r="I427" s="217" t="s">
        <v>4402</v>
      </c>
      <c r="J427" s="215" t="s">
        <v>6272</v>
      </c>
      <c r="K427" s="215" t="s">
        <v>6273</v>
      </c>
      <c r="L427" s="215" t="s">
        <v>6274</v>
      </c>
      <c r="M427" s="207" t="s">
        <v>4405</v>
      </c>
      <c r="N427" s="207" t="s">
        <v>4441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6272</v>
      </c>
      <c r="AB427" s="215" t="s">
        <v>6273</v>
      </c>
      <c r="AC427" s="215" t="s">
        <v>6274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4432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>IF(AQ427="SIM","AGUARDANDO CORREÇÃO",IF(AP427&lt;&gt;"","FINALIZADO",IF(AO427&lt;&gt;"","AGUARDANDO ENVIO DTS",IF(AN427&lt;&gt;"","AGUARDANDO ASSINATURA GAB",IF(AM427&lt;&gt;"","AGUARDANDO ASSINATURA CTS",IF(AL427&lt;&gt;"","AGUARDANDO ENVIO ASSINATURA CTS",IF(AK427&lt;&gt;"","AGUARDANDO CONFERÊNCIA","")))))))</f>
        <v>FINALIZADO</v>
      </c>
      <c r="AS427" s="207" t="s">
        <v>4423</v>
      </c>
      <c r="AT427" s="219"/>
      <c r="AU427" s="220" t="s">
        <v>6275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4434</v>
      </c>
      <c r="BF427" s="228" t="s">
        <v>4435</v>
      </c>
      <c r="BG427" s="229" t="s">
        <v>4425</v>
      </c>
      <c r="BH427" s="321">
        <f>IFERROR(IF(BD427-KI427=0,"",BD427-AK427),"")</f>
        <v>20</v>
      </c>
      <c r="BI427" s="98" t="str">
        <f>IF(AND(AH427&lt;&gt;"SIM",AH427="UH"),"AA","INDENIZAÇÃO")</f>
        <v>INDENIZAÇÃO</v>
      </c>
      <c r="BJ427" s="98" t="str">
        <f>IF(AND(BD427&lt;&gt;"AGUARDANDO",BD427&lt;&gt;"",N427="AUXÍLIO ALUGUEL ATÉ INDENIZAÇÃO"),"SIM","NÃO")</f>
        <v>NÃO</v>
      </c>
      <c r="BK427" s="230" t="s">
        <v>4436</v>
      </c>
      <c r="BL427" s="230" t="s">
        <v>4436</v>
      </c>
      <c r="BM427" s="230" t="s">
        <v>4436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4434</v>
      </c>
    </row>
    <row r="428" spans="1:112" s="240" customFormat="1" ht="27" hidden="1" customHeight="1" x14ac:dyDescent="0.25">
      <c r="A428" s="207">
        <v>424</v>
      </c>
      <c r="B428" s="197" t="s">
        <v>4396</v>
      </c>
      <c r="C428" s="207" t="s">
        <v>4426</v>
      </c>
      <c r="D428" s="207">
        <v>1</v>
      </c>
      <c r="E428" s="207" t="s">
        <v>4398</v>
      </c>
      <c r="F428" s="214" t="s">
        <v>6276</v>
      </c>
      <c r="G428" s="207" t="s">
        <v>4400</v>
      </c>
      <c r="H428" s="207" t="s">
        <v>4401</v>
      </c>
      <c r="I428" s="217" t="s">
        <v>4414</v>
      </c>
      <c r="J428" s="215" t="s">
        <v>6277</v>
      </c>
      <c r="K428" s="215" t="s">
        <v>6278</v>
      </c>
      <c r="L428" s="215" t="s">
        <v>6279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6280</v>
      </c>
      <c r="AB428" s="215" t="s">
        <v>6278</v>
      </c>
      <c r="AC428" s="215" t="s">
        <v>6281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6282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>IF(AQ428="SIM","AGUARDANDO CORREÇÃO",IF(AP428&lt;&gt;"","FINALIZADO",IF(AO428&lt;&gt;"","AGUARDANDO ENVIO DTS",IF(AN428&lt;&gt;"","AGUARDANDO ASSINATURA GAB",IF(AM428&lt;&gt;"","AGUARDANDO ASSINATURA CTS",IF(AL428&lt;&gt;"","AGUARDANDO ENVIO ASSINATURA CTS",IF(AK428&lt;&gt;"","AGUARDANDO CONFERÊNCIA","")))))))</f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>IFERROR(IF(BD428-KI428=0,"",BD428-AK428),"")</f>
        <v/>
      </c>
      <c r="BI428" s="98" t="str">
        <f>IF(AND(AH428&lt;&gt;"SIM",AH428="UH"),"AA","INDENIZAÇÃO")</f>
        <v>INDENIZAÇÃO</v>
      </c>
      <c r="BJ428" s="98" t="str">
        <f>IF(AND(BD428&lt;&gt;"AGUARDANDO",BD428&lt;&gt;"",N428="AUXÍLIO ALUGUEL ATÉ INDENIZAÇÃO"),"SIM","NÃO")</f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hidden="1" customHeight="1" x14ac:dyDescent="0.25">
      <c r="A429" s="197">
        <v>425</v>
      </c>
      <c r="B429" s="197" t="s">
        <v>4396</v>
      </c>
      <c r="C429" s="207" t="s">
        <v>4426</v>
      </c>
      <c r="D429" s="207">
        <v>1</v>
      </c>
      <c r="E429" s="207" t="s">
        <v>4398</v>
      </c>
      <c r="F429" s="214" t="s">
        <v>6283</v>
      </c>
      <c r="G429" s="207" t="s">
        <v>4400</v>
      </c>
      <c r="H429" s="207" t="s">
        <v>4401</v>
      </c>
      <c r="I429" s="217" t="s">
        <v>4402</v>
      </c>
      <c r="J429" s="215" t="s">
        <v>6284</v>
      </c>
      <c r="K429" s="215" t="s">
        <v>6285</v>
      </c>
      <c r="L429" s="215" t="s">
        <v>6286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6284</v>
      </c>
      <c r="AB429" s="215" t="s">
        <v>6285</v>
      </c>
      <c r="AC429" s="215" t="s">
        <v>6286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>IF(AQ429="SIM","AGUARDANDO CORREÇÃO",IF(AP429&lt;&gt;"","FINALIZADO",IF(AO429&lt;&gt;"","AGUARDANDO ENVIO DTS",IF(AN429&lt;&gt;"","AGUARDANDO ASSINATURA GAB",IF(AM429&lt;&gt;"","AGUARDANDO ASSINATURA CTS",IF(AL429&lt;&gt;"","AGUARDANDO ENVIO ASSINATURA CTS",IF(AK429&lt;&gt;"","AGUARDANDO CONFERÊNCIA","")))))))</f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>IFERROR(IF(BD429-KI429=0,"",BD429-AK429),"")</f>
        <v/>
      </c>
      <c r="BI429" s="98" t="str">
        <f>IF(AND(AH429&lt;&gt;"SIM",AH429="UH"),"AA","INDENIZAÇÃO")</f>
        <v>AA</v>
      </c>
      <c r="BJ429" s="98" t="str">
        <f>IF(AND(BD429&lt;&gt;"AGUARDANDO",BD429&lt;&gt;"",N429="AUXÍLIO ALUGUEL ATÉ INDENIZAÇÃO"),"SIM","NÃO")</f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 x14ac:dyDescent="0.25">
      <c r="A430" s="197">
        <v>426</v>
      </c>
      <c r="B430" s="197" t="s">
        <v>4396</v>
      </c>
      <c r="C430" s="207" t="s">
        <v>4426</v>
      </c>
      <c r="D430" s="207">
        <v>1</v>
      </c>
      <c r="E430" s="207" t="s">
        <v>4398</v>
      </c>
      <c r="F430" s="214" t="s">
        <v>6287</v>
      </c>
      <c r="G430" s="207" t="s">
        <v>4400</v>
      </c>
      <c r="H430" s="207" t="s">
        <v>4401</v>
      </c>
      <c r="I430" s="217" t="s">
        <v>4402</v>
      </c>
      <c r="J430" s="215" t="s">
        <v>6288</v>
      </c>
      <c r="K430" s="215" t="s">
        <v>6289</v>
      </c>
      <c r="L430" s="215" t="s">
        <v>6290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6288</v>
      </c>
      <c r="AB430" s="215" t="s">
        <v>6289</v>
      </c>
      <c r="AC430" s="215" t="s">
        <v>6290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>IF(AQ430="SIM","AGUARDANDO CORREÇÃO",IF(AP430&lt;&gt;"","FINALIZADO",IF(AO430&lt;&gt;"","AGUARDANDO ENVIO DTS",IF(AN430&lt;&gt;"","AGUARDANDO ASSINATURA GAB",IF(AM430&lt;&gt;"","AGUARDANDO ASSINATURA CTS",IF(AL430&lt;&gt;"","AGUARDANDO ENVIO ASSINATURA CTS",IF(AK430&lt;&gt;"","AGUARDANDO CONFERÊNCIA","")))))))</f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>IFERROR(IF(BD430-KI430=0,"",BD430-AK430),"")</f>
        <v/>
      </c>
      <c r="BI430" s="98" t="str">
        <f>IF(AND(AH430&lt;&gt;"SIM",AH430="UH"),"AA","INDENIZAÇÃO")</f>
        <v>AA</v>
      </c>
      <c r="BJ430" s="98" t="str">
        <f>IF(AND(BD430&lt;&gt;"AGUARDANDO",BD430&lt;&gt;"",N430="AUXÍLIO ALUGUEL ATÉ INDENIZAÇÃO"),"SIM","NÃO")</f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customHeight="1" x14ac:dyDescent="0.25">
      <c r="A431" s="207">
        <v>427</v>
      </c>
      <c r="B431" s="197" t="s">
        <v>4396</v>
      </c>
      <c r="C431" s="207" t="s">
        <v>4426</v>
      </c>
      <c r="D431" s="207">
        <v>1</v>
      </c>
      <c r="E431" s="207" t="s">
        <v>4398</v>
      </c>
      <c r="F431" s="214" t="s">
        <v>6291</v>
      </c>
      <c r="G431" s="207" t="s">
        <v>4400</v>
      </c>
      <c r="H431" s="207" t="s">
        <v>4401</v>
      </c>
      <c r="I431" s="217" t="s">
        <v>4402</v>
      </c>
      <c r="J431" s="215" t="s">
        <v>6292</v>
      </c>
      <c r="K431" s="215" t="s">
        <v>4398</v>
      </c>
      <c r="L431" s="215" t="s">
        <v>6293</v>
      </c>
      <c r="M431" s="207" t="s">
        <v>4405</v>
      </c>
      <c r="N431" s="207" t="s">
        <v>4431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6292</v>
      </c>
      <c r="AB431" s="200" t="s">
        <v>4398</v>
      </c>
      <c r="AC431" s="200" t="s">
        <v>6293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4432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>IF(AQ431="SIM","AGUARDANDO CORREÇÃO",IF(AP431&lt;&gt;"","FINALIZADO",IF(AO431&lt;&gt;"","AGUARDANDO ENVIO DTS",IF(AN431&lt;&gt;"","AGUARDANDO ASSINATURA GAB",IF(AM431&lt;&gt;"","AGUARDANDO ASSINATURA CTS",IF(AL431&lt;&gt;"","AGUARDANDO ENVIO ASSINATURA CTS",IF(AK431&lt;&gt;"","AGUARDANDO CONFERÊNCIA","")))))))</f>
        <v>FINALIZADO</v>
      </c>
      <c r="AS431" s="207" t="s">
        <v>4423</v>
      </c>
      <c r="AT431" s="207"/>
      <c r="AU431" s="220" t="s">
        <v>6294</v>
      </c>
      <c r="AV431" s="250" t="s">
        <v>4425</v>
      </c>
      <c r="AW431" s="207" t="s">
        <v>4425</v>
      </c>
      <c r="AX431" s="207" t="s">
        <v>4817</v>
      </c>
      <c r="AY431" s="207" t="s">
        <v>4817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4434</v>
      </c>
      <c r="BF431" s="228" t="s">
        <v>4435</v>
      </c>
      <c r="BG431" s="219" t="s">
        <v>4425</v>
      </c>
      <c r="BH431" s="321">
        <f>IFERROR(IF(BD431-KI431=0,"",BD431-AK431),"")</f>
        <v>132</v>
      </c>
      <c r="BI431" s="98" t="str">
        <f>IF(AND(AH431&lt;&gt;"SIM",AH431="UH"),"AA","INDENIZAÇÃO")</f>
        <v>INDENIZAÇÃO</v>
      </c>
      <c r="BJ431" s="98" t="str">
        <f>IF(AND(BD431&lt;&gt;"AGUARDANDO",BD431&lt;&gt;"",N431="AUXÍLIO ALUGUEL ATÉ INDENIZAÇÃO"),"SIM","NÃO")</f>
        <v>NÃO</v>
      </c>
      <c r="BK431" s="219" t="s">
        <v>4436</v>
      </c>
      <c r="BL431" s="219" t="s">
        <v>4436</v>
      </c>
      <c r="BM431" s="219" t="s">
        <v>4436</v>
      </c>
      <c r="BN431" s="257" t="s">
        <v>4956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hidden="1" customHeight="1" x14ac:dyDescent="0.25">
      <c r="A432" s="207">
        <v>428</v>
      </c>
      <c r="B432" s="197" t="s">
        <v>4396</v>
      </c>
      <c r="C432" s="207" t="s">
        <v>4426</v>
      </c>
      <c r="D432" s="207">
        <v>1</v>
      </c>
      <c r="E432" s="207" t="s">
        <v>4398</v>
      </c>
      <c r="F432" s="214" t="s">
        <v>6295</v>
      </c>
      <c r="G432" s="207" t="s">
        <v>4400</v>
      </c>
      <c r="H432" s="207" t="s">
        <v>4401</v>
      </c>
      <c r="I432" s="217" t="s">
        <v>4402</v>
      </c>
      <c r="J432" s="215" t="s">
        <v>6296</v>
      </c>
      <c r="K432" s="215" t="s">
        <v>6297</v>
      </c>
      <c r="L432" s="215" t="s">
        <v>6298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6296</v>
      </c>
      <c r="AB432" s="215" t="s">
        <v>6297</v>
      </c>
      <c r="AC432" s="215" t="s">
        <v>6298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>IF(AQ432="SIM","AGUARDANDO CORREÇÃO",IF(AP432&lt;&gt;"","FINALIZADO",IF(AO432&lt;&gt;"","AGUARDANDO ENVIO DTS",IF(AN432&lt;&gt;"","AGUARDANDO ASSINATURA GAB",IF(AM432&lt;&gt;"","AGUARDANDO ASSINATURA CTS",IF(AL432&lt;&gt;"","AGUARDANDO ENVIO ASSINATURA CTS",IF(AK432&lt;&gt;"","AGUARDANDO CONFERÊNCIA","")))))))</f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>IFERROR(IF(BD432-KI432=0,"",BD432-AK432),"")</f>
        <v/>
      </c>
      <c r="BI432" s="98" t="str">
        <f>IF(AND(AH432&lt;&gt;"SIM",AH432="UH"),"AA","INDENIZAÇÃO")</f>
        <v>AA</v>
      </c>
      <c r="BJ432" s="98" t="str">
        <f>IF(AND(BD432&lt;&gt;"AGUARDANDO",BD432&lt;&gt;"",N432="AUXÍLIO ALUGUEL ATÉ INDENIZAÇÃO"),"SIM","NÃO")</f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hidden="1" customHeight="1" x14ac:dyDescent="0.25">
      <c r="A433" s="207">
        <v>429</v>
      </c>
      <c r="B433" s="197" t="s">
        <v>4396</v>
      </c>
      <c r="C433" s="207" t="s">
        <v>4426</v>
      </c>
      <c r="D433" s="207">
        <v>1</v>
      </c>
      <c r="E433" s="207" t="s">
        <v>4398</v>
      </c>
      <c r="F433" s="214" t="s">
        <v>6299</v>
      </c>
      <c r="G433" s="207" t="s">
        <v>4400</v>
      </c>
      <c r="H433" s="207" t="s">
        <v>4401</v>
      </c>
      <c r="I433" s="217" t="s">
        <v>4402</v>
      </c>
      <c r="J433" s="215" t="s">
        <v>6300</v>
      </c>
      <c r="K433" s="215" t="s">
        <v>6301</v>
      </c>
      <c r="L433" s="215" t="s">
        <v>6302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6300</v>
      </c>
      <c r="AB433" s="215" t="s">
        <v>6301</v>
      </c>
      <c r="AC433" s="215" t="s">
        <v>6302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>IF(AQ433="SIM","AGUARDANDO CORREÇÃO",IF(AP433&lt;&gt;"","FINALIZADO",IF(AO433&lt;&gt;"","AGUARDANDO ENVIO DTS",IF(AN433&lt;&gt;"","AGUARDANDO ASSINATURA GAB",IF(AM433&lt;&gt;"","AGUARDANDO ASSINATURA CTS",IF(AL433&lt;&gt;"","AGUARDANDO ENVIO ASSINATURA CTS",IF(AK433&lt;&gt;"","AGUARDANDO CONFERÊNCIA","")))))))</f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>IFERROR(IF(BD433-KI433=0,"",BD433-AK433),"")</f>
        <v/>
      </c>
      <c r="BI433" s="98" t="str">
        <f>IF(AND(AH433&lt;&gt;"SIM",AH433="UH"),"AA","INDENIZAÇÃO")</f>
        <v>AA</v>
      </c>
      <c r="BJ433" s="98" t="str">
        <f>IF(AND(BD433&lt;&gt;"AGUARDANDO",BD433&lt;&gt;"",N433="AUXÍLIO ALUGUEL ATÉ INDENIZAÇÃO"),"SIM","NÃO")</f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hidden="1" customHeight="1" x14ac:dyDescent="0.25">
      <c r="A434" s="197">
        <v>430</v>
      </c>
      <c r="B434" s="197" t="s">
        <v>4396</v>
      </c>
      <c r="C434" s="207" t="s">
        <v>4426</v>
      </c>
      <c r="D434" s="207">
        <v>1</v>
      </c>
      <c r="E434" s="207" t="s">
        <v>4398</v>
      </c>
      <c r="F434" s="214" t="s">
        <v>6303</v>
      </c>
      <c r="G434" s="207" t="s">
        <v>4400</v>
      </c>
      <c r="H434" s="207" t="s">
        <v>4401</v>
      </c>
      <c r="I434" s="217" t="s">
        <v>4402</v>
      </c>
      <c r="J434" s="242" t="s">
        <v>6304</v>
      </c>
      <c r="K434" s="215" t="s">
        <v>6305</v>
      </c>
      <c r="L434" s="215" t="s">
        <v>6306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6304</v>
      </c>
      <c r="AB434" s="215" t="s">
        <v>6305</v>
      </c>
      <c r="AC434" s="215" t="s">
        <v>6306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>IF(AQ434="SIM","AGUARDANDO CORREÇÃO",IF(AP434&lt;&gt;"","FINALIZADO",IF(AO434&lt;&gt;"","AGUARDANDO ENVIO DTS",IF(AN434&lt;&gt;"","AGUARDANDO ASSINATURA GAB",IF(AM434&lt;&gt;"","AGUARDANDO ASSINATURA CTS",IF(AL434&lt;&gt;"","AGUARDANDO ENVIO ASSINATURA CTS",IF(AK434&lt;&gt;"","AGUARDANDO CONFERÊNCIA","")))))))</f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>IFERROR(IF(BD434-KI434=0,"",BD434-AK434),"")</f>
        <v/>
      </c>
      <c r="BI434" s="98" t="str">
        <f>IF(AND(AH434&lt;&gt;"SIM",AH434="UH"),"AA","INDENIZAÇÃO")</f>
        <v>AA</v>
      </c>
      <c r="BJ434" s="98" t="str">
        <f>IF(AND(BD434&lt;&gt;"AGUARDANDO",BD434&lt;&gt;"",N434="AUXÍLIO ALUGUEL ATÉ INDENIZAÇÃO"),"SIM","NÃO")</f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 x14ac:dyDescent="0.25">
      <c r="A435" s="197">
        <v>431</v>
      </c>
      <c r="B435" s="197" t="s">
        <v>4396</v>
      </c>
      <c r="C435" s="207" t="s">
        <v>4426</v>
      </c>
      <c r="D435" s="207">
        <v>1</v>
      </c>
      <c r="E435" s="207" t="s">
        <v>4398</v>
      </c>
      <c r="F435" s="214" t="s">
        <v>6307</v>
      </c>
      <c r="G435" s="207" t="s">
        <v>4400</v>
      </c>
      <c r="H435" s="207" t="s">
        <v>4401</v>
      </c>
      <c r="I435" s="217" t="s">
        <v>4402</v>
      </c>
      <c r="J435" s="215" t="s">
        <v>6308</v>
      </c>
      <c r="K435" s="215" t="s">
        <v>4439</v>
      </c>
      <c r="L435" s="215" t="s">
        <v>6309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6308</v>
      </c>
      <c r="AB435" s="215" t="s">
        <v>4439</v>
      </c>
      <c r="AC435" s="215" t="s">
        <v>6309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>IF(AQ435="SIM","AGUARDANDO CORREÇÃO",IF(AP435&lt;&gt;"","FINALIZADO",IF(AO435&lt;&gt;"","AGUARDANDO ENVIO DTS",IF(AN435&lt;&gt;"","AGUARDANDO ASSINATURA GAB",IF(AM435&lt;&gt;"","AGUARDANDO ASSINATURA CTS",IF(AL435&lt;&gt;"","AGUARDANDO ENVIO ASSINATURA CTS",IF(AK435&lt;&gt;"","AGUARDANDO CONFERÊNCIA","")))))))</f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>IFERROR(IF(BD435-KI435=0,"",BD435-AK435),"")</f>
        <v/>
      </c>
      <c r="BI435" s="98" t="str">
        <f>IF(AND(AH435&lt;&gt;"SIM",AH435="UH"),"AA","INDENIZAÇÃO")</f>
        <v>AA</v>
      </c>
      <c r="BJ435" s="98" t="str">
        <f>IF(AND(BD435&lt;&gt;"AGUARDANDO",BD435&lt;&gt;"",N435="AUXÍLIO ALUGUEL ATÉ INDENIZAÇÃO"),"SIM","NÃO")</f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 x14ac:dyDescent="0.25">
      <c r="A436" s="207">
        <v>432</v>
      </c>
      <c r="B436" s="197" t="s">
        <v>4396</v>
      </c>
      <c r="C436" s="207" t="s">
        <v>4426</v>
      </c>
      <c r="D436" s="207">
        <v>1</v>
      </c>
      <c r="E436" s="207" t="s">
        <v>4398</v>
      </c>
      <c r="F436" s="214" t="s">
        <v>6310</v>
      </c>
      <c r="G436" s="207" t="s">
        <v>4400</v>
      </c>
      <c r="H436" s="207" t="s">
        <v>4401</v>
      </c>
      <c r="I436" s="217" t="s">
        <v>4402</v>
      </c>
      <c r="J436" s="215" t="s">
        <v>6311</v>
      </c>
      <c r="K436" s="215" t="s">
        <v>4439</v>
      </c>
      <c r="L436" s="215" t="s">
        <v>6312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6311</v>
      </c>
      <c r="AB436" s="200" t="s">
        <v>4439</v>
      </c>
      <c r="AC436" s="200" t="s">
        <v>6312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>IF(AQ436="SIM","AGUARDANDO CORREÇÃO",IF(AP436&lt;&gt;"","FINALIZADO",IF(AO436&lt;&gt;"","AGUARDANDO ENVIO DTS",IF(AN436&lt;&gt;"","AGUARDANDO ASSINATURA GAB",IF(AM436&lt;&gt;"","AGUARDANDO ASSINATURA CTS",IF(AL436&lt;&gt;"","AGUARDANDO ENVIO ASSINATURA CTS",IF(AK436&lt;&gt;"","AGUARDANDO CONFERÊNCIA","")))))))</f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>IFERROR(IF(BD436-KI436=0,"",BD436-AK436),"")</f>
        <v/>
      </c>
      <c r="BI436" s="98" t="str">
        <f>IF(AND(AH436&lt;&gt;"SIM",AH436="UH"),"AA","INDENIZAÇÃO")</f>
        <v>AA</v>
      </c>
      <c r="BJ436" s="98" t="str">
        <f>IF(AND(BD436&lt;&gt;"AGUARDANDO",BD436&lt;&gt;"",N436="AUXÍLIO ALUGUEL ATÉ INDENIZAÇÃO"),"SIM","NÃO")</f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 x14ac:dyDescent="0.25">
      <c r="A437" s="207">
        <v>433</v>
      </c>
      <c r="B437" s="197" t="s">
        <v>4396</v>
      </c>
      <c r="C437" s="207" t="s">
        <v>4426</v>
      </c>
      <c r="D437" s="207">
        <v>1</v>
      </c>
      <c r="E437" s="250" t="s">
        <v>4398</v>
      </c>
      <c r="F437" s="214" t="s">
        <v>6313</v>
      </c>
      <c r="G437" s="207" t="s">
        <v>4400</v>
      </c>
      <c r="H437" s="207" t="s">
        <v>4401</v>
      </c>
      <c r="I437" s="217" t="s">
        <v>4402</v>
      </c>
      <c r="J437" s="215" t="s">
        <v>6314</v>
      </c>
      <c r="K437" s="215" t="s">
        <v>6315</v>
      </c>
      <c r="L437" s="215" t="s">
        <v>6316</v>
      </c>
      <c r="M437" s="207" t="s">
        <v>4405</v>
      </c>
      <c r="N437" s="207" t="s">
        <v>4441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6314</v>
      </c>
      <c r="AB437" s="215" t="s">
        <v>6317</v>
      </c>
      <c r="AC437" s="215" t="s">
        <v>6316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>IF(AQ437="SIM","AGUARDANDO CORREÇÃO",IF(AP437&lt;&gt;"","FINALIZADO",IF(AO437&lt;&gt;"","AGUARDANDO ENVIO DTS",IF(AN437&lt;&gt;"","AGUARDANDO ASSINATURA GAB",IF(AM437&lt;&gt;"","AGUARDANDO ASSINATURA CTS",IF(AL437&lt;&gt;"","AGUARDANDO ENVIO ASSINATURA CTS",IF(AK437&lt;&gt;"","AGUARDANDO CONFERÊNCIA","")))))))</f>
        <v>FINALIZADO</v>
      </c>
      <c r="AS437" s="207" t="s">
        <v>4423</v>
      </c>
      <c r="AT437" s="207"/>
      <c r="AU437" s="220" t="s">
        <v>4434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>IFERROR(IF(BD437-KI437=0,"",BD437-AK437),"")</f>
        <v/>
      </c>
      <c r="BI437" s="98" t="str">
        <f>IF(AND(AH437&lt;&gt;"SIM",AH437="UH"),"AA","INDENIZAÇÃO")</f>
        <v>INDENIZAÇÃO</v>
      </c>
      <c r="BJ437" s="98" t="str">
        <f>IF(AND(BD437&lt;&gt;"AGUARDANDO",BD437&lt;&gt;"",N437="AUXÍLIO ALUGUEL ATÉ INDENIZAÇÃO"),"SIM","NÃO")</f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 x14ac:dyDescent="0.25">
      <c r="A438" s="207">
        <v>434</v>
      </c>
      <c r="B438" s="197" t="s">
        <v>4396</v>
      </c>
      <c r="C438" s="207" t="s">
        <v>4426</v>
      </c>
      <c r="D438" s="207">
        <v>1</v>
      </c>
      <c r="E438" s="207" t="s">
        <v>4398</v>
      </c>
      <c r="F438" s="214" t="s">
        <v>6318</v>
      </c>
      <c r="G438" s="207" t="s">
        <v>4545</v>
      </c>
      <c r="H438" s="207" t="s">
        <v>4545</v>
      </c>
      <c r="I438" s="233" t="s">
        <v>4421</v>
      </c>
      <c r="J438" s="215" t="s">
        <v>6319</v>
      </c>
      <c r="K438" s="215" t="s">
        <v>6320</v>
      </c>
      <c r="L438" s="215" t="s">
        <v>6321</v>
      </c>
      <c r="M438" s="207" t="s">
        <v>4405</v>
      </c>
      <c r="N438" s="207" t="s">
        <v>4431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6319</v>
      </c>
      <c r="AB438" s="215" t="s">
        <v>6320</v>
      </c>
      <c r="AC438" s="215" t="s">
        <v>6321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>IF(AQ438="SIM","AGUARDANDO CORREÇÃO",IF(AP438&lt;&gt;"","FINALIZADO",IF(AO438&lt;&gt;"","AGUARDANDO ENVIO DTS",IF(AN438&lt;&gt;"","AGUARDANDO ASSINATURA GAB",IF(AM438&lt;&gt;"","AGUARDANDO ASSINATURA CTS",IF(AL438&lt;&gt;"","AGUARDANDO ENVIO ASSINATURA CTS",IF(AK438&lt;&gt;"","AGUARDANDO CONFERÊNCIA","")))))))</f>
        <v>AGUARDANDO ASSINATURA CTS</v>
      </c>
      <c r="AS438" s="207"/>
      <c r="AT438" s="207" t="s">
        <v>6111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>IFERROR(IF(BD438-KI438=0,"",BD438-AK438),"")</f>
        <v/>
      </c>
      <c r="BI438" s="98" t="str">
        <f>IF(AND(AH438&lt;&gt;"SIM",AH438="UH"),"AA","INDENIZAÇÃO")</f>
        <v>INDENIZAÇÃO</v>
      </c>
      <c r="BJ438" s="98" t="str">
        <f>IF(AND(BD438&lt;&gt;"AGUARDANDO",BD438&lt;&gt;"",N438="AUXÍLIO ALUGUEL ATÉ INDENIZAÇÃO"),"SIM","NÃO")</f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 x14ac:dyDescent="0.25">
      <c r="A439" s="197">
        <v>435</v>
      </c>
      <c r="B439" s="197" t="s">
        <v>4396</v>
      </c>
      <c r="C439" s="207" t="s">
        <v>4426</v>
      </c>
      <c r="D439" s="207">
        <v>1</v>
      </c>
      <c r="E439" s="207" t="s">
        <v>4398</v>
      </c>
      <c r="F439" s="214" t="s">
        <v>6322</v>
      </c>
      <c r="G439" s="207" t="s">
        <v>4400</v>
      </c>
      <c r="H439" s="207" t="s">
        <v>4401</v>
      </c>
      <c r="I439" s="249" t="s">
        <v>4402</v>
      </c>
      <c r="J439" s="215" t="s">
        <v>6323</v>
      </c>
      <c r="K439" s="215" t="s">
        <v>6324</v>
      </c>
      <c r="L439" s="215" t="s">
        <v>6325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6323</v>
      </c>
      <c r="AB439" s="215" t="s">
        <v>6324</v>
      </c>
      <c r="AC439" s="215" t="s">
        <v>6325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>IF(AQ439="SIM","AGUARDANDO CORREÇÃO",IF(AP439&lt;&gt;"","FINALIZADO",IF(AO439&lt;&gt;"","AGUARDANDO ENVIO DTS",IF(AN439&lt;&gt;"","AGUARDANDO ASSINATURA GAB",IF(AM439&lt;&gt;"","AGUARDANDO ASSINATURA CTS",IF(AL439&lt;&gt;"","AGUARDANDO ENVIO ASSINATURA CTS",IF(AK439&lt;&gt;"","AGUARDANDO CONFERÊNCIA","")))))))</f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>IFERROR(IF(BD439-KI439=0,"",BD439-AK439),"")</f>
        <v/>
      </c>
      <c r="BI439" s="98" t="str">
        <f>IF(AND(AH439&lt;&gt;"SIM",AH439="UH"),"AA","INDENIZAÇÃO")</f>
        <v>AA</v>
      </c>
      <c r="BJ439" s="98" t="str">
        <f>IF(AND(BD439&lt;&gt;"AGUARDANDO",BD439&lt;&gt;"",N439="AUXÍLIO ALUGUEL ATÉ INDENIZAÇÃO"),"SIM","NÃO")</f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customHeight="1" x14ac:dyDescent="0.25">
      <c r="A440" s="197">
        <v>436</v>
      </c>
      <c r="B440" s="197" t="s">
        <v>4396</v>
      </c>
      <c r="C440" s="207" t="s">
        <v>4426</v>
      </c>
      <c r="D440" s="207">
        <v>1</v>
      </c>
      <c r="E440" s="207" t="s">
        <v>4398</v>
      </c>
      <c r="F440" s="214" t="s">
        <v>6326</v>
      </c>
      <c r="G440" s="207" t="s">
        <v>4400</v>
      </c>
      <c r="H440" s="207" t="s">
        <v>4401</v>
      </c>
      <c r="I440" s="217" t="s">
        <v>4402</v>
      </c>
      <c r="J440" s="215" t="s">
        <v>6327</v>
      </c>
      <c r="K440" s="215" t="s">
        <v>6328</v>
      </c>
      <c r="L440" s="215" t="s">
        <v>6329</v>
      </c>
      <c r="M440" s="207" t="s">
        <v>4405</v>
      </c>
      <c r="N440" s="207" t="s">
        <v>4441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6330</v>
      </c>
      <c r="AB440" s="200" t="s">
        <v>6328</v>
      </c>
      <c r="AC440" s="200" t="s">
        <v>6329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4432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>IF(AQ440="SIM","AGUARDANDO CORREÇÃO",IF(AP440&lt;&gt;"","FINALIZADO",IF(AO440&lt;&gt;"","AGUARDANDO ENVIO DTS",IF(AN440&lt;&gt;"","AGUARDANDO ASSINATURA GAB",IF(AM440&lt;&gt;"","AGUARDANDO ASSINATURA CTS",IF(AL440&lt;&gt;"","AGUARDANDO ENVIO ASSINATURA CTS",IF(AK440&lt;&gt;"","AGUARDANDO CONFERÊNCIA","")))))))</f>
        <v>FINALIZADO</v>
      </c>
      <c r="AS440" s="207" t="s">
        <v>4423</v>
      </c>
      <c r="AT440" s="207"/>
      <c r="AU440" s="220" t="s">
        <v>6331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4434</v>
      </c>
      <c r="BF440" s="257" t="s">
        <v>4435</v>
      </c>
      <c r="BG440" s="219" t="s">
        <v>4425</v>
      </c>
      <c r="BH440" s="321">
        <f>IFERROR(IF(BD440-KI440=0,"",BD440-AK440),"")</f>
        <v>135</v>
      </c>
      <c r="BI440" s="98" t="str">
        <f>IF(AND(AH440&lt;&gt;"SIM",AH440="UH"),"AA","INDENIZAÇÃO")</f>
        <v>INDENIZAÇÃO</v>
      </c>
      <c r="BJ440" s="98" t="str">
        <f>IF(AND(BD440&lt;&gt;"AGUARDANDO",BD440&lt;&gt;"",N440="AUXÍLIO ALUGUEL ATÉ INDENIZAÇÃO"),"SIM","NÃO")</f>
        <v>NÃO</v>
      </c>
      <c r="BK440" s="219" t="s">
        <v>4436</v>
      </c>
      <c r="BL440" s="219" t="s">
        <v>4436</v>
      </c>
      <c r="BM440" s="219" t="s">
        <v>4436</v>
      </c>
      <c r="BN440" s="257" t="s">
        <v>4956</v>
      </c>
      <c r="BO440" s="257"/>
      <c r="BP440" s="257"/>
      <c r="BQ440" s="257"/>
      <c r="BR440" s="258"/>
      <c r="BS440" s="223"/>
    </row>
    <row r="441" spans="1:71" s="240" customFormat="1" ht="27" customHeight="1" x14ac:dyDescent="0.25">
      <c r="A441" s="207">
        <v>437</v>
      </c>
      <c r="B441" s="197" t="s">
        <v>4396</v>
      </c>
      <c r="C441" s="207" t="s">
        <v>4426</v>
      </c>
      <c r="D441" s="207">
        <v>1</v>
      </c>
      <c r="E441" s="207" t="s">
        <v>4398</v>
      </c>
      <c r="F441" s="214" t="s">
        <v>6332</v>
      </c>
      <c r="G441" s="207" t="s">
        <v>4400</v>
      </c>
      <c r="H441" s="207" t="s">
        <v>4427</v>
      </c>
      <c r="I441" s="233" t="s">
        <v>4421</v>
      </c>
      <c r="J441" s="215" t="s">
        <v>6333</v>
      </c>
      <c r="K441" s="215" t="s">
        <v>6334</v>
      </c>
      <c r="L441" s="215" t="s">
        <v>6335</v>
      </c>
      <c r="M441" s="207" t="s">
        <v>4405</v>
      </c>
      <c r="N441" s="207" t="s">
        <v>4441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6333</v>
      </c>
      <c r="AB441" s="215" t="s">
        <v>6334</v>
      </c>
      <c r="AC441" s="215" t="s">
        <v>6335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4432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>IF(AQ441="SIM","AGUARDANDO CORREÇÃO",IF(AP441&lt;&gt;"","FINALIZADO",IF(AO441&lt;&gt;"","AGUARDANDO ENVIO DTS",IF(AN441&lt;&gt;"","AGUARDANDO ASSINATURA GAB",IF(AM441&lt;&gt;"","AGUARDANDO ASSINATURA CTS",IF(AL441&lt;&gt;"","AGUARDANDO ENVIO ASSINATURA CTS",IF(AK441&lt;&gt;"","AGUARDANDO CONFERÊNCIA","")))))))</f>
        <v>FINALIZADO</v>
      </c>
      <c r="AS441" s="207" t="s">
        <v>4423</v>
      </c>
      <c r="AT441" s="207"/>
      <c r="AU441" s="220" t="s">
        <v>6336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4434</v>
      </c>
      <c r="BF441" s="228" t="s">
        <v>4435</v>
      </c>
      <c r="BG441" s="219" t="s">
        <v>4425</v>
      </c>
      <c r="BH441" s="321">
        <f>IFERROR(IF(BD441-KI441=0,"",BD441-AK441),"")</f>
        <v>50</v>
      </c>
      <c r="BI441" s="98" t="str">
        <f>IF(AND(AH441&lt;&gt;"SIM",AH441="UH"),"AA","INDENIZAÇÃO")</f>
        <v>INDENIZAÇÃO</v>
      </c>
      <c r="BJ441" s="98" t="str">
        <f>IF(AND(BD441&lt;&gt;"AGUARDANDO",BD441&lt;&gt;"",N441="AUXÍLIO ALUGUEL ATÉ INDENIZAÇÃO"),"SIM","NÃO")</f>
        <v>NÃO</v>
      </c>
      <c r="BK441" s="219" t="s">
        <v>4436</v>
      </c>
      <c r="BL441" s="219" t="s">
        <v>4436</v>
      </c>
      <c r="BM441" s="219" t="s">
        <v>4436</v>
      </c>
      <c r="BN441" s="257" t="s">
        <v>4956</v>
      </c>
      <c r="BO441" s="257"/>
      <c r="BP441" s="257"/>
      <c r="BQ441" s="257"/>
      <c r="BR441" s="258"/>
    </row>
    <row r="442" spans="1:71" s="240" customFormat="1" ht="27" customHeight="1" x14ac:dyDescent="0.25">
      <c r="A442" s="207">
        <v>438</v>
      </c>
      <c r="B442" s="197" t="s">
        <v>4396</v>
      </c>
      <c r="C442" s="207" t="s">
        <v>4426</v>
      </c>
      <c r="D442" s="207">
        <v>1</v>
      </c>
      <c r="E442" s="207" t="s">
        <v>4398</v>
      </c>
      <c r="F442" s="214" t="s">
        <v>6337</v>
      </c>
      <c r="G442" s="207" t="s">
        <v>4400</v>
      </c>
      <c r="H442" s="207" t="s">
        <v>4582</v>
      </c>
      <c r="I442" s="249" t="s">
        <v>4402</v>
      </c>
      <c r="J442" s="215" t="s">
        <v>6338</v>
      </c>
      <c r="K442" s="215" t="s">
        <v>6339</v>
      </c>
      <c r="L442" s="215" t="s">
        <v>6340</v>
      </c>
      <c r="M442" s="207" t="s">
        <v>4405</v>
      </c>
      <c r="N442" s="207" t="s">
        <v>4441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6338</v>
      </c>
      <c r="AB442" s="215" t="s">
        <v>6339</v>
      </c>
      <c r="AC442" s="215" t="s">
        <v>6340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4432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>IF(AQ442="SIM","AGUARDANDO CORREÇÃO",IF(AP442&lt;&gt;"","FINALIZADO",IF(AO442&lt;&gt;"","AGUARDANDO ENVIO DTS",IF(AN442&lt;&gt;"","AGUARDANDO ASSINATURA GAB",IF(AM442&lt;&gt;"","AGUARDANDO ASSINATURA CTS",IF(AL442&lt;&gt;"","AGUARDANDO ENVIO ASSINATURA CTS",IF(AK442&lt;&gt;"","AGUARDANDO CONFERÊNCIA","")))))))</f>
        <v>FINALIZADO</v>
      </c>
      <c r="AS442" s="207" t="s">
        <v>4423</v>
      </c>
      <c r="AT442" s="207"/>
      <c r="AU442" s="220" t="s">
        <v>6341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4434</v>
      </c>
      <c r="BF442" s="228" t="s">
        <v>4435</v>
      </c>
      <c r="BG442" s="219" t="s">
        <v>4425</v>
      </c>
      <c r="BH442" s="321">
        <f>IFERROR(IF(BD442-KI442=0,"",BD442-AK442),"")</f>
        <v>116</v>
      </c>
      <c r="BI442" s="98" t="str">
        <f>IF(AND(AH442&lt;&gt;"SIM",AH442="UH"),"AA","INDENIZAÇÃO")</f>
        <v>INDENIZAÇÃO</v>
      </c>
      <c r="BJ442" s="98" t="str">
        <f>IF(AND(BD442&lt;&gt;"AGUARDANDO",BD442&lt;&gt;"",N442="AUXÍLIO ALUGUEL ATÉ INDENIZAÇÃO"),"SIM","NÃO")</f>
        <v>NÃO</v>
      </c>
      <c r="BK442" s="219" t="s">
        <v>4436</v>
      </c>
      <c r="BL442" s="219" t="s">
        <v>4436</v>
      </c>
      <c r="BM442" s="219" t="s">
        <v>4436</v>
      </c>
      <c r="BN442" s="257" t="s">
        <v>4956</v>
      </c>
      <c r="BO442" s="257"/>
      <c r="BP442" s="257"/>
      <c r="BQ442" s="257"/>
      <c r="BR442" s="258"/>
    </row>
    <row r="443" spans="1:71" s="240" customFormat="1" ht="27" hidden="1" customHeight="1" x14ac:dyDescent="0.25">
      <c r="A443" s="207">
        <v>439</v>
      </c>
      <c r="B443" s="197" t="s">
        <v>4396</v>
      </c>
      <c r="C443" s="207" t="s">
        <v>4426</v>
      </c>
      <c r="D443" s="207">
        <v>1</v>
      </c>
      <c r="E443" s="207" t="s">
        <v>4398</v>
      </c>
      <c r="F443" s="214" t="s">
        <v>6342</v>
      </c>
      <c r="G443" s="207" t="s">
        <v>4400</v>
      </c>
      <c r="H443" s="207" t="s">
        <v>4401</v>
      </c>
      <c r="I443" s="217" t="s">
        <v>4402</v>
      </c>
      <c r="J443" s="215" t="s">
        <v>6343</v>
      </c>
      <c r="K443" s="215" t="s">
        <v>6344</v>
      </c>
      <c r="L443" s="215" t="s">
        <v>6345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6343</v>
      </c>
      <c r="AB443" s="215" t="s">
        <v>6344</v>
      </c>
      <c r="AC443" s="215" t="s">
        <v>6345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>IF(AQ443="SIM","AGUARDANDO CORREÇÃO",IF(AP443&lt;&gt;"","FINALIZADO",IF(AO443&lt;&gt;"","AGUARDANDO ENVIO DTS",IF(AN443&lt;&gt;"","AGUARDANDO ASSINATURA GAB",IF(AM443&lt;&gt;"","AGUARDANDO ASSINATURA CTS",IF(AL443&lt;&gt;"","AGUARDANDO ENVIO ASSINATURA CTS",IF(AK443&lt;&gt;"","AGUARDANDO CONFERÊNCIA","")))))))</f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>IFERROR(IF(BD443-KI443=0,"",BD443-AK443),"")</f>
        <v/>
      </c>
      <c r="BI443" s="98" t="str">
        <f>IF(AND(AH443&lt;&gt;"SIM",AH443="UH"),"AA","INDENIZAÇÃO")</f>
        <v>AA</v>
      </c>
      <c r="BJ443" s="98" t="str">
        <f>IF(AND(BD443&lt;&gt;"AGUARDANDO",BD443&lt;&gt;"",N443="AUXÍLIO ALUGUEL ATÉ INDENIZAÇÃO"),"SIM","NÃO")</f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hidden="1" customHeight="1" x14ac:dyDescent="0.25">
      <c r="A444" s="197">
        <v>440</v>
      </c>
      <c r="B444" s="197" t="s">
        <v>4396</v>
      </c>
      <c r="C444" s="207" t="s">
        <v>4426</v>
      </c>
      <c r="D444" s="207">
        <v>1</v>
      </c>
      <c r="E444" s="207" t="s">
        <v>4398</v>
      </c>
      <c r="F444" s="214" t="s">
        <v>6346</v>
      </c>
      <c r="G444" s="207" t="s">
        <v>4400</v>
      </c>
      <c r="H444" s="207" t="s">
        <v>4401</v>
      </c>
      <c r="I444" s="217" t="s">
        <v>4402</v>
      </c>
      <c r="J444" s="215" t="s">
        <v>6347</v>
      </c>
      <c r="K444" s="215" t="s">
        <v>6348</v>
      </c>
      <c r="L444" s="215" t="s">
        <v>6349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6347</v>
      </c>
      <c r="AB444" s="215" t="s">
        <v>6348</v>
      </c>
      <c r="AC444" s="215" t="s">
        <v>6349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>IF(AQ444="SIM","AGUARDANDO CORREÇÃO",IF(AP444&lt;&gt;"","FINALIZADO",IF(AO444&lt;&gt;"","AGUARDANDO ENVIO DTS",IF(AN444&lt;&gt;"","AGUARDANDO ASSINATURA GAB",IF(AM444&lt;&gt;"","AGUARDANDO ASSINATURA CTS",IF(AL444&lt;&gt;"","AGUARDANDO ENVIO ASSINATURA CTS",IF(AK444&lt;&gt;"","AGUARDANDO CONFERÊNCIA","")))))))</f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>IFERROR(IF(BD444-KI444=0,"",BD444-AK444),"")</f>
        <v/>
      </c>
      <c r="BI444" s="98" t="str">
        <f>IF(AND(AH444&lt;&gt;"SIM",AH444="UH"),"AA","INDENIZAÇÃO")</f>
        <v>AA</v>
      </c>
      <c r="BJ444" s="98" t="str">
        <f>IF(AND(BD444&lt;&gt;"AGUARDANDO",BD444&lt;&gt;"",N444="AUXÍLIO ALUGUEL ATÉ INDENIZAÇÃO"),"SIM","NÃO")</f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 x14ac:dyDescent="0.25">
      <c r="A445" s="197">
        <v>441</v>
      </c>
      <c r="B445" s="197" t="s">
        <v>4396</v>
      </c>
      <c r="C445" s="207" t="s">
        <v>4426</v>
      </c>
      <c r="D445" s="207">
        <v>1</v>
      </c>
      <c r="E445" s="207" t="s">
        <v>4398</v>
      </c>
      <c r="F445" s="214" t="s">
        <v>6350</v>
      </c>
      <c r="G445" s="207" t="s">
        <v>4400</v>
      </c>
      <c r="H445" s="207" t="s">
        <v>4401</v>
      </c>
      <c r="I445" s="217" t="s">
        <v>4402</v>
      </c>
      <c r="J445" s="215" t="s">
        <v>6351</v>
      </c>
      <c r="K445" s="215" t="s">
        <v>6352</v>
      </c>
      <c r="L445" s="215" t="s">
        <v>6353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6351</v>
      </c>
      <c r="AB445" s="215" t="s">
        <v>6352</v>
      </c>
      <c r="AC445" s="215" t="s">
        <v>6353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>IF(AQ445="SIM","AGUARDANDO CORREÇÃO",IF(AP445&lt;&gt;"","FINALIZADO",IF(AO445&lt;&gt;"","AGUARDANDO ENVIO DTS",IF(AN445&lt;&gt;"","AGUARDANDO ASSINATURA GAB",IF(AM445&lt;&gt;"","AGUARDANDO ASSINATURA CTS",IF(AL445&lt;&gt;"","AGUARDANDO ENVIO ASSINATURA CTS",IF(AK445&lt;&gt;"","AGUARDANDO CONFERÊNCIA","")))))))</f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>IFERROR(IF(BD445-KI445=0,"",BD445-AK445),"")</f>
        <v/>
      </c>
      <c r="BI445" s="98" t="str">
        <f>IF(AND(AH445&lt;&gt;"SIM",AH445="UH"),"AA","INDENIZAÇÃO")</f>
        <v>AA</v>
      </c>
      <c r="BJ445" s="98" t="str">
        <f>IF(AND(BD445&lt;&gt;"AGUARDANDO",BD445&lt;&gt;"",N445="AUXÍLIO ALUGUEL ATÉ INDENIZAÇÃO"),"SIM","NÃO")</f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 x14ac:dyDescent="0.25">
      <c r="A446" s="207">
        <v>442</v>
      </c>
      <c r="B446" s="197" t="s">
        <v>4396</v>
      </c>
      <c r="C446" s="207" t="s">
        <v>4426</v>
      </c>
      <c r="D446" s="207">
        <v>1</v>
      </c>
      <c r="E446" s="207" t="s">
        <v>4398</v>
      </c>
      <c r="F446" s="214" t="s">
        <v>6354</v>
      </c>
      <c r="G446" s="207" t="s">
        <v>4400</v>
      </c>
      <c r="H446" s="207" t="s">
        <v>4401</v>
      </c>
      <c r="I446" s="217" t="s">
        <v>4402</v>
      </c>
      <c r="J446" s="215" t="s">
        <v>6355</v>
      </c>
      <c r="K446" s="215" t="s">
        <v>6356</v>
      </c>
      <c r="L446" s="215" t="s">
        <v>6357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6355</v>
      </c>
      <c r="AB446" s="215" t="s">
        <v>6356</v>
      </c>
      <c r="AC446" s="215" t="s">
        <v>6357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>IF(AQ446="SIM","AGUARDANDO CORREÇÃO",IF(AP446&lt;&gt;"","FINALIZADO",IF(AO446&lt;&gt;"","AGUARDANDO ENVIO DTS",IF(AN446&lt;&gt;"","AGUARDANDO ASSINATURA GAB",IF(AM446&lt;&gt;"","AGUARDANDO ASSINATURA CTS",IF(AL446&lt;&gt;"","AGUARDANDO ENVIO ASSINATURA CTS",IF(AK446&lt;&gt;"","AGUARDANDO CONFERÊNCIA","")))))))</f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>IFERROR(IF(BD446-KI446=0,"",BD446-AK446),"")</f>
        <v/>
      </c>
      <c r="BI446" s="98" t="str">
        <f>IF(AND(AH446&lt;&gt;"SIM",AH446="UH"),"AA","INDENIZAÇÃO")</f>
        <v>AA</v>
      </c>
      <c r="BJ446" s="98" t="str">
        <f>IF(AND(BD446&lt;&gt;"AGUARDANDO",BD446&lt;&gt;"",N446="AUXÍLIO ALUGUEL ATÉ INDENIZAÇÃO"),"SIM","NÃO")</f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customHeight="1" x14ac:dyDescent="0.25">
      <c r="A447" s="207">
        <v>443</v>
      </c>
      <c r="B447" s="197" t="s">
        <v>4396</v>
      </c>
      <c r="C447" s="207" t="s">
        <v>4426</v>
      </c>
      <c r="D447" s="207">
        <v>1</v>
      </c>
      <c r="E447" s="207" t="s">
        <v>4398</v>
      </c>
      <c r="F447" s="214" t="s">
        <v>6358</v>
      </c>
      <c r="G447" s="207" t="s">
        <v>4400</v>
      </c>
      <c r="H447" s="207" t="s">
        <v>4401</v>
      </c>
      <c r="I447" s="217" t="s">
        <v>4402</v>
      </c>
      <c r="J447" s="242" t="s">
        <v>6359</v>
      </c>
      <c r="K447" s="215" t="s">
        <v>6360</v>
      </c>
      <c r="L447" s="215" t="s">
        <v>6361</v>
      </c>
      <c r="M447" s="207" t="s">
        <v>4405</v>
      </c>
      <c r="N447" s="207" t="s">
        <v>4441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6359</v>
      </c>
      <c r="AB447" s="200" t="s">
        <v>6360</v>
      </c>
      <c r="AC447" s="200" t="s">
        <v>6361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4432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>IF(AQ447="SIM","AGUARDANDO CORREÇÃO",IF(AP447&lt;&gt;"","FINALIZADO",IF(AO447&lt;&gt;"","AGUARDANDO ENVIO DTS",IF(AN447&lt;&gt;"","AGUARDANDO ASSINATURA GAB",IF(AM447&lt;&gt;"","AGUARDANDO ASSINATURA CTS",IF(AL447&lt;&gt;"","AGUARDANDO ENVIO ASSINATURA CTS",IF(AK447&lt;&gt;"","AGUARDANDO CONFERÊNCIA","")))))))</f>
        <v>FINALIZADO</v>
      </c>
      <c r="AS447" s="207" t="s">
        <v>4423</v>
      </c>
      <c r="AT447" s="207"/>
      <c r="AU447" s="220" t="s">
        <v>6362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4434</v>
      </c>
      <c r="BF447" s="228" t="s">
        <v>4435</v>
      </c>
      <c r="BG447" s="229" t="s">
        <v>4425</v>
      </c>
      <c r="BH447" s="321">
        <f>IFERROR(IF(BD447-KI447=0,"",BD447-AK447),"")</f>
        <v>62</v>
      </c>
      <c r="BI447" s="98" t="str">
        <f>IF(AND(AH447&lt;&gt;"SIM",AH447="UH"),"AA","INDENIZAÇÃO")</f>
        <v>INDENIZAÇÃO</v>
      </c>
      <c r="BJ447" s="98" t="str">
        <f>IF(AND(BD447&lt;&gt;"AGUARDANDO",BD447&lt;&gt;"",N447="AUXÍLIO ALUGUEL ATÉ INDENIZAÇÃO"),"SIM","NÃO")</f>
        <v>NÃO</v>
      </c>
      <c r="BK447" s="230" t="s">
        <v>4436</v>
      </c>
      <c r="BL447" s="230" t="s">
        <v>4436</v>
      </c>
      <c r="BM447" s="230" t="s">
        <v>4436</v>
      </c>
      <c r="BN447" s="265" t="s">
        <v>4956</v>
      </c>
      <c r="BO447" s="265"/>
      <c r="BP447" s="265"/>
      <c r="BQ447" s="265"/>
      <c r="BR447" s="231"/>
    </row>
    <row r="448" spans="1:71" s="240" customFormat="1" ht="27" customHeight="1" x14ac:dyDescent="0.25">
      <c r="A448" s="207">
        <v>444</v>
      </c>
      <c r="B448" s="197" t="s">
        <v>4396</v>
      </c>
      <c r="C448" s="207" t="s">
        <v>4426</v>
      </c>
      <c r="D448" s="207">
        <v>1</v>
      </c>
      <c r="E448" s="207" t="s">
        <v>4398</v>
      </c>
      <c r="F448" s="214" t="s">
        <v>6363</v>
      </c>
      <c r="G448" s="207" t="s">
        <v>4400</v>
      </c>
      <c r="H448" s="207" t="s">
        <v>4401</v>
      </c>
      <c r="I448" s="217" t="s">
        <v>4402</v>
      </c>
      <c r="J448" s="242" t="s">
        <v>6364</v>
      </c>
      <c r="K448" s="215" t="s">
        <v>6365</v>
      </c>
      <c r="L448" s="215" t="s">
        <v>6366</v>
      </c>
      <c r="M448" s="207" t="s">
        <v>4405</v>
      </c>
      <c r="N448" s="207" t="s">
        <v>4441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6364</v>
      </c>
      <c r="AB448" s="215" t="s">
        <v>6365</v>
      </c>
      <c r="AC448" s="215" t="s">
        <v>6366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4432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>IF(AQ448="SIM","AGUARDANDO CORREÇÃO",IF(AP448&lt;&gt;"","FINALIZADO",IF(AO448&lt;&gt;"","AGUARDANDO ENVIO DTS",IF(AN448&lt;&gt;"","AGUARDANDO ASSINATURA GAB",IF(AM448&lt;&gt;"","AGUARDANDO ASSINATURA CTS",IF(AL448&lt;&gt;"","AGUARDANDO ENVIO ASSINATURA CTS",IF(AK448&lt;&gt;"","AGUARDANDO CONFERÊNCIA","")))))))</f>
        <v>FINALIZADO</v>
      </c>
      <c r="AS448" s="207" t="s">
        <v>4423</v>
      </c>
      <c r="AT448" s="207"/>
      <c r="AU448" s="220" t="s">
        <v>6367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4434</v>
      </c>
      <c r="BF448" s="228" t="s">
        <v>4435</v>
      </c>
      <c r="BG448" s="229" t="s">
        <v>4425</v>
      </c>
      <c r="BH448" s="321">
        <f>IFERROR(IF(BD448-KI448=0,"",BD448-AK448),"")</f>
        <v>77</v>
      </c>
      <c r="BI448" s="98" t="str">
        <f>IF(AND(AH448&lt;&gt;"SIM",AH448="UH"),"AA","INDENIZAÇÃO")</f>
        <v>INDENIZAÇÃO</v>
      </c>
      <c r="BJ448" s="98" t="str">
        <f>IF(AND(BD448&lt;&gt;"AGUARDANDO",BD448&lt;&gt;"",N448="AUXÍLIO ALUGUEL ATÉ INDENIZAÇÃO"),"SIM","NÃO")</f>
        <v>NÃO</v>
      </c>
      <c r="BK448" s="230" t="s">
        <v>4436</v>
      </c>
      <c r="BL448" s="230" t="s">
        <v>4436</v>
      </c>
      <c r="BM448" s="230" t="s">
        <v>4436</v>
      </c>
      <c r="BN448" s="265" t="s">
        <v>4956</v>
      </c>
      <c r="BO448" s="265"/>
      <c r="BP448" s="265"/>
      <c r="BQ448" s="265"/>
      <c r="BR448" s="231"/>
    </row>
    <row r="449" spans="1:112" s="240" customFormat="1" ht="27" hidden="1" customHeight="1" x14ac:dyDescent="0.25">
      <c r="A449" s="197">
        <v>445</v>
      </c>
      <c r="B449" s="197" t="s">
        <v>4396</v>
      </c>
      <c r="C449" s="207" t="s">
        <v>4426</v>
      </c>
      <c r="D449" s="207">
        <v>1</v>
      </c>
      <c r="E449" s="207" t="s">
        <v>4398</v>
      </c>
      <c r="F449" s="214" t="s">
        <v>6368</v>
      </c>
      <c r="G449" s="207" t="s">
        <v>4400</v>
      </c>
      <c r="H449" s="207" t="s">
        <v>4401</v>
      </c>
      <c r="I449" s="217" t="s">
        <v>4402</v>
      </c>
      <c r="J449" s="242" t="s">
        <v>6369</v>
      </c>
      <c r="K449" s="215" t="s">
        <v>6370</v>
      </c>
      <c r="L449" s="215" t="s">
        <v>6371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6369</v>
      </c>
      <c r="AB449" s="215" t="s">
        <v>6370</v>
      </c>
      <c r="AC449" s="215" t="s">
        <v>6371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>IF(AQ449="SIM","AGUARDANDO CORREÇÃO",IF(AP449&lt;&gt;"","FINALIZADO",IF(AO449&lt;&gt;"","AGUARDANDO ENVIO DTS",IF(AN449&lt;&gt;"","AGUARDANDO ASSINATURA GAB",IF(AM449&lt;&gt;"","AGUARDANDO ASSINATURA CTS",IF(AL449&lt;&gt;"","AGUARDANDO ENVIO ASSINATURA CTS",IF(AK449&lt;&gt;"","AGUARDANDO CONFERÊNCIA","")))))))</f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>IFERROR(IF(BD449-KI449=0,"",BD449-AK449),"")</f>
        <v/>
      </c>
      <c r="BI449" s="98" t="str">
        <f>IF(AND(AH449&lt;&gt;"SIM",AH449="UH"),"AA","INDENIZAÇÃO")</f>
        <v>AA</v>
      </c>
      <c r="BJ449" s="98" t="str">
        <f>IF(AND(BD449&lt;&gt;"AGUARDANDO",BD449&lt;&gt;"",N449="AUXÍLIO ALUGUEL ATÉ INDENIZAÇÃO"),"SIM","NÃO")</f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hidden="1" customHeight="1" x14ac:dyDescent="0.25">
      <c r="A450" s="197">
        <v>446</v>
      </c>
      <c r="B450" s="197" t="s">
        <v>4396</v>
      </c>
      <c r="C450" s="207" t="s">
        <v>4426</v>
      </c>
      <c r="D450" s="207">
        <v>1</v>
      </c>
      <c r="E450" s="207" t="s">
        <v>4398</v>
      </c>
      <c r="F450" s="214" t="s">
        <v>6372</v>
      </c>
      <c r="G450" s="207" t="s">
        <v>4400</v>
      </c>
      <c r="H450" s="207" t="s">
        <v>4401</v>
      </c>
      <c r="I450" s="217" t="s">
        <v>4402</v>
      </c>
      <c r="J450" s="215" t="s">
        <v>6373</v>
      </c>
      <c r="K450" s="215" t="s">
        <v>6374</v>
      </c>
      <c r="L450" s="215" t="s">
        <v>6375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6373</v>
      </c>
      <c r="AB450" s="215" t="s">
        <v>6374</v>
      </c>
      <c r="AC450" s="215" t="s">
        <v>6375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>IF(AQ450="SIM","AGUARDANDO CORREÇÃO",IF(AP450&lt;&gt;"","FINALIZADO",IF(AO450&lt;&gt;"","AGUARDANDO ENVIO DTS",IF(AN450&lt;&gt;"","AGUARDANDO ASSINATURA GAB",IF(AM450&lt;&gt;"","AGUARDANDO ASSINATURA CTS",IF(AL450&lt;&gt;"","AGUARDANDO ENVIO ASSINATURA CTS",IF(AK450&lt;&gt;"","AGUARDANDO CONFERÊNCIA","")))))))</f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>IFERROR(IF(BD450-KI450=0,"",BD450-AK450),"")</f>
        <v/>
      </c>
      <c r="BI450" s="98" t="str">
        <f>IF(AND(AH450&lt;&gt;"SIM",AH450="UH"),"AA","INDENIZAÇÃO")</f>
        <v>AA</v>
      </c>
      <c r="BJ450" s="98" t="str">
        <f>IF(AND(BD450&lt;&gt;"AGUARDANDO",BD450&lt;&gt;"",N450="AUXÍLIO ALUGUEL ATÉ INDENIZAÇÃO"),"SIM","NÃO")</f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 x14ac:dyDescent="0.25">
      <c r="A451" s="207">
        <v>447</v>
      </c>
      <c r="B451" s="197" t="s">
        <v>4396</v>
      </c>
      <c r="C451" s="207" t="s">
        <v>4426</v>
      </c>
      <c r="D451" s="207">
        <v>1</v>
      </c>
      <c r="E451" s="207" t="s">
        <v>4398</v>
      </c>
      <c r="F451" s="214" t="s">
        <v>6376</v>
      </c>
      <c r="G451" s="207" t="s">
        <v>4400</v>
      </c>
      <c r="H451" s="207" t="s">
        <v>4401</v>
      </c>
      <c r="I451" s="217" t="s">
        <v>4402</v>
      </c>
      <c r="J451" s="215" t="s">
        <v>6377</v>
      </c>
      <c r="K451" s="215" t="s">
        <v>6378</v>
      </c>
      <c r="L451" s="215" t="s">
        <v>6379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6377</v>
      </c>
      <c r="AB451" s="215" t="s">
        <v>6378</v>
      </c>
      <c r="AC451" s="215" t="s">
        <v>6379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>IF(AQ451="SIM","AGUARDANDO CORREÇÃO",IF(AP451&lt;&gt;"","FINALIZADO",IF(AO451&lt;&gt;"","AGUARDANDO ENVIO DTS",IF(AN451&lt;&gt;"","AGUARDANDO ASSINATURA GAB",IF(AM451&lt;&gt;"","AGUARDANDO ASSINATURA CTS",IF(AL451&lt;&gt;"","AGUARDANDO ENVIO ASSINATURA CTS",IF(AK451&lt;&gt;"","AGUARDANDO CONFERÊNCIA","")))))))</f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>IFERROR(IF(BD451-KI451=0,"",BD451-AK451),"")</f>
        <v/>
      </c>
      <c r="BI451" s="98" t="str">
        <f>IF(AND(AH451&lt;&gt;"SIM",AH451="UH"),"AA","INDENIZAÇÃO")</f>
        <v>AA</v>
      </c>
      <c r="BJ451" s="98" t="str">
        <f>IF(AND(BD451&lt;&gt;"AGUARDANDO",BD451&lt;&gt;"",N451="AUXÍLIO ALUGUEL ATÉ INDENIZAÇÃO"),"SIM","NÃO")</f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 x14ac:dyDescent="0.25">
      <c r="A452" s="207">
        <v>448</v>
      </c>
      <c r="B452" s="197" t="s">
        <v>4396</v>
      </c>
      <c r="C452" s="207" t="s">
        <v>4426</v>
      </c>
      <c r="D452" s="207">
        <v>1</v>
      </c>
      <c r="E452" s="207" t="s">
        <v>4398</v>
      </c>
      <c r="F452" s="214" t="s">
        <v>6380</v>
      </c>
      <c r="G452" s="207" t="s">
        <v>4400</v>
      </c>
      <c r="H452" s="207" t="s">
        <v>4401</v>
      </c>
      <c r="I452" s="217" t="s">
        <v>4402</v>
      </c>
      <c r="J452" s="215" t="s">
        <v>6381</v>
      </c>
      <c r="K452" s="215" t="s">
        <v>6382</v>
      </c>
      <c r="L452" s="215" t="s">
        <v>6383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6381</v>
      </c>
      <c r="AB452" s="215" t="s">
        <v>6382</v>
      </c>
      <c r="AC452" s="215" t="s">
        <v>6383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>IF(AQ452="SIM","AGUARDANDO CORREÇÃO",IF(AP452&lt;&gt;"","FINALIZADO",IF(AO452&lt;&gt;"","AGUARDANDO ENVIO DTS",IF(AN452&lt;&gt;"","AGUARDANDO ASSINATURA GAB",IF(AM452&lt;&gt;"","AGUARDANDO ASSINATURA CTS",IF(AL452&lt;&gt;"","AGUARDANDO ENVIO ASSINATURA CTS",IF(AK452&lt;&gt;"","AGUARDANDO CONFERÊNCIA","")))))))</f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>IFERROR(IF(BD452-KI452=0,"",BD452-AK452),"")</f>
        <v/>
      </c>
      <c r="BI452" s="98" t="str">
        <f>IF(AND(AH452&lt;&gt;"SIM",AH452="UH"),"AA","INDENIZAÇÃO")</f>
        <v>AA</v>
      </c>
      <c r="BJ452" s="98" t="str">
        <f>IF(AND(BD452&lt;&gt;"AGUARDANDO",BD452&lt;&gt;"",N452="AUXÍLIO ALUGUEL ATÉ INDENIZAÇÃO"),"SIM","NÃO")</f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 x14ac:dyDescent="0.25">
      <c r="A453" s="207">
        <v>449</v>
      </c>
      <c r="B453" s="197" t="s">
        <v>4396</v>
      </c>
      <c r="C453" s="207" t="s">
        <v>4426</v>
      </c>
      <c r="D453" s="207">
        <v>1</v>
      </c>
      <c r="E453" s="207" t="s">
        <v>4398</v>
      </c>
      <c r="F453" s="214" t="s">
        <v>6384</v>
      </c>
      <c r="G453" s="207" t="s">
        <v>4400</v>
      </c>
      <c r="H453" s="207" t="s">
        <v>4401</v>
      </c>
      <c r="I453" s="217" t="s">
        <v>4402</v>
      </c>
      <c r="J453" s="215" t="s">
        <v>6385</v>
      </c>
      <c r="K453" s="215" t="s">
        <v>6386</v>
      </c>
      <c r="L453" s="215" t="s">
        <v>6387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6385</v>
      </c>
      <c r="AB453" s="215" t="s">
        <v>6386</v>
      </c>
      <c r="AC453" s="215" t="s">
        <v>6387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>IF(AQ453="SIM","AGUARDANDO CORREÇÃO",IF(AP453&lt;&gt;"","FINALIZADO",IF(AO453&lt;&gt;"","AGUARDANDO ENVIO DTS",IF(AN453&lt;&gt;"","AGUARDANDO ASSINATURA GAB",IF(AM453&lt;&gt;"","AGUARDANDO ASSINATURA CTS",IF(AL453&lt;&gt;"","AGUARDANDO ENVIO ASSINATURA CTS",IF(AK453&lt;&gt;"","AGUARDANDO CONFERÊNCIA","")))))))</f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>IFERROR(IF(BD453-KI453=0,"",BD453-AK453),"")</f>
        <v/>
      </c>
      <c r="BI453" s="98" t="str">
        <f>IF(AND(AH453&lt;&gt;"SIM",AH453="UH"),"AA","INDENIZAÇÃO")</f>
        <v>AA</v>
      </c>
      <c r="BJ453" s="98" t="str">
        <f>IF(AND(BD453&lt;&gt;"AGUARDANDO",BD453&lt;&gt;"",N453="AUXÍLIO ALUGUEL ATÉ INDENIZAÇÃO"),"SIM","NÃO")</f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customHeight="1" x14ac:dyDescent="0.25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6384</v>
      </c>
      <c r="G454" s="219" t="s">
        <v>4400</v>
      </c>
      <c r="H454" s="219" t="s">
        <v>4401</v>
      </c>
      <c r="I454" s="219" t="s">
        <v>4402</v>
      </c>
      <c r="J454" s="255" t="s">
        <v>6388</v>
      </c>
      <c r="K454" s="255" t="s">
        <v>6389</v>
      </c>
      <c r="L454" s="255" t="s">
        <v>6390</v>
      </c>
      <c r="M454" s="219" t="s">
        <v>4405</v>
      </c>
      <c r="N454" s="219" t="s">
        <v>4431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6388</v>
      </c>
      <c r="AB454" s="255" t="s">
        <v>6389</v>
      </c>
      <c r="AC454" s="255" t="s">
        <v>6390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6391</v>
      </c>
      <c r="AV454" s="262" t="s">
        <v>4425</v>
      </c>
      <c r="AW454" s="219" t="s">
        <v>4425</v>
      </c>
      <c r="AX454" s="207" t="s">
        <v>4817</v>
      </c>
      <c r="AY454" s="207" t="s">
        <v>4817</v>
      </c>
      <c r="AZ454" s="202">
        <v>46233</v>
      </c>
      <c r="BA454" s="207" t="s">
        <v>4817</v>
      </c>
      <c r="BB454" s="207" t="s">
        <v>4817</v>
      </c>
      <c r="BC454" s="202">
        <v>46234</v>
      </c>
      <c r="BD454" s="226">
        <v>46234</v>
      </c>
      <c r="BE454" s="257" t="s">
        <v>4434</v>
      </c>
      <c r="BF454" s="257" t="s">
        <v>4435</v>
      </c>
      <c r="BG454" s="219" t="s">
        <v>4425</v>
      </c>
      <c r="BH454" s="321">
        <f>IFERROR(IF(BD454-KI454=0,"",BD454-AK454),"")</f>
        <v>107</v>
      </c>
      <c r="BI454" s="98" t="str">
        <f>IF(AND(AH454&lt;&gt;"SIM",AH454="UH"),"AA","INDENIZAÇÃO")</f>
        <v>INDENIZAÇÃO</v>
      </c>
      <c r="BJ454" s="98" t="str">
        <f>IF(AND(BD454&lt;&gt;"AGUARDANDO",BD454&lt;&gt;"",N454="AUXÍLIO ALUGUEL ATÉ INDENIZAÇÃO"),"SIM","NÃO")</f>
        <v>NÃO</v>
      </c>
      <c r="BK454" s="219" t="s">
        <v>4436</v>
      </c>
      <c r="BL454" s="219" t="s">
        <v>4436</v>
      </c>
      <c r="BM454" s="219" t="s">
        <v>4436</v>
      </c>
      <c r="BN454" s="257" t="s">
        <v>4956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hidden="1" customHeight="1" x14ac:dyDescent="0.25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6392</v>
      </c>
      <c r="G455" s="207" t="s">
        <v>4400</v>
      </c>
      <c r="H455" s="207" t="s">
        <v>4401</v>
      </c>
      <c r="I455" s="207" t="s">
        <v>4402</v>
      </c>
      <c r="J455" s="215" t="s">
        <v>6393</v>
      </c>
      <c r="K455" s="215" t="s">
        <v>6394</v>
      </c>
      <c r="L455" s="215" t="s">
        <v>6395</v>
      </c>
      <c r="M455" s="207" t="s">
        <v>4405</v>
      </c>
      <c r="N455" s="207" t="s">
        <v>4441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6393</v>
      </c>
      <c r="AB455" s="200" t="s">
        <v>6394</v>
      </c>
      <c r="AC455" s="200" t="s">
        <v>6395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4432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>IF(AQ455="SIM","AGUARDANDO CORREÇÃO",IF(AP455&lt;&gt;"","FINALIZADO",IF(AO455&lt;&gt;"","AGUARDANDO ENVIO DTS",IF(AN455&lt;&gt;"","AGUARDANDO ASSINATURA GAB",IF(AM455&lt;&gt;"","AGUARDANDO ASSINATURA CTS",IF(AL455&lt;&gt;"","AGUARDANDO ENVIO ASSINATURA CTS",IF(AK455&lt;&gt;"","AGUARDANDO CONFERÊNCIA","")))))))</f>
        <v>AGUARDANDO ASSINATURA GAB</v>
      </c>
      <c r="AS455" s="207" t="s">
        <v>4446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>IFERROR(IF(BD455-KI455=0,"",BD455-AK455),"")</f>
        <v/>
      </c>
      <c r="BI455" s="98" t="str">
        <f>IF(AND(AH455&lt;&gt;"SIM",AH455="UH"),"AA","INDENIZAÇÃO")</f>
        <v>INDENIZAÇÃO</v>
      </c>
      <c r="BJ455" s="98" t="str">
        <f>IF(AND(BD455&lt;&gt;"AGUARDANDO",BD455&lt;&gt;"",N455="AUXÍLIO ALUGUEL ATÉ INDENIZAÇÃO"),"SIM","NÃO")</f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hidden="1" customHeight="1" x14ac:dyDescent="0.25">
      <c r="A456" s="207">
        <v>452</v>
      </c>
      <c r="B456" s="197" t="s">
        <v>4396</v>
      </c>
      <c r="C456" s="207" t="s">
        <v>4426</v>
      </c>
      <c r="D456" s="207">
        <v>1</v>
      </c>
      <c r="E456" s="207" t="s">
        <v>4398</v>
      </c>
      <c r="F456" s="214" t="s">
        <v>6392</v>
      </c>
      <c r="G456" s="207" t="s">
        <v>4400</v>
      </c>
      <c r="H456" s="207" t="s">
        <v>4401</v>
      </c>
      <c r="I456" s="217" t="s">
        <v>4402</v>
      </c>
      <c r="J456" s="215" t="s">
        <v>6396</v>
      </c>
      <c r="K456" s="215" t="s">
        <v>6397</v>
      </c>
      <c r="L456" s="215" t="s">
        <v>6398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6396</v>
      </c>
      <c r="AB456" s="215" t="s">
        <v>6397</v>
      </c>
      <c r="AC456" s="215" t="s">
        <v>6398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>IF(AQ456="SIM","AGUARDANDO CORREÇÃO",IF(AP456&lt;&gt;"","FINALIZADO",IF(AO456&lt;&gt;"","AGUARDANDO ENVIO DTS",IF(AN456&lt;&gt;"","AGUARDANDO ASSINATURA GAB",IF(AM456&lt;&gt;"","AGUARDANDO ASSINATURA CTS",IF(AL456&lt;&gt;"","AGUARDANDO ENVIO ASSINATURA CTS",IF(AK456&lt;&gt;"","AGUARDANDO CONFERÊNCIA","")))))))</f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>IFERROR(IF(BD456-KI456=0,"",BD456-AK456),"")</f>
        <v/>
      </c>
      <c r="BI456" s="98" t="str">
        <f>IF(AND(AH456&lt;&gt;"SIM",AH456="UH"),"AA","INDENIZAÇÃO")</f>
        <v>AA</v>
      </c>
      <c r="BJ456" s="98" t="str">
        <f>IF(AND(BD456&lt;&gt;"AGUARDANDO",BD456&lt;&gt;"",N456="AUXÍLIO ALUGUEL ATÉ INDENIZAÇÃO"),"SIM","NÃO")</f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hidden="1" customHeight="1" x14ac:dyDescent="0.25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6399</v>
      </c>
      <c r="G457" s="207" t="s">
        <v>4400</v>
      </c>
      <c r="H457" s="207" t="s">
        <v>4401</v>
      </c>
      <c r="I457" s="207" t="s">
        <v>4402</v>
      </c>
      <c r="J457" s="215" t="s">
        <v>4562</v>
      </c>
      <c r="K457" s="215" t="s">
        <v>4563</v>
      </c>
      <c r="L457" s="215" t="s">
        <v>4564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4562</v>
      </c>
      <c r="AB457" s="215" t="s">
        <v>4563</v>
      </c>
      <c r="AC457" s="215" t="s">
        <v>4564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>IF(AQ457="SIM","AGUARDANDO CORREÇÃO",IF(AP457&lt;&gt;"","FINALIZADO",IF(AO457&lt;&gt;"","AGUARDANDO ENVIO DTS",IF(AN457&lt;&gt;"","AGUARDANDO ASSINATURA GAB",IF(AM457&lt;&gt;"","AGUARDANDO ASSINATURA CTS",IF(AL457&lt;&gt;"","AGUARDANDO ENVIO ASSINATURA CTS",IF(AK457&lt;&gt;"","AGUARDANDO CONFERÊNCIA","")))))))</f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>IFERROR(IF(BD457-KI457=0,"",BD457-AK457),"")</f>
        <v/>
      </c>
      <c r="BI457" s="98" t="str">
        <f>IF(AND(AH457&lt;&gt;"SIM",AH457="UH"),"AA","INDENIZAÇÃO")</f>
        <v>AA</v>
      </c>
      <c r="BJ457" s="98" t="str">
        <f>IF(AND(BD457&lt;&gt;"AGUARDANDO",BD457&lt;&gt;"",N457="AUXÍLIO ALUGUEL ATÉ INDENIZAÇÃO"),"SIM","NÃO")</f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customHeight="1" x14ac:dyDescent="0.25">
      <c r="A458" s="207">
        <v>454</v>
      </c>
      <c r="B458" s="197" t="s">
        <v>4396</v>
      </c>
      <c r="C458" s="207" t="s">
        <v>4426</v>
      </c>
      <c r="D458" s="207">
        <v>1</v>
      </c>
      <c r="E458" s="207" t="s">
        <v>4398</v>
      </c>
      <c r="F458" s="214" t="s">
        <v>6399</v>
      </c>
      <c r="G458" s="207" t="s">
        <v>4400</v>
      </c>
      <c r="H458" s="207" t="s">
        <v>4401</v>
      </c>
      <c r="I458" s="217" t="s">
        <v>4402</v>
      </c>
      <c r="J458" s="215" t="s">
        <v>6400</v>
      </c>
      <c r="K458" s="215" t="s">
        <v>6401</v>
      </c>
      <c r="L458" s="215" t="s">
        <v>6402</v>
      </c>
      <c r="M458" s="207" t="s">
        <v>4405</v>
      </c>
      <c r="N458" s="207" t="s">
        <v>4441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6400</v>
      </c>
      <c r="AB458" s="200" t="s">
        <v>6401</v>
      </c>
      <c r="AC458" s="200" t="s">
        <v>6402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4432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>IF(AQ458="SIM","AGUARDANDO CORREÇÃO",IF(AP458&lt;&gt;"","FINALIZADO",IF(AO458&lt;&gt;"","AGUARDANDO ENVIO DTS",IF(AN458&lt;&gt;"","AGUARDANDO ASSINATURA GAB",IF(AM458&lt;&gt;"","AGUARDANDO ASSINATURA CTS",IF(AL458&lt;&gt;"","AGUARDANDO ENVIO ASSINATURA CTS",IF(AK458&lt;&gt;"","AGUARDANDO CONFERÊNCIA","")))))))</f>
        <v>FINALIZADO</v>
      </c>
      <c r="AS458" s="207" t="s">
        <v>4423</v>
      </c>
      <c r="AT458" s="207"/>
      <c r="AU458" s="220" t="s">
        <v>6403</v>
      </c>
      <c r="AV458" s="250" t="s">
        <v>4425</v>
      </c>
      <c r="AW458" s="207" t="s">
        <v>4425</v>
      </c>
      <c r="AX458" s="207" t="s">
        <v>4817</v>
      </c>
      <c r="AY458" s="207" t="s">
        <v>4817</v>
      </c>
      <c r="AZ458" s="202">
        <v>46233</v>
      </c>
      <c r="BA458" s="207" t="s">
        <v>4817</v>
      </c>
      <c r="BB458" s="207" t="s">
        <v>4817</v>
      </c>
      <c r="BC458" s="202">
        <v>46234</v>
      </c>
      <c r="BD458" s="226">
        <v>46234</v>
      </c>
      <c r="BE458" s="257" t="s">
        <v>4434</v>
      </c>
      <c r="BF458" s="257" t="s">
        <v>4435</v>
      </c>
      <c r="BG458" s="219" t="s">
        <v>4425</v>
      </c>
      <c r="BH458" s="321">
        <f>IFERROR(IF(BD458-KI458=0,"",BD458-AK458),"")</f>
        <v>87</v>
      </c>
      <c r="BI458" s="98" t="str">
        <f>IF(AND(AH458&lt;&gt;"SIM",AH458="UH"),"AA","INDENIZAÇÃO")</f>
        <v>INDENIZAÇÃO</v>
      </c>
      <c r="BJ458" s="98" t="str">
        <f>IF(AND(BD458&lt;&gt;"AGUARDANDO",BD458&lt;&gt;"",N458="AUXÍLIO ALUGUEL ATÉ INDENIZAÇÃO"),"SIM","NÃO")</f>
        <v>NÃO</v>
      </c>
      <c r="BK458" s="219" t="s">
        <v>4436</v>
      </c>
      <c r="BL458" s="219" t="s">
        <v>4436</v>
      </c>
      <c r="BM458" s="219" t="s">
        <v>4436</v>
      </c>
      <c r="BN458" s="257" t="s">
        <v>4956</v>
      </c>
      <c r="BO458" s="257"/>
      <c r="BP458" s="257"/>
      <c r="BQ458" s="257"/>
      <c r="BR458" s="258"/>
      <c r="BS458" s="223"/>
      <c r="BT458" s="161"/>
    </row>
    <row r="459" spans="1:112" s="240" customFormat="1" ht="27" hidden="1" customHeight="1" x14ac:dyDescent="0.25">
      <c r="A459" s="197">
        <v>455</v>
      </c>
      <c r="B459" s="197" t="s">
        <v>4396</v>
      </c>
      <c r="C459" s="207" t="s">
        <v>4426</v>
      </c>
      <c r="D459" s="207">
        <v>1</v>
      </c>
      <c r="E459" s="207" t="s">
        <v>4398</v>
      </c>
      <c r="F459" s="214" t="s">
        <v>6404</v>
      </c>
      <c r="G459" s="207" t="s">
        <v>4400</v>
      </c>
      <c r="H459" s="207" t="s">
        <v>4401</v>
      </c>
      <c r="I459" s="217" t="s">
        <v>4402</v>
      </c>
      <c r="J459" s="215" t="s">
        <v>6405</v>
      </c>
      <c r="K459" s="215" t="s">
        <v>6406</v>
      </c>
      <c r="L459" s="215" t="s">
        <v>6407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>IF(AQ459="SIM","AGUARDANDO CORREÇÃO",IF(AP459&lt;&gt;"","FINALIZADO",IF(AO459&lt;&gt;"","AGUARDANDO ENVIO DTS",IF(AN459&lt;&gt;"","AGUARDANDO ASSINATURA GAB",IF(AM459&lt;&gt;"","AGUARDANDO ASSINATURA CTS",IF(AL459&lt;&gt;"","AGUARDANDO ENVIO ASSINATURA CTS",IF(AK459&lt;&gt;"","AGUARDANDO CONFERÊNCIA","")))))))</f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>IFERROR(IF(BD459-KI459=0,"",BD459-AK459),"")</f>
        <v/>
      </c>
      <c r="BI459" s="98" t="str">
        <f>IF(AND(AH459&lt;&gt;"SIM",AH459="UH"),"AA","INDENIZAÇÃO")</f>
        <v>INDENIZAÇÃO</v>
      </c>
      <c r="BJ459" s="98" t="str">
        <f>IF(AND(BD459&lt;&gt;"AGUARDANDO",BD459&lt;&gt;"",N459="AUXÍLIO ALUGUEL ATÉ INDENIZAÇÃO"),"SIM","NÃO")</f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hidden="1" customHeight="1" x14ac:dyDescent="0.25">
      <c r="A460" s="197">
        <v>456</v>
      </c>
      <c r="B460" s="197" t="s">
        <v>4396</v>
      </c>
      <c r="C460" s="207" t="s">
        <v>4426</v>
      </c>
      <c r="D460" s="207">
        <v>1</v>
      </c>
      <c r="E460" s="207" t="s">
        <v>4398</v>
      </c>
      <c r="F460" s="214" t="s">
        <v>6408</v>
      </c>
      <c r="G460" s="207" t="s">
        <v>4400</v>
      </c>
      <c r="H460" s="207" t="s">
        <v>4401</v>
      </c>
      <c r="I460" s="217" t="s">
        <v>4402</v>
      </c>
      <c r="J460" s="215" t="s">
        <v>6409</v>
      </c>
      <c r="K460" s="215" t="s">
        <v>6410</v>
      </c>
      <c r="L460" s="215" t="s">
        <v>6411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6409</v>
      </c>
      <c r="AB460" s="215" t="s">
        <v>6410</v>
      </c>
      <c r="AC460" s="215" t="s">
        <v>6411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>IF(AQ460="SIM","AGUARDANDO CORREÇÃO",IF(AP460&lt;&gt;"","FINALIZADO",IF(AO460&lt;&gt;"","AGUARDANDO ENVIO DTS",IF(AN460&lt;&gt;"","AGUARDANDO ASSINATURA GAB",IF(AM460&lt;&gt;"","AGUARDANDO ASSINATURA CTS",IF(AL460&lt;&gt;"","AGUARDANDO ENVIO ASSINATURA CTS",IF(AK460&lt;&gt;"","AGUARDANDO CONFERÊNCIA","")))))))</f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>IFERROR(IF(BD460-KI460=0,"",BD460-AK460),"")</f>
        <v/>
      </c>
      <c r="BI460" s="98" t="str">
        <f>IF(AND(AH460&lt;&gt;"SIM",AH460="UH"),"AA","INDENIZAÇÃO")</f>
        <v>AA</v>
      </c>
      <c r="BJ460" s="98" t="str">
        <f>IF(AND(BD460&lt;&gt;"AGUARDANDO",BD460&lt;&gt;"",N460="AUXÍLIO ALUGUEL ATÉ INDENIZAÇÃO"),"SIM","NÃO")</f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hidden="1" customHeight="1" x14ac:dyDescent="0.25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6408</v>
      </c>
      <c r="G461" s="207" t="s">
        <v>4400</v>
      </c>
      <c r="H461" s="207" t="s">
        <v>4401</v>
      </c>
      <c r="I461" s="207" t="s">
        <v>4402</v>
      </c>
      <c r="J461" s="215" t="s">
        <v>6412</v>
      </c>
      <c r="K461" s="215" t="s">
        <v>4905</v>
      </c>
      <c r="L461" s="215" t="s">
        <v>6413</v>
      </c>
      <c r="M461" s="207" t="s">
        <v>4405</v>
      </c>
      <c r="N461" s="207" t="s">
        <v>4441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6412</v>
      </c>
      <c r="AB461" s="215" t="s">
        <v>4905</v>
      </c>
      <c r="AC461" s="215" t="s">
        <v>6413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4432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>IF(AQ461="SIM","AGUARDANDO CORREÇÃO",IF(AP461&lt;&gt;"","FINALIZADO",IF(AO461&lt;&gt;"","AGUARDANDO ENVIO DTS",IF(AN461&lt;&gt;"","AGUARDANDO ASSINATURA GAB",IF(AM461&lt;&gt;"","AGUARDANDO ASSINATURA CTS",IF(AL461&lt;&gt;"","AGUARDANDO ENVIO ASSINATURA CTS",IF(AK461&lt;&gt;"","AGUARDANDO CONFERÊNCIA","")))))))</f>
        <v>AGUARDANDO ASSINATURA GAB</v>
      </c>
      <c r="AS461" s="207" t="s">
        <v>4446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>IFERROR(IF(BD461-KI461=0,"",BD461-AK461),"")</f>
        <v/>
      </c>
      <c r="BI461" s="98" t="str">
        <f>IF(AND(AH461&lt;&gt;"SIM",AH461="UH"),"AA","INDENIZAÇÃO")</f>
        <v>INDENIZAÇÃO</v>
      </c>
      <c r="BJ461" s="98" t="str">
        <f>IF(AND(BD461&lt;&gt;"AGUARDANDO",BD461&lt;&gt;"",N461="AUXÍLIO ALUGUEL ATÉ INDENIZAÇÃO"),"SIM","NÃO")</f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hidden="1" customHeight="1" x14ac:dyDescent="0.25">
      <c r="A462" s="207">
        <v>458</v>
      </c>
      <c r="B462" s="197" t="s">
        <v>4396</v>
      </c>
      <c r="C462" s="207" t="s">
        <v>4426</v>
      </c>
      <c r="D462" s="207">
        <v>1</v>
      </c>
      <c r="E462" s="207" t="s">
        <v>4398</v>
      </c>
      <c r="F462" s="214" t="s">
        <v>6414</v>
      </c>
      <c r="G462" s="207" t="s">
        <v>4400</v>
      </c>
      <c r="H462" s="207" t="s">
        <v>4401</v>
      </c>
      <c r="I462" s="217" t="s">
        <v>4402</v>
      </c>
      <c r="J462" s="215" t="s">
        <v>6415</v>
      </c>
      <c r="K462" s="215" t="s">
        <v>6416</v>
      </c>
      <c r="L462" s="215" t="s">
        <v>6417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6415</v>
      </c>
      <c r="AB462" s="200" t="s">
        <v>6416</v>
      </c>
      <c r="AC462" s="200" t="s">
        <v>6417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>IF(AQ462="SIM","AGUARDANDO CORREÇÃO",IF(AP462&lt;&gt;"","FINALIZADO",IF(AO462&lt;&gt;"","AGUARDANDO ENVIO DTS",IF(AN462&lt;&gt;"","AGUARDANDO ASSINATURA GAB",IF(AM462&lt;&gt;"","AGUARDANDO ASSINATURA CTS",IF(AL462&lt;&gt;"","AGUARDANDO ENVIO ASSINATURA CTS",IF(AK462&lt;&gt;"","AGUARDANDO CONFERÊNCIA","")))))))</f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>IFERROR(IF(BD462-KI462=0,"",BD462-AK462),"")</f>
        <v/>
      </c>
      <c r="BI462" s="98" t="str">
        <f>IF(AND(AH462&lt;&gt;"SIM",AH462="UH"),"AA","INDENIZAÇÃO")</f>
        <v>AA</v>
      </c>
      <c r="BJ462" s="98" t="str">
        <f>IF(AND(BD462&lt;&gt;"AGUARDANDO",BD462&lt;&gt;"",N462="AUXÍLIO ALUGUEL ATÉ INDENIZAÇÃO"),"SIM","NÃO")</f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 x14ac:dyDescent="0.25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6414</v>
      </c>
      <c r="G463" s="207" t="s">
        <v>4400</v>
      </c>
      <c r="H463" s="207" t="s">
        <v>4401</v>
      </c>
      <c r="I463" s="207" t="s">
        <v>4402</v>
      </c>
      <c r="J463" s="215" t="s">
        <v>6418</v>
      </c>
      <c r="K463" s="215" t="s">
        <v>6419</v>
      </c>
      <c r="L463" s="215" t="s">
        <v>6420</v>
      </c>
      <c r="M463" s="207" t="s">
        <v>4405</v>
      </c>
      <c r="N463" s="207" t="s">
        <v>4441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6418</v>
      </c>
      <c r="AB463" s="215" t="s">
        <v>6419</v>
      </c>
      <c r="AC463" s="215" t="s">
        <v>6420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4432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>IF(AQ463="SIM","AGUARDANDO CORREÇÃO",IF(AP463&lt;&gt;"","FINALIZADO",IF(AO463&lt;&gt;"","AGUARDANDO ENVIO DTS",IF(AN463&lt;&gt;"","AGUARDANDO ASSINATURA GAB",IF(AM463&lt;&gt;"","AGUARDANDO ASSINATURA CTS",IF(AL463&lt;&gt;"","AGUARDANDO ENVIO ASSINATURA CTS",IF(AK463&lt;&gt;"","AGUARDANDO CONFERÊNCIA","")))))))</f>
        <v>FINALIZADO</v>
      </c>
      <c r="AS463" s="207" t="s">
        <v>4423</v>
      </c>
      <c r="AT463" s="219"/>
      <c r="AU463" s="220" t="s">
        <v>6421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4434</v>
      </c>
      <c r="BF463" s="228" t="s">
        <v>4435</v>
      </c>
      <c r="BG463" s="229" t="s">
        <v>4425</v>
      </c>
      <c r="BH463" s="321">
        <f>IFERROR(IF(BD463-KI463=0,"",BD463-AK463),"")</f>
        <v>94</v>
      </c>
      <c r="BI463" s="98" t="str">
        <f>IF(AND(AH463&lt;&gt;"SIM",AH463="UH"),"AA","INDENIZAÇÃO")</f>
        <v>INDENIZAÇÃO</v>
      </c>
      <c r="BJ463" s="98" t="str">
        <f>IF(AND(BD463&lt;&gt;"AGUARDANDO",BD463&lt;&gt;"",N463="AUXÍLIO ALUGUEL ATÉ INDENIZAÇÃO"),"SIM","NÃO")</f>
        <v>NÃO</v>
      </c>
      <c r="BK463" s="230" t="s">
        <v>4436</v>
      </c>
      <c r="BL463" s="230" t="s">
        <v>4436</v>
      </c>
      <c r="BM463" s="230" t="s">
        <v>4436</v>
      </c>
      <c r="BN463" s="265" t="s">
        <v>4956</v>
      </c>
      <c r="BO463" s="265"/>
      <c r="BP463" s="265"/>
      <c r="BQ463" s="265"/>
      <c r="BR463" s="231"/>
    </row>
    <row r="464" spans="1:112" s="240" customFormat="1" ht="27" customHeight="1" x14ac:dyDescent="0.25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6422</v>
      </c>
      <c r="G464" s="207" t="s">
        <v>4400</v>
      </c>
      <c r="H464" s="207" t="s">
        <v>4401</v>
      </c>
      <c r="I464" s="207" t="s">
        <v>4402</v>
      </c>
      <c r="J464" s="215" t="s">
        <v>6423</v>
      </c>
      <c r="K464" s="215" t="s">
        <v>6424</v>
      </c>
      <c r="L464" s="215" t="s">
        <v>6425</v>
      </c>
      <c r="M464" s="207" t="s">
        <v>4405</v>
      </c>
      <c r="N464" s="207" t="s">
        <v>4441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6423</v>
      </c>
      <c r="AB464" s="215" t="s">
        <v>6424</v>
      </c>
      <c r="AC464" s="215" t="s">
        <v>6425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4432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>IF(AQ464="SIM","AGUARDANDO CORREÇÃO",IF(AP464&lt;&gt;"","FINALIZADO",IF(AO464&lt;&gt;"","AGUARDANDO ENVIO DTS",IF(AN464&lt;&gt;"","AGUARDANDO ASSINATURA GAB",IF(AM464&lt;&gt;"","AGUARDANDO ASSINATURA CTS",IF(AL464&lt;&gt;"","AGUARDANDO ENVIO ASSINATURA CTS",IF(AK464&lt;&gt;"","AGUARDANDO CONFERÊNCIA","")))))))</f>
        <v>FINALIZADO</v>
      </c>
      <c r="AS464" s="207" t="s">
        <v>4423</v>
      </c>
      <c r="AT464" s="219"/>
      <c r="AU464" s="220" t="s">
        <v>6426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4434</v>
      </c>
      <c r="BF464" s="257" t="s">
        <v>4435</v>
      </c>
      <c r="BG464" s="219" t="s">
        <v>4425</v>
      </c>
      <c r="BH464" s="321">
        <f>IFERROR(IF(BD464-KI464=0,"",BD464-AK464),"")</f>
        <v>103</v>
      </c>
      <c r="BI464" s="98" t="str">
        <f>IF(AND(AH464&lt;&gt;"SIM",AH464="UH"),"AA","INDENIZAÇÃO")</f>
        <v>INDENIZAÇÃO</v>
      </c>
      <c r="BJ464" s="98" t="str">
        <f>IF(AND(BD464&lt;&gt;"AGUARDANDO",BD464&lt;&gt;"",N464="AUXÍLIO ALUGUEL ATÉ INDENIZAÇÃO"),"SIM","NÃO")</f>
        <v>NÃO</v>
      </c>
      <c r="BK464" s="219" t="s">
        <v>4436</v>
      </c>
      <c r="BL464" s="219" t="s">
        <v>4436</v>
      </c>
      <c r="BM464" s="219" t="s">
        <v>4436</v>
      </c>
      <c r="BN464" s="257" t="s">
        <v>4956</v>
      </c>
      <c r="BO464" s="257"/>
      <c r="BP464" s="257"/>
      <c r="BQ464" s="257"/>
      <c r="BR464" s="258"/>
      <c r="BS464" s="223"/>
      <c r="BT464" s="161"/>
    </row>
    <row r="465" spans="1:112" s="240" customFormat="1" ht="27" hidden="1" customHeight="1" x14ac:dyDescent="0.25">
      <c r="A465" s="197">
        <v>461</v>
      </c>
      <c r="B465" s="197" t="s">
        <v>4396</v>
      </c>
      <c r="C465" s="207" t="s">
        <v>4426</v>
      </c>
      <c r="D465" s="207">
        <v>1</v>
      </c>
      <c r="E465" s="207" t="s">
        <v>4398</v>
      </c>
      <c r="F465" s="214" t="s">
        <v>6427</v>
      </c>
      <c r="G465" s="207" t="s">
        <v>4400</v>
      </c>
      <c r="H465" s="207" t="s">
        <v>4401</v>
      </c>
      <c r="I465" s="217" t="s">
        <v>4402</v>
      </c>
      <c r="J465" s="215" t="s">
        <v>6428</v>
      </c>
      <c r="K465" s="215" t="s">
        <v>6429</v>
      </c>
      <c r="L465" s="215" t="s">
        <v>6430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6428</v>
      </c>
      <c r="AB465" s="215" t="s">
        <v>6429</v>
      </c>
      <c r="AC465" s="215" t="s">
        <v>6430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>IF(AQ465="SIM","AGUARDANDO CORREÇÃO",IF(AP465&lt;&gt;"","FINALIZADO",IF(AO465&lt;&gt;"","AGUARDANDO ENVIO DTS",IF(AN465&lt;&gt;"","AGUARDANDO ASSINATURA GAB",IF(AM465&lt;&gt;"","AGUARDANDO ASSINATURA CTS",IF(AL465&lt;&gt;"","AGUARDANDO ENVIO ASSINATURA CTS",IF(AK465&lt;&gt;"","AGUARDANDO CONFERÊNCIA","")))))))</f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>IFERROR(IF(BD465-KI465=0,"",BD465-AK465),"")</f>
        <v/>
      </c>
      <c r="BI465" s="98" t="str">
        <f>IF(AND(AH465&lt;&gt;"SIM",AH465="UH"),"AA","INDENIZAÇÃO")</f>
        <v>AA</v>
      </c>
      <c r="BJ465" s="98" t="str">
        <f>IF(AND(BD465&lt;&gt;"AGUARDANDO",BD465&lt;&gt;"",N465="AUXÍLIO ALUGUEL ATÉ INDENIZAÇÃO"),"SIM","NÃO")</f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customHeight="1" x14ac:dyDescent="0.25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6427</v>
      </c>
      <c r="G466" s="207" t="s">
        <v>4400</v>
      </c>
      <c r="H466" s="207" t="s">
        <v>4401</v>
      </c>
      <c r="I466" s="207" t="s">
        <v>4402</v>
      </c>
      <c r="J466" s="215" t="s">
        <v>6431</v>
      </c>
      <c r="K466" s="215" t="s">
        <v>6432</v>
      </c>
      <c r="L466" s="215" t="s">
        <v>6433</v>
      </c>
      <c r="M466" s="207" t="s">
        <v>4405</v>
      </c>
      <c r="N466" s="207" t="s">
        <v>4441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6431</v>
      </c>
      <c r="AB466" s="215" t="s">
        <v>6432</v>
      </c>
      <c r="AC466" s="215" t="s">
        <v>6433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>IF(AQ466="SIM","AGUARDANDO CORREÇÃO",IF(AP466&lt;&gt;"","FINALIZADO",IF(AO466&lt;&gt;"","AGUARDANDO ENVIO DTS",IF(AN466&lt;&gt;"","AGUARDANDO ASSINATURA GAB",IF(AM466&lt;&gt;"","AGUARDANDO ASSINATURA CTS",IF(AL466&lt;&gt;"","AGUARDANDO ENVIO ASSINATURA CTS",IF(AK466&lt;&gt;"","AGUARDANDO CONFERÊNCIA","")))))))</f>
        <v>FINALIZADO</v>
      </c>
      <c r="AS466" s="207" t="s">
        <v>4423</v>
      </c>
      <c r="AT466" s="219"/>
      <c r="AU466" s="220" t="s">
        <v>6434</v>
      </c>
      <c r="AV466" s="262" t="s">
        <v>4425</v>
      </c>
      <c r="AW466" s="219" t="s">
        <v>4425</v>
      </c>
      <c r="AX466" s="207" t="s">
        <v>4817</v>
      </c>
      <c r="AY466" s="207" t="s">
        <v>4817</v>
      </c>
      <c r="AZ466" s="202">
        <v>46233</v>
      </c>
      <c r="BA466" s="207" t="s">
        <v>4817</v>
      </c>
      <c r="BB466" s="207" t="s">
        <v>4817</v>
      </c>
      <c r="BC466" s="202">
        <v>46234</v>
      </c>
      <c r="BD466" s="226">
        <v>46234</v>
      </c>
      <c r="BE466" s="257" t="s">
        <v>4434</v>
      </c>
      <c r="BF466" s="257" t="s">
        <v>4435</v>
      </c>
      <c r="BG466" s="219" t="s">
        <v>4425</v>
      </c>
      <c r="BH466" s="321">
        <f>IFERROR(IF(BD466-KI466=0,"",BD466-AK466),"")</f>
        <v>105</v>
      </c>
      <c r="BI466" s="98" t="str">
        <f>IF(AND(AH466&lt;&gt;"SIM",AH466="UH"),"AA","INDENIZAÇÃO")</f>
        <v>INDENIZAÇÃO</v>
      </c>
      <c r="BJ466" s="98" t="str">
        <f>IF(AND(BD466&lt;&gt;"AGUARDANDO",BD466&lt;&gt;"",N466="AUXÍLIO ALUGUEL ATÉ INDENIZAÇÃO"),"SIM","NÃO")</f>
        <v>NÃO</v>
      </c>
      <c r="BK466" s="219" t="s">
        <v>4436</v>
      </c>
      <c r="BL466" s="219" t="s">
        <v>4436</v>
      </c>
      <c r="BM466" s="219" t="s">
        <v>4436</v>
      </c>
      <c r="BN466" s="257" t="s">
        <v>4956</v>
      </c>
      <c r="BO466" s="257"/>
      <c r="BP466" s="257"/>
      <c r="BQ466" s="257"/>
      <c r="BR466" s="258"/>
      <c r="BS466" s="223"/>
      <c r="BT466" s="161"/>
    </row>
    <row r="467" spans="1:112" s="240" customFormat="1" ht="27" customHeight="1" x14ac:dyDescent="0.25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6435</v>
      </c>
      <c r="G467" s="207" t="s">
        <v>4400</v>
      </c>
      <c r="H467" s="207" t="s">
        <v>4401</v>
      </c>
      <c r="I467" s="207" t="s">
        <v>4402</v>
      </c>
      <c r="J467" s="215" t="s">
        <v>6436</v>
      </c>
      <c r="K467" s="215" t="s">
        <v>6437</v>
      </c>
      <c r="L467" s="215" t="s">
        <v>6438</v>
      </c>
      <c r="M467" s="207" t="s">
        <v>4405</v>
      </c>
      <c r="N467" s="207" t="s">
        <v>4441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6436</v>
      </c>
      <c r="AB467" s="215" t="s">
        <v>6437</v>
      </c>
      <c r="AC467" s="215" t="s">
        <v>6438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4432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>IF(AQ467="SIM","AGUARDANDO CORREÇÃO",IF(AP467&lt;&gt;"","FINALIZADO",IF(AO467&lt;&gt;"","AGUARDANDO ENVIO DTS",IF(AN467&lt;&gt;"","AGUARDANDO ASSINATURA GAB",IF(AM467&lt;&gt;"","AGUARDANDO ASSINATURA CTS",IF(AL467&lt;&gt;"","AGUARDANDO ENVIO ASSINATURA CTS",IF(AK467&lt;&gt;"","AGUARDANDO CONFERÊNCIA","")))))))</f>
        <v>FINALIZADO</v>
      </c>
      <c r="AS467" s="207" t="s">
        <v>4423</v>
      </c>
      <c r="AT467" s="219"/>
      <c r="AU467" s="220" t="s">
        <v>6439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4434</v>
      </c>
      <c r="BF467" s="257" t="s">
        <v>4435</v>
      </c>
      <c r="BG467" s="219" t="s">
        <v>4425</v>
      </c>
      <c r="BH467" s="321">
        <f>IFERROR(IF(BD467-KI467=0,"",BD467-AK467),"")</f>
        <v>105</v>
      </c>
      <c r="BI467" s="98" t="str">
        <f>IF(AND(AH467&lt;&gt;"SIM",AH467="UH"),"AA","INDENIZAÇÃO")</f>
        <v>INDENIZAÇÃO</v>
      </c>
      <c r="BJ467" s="98" t="str">
        <f>IF(AND(BD467&lt;&gt;"AGUARDANDO",BD467&lt;&gt;"",N467="AUXÍLIO ALUGUEL ATÉ INDENIZAÇÃO"),"SIM","NÃO")</f>
        <v>NÃO</v>
      </c>
      <c r="BK467" s="219" t="s">
        <v>4436</v>
      </c>
      <c r="BL467" s="219" t="s">
        <v>4436</v>
      </c>
      <c r="BM467" s="219" t="s">
        <v>4436</v>
      </c>
      <c r="BN467" s="257" t="s">
        <v>4956</v>
      </c>
      <c r="BO467" s="257"/>
      <c r="BP467" s="257"/>
      <c r="BQ467" s="257"/>
      <c r="BR467" s="258"/>
    </row>
    <row r="468" spans="1:112" s="240" customFormat="1" ht="27" hidden="1" customHeight="1" x14ac:dyDescent="0.25">
      <c r="A468" s="207">
        <v>464</v>
      </c>
      <c r="B468" s="197" t="s">
        <v>4396</v>
      </c>
      <c r="C468" s="207" t="s">
        <v>4426</v>
      </c>
      <c r="D468" s="207">
        <v>1</v>
      </c>
      <c r="E468" s="207" t="s">
        <v>4398</v>
      </c>
      <c r="F468" s="214" t="s">
        <v>6440</v>
      </c>
      <c r="G468" s="207" t="s">
        <v>4400</v>
      </c>
      <c r="H468" s="207" t="s">
        <v>4401</v>
      </c>
      <c r="I468" s="217" t="s">
        <v>4402</v>
      </c>
      <c r="J468" s="215" t="s">
        <v>6441</v>
      </c>
      <c r="K468" s="215" t="s">
        <v>6442</v>
      </c>
      <c r="L468" s="215" t="s">
        <v>6443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6441</v>
      </c>
      <c r="AB468" s="215" t="s">
        <v>6442</v>
      </c>
      <c r="AC468" s="215" t="s">
        <v>6443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>IF(AQ468="SIM","AGUARDANDO CORREÇÃO",IF(AP468&lt;&gt;"","FINALIZADO",IF(AO468&lt;&gt;"","AGUARDANDO ENVIO DTS",IF(AN468&lt;&gt;"","AGUARDANDO ASSINATURA GAB",IF(AM468&lt;&gt;"","AGUARDANDO ASSINATURA CTS",IF(AL468&lt;&gt;"","AGUARDANDO ENVIO ASSINATURA CTS",IF(AK468&lt;&gt;"","AGUARDANDO CONFERÊNCIA","")))))))</f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>IFERROR(IF(BD468-KI468=0,"",BD468-AK468),"")</f>
        <v/>
      </c>
      <c r="BI468" s="98" t="str">
        <f>IF(AND(AH468&lt;&gt;"SIM",AH468="UH"),"AA","INDENIZAÇÃO")</f>
        <v>AA</v>
      </c>
      <c r="BJ468" s="98" t="str">
        <f>IF(AND(BD468&lt;&gt;"AGUARDANDO",BD468&lt;&gt;"",N468="AUXÍLIO ALUGUEL ATÉ INDENIZAÇÃO"),"SIM","NÃO")</f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hidden="1" customHeight="1" x14ac:dyDescent="0.25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6440</v>
      </c>
      <c r="G469" s="207" t="s">
        <v>4400</v>
      </c>
      <c r="H469" s="207" t="s">
        <v>4401</v>
      </c>
      <c r="I469" s="207" t="s">
        <v>4402</v>
      </c>
      <c r="J469" s="215" t="s">
        <v>6444</v>
      </c>
      <c r="K469" s="215" t="s">
        <v>6445</v>
      </c>
      <c r="L469" s="215" t="s">
        <v>6446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6447</v>
      </c>
      <c r="AA469" s="215" t="s">
        <v>6444</v>
      </c>
      <c r="AB469" s="215" t="s">
        <v>6445</v>
      </c>
      <c r="AC469" s="215" t="s">
        <v>6446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>IF(AQ469="SIM","AGUARDANDO CORREÇÃO",IF(AP469&lt;&gt;"","FINALIZADO",IF(AO469&lt;&gt;"","AGUARDANDO ENVIO DTS",IF(AN469&lt;&gt;"","AGUARDANDO ASSINATURA GAB",IF(AM469&lt;&gt;"","AGUARDANDO ASSINATURA CTS",IF(AL469&lt;&gt;"","AGUARDANDO ENVIO ASSINATURA CTS",IF(AK469&lt;&gt;"","AGUARDANDO CONFERÊNCIA","")))))))</f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>IFERROR(IF(BD469-KI469=0,"",BD469-AK469),"")</f>
        <v/>
      </c>
      <c r="BI469" s="98" t="str">
        <f>IF(AND(AH469&lt;&gt;"SIM",AH469="UH"),"AA","INDENIZAÇÃO")</f>
        <v>AA</v>
      </c>
      <c r="BJ469" s="98" t="str">
        <f>IF(AND(BD469&lt;&gt;"AGUARDANDO",BD469&lt;&gt;"",N469="AUXÍLIO ALUGUEL ATÉ INDENIZAÇÃO"),"SIM","NÃO")</f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hidden="1" customHeight="1" x14ac:dyDescent="0.25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6448</v>
      </c>
      <c r="G470" s="207" t="s">
        <v>4400</v>
      </c>
      <c r="H470" s="207" t="s">
        <v>4401</v>
      </c>
      <c r="I470" s="207" t="s">
        <v>4402</v>
      </c>
      <c r="J470" s="215" t="s">
        <v>6449</v>
      </c>
      <c r="K470" s="215" t="s">
        <v>6450</v>
      </c>
      <c r="L470" s="215" t="s">
        <v>6451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6449</v>
      </c>
      <c r="AB470" s="215" t="s">
        <v>6450</v>
      </c>
      <c r="AC470" s="215" t="s">
        <v>6451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>IF(AQ470="SIM","AGUARDANDO CORREÇÃO",IF(AP470&lt;&gt;"","FINALIZADO",IF(AO470&lt;&gt;"","AGUARDANDO ENVIO DTS",IF(AN470&lt;&gt;"","AGUARDANDO ASSINATURA GAB",IF(AM470&lt;&gt;"","AGUARDANDO ASSINATURA CTS",IF(AL470&lt;&gt;"","AGUARDANDO ENVIO ASSINATURA CTS",IF(AK470&lt;&gt;"","AGUARDANDO CONFERÊNCIA","")))))))</f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>IFERROR(IF(BD470-KI470=0,"",BD470-AK470),"")</f>
        <v/>
      </c>
      <c r="BI470" s="98" t="str">
        <f>IF(AND(AH470&lt;&gt;"SIM",AH470="UH"),"AA","INDENIZAÇÃO")</f>
        <v>AA</v>
      </c>
      <c r="BJ470" s="98" t="str">
        <f>IF(AND(BD470&lt;&gt;"AGUARDANDO",BD470&lt;&gt;"",N470="AUXÍLIO ALUGUEL ATÉ INDENIZAÇÃO"),"SIM","NÃO")</f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hidden="1" customHeight="1" x14ac:dyDescent="0.25">
      <c r="A471" s="207">
        <v>467</v>
      </c>
      <c r="B471" s="197" t="s">
        <v>4396</v>
      </c>
      <c r="C471" s="207" t="s">
        <v>4426</v>
      </c>
      <c r="D471" s="207">
        <v>1</v>
      </c>
      <c r="E471" s="207" t="s">
        <v>4398</v>
      </c>
      <c r="F471" s="214" t="s">
        <v>6452</v>
      </c>
      <c r="G471" s="207" t="s">
        <v>4400</v>
      </c>
      <c r="H471" s="207" t="s">
        <v>4401</v>
      </c>
      <c r="I471" s="217" t="s">
        <v>4402</v>
      </c>
      <c r="J471" s="242" t="s">
        <v>6453</v>
      </c>
      <c r="K471" s="215" t="s">
        <v>6454</v>
      </c>
      <c r="L471" s="215" t="s">
        <v>6455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6453</v>
      </c>
      <c r="AB471" s="215" t="s">
        <v>6454</v>
      </c>
      <c r="AC471" s="215" t="s">
        <v>6455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>IF(AQ471="SIM","AGUARDANDO CORREÇÃO",IF(AP471&lt;&gt;"","FINALIZADO",IF(AO471&lt;&gt;"","AGUARDANDO ENVIO DTS",IF(AN471&lt;&gt;"","AGUARDANDO ASSINATURA GAB",IF(AM471&lt;&gt;"","AGUARDANDO ASSINATURA CTS",IF(AL471&lt;&gt;"","AGUARDANDO ENVIO ASSINATURA CTS",IF(AK471&lt;&gt;"","AGUARDANDO CONFERÊNCIA","")))))))</f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>IFERROR(IF(BD471-KI471=0,"",BD471-AK471),"")</f>
        <v/>
      </c>
      <c r="BI471" s="98" t="str">
        <f>IF(AND(AH471&lt;&gt;"SIM",AH471="UH"),"AA","INDENIZAÇÃO")</f>
        <v>AA</v>
      </c>
      <c r="BJ471" s="98" t="str">
        <f>IF(AND(BD471&lt;&gt;"AGUARDANDO",BD471&lt;&gt;"",N471="AUXÍLIO ALUGUEL ATÉ INDENIZAÇÃO"),"SIM","NÃO")</f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customHeight="1" x14ac:dyDescent="0.25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6452</v>
      </c>
      <c r="G472" s="207" t="s">
        <v>4400</v>
      </c>
      <c r="H472" s="207" t="s">
        <v>4401</v>
      </c>
      <c r="I472" s="207" t="s">
        <v>4402</v>
      </c>
      <c r="J472" s="215" t="s">
        <v>6456</v>
      </c>
      <c r="K472" s="215" t="s">
        <v>6457</v>
      </c>
      <c r="L472" s="215" t="s">
        <v>6458</v>
      </c>
      <c r="M472" s="207" t="s">
        <v>4405</v>
      </c>
      <c r="N472" s="207" t="s">
        <v>4441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6456</v>
      </c>
      <c r="AB472" s="215" t="s">
        <v>6457</v>
      </c>
      <c r="AC472" s="215" t="s">
        <v>6458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>IF(AQ472="SIM","AGUARDANDO CORREÇÃO",IF(AP472&lt;&gt;"","FINALIZADO",IF(AO472&lt;&gt;"","AGUARDANDO ENVIO DTS",IF(AN472&lt;&gt;"","AGUARDANDO ASSINATURA GAB",IF(AM472&lt;&gt;"","AGUARDANDO ASSINATURA CTS",IF(AL472&lt;&gt;"","AGUARDANDO ENVIO ASSINATURA CTS",IF(AK472&lt;&gt;"","AGUARDANDO CONFERÊNCIA","")))))))</f>
        <v>FINALIZADO</v>
      </c>
      <c r="AS472" s="207" t="s">
        <v>4423</v>
      </c>
      <c r="AT472" s="219"/>
      <c r="AU472" s="220" t="s">
        <v>6459</v>
      </c>
      <c r="AV472" s="283" t="s">
        <v>4425</v>
      </c>
      <c r="AW472" s="283" t="s">
        <v>4425</v>
      </c>
      <c r="AX472" s="207" t="s">
        <v>4817</v>
      </c>
      <c r="AY472" s="207" t="s">
        <v>4817</v>
      </c>
      <c r="AZ472" s="202">
        <v>46233</v>
      </c>
      <c r="BA472" s="207" t="s">
        <v>4817</v>
      </c>
      <c r="BB472" s="207" t="s">
        <v>4817</v>
      </c>
      <c r="BC472" s="202">
        <v>46234</v>
      </c>
      <c r="BD472" s="226">
        <v>46234</v>
      </c>
      <c r="BE472" s="257" t="s">
        <v>4434</v>
      </c>
      <c r="BF472" s="257" t="s">
        <v>4435</v>
      </c>
      <c r="BG472" s="219" t="s">
        <v>4425</v>
      </c>
      <c r="BH472" s="321">
        <f>IFERROR(IF(BD472-KI472=0,"",BD472-AK472),"")</f>
        <v>87</v>
      </c>
      <c r="BI472" s="98" t="str">
        <f>IF(AND(AH472&lt;&gt;"SIM",AH472="UH"),"AA","INDENIZAÇÃO")</f>
        <v>INDENIZAÇÃO</v>
      </c>
      <c r="BJ472" s="98" t="str">
        <f>IF(AND(BD472&lt;&gt;"AGUARDANDO",BD472&lt;&gt;"",N472="AUXÍLIO ALUGUEL ATÉ INDENIZAÇÃO"),"SIM","NÃO")</f>
        <v>NÃO</v>
      </c>
      <c r="BK472" s="219" t="s">
        <v>4436</v>
      </c>
      <c r="BL472" s="219" t="s">
        <v>4436</v>
      </c>
      <c r="BM472" s="219" t="s">
        <v>4436</v>
      </c>
      <c r="BN472" s="257" t="s">
        <v>4956</v>
      </c>
      <c r="BO472" s="257"/>
      <c r="BP472" s="257"/>
      <c r="BQ472" s="257"/>
      <c r="BR472" s="258"/>
    </row>
    <row r="473" spans="1:112" s="240" customFormat="1" ht="27" hidden="1" customHeight="1" x14ac:dyDescent="0.25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6460</v>
      </c>
      <c r="G473" s="207" t="s">
        <v>4400</v>
      </c>
      <c r="H473" s="207" t="s">
        <v>4401</v>
      </c>
      <c r="I473" s="217" t="s">
        <v>4402</v>
      </c>
      <c r="J473" s="215" t="s">
        <v>6461</v>
      </c>
      <c r="K473" s="215" t="s">
        <v>6462</v>
      </c>
      <c r="L473" s="215" t="s">
        <v>6463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6461</v>
      </c>
      <c r="AB473" s="215" t="s">
        <v>6464</v>
      </c>
      <c r="AC473" s="215" t="s">
        <v>6463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>IF(AQ473="SIM","AGUARDANDO CORREÇÃO",IF(AP473&lt;&gt;"","FINALIZADO",IF(AO473&lt;&gt;"","AGUARDANDO ENVIO DTS",IF(AN473&lt;&gt;"","AGUARDANDO ASSINATURA GAB",IF(AM473&lt;&gt;"","AGUARDANDO ASSINATURA CTS",IF(AL473&lt;&gt;"","AGUARDANDO ENVIO ASSINATURA CTS",IF(AK473&lt;&gt;"","AGUARDANDO CONFERÊNCIA","")))))))</f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>IFERROR(IF(BD473-KI473=0,"",BD473-AK473),"")</f>
        <v/>
      </c>
      <c r="BI473" s="98" t="str">
        <f>IF(AND(AH473&lt;&gt;"SIM",AH473="UH"),"AA","INDENIZAÇÃO")</f>
        <v>AA</v>
      </c>
      <c r="BJ473" s="98" t="str">
        <f>IF(AND(BD473&lt;&gt;"AGUARDANDO",BD473&lt;&gt;"",N473="AUXÍLIO ALUGUEL ATÉ INDENIZAÇÃO"),"SIM","NÃO")</f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customHeight="1" x14ac:dyDescent="0.25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6465</v>
      </c>
      <c r="G474" s="207" t="s">
        <v>4400</v>
      </c>
      <c r="H474" s="207" t="s">
        <v>4401</v>
      </c>
      <c r="I474" s="217" t="s">
        <v>4402</v>
      </c>
      <c r="J474" s="215" t="s">
        <v>6466</v>
      </c>
      <c r="K474" s="215" t="s">
        <v>6467</v>
      </c>
      <c r="L474" s="215" t="s">
        <v>6468</v>
      </c>
      <c r="M474" s="207" t="s">
        <v>4405</v>
      </c>
      <c r="N474" s="207" t="s">
        <v>4431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6466</v>
      </c>
      <c r="AB474" s="215" t="s">
        <v>6467</v>
      </c>
      <c r="AC474" s="215" t="s">
        <v>6468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>IF(AQ474="SIM","AGUARDANDO CORREÇÃO",IF(AP474&lt;&gt;"","FINALIZADO",IF(AO474&lt;&gt;"","AGUARDANDO ENVIO DTS",IF(AN474&lt;&gt;"","AGUARDANDO ASSINATURA GAB",IF(AM474&lt;&gt;"","AGUARDANDO ASSINATURA CTS",IF(AL474&lt;&gt;"","AGUARDANDO ENVIO ASSINATURA CTS",IF(AK474&lt;&gt;"","AGUARDANDO CONFERÊNCIA","")))))))</f>
        <v>FINALIZADO</v>
      </c>
      <c r="AS474" s="207" t="s">
        <v>4423</v>
      </c>
      <c r="AT474" s="219"/>
      <c r="AU474" s="220" t="s">
        <v>6469</v>
      </c>
      <c r="AV474" s="197" t="s">
        <v>4817</v>
      </c>
      <c r="AW474" s="207" t="s">
        <v>4817</v>
      </c>
      <c r="AX474" s="207" t="s">
        <v>4817</v>
      </c>
      <c r="AY474" s="207" t="s">
        <v>4817</v>
      </c>
      <c r="AZ474" s="202">
        <v>46233</v>
      </c>
      <c r="BA474" s="207" t="s">
        <v>4817</v>
      </c>
      <c r="BB474" s="207" t="s">
        <v>4817</v>
      </c>
      <c r="BC474" s="202">
        <v>46248</v>
      </c>
      <c r="BD474" s="227">
        <v>46248</v>
      </c>
      <c r="BE474" s="226" t="s">
        <v>4434</v>
      </c>
      <c r="BF474" s="228" t="s">
        <v>4435</v>
      </c>
      <c r="BG474" s="219" t="s">
        <v>4425</v>
      </c>
      <c r="BH474" s="321">
        <f>IFERROR(IF(BD474-KI474=0,"",BD474-AK474),"")</f>
        <v>60</v>
      </c>
      <c r="BI474" s="98" t="str">
        <f>IF(AND(AH474&lt;&gt;"SIM",AH474="UH"),"AA","INDENIZAÇÃO")</f>
        <v>INDENIZAÇÃO</v>
      </c>
      <c r="BJ474" s="98" t="str">
        <f>IF(AND(BD474&lt;&gt;"AGUARDANDO",BD474&lt;&gt;"",N474="AUXÍLIO ALUGUEL ATÉ INDENIZAÇÃO"),"SIM","NÃO")</f>
        <v>NÃO</v>
      </c>
      <c r="BK474" s="219" t="s">
        <v>4436</v>
      </c>
      <c r="BL474" s="219" t="s">
        <v>4436</v>
      </c>
      <c r="BM474" s="219" t="s">
        <v>4436</v>
      </c>
      <c r="BN474" s="257" t="s">
        <v>4956</v>
      </c>
      <c r="BO474" s="257"/>
      <c r="BP474" s="257"/>
      <c r="BQ474" s="257"/>
      <c r="BR474" s="258"/>
      <c r="BS474" s="223"/>
      <c r="BT474" s="161"/>
    </row>
    <row r="475" spans="1:112" s="240" customFormat="1" ht="27" hidden="1" customHeight="1" x14ac:dyDescent="0.25">
      <c r="A475" s="197">
        <v>471</v>
      </c>
      <c r="B475" s="197" t="s">
        <v>4396</v>
      </c>
      <c r="C475" s="207" t="s">
        <v>4426</v>
      </c>
      <c r="D475" s="207">
        <v>1</v>
      </c>
      <c r="E475" s="207" t="s">
        <v>4398</v>
      </c>
      <c r="F475" s="214" t="s">
        <v>6465</v>
      </c>
      <c r="G475" s="207" t="s">
        <v>4400</v>
      </c>
      <c r="H475" s="207" t="s">
        <v>4401</v>
      </c>
      <c r="I475" s="217" t="s">
        <v>4402</v>
      </c>
      <c r="J475" s="215" t="s">
        <v>6470</v>
      </c>
      <c r="K475" s="215" t="s">
        <v>6471</v>
      </c>
      <c r="L475" s="215" t="s">
        <v>6472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6470</v>
      </c>
      <c r="AB475" s="215" t="s">
        <v>6471</v>
      </c>
      <c r="AC475" s="215" t="s">
        <v>6472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>IF(AQ475="SIM","AGUARDANDO CORREÇÃO",IF(AP475&lt;&gt;"","FINALIZADO",IF(AO475&lt;&gt;"","AGUARDANDO ENVIO DTS",IF(AN475&lt;&gt;"","AGUARDANDO ASSINATURA GAB",IF(AM475&lt;&gt;"","AGUARDANDO ASSINATURA CTS",IF(AL475&lt;&gt;"","AGUARDANDO ENVIO ASSINATURA CTS",IF(AK475&lt;&gt;"","AGUARDANDO CONFERÊNCIA","")))))))</f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>IFERROR(IF(BD475-KI475=0,"",BD475-AK475),"")</f>
        <v/>
      </c>
      <c r="BI475" s="98" t="str">
        <f>IF(AND(AH475&lt;&gt;"SIM",AH475="UH"),"AA","INDENIZAÇÃO")</f>
        <v>AA</v>
      </c>
      <c r="BJ475" s="98" t="str">
        <f>IF(AND(BD475&lt;&gt;"AGUARDANDO",BD475&lt;&gt;"",N475="AUXÍLIO ALUGUEL ATÉ INDENIZAÇÃO"),"SIM","NÃO")</f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hidden="1" customHeight="1" x14ac:dyDescent="0.25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6473</v>
      </c>
      <c r="G476" s="207" t="s">
        <v>4400</v>
      </c>
      <c r="H476" s="207" t="s">
        <v>4535</v>
      </c>
      <c r="I476" s="207" t="s">
        <v>4535</v>
      </c>
      <c r="J476" s="215" t="s">
        <v>6474</v>
      </c>
      <c r="K476" s="215" t="s">
        <v>6475</v>
      </c>
      <c r="L476" s="215" t="s">
        <v>6476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6474</v>
      </c>
      <c r="AB476" s="215" t="s">
        <v>6475</v>
      </c>
      <c r="AC476" s="215" t="s">
        <v>6476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>IF(AQ476="SIM","AGUARDANDO CORREÇÃO",IF(AP476&lt;&gt;"","FINALIZADO",IF(AO476&lt;&gt;"","AGUARDANDO ENVIO DTS",IF(AN476&lt;&gt;"","AGUARDANDO ASSINATURA GAB",IF(AM476&lt;&gt;"","AGUARDANDO ASSINATURA CTS",IF(AL476&lt;&gt;"","AGUARDANDO ENVIO ASSINATURA CTS",IF(AK476&lt;&gt;"","AGUARDANDO CONFERÊNCIA","")))))))</f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>IFERROR(IF(BD476-KI476=0,"",BD476-AK476),"")</f>
        <v/>
      </c>
      <c r="BI476" s="98" t="str">
        <f>IF(AND(AH476&lt;&gt;"SIM",AH476="UH"),"AA","INDENIZAÇÃO")</f>
        <v>AA</v>
      </c>
      <c r="BJ476" s="98" t="str">
        <f>IF(AND(BD476&lt;&gt;"AGUARDANDO",BD476&lt;&gt;"",N476="AUXÍLIO ALUGUEL ATÉ INDENIZAÇÃO"),"SIM","NÃO")</f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customHeight="1" x14ac:dyDescent="0.25">
      <c r="A477" s="207">
        <v>473</v>
      </c>
      <c r="B477" s="197" t="s">
        <v>4396</v>
      </c>
      <c r="C477" s="207" t="s">
        <v>4426</v>
      </c>
      <c r="D477" s="207">
        <v>1</v>
      </c>
      <c r="E477" s="207" t="s">
        <v>4398</v>
      </c>
      <c r="F477" s="214" t="s">
        <v>6477</v>
      </c>
      <c r="G477" s="207" t="s">
        <v>4400</v>
      </c>
      <c r="H477" s="207" t="s">
        <v>4401</v>
      </c>
      <c r="I477" s="217" t="s">
        <v>4402</v>
      </c>
      <c r="J477" s="215" t="s">
        <v>6478</v>
      </c>
      <c r="K477" s="215" t="s">
        <v>6479</v>
      </c>
      <c r="L477" s="215" t="s">
        <v>6480</v>
      </c>
      <c r="M477" s="207" t="s">
        <v>4405</v>
      </c>
      <c r="N477" s="207" t="s">
        <v>4441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6478</v>
      </c>
      <c r="AB477" s="200" t="s">
        <v>6479</v>
      </c>
      <c r="AC477" s="200" t="s">
        <v>6480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>IF(AQ477="SIM","AGUARDANDO CORREÇÃO",IF(AP477&lt;&gt;"","FINALIZADO",IF(AO477&lt;&gt;"","AGUARDANDO ENVIO DTS",IF(AN477&lt;&gt;"","AGUARDANDO ASSINATURA GAB",IF(AM477&lt;&gt;"","AGUARDANDO ASSINATURA CTS",IF(AL477&lt;&gt;"","AGUARDANDO ENVIO ASSINATURA CTS",IF(AK477&lt;&gt;"","AGUARDANDO CONFERÊNCIA","")))))))</f>
        <v>FINALIZADO</v>
      </c>
      <c r="AS477" s="207" t="s">
        <v>4423</v>
      </c>
      <c r="AT477" s="219"/>
      <c r="AU477" s="220" t="s">
        <v>6481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4434</v>
      </c>
      <c r="BF477" s="228" t="s">
        <v>4435</v>
      </c>
      <c r="BG477" s="219" t="s">
        <v>4425</v>
      </c>
      <c r="BH477" s="321">
        <f>IFERROR(IF(BD477-KI477=0,"",BD477-AK477),"")</f>
        <v>97</v>
      </c>
      <c r="BI477" s="98" t="str">
        <f>IF(AND(AH477&lt;&gt;"SIM",AH477="UH"),"AA","INDENIZAÇÃO")</f>
        <v>INDENIZAÇÃO</v>
      </c>
      <c r="BJ477" s="98" t="str">
        <f>IF(AND(BD477&lt;&gt;"AGUARDANDO",BD477&lt;&gt;"",N477="AUXÍLIO ALUGUEL ATÉ INDENIZAÇÃO"),"SIM","NÃO")</f>
        <v>NÃO</v>
      </c>
      <c r="BK477" s="219" t="s">
        <v>4436</v>
      </c>
      <c r="BL477" s="219" t="s">
        <v>4436</v>
      </c>
      <c r="BM477" s="219" t="s">
        <v>4436</v>
      </c>
      <c r="BN477" s="257" t="s">
        <v>4956</v>
      </c>
      <c r="BO477" s="257"/>
      <c r="BP477" s="257"/>
      <c r="BQ477" s="257"/>
      <c r="BR477" s="258"/>
      <c r="BS477" s="223"/>
      <c r="BT477" s="161"/>
    </row>
    <row r="478" spans="1:112" s="240" customFormat="1" ht="27" customHeight="1" x14ac:dyDescent="0.25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6477</v>
      </c>
      <c r="G478" s="207" t="s">
        <v>4400</v>
      </c>
      <c r="H478" s="207" t="s">
        <v>4401</v>
      </c>
      <c r="I478" s="207" t="s">
        <v>4402</v>
      </c>
      <c r="J478" s="215" t="s">
        <v>6482</v>
      </c>
      <c r="K478" s="215" t="s">
        <v>6483</v>
      </c>
      <c r="L478" s="215" t="s">
        <v>6484</v>
      </c>
      <c r="M478" s="207" t="s">
        <v>4405</v>
      </c>
      <c r="N478" s="207" t="s">
        <v>4431</v>
      </c>
      <c r="O478" s="202" t="s">
        <v>6485</v>
      </c>
      <c r="P478" s="202" t="s">
        <v>6485</v>
      </c>
      <c r="Q478" s="202" t="s">
        <v>6485</v>
      </c>
      <c r="R478" s="202" t="s">
        <v>6485</v>
      </c>
      <c r="S478" s="202" t="s">
        <v>6485</v>
      </c>
      <c r="T478" s="202" t="s">
        <v>6485</v>
      </c>
      <c r="U478" s="202" t="s">
        <v>6485</v>
      </c>
      <c r="V478" s="202" t="s">
        <v>6485</v>
      </c>
      <c r="W478" s="202" t="s">
        <v>6485</v>
      </c>
      <c r="X478" s="202" t="s">
        <v>6485</v>
      </c>
      <c r="Y478" s="202"/>
      <c r="Z478" s="202" t="s">
        <v>6485</v>
      </c>
      <c r="AA478" s="215" t="s">
        <v>6482</v>
      </c>
      <c r="AB478" s="215" t="s">
        <v>6483</v>
      </c>
      <c r="AC478" s="215" t="s">
        <v>6484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>IF(AQ478="SIM","AGUARDANDO CORREÇÃO",IF(AP478&lt;&gt;"","FINALIZADO",IF(AO478&lt;&gt;"","AGUARDANDO ENVIO DTS",IF(AN478&lt;&gt;"","AGUARDANDO ASSINATURA GAB",IF(AM478&lt;&gt;"","AGUARDANDO ASSINATURA CTS",IF(AL478&lt;&gt;"","AGUARDANDO ENVIO ASSINATURA CTS",IF(AK478&lt;&gt;"","AGUARDANDO CONFERÊNCIA","")))))))</f>
        <v>FINALIZADO</v>
      </c>
      <c r="AS478" s="207" t="s">
        <v>4423</v>
      </c>
      <c r="AT478" s="219"/>
      <c r="AU478" s="220" t="s">
        <v>6486</v>
      </c>
      <c r="AV478" s="207" t="s">
        <v>4425</v>
      </c>
      <c r="AW478" s="207" t="s">
        <v>4425</v>
      </c>
      <c r="AX478" s="207" t="s">
        <v>4817</v>
      </c>
      <c r="AY478" s="207" t="s">
        <v>4817</v>
      </c>
      <c r="AZ478" s="202">
        <v>46233</v>
      </c>
      <c r="BA478" s="207" t="s">
        <v>4817</v>
      </c>
      <c r="BB478" s="207" t="s">
        <v>4817</v>
      </c>
      <c r="BC478" s="202">
        <v>46234</v>
      </c>
      <c r="BD478" s="226">
        <v>46234</v>
      </c>
      <c r="BE478" s="257" t="s">
        <v>4434</v>
      </c>
      <c r="BF478" s="257" t="s">
        <v>4435</v>
      </c>
      <c r="BG478" s="219" t="s">
        <v>4425</v>
      </c>
      <c r="BH478" s="321">
        <f>IFERROR(IF(BD478-KI478=0,"",BD478-AK478),"")</f>
        <v>46</v>
      </c>
      <c r="BI478" s="98" t="str">
        <f>IF(AND(AH478&lt;&gt;"SIM",AH478="UH"),"AA","INDENIZAÇÃO")</f>
        <v>INDENIZAÇÃO</v>
      </c>
      <c r="BJ478" s="98" t="str">
        <f>IF(AND(BD478&lt;&gt;"AGUARDANDO",BD478&lt;&gt;"",N478="AUXÍLIO ALUGUEL ATÉ INDENIZAÇÃO"),"SIM","NÃO")</f>
        <v>NÃO</v>
      </c>
      <c r="BK478" s="219" t="s">
        <v>4436</v>
      </c>
      <c r="BL478" s="219" t="s">
        <v>4436</v>
      </c>
      <c r="BM478" s="219" t="s">
        <v>4436</v>
      </c>
      <c r="BN478" s="257" t="s">
        <v>4956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customHeight="1" x14ac:dyDescent="0.25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6487</v>
      </c>
      <c r="G479" s="207" t="s">
        <v>4400</v>
      </c>
      <c r="H479" s="207" t="s">
        <v>4401</v>
      </c>
      <c r="I479" s="207" t="s">
        <v>4402</v>
      </c>
      <c r="J479" s="215" t="s">
        <v>6488</v>
      </c>
      <c r="K479" s="215" t="s">
        <v>6489</v>
      </c>
      <c r="L479" s="215" t="s">
        <v>6490</v>
      </c>
      <c r="M479" s="207" t="s">
        <v>4405</v>
      </c>
      <c r="N479" s="207" t="s">
        <v>4441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6488</v>
      </c>
      <c r="AB479" s="215" t="s">
        <v>6489</v>
      </c>
      <c r="AC479" s="215" t="s">
        <v>6490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4432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>IF(AQ479="SIM","AGUARDANDO CORREÇÃO",IF(AP479&lt;&gt;"","FINALIZADO",IF(AO479&lt;&gt;"","AGUARDANDO ENVIO DTS",IF(AN479&lt;&gt;"","AGUARDANDO ASSINATURA GAB",IF(AM479&lt;&gt;"","AGUARDANDO ASSINATURA CTS",IF(AL479&lt;&gt;"","AGUARDANDO ENVIO ASSINATURA CTS",IF(AK479&lt;&gt;"","AGUARDANDO CONFERÊNCIA","")))))))</f>
        <v>FINALIZADO</v>
      </c>
      <c r="AS479" s="207" t="s">
        <v>4423</v>
      </c>
      <c r="AT479" s="219"/>
      <c r="AU479" s="220" t="s">
        <v>6491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4434</v>
      </c>
      <c r="BF479" s="228" t="s">
        <v>4435</v>
      </c>
      <c r="BG479" s="229" t="s">
        <v>4425</v>
      </c>
      <c r="BH479" s="321">
        <f>IFERROR(IF(BD479-KI479=0,"",BD479-AK479),"")</f>
        <v>46</v>
      </c>
      <c r="BI479" s="98" t="str">
        <f>IF(AND(AH479&lt;&gt;"SIM",AH479="UH"),"AA","INDENIZAÇÃO")</f>
        <v>INDENIZAÇÃO</v>
      </c>
      <c r="BJ479" s="98" t="str">
        <f>IF(AND(BD479&lt;&gt;"AGUARDANDO",BD479&lt;&gt;"",N479="AUXÍLIO ALUGUEL ATÉ INDENIZAÇÃO"),"SIM","NÃO")</f>
        <v>NÃO</v>
      </c>
      <c r="BK479" s="219" t="s">
        <v>4436</v>
      </c>
      <c r="BL479" s="219" t="s">
        <v>4436</v>
      </c>
      <c r="BM479" s="219" t="s">
        <v>4436</v>
      </c>
      <c r="BN479" s="257" t="s">
        <v>4956</v>
      </c>
      <c r="BO479" s="257"/>
      <c r="BP479" s="257"/>
      <c r="BQ479" s="257"/>
      <c r="BR479" s="258"/>
    </row>
    <row r="480" spans="1:112" s="240" customFormat="1" ht="27" customHeight="1" x14ac:dyDescent="0.25">
      <c r="A480" s="197">
        <v>476</v>
      </c>
      <c r="B480" s="197" t="s">
        <v>4396</v>
      </c>
      <c r="C480" s="207" t="s">
        <v>4426</v>
      </c>
      <c r="D480" s="207">
        <v>1</v>
      </c>
      <c r="E480" s="207" t="s">
        <v>4398</v>
      </c>
      <c r="F480" s="214" t="s">
        <v>6487</v>
      </c>
      <c r="G480" s="207" t="s">
        <v>4400</v>
      </c>
      <c r="H480" s="207" t="s">
        <v>4427</v>
      </c>
      <c r="I480" s="233" t="s">
        <v>4421</v>
      </c>
      <c r="J480" s="215" t="s">
        <v>6492</v>
      </c>
      <c r="K480" s="215" t="s">
        <v>6493</v>
      </c>
      <c r="L480" s="215" t="s">
        <v>6494</v>
      </c>
      <c r="M480" s="207" t="s">
        <v>4405</v>
      </c>
      <c r="N480" s="207" t="s">
        <v>4441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6492</v>
      </c>
      <c r="AB480" s="215" t="s">
        <v>6493</v>
      </c>
      <c r="AC480" s="215" t="s">
        <v>6494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4432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>IF(AQ480="SIM","AGUARDANDO CORREÇÃO",IF(AP480&lt;&gt;"","FINALIZADO",IF(AO480&lt;&gt;"","AGUARDANDO ENVIO DTS",IF(AN480&lt;&gt;"","AGUARDANDO ASSINATURA GAB",IF(AM480&lt;&gt;"","AGUARDANDO ASSINATURA CTS",IF(AL480&lt;&gt;"","AGUARDANDO ENVIO ASSINATURA CTS",IF(AK480&lt;&gt;"","AGUARDANDO CONFERÊNCIA","")))))))</f>
        <v>FINALIZADO</v>
      </c>
      <c r="AS480" s="207" t="s">
        <v>4423</v>
      </c>
      <c r="AT480" s="219"/>
      <c r="AU480" s="220" t="s">
        <v>6495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4434</v>
      </c>
      <c r="BF480" s="228" t="s">
        <v>4435</v>
      </c>
      <c r="BG480" s="229" t="s">
        <v>4425</v>
      </c>
      <c r="BH480" s="321">
        <f>IFERROR(IF(BD480-KI480=0,"",BD480-AK480),"")</f>
        <v>80</v>
      </c>
      <c r="BI480" s="98" t="str">
        <f>IF(AND(AH480&lt;&gt;"SIM",AH480="UH"),"AA","INDENIZAÇÃO")</f>
        <v>INDENIZAÇÃO</v>
      </c>
      <c r="BJ480" s="98" t="str">
        <f>IF(AND(BD480&lt;&gt;"AGUARDANDO",BD480&lt;&gt;"",N480="AUXÍLIO ALUGUEL ATÉ INDENIZAÇÃO"),"SIM","NÃO")</f>
        <v>NÃO</v>
      </c>
      <c r="BK480" s="219" t="s">
        <v>4436</v>
      </c>
      <c r="BL480" s="219" t="s">
        <v>4436</v>
      </c>
      <c r="BM480" s="219" t="s">
        <v>4436</v>
      </c>
      <c r="BN480" s="257" t="s">
        <v>4956</v>
      </c>
      <c r="BO480" s="257"/>
      <c r="BP480" s="257"/>
      <c r="BQ480" s="257"/>
      <c r="BR480" s="258"/>
    </row>
    <row r="481" spans="1:74" s="240" customFormat="1" ht="27" customHeight="1" x14ac:dyDescent="0.25">
      <c r="A481" s="207">
        <v>477</v>
      </c>
      <c r="B481" s="197" t="s">
        <v>4396</v>
      </c>
      <c r="C481" s="207" t="s">
        <v>4426</v>
      </c>
      <c r="D481" s="207">
        <v>1</v>
      </c>
      <c r="E481" s="207" t="s">
        <v>4398</v>
      </c>
      <c r="F481" s="214" t="s">
        <v>6496</v>
      </c>
      <c r="G481" s="207" t="s">
        <v>6497</v>
      </c>
      <c r="H481" s="207" t="s">
        <v>6497</v>
      </c>
      <c r="I481" s="163" t="s">
        <v>4421</v>
      </c>
      <c r="J481" s="215" t="s">
        <v>6498</v>
      </c>
      <c r="K481" s="215" t="s">
        <v>6499</v>
      </c>
      <c r="L481" s="215" t="s">
        <v>6500</v>
      </c>
      <c r="M481" s="207" t="s">
        <v>4405</v>
      </c>
      <c r="N481" s="207" t="s">
        <v>4441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6498</v>
      </c>
      <c r="AB481" s="215" t="s">
        <v>6499</v>
      </c>
      <c r="AC481" s="215" t="s">
        <v>6500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4432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>IF(AQ481="SIM","AGUARDANDO CORREÇÃO",IF(AP481&lt;&gt;"","FINALIZADO",IF(AO481&lt;&gt;"","AGUARDANDO ENVIO DTS",IF(AN481&lt;&gt;"","AGUARDANDO ASSINATURA GAB",IF(AM481&lt;&gt;"","AGUARDANDO ASSINATURA CTS",IF(AL481&lt;&gt;"","AGUARDANDO ENVIO ASSINATURA CTS",IF(AK481&lt;&gt;"","AGUARDANDO CONFERÊNCIA","")))))))</f>
        <v>FINALIZADO</v>
      </c>
      <c r="AS481" s="207" t="s">
        <v>4423</v>
      </c>
      <c r="AT481" s="219"/>
      <c r="AU481" s="220" t="s">
        <v>6501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4434</v>
      </c>
      <c r="BF481" s="288" t="s">
        <v>4435</v>
      </c>
      <c r="BG481" s="289" t="s">
        <v>4425</v>
      </c>
      <c r="BH481" s="321">
        <f>IFERROR(IF(BD481-KI481=0,"",BD481-AK481),"")</f>
        <v>106</v>
      </c>
      <c r="BI481" s="98" t="str">
        <f>IF(AND(AH481&lt;&gt;"SIM",AH481="UH"),"AA","INDENIZAÇÃO")</f>
        <v>INDENIZAÇÃO</v>
      </c>
      <c r="BJ481" s="98" t="str">
        <f>IF(AND(BD481&lt;&gt;"AGUARDANDO",BD481&lt;&gt;"",N481="AUXÍLIO ALUGUEL ATÉ INDENIZAÇÃO"),"SIM","NÃO")</f>
        <v>NÃO</v>
      </c>
      <c r="BK481" s="290" t="s">
        <v>4436</v>
      </c>
      <c r="BL481" s="238" t="s">
        <v>4436</v>
      </c>
      <c r="BM481" s="238" t="s">
        <v>4436</v>
      </c>
      <c r="BN481" s="291" t="s">
        <v>4956</v>
      </c>
      <c r="BO481" s="265"/>
      <c r="BP481" s="265"/>
      <c r="BQ481" s="265"/>
      <c r="BR481" s="231"/>
    </row>
    <row r="482" spans="1:74" s="240" customFormat="1" ht="27" hidden="1" customHeight="1" x14ac:dyDescent="0.25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6502</v>
      </c>
      <c r="G482" s="207" t="s">
        <v>4400</v>
      </c>
      <c r="H482" s="207" t="s">
        <v>4401</v>
      </c>
      <c r="I482" s="160" t="s">
        <v>4402</v>
      </c>
      <c r="J482" s="215" t="s">
        <v>6503</v>
      </c>
      <c r="K482" s="215" t="s">
        <v>6504</v>
      </c>
      <c r="L482" s="215" t="s">
        <v>6505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6503</v>
      </c>
      <c r="AB482" s="215" t="s">
        <v>6504</v>
      </c>
      <c r="AC482" s="215" t="s">
        <v>6505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>IF(AQ482="SIM","AGUARDANDO CORREÇÃO",IF(AP482&lt;&gt;"","FINALIZADO",IF(AO482&lt;&gt;"","AGUARDANDO ENVIO DTS",IF(AN482&lt;&gt;"","AGUARDANDO ASSINATURA GAB",IF(AM482&lt;&gt;"","AGUARDANDO ASSINATURA CTS",IF(AL482&lt;&gt;"","AGUARDANDO ENVIO ASSINATURA CTS",IF(AK482&lt;&gt;"","AGUARDANDO CONFERÊNCIA","")))))))</f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>IFERROR(IF(BD482-KI482=0,"",BD482-AK482),"")</f>
        <v/>
      </c>
      <c r="BI482" s="98" t="str">
        <f>IF(AND(AH482&lt;&gt;"SIM",AH482="UH"),"AA","INDENIZAÇÃO")</f>
        <v>AA</v>
      </c>
      <c r="BJ482" s="98" t="str">
        <f>IF(AND(BD482&lt;&gt;"AGUARDANDO",BD482&lt;&gt;"",N482="AUXÍLIO ALUGUEL ATÉ INDENIZAÇÃO"),"SIM","NÃO")</f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hidden="1" customHeight="1" x14ac:dyDescent="0.25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6506</v>
      </c>
      <c r="G483" s="207" t="s">
        <v>4400</v>
      </c>
      <c r="H483" s="207" t="s">
        <v>4401</v>
      </c>
      <c r="I483" s="207" t="s">
        <v>4402</v>
      </c>
      <c r="J483" s="215" t="s">
        <v>6507</v>
      </c>
      <c r="K483" s="215" t="s">
        <v>6508</v>
      </c>
      <c r="L483" s="215" t="s">
        <v>6509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6507</v>
      </c>
      <c r="AB483" s="215" t="s">
        <v>6508</v>
      </c>
      <c r="AC483" s="215" t="s">
        <v>6509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>IF(AQ483="SIM","AGUARDANDO CORREÇÃO",IF(AP483&lt;&gt;"","FINALIZADO",IF(AO483&lt;&gt;"","AGUARDANDO ENVIO DTS",IF(AN483&lt;&gt;"","AGUARDANDO ASSINATURA GAB",IF(AM483&lt;&gt;"","AGUARDANDO ASSINATURA CTS",IF(AL483&lt;&gt;"","AGUARDANDO ENVIO ASSINATURA CTS",IF(AK483&lt;&gt;"","AGUARDANDO CONFERÊNCIA","")))))))</f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>IFERROR(IF(BD483-KI483=0,"",BD483-AK483),"")</f>
        <v/>
      </c>
      <c r="BI483" s="98" t="str">
        <f>IF(AND(AH483&lt;&gt;"SIM",AH483="UH"),"AA","INDENIZAÇÃO")</f>
        <v>AA</v>
      </c>
      <c r="BJ483" s="98" t="str">
        <f>IF(AND(BD483&lt;&gt;"AGUARDANDO",BD483&lt;&gt;"",N483="AUXÍLIO ALUGUEL ATÉ INDENIZAÇÃO"),"SIM","NÃO")</f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hidden="1" customHeight="1" x14ac:dyDescent="0.25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6510</v>
      </c>
      <c r="G484" s="207" t="s">
        <v>4400</v>
      </c>
      <c r="H484" s="207" t="s">
        <v>4401</v>
      </c>
      <c r="I484" s="207" t="s">
        <v>4402</v>
      </c>
      <c r="J484" s="215" t="s">
        <v>6511</v>
      </c>
      <c r="K484" s="215" t="s">
        <v>6512</v>
      </c>
      <c r="L484" s="215" t="s">
        <v>6513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6511</v>
      </c>
      <c r="AB484" s="215" t="s">
        <v>6512</v>
      </c>
      <c r="AC484" s="215" t="s">
        <v>6513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>IF(AQ484="SIM","AGUARDANDO CORREÇÃO",IF(AP484&lt;&gt;"","FINALIZADO",IF(AO484&lt;&gt;"","AGUARDANDO ENVIO DTS",IF(AN484&lt;&gt;"","AGUARDANDO ASSINATURA GAB",IF(AM484&lt;&gt;"","AGUARDANDO ASSINATURA CTS",IF(AL484&lt;&gt;"","AGUARDANDO ENVIO ASSINATURA CTS",IF(AK484&lt;&gt;"","AGUARDANDO CONFERÊNCIA","")))))))</f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>IFERROR(IF(BD484-KI484=0,"",BD484-AK484),"")</f>
        <v/>
      </c>
      <c r="BI484" s="98" t="str">
        <f>IF(AND(AH484&lt;&gt;"SIM",AH484="UH"),"AA","INDENIZAÇÃO")</f>
        <v>AA</v>
      </c>
      <c r="BJ484" s="98" t="str">
        <f>IF(AND(BD484&lt;&gt;"AGUARDANDO",BD484&lt;&gt;"",N484="AUXÍLIO ALUGUEL ATÉ INDENIZAÇÃO"),"SIM","NÃO")</f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hidden="1" customHeight="1" x14ac:dyDescent="0.25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6514</v>
      </c>
      <c r="G485" s="207" t="s">
        <v>4400</v>
      </c>
      <c r="H485" s="207" t="s">
        <v>4401</v>
      </c>
      <c r="I485" s="207" t="s">
        <v>4402</v>
      </c>
      <c r="J485" s="215" t="s">
        <v>6515</v>
      </c>
      <c r="K485" s="215" t="s">
        <v>6516</v>
      </c>
      <c r="L485" s="215" t="s">
        <v>6517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6515</v>
      </c>
      <c r="AB485" s="215" t="s">
        <v>6516</v>
      </c>
      <c r="AC485" s="215" t="s">
        <v>6517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>IF(AQ485="SIM","AGUARDANDO CORREÇÃO",IF(AP485&lt;&gt;"","FINALIZADO",IF(AO485&lt;&gt;"","AGUARDANDO ENVIO DTS",IF(AN485&lt;&gt;"","AGUARDANDO ASSINATURA GAB",IF(AM485&lt;&gt;"","AGUARDANDO ASSINATURA CTS",IF(AL485&lt;&gt;"","AGUARDANDO ENVIO ASSINATURA CTS",IF(AK485&lt;&gt;"","AGUARDANDO CONFERÊNCIA","")))))))</f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>IFERROR(IF(BD485-KI485=0,"",BD485-AK485),"")</f>
        <v/>
      </c>
      <c r="BI485" s="98" t="str">
        <f>IF(AND(AH485&lt;&gt;"SIM",AH485="UH"),"AA","INDENIZAÇÃO")</f>
        <v>AA</v>
      </c>
      <c r="BJ485" s="98" t="str">
        <f>IF(AND(BD485&lt;&gt;"AGUARDANDO",BD485&lt;&gt;"",N485="AUXÍLIO ALUGUEL ATÉ INDENIZAÇÃO"),"SIM","NÃO")</f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 x14ac:dyDescent="0.25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6518</v>
      </c>
      <c r="G486" s="207" t="s">
        <v>4400</v>
      </c>
      <c r="H486" s="207" t="s">
        <v>4401</v>
      </c>
      <c r="I486" s="207" t="s">
        <v>4402</v>
      </c>
      <c r="J486" s="215" t="s">
        <v>6519</v>
      </c>
      <c r="K486" s="215" t="s">
        <v>6520</v>
      </c>
      <c r="L486" s="215" t="s">
        <v>6521</v>
      </c>
      <c r="M486" s="207" t="s">
        <v>4405</v>
      </c>
      <c r="N486" s="207" t="s">
        <v>4441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6519</v>
      </c>
      <c r="AB486" s="215" t="s">
        <v>6520</v>
      </c>
      <c r="AC486" s="215" t="s">
        <v>6521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>IF(AQ486="SIM","AGUARDANDO CORREÇÃO",IF(AP486&lt;&gt;"","FINALIZADO",IF(AO486&lt;&gt;"","AGUARDANDO ENVIO DTS",IF(AN486&lt;&gt;"","AGUARDANDO ASSINATURA GAB",IF(AM486&lt;&gt;"","AGUARDANDO ASSINATURA CTS",IF(AL486&lt;&gt;"","AGUARDANDO ENVIO ASSINATURA CTS",IF(AK486&lt;&gt;"","AGUARDANDO CONFERÊNCIA","")))))))</f>
        <v>FINALIZADO</v>
      </c>
      <c r="AS486" s="207" t="s">
        <v>4423</v>
      </c>
      <c r="AT486" s="219"/>
      <c r="AU486" s="220" t="s">
        <v>6522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4434</v>
      </c>
      <c r="BF486" s="257" t="s">
        <v>4435</v>
      </c>
      <c r="BG486" s="219" t="s">
        <v>4425</v>
      </c>
      <c r="BH486" s="321">
        <f>IFERROR(IF(BD486-KI486=0,"",BD486-AK486),"")</f>
        <v>103</v>
      </c>
      <c r="BI486" s="98" t="str">
        <f>IF(AND(AH486&lt;&gt;"SIM",AH486="UH"),"AA","INDENIZAÇÃO")</f>
        <v>INDENIZAÇÃO</v>
      </c>
      <c r="BJ486" s="98" t="str">
        <f>IF(AND(BD486&lt;&gt;"AGUARDANDO",BD486&lt;&gt;"",N486="AUXÍLIO ALUGUEL ATÉ INDENIZAÇÃO"),"SIM","NÃO")</f>
        <v>NÃO</v>
      </c>
      <c r="BK486" s="219" t="s">
        <v>4436</v>
      </c>
      <c r="BL486" s="219" t="s">
        <v>4436</v>
      </c>
      <c r="BM486" s="219" t="s">
        <v>4436</v>
      </c>
      <c r="BN486" s="257" t="s">
        <v>4956</v>
      </c>
      <c r="BO486" s="257"/>
      <c r="BP486" s="257"/>
      <c r="BQ486" s="257"/>
      <c r="BR486" s="258"/>
      <c r="BS486" s="223"/>
      <c r="BT486" s="161"/>
    </row>
    <row r="487" spans="1:74" s="240" customFormat="1" ht="27" hidden="1" customHeight="1" x14ac:dyDescent="0.25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6523</v>
      </c>
      <c r="G487" s="207" t="s">
        <v>4400</v>
      </c>
      <c r="H487" s="207" t="s">
        <v>4401</v>
      </c>
      <c r="I487" s="207" t="s">
        <v>4402</v>
      </c>
      <c r="J487" s="215" t="s">
        <v>6524</v>
      </c>
      <c r="K487" s="215" t="s">
        <v>6525</v>
      </c>
      <c r="L487" s="215" t="s">
        <v>6526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6524</v>
      </c>
      <c r="AB487" s="215" t="s">
        <v>6525</v>
      </c>
      <c r="AC487" s="215" t="s">
        <v>6526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>IF(AQ487="SIM","AGUARDANDO CORREÇÃO",IF(AP487&lt;&gt;"","FINALIZADO",IF(AO487&lt;&gt;"","AGUARDANDO ENVIO DTS",IF(AN487&lt;&gt;"","AGUARDANDO ASSINATURA GAB",IF(AM487&lt;&gt;"","AGUARDANDO ASSINATURA CTS",IF(AL487&lt;&gt;"","AGUARDANDO ENVIO ASSINATURA CTS",IF(AK487&lt;&gt;"","AGUARDANDO CONFERÊNCIA","")))))))</f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>IFERROR(IF(BD487-KI487=0,"",BD487-AK487),"")</f>
        <v/>
      </c>
      <c r="BI487" s="98" t="str">
        <f>IF(AND(AH487&lt;&gt;"SIM",AH487="UH"),"AA","INDENIZAÇÃO")</f>
        <v>AA</v>
      </c>
      <c r="BJ487" s="98" t="str">
        <f>IF(AND(BD487&lt;&gt;"AGUARDANDO",BD487&lt;&gt;"",N487="AUXÍLIO ALUGUEL ATÉ INDENIZAÇÃO"),"SIM","NÃO")</f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hidden="1" customHeight="1" x14ac:dyDescent="0.25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6527</v>
      </c>
      <c r="G488" s="207" t="s">
        <v>4400</v>
      </c>
      <c r="H488" s="207" t="s">
        <v>4401</v>
      </c>
      <c r="I488" s="207" t="s">
        <v>4402</v>
      </c>
      <c r="J488" s="215" t="s">
        <v>6528</v>
      </c>
      <c r="K488" s="215" t="s">
        <v>6529</v>
      </c>
      <c r="L488" s="215" t="s">
        <v>6530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6528</v>
      </c>
      <c r="AB488" s="215" t="s">
        <v>6529</v>
      </c>
      <c r="AC488" s="215" t="s">
        <v>6530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>IF(AQ488="SIM","AGUARDANDO CORREÇÃO",IF(AP488&lt;&gt;"","FINALIZADO",IF(AO488&lt;&gt;"","AGUARDANDO ENVIO DTS",IF(AN488&lt;&gt;"","AGUARDANDO ASSINATURA GAB",IF(AM488&lt;&gt;"","AGUARDANDO ASSINATURA CTS",IF(AL488&lt;&gt;"","AGUARDANDO ENVIO ASSINATURA CTS",IF(AK488&lt;&gt;"","AGUARDANDO CONFERÊNCIA","")))))))</f>
        <v>FINALIZADO</v>
      </c>
      <c r="AS488" s="207" t="s">
        <v>4436</v>
      </c>
      <c r="AT488" s="219"/>
      <c r="AU488" s="220" t="s">
        <v>4436</v>
      </c>
      <c r="AV488" s="207" t="s">
        <v>4436</v>
      </c>
      <c r="AW488" s="207" t="s">
        <v>4436</v>
      </c>
      <c r="AX488" s="207" t="s">
        <v>4436</v>
      </c>
      <c r="AY488" s="207" t="s">
        <v>4436</v>
      </c>
      <c r="AZ488" s="207" t="s">
        <v>4436</v>
      </c>
      <c r="BA488" s="207" t="s">
        <v>4436</v>
      </c>
      <c r="BB488" s="207" t="s">
        <v>4436</v>
      </c>
      <c r="BC488" s="219"/>
      <c r="BD488" s="208"/>
      <c r="BE488" s="203"/>
      <c r="BF488" s="219"/>
      <c r="BG488" s="219"/>
      <c r="BH488" s="321" t="str">
        <f>IFERROR(IF(BD488-KI488=0,"",BD488-AK488),"")</f>
        <v/>
      </c>
      <c r="BI488" s="98" t="str">
        <f>IF(AND(AH488&lt;&gt;"SIM",AH488="UH"),"AA","INDENIZAÇÃO")</f>
        <v>AA</v>
      </c>
      <c r="BJ488" s="98" t="str">
        <f>IF(AND(BD488&lt;&gt;"AGUARDANDO",BD488&lt;&gt;"",N488="AUXÍLIO ALUGUEL ATÉ INDENIZAÇÃO"),"SIM","NÃO")</f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hidden="1" customHeight="1" x14ac:dyDescent="0.25">
      <c r="A489" s="197">
        <v>485</v>
      </c>
      <c r="B489" s="197" t="s">
        <v>4396</v>
      </c>
      <c r="C489" s="207" t="s">
        <v>4426</v>
      </c>
      <c r="D489" s="207">
        <v>1</v>
      </c>
      <c r="E489" s="207" t="s">
        <v>4398</v>
      </c>
      <c r="F489" s="214" t="s">
        <v>6531</v>
      </c>
      <c r="G489" s="207" t="s">
        <v>4400</v>
      </c>
      <c r="H489" s="207" t="s">
        <v>4401</v>
      </c>
      <c r="I489" s="217" t="s">
        <v>6532</v>
      </c>
      <c r="J489" s="215" t="s">
        <v>6533</v>
      </c>
      <c r="K489" s="215" t="s">
        <v>4398</v>
      </c>
      <c r="L489" s="215" t="s">
        <v>6534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6533</v>
      </c>
      <c r="AB489" s="215" t="s">
        <v>4398</v>
      </c>
      <c r="AC489" s="215" t="s">
        <v>6534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>IF(AQ489="SIM","AGUARDANDO CORREÇÃO",IF(AP489&lt;&gt;"","FINALIZADO",IF(AO489&lt;&gt;"","AGUARDANDO ENVIO DTS",IF(AN489&lt;&gt;"","AGUARDANDO ASSINATURA GAB",IF(AM489&lt;&gt;"","AGUARDANDO ASSINATURA CTS",IF(AL489&lt;&gt;"","AGUARDANDO ENVIO ASSINATURA CTS",IF(AK489&lt;&gt;"","AGUARDANDO CONFERÊNCIA","")))))))</f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>IFERROR(IF(BD489-KI489=0,"",BD489-AK489),"")</f>
        <v/>
      </c>
      <c r="BI489" s="98" t="str">
        <f>IF(AND(AH489&lt;&gt;"SIM",AH489="UH"),"AA","INDENIZAÇÃO")</f>
        <v>AA</v>
      </c>
      <c r="BJ489" s="98" t="str">
        <f>IF(AND(BD489&lt;&gt;"AGUARDANDO",BD489&lt;&gt;"",N489="AUXÍLIO ALUGUEL ATÉ INDENIZAÇÃO"),"SIM","NÃO")</f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customHeight="1" x14ac:dyDescent="0.25">
      <c r="A490" s="197">
        <v>486</v>
      </c>
      <c r="B490" s="197" t="s">
        <v>4396</v>
      </c>
      <c r="C490" s="207" t="s">
        <v>4426</v>
      </c>
      <c r="D490" s="207">
        <v>1</v>
      </c>
      <c r="E490" s="207" t="s">
        <v>4398</v>
      </c>
      <c r="F490" s="214" t="s">
        <v>6535</v>
      </c>
      <c r="G490" s="207" t="s">
        <v>4400</v>
      </c>
      <c r="H490" s="207" t="s">
        <v>4401</v>
      </c>
      <c r="I490" s="217" t="s">
        <v>4402</v>
      </c>
      <c r="J490" s="215" t="s">
        <v>6536</v>
      </c>
      <c r="K490" s="215" t="s">
        <v>6537</v>
      </c>
      <c r="L490" s="215" t="s">
        <v>6538</v>
      </c>
      <c r="M490" s="207" t="s">
        <v>4405</v>
      </c>
      <c r="N490" s="207" t="s">
        <v>4441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6536</v>
      </c>
      <c r="AB490" s="215" t="s">
        <v>6537</v>
      </c>
      <c r="AC490" s="215" t="s">
        <v>6538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>IF(AQ490="SIM","AGUARDANDO CORREÇÃO",IF(AP490&lt;&gt;"","FINALIZADO",IF(AO490&lt;&gt;"","AGUARDANDO ENVIO DTS",IF(AN490&lt;&gt;"","AGUARDANDO ASSINATURA GAB",IF(AM490&lt;&gt;"","AGUARDANDO ASSINATURA CTS",IF(AL490&lt;&gt;"","AGUARDANDO ENVIO ASSINATURA CTS",IF(AK490&lt;&gt;"","AGUARDANDO CONFERÊNCIA","")))))))</f>
        <v>FINALIZADO</v>
      </c>
      <c r="AS490" s="207" t="s">
        <v>4423</v>
      </c>
      <c r="AT490" s="219"/>
      <c r="AU490" s="220" t="s">
        <v>6539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4434</v>
      </c>
      <c r="BF490" s="245" t="s">
        <v>4435</v>
      </c>
      <c r="BG490" s="229" t="s">
        <v>4425</v>
      </c>
      <c r="BH490" s="321">
        <f>IFERROR(IF(BD490-KI490=0,"",BD490-AK490),"")</f>
        <v>50</v>
      </c>
      <c r="BI490" s="98" t="str">
        <f>IF(AND(AH490&lt;&gt;"SIM",AH490="UH"),"AA","INDENIZAÇÃO")</f>
        <v>INDENIZAÇÃO</v>
      </c>
      <c r="BJ490" s="98" t="str">
        <f>IF(AND(BD490&lt;&gt;"AGUARDANDO",BD490&lt;&gt;"",N490="AUXÍLIO ALUGUEL ATÉ INDENIZAÇÃO"),"SIM","NÃO")</f>
        <v>NÃO</v>
      </c>
      <c r="BK490" s="230" t="s">
        <v>4436</v>
      </c>
      <c r="BL490" s="230" t="s">
        <v>4436</v>
      </c>
      <c r="BM490" s="230" t="s">
        <v>4436</v>
      </c>
      <c r="BN490" s="265" t="s">
        <v>4956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hidden="1" customHeight="1" x14ac:dyDescent="0.25">
      <c r="A491" s="207">
        <v>487</v>
      </c>
      <c r="B491" s="197" t="s">
        <v>4396</v>
      </c>
      <c r="C491" s="207" t="s">
        <v>4426</v>
      </c>
      <c r="D491" s="207">
        <v>1</v>
      </c>
      <c r="E491" s="207" t="s">
        <v>4398</v>
      </c>
      <c r="F491" s="214" t="s">
        <v>6540</v>
      </c>
      <c r="G491" s="207" t="s">
        <v>4400</v>
      </c>
      <c r="H491" s="207" t="s">
        <v>4401</v>
      </c>
      <c r="I491" s="217" t="s">
        <v>4402</v>
      </c>
      <c r="J491" s="215" t="s">
        <v>6541</v>
      </c>
      <c r="K491" s="215" t="s">
        <v>4398</v>
      </c>
      <c r="L491" s="215" t="s">
        <v>6542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6541</v>
      </c>
      <c r="AB491" s="215" t="s">
        <v>4398</v>
      </c>
      <c r="AC491" s="215" t="s">
        <v>6542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>IF(AQ491="SIM","AGUARDANDO CORREÇÃO",IF(AP491&lt;&gt;"","FINALIZADO",IF(AO491&lt;&gt;"","AGUARDANDO ENVIO DTS",IF(AN491&lt;&gt;"","AGUARDANDO ASSINATURA GAB",IF(AM491&lt;&gt;"","AGUARDANDO ASSINATURA CTS",IF(AL491&lt;&gt;"","AGUARDANDO ENVIO ASSINATURA CTS",IF(AK491&lt;&gt;"","AGUARDANDO CONFERÊNCIA","")))))))</f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>IFERROR(IF(BD491-KI491=0,"",BD491-AK491),"")</f>
        <v/>
      </c>
      <c r="BI491" s="98" t="str">
        <f>IF(AND(AH491&lt;&gt;"SIM",AH491="UH"),"AA","INDENIZAÇÃO")</f>
        <v>AA</v>
      </c>
      <c r="BJ491" s="98" t="str">
        <f>IF(AND(BD491&lt;&gt;"AGUARDANDO",BD491&lt;&gt;"",N491="AUXÍLIO ALUGUEL ATÉ INDENIZAÇÃO"),"SIM","NÃO")</f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 x14ac:dyDescent="0.25">
      <c r="A492" s="207">
        <v>488</v>
      </c>
      <c r="B492" s="197" t="s">
        <v>4396</v>
      </c>
      <c r="C492" s="207" t="s">
        <v>4426</v>
      </c>
      <c r="D492" s="207">
        <v>1</v>
      </c>
      <c r="E492" s="207" t="s">
        <v>4398</v>
      </c>
      <c r="F492" s="214" t="s">
        <v>6543</v>
      </c>
      <c r="G492" s="207" t="s">
        <v>4400</v>
      </c>
      <c r="H492" s="207" t="s">
        <v>4401</v>
      </c>
      <c r="I492" s="217" t="s">
        <v>4402</v>
      </c>
      <c r="J492" s="215" t="s">
        <v>6544</v>
      </c>
      <c r="K492" s="215" t="s">
        <v>6545</v>
      </c>
      <c r="L492" s="215" t="s">
        <v>6546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6544</v>
      </c>
      <c r="AB492" s="215" t="s">
        <v>6545</v>
      </c>
      <c r="AC492" s="215" t="s">
        <v>6546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>IF(AQ492="SIM","AGUARDANDO CORREÇÃO",IF(AP492&lt;&gt;"","FINALIZADO",IF(AO492&lt;&gt;"","AGUARDANDO ENVIO DTS",IF(AN492&lt;&gt;"","AGUARDANDO ASSINATURA GAB",IF(AM492&lt;&gt;"","AGUARDANDO ASSINATURA CTS",IF(AL492&lt;&gt;"","AGUARDANDO ENVIO ASSINATURA CTS",IF(AK492&lt;&gt;"","AGUARDANDO CONFERÊNCIA","")))))))</f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>IFERROR(IF(BD492-KI492=0,"",BD492-AK492),"")</f>
        <v/>
      </c>
      <c r="BI492" s="98" t="str">
        <f>IF(AND(AH492&lt;&gt;"SIM",AH492="UH"),"AA","INDENIZAÇÃO")</f>
        <v>AA</v>
      </c>
      <c r="BJ492" s="98" t="str">
        <f>IF(AND(BD492&lt;&gt;"AGUARDANDO",BD492&lt;&gt;"",N492="AUXÍLIO ALUGUEL ATÉ INDENIZAÇÃO"),"SIM","NÃO")</f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customHeight="1" x14ac:dyDescent="0.25">
      <c r="A493" s="207">
        <v>489</v>
      </c>
      <c r="B493" s="197" t="s">
        <v>4396</v>
      </c>
      <c r="C493" s="207" t="s">
        <v>4426</v>
      </c>
      <c r="D493" s="207">
        <v>1</v>
      </c>
      <c r="E493" s="207" t="s">
        <v>4398</v>
      </c>
      <c r="F493" s="214" t="s">
        <v>6547</v>
      </c>
      <c r="G493" s="207" t="s">
        <v>4400</v>
      </c>
      <c r="H493" s="207" t="s">
        <v>4401</v>
      </c>
      <c r="I493" s="217" t="s">
        <v>4402</v>
      </c>
      <c r="J493" s="215" t="s">
        <v>6548</v>
      </c>
      <c r="K493" s="215" t="s">
        <v>6549</v>
      </c>
      <c r="L493" s="215" t="s">
        <v>6550</v>
      </c>
      <c r="M493" s="207" t="s">
        <v>4405</v>
      </c>
      <c r="N493" s="207" t="s">
        <v>4441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6548</v>
      </c>
      <c r="AB493" s="200" t="s">
        <v>6549</v>
      </c>
      <c r="AC493" s="200" t="s">
        <v>6550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4432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>IF(AQ493="SIM","AGUARDANDO CORREÇÃO",IF(AP493&lt;&gt;"","FINALIZADO",IF(AO493&lt;&gt;"","AGUARDANDO ENVIO DTS",IF(AN493&lt;&gt;"","AGUARDANDO ASSINATURA GAB",IF(AM493&lt;&gt;"","AGUARDANDO ASSINATURA CTS",IF(AL493&lt;&gt;"","AGUARDANDO ENVIO ASSINATURA CTS",IF(AK493&lt;&gt;"","AGUARDANDO CONFERÊNCIA","")))))))</f>
        <v>FINALIZADO</v>
      </c>
      <c r="AS493" s="207" t="s">
        <v>4423</v>
      </c>
      <c r="AT493" s="207"/>
      <c r="AU493" s="220" t="s">
        <v>6551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4434</v>
      </c>
      <c r="BF493" s="228" t="s">
        <v>4435</v>
      </c>
      <c r="BG493" s="229" t="s">
        <v>4425</v>
      </c>
      <c r="BH493" s="321">
        <f>IFERROR(IF(BD493-KI493=0,"",BD493-AK493),"")</f>
        <v>60</v>
      </c>
      <c r="BI493" s="98" t="str">
        <f>IF(AND(AH493&lt;&gt;"SIM",AH493="UH"),"AA","INDENIZAÇÃO")</f>
        <v>INDENIZAÇÃO</v>
      </c>
      <c r="BJ493" s="98" t="str">
        <f>IF(AND(BD493&lt;&gt;"AGUARDANDO",BD493&lt;&gt;"",N493="AUXÍLIO ALUGUEL ATÉ INDENIZAÇÃO"),"SIM","NÃO")</f>
        <v>NÃO</v>
      </c>
      <c r="BK493" s="230" t="s">
        <v>4436</v>
      </c>
      <c r="BL493" s="230" t="s">
        <v>4436</v>
      </c>
      <c r="BM493" s="230" t="s">
        <v>4436</v>
      </c>
      <c r="BN493" s="265" t="s">
        <v>4956</v>
      </c>
      <c r="BO493" s="265"/>
      <c r="BP493" s="265"/>
      <c r="BQ493" s="265"/>
      <c r="BR493" s="231"/>
    </row>
    <row r="494" spans="1:74" s="240" customFormat="1" ht="27" hidden="1" customHeight="1" x14ac:dyDescent="0.25">
      <c r="A494" s="197">
        <v>490</v>
      </c>
      <c r="B494" s="197" t="s">
        <v>4396</v>
      </c>
      <c r="C494" s="207" t="s">
        <v>4426</v>
      </c>
      <c r="D494" s="207">
        <v>1</v>
      </c>
      <c r="E494" s="207" t="s">
        <v>4398</v>
      </c>
      <c r="F494" s="214" t="s">
        <v>6552</v>
      </c>
      <c r="G494" s="207" t="s">
        <v>4400</v>
      </c>
      <c r="H494" s="207" t="s">
        <v>4401</v>
      </c>
      <c r="I494" s="217" t="s">
        <v>4402</v>
      </c>
      <c r="J494" s="215" t="s">
        <v>6553</v>
      </c>
      <c r="K494" s="215" t="s">
        <v>6554</v>
      </c>
      <c r="L494" s="215" t="s">
        <v>6555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6553</v>
      </c>
      <c r="AB494" s="215" t="s">
        <v>6554</v>
      </c>
      <c r="AC494" s="215" t="s">
        <v>6555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>IF(AQ494="SIM","AGUARDANDO CORREÇÃO",IF(AP494&lt;&gt;"","FINALIZADO",IF(AO494&lt;&gt;"","AGUARDANDO ENVIO DTS",IF(AN494&lt;&gt;"","AGUARDANDO ASSINATURA GAB",IF(AM494&lt;&gt;"","AGUARDANDO ASSINATURA CTS",IF(AL494&lt;&gt;"","AGUARDANDO ENVIO ASSINATURA CTS",IF(AK494&lt;&gt;"","AGUARDANDO CONFERÊNCIA","")))))))</f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>IFERROR(IF(BD494-KI494=0,"",BD494-AK494),"")</f>
        <v/>
      </c>
      <c r="BI494" s="98" t="str">
        <f>IF(AND(AH494&lt;&gt;"SIM",AH494="UH"),"AA","INDENIZAÇÃO")</f>
        <v>AA</v>
      </c>
      <c r="BJ494" s="98" t="str">
        <f>IF(AND(BD494&lt;&gt;"AGUARDANDO",BD494&lt;&gt;"",N494="AUXÍLIO ALUGUEL ATÉ INDENIZAÇÃO"),"SIM","NÃO")</f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hidden="1" customHeight="1" x14ac:dyDescent="0.25">
      <c r="A495" s="197">
        <v>491</v>
      </c>
      <c r="B495" s="197" t="s">
        <v>4396</v>
      </c>
      <c r="C495" s="207" t="s">
        <v>4426</v>
      </c>
      <c r="D495" s="207">
        <v>1</v>
      </c>
      <c r="E495" s="207" t="s">
        <v>4398</v>
      </c>
      <c r="F495" s="214" t="s">
        <v>6556</v>
      </c>
      <c r="G495" s="207" t="s">
        <v>4400</v>
      </c>
      <c r="H495" s="207" t="s">
        <v>4401</v>
      </c>
      <c r="I495" s="217" t="s">
        <v>4402</v>
      </c>
      <c r="J495" s="215" t="s">
        <v>6557</v>
      </c>
      <c r="K495" s="215"/>
      <c r="L495" s="215" t="s">
        <v>6558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>IF(AQ495="SIM","AGUARDANDO CORREÇÃO",IF(AP495&lt;&gt;"","FINALIZADO",IF(AO495&lt;&gt;"","AGUARDANDO ENVIO DTS",IF(AN495&lt;&gt;"","AGUARDANDO ASSINATURA GAB",IF(AM495&lt;&gt;"","AGUARDANDO ASSINATURA CTS",IF(AL495&lt;&gt;"","AGUARDANDO ENVIO ASSINATURA CTS",IF(AK495&lt;&gt;"","AGUARDANDO CONFERÊNCIA","")))))))</f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>IFERROR(IF(BD495-KI495=0,"",BD495-AK495),"")</f>
        <v/>
      </c>
      <c r="BI495" s="98" t="str">
        <f>IF(AND(AH495&lt;&gt;"SIM",AH495="UH"),"AA","INDENIZAÇÃO")</f>
        <v>INDENIZAÇÃO</v>
      </c>
      <c r="BJ495" s="98" t="str">
        <f>IF(AND(BD495&lt;&gt;"AGUARDANDO",BD495&lt;&gt;"",N495="AUXÍLIO ALUGUEL ATÉ INDENIZAÇÃO"),"SIM","NÃO")</f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 x14ac:dyDescent="0.25">
      <c r="A496" s="207">
        <v>492</v>
      </c>
      <c r="B496" s="197" t="s">
        <v>4396</v>
      </c>
      <c r="C496" s="207" t="s">
        <v>4426</v>
      </c>
      <c r="D496" s="207">
        <v>1</v>
      </c>
      <c r="E496" s="207" t="s">
        <v>4398</v>
      </c>
      <c r="F496" s="214" t="s">
        <v>6559</v>
      </c>
      <c r="G496" s="207" t="s">
        <v>4400</v>
      </c>
      <c r="H496" s="207" t="s">
        <v>4401</v>
      </c>
      <c r="I496" s="217" t="s">
        <v>4402</v>
      </c>
      <c r="J496" s="215" t="s">
        <v>6560</v>
      </c>
      <c r="K496" s="215" t="s">
        <v>6561</v>
      </c>
      <c r="L496" s="215" t="s">
        <v>6562</v>
      </c>
      <c r="M496" s="207" t="s">
        <v>4405</v>
      </c>
      <c r="N496" s="207" t="s">
        <v>4441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6560</v>
      </c>
      <c r="AB496" s="215" t="s">
        <v>6561</v>
      </c>
      <c r="AC496" s="215" t="s">
        <v>6562</v>
      </c>
      <c r="AD496" s="207" t="s">
        <v>6116</v>
      </c>
      <c r="AE496" s="207" t="s">
        <v>5045</v>
      </c>
      <c r="AF496" s="218">
        <v>73073.350000000006</v>
      </c>
      <c r="AG496" s="218">
        <v>73073.350000000006</v>
      </c>
      <c r="AH496" s="207" t="s">
        <v>4432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>IF(AQ496="SIM","AGUARDANDO CORREÇÃO",IF(AP496&lt;&gt;"","FINALIZADO",IF(AO496&lt;&gt;"","AGUARDANDO ENVIO DTS",IF(AN496&lt;&gt;"","AGUARDANDO ASSINATURA GAB",IF(AM496&lt;&gt;"","AGUARDANDO ASSINATURA CTS",IF(AL496&lt;&gt;"","AGUARDANDO ENVIO ASSINATURA CTS",IF(AK496&lt;&gt;"","AGUARDANDO CONFERÊNCIA","")))))))</f>
        <v>AGUARDANDO ASSINATURA CTS</v>
      </c>
      <c r="AS496" s="207"/>
      <c r="AT496" s="207" t="s">
        <v>6111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>IFERROR(IF(BD496-KI496=0,"",BD496-AK496),"")</f>
        <v/>
      </c>
      <c r="BI496" s="98" t="str">
        <f>IF(AND(AH496&lt;&gt;"SIM",AH496="UH"),"AA","INDENIZAÇÃO")</f>
        <v>INDENIZAÇÃO</v>
      </c>
      <c r="BJ496" s="98" t="str">
        <f>IF(AND(BD496&lt;&gt;"AGUARDANDO",BD496&lt;&gt;"",N496="AUXÍLIO ALUGUEL ATÉ INDENIZAÇÃO"),"SIM","NÃO")</f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hidden="1" customHeight="1" x14ac:dyDescent="0.25">
      <c r="A497" s="207">
        <v>493</v>
      </c>
      <c r="B497" s="197" t="s">
        <v>4396</v>
      </c>
      <c r="C497" s="207" t="s">
        <v>4426</v>
      </c>
      <c r="D497" s="207">
        <v>1</v>
      </c>
      <c r="E497" s="207" t="s">
        <v>4398</v>
      </c>
      <c r="F497" s="214" t="s">
        <v>6563</v>
      </c>
      <c r="G497" s="207" t="s">
        <v>4400</v>
      </c>
      <c r="H497" s="207" t="s">
        <v>4401</v>
      </c>
      <c r="I497" s="217" t="s">
        <v>4402</v>
      </c>
      <c r="J497" s="215" t="s">
        <v>6564</v>
      </c>
      <c r="K497" s="215" t="s">
        <v>6565</v>
      </c>
      <c r="L497" s="215" t="s">
        <v>6566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6564</v>
      </c>
      <c r="AB497" s="215" t="s">
        <v>6565</v>
      </c>
      <c r="AC497" s="215" t="s">
        <v>6566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>IF(AQ497="SIM","AGUARDANDO CORREÇÃO",IF(AP497&lt;&gt;"","FINALIZADO",IF(AO497&lt;&gt;"","AGUARDANDO ENVIO DTS",IF(AN497&lt;&gt;"","AGUARDANDO ASSINATURA GAB",IF(AM497&lt;&gt;"","AGUARDANDO ASSINATURA CTS",IF(AL497&lt;&gt;"","AGUARDANDO ENVIO ASSINATURA CTS",IF(AK497&lt;&gt;"","AGUARDANDO CONFERÊNCIA","")))))))</f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>IFERROR(IF(BD497-KI497=0,"",BD497-AK497),"")</f>
        <v/>
      </c>
      <c r="BI497" s="98" t="str">
        <f>IF(AND(AH497&lt;&gt;"SIM",AH497="UH"),"AA","INDENIZAÇÃO")</f>
        <v>AA</v>
      </c>
      <c r="BJ497" s="98" t="str">
        <f>IF(AND(BD497&lt;&gt;"AGUARDANDO",BD497&lt;&gt;"",N497="AUXÍLIO ALUGUEL ATÉ INDENIZAÇÃO"),"SIM","NÃO")</f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 x14ac:dyDescent="0.25">
      <c r="A498" s="207">
        <v>494</v>
      </c>
      <c r="B498" s="197" t="s">
        <v>4396</v>
      </c>
      <c r="C498" s="207" t="s">
        <v>4426</v>
      </c>
      <c r="D498" s="207">
        <v>1</v>
      </c>
      <c r="E498" s="207" t="s">
        <v>4398</v>
      </c>
      <c r="F498" s="214" t="s">
        <v>6567</v>
      </c>
      <c r="G498" s="207" t="s">
        <v>4400</v>
      </c>
      <c r="H498" s="207" t="s">
        <v>4401</v>
      </c>
      <c r="I498" s="217" t="s">
        <v>4402</v>
      </c>
      <c r="J498" s="215" t="s">
        <v>6568</v>
      </c>
      <c r="K498" s="215" t="s">
        <v>6569</v>
      </c>
      <c r="L498" s="215" t="s">
        <v>6570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6568</v>
      </c>
      <c r="AB498" s="215" t="s">
        <v>6569</v>
      </c>
      <c r="AC498" s="215" t="s">
        <v>6570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>IF(AQ498="SIM","AGUARDANDO CORREÇÃO",IF(AP498&lt;&gt;"","FINALIZADO",IF(AO498&lt;&gt;"","AGUARDANDO ENVIO DTS",IF(AN498&lt;&gt;"","AGUARDANDO ASSINATURA GAB",IF(AM498&lt;&gt;"","AGUARDANDO ASSINATURA CTS",IF(AL498&lt;&gt;"","AGUARDANDO ENVIO ASSINATURA CTS",IF(AK498&lt;&gt;"","AGUARDANDO CONFERÊNCIA","")))))))</f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>IFERROR(IF(BD498-KI498=0,"",BD498-AK498),"")</f>
        <v/>
      </c>
      <c r="BI498" s="98" t="str">
        <f>IF(AND(AH498&lt;&gt;"SIM",AH498="UH"),"AA","INDENIZAÇÃO")</f>
        <v>AA</v>
      </c>
      <c r="BJ498" s="98" t="str">
        <f>IF(AND(BD498&lt;&gt;"AGUARDANDO",BD498&lt;&gt;"",N498="AUXÍLIO ALUGUEL ATÉ INDENIZAÇÃO"),"SIM","NÃO")</f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 x14ac:dyDescent="0.25">
      <c r="A499" s="197">
        <v>495</v>
      </c>
      <c r="B499" s="197" t="s">
        <v>4396</v>
      </c>
      <c r="C499" s="207" t="s">
        <v>4426</v>
      </c>
      <c r="D499" s="207">
        <v>1</v>
      </c>
      <c r="E499" s="207" t="s">
        <v>4398</v>
      </c>
      <c r="F499" s="214" t="s">
        <v>6571</v>
      </c>
      <c r="G499" s="207" t="s">
        <v>4400</v>
      </c>
      <c r="H499" s="207" t="s">
        <v>4401</v>
      </c>
      <c r="I499" s="217" t="s">
        <v>4402</v>
      </c>
      <c r="J499" s="215" t="s">
        <v>6572</v>
      </c>
      <c r="K499" s="215" t="s">
        <v>6573</v>
      </c>
      <c r="L499" s="215" t="s">
        <v>6574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6572</v>
      </c>
      <c r="AB499" s="215" t="s">
        <v>6573</v>
      </c>
      <c r="AC499" s="215" t="s">
        <v>6574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>IF(AQ499="SIM","AGUARDANDO CORREÇÃO",IF(AP499&lt;&gt;"","FINALIZADO",IF(AO499&lt;&gt;"","AGUARDANDO ENVIO DTS",IF(AN499&lt;&gt;"","AGUARDANDO ASSINATURA GAB",IF(AM499&lt;&gt;"","AGUARDANDO ASSINATURA CTS",IF(AL499&lt;&gt;"","AGUARDANDO ENVIO ASSINATURA CTS",IF(AK499&lt;&gt;"","AGUARDANDO CONFERÊNCIA","")))))))</f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>IFERROR(IF(BD499-KI499=0,"",BD499-AK499),"")</f>
        <v/>
      </c>
      <c r="BI499" s="98" t="str">
        <f>IF(AND(AH499&lt;&gt;"SIM",AH499="UH"),"AA","INDENIZAÇÃO")</f>
        <v>AA</v>
      </c>
      <c r="BJ499" s="98" t="str">
        <f>IF(AND(BD499&lt;&gt;"AGUARDANDO",BD499&lt;&gt;"",N499="AUXÍLIO ALUGUEL ATÉ INDENIZAÇÃO"),"SIM","NÃO")</f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customHeight="1" x14ac:dyDescent="0.25">
      <c r="A500" s="197">
        <v>496</v>
      </c>
      <c r="B500" s="197" t="s">
        <v>4396</v>
      </c>
      <c r="C500" s="207" t="s">
        <v>4426</v>
      </c>
      <c r="D500" s="207">
        <v>1</v>
      </c>
      <c r="E500" s="207" t="s">
        <v>4398</v>
      </c>
      <c r="F500" s="214" t="s">
        <v>6575</v>
      </c>
      <c r="G500" s="207" t="s">
        <v>4400</v>
      </c>
      <c r="H500" s="207" t="s">
        <v>4401</v>
      </c>
      <c r="I500" s="217" t="s">
        <v>4402</v>
      </c>
      <c r="J500" s="215" t="s">
        <v>6576</v>
      </c>
      <c r="K500" s="215" t="s">
        <v>6577</v>
      </c>
      <c r="L500" s="215" t="s">
        <v>6578</v>
      </c>
      <c r="M500" s="207" t="s">
        <v>4405</v>
      </c>
      <c r="N500" s="207" t="s">
        <v>4441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6576</v>
      </c>
      <c r="AB500" s="215" t="s">
        <v>6577</v>
      </c>
      <c r="AC500" s="215" t="s">
        <v>6578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4432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>IF(AQ500="SIM","AGUARDANDO CORREÇÃO",IF(AP500&lt;&gt;"","FINALIZADO",IF(AO500&lt;&gt;"","AGUARDANDO ENVIO DTS",IF(AN500&lt;&gt;"","AGUARDANDO ASSINATURA GAB",IF(AM500&lt;&gt;"","AGUARDANDO ASSINATURA CTS",IF(AL500&lt;&gt;"","AGUARDANDO ENVIO ASSINATURA CTS",IF(AK500&lt;&gt;"","AGUARDANDO CONFERÊNCIA","")))))))</f>
        <v>FINALIZADO</v>
      </c>
      <c r="AS500" s="207" t="s">
        <v>4423</v>
      </c>
      <c r="AT500" s="207"/>
      <c r="AU500" s="220" t="s">
        <v>6579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4434</v>
      </c>
      <c r="BF500" s="228" t="s">
        <v>4435</v>
      </c>
      <c r="BG500" s="229" t="s">
        <v>4425</v>
      </c>
      <c r="BH500" s="321">
        <f>IFERROR(IF(BD500-KI500=0,"",BD500-AK500),"")</f>
        <v>80</v>
      </c>
      <c r="BI500" s="98" t="str">
        <f>IF(AND(AH500&lt;&gt;"SIM",AH500="UH"),"AA","INDENIZAÇÃO")</f>
        <v>INDENIZAÇÃO</v>
      </c>
      <c r="BJ500" s="98" t="str">
        <f>IF(AND(BD500&lt;&gt;"AGUARDANDO",BD500&lt;&gt;"",N500="AUXÍLIO ALUGUEL ATÉ INDENIZAÇÃO"),"SIM","NÃO")</f>
        <v>NÃO</v>
      </c>
      <c r="BK500" s="219" t="s">
        <v>4436</v>
      </c>
      <c r="BL500" s="219" t="s">
        <v>4436</v>
      </c>
      <c r="BM500" s="219" t="s">
        <v>4436</v>
      </c>
      <c r="BN500" s="257" t="s">
        <v>4956</v>
      </c>
      <c r="BO500" s="257"/>
      <c r="BP500" s="257"/>
      <c r="BQ500" s="257"/>
      <c r="BR500" s="258"/>
    </row>
    <row r="501" spans="1:112" s="240" customFormat="1" ht="27" hidden="1" customHeight="1" x14ac:dyDescent="0.25">
      <c r="A501" s="207">
        <v>497</v>
      </c>
      <c r="B501" s="197" t="s">
        <v>4396</v>
      </c>
      <c r="C501" s="207" t="s">
        <v>4426</v>
      </c>
      <c r="D501" s="207">
        <v>1</v>
      </c>
      <c r="E501" s="207" t="s">
        <v>4398</v>
      </c>
      <c r="F501" s="214" t="s">
        <v>6580</v>
      </c>
      <c r="G501" s="207" t="s">
        <v>4400</v>
      </c>
      <c r="H501" s="207" t="s">
        <v>4401</v>
      </c>
      <c r="I501" s="217" t="s">
        <v>4402</v>
      </c>
      <c r="J501" s="215" t="s">
        <v>6581</v>
      </c>
      <c r="K501" s="215" t="s">
        <v>6582</v>
      </c>
      <c r="L501" s="215" t="s">
        <v>6583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6581</v>
      </c>
      <c r="AB501" s="215" t="s">
        <v>6582</v>
      </c>
      <c r="AC501" s="215" t="s">
        <v>6583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>IF(AQ501="SIM","AGUARDANDO CORREÇÃO",IF(AP501&lt;&gt;"","FINALIZADO",IF(AO501&lt;&gt;"","AGUARDANDO ENVIO DTS",IF(AN501&lt;&gt;"","AGUARDANDO ASSINATURA GAB",IF(AM501&lt;&gt;"","AGUARDANDO ASSINATURA CTS",IF(AL501&lt;&gt;"","AGUARDANDO ENVIO ASSINATURA CTS",IF(AK501&lt;&gt;"","AGUARDANDO CONFERÊNCIA","")))))))</f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>IFERROR(IF(BD501-KI501=0,"",BD501-AK501),"")</f>
        <v/>
      </c>
      <c r="BI501" s="98" t="str">
        <f>IF(AND(AH501&lt;&gt;"SIM",AH501="UH"),"AA","INDENIZAÇÃO")</f>
        <v>AA</v>
      </c>
      <c r="BJ501" s="98" t="str">
        <f>IF(AND(BD501&lt;&gt;"AGUARDANDO",BD501&lt;&gt;"",N501="AUXÍLIO ALUGUEL ATÉ INDENIZAÇÃO"),"SIM","NÃO")</f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hidden="1" customHeight="1" x14ac:dyDescent="0.25">
      <c r="A502" s="207">
        <v>498</v>
      </c>
      <c r="B502" s="197" t="s">
        <v>4396</v>
      </c>
      <c r="C502" s="207" t="s">
        <v>4426</v>
      </c>
      <c r="D502" s="207">
        <v>1</v>
      </c>
      <c r="E502" s="207" t="s">
        <v>4398</v>
      </c>
      <c r="F502" s="214" t="s">
        <v>6584</v>
      </c>
      <c r="G502" s="207" t="s">
        <v>4400</v>
      </c>
      <c r="H502" s="207" t="s">
        <v>4401</v>
      </c>
      <c r="I502" s="217" t="s">
        <v>4402</v>
      </c>
      <c r="J502" s="215" t="s">
        <v>6585</v>
      </c>
      <c r="K502" s="215" t="s">
        <v>6586</v>
      </c>
      <c r="L502" s="215" t="s">
        <v>6587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6585</v>
      </c>
      <c r="AB502" s="215" t="s">
        <v>6586</v>
      </c>
      <c r="AC502" s="215" t="s">
        <v>6587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>IF(AQ502="SIM","AGUARDANDO CORREÇÃO",IF(AP502&lt;&gt;"","FINALIZADO",IF(AO502&lt;&gt;"","AGUARDANDO ENVIO DTS",IF(AN502&lt;&gt;"","AGUARDANDO ASSINATURA GAB",IF(AM502&lt;&gt;"","AGUARDANDO ASSINATURA CTS",IF(AL502&lt;&gt;"","AGUARDANDO ENVIO ASSINATURA CTS",IF(AK502&lt;&gt;"","AGUARDANDO CONFERÊNCIA","")))))))</f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>IFERROR(IF(BD502-KI502=0,"",BD502-AK502),"")</f>
        <v/>
      </c>
      <c r="BI502" s="98" t="str">
        <f>IF(AND(AH502&lt;&gt;"SIM",AH502="UH"),"AA","INDENIZAÇÃO")</f>
        <v>AA</v>
      </c>
      <c r="BJ502" s="98" t="str">
        <f>IF(AND(BD502&lt;&gt;"AGUARDANDO",BD502&lt;&gt;"",N502="AUXÍLIO ALUGUEL ATÉ INDENIZAÇÃO"),"SIM","NÃO")</f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 x14ac:dyDescent="0.25">
      <c r="A503" s="207">
        <v>499</v>
      </c>
      <c r="B503" s="197" t="s">
        <v>4396</v>
      </c>
      <c r="C503" s="207" t="s">
        <v>4426</v>
      </c>
      <c r="D503" s="207">
        <v>1</v>
      </c>
      <c r="E503" s="207" t="s">
        <v>4398</v>
      </c>
      <c r="F503" s="214" t="s">
        <v>6588</v>
      </c>
      <c r="G503" s="207" t="s">
        <v>4400</v>
      </c>
      <c r="H503" s="207" t="s">
        <v>4401</v>
      </c>
      <c r="I503" s="217" t="s">
        <v>4402</v>
      </c>
      <c r="J503" s="215" t="s">
        <v>6589</v>
      </c>
      <c r="K503" s="215" t="s">
        <v>6590</v>
      </c>
      <c r="L503" s="215" t="s">
        <v>6591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6589</v>
      </c>
      <c r="AB503" s="200" t="s">
        <v>6590</v>
      </c>
      <c r="AC503" s="200" t="s">
        <v>6591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>IF(AQ503="SIM","AGUARDANDO CORREÇÃO",IF(AP503&lt;&gt;"","FINALIZADO",IF(AO503&lt;&gt;"","AGUARDANDO ENVIO DTS",IF(AN503&lt;&gt;"","AGUARDANDO ASSINATURA GAB",IF(AM503&lt;&gt;"","AGUARDANDO ASSINATURA CTS",IF(AL503&lt;&gt;"","AGUARDANDO ENVIO ASSINATURA CTS",IF(AK503&lt;&gt;"","AGUARDANDO CONFERÊNCIA","")))))))</f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>IFERROR(IF(BD503-KI503=0,"",BD503-AK503),"")</f>
        <v/>
      </c>
      <c r="BI503" s="98" t="str">
        <f>IF(AND(AH503&lt;&gt;"SIM",AH503="UH"),"AA","INDENIZAÇÃO")</f>
        <v>INDENIZAÇÃO</v>
      </c>
      <c r="BJ503" s="98" t="str">
        <f>IF(AND(BD503&lt;&gt;"AGUARDANDO",BD503&lt;&gt;"",N503="AUXÍLIO ALUGUEL ATÉ INDENIZAÇÃO"),"SIM","NÃO")</f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 x14ac:dyDescent="0.25">
      <c r="A504" s="197">
        <v>500</v>
      </c>
      <c r="B504" s="197" t="s">
        <v>4396</v>
      </c>
      <c r="C504" s="207" t="s">
        <v>4426</v>
      </c>
      <c r="D504" s="207">
        <v>1</v>
      </c>
      <c r="E504" s="207" t="s">
        <v>4398</v>
      </c>
      <c r="F504" s="214" t="s">
        <v>6592</v>
      </c>
      <c r="G504" s="207" t="s">
        <v>4400</v>
      </c>
      <c r="H504" s="207" t="s">
        <v>4401</v>
      </c>
      <c r="I504" s="217" t="s">
        <v>4402</v>
      </c>
      <c r="J504" s="215" t="s">
        <v>6593</v>
      </c>
      <c r="K504" s="215" t="s">
        <v>6594</v>
      </c>
      <c r="L504" s="215" t="s">
        <v>6595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6593</v>
      </c>
      <c r="AB504" s="215" t="s">
        <v>6594</v>
      </c>
      <c r="AC504" s="215" t="s">
        <v>6595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>IF(AQ504="SIM","AGUARDANDO CORREÇÃO",IF(AP504&lt;&gt;"","FINALIZADO",IF(AO504&lt;&gt;"","AGUARDANDO ENVIO DTS",IF(AN504&lt;&gt;"","AGUARDANDO ASSINATURA GAB",IF(AM504&lt;&gt;"","AGUARDANDO ASSINATURA CTS",IF(AL504&lt;&gt;"","AGUARDANDO ENVIO ASSINATURA CTS",IF(AK504&lt;&gt;"","AGUARDANDO CONFERÊNCIA","")))))))</f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>IFERROR(IF(BD504-KI504=0,"",BD504-AK504),"")</f>
        <v/>
      </c>
      <c r="BI504" s="98" t="str">
        <f>IF(AND(AH504&lt;&gt;"SIM",AH504="UH"),"AA","INDENIZAÇÃO")</f>
        <v>AA</v>
      </c>
      <c r="BJ504" s="98" t="str">
        <f>IF(AND(BD504&lt;&gt;"AGUARDANDO",BD504&lt;&gt;"",N504="AUXÍLIO ALUGUEL ATÉ INDENIZAÇÃO"),"SIM","NÃO")</f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 x14ac:dyDescent="0.25">
      <c r="A505" s="197">
        <v>501</v>
      </c>
      <c r="B505" s="197" t="s">
        <v>4396</v>
      </c>
      <c r="C505" s="207" t="s">
        <v>4426</v>
      </c>
      <c r="D505" s="207">
        <v>1</v>
      </c>
      <c r="E505" s="207" t="s">
        <v>4398</v>
      </c>
      <c r="F505" s="214" t="s">
        <v>6596</v>
      </c>
      <c r="G505" s="207" t="s">
        <v>4400</v>
      </c>
      <c r="H505" s="207" t="s">
        <v>4401</v>
      </c>
      <c r="I505" s="217" t="s">
        <v>4402</v>
      </c>
      <c r="J505" s="215" t="s">
        <v>6597</v>
      </c>
      <c r="K505" s="215" t="s">
        <v>6598</v>
      </c>
      <c r="L505" s="215" t="s">
        <v>6599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6597</v>
      </c>
      <c r="AB505" s="215" t="s">
        <v>6598</v>
      </c>
      <c r="AC505" s="215" t="s">
        <v>6599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>IF(AQ505="SIM","AGUARDANDO CORREÇÃO",IF(AP505&lt;&gt;"","FINALIZADO",IF(AO505&lt;&gt;"","AGUARDANDO ENVIO DTS",IF(AN505&lt;&gt;"","AGUARDANDO ASSINATURA GAB",IF(AM505&lt;&gt;"","AGUARDANDO ASSINATURA CTS",IF(AL505&lt;&gt;"","AGUARDANDO ENVIO ASSINATURA CTS",IF(AK505&lt;&gt;"","AGUARDANDO CONFERÊNCIA","")))))))</f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>IFERROR(IF(BD505-KI505=0,"",BD505-AK505),"")</f>
        <v/>
      </c>
      <c r="BI505" s="98" t="str">
        <f>IF(AND(AH505&lt;&gt;"SIM",AH505="UH"),"AA","INDENIZAÇÃO")</f>
        <v>AA</v>
      </c>
      <c r="BJ505" s="98" t="str">
        <f>IF(AND(BD505&lt;&gt;"AGUARDANDO",BD505&lt;&gt;"",N505="AUXÍLIO ALUGUEL ATÉ INDENIZAÇÃO"),"SIM","NÃO")</f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 x14ac:dyDescent="0.25">
      <c r="A506" s="207">
        <v>502</v>
      </c>
      <c r="B506" s="197" t="s">
        <v>4396</v>
      </c>
      <c r="C506" s="207" t="s">
        <v>4426</v>
      </c>
      <c r="D506" s="207">
        <v>1</v>
      </c>
      <c r="E506" s="207" t="s">
        <v>4398</v>
      </c>
      <c r="F506" s="214" t="s">
        <v>6600</v>
      </c>
      <c r="G506" s="207" t="s">
        <v>4400</v>
      </c>
      <c r="H506" s="207" t="s">
        <v>4401</v>
      </c>
      <c r="I506" s="217" t="s">
        <v>4402</v>
      </c>
      <c r="J506" s="215" t="s">
        <v>6601</v>
      </c>
      <c r="K506" s="215" t="s">
        <v>6602</v>
      </c>
      <c r="L506" s="215" t="s">
        <v>6603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6601</v>
      </c>
      <c r="AB506" s="215" t="s">
        <v>6602</v>
      </c>
      <c r="AC506" s="215" t="s">
        <v>6603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>IF(AQ506="SIM","AGUARDANDO CORREÇÃO",IF(AP506&lt;&gt;"","FINALIZADO",IF(AO506&lt;&gt;"","AGUARDANDO ENVIO DTS",IF(AN506&lt;&gt;"","AGUARDANDO ASSINATURA GAB",IF(AM506&lt;&gt;"","AGUARDANDO ASSINATURA CTS",IF(AL506&lt;&gt;"","AGUARDANDO ENVIO ASSINATURA CTS",IF(AK506&lt;&gt;"","AGUARDANDO CONFERÊNCIA","")))))))</f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>IFERROR(IF(BD506-KI506=0,"",BD506-AK506),"")</f>
        <v/>
      </c>
      <c r="BI506" s="98" t="str">
        <f>IF(AND(AH506&lt;&gt;"SIM",AH506="UH"),"AA","INDENIZAÇÃO")</f>
        <v>AA</v>
      </c>
      <c r="BJ506" s="98" t="str">
        <f>IF(AND(BD506&lt;&gt;"AGUARDANDO",BD506&lt;&gt;"",N506="AUXÍLIO ALUGUEL ATÉ INDENIZAÇÃO"),"SIM","NÃO")</f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 x14ac:dyDescent="0.25">
      <c r="A507" s="207">
        <v>503</v>
      </c>
      <c r="B507" s="197" t="s">
        <v>4396</v>
      </c>
      <c r="C507" s="207" t="s">
        <v>4426</v>
      </c>
      <c r="D507" s="207">
        <v>1</v>
      </c>
      <c r="E507" s="207" t="s">
        <v>4398</v>
      </c>
      <c r="F507" s="214" t="s">
        <v>6604</v>
      </c>
      <c r="G507" s="207" t="s">
        <v>4400</v>
      </c>
      <c r="H507" s="207" t="s">
        <v>4401</v>
      </c>
      <c r="I507" s="217" t="s">
        <v>4402</v>
      </c>
      <c r="J507" s="242" t="s">
        <v>6605</v>
      </c>
      <c r="K507" s="215" t="s">
        <v>6606</v>
      </c>
      <c r="L507" s="215" t="s">
        <v>6607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6605</v>
      </c>
      <c r="AB507" s="215" t="s">
        <v>6606</v>
      </c>
      <c r="AC507" s="215" t="s">
        <v>6607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>IF(AQ507="SIM","AGUARDANDO CORREÇÃO",IF(AP507&lt;&gt;"","FINALIZADO",IF(AO507&lt;&gt;"","AGUARDANDO ENVIO DTS",IF(AN507&lt;&gt;"","AGUARDANDO ASSINATURA GAB",IF(AM507&lt;&gt;"","AGUARDANDO ASSINATURA CTS",IF(AL507&lt;&gt;"","AGUARDANDO ENVIO ASSINATURA CTS",IF(AK507&lt;&gt;"","AGUARDANDO CONFERÊNCIA","")))))))</f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>IFERROR(IF(BD507-KI507=0,"",BD507-AK507),"")</f>
        <v/>
      </c>
      <c r="BI507" s="98" t="str">
        <f>IF(AND(AH507&lt;&gt;"SIM",AH507="UH"),"AA","INDENIZAÇÃO")</f>
        <v>AA</v>
      </c>
      <c r="BJ507" s="98" t="str">
        <f>IF(AND(BD507&lt;&gt;"AGUARDANDO",BD507&lt;&gt;"",N507="AUXÍLIO ALUGUEL ATÉ INDENIZAÇÃO"),"SIM","NÃO")</f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 x14ac:dyDescent="0.25">
      <c r="A508" s="207">
        <v>504</v>
      </c>
      <c r="B508" s="197" t="s">
        <v>4396</v>
      </c>
      <c r="C508" s="207" t="s">
        <v>4426</v>
      </c>
      <c r="D508" s="207">
        <v>1</v>
      </c>
      <c r="E508" s="207" t="s">
        <v>4398</v>
      </c>
      <c r="F508" s="214" t="s">
        <v>6608</v>
      </c>
      <c r="G508" s="207" t="s">
        <v>4400</v>
      </c>
      <c r="H508" s="207" t="s">
        <v>4401</v>
      </c>
      <c r="I508" s="217" t="s">
        <v>4402</v>
      </c>
      <c r="J508" s="215" t="s">
        <v>6609</v>
      </c>
      <c r="K508" s="215" t="s">
        <v>6610</v>
      </c>
      <c r="L508" s="215" t="s">
        <v>6611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6609</v>
      </c>
      <c r="AB508" s="215" t="s">
        <v>6610</v>
      </c>
      <c r="AC508" s="215" t="s">
        <v>6611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>IF(AQ508="SIM","AGUARDANDO CORREÇÃO",IF(AP508&lt;&gt;"","FINALIZADO",IF(AO508&lt;&gt;"","AGUARDANDO ENVIO DTS",IF(AN508&lt;&gt;"","AGUARDANDO ASSINATURA GAB",IF(AM508&lt;&gt;"","AGUARDANDO ASSINATURA CTS",IF(AL508&lt;&gt;"","AGUARDANDO ENVIO ASSINATURA CTS",IF(AK508&lt;&gt;"","AGUARDANDO CONFERÊNCIA","")))))))</f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>IFERROR(IF(BD508-KI508=0,"",BD508-AK508),"")</f>
        <v/>
      </c>
      <c r="BI508" s="98" t="str">
        <f>IF(AND(AH508&lt;&gt;"SIM",AH508="UH"),"AA","INDENIZAÇÃO")</f>
        <v>AA</v>
      </c>
      <c r="BJ508" s="98" t="str">
        <f>IF(AND(BD508&lt;&gt;"AGUARDANDO",BD508&lt;&gt;"",N508="AUXÍLIO ALUGUEL ATÉ INDENIZAÇÃO"),"SIM","NÃO")</f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 x14ac:dyDescent="0.25">
      <c r="A509" s="197">
        <v>505</v>
      </c>
      <c r="B509" s="197" t="s">
        <v>4396</v>
      </c>
      <c r="C509" s="207" t="s">
        <v>4426</v>
      </c>
      <c r="D509" s="207">
        <v>1</v>
      </c>
      <c r="E509" s="207" t="s">
        <v>4398</v>
      </c>
      <c r="F509" s="214" t="s">
        <v>6612</v>
      </c>
      <c r="G509" s="207" t="s">
        <v>4400</v>
      </c>
      <c r="H509" s="207" t="s">
        <v>4401</v>
      </c>
      <c r="I509" s="207" t="s">
        <v>4402</v>
      </c>
      <c r="J509" s="215" t="s">
        <v>6613</v>
      </c>
      <c r="K509" s="215" t="s">
        <v>6590</v>
      </c>
      <c r="L509" s="215" t="s">
        <v>6614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6613</v>
      </c>
      <c r="AB509" s="215" t="s">
        <v>6590</v>
      </c>
      <c r="AC509" s="215" t="s">
        <v>6614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>IF(AQ509="SIM","AGUARDANDO CORREÇÃO",IF(AP509&lt;&gt;"","FINALIZADO",IF(AO509&lt;&gt;"","AGUARDANDO ENVIO DTS",IF(AN509&lt;&gt;"","AGUARDANDO ASSINATURA GAB",IF(AM509&lt;&gt;"","AGUARDANDO ASSINATURA CTS",IF(AL509&lt;&gt;"","AGUARDANDO ENVIO ASSINATURA CTS",IF(AK509&lt;&gt;"","AGUARDANDO CONFERÊNCIA","")))))))</f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>IFERROR(IF(BD509-KI509=0,"",BD509-AK509),"")</f>
        <v/>
      </c>
      <c r="BI509" s="98" t="str">
        <f>IF(AND(AH509&lt;&gt;"SIM",AH509="UH"),"AA","INDENIZAÇÃO")</f>
        <v>AA</v>
      </c>
      <c r="BJ509" s="98" t="str">
        <f>IF(AND(BD509&lt;&gt;"AGUARDANDO",BD509&lt;&gt;"",N509="AUXÍLIO ALUGUEL ATÉ INDENIZAÇÃO"),"SIM","NÃO")</f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hidden="1" customHeight="1" x14ac:dyDescent="0.25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6612</v>
      </c>
      <c r="G510" s="207" t="s">
        <v>4400</v>
      </c>
      <c r="H510" s="207" t="s">
        <v>4401</v>
      </c>
      <c r="I510" s="207" t="s">
        <v>4402</v>
      </c>
      <c r="J510" s="215" t="s">
        <v>6615</v>
      </c>
      <c r="K510" s="215" t="s">
        <v>6616</v>
      </c>
      <c r="L510" s="215" t="s">
        <v>6617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6618</v>
      </c>
      <c r="AB510" s="200" t="s">
        <v>6616</v>
      </c>
      <c r="AC510" s="200" t="s">
        <v>6617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>IF(AQ510="SIM","AGUARDANDO CORREÇÃO",IF(AP510&lt;&gt;"","FINALIZADO",IF(AO510&lt;&gt;"","AGUARDANDO ENVIO DTS",IF(AN510&lt;&gt;"","AGUARDANDO ASSINATURA GAB",IF(AM510&lt;&gt;"","AGUARDANDO ASSINATURA CTS",IF(AL510&lt;&gt;"","AGUARDANDO ENVIO ASSINATURA CTS",IF(AK510&lt;&gt;"","AGUARDANDO CONFERÊNCIA","")))))))</f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>IFERROR(IF(BD510-KI510=0,"",BD510-AK510),"")</f>
        <v/>
      </c>
      <c r="BI510" s="98" t="str">
        <f>IF(AND(AH510&lt;&gt;"SIM",AH510="UH"),"AA","INDENIZAÇÃO")</f>
        <v>AA</v>
      </c>
      <c r="BJ510" s="98" t="str">
        <f>IF(AND(BD510&lt;&gt;"AGUARDANDO",BD510&lt;&gt;"",N510="AUXÍLIO ALUGUEL ATÉ INDENIZAÇÃO"),"SIM","NÃO")</f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customHeight="1" x14ac:dyDescent="0.25">
      <c r="A511" s="207">
        <v>507</v>
      </c>
      <c r="B511" s="197" t="s">
        <v>4396</v>
      </c>
      <c r="C511" s="207" t="s">
        <v>4426</v>
      </c>
      <c r="D511" s="207">
        <v>1</v>
      </c>
      <c r="E511" s="207" t="s">
        <v>4398</v>
      </c>
      <c r="F511" s="214" t="s">
        <v>6619</v>
      </c>
      <c r="G511" s="207" t="s">
        <v>4400</v>
      </c>
      <c r="H511" s="207" t="s">
        <v>4401</v>
      </c>
      <c r="I511" s="217" t="s">
        <v>4921</v>
      </c>
      <c r="J511" s="215" t="s">
        <v>6620</v>
      </c>
      <c r="K511" s="215" t="s">
        <v>6621</v>
      </c>
      <c r="L511" s="215" t="s">
        <v>6622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4439</v>
      </c>
      <c r="Y511" s="202"/>
      <c r="Z511" s="207" t="s">
        <v>6623</v>
      </c>
      <c r="AA511" s="215" t="s">
        <v>6624</v>
      </c>
      <c r="AB511" s="215" t="s">
        <v>6625</v>
      </c>
      <c r="AC511" s="215" t="s">
        <v>6626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4432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>IF(AQ511="SIM","AGUARDANDO CORREÇÃO",IF(AP511&lt;&gt;"","FINALIZADO",IF(AO511&lt;&gt;"","AGUARDANDO ENVIO DTS",IF(AN511&lt;&gt;"","AGUARDANDO ASSINATURA GAB",IF(AM511&lt;&gt;"","AGUARDANDO ASSINATURA CTS",IF(AL511&lt;&gt;"","AGUARDANDO ENVIO ASSINATURA CTS",IF(AK511&lt;&gt;"","AGUARDANDO CONFERÊNCIA","")))))))</f>
        <v>FINALIZADO</v>
      </c>
      <c r="AS511" s="207" t="s">
        <v>4423</v>
      </c>
      <c r="AT511" s="207"/>
      <c r="AU511" s="220" t="s">
        <v>6627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4434</v>
      </c>
      <c r="BF511" s="228" t="s">
        <v>4435</v>
      </c>
      <c r="BG511" s="229" t="s">
        <v>4425</v>
      </c>
      <c r="BH511" s="321">
        <f>IFERROR(IF(BD511-KI511=0,"",BD511-AK511),"")</f>
        <v>118</v>
      </c>
      <c r="BI511" s="98" t="str">
        <f>IF(AND(AH511&lt;&gt;"SIM",AH511="UH"),"AA","INDENIZAÇÃO")</f>
        <v>INDENIZAÇÃO</v>
      </c>
      <c r="BJ511" s="98" t="str">
        <f>IF(AND(BD511&lt;&gt;"AGUARDANDO",BD511&lt;&gt;"",N511="AUXÍLIO ALUGUEL ATÉ INDENIZAÇÃO"),"SIM","NÃO")</f>
        <v>NÃO</v>
      </c>
      <c r="BK511" s="230" t="s">
        <v>4436</v>
      </c>
      <c r="BL511" s="230" t="s">
        <v>4436</v>
      </c>
      <c r="BM511" s="230" t="s">
        <v>4436</v>
      </c>
      <c r="BN511" s="265" t="s">
        <v>4956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hidden="1" customHeight="1" x14ac:dyDescent="0.25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6619</v>
      </c>
      <c r="G512" s="207" t="s">
        <v>4400</v>
      </c>
      <c r="H512" s="207" t="s">
        <v>4401</v>
      </c>
      <c r="I512" s="207" t="s">
        <v>4402</v>
      </c>
      <c r="J512" s="215" t="s">
        <v>6628</v>
      </c>
      <c r="K512" s="215" t="s">
        <v>4398</v>
      </c>
      <c r="L512" s="215" t="s">
        <v>6629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6628</v>
      </c>
      <c r="AB512" s="215" t="s">
        <v>4398</v>
      </c>
      <c r="AC512" s="215" t="s">
        <v>6629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>IF(AQ512="SIM","AGUARDANDO CORREÇÃO",IF(AP512&lt;&gt;"","FINALIZADO",IF(AO512&lt;&gt;"","AGUARDANDO ENVIO DTS",IF(AN512&lt;&gt;"","AGUARDANDO ASSINATURA GAB",IF(AM512&lt;&gt;"","AGUARDANDO ASSINATURA CTS",IF(AL512&lt;&gt;"","AGUARDANDO ENVIO ASSINATURA CTS",IF(AK512&lt;&gt;"","AGUARDANDO CONFERÊNCIA","")))))))</f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>IFERROR(IF(BD512-KI512=0,"",BD512-AK512),"")</f>
        <v/>
      </c>
      <c r="BI512" s="98" t="str">
        <f>IF(AND(AH512&lt;&gt;"SIM",AH512="UH"),"AA","INDENIZAÇÃO")</f>
        <v>AA</v>
      </c>
      <c r="BJ512" s="98" t="str">
        <f>IF(AND(BD512&lt;&gt;"AGUARDANDO",BD512&lt;&gt;"",N512="AUXÍLIO ALUGUEL ATÉ INDENIZAÇÃO"),"SIM","NÃO")</f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hidden="1" customHeight="1" x14ac:dyDescent="0.25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6630</v>
      </c>
      <c r="G513" s="207" t="s">
        <v>4400</v>
      </c>
      <c r="H513" s="207" t="s">
        <v>4401</v>
      </c>
      <c r="I513" s="207" t="s">
        <v>4402</v>
      </c>
      <c r="J513" s="215" t="s">
        <v>6631</v>
      </c>
      <c r="K513" s="215" t="s">
        <v>4398</v>
      </c>
      <c r="L513" s="215" t="s">
        <v>6632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6631</v>
      </c>
      <c r="AB513" s="215" t="s">
        <v>4398</v>
      </c>
      <c r="AC513" s="215" t="s">
        <v>6632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>IF(AQ513="SIM","AGUARDANDO CORREÇÃO",IF(AP513&lt;&gt;"","FINALIZADO",IF(AO513&lt;&gt;"","AGUARDANDO ENVIO DTS",IF(AN513&lt;&gt;"","AGUARDANDO ASSINATURA GAB",IF(AM513&lt;&gt;"","AGUARDANDO ASSINATURA CTS",IF(AL513&lt;&gt;"","AGUARDANDO ENVIO ASSINATURA CTS",IF(AK513&lt;&gt;"","AGUARDANDO CONFERÊNCIA","")))))))</f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>IFERROR(IF(BD513-KI513=0,"",BD513-AK513),"")</f>
        <v/>
      </c>
      <c r="BI513" s="98" t="str">
        <f>IF(AND(AH513&lt;&gt;"SIM",AH513="UH"),"AA","INDENIZAÇÃO")</f>
        <v>AA</v>
      </c>
      <c r="BJ513" s="98" t="str">
        <f>IF(AND(BD513&lt;&gt;"AGUARDANDO",BD513&lt;&gt;"",N513="AUXÍLIO ALUGUEL ATÉ INDENIZAÇÃO"),"SIM","NÃO")</f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hidden="1" customHeight="1" x14ac:dyDescent="0.25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6633</v>
      </c>
      <c r="G514" s="207" t="s">
        <v>4400</v>
      </c>
      <c r="H514" s="207" t="s">
        <v>4401</v>
      </c>
      <c r="I514" s="207" t="s">
        <v>4402</v>
      </c>
      <c r="J514" s="215" t="s">
        <v>6634</v>
      </c>
      <c r="K514" s="215" t="s">
        <v>6635</v>
      </c>
      <c r="L514" s="215" t="s">
        <v>6636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6634</v>
      </c>
      <c r="AB514" s="215" t="s">
        <v>6635</v>
      </c>
      <c r="AC514" s="215" t="s">
        <v>6636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>IF(AQ514="SIM","AGUARDANDO CORREÇÃO",IF(AP514&lt;&gt;"","FINALIZADO",IF(AO514&lt;&gt;"","AGUARDANDO ENVIO DTS",IF(AN514&lt;&gt;"","AGUARDANDO ASSINATURA GAB",IF(AM514&lt;&gt;"","AGUARDANDO ASSINATURA CTS",IF(AL514&lt;&gt;"","AGUARDANDO ENVIO ASSINATURA CTS",IF(AK514&lt;&gt;"","AGUARDANDO CONFERÊNCIA","")))))))</f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>IFERROR(IF(BD514-KI514=0,"",BD514-AK514),"")</f>
        <v/>
      </c>
      <c r="BI514" s="98" t="str">
        <f>IF(AND(AH514&lt;&gt;"SIM",AH514="UH"),"AA","INDENIZAÇÃO")</f>
        <v>AA</v>
      </c>
      <c r="BJ514" s="98" t="str">
        <f>IF(AND(BD514&lt;&gt;"AGUARDANDO",BD514&lt;&gt;"",N514="AUXÍLIO ALUGUEL ATÉ INDENIZAÇÃO"),"SIM","NÃO")</f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hidden="1" customHeight="1" x14ac:dyDescent="0.25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6637</v>
      </c>
      <c r="G515" s="207" t="s">
        <v>4400</v>
      </c>
      <c r="H515" s="207" t="s">
        <v>4401</v>
      </c>
      <c r="I515" s="207" t="s">
        <v>4402</v>
      </c>
      <c r="J515" s="215" t="s">
        <v>6638</v>
      </c>
      <c r="K515" s="215" t="s">
        <v>6639</v>
      </c>
      <c r="L515" s="215" t="s">
        <v>6640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6638</v>
      </c>
      <c r="AB515" s="215" t="s">
        <v>6639</v>
      </c>
      <c r="AC515" s="215" t="s">
        <v>6640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>IF(AQ515="SIM","AGUARDANDO CORREÇÃO",IF(AP515&lt;&gt;"","FINALIZADO",IF(AO515&lt;&gt;"","AGUARDANDO ENVIO DTS",IF(AN515&lt;&gt;"","AGUARDANDO ASSINATURA GAB",IF(AM515&lt;&gt;"","AGUARDANDO ASSINATURA CTS",IF(AL515&lt;&gt;"","AGUARDANDO ENVIO ASSINATURA CTS",IF(AK515&lt;&gt;"","AGUARDANDO CONFERÊNCIA","")))))))</f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>IFERROR(IF(BD515-KI515=0,"",BD515-AK515),"")</f>
        <v/>
      </c>
      <c r="BI515" s="98" t="str">
        <f>IF(AND(AH515&lt;&gt;"SIM",AH515="UH"),"AA","INDENIZAÇÃO")</f>
        <v>AA</v>
      </c>
      <c r="BJ515" s="98" t="str">
        <f>IF(AND(BD515&lt;&gt;"AGUARDANDO",BD515&lt;&gt;"",N515="AUXÍLIO ALUGUEL ATÉ INDENIZAÇÃO"),"SIM","NÃO")</f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hidden="1" customHeight="1" x14ac:dyDescent="0.25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6641</v>
      </c>
      <c r="G516" s="207" t="s">
        <v>4400</v>
      </c>
      <c r="H516" s="207" t="s">
        <v>4401</v>
      </c>
      <c r="I516" s="207" t="s">
        <v>4402</v>
      </c>
      <c r="J516" s="215" t="s">
        <v>6642</v>
      </c>
      <c r="K516" s="215" t="s">
        <v>6643</v>
      </c>
      <c r="L516" s="215" t="s">
        <v>6644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6642</v>
      </c>
      <c r="AB516" s="215" t="s">
        <v>6643</v>
      </c>
      <c r="AC516" s="215" t="s">
        <v>6644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>IF(AQ516="SIM","AGUARDANDO CORREÇÃO",IF(AP516&lt;&gt;"","FINALIZADO",IF(AO516&lt;&gt;"","AGUARDANDO ENVIO DTS",IF(AN516&lt;&gt;"","AGUARDANDO ASSINATURA GAB",IF(AM516&lt;&gt;"","AGUARDANDO ASSINATURA CTS",IF(AL516&lt;&gt;"","AGUARDANDO ENVIO ASSINATURA CTS",IF(AK516&lt;&gt;"","AGUARDANDO CONFERÊNCIA","")))))))</f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>IFERROR(IF(BD516-KI516=0,"",BD516-AK516),"")</f>
        <v/>
      </c>
      <c r="BI516" s="98" t="str">
        <f>IF(AND(AH516&lt;&gt;"SIM",AH516="UH"),"AA","INDENIZAÇÃO")</f>
        <v>AA</v>
      </c>
      <c r="BJ516" s="98" t="str">
        <f>IF(AND(BD516&lt;&gt;"AGUARDANDO",BD516&lt;&gt;"",N516="AUXÍLIO ALUGUEL ATÉ INDENIZAÇÃO"),"SIM","NÃO")</f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hidden="1" customHeight="1" x14ac:dyDescent="0.25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6645</v>
      </c>
      <c r="G517" s="207" t="s">
        <v>4400</v>
      </c>
      <c r="H517" s="207" t="s">
        <v>4401</v>
      </c>
      <c r="I517" s="207" t="s">
        <v>4402</v>
      </c>
      <c r="J517" s="215" t="s">
        <v>6646</v>
      </c>
      <c r="K517" s="215" t="s">
        <v>6647</v>
      </c>
      <c r="L517" s="215" t="s">
        <v>4607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6646</v>
      </c>
      <c r="AB517" s="215" t="s">
        <v>6647</v>
      </c>
      <c r="AC517" s="215" t="s">
        <v>4607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>IF(AQ517="SIM","AGUARDANDO CORREÇÃO",IF(AP517&lt;&gt;"","FINALIZADO",IF(AO517&lt;&gt;"","AGUARDANDO ENVIO DTS",IF(AN517&lt;&gt;"","AGUARDANDO ASSINATURA GAB",IF(AM517&lt;&gt;"","AGUARDANDO ASSINATURA CTS",IF(AL517&lt;&gt;"","AGUARDANDO ENVIO ASSINATURA CTS",IF(AK517&lt;&gt;"","AGUARDANDO CONFERÊNCIA","")))))))</f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>IFERROR(IF(BD517-KI517=0,"",BD517-AK517),"")</f>
        <v/>
      </c>
      <c r="BI517" s="98" t="str">
        <f>IF(AND(AH517&lt;&gt;"SIM",AH517="UH"),"AA","INDENIZAÇÃO")</f>
        <v>AA</v>
      </c>
      <c r="BJ517" s="98" t="str">
        <f>IF(AND(BD517&lt;&gt;"AGUARDANDO",BD517&lt;&gt;"",N517="AUXÍLIO ALUGUEL ATÉ INDENIZAÇÃO"),"SIM","NÃO")</f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hidden="1" customHeight="1" x14ac:dyDescent="0.25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6648</v>
      </c>
      <c r="G518" s="207" t="s">
        <v>4400</v>
      </c>
      <c r="H518" s="207" t="s">
        <v>4401</v>
      </c>
      <c r="I518" s="207" t="s">
        <v>4402</v>
      </c>
      <c r="J518" s="215" t="s">
        <v>6649</v>
      </c>
      <c r="K518" s="215" t="s">
        <v>6650</v>
      </c>
      <c r="L518" s="215" t="s">
        <v>6651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6649</v>
      </c>
      <c r="AB518" s="215" t="s">
        <v>6650</v>
      </c>
      <c r="AC518" s="215" t="s">
        <v>6651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>IFERROR(IF(BD518-KI518=0,"",BD518-AK518),"")</f>
        <v/>
      </c>
      <c r="BI518" s="98" t="str">
        <f>IF(AND(AH518&lt;&gt;"SIM",AH518="UH"),"AA","INDENIZAÇÃO")</f>
        <v>AA</v>
      </c>
      <c r="BJ518" s="98" t="str">
        <f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hidden="1" customHeight="1" x14ac:dyDescent="0.25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6652</v>
      </c>
      <c r="G519" s="207" t="s">
        <v>4400</v>
      </c>
      <c r="H519" s="207" t="s">
        <v>4401</v>
      </c>
      <c r="I519" s="207" t="s">
        <v>4402</v>
      </c>
      <c r="J519" s="215" t="s">
        <v>6653</v>
      </c>
      <c r="K519" s="215" t="s">
        <v>6654</v>
      </c>
      <c r="L519" s="215" t="s">
        <v>6655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6653</v>
      </c>
      <c r="AB519" s="215" t="s">
        <v>6654</v>
      </c>
      <c r="AC519" s="215" t="s">
        <v>6655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>IF(AQ519="SIM","AGUARDANDO CORREÇÃO",IF(AP519&lt;&gt;"","FINALIZADO",IF(AO519&lt;&gt;"","AGUARDANDO ENVIO DTS",IF(AN519&lt;&gt;"","AGUARDANDO ASSINATURA GAB",IF(AM519&lt;&gt;"","AGUARDANDO ASSINATURA CTS",IF(AL519&lt;&gt;"","AGUARDANDO ENVIO ASSINATURA CTS",IF(AK519&lt;&gt;"","AGUARDANDO CONFERÊNCIA","")))))))</f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>IFERROR(IF(BD519-KI519=0,"",BD519-AK519),"")</f>
        <v/>
      </c>
      <c r="BI519" s="98" t="str">
        <f>IF(AND(AH519&lt;&gt;"SIM",AH519="UH"),"AA","INDENIZAÇÃO")</f>
        <v>AA</v>
      </c>
      <c r="BJ519" s="98" t="str">
        <f>IF(AND(BD519&lt;&gt;"AGUARDANDO",BD519&lt;&gt;"",N519="AUXÍLIO ALUGUEL ATÉ INDENIZAÇÃO"),"SIM","NÃO")</f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hidden="1" customHeight="1" x14ac:dyDescent="0.25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6656</v>
      </c>
      <c r="G520" s="207" t="s">
        <v>4400</v>
      </c>
      <c r="H520" s="207" t="s">
        <v>4401</v>
      </c>
      <c r="I520" s="207" t="s">
        <v>4402</v>
      </c>
      <c r="J520" s="215" t="s">
        <v>6657</v>
      </c>
      <c r="K520" s="215" t="s">
        <v>6658</v>
      </c>
      <c r="L520" s="215" t="s">
        <v>6659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6657</v>
      </c>
      <c r="AB520" s="215" t="s">
        <v>6658</v>
      </c>
      <c r="AC520" s="215" t="s">
        <v>6659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>IF(AQ520="SIM","AGUARDANDO CORREÇÃO",IF(AP520&lt;&gt;"","FINALIZADO",IF(AO520&lt;&gt;"","AGUARDANDO ENVIO DTS",IF(AN520&lt;&gt;"","AGUARDANDO ASSINATURA GAB",IF(AM520&lt;&gt;"","AGUARDANDO ASSINATURA CTS",IF(AL520&lt;&gt;"","AGUARDANDO ENVIO ASSINATURA CTS",IF(AK520&lt;&gt;"","AGUARDANDO CONFERÊNCIA","")))))))</f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>IFERROR(IF(BD520-KI520=0,"",BD520-AK520),"")</f>
        <v/>
      </c>
      <c r="BI520" s="98" t="str">
        <f>IF(AND(AH520&lt;&gt;"SIM",AH520="UH"),"AA","INDENIZAÇÃO")</f>
        <v>AA</v>
      </c>
      <c r="BJ520" s="98" t="str">
        <f>IF(AND(BD520&lt;&gt;"AGUARDANDO",BD520&lt;&gt;"",N520="AUXÍLIO ALUGUEL ATÉ INDENIZAÇÃO"),"SIM","NÃO")</f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customHeight="1" x14ac:dyDescent="0.25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6660</v>
      </c>
      <c r="G521" s="207" t="s">
        <v>4400</v>
      </c>
      <c r="H521" s="207" t="s">
        <v>4401</v>
      </c>
      <c r="I521" s="207" t="s">
        <v>4402</v>
      </c>
      <c r="J521" s="215" t="s">
        <v>6661</v>
      </c>
      <c r="K521" s="215" t="s">
        <v>6662</v>
      </c>
      <c r="L521" s="215" t="s">
        <v>6663</v>
      </c>
      <c r="M521" s="207" t="s">
        <v>4405</v>
      </c>
      <c r="N521" s="207" t="s">
        <v>4431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6661</v>
      </c>
      <c r="AB521" s="215" t="s">
        <v>6662</v>
      </c>
      <c r="AC521" s="215" t="s">
        <v>6663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>IF(AQ521="SIM","AGUARDANDO CORREÇÃO",IF(AP521&lt;&gt;"","FINALIZADO",IF(AO521&lt;&gt;"","AGUARDANDO ENVIO DTS",IF(AN521&lt;&gt;"","AGUARDANDO ASSINATURA GAB",IF(AM521&lt;&gt;"","AGUARDANDO ASSINATURA CTS",IF(AL521&lt;&gt;"","AGUARDANDO ENVIO ASSINATURA CTS",IF(AK521&lt;&gt;"","AGUARDANDO CONFERÊNCIA","")))))))</f>
        <v>FINALIZADO</v>
      </c>
      <c r="AS521" s="207" t="s">
        <v>4423</v>
      </c>
      <c r="AT521" s="219"/>
      <c r="AU521" s="220" t="s">
        <v>6664</v>
      </c>
      <c r="AV521" s="207" t="s">
        <v>4425</v>
      </c>
      <c r="AW521" s="197" t="s">
        <v>4425</v>
      </c>
      <c r="AX521" s="207" t="s">
        <v>4817</v>
      </c>
      <c r="AY521" s="207" t="s">
        <v>4817</v>
      </c>
      <c r="AZ521" s="202">
        <v>46233</v>
      </c>
      <c r="BA521" s="207" t="s">
        <v>4817</v>
      </c>
      <c r="BB521" s="207" t="s">
        <v>4817</v>
      </c>
      <c r="BC521" s="202">
        <v>46234</v>
      </c>
      <c r="BD521" s="226">
        <v>46234</v>
      </c>
      <c r="BE521" s="257" t="s">
        <v>4434</v>
      </c>
      <c r="BF521" s="257" t="s">
        <v>4435</v>
      </c>
      <c r="BG521" s="219" t="s">
        <v>4425</v>
      </c>
      <c r="BH521" s="321">
        <f>IFERROR(IF(BD521-KI521=0,"",BD521-AK521),"")</f>
        <v>46</v>
      </c>
      <c r="BI521" s="98" t="str">
        <f>IF(AND(AH521&lt;&gt;"SIM",AH521="UH"),"AA","INDENIZAÇÃO")</f>
        <v>INDENIZAÇÃO</v>
      </c>
      <c r="BJ521" s="98" t="str">
        <f>IF(AND(BD521&lt;&gt;"AGUARDANDO",BD521&lt;&gt;"",N521="AUXÍLIO ALUGUEL ATÉ INDENIZAÇÃO"),"SIM","NÃO")</f>
        <v>NÃO</v>
      </c>
      <c r="BK521" s="219" t="s">
        <v>4436</v>
      </c>
      <c r="BL521" s="219" t="s">
        <v>4436</v>
      </c>
      <c r="BM521" s="219" t="s">
        <v>4436</v>
      </c>
      <c r="BN521" s="257" t="s">
        <v>4956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hidden="1" customHeight="1" x14ac:dyDescent="0.25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6665</v>
      </c>
      <c r="G522" s="207" t="s">
        <v>4400</v>
      </c>
      <c r="H522" s="207" t="s">
        <v>4401</v>
      </c>
      <c r="I522" s="207" t="s">
        <v>4402</v>
      </c>
      <c r="J522" s="215" t="s">
        <v>6666</v>
      </c>
      <c r="K522" s="215" t="s">
        <v>6667</v>
      </c>
      <c r="L522" s="215" t="s">
        <v>6668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6666</v>
      </c>
      <c r="AB522" s="215" t="s">
        <v>6667</v>
      </c>
      <c r="AC522" s="215" t="s">
        <v>6668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>IF(AQ522="SIM","AGUARDANDO CORREÇÃO",IF(AP522&lt;&gt;"","FINALIZADO",IF(AO522&lt;&gt;"","AGUARDANDO ENVIO DTS",IF(AN522&lt;&gt;"","AGUARDANDO ASSINATURA GAB",IF(AM522&lt;&gt;"","AGUARDANDO ASSINATURA CTS",IF(AL522&lt;&gt;"","AGUARDANDO ENVIO ASSINATURA CTS",IF(AK522&lt;&gt;"","AGUARDANDO CONFERÊNCIA","")))))))</f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>IFERROR(IF(BD522-KI522=0,"",BD522-AK522),"")</f>
        <v/>
      </c>
      <c r="BI522" s="98" t="str">
        <f>IF(AND(AH522&lt;&gt;"SIM",AH522="UH"),"AA","INDENIZAÇÃO")</f>
        <v>AA</v>
      </c>
      <c r="BJ522" s="98" t="str">
        <f>IF(AND(BD522&lt;&gt;"AGUARDANDO",BD522&lt;&gt;"",N522="AUXÍLIO ALUGUEL ATÉ INDENIZAÇÃO"),"SIM","NÃO")</f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hidden="1" customHeight="1" x14ac:dyDescent="0.25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6669</v>
      </c>
      <c r="G523" s="207" t="s">
        <v>4400</v>
      </c>
      <c r="H523" s="207" t="s">
        <v>4401</v>
      </c>
      <c r="I523" s="207" t="s">
        <v>4402</v>
      </c>
      <c r="J523" s="215" t="s">
        <v>6670</v>
      </c>
      <c r="K523" s="215" t="s">
        <v>6671</v>
      </c>
      <c r="L523" s="215" t="s">
        <v>6672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6670</v>
      </c>
      <c r="AB523" s="215" t="s">
        <v>6671</v>
      </c>
      <c r="AC523" s="215" t="s">
        <v>6672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>IF(AQ523="SIM","AGUARDANDO CORREÇÃO",IF(AP523&lt;&gt;"","FINALIZADO",IF(AO523&lt;&gt;"","AGUARDANDO ENVIO DTS",IF(AN523&lt;&gt;"","AGUARDANDO ASSINATURA GAB",IF(AM523&lt;&gt;"","AGUARDANDO ASSINATURA CTS",IF(AL523&lt;&gt;"","AGUARDANDO ENVIO ASSINATURA CTS",IF(AK523&lt;&gt;"","AGUARDANDO CONFERÊNCIA","")))))))</f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>IFERROR(IF(BD523-KI523=0,"",BD523-AK523),"")</f>
        <v/>
      </c>
      <c r="BI523" s="98" t="str">
        <f>IF(AND(AH523&lt;&gt;"SIM",AH523="UH"),"AA","INDENIZAÇÃO")</f>
        <v>AA</v>
      </c>
      <c r="BJ523" s="98" t="str">
        <f>IF(AND(BD523&lt;&gt;"AGUARDANDO",BD523&lt;&gt;"",N523="AUXÍLIO ALUGUEL ATÉ INDENIZAÇÃO"),"SIM","NÃO")</f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hidden="1" customHeight="1" x14ac:dyDescent="0.25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6673</v>
      </c>
      <c r="G524" s="207" t="s">
        <v>4400</v>
      </c>
      <c r="H524" s="207" t="s">
        <v>4401</v>
      </c>
      <c r="I524" s="207" t="s">
        <v>4402</v>
      </c>
      <c r="J524" s="215" t="s">
        <v>6674</v>
      </c>
      <c r="K524" s="215" t="s">
        <v>6675</v>
      </c>
      <c r="L524" s="215" t="s">
        <v>6676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6674</v>
      </c>
      <c r="AB524" s="215" t="s">
        <v>6675</v>
      </c>
      <c r="AC524" s="215" t="s">
        <v>6676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>IF(AQ524="SIM","AGUARDANDO CORREÇÃO",IF(AP524&lt;&gt;"","FINALIZADO",IF(AO524&lt;&gt;"","AGUARDANDO ENVIO DTS",IF(AN524&lt;&gt;"","AGUARDANDO ASSINATURA GAB",IF(AM524&lt;&gt;"","AGUARDANDO ASSINATURA CTS",IF(AL524&lt;&gt;"","AGUARDANDO ENVIO ASSINATURA CTS",IF(AK524&lt;&gt;"","AGUARDANDO CONFERÊNCIA","")))))))</f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>IFERROR(IF(BD524-KI524=0,"",BD524-AK524),"")</f>
        <v/>
      </c>
      <c r="BI524" s="98" t="str">
        <f>IF(AND(AH524&lt;&gt;"SIM",AH524="UH"),"AA","INDENIZAÇÃO")</f>
        <v>AA</v>
      </c>
      <c r="BJ524" s="98" t="str">
        <f>IF(AND(BD524&lt;&gt;"AGUARDANDO",BD524&lt;&gt;"",N524="AUXÍLIO ALUGUEL ATÉ INDENIZAÇÃO"),"SIM","NÃO")</f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hidden="1" customHeight="1" x14ac:dyDescent="0.25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6677</v>
      </c>
      <c r="G525" s="207" t="s">
        <v>4400</v>
      </c>
      <c r="H525" s="207" t="s">
        <v>4401</v>
      </c>
      <c r="I525" s="207" t="s">
        <v>4402</v>
      </c>
      <c r="J525" s="215" t="s">
        <v>6678</v>
      </c>
      <c r="K525" s="215" t="s">
        <v>6679</v>
      </c>
      <c r="L525" s="215" t="s">
        <v>6680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6678</v>
      </c>
      <c r="AB525" s="215" t="s">
        <v>6679</v>
      </c>
      <c r="AC525" s="215" t="s">
        <v>6680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>IF(AQ525="SIM","AGUARDANDO CORREÇÃO",IF(AP525&lt;&gt;"","FINALIZADO",IF(AO525&lt;&gt;"","AGUARDANDO ENVIO DTS",IF(AN525&lt;&gt;"","AGUARDANDO ASSINATURA GAB",IF(AM525&lt;&gt;"","AGUARDANDO ASSINATURA CTS",IF(AL525&lt;&gt;"","AGUARDANDO ENVIO ASSINATURA CTS",IF(AK525&lt;&gt;"","AGUARDANDO CONFERÊNCIA","")))))))</f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>IFERROR(IF(BD525-KI525=0,"",BD525-AK525),"")</f>
        <v/>
      </c>
      <c r="BI525" s="98" t="str">
        <f>IF(AND(AH525&lt;&gt;"SIM",AH525="UH"),"AA","INDENIZAÇÃO")</f>
        <v>AA</v>
      </c>
      <c r="BJ525" s="98" t="str">
        <f>IF(AND(BD525&lt;&gt;"AGUARDANDO",BD525&lt;&gt;"",N525="AUXÍLIO ALUGUEL ATÉ INDENIZAÇÃO"),"SIM","NÃO")</f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hidden="1" customHeight="1" x14ac:dyDescent="0.25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6681</v>
      </c>
      <c r="G526" s="207" t="s">
        <v>4400</v>
      </c>
      <c r="H526" s="207" t="s">
        <v>4401</v>
      </c>
      <c r="I526" s="207" t="s">
        <v>4402</v>
      </c>
      <c r="J526" s="215" t="s">
        <v>6682</v>
      </c>
      <c r="K526" s="215" t="s">
        <v>6683</v>
      </c>
      <c r="L526" s="215" t="s">
        <v>6684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6682</v>
      </c>
      <c r="AB526" s="215" t="s">
        <v>6683</v>
      </c>
      <c r="AC526" s="215" t="s">
        <v>6684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>IF(AQ526="SIM","AGUARDANDO CORREÇÃO",IF(AP526&lt;&gt;"","FINALIZADO",IF(AO526&lt;&gt;"","AGUARDANDO ENVIO DTS",IF(AN526&lt;&gt;"","AGUARDANDO ASSINATURA GAB",IF(AM526&lt;&gt;"","AGUARDANDO ASSINATURA CTS",IF(AL526&lt;&gt;"","AGUARDANDO ENVIO ASSINATURA CTS",IF(AK526&lt;&gt;"","AGUARDANDO CONFERÊNCIA","")))))))</f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>IFERROR(IF(BD526-KI526=0,"",BD526-AK526),"")</f>
        <v/>
      </c>
      <c r="BI526" s="98" t="str">
        <f>IF(AND(AH526&lt;&gt;"SIM",AH526="UH"),"AA","INDENIZAÇÃO")</f>
        <v>AA</v>
      </c>
      <c r="BJ526" s="98" t="str">
        <f>IF(AND(BD526&lt;&gt;"AGUARDANDO",BD526&lt;&gt;"",N526="AUXÍLIO ALUGUEL ATÉ INDENIZAÇÃO"),"SIM","NÃO")</f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hidden="1" customHeight="1" x14ac:dyDescent="0.25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6685</v>
      </c>
      <c r="G527" s="207" t="s">
        <v>4400</v>
      </c>
      <c r="H527" s="207" t="s">
        <v>4401</v>
      </c>
      <c r="I527" s="207" t="s">
        <v>4402</v>
      </c>
      <c r="J527" s="215" t="s">
        <v>6686</v>
      </c>
      <c r="K527" s="215" t="s">
        <v>6687</v>
      </c>
      <c r="L527" s="215" t="s">
        <v>6688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6686</v>
      </c>
      <c r="AB527" s="215" t="s">
        <v>6687</v>
      </c>
      <c r="AC527" s="215" t="s">
        <v>6688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>IF(AQ527="SIM","AGUARDANDO CORREÇÃO",IF(AP527&lt;&gt;"","FINALIZADO",IF(AO527&lt;&gt;"","AGUARDANDO ENVIO DTS",IF(AN527&lt;&gt;"","AGUARDANDO ASSINATURA GAB",IF(AM527&lt;&gt;"","AGUARDANDO ASSINATURA CTS",IF(AL527&lt;&gt;"","AGUARDANDO ENVIO ASSINATURA CTS",IF(AK527&lt;&gt;"","AGUARDANDO CONFERÊNCIA","")))))))</f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>IFERROR(IF(BD527-KI527=0,"",BD527-AK527),"")</f>
        <v/>
      </c>
      <c r="BI527" s="98" t="str">
        <f>IF(AND(AH527&lt;&gt;"SIM",AH527="UH"),"AA","INDENIZAÇÃO")</f>
        <v>AA</v>
      </c>
      <c r="BJ527" s="98" t="str">
        <f>IF(AND(BD527&lt;&gt;"AGUARDANDO",BD527&lt;&gt;"",N527="AUXÍLIO ALUGUEL ATÉ INDENIZAÇÃO"),"SIM","NÃO")</f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hidden="1" customHeight="1" x14ac:dyDescent="0.25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6689</v>
      </c>
      <c r="G528" s="207" t="s">
        <v>4400</v>
      </c>
      <c r="H528" s="207" t="s">
        <v>4401</v>
      </c>
      <c r="I528" s="207" t="s">
        <v>4402</v>
      </c>
      <c r="J528" s="215" t="s">
        <v>6690</v>
      </c>
      <c r="K528" s="215">
        <v>30.475688000000002</v>
      </c>
      <c r="L528" s="215" t="s">
        <v>6691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6690</v>
      </c>
      <c r="AB528" s="215">
        <v>30.475688000000002</v>
      </c>
      <c r="AC528" s="215" t="s">
        <v>6691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>IF(AQ528="SIM","AGUARDANDO CORREÇÃO",IF(AP528&lt;&gt;"","FINALIZADO",IF(AO528&lt;&gt;"","AGUARDANDO ENVIO DTS",IF(AN528&lt;&gt;"","AGUARDANDO ASSINATURA GAB",IF(AM528&lt;&gt;"","AGUARDANDO ASSINATURA CTS",IF(AL528&lt;&gt;"","AGUARDANDO ENVIO ASSINATURA CTS",IF(AK528&lt;&gt;"","AGUARDANDO CONFERÊNCIA","")))))))</f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>IFERROR(IF(BD528-KI528=0,"",BD528-AK528),"")</f>
        <v/>
      </c>
      <c r="BI528" s="98" t="str">
        <f>IF(AND(AH528&lt;&gt;"SIM",AH528="UH"),"AA","INDENIZAÇÃO")</f>
        <v>AA</v>
      </c>
      <c r="BJ528" s="98" t="str">
        <f>IF(AND(BD528&lt;&gt;"AGUARDANDO",BD528&lt;&gt;"",N528="AUXÍLIO ALUGUEL ATÉ INDENIZAÇÃO"),"SIM","NÃO")</f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hidden="1" customHeight="1" x14ac:dyDescent="0.25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6692</v>
      </c>
      <c r="G529" s="207" t="s">
        <v>4400</v>
      </c>
      <c r="H529" s="207" t="s">
        <v>4401</v>
      </c>
      <c r="I529" s="207" t="s">
        <v>4402</v>
      </c>
      <c r="J529" s="215" t="s">
        <v>6693</v>
      </c>
      <c r="K529" s="215"/>
      <c r="L529" s="215" t="s">
        <v>6694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>IF(AQ529="SIM","AGUARDANDO CORREÇÃO",IF(AP529&lt;&gt;"","FINALIZADO",IF(AO529&lt;&gt;"","AGUARDANDO ENVIO DTS",IF(AN529&lt;&gt;"","AGUARDANDO ASSINATURA GAB",IF(AM529&lt;&gt;"","AGUARDANDO ASSINATURA CTS",IF(AL529&lt;&gt;"","AGUARDANDO ENVIO ASSINATURA CTS",IF(AK529&lt;&gt;"","AGUARDANDO CONFERÊNCIA","")))))))</f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>IFERROR(IF(BD529-KI529=0,"",BD529-AK529),"")</f>
        <v/>
      </c>
      <c r="BI529" s="98" t="str">
        <f>IF(AND(AH529&lt;&gt;"SIM",AH529="UH"),"AA","INDENIZAÇÃO")</f>
        <v>INDENIZAÇÃO</v>
      </c>
      <c r="BJ529" s="98" t="str">
        <f>IF(AND(BD529&lt;&gt;"AGUARDANDO",BD529&lt;&gt;"",N529="AUXÍLIO ALUGUEL ATÉ INDENIZAÇÃO"),"SIM","NÃO")</f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hidden="1" customHeight="1" x14ac:dyDescent="0.25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6695</v>
      </c>
      <c r="G530" s="207" t="s">
        <v>4400</v>
      </c>
      <c r="H530" s="207" t="s">
        <v>4401</v>
      </c>
      <c r="I530" s="207" t="s">
        <v>4402</v>
      </c>
      <c r="J530" s="215" t="s">
        <v>6696</v>
      </c>
      <c r="K530" s="215" t="s">
        <v>6697</v>
      </c>
      <c r="L530" s="215" t="s">
        <v>6698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6696</v>
      </c>
      <c r="AB530" s="215" t="s">
        <v>6697</v>
      </c>
      <c r="AC530" s="215" t="s">
        <v>6698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>IF(AQ530="SIM","AGUARDANDO CORREÇÃO",IF(AP530&lt;&gt;"","FINALIZADO",IF(AO530&lt;&gt;"","AGUARDANDO ENVIO DTS",IF(AN530&lt;&gt;"","AGUARDANDO ASSINATURA GAB",IF(AM530&lt;&gt;"","AGUARDANDO ASSINATURA CTS",IF(AL530&lt;&gt;"","AGUARDANDO ENVIO ASSINATURA CTS",IF(AK530&lt;&gt;"","AGUARDANDO CONFERÊNCIA","")))))))</f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>IFERROR(IF(BD530-KI530=0,"",BD530-AK530),"")</f>
        <v/>
      </c>
      <c r="BI530" s="98" t="str">
        <f>IF(AND(AH530&lt;&gt;"SIM",AH530="UH"),"AA","INDENIZAÇÃO")</f>
        <v>AA</v>
      </c>
      <c r="BJ530" s="98" t="str">
        <f>IF(AND(BD530&lt;&gt;"AGUARDANDO",BD530&lt;&gt;"",N530="AUXÍLIO ALUGUEL ATÉ INDENIZAÇÃO"),"SIM","NÃO")</f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hidden="1" customHeight="1" x14ac:dyDescent="0.25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6699</v>
      </c>
      <c r="G531" s="207" t="s">
        <v>4400</v>
      </c>
      <c r="H531" s="207" t="s">
        <v>4401</v>
      </c>
      <c r="I531" s="207" t="s">
        <v>4402</v>
      </c>
      <c r="J531" s="215" t="s">
        <v>6700</v>
      </c>
      <c r="K531" s="215" t="s">
        <v>6701</v>
      </c>
      <c r="L531" s="215" t="s">
        <v>6702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6700</v>
      </c>
      <c r="AB531" s="215" t="s">
        <v>6701</v>
      </c>
      <c r="AC531" s="215" t="s">
        <v>6702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>IF(AQ531="SIM","AGUARDANDO CORREÇÃO",IF(AP531&lt;&gt;"","FINALIZADO",IF(AO531&lt;&gt;"","AGUARDANDO ENVIO DTS",IF(AN531&lt;&gt;"","AGUARDANDO ASSINATURA GAB",IF(AM531&lt;&gt;"","AGUARDANDO ASSINATURA CTS",IF(AL531&lt;&gt;"","AGUARDANDO ENVIO ASSINATURA CTS",IF(AK531&lt;&gt;"","AGUARDANDO CONFERÊNCIA","")))))))</f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>IFERROR(IF(BD531-KI531=0,"",BD531-AK531),"")</f>
        <v/>
      </c>
      <c r="BI531" s="98" t="str">
        <f>IF(AND(AH531&lt;&gt;"SIM",AH531="UH"),"AA","INDENIZAÇÃO")</f>
        <v>AA</v>
      </c>
      <c r="BJ531" s="98" t="str">
        <f>IF(AND(BD531&lt;&gt;"AGUARDANDO",BD531&lt;&gt;"",N531="AUXÍLIO ALUGUEL ATÉ INDENIZAÇÃO"),"SIM","NÃO")</f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hidden="1" customHeight="1" x14ac:dyDescent="0.25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6703</v>
      </c>
      <c r="G532" s="207" t="s">
        <v>4400</v>
      </c>
      <c r="H532" s="207" t="s">
        <v>4401</v>
      </c>
      <c r="I532" s="207" t="s">
        <v>4402</v>
      </c>
      <c r="J532" s="215" t="s">
        <v>6704</v>
      </c>
      <c r="K532" s="215" t="s">
        <v>6705</v>
      </c>
      <c r="L532" s="215" t="s">
        <v>6706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6704</v>
      </c>
      <c r="AB532" s="215" t="s">
        <v>6705</v>
      </c>
      <c r="AC532" s="215" t="s">
        <v>6706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>IF(AQ532="SIM","AGUARDANDO CORREÇÃO",IF(AP532&lt;&gt;"","FINALIZADO",IF(AO532&lt;&gt;"","AGUARDANDO ENVIO DTS",IF(AN532&lt;&gt;"","AGUARDANDO ASSINATURA GAB",IF(AM532&lt;&gt;"","AGUARDANDO ASSINATURA CTS",IF(AL532&lt;&gt;"","AGUARDANDO ENVIO ASSINATURA CTS",IF(AK532&lt;&gt;"","AGUARDANDO CONFERÊNCIA","")))))))</f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>IFERROR(IF(BD532-KI532=0,"",BD532-AK532),"")</f>
        <v/>
      </c>
      <c r="BI532" s="98" t="str">
        <f>IF(AND(AH532&lt;&gt;"SIM",AH532="UH"),"AA","INDENIZAÇÃO")</f>
        <v>AA</v>
      </c>
      <c r="BJ532" s="98" t="str">
        <f>IF(AND(BD532&lt;&gt;"AGUARDANDO",BD532&lt;&gt;"",N532="AUXÍLIO ALUGUEL ATÉ INDENIZAÇÃO"),"SIM","NÃO")</f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hidden="1" customHeight="1" x14ac:dyDescent="0.25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6707</v>
      </c>
      <c r="G533" s="207" t="s">
        <v>4400</v>
      </c>
      <c r="H533" s="207" t="s">
        <v>4401</v>
      </c>
      <c r="I533" s="207" t="s">
        <v>4402</v>
      </c>
      <c r="J533" s="215" t="s">
        <v>6708</v>
      </c>
      <c r="K533" s="215" t="s">
        <v>6709</v>
      </c>
      <c r="L533" s="215" t="s">
        <v>6710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6708</v>
      </c>
      <c r="AB533" s="215" t="s">
        <v>6709</v>
      </c>
      <c r="AC533" s="215" t="s">
        <v>6710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>IF(AQ533="SIM","AGUARDANDO CORREÇÃO",IF(AP533&lt;&gt;"","FINALIZADO",IF(AO533&lt;&gt;"","AGUARDANDO ENVIO DTS",IF(AN533&lt;&gt;"","AGUARDANDO ASSINATURA GAB",IF(AM533&lt;&gt;"","AGUARDANDO ASSINATURA CTS",IF(AL533&lt;&gt;"","AGUARDANDO ENVIO ASSINATURA CTS",IF(AK533&lt;&gt;"","AGUARDANDO CONFERÊNCIA","")))))))</f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>IFERROR(IF(BD533-KI533=0,"",BD533-AK533),"")</f>
        <v/>
      </c>
      <c r="BI533" s="98" t="str">
        <f>IF(AND(AH533&lt;&gt;"SIM",AH533="UH"),"AA","INDENIZAÇÃO")</f>
        <v>AA</v>
      </c>
      <c r="BJ533" s="98" t="str">
        <f>IF(AND(BD533&lt;&gt;"AGUARDANDO",BD533&lt;&gt;"",N533="AUXÍLIO ALUGUEL ATÉ INDENIZAÇÃO"),"SIM","NÃO")</f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customHeight="1" x14ac:dyDescent="0.25">
      <c r="A534" s="197">
        <v>530</v>
      </c>
      <c r="B534" s="197" t="s">
        <v>4396</v>
      </c>
      <c r="C534" s="207" t="s">
        <v>4426</v>
      </c>
      <c r="D534" s="207">
        <v>1</v>
      </c>
      <c r="E534" s="207" t="s">
        <v>4398</v>
      </c>
      <c r="F534" s="214" t="s">
        <v>6711</v>
      </c>
      <c r="G534" s="207" t="s">
        <v>4400</v>
      </c>
      <c r="H534" s="207" t="s">
        <v>4401</v>
      </c>
      <c r="I534" s="217" t="s">
        <v>4402</v>
      </c>
      <c r="J534" s="215" t="s">
        <v>6712</v>
      </c>
      <c r="K534" s="215" t="s">
        <v>6713</v>
      </c>
      <c r="L534" s="215" t="s">
        <v>6714</v>
      </c>
      <c r="M534" s="207" t="s">
        <v>4405</v>
      </c>
      <c r="N534" s="207" t="s">
        <v>4441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6712</v>
      </c>
      <c r="AB534" s="215" t="s">
        <v>6713</v>
      </c>
      <c r="AC534" s="215" t="s">
        <v>6714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4432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>IF(AQ534="SIM","AGUARDANDO CORREÇÃO",IF(AP534&lt;&gt;"","FINALIZADO",IF(AO534&lt;&gt;"","AGUARDANDO ENVIO DTS",IF(AN534&lt;&gt;"","AGUARDANDO ASSINATURA GAB",IF(AM534&lt;&gt;"","AGUARDANDO ASSINATURA CTS",IF(AL534&lt;&gt;"","AGUARDANDO ENVIO ASSINATURA CTS",IF(AK534&lt;&gt;"","AGUARDANDO CONFERÊNCIA","")))))))</f>
        <v>FINALIZADO</v>
      </c>
      <c r="AS534" s="207" t="s">
        <v>4423</v>
      </c>
      <c r="AT534" s="219"/>
      <c r="AU534" s="220" t="s">
        <v>6715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4434</v>
      </c>
      <c r="BF534" s="228" t="s">
        <v>4435</v>
      </c>
      <c r="BG534" s="229" t="s">
        <v>4425</v>
      </c>
      <c r="BH534" s="321">
        <f>IFERROR(IF(BD534-KI534=0,"",BD534-AK534),"")</f>
        <v>58</v>
      </c>
      <c r="BI534" s="98" t="str">
        <f>IF(AND(AH534&lt;&gt;"SIM",AH534="UH"),"AA","INDENIZAÇÃO")</f>
        <v>INDENIZAÇÃO</v>
      </c>
      <c r="BJ534" s="98" t="str">
        <f>IF(AND(BD534&lt;&gt;"AGUARDANDO",BD534&lt;&gt;"",N534="AUXÍLIO ALUGUEL ATÉ INDENIZAÇÃO"),"SIM","NÃO")</f>
        <v>NÃO</v>
      </c>
      <c r="BK534" s="230" t="s">
        <v>4436</v>
      </c>
      <c r="BL534" s="230" t="s">
        <v>4436</v>
      </c>
      <c r="BM534" s="230" t="s">
        <v>4436</v>
      </c>
      <c r="BN534" s="265" t="s">
        <v>4956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hidden="1" customHeight="1" x14ac:dyDescent="0.25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6711</v>
      </c>
      <c r="G535" s="207" t="s">
        <v>4400</v>
      </c>
      <c r="H535" s="207" t="s">
        <v>4401</v>
      </c>
      <c r="I535" s="207" t="s">
        <v>4402</v>
      </c>
      <c r="J535" s="215" t="s">
        <v>6716</v>
      </c>
      <c r="K535" s="215" t="s">
        <v>6717</v>
      </c>
      <c r="L535" s="215" t="s">
        <v>6718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6716</v>
      </c>
      <c r="AB535" s="215" t="s">
        <v>6717</v>
      </c>
      <c r="AC535" s="215" t="s">
        <v>6718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>IF(AQ535="SIM","AGUARDANDO CORREÇÃO",IF(AP535&lt;&gt;"","FINALIZADO",IF(AO535&lt;&gt;"","AGUARDANDO ENVIO DTS",IF(AN535&lt;&gt;"","AGUARDANDO ASSINATURA GAB",IF(AM535&lt;&gt;"","AGUARDANDO ASSINATURA CTS",IF(AL535&lt;&gt;"","AGUARDANDO ENVIO ASSINATURA CTS",IF(AK535&lt;&gt;"","AGUARDANDO CONFERÊNCIA","")))))))</f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>IFERROR(IF(BD535-KI535=0,"",BD535-AK535),"")</f>
        <v/>
      </c>
      <c r="BI535" s="98" t="str">
        <f>IF(AND(AH535&lt;&gt;"SIM",AH535="UH"),"AA","INDENIZAÇÃO")</f>
        <v>AA</v>
      </c>
      <c r="BJ535" s="98" t="str">
        <f>IF(AND(BD535&lt;&gt;"AGUARDANDO",BD535&lt;&gt;"",N535="AUXÍLIO ALUGUEL ATÉ INDENIZAÇÃO"),"SIM","NÃO")</f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 x14ac:dyDescent="0.25">
      <c r="A536" s="207">
        <v>532</v>
      </c>
      <c r="B536" s="197" t="s">
        <v>4396</v>
      </c>
      <c r="C536" s="207" t="s">
        <v>4426</v>
      </c>
      <c r="D536" s="207">
        <v>1</v>
      </c>
      <c r="E536" s="207" t="s">
        <v>4398</v>
      </c>
      <c r="F536" s="214" t="s">
        <v>6719</v>
      </c>
      <c r="G536" s="207" t="s">
        <v>4400</v>
      </c>
      <c r="H536" s="207" t="s">
        <v>4401</v>
      </c>
      <c r="I536" s="217" t="s">
        <v>4402</v>
      </c>
      <c r="J536" s="215" t="s">
        <v>6720</v>
      </c>
      <c r="K536" s="215" t="s">
        <v>6721</v>
      </c>
      <c r="L536" s="215" t="s">
        <v>6722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6720</v>
      </c>
      <c r="AB536" s="215" t="s">
        <v>6721</v>
      </c>
      <c r="AC536" s="215" t="s">
        <v>6722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>IF(AQ536="SIM","AGUARDANDO CORREÇÃO",IF(AP536&lt;&gt;"","FINALIZADO",IF(AO536&lt;&gt;"","AGUARDANDO ENVIO DTS",IF(AN536&lt;&gt;"","AGUARDANDO ASSINATURA GAB",IF(AM536&lt;&gt;"","AGUARDANDO ASSINATURA CTS",IF(AL536&lt;&gt;"","AGUARDANDO ENVIO ASSINATURA CTS",IF(AK536&lt;&gt;"","AGUARDANDO CONFERÊNCIA","")))))))</f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>IFERROR(IF(BD536-KI536=0,"",BD536-AK536),"")</f>
        <v/>
      </c>
      <c r="BI536" s="98" t="str">
        <f>IF(AND(AH536&lt;&gt;"SIM",AH536="UH"),"AA","INDENIZAÇÃO")</f>
        <v>AA</v>
      </c>
      <c r="BJ536" s="98" t="str">
        <f>IF(AND(BD536&lt;&gt;"AGUARDANDO",BD536&lt;&gt;"",N536="AUXÍLIO ALUGUEL ATÉ INDENIZAÇÃO"),"SIM","NÃO")</f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hidden="1" customHeight="1" x14ac:dyDescent="0.25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6719</v>
      </c>
      <c r="G537" s="207" t="s">
        <v>4400</v>
      </c>
      <c r="H537" s="207" t="s">
        <v>4401</v>
      </c>
      <c r="I537" s="207" t="s">
        <v>4402</v>
      </c>
      <c r="J537" s="215" t="s">
        <v>4631</v>
      </c>
      <c r="K537" s="215" t="s">
        <v>4398</v>
      </c>
      <c r="L537" s="215" t="s">
        <v>4632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4631</v>
      </c>
      <c r="AB537" s="215" t="s">
        <v>4398</v>
      </c>
      <c r="AC537" s="215" t="s">
        <v>4632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>IF(AQ537="SIM","AGUARDANDO CORREÇÃO",IF(AP537&lt;&gt;"","FINALIZADO",IF(AO537&lt;&gt;"","AGUARDANDO ENVIO DTS",IF(AN537&lt;&gt;"","AGUARDANDO ASSINATURA GAB",IF(AM537&lt;&gt;"","AGUARDANDO ASSINATURA CTS",IF(AL537&lt;&gt;"","AGUARDANDO ENVIO ASSINATURA CTS",IF(AK537&lt;&gt;"","AGUARDANDO CONFERÊNCIA","")))))))</f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>IFERROR(IF(BD537-KI537=0,"",BD537-AK537),"")</f>
        <v/>
      </c>
      <c r="BI537" s="98" t="str">
        <f>IF(AND(AH537&lt;&gt;"SIM",AH537="UH"),"AA","INDENIZAÇÃO")</f>
        <v>AA</v>
      </c>
      <c r="BJ537" s="98" t="str">
        <f>IF(AND(BD537&lt;&gt;"AGUARDANDO",BD537&lt;&gt;"",N537="AUXÍLIO ALUGUEL ATÉ INDENIZAÇÃO"),"SIM","NÃO")</f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hidden="1" customHeight="1" x14ac:dyDescent="0.25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6723</v>
      </c>
      <c r="G538" s="207" t="s">
        <v>4400</v>
      </c>
      <c r="H538" s="207" t="s">
        <v>4401</v>
      </c>
      <c r="I538" s="207" t="s">
        <v>4535</v>
      </c>
      <c r="J538" s="215" t="s">
        <v>6724</v>
      </c>
      <c r="K538" s="215" t="s">
        <v>6725</v>
      </c>
      <c r="L538" s="215" t="s">
        <v>6726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6724</v>
      </c>
      <c r="AB538" s="215" t="s">
        <v>6725</v>
      </c>
      <c r="AC538" s="215" t="s">
        <v>6726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>IF(AQ538="SIM","AGUARDANDO CORREÇÃO",IF(AP538&lt;&gt;"","FINALIZADO",IF(AO538&lt;&gt;"","AGUARDANDO ENVIO DTS",IF(AN538&lt;&gt;"","AGUARDANDO ASSINATURA GAB",IF(AM538&lt;&gt;"","AGUARDANDO ASSINATURA CTS",IF(AL538&lt;&gt;"","AGUARDANDO ENVIO ASSINATURA CTS",IF(AK538&lt;&gt;"","AGUARDANDO CONFERÊNCIA","")))))))</f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>IFERROR(IF(BD538-KI538=0,"",BD538-AK538),"")</f>
        <v/>
      </c>
      <c r="BI538" s="98" t="str">
        <f>IF(AND(AH538&lt;&gt;"SIM",AH538="UH"),"AA","INDENIZAÇÃO")</f>
        <v>AA</v>
      </c>
      <c r="BJ538" s="98" t="str">
        <f>IF(AND(BD538&lt;&gt;"AGUARDANDO",BD538&lt;&gt;"",N538="AUXÍLIO ALUGUEL ATÉ INDENIZAÇÃO"),"SIM","NÃO")</f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hidden="1" customHeight="1" x14ac:dyDescent="0.25">
      <c r="A539" s="197">
        <v>535</v>
      </c>
      <c r="B539" s="197" t="s">
        <v>4396</v>
      </c>
      <c r="C539" s="207" t="s">
        <v>4426</v>
      </c>
      <c r="D539" s="207">
        <v>1</v>
      </c>
      <c r="E539" s="207" t="s">
        <v>4398</v>
      </c>
      <c r="F539" s="214" t="s">
        <v>6727</v>
      </c>
      <c r="G539" s="207" t="s">
        <v>4400</v>
      </c>
      <c r="H539" s="207" t="s">
        <v>4401</v>
      </c>
      <c r="I539" s="217" t="s">
        <v>4402</v>
      </c>
      <c r="J539" s="215" t="s">
        <v>6728</v>
      </c>
      <c r="K539" s="215" t="s">
        <v>4439</v>
      </c>
      <c r="L539" s="215" t="s">
        <v>6729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6728</v>
      </c>
      <c r="AB539" s="215" t="s">
        <v>4439</v>
      </c>
      <c r="AC539" s="215" t="s">
        <v>6729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>IF(AQ539="SIM","AGUARDANDO CORREÇÃO",IF(AP539&lt;&gt;"","FINALIZADO",IF(AO539&lt;&gt;"","AGUARDANDO ENVIO DTS",IF(AN539&lt;&gt;"","AGUARDANDO ASSINATURA GAB",IF(AM539&lt;&gt;"","AGUARDANDO ASSINATURA CTS",IF(AL539&lt;&gt;"","AGUARDANDO ENVIO ASSINATURA CTS",IF(AK539&lt;&gt;"","AGUARDANDO CONFERÊNCIA","")))))))</f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>IFERROR(IF(BD539-KI539=0,"",BD539-AK539),"")</f>
        <v/>
      </c>
      <c r="BI539" s="98" t="str">
        <f>IF(AND(AH539&lt;&gt;"SIM",AH539="UH"),"AA","INDENIZAÇÃO")</f>
        <v>AA</v>
      </c>
      <c r="BJ539" s="98" t="str">
        <f>IF(AND(BD539&lt;&gt;"AGUARDANDO",BD539&lt;&gt;"",N539="AUXÍLIO ALUGUEL ATÉ INDENIZAÇÃO"),"SIM","NÃO")</f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hidden="1" customHeight="1" x14ac:dyDescent="0.25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6727</v>
      </c>
      <c r="G540" s="207" t="s">
        <v>4400</v>
      </c>
      <c r="H540" s="207" t="s">
        <v>4401</v>
      </c>
      <c r="I540" s="207" t="s">
        <v>4402</v>
      </c>
      <c r="J540" s="215" t="s">
        <v>6730</v>
      </c>
      <c r="K540" s="215" t="s">
        <v>6731</v>
      </c>
      <c r="L540" s="215" t="s">
        <v>6732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6730</v>
      </c>
      <c r="AB540" s="215" t="s">
        <v>6731</v>
      </c>
      <c r="AC540" s="215" t="s">
        <v>6732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>IF(AQ540="SIM","AGUARDANDO CORREÇÃO",IF(AP540&lt;&gt;"","FINALIZADO",IF(AO540&lt;&gt;"","AGUARDANDO ENVIO DTS",IF(AN540&lt;&gt;"","AGUARDANDO ASSINATURA GAB",IF(AM540&lt;&gt;"","AGUARDANDO ASSINATURA CTS",IF(AL540&lt;&gt;"","AGUARDANDO ENVIO ASSINATURA CTS",IF(AK540&lt;&gt;"","AGUARDANDO CONFERÊNCIA","")))))))</f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>IFERROR(IF(BD540-KI540=0,"",BD540-AK540),"")</f>
        <v/>
      </c>
      <c r="BI540" s="98" t="str">
        <f>IF(AND(AH540&lt;&gt;"SIM",AH540="UH"),"AA","INDENIZAÇÃO")</f>
        <v>AA</v>
      </c>
      <c r="BJ540" s="98" t="str">
        <f>IF(AND(BD540&lt;&gt;"AGUARDANDO",BD540&lt;&gt;"",N540="AUXÍLIO ALUGUEL ATÉ INDENIZAÇÃO"),"SIM","NÃO")</f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customHeight="1" x14ac:dyDescent="0.25">
      <c r="A541" s="207">
        <v>537</v>
      </c>
      <c r="B541" s="197" t="s">
        <v>4396</v>
      </c>
      <c r="C541" s="207" t="s">
        <v>4426</v>
      </c>
      <c r="D541" s="207">
        <v>1</v>
      </c>
      <c r="E541" s="207" t="s">
        <v>4398</v>
      </c>
      <c r="F541" s="214" t="s">
        <v>6733</v>
      </c>
      <c r="G541" s="207" t="s">
        <v>4400</v>
      </c>
      <c r="H541" s="207" t="s">
        <v>4401</v>
      </c>
      <c r="I541" s="217" t="s">
        <v>4402</v>
      </c>
      <c r="J541" s="215" t="s">
        <v>6734</v>
      </c>
      <c r="K541" s="215" t="s">
        <v>6735</v>
      </c>
      <c r="L541" s="215" t="s">
        <v>6736</v>
      </c>
      <c r="M541" s="207" t="s">
        <v>4405</v>
      </c>
      <c r="N541" s="207" t="s">
        <v>4441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6734</v>
      </c>
      <c r="AB541" s="215" t="s">
        <v>6735</v>
      </c>
      <c r="AC541" s="215" t="s">
        <v>6736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4432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>IF(AQ541="SIM","AGUARDANDO CORREÇÃO",IF(AP541&lt;&gt;"","FINALIZADO",IF(AO541&lt;&gt;"","AGUARDANDO ENVIO DTS",IF(AN541&lt;&gt;"","AGUARDANDO ASSINATURA GAB",IF(AM541&lt;&gt;"","AGUARDANDO ASSINATURA CTS",IF(AL541&lt;&gt;"","AGUARDANDO ENVIO ASSINATURA CTS",IF(AK541&lt;&gt;"","AGUARDANDO CONFERÊNCIA","")))))))</f>
        <v>FINALIZADO</v>
      </c>
      <c r="AS541" s="207" t="s">
        <v>4423</v>
      </c>
      <c r="AT541" s="219"/>
      <c r="AU541" s="220" t="s">
        <v>6737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4434</v>
      </c>
      <c r="BF541" s="245" t="s">
        <v>4435</v>
      </c>
      <c r="BG541" s="229" t="s">
        <v>4425</v>
      </c>
      <c r="BH541" s="321">
        <f>IFERROR(IF(BD541-KI541=0,"",BD541-AK541),"")</f>
        <v>81</v>
      </c>
      <c r="BI541" s="98" t="str">
        <f>IF(AND(AH541&lt;&gt;"SIM",AH541="UH"),"AA","INDENIZAÇÃO")</f>
        <v>INDENIZAÇÃO</v>
      </c>
      <c r="BJ541" s="98" t="str">
        <f>IF(AND(BD541&lt;&gt;"AGUARDANDO",BD541&lt;&gt;"",N541="AUXÍLIO ALUGUEL ATÉ INDENIZAÇÃO"),"SIM","NÃO")</f>
        <v>NÃO</v>
      </c>
      <c r="BK541" s="219" t="s">
        <v>4436</v>
      </c>
      <c r="BL541" s="219" t="s">
        <v>4436</v>
      </c>
      <c r="BM541" s="219" t="s">
        <v>4436</v>
      </c>
      <c r="BN541" s="257" t="s">
        <v>4956</v>
      </c>
      <c r="BO541" s="257"/>
      <c r="BP541" s="257"/>
      <c r="BQ541" s="257"/>
      <c r="BR541" s="258"/>
      <c r="BS541" s="223"/>
      <c r="BT541" s="223"/>
    </row>
    <row r="542" spans="1:112" s="240" customFormat="1" ht="27" hidden="1" customHeight="1" x14ac:dyDescent="0.25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6733</v>
      </c>
      <c r="G542" s="207" t="s">
        <v>4400</v>
      </c>
      <c r="H542" s="207" t="s">
        <v>4401</v>
      </c>
      <c r="I542" s="207" t="s">
        <v>4402</v>
      </c>
      <c r="J542" s="215" t="s">
        <v>6738</v>
      </c>
      <c r="K542" s="215" t="s">
        <v>6739</v>
      </c>
      <c r="L542" s="215" t="s">
        <v>6740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6738</v>
      </c>
      <c r="AB542" s="215" t="s">
        <v>6739</v>
      </c>
      <c r="AC542" s="215" t="s">
        <v>6740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>IF(AQ542="SIM","AGUARDANDO CORREÇÃO",IF(AP542&lt;&gt;"","FINALIZADO",IF(AO542&lt;&gt;"","AGUARDANDO ENVIO DTS",IF(AN542&lt;&gt;"","AGUARDANDO ASSINATURA GAB",IF(AM542&lt;&gt;"","AGUARDANDO ASSINATURA CTS",IF(AL542&lt;&gt;"","AGUARDANDO ENVIO ASSINATURA CTS",IF(AK542&lt;&gt;"","AGUARDANDO CONFERÊNCIA","")))))))</f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>IFERROR(IF(BD542-KI542=0,"",BD542-AK542),"")</f>
        <v/>
      </c>
      <c r="BI542" s="98" t="str">
        <f>IF(AND(AH542&lt;&gt;"SIM",AH542="UH"),"AA","INDENIZAÇÃO")</f>
        <v>AA</v>
      </c>
      <c r="BJ542" s="98" t="str">
        <f>IF(AND(BD542&lt;&gt;"AGUARDANDO",BD542&lt;&gt;"",N542="AUXÍLIO ALUGUEL ATÉ INDENIZAÇÃO"),"SIM","NÃO")</f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hidden="1" customHeight="1" x14ac:dyDescent="0.25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6741</v>
      </c>
      <c r="G543" s="207" t="s">
        <v>4400</v>
      </c>
      <c r="H543" s="207" t="s">
        <v>4401</v>
      </c>
      <c r="I543" s="207" t="s">
        <v>4402</v>
      </c>
      <c r="J543" s="215" t="s">
        <v>6742</v>
      </c>
      <c r="K543" s="215" t="s">
        <v>6743</v>
      </c>
      <c r="L543" s="215" t="s">
        <v>6744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6742</v>
      </c>
      <c r="AB543" s="215" t="s">
        <v>6743</v>
      </c>
      <c r="AC543" s="215" t="s">
        <v>6744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>IF(AQ543="SIM","AGUARDANDO CORREÇÃO",IF(AP543&lt;&gt;"","FINALIZADO",IF(AO543&lt;&gt;"","AGUARDANDO ENVIO DTS",IF(AN543&lt;&gt;"","AGUARDANDO ASSINATURA GAB",IF(AM543&lt;&gt;"","AGUARDANDO ASSINATURA CTS",IF(AL543&lt;&gt;"","AGUARDANDO ENVIO ASSINATURA CTS",IF(AK543&lt;&gt;"","AGUARDANDO CONFERÊNCIA","")))))))</f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>IFERROR(IF(BD543-KI543=0,"",BD543-AK543),"")</f>
        <v/>
      </c>
      <c r="BI543" s="98" t="str">
        <f>IF(AND(AH543&lt;&gt;"SIM",AH543="UH"),"AA","INDENIZAÇÃO")</f>
        <v>AA</v>
      </c>
      <c r="BJ543" s="98" t="str">
        <f>IF(AND(BD543&lt;&gt;"AGUARDANDO",BD543&lt;&gt;"",N543="AUXÍLIO ALUGUEL ATÉ INDENIZAÇÃO"),"SIM","NÃO")</f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hidden="1" customHeight="1" x14ac:dyDescent="0.25">
      <c r="A544" s="197">
        <v>540</v>
      </c>
      <c r="B544" s="197" t="s">
        <v>4396</v>
      </c>
      <c r="C544" s="207" t="s">
        <v>4426</v>
      </c>
      <c r="D544" s="207">
        <v>1</v>
      </c>
      <c r="E544" s="207" t="s">
        <v>4398</v>
      </c>
      <c r="F544" s="214" t="s">
        <v>6745</v>
      </c>
      <c r="G544" s="207" t="s">
        <v>4400</v>
      </c>
      <c r="H544" s="207" t="s">
        <v>4401</v>
      </c>
      <c r="I544" s="207" t="s">
        <v>4402</v>
      </c>
      <c r="J544" s="215" t="s">
        <v>6746</v>
      </c>
      <c r="K544" s="215" t="s">
        <v>6747</v>
      </c>
      <c r="L544" s="215" t="s">
        <v>6748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6746</v>
      </c>
      <c r="AB544" s="215" t="s">
        <v>6747</v>
      </c>
      <c r="AC544" s="215" t="s">
        <v>6748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>IF(AQ544="SIM","AGUARDANDO CORREÇÃO",IF(AP544&lt;&gt;"","FINALIZADO",IF(AO544&lt;&gt;"","AGUARDANDO ENVIO DTS",IF(AN544&lt;&gt;"","AGUARDANDO ASSINATURA GAB",IF(AM544&lt;&gt;"","AGUARDANDO ASSINATURA CTS",IF(AL544&lt;&gt;"","AGUARDANDO ENVIO ASSINATURA CTS",IF(AK544&lt;&gt;"","AGUARDANDO CONFERÊNCIA","")))))))</f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>IFERROR(IF(BD544-KI544=0,"",BD544-AK544),"")</f>
        <v/>
      </c>
      <c r="BI544" s="98" t="str">
        <f>IF(AND(AH544&lt;&gt;"SIM",AH544="UH"),"AA","INDENIZAÇÃO")</f>
        <v>AA</v>
      </c>
      <c r="BJ544" s="98" t="str">
        <f>IF(AND(BD544&lt;&gt;"AGUARDANDO",BD544&lt;&gt;"",N544="AUXÍLIO ALUGUEL ATÉ INDENIZAÇÃO"),"SIM","NÃO")</f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hidden="1" customHeight="1" x14ac:dyDescent="0.25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6745</v>
      </c>
      <c r="G545" s="207" t="s">
        <v>4400</v>
      </c>
      <c r="H545" s="207" t="s">
        <v>4401</v>
      </c>
      <c r="I545" s="207" t="s">
        <v>4402</v>
      </c>
      <c r="J545" s="215" t="s">
        <v>6749</v>
      </c>
      <c r="K545" s="215" t="s">
        <v>6750</v>
      </c>
      <c r="L545" s="215" t="s">
        <v>6751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6749</v>
      </c>
      <c r="AB545" s="215" t="s">
        <v>6750</v>
      </c>
      <c r="AC545" s="215" t="s">
        <v>6751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>IF(AQ545="SIM","AGUARDANDO CORREÇÃO",IF(AP545&lt;&gt;"","FINALIZADO",IF(AO545&lt;&gt;"","AGUARDANDO ENVIO DTS",IF(AN545&lt;&gt;"","AGUARDANDO ASSINATURA GAB",IF(AM545&lt;&gt;"","AGUARDANDO ASSINATURA CTS",IF(AL545&lt;&gt;"","AGUARDANDO ENVIO ASSINATURA CTS",IF(AK545&lt;&gt;"","AGUARDANDO CONFERÊNCIA","")))))))</f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>IFERROR(IF(BD545-KI545=0,"",BD545-AK545),"")</f>
        <v/>
      </c>
      <c r="BI545" s="98" t="str">
        <f>IF(AND(AH545&lt;&gt;"SIM",AH545="UH"),"AA","INDENIZAÇÃO")</f>
        <v>AA</v>
      </c>
      <c r="BJ545" s="98" t="str">
        <f>IF(AND(BD545&lt;&gt;"AGUARDANDO",BD545&lt;&gt;"",N545="AUXÍLIO ALUGUEL ATÉ INDENIZAÇÃO"),"SIM","NÃO")</f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 x14ac:dyDescent="0.25">
      <c r="A546" s="207">
        <v>542</v>
      </c>
      <c r="B546" s="197" t="s">
        <v>4396</v>
      </c>
      <c r="C546" s="207" t="s">
        <v>4426</v>
      </c>
      <c r="D546" s="207">
        <v>1</v>
      </c>
      <c r="E546" s="207" t="s">
        <v>4398</v>
      </c>
      <c r="F546" s="214" t="s">
        <v>6752</v>
      </c>
      <c r="G546" s="207" t="s">
        <v>4400</v>
      </c>
      <c r="H546" s="207" t="s">
        <v>4401</v>
      </c>
      <c r="I546" s="217" t="s">
        <v>4402</v>
      </c>
      <c r="J546" s="215" t="s">
        <v>6753</v>
      </c>
      <c r="K546" s="215" t="s">
        <v>6754</v>
      </c>
      <c r="L546" s="215" t="s">
        <v>6755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6753</v>
      </c>
      <c r="AB546" s="215" t="s">
        <v>6754</v>
      </c>
      <c r="AC546" s="215" t="s">
        <v>6755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>IF(AQ546="SIM","AGUARDANDO CORREÇÃO",IF(AP546&lt;&gt;"","FINALIZADO",IF(AO546&lt;&gt;"","AGUARDANDO ENVIO DTS",IF(AN546&lt;&gt;"","AGUARDANDO ASSINATURA GAB",IF(AM546&lt;&gt;"","AGUARDANDO ASSINATURA CTS",IF(AL546&lt;&gt;"","AGUARDANDO ENVIO ASSINATURA CTS",IF(AK546&lt;&gt;"","AGUARDANDO CONFERÊNCIA","")))))))</f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>IFERROR(IF(BD546-KI546=0,"",BD546-AK546),"")</f>
        <v/>
      </c>
      <c r="BI546" s="98" t="str">
        <f>IF(AND(AH546&lt;&gt;"SIM",AH546="UH"),"AA","INDENIZAÇÃO")</f>
        <v>AA</v>
      </c>
      <c r="BJ546" s="98" t="str">
        <f>IF(AND(BD546&lt;&gt;"AGUARDANDO",BD546&lt;&gt;"",N546="AUXÍLIO ALUGUEL ATÉ INDENIZAÇÃO"),"SIM","NÃO")</f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hidden="1" customHeight="1" x14ac:dyDescent="0.25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6752</v>
      </c>
      <c r="G547" s="207" t="s">
        <v>4400</v>
      </c>
      <c r="H547" s="207" t="s">
        <v>4401</v>
      </c>
      <c r="I547" s="207" t="s">
        <v>4402</v>
      </c>
      <c r="J547" s="215" t="s">
        <v>6756</v>
      </c>
      <c r="K547" s="215" t="s">
        <v>6757</v>
      </c>
      <c r="L547" s="215" t="s">
        <v>6758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6756</v>
      </c>
      <c r="AB547" s="215" t="s">
        <v>6757</v>
      </c>
      <c r="AC547" s="215" t="s">
        <v>6758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>IF(AQ547="SIM","AGUARDANDO CORREÇÃO",IF(AP547&lt;&gt;"","FINALIZADO",IF(AO547&lt;&gt;"","AGUARDANDO ENVIO DTS",IF(AN547&lt;&gt;"","AGUARDANDO ASSINATURA GAB",IF(AM547&lt;&gt;"","AGUARDANDO ASSINATURA CTS",IF(AL547&lt;&gt;"","AGUARDANDO ENVIO ASSINATURA CTS",IF(AK547&lt;&gt;"","AGUARDANDO CONFERÊNCIA","")))))))</f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>IFERROR(IF(BD547-KI547=0,"",BD547-AK547),"")</f>
        <v/>
      </c>
      <c r="BI547" s="98" t="str">
        <f>IF(AND(AH547&lt;&gt;"SIM",AH547="UH"),"AA","INDENIZAÇÃO")</f>
        <v>AA</v>
      </c>
      <c r="BJ547" s="98" t="str">
        <f>IF(AND(BD547&lt;&gt;"AGUARDANDO",BD547&lt;&gt;"",N547="AUXÍLIO ALUGUEL ATÉ INDENIZAÇÃO"),"SIM","NÃO")</f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 x14ac:dyDescent="0.25">
      <c r="A548" s="207">
        <v>544</v>
      </c>
      <c r="B548" s="197" t="s">
        <v>4396</v>
      </c>
      <c r="C548" s="207" t="s">
        <v>4426</v>
      </c>
      <c r="D548" s="207">
        <v>1</v>
      </c>
      <c r="E548" s="207" t="s">
        <v>4398</v>
      </c>
      <c r="F548" s="214" t="s">
        <v>6759</v>
      </c>
      <c r="G548" s="207" t="s">
        <v>4400</v>
      </c>
      <c r="H548" s="207" t="s">
        <v>4401</v>
      </c>
      <c r="I548" s="207" t="s">
        <v>4402</v>
      </c>
      <c r="J548" s="215" t="s">
        <v>6760</v>
      </c>
      <c r="K548" s="215" t="s">
        <v>6761</v>
      </c>
      <c r="L548" s="215" t="s">
        <v>6762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6760</v>
      </c>
      <c r="AB548" s="215" t="s">
        <v>6761</v>
      </c>
      <c r="AC548" s="215" t="s">
        <v>6762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>IF(AQ548="SIM","AGUARDANDO CORREÇÃO",IF(AP548&lt;&gt;"","FINALIZADO",IF(AO548&lt;&gt;"","AGUARDANDO ENVIO DTS",IF(AN548&lt;&gt;"","AGUARDANDO ASSINATURA GAB",IF(AM548&lt;&gt;"","AGUARDANDO ASSINATURA CTS",IF(AL548&lt;&gt;"","AGUARDANDO ENVIO ASSINATURA CTS",IF(AK548&lt;&gt;"","AGUARDANDO CONFERÊNCIA","")))))))</f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>IFERROR(IF(BD548-KI548=0,"",BD548-AK548),"")</f>
        <v/>
      </c>
      <c r="BI548" s="98" t="str">
        <f>IF(AND(AH548&lt;&gt;"SIM",AH548="UH"),"AA","INDENIZAÇÃO")</f>
        <v>AA</v>
      </c>
      <c r="BJ548" s="98" t="str">
        <f>IF(AND(BD548&lt;&gt;"AGUARDANDO",BD548&lt;&gt;"",N548="AUXÍLIO ALUGUEL ATÉ INDENIZAÇÃO"),"SIM","NÃO")</f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customHeight="1" x14ac:dyDescent="0.25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6759</v>
      </c>
      <c r="G549" s="207" t="s">
        <v>4400</v>
      </c>
      <c r="H549" s="207" t="s">
        <v>4401</v>
      </c>
      <c r="I549" s="207" t="s">
        <v>4402</v>
      </c>
      <c r="J549" s="215" t="s">
        <v>6763</v>
      </c>
      <c r="K549" s="215" t="s">
        <v>6764</v>
      </c>
      <c r="L549" s="215" t="s">
        <v>6765</v>
      </c>
      <c r="M549" s="207" t="s">
        <v>4405</v>
      </c>
      <c r="N549" s="207" t="s">
        <v>4441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6766</v>
      </c>
      <c r="AA549" s="215" t="s">
        <v>6763</v>
      </c>
      <c r="AB549" s="215" t="s">
        <v>6764</v>
      </c>
      <c r="AC549" s="215" t="s">
        <v>6765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4432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>IF(AQ549="SIM","AGUARDANDO CORREÇÃO",IF(AP549&lt;&gt;"","FINALIZADO",IF(AO549&lt;&gt;"","AGUARDANDO ENVIO DTS",IF(AN549&lt;&gt;"","AGUARDANDO ASSINATURA GAB",IF(AM549&lt;&gt;"","AGUARDANDO ASSINATURA CTS",IF(AL549&lt;&gt;"","AGUARDANDO ENVIO ASSINATURA CTS",IF(AK549&lt;&gt;"","AGUARDANDO CONFERÊNCIA","")))))))</f>
        <v>FINALIZADO</v>
      </c>
      <c r="AS549" s="207" t="s">
        <v>4423</v>
      </c>
      <c r="AT549" s="219"/>
      <c r="AU549" s="220" t="s">
        <v>6767</v>
      </c>
      <c r="AV549" s="197" t="s">
        <v>4817</v>
      </c>
      <c r="AW549" s="207" t="s">
        <v>4817</v>
      </c>
      <c r="AX549" s="207" t="s">
        <v>4817</v>
      </c>
      <c r="AY549" s="207" t="s">
        <v>4817</v>
      </c>
      <c r="AZ549" s="202">
        <v>46233</v>
      </c>
      <c r="BA549" s="207" t="s">
        <v>4817</v>
      </c>
      <c r="BB549" s="207" t="s">
        <v>4817</v>
      </c>
      <c r="BC549" s="202">
        <v>46234</v>
      </c>
      <c r="BD549" s="226">
        <v>46234</v>
      </c>
      <c r="BE549" s="257" t="s">
        <v>4434</v>
      </c>
      <c r="BF549" s="257" t="s">
        <v>4435</v>
      </c>
      <c r="BG549" s="219" t="s">
        <v>4425</v>
      </c>
      <c r="BH549" s="321">
        <f>IFERROR(IF(BD549-KI549=0,"",BD549-AK549),"")</f>
        <v>46</v>
      </c>
      <c r="BI549" s="98" t="str">
        <f>IF(AND(AH549&lt;&gt;"SIM",AH549="UH"),"AA","INDENIZAÇÃO")</f>
        <v>INDENIZAÇÃO</v>
      </c>
      <c r="BJ549" s="98" t="str">
        <f>IF(AND(BD549&lt;&gt;"AGUARDANDO",BD549&lt;&gt;"",N549="AUXÍLIO ALUGUEL ATÉ INDENIZAÇÃO"),"SIM","NÃO")</f>
        <v>NÃO</v>
      </c>
      <c r="BK549" s="219" t="s">
        <v>4436</v>
      </c>
      <c r="BL549" s="219" t="s">
        <v>4436</v>
      </c>
      <c r="BM549" s="219" t="s">
        <v>4436</v>
      </c>
      <c r="BN549" s="257" t="s">
        <v>4956</v>
      </c>
      <c r="BO549" s="257"/>
      <c r="BP549" s="257"/>
      <c r="BQ549" s="257"/>
      <c r="BR549" s="258"/>
    </row>
    <row r="550" spans="1:112" s="240" customFormat="1" ht="27" hidden="1" customHeight="1" x14ac:dyDescent="0.25">
      <c r="A550" s="197">
        <v>546</v>
      </c>
      <c r="B550" s="197" t="s">
        <v>4396</v>
      </c>
      <c r="C550" s="207" t="s">
        <v>4426</v>
      </c>
      <c r="D550" s="207">
        <v>1</v>
      </c>
      <c r="E550" s="207" t="s">
        <v>4398</v>
      </c>
      <c r="F550" s="214" t="s">
        <v>6768</v>
      </c>
      <c r="G550" s="207" t="s">
        <v>4400</v>
      </c>
      <c r="H550" s="207" t="s">
        <v>4401</v>
      </c>
      <c r="I550" s="207" t="s">
        <v>4402</v>
      </c>
      <c r="J550" s="215" t="s">
        <v>6769</v>
      </c>
      <c r="K550" s="215" t="s">
        <v>6770</v>
      </c>
      <c r="L550" s="215" t="s">
        <v>6771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6769</v>
      </c>
      <c r="AB550" s="215" t="s">
        <v>6770</v>
      </c>
      <c r="AC550" s="215" t="s">
        <v>6771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>IF(AQ550="SIM","AGUARDANDO CORREÇÃO",IF(AP550&lt;&gt;"","FINALIZADO",IF(AO550&lt;&gt;"","AGUARDANDO ENVIO DTS",IF(AN550&lt;&gt;"","AGUARDANDO ASSINATURA GAB",IF(AM550&lt;&gt;"","AGUARDANDO ASSINATURA CTS",IF(AL550&lt;&gt;"","AGUARDANDO ENVIO ASSINATURA CTS",IF(AK550&lt;&gt;"","AGUARDANDO CONFERÊNCIA","")))))))</f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>IFERROR(IF(BD550-KI550=0,"",BD550-AK550),"")</f>
        <v/>
      </c>
      <c r="BI550" s="98" t="str">
        <f>IF(AND(AH550&lt;&gt;"SIM",AH550="UH"),"AA","INDENIZAÇÃO")</f>
        <v>AA</v>
      </c>
      <c r="BJ550" s="98" t="str">
        <f>IF(AND(BD550&lt;&gt;"AGUARDANDO",BD550&lt;&gt;"",N550="AUXÍLIO ALUGUEL ATÉ INDENIZAÇÃO"),"SIM","NÃO")</f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customHeight="1" x14ac:dyDescent="0.25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6768</v>
      </c>
      <c r="G551" s="219" t="s">
        <v>4400</v>
      </c>
      <c r="H551" s="219" t="s">
        <v>4401</v>
      </c>
      <c r="I551" s="219" t="s">
        <v>4402</v>
      </c>
      <c r="J551" s="255" t="s">
        <v>6772</v>
      </c>
      <c r="K551" s="255" t="s">
        <v>6773</v>
      </c>
      <c r="L551" s="255" t="s">
        <v>6774</v>
      </c>
      <c r="M551" s="219" t="s">
        <v>4405</v>
      </c>
      <c r="N551" s="219" t="s">
        <v>4431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6772</v>
      </c>
      <c r="AB551" s="255" t="s">
        <v>6773</v>
      </c>
      <c r="AC551" s="255" t="s">
        <v>6774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4432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>IF(AQ551="SIM","AGUARDANDO CORREÇÃO",IF(AP551&lt;&gt;"","FINALIZADO",IF(AO551&lt;&gt;"","AGUARDANDO ENVIO DTS",IF(AN551&lt;&gt;"","AGUARDANDO ASSINATURA GAB",IF(AM551&lt;&gt;"","AGUARDANDO ASSINATURA CTS",IF(AL551&lt;&gt;"","AGUARDANDO ENVIO ASSINATURA CTS",IF(AK551&lt;&gt;"","AGUARDANDO CONFERÊNCIA","")))))))</f>
        <v>FINALIZADO</v>
      </c>
      <c r="AS551" s="207" t="s">
        <v>4423</v>
      </c>
      <c r="AT551" s="219"/>
      <c r="AU551" s="220" t="s">
        <v>6775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4434</v>
      </c>
      <c r="BF551" s="257" t="s">
        <v>4435</v>
      </c>
      <c r="BG551" s="219" t="s">
        <v>4425</v>
      </c>
      <c r="BH551" s="321">
        <f>IFERROR(IF(BD551-KI551=0,"",BD551-AK551),"")</f>
        <v>103</v>
      </c>
      <c r="BI551" s="98" t="str">
        <f>IF(AND(AH551&lt;&gt;"SIM",AH551="UH"),"AA","INDENIZAÇÃO")</f>
        <v>INDENIZAÇÃO</v>
      </c>
      <c r="BJ551" s="98" t="str">
        <f>IF(AND(BD551&lt;&gt;"AGUARDANDO",BD551&lt;&gt;"",N551="AUXÍLIO ALUGUEL ATÉ INDENIZAÇÃO"),"SIM","NÃO")</f>
        <v>NÃO</v>
      </c>
      <c r="BK551" s="219" t="s">
        <v>4436</v>
      </c>
      <c r="BL551" s="219" t="s">
        <v>4436</v>
      </c>
      <c r="BM551" s="219" t="s">
        <v>4436</v>
      </c>
      <c r="BN551" s="257" t="s">
        <v>4956</v>
      </c>
      <c r="BO551" s="257"/>
      <c r="BP551" s="257"/>
      <c r="BQ551" s="257"/>
      <c r="BR551" s="258"/>
    </row>
    <row r="552" spans="1:112" s="240" customFormat="1" ht="27" hidden="1" customHeight="1" x14ac:dyDescent="0.25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6776</v>
      </c>
      <c r="G552" s="207" t="s">
        <v>4400</v>
      </c>
      <c r="H552" s="207" t="s">
        <v>4401</v>
      </c>
      <c r="I552" s="207" t="s">
        <v>4402</v>
      </c>
      <c r="J552" s="215" t="s">
        <v>6777</v>
      </c>
      <c r="K552" s="215" t="s">
        <v>6778</v>
      </c>
      <c r="L552" s="215" t="s">
        <v>6779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6777</v>
      </c>
      <c r="AB552" s="215" t="s">
        <v>6778</v>
      </c>
      <c r="AC552" s="215" t="s">
        <v>6779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>IF(AQ552="SIM","AGUARDANDO CORREÇÃO",IF(AP552&lt;&gt;"","FINALIZADO",IF(AO552&lt;&gt;"","AGUARDANDO ENVIO DTS",IF(AN552&lt;&gt;"","AGUARDANDO ASSINATURA GAB",IF(AM552&lt;&gt;"","AGUARDANDO ASSINATURA CTS",IF(AL552&lt;&gt;"","AGUARDANDO ENVIO ASSINATURA CTS",IF(AK552&lt;&gt;"","AGUARDANDO CONFERÊNCIA","")))))))</f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>IFERROR(IF(BD552-KI552=0,"",BD552-AK552),"")</f>
        <v/>
      </c>
      <c r="BI552" s="98" t="str">
        <f>IF(AND(AH552&lt;&gt;"SIM",AH552="UH"),"AA","INDENIZAÇÃO")</f>
        <v>AA</v>
      </c>
      <c r="BJ552" s="98" t="str">
        <f>IF(AND(BD552&lt;&gt;"AGUARDANDO",BD552&lt;&gt;"",N552="AUXÍLIO ALUGUEL ATÉ INDENIZAÇÃO"),"SIM","NÃO")</f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hidden="1" customHeight="1" x14ac:dyDescent="0.25">
      <c r="A553" s="207">
        <v>549</v>
      </c>
      <c r="B553" s="197" t="s">
        <v>4396</v>
      </c>
      <c r="C553" s="207" t="s">
        <v>4426</v>
      </c>
      <c r="D553" s="207">
        <v>1</v>
      </c>
      <c r="E553" s="207" t="s">
        <v>4398</v>
      </c>
      <c r="F553" s="214" t="s">
        <v>6776</v>
      </c>
      <c r="G553" s="207" t="s">
        <v>4400</v>
      </c>
      <c r="H553" s="207" t="s">
        <v>4401</v>
      </c>
      <c r="I553" s="217" t="s">
        <v>4402</v>
      </c>
      <c r="J553" s="215" t="s">
        <v>6780</v>
      </c>
      <c r="K553" s="215" t="s">
        <v>6781</v>
      </c>
      <c r="L553" s="215" t="s">
        <v>6782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6780</v>
      </c>
      <c r="AB553" s="215" t="s">
        <v>6781</v>
      </c>
      <c r="AC553" s="215" t="s">
        <v>6782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>IF(AQ553="SIM","AGUARDANDO CORREÇÃO",IF(AP553&lt;&gt;"","FINALIZADO",IF(AO553&lt;&gt;"","AGUARDANDO ENVIO DTS",IF(AN553&lt;&gt;"","AGUARDANDO ASSINATURA GAB",IF(AM553&lt;&gt;"","AGUARDANDO ASSINATURA CTS",IF(AL553&lt;&gt;"","AGUARDANDO ENVIO ASSINATURA CTS",IF(AK553&lt;&gt;"","AGUARDANDO CONFERÊNCIA","")))))))</f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>IFERROR(IF(BD553-KI553=0,"",BD553-AK553),"")</f>
        <v/>
      </c>
      <c r="BI553" s="98" t="str">
        <f>IF(AND(AH553&lt;&gt;"SIM",AH553="UH"),"AA","INDENIZAÇÃO")</f>
        <v>AA</v>
      </c>
      <c r="BJ553" s="98" t="str">
        <f>IF(AND(BD553&lt;&gt;"AGUARDANDO",BD553&lt;&gt;"",N553="AUXÍLIO ALUGUEL ATÉ INDENIZAÇÃO"),"SIM","NÃO")</f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hidden="1" customHeight="1" x14ac:dyDescent="0.25">
      <c r="A554" s="197">
        <v>550</v>
      </c>
      <c r="B554" s="197" t="s">
        <v>4396</v>
      </c>
      <c r="C554" s="207" t="s">
        <v>4426</v>
      </c>
      <c r="D554" s="207">
        <v>1</v>
      </c>
      <c r="E554" s="207" t="s">
        <v>4398</v>
      </c>
      <c r="F554" s="214" t="s">
        <v>6783</v>
      </c>
      <c r="G554" s="207" t="s">
        <v>4400</v>
      </c>
      <c r="H554" s="207" t="s">
        <v>4401</v>
      </c>
      <c r="I554" s="217" t="s">
        <v>4402</v>
      </c>
      <c r="J554" s="215" t="s">
        <v>6784</v>
      </c>
      <c r="K554" s="215" t="s">
        <v>6785</v>
      </c>
      <c r="L554" s="215" t="s">
        <v>6786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6784</v>
      </c>
      <c r="AB554" s="215" t="s">
        <v>6785</v>
      </c>
      <c r="AC554" s="215" t="s">
        <v>6786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>IF(AQ554="SIM","AGUARDANDO CORREÇÃO",IF(AP554&lt;&gt;"","FINALIZADO",IF(AO554&lt;&gt;"","AGUARDANDO ENVIO DTS",IF(AN554&lt;&gt;"","AGUARDANDO ASSINATURA GAB",IF(AM554&lt;&gt;"","AGUARDANDO ASSINATURA CTS",IF(AL554&lt;&gt;"","AGUARDANDO ENVIO ASSINATURA CTS",IF(AK554&lt;&gt;"","AGUARDANDO CONFERÊNCIA","")))))))</f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>IFERROR(IF(BD554-KI554=0,"",BD554-AK554),"")</f>
        <v/>
      </c>
      <c r="BI554" s="98" t="str">
        <f>IF(AND(AH554&lt;&gt;"SIM",AH554="UH"),"AA","INDENIZAÇÃO")</f>
        <v>AA</v>
      </c>
      <c r="BJ554" s="98" t="str">
        <f>IF(AND(BD554&lt;&gt;"AGUARDANDO",BD554&lt;&gt;"",N554="AUXÍLIO ALUGUEL ATÉ INDENIZAÇÃO"),"SIM","NÃO")</f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hidden="1" customHeight="1" x14ac:dyDescent="0.25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6783</v>
      </c>
      <c r="G555" s="207" t="s">
        <v>4400</v>
      </c>
      <c r="H555" s="207" t="s">
        <v>4401</v>
      </c>
      <c r="I555" s="207" t="s">
        <v>4402</v>
      </c>
      <c r="J555" s="215" t="s">
        <v>6787</v>
      </c>
      <c r="K555" s="215" t="s">
        <v>6788</v>
      </c>
      <c r="L555" s="215" t="s">
        <v>6789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6787</v>
      </c>
      <c r="AB555" s="215" t="s">
        <v>6788</v>
      </c>
      <c r="AC555" s="215" t="s">
        <v>6789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>IF(AQ555="SIM","AGUARDANDO CORREÇÃO",IF(AP555&lt;&gt;"","FINALIZADO",IF(AO555&lt;&gt;"","AGUARDANDO ENVIO DTS",IF(AN555&lt;&gt;"","AGUARDANDO ASSINATURA GAB",IF(AM555&lt;&gt;"","AGUARDANDO ASSINATURA CTS",IF(AL555&lt;&gt;"","AGUARDANDO ENVIO ASSINATURA CTS",IF(AK555&lt;&gt;"","AGUARDANDO CONFERÊNCIA","")))))))</f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>IFERROR(IF(BD555-KI555=0,"",BD555-AK555),"")</f>
        <v/>
      </c>
      <c r="BI555" s="98" t="str">
        <f>IF(AND(AH555&lt;&gt;"SIM",AH555="UH"),"AA","INDENIZAÇÃO")</f>
        <v>AA</v>
      </c>
      <c r="BJ555" s="98" t="str">
        <f>IF(AND(BD555&lt;&gt;"AGUARDANDO",BD555&lt;&gt;"",N555="AUXÍLIO ALUGUEL ATÉ INDENIZAÇÃO"),"SIM","NÃO")</f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hidden="1" customHeight="1" x14ac:dyDescent="0.25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6790</v>
      </c>
      <c r="G556" s="207" t="s">
        <v>4400</v>
      </c>
      <c r="H556" s="207" t="s">
        <v>4401</v>
      </c>
      <c r="I556" s="207" t="s">
        <v>4402</v>
      </c>
      <c r="J556" s="215" t="s">
        <v>6791</v>
      </c>
      <c r="K556" s="215" t="s">
        <v>6792</v>
      </c>
      <c r="L556" s="215" t="s">
        <v>6793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6791</v>
      </c>
      <c r="AB556" s="215" t="s">
        <v>6792</v>
      </c>
      <c r="AC556" s="215" t="s">
        <v>6793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>IF(AQ556="SIM","AGUARDANDO CORREÇÃO",IF(AP556&lt;&gt;"","FINALIZADO",IF(AO556&lt;&gt;"","AGUARDANDO ENVIO DTS",IF(AN556&lt;&gt;"","AGUARDANDO ASSINATURA GAB",IF(AM556&lt;&gt;"","AGUARDANDO ASSINATURA CTS",IF(AL556&lt;&gt;"","AGUARDANDO ENVIO ASSINATURA CTS",IF(AK556&lt;&gt;"","AGUARDANDO CONFERÊNCIA","")))))))</f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>IFERROR(IF(BD556-KI556=0,"",BD556-AK556),"")</f>
        <v/>
      </c>
      <c r="BI556" s="98" t="str">
        <f>IF(AND(AH556&lt;&gt;"SIM",AH556="UH"),"AA","INDENIZAÇÃO")</f>
        <v>AA</v>
      </c>
      <c r="BJ556" s="98" t="str">
        <f>IF(AND(BD556&lt;&gt;"AGUARDANDO",BD556&lt;&gt;"",N556="AUXÍLIO ALUGUEL ATÉ INDENIZAÇÃO"),"SIM","NÃO")</f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hidden="1" customHeight="1" x14ac:dyDescent="0.25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6794</v>
      </c>
      <c r="G557" s="207" t="s">
        <v>4400</v>
      </c>
      <c r="H557" s="207" t="s">
        <v>4401</v>
      </c>
      <c r="I557" s="207" t="s">
        <v>4402</v>
      </c>
      <c r="J557" s="215" t="s">
        <v>6795</v>
      </c>
      <c r="K557" s="215" t="s">
        <v>6796</v>
      </c>
      <c r="L557" s="215" t="s">
        <v>6797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6795</v>
      </c>
      <c r="AB557" s="215" t="s">
        <v>6796</v>
      </c>
      <c r="AC557" s="215" t="s">
        <v>6797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>IF(AQ557="SIM","AGUARDANDO CORREÇÃO",IF(AP557&lt;&gt;"","FINALIZADO",IF(AO557&lt;&gt;"","AGUARDANDO ENVIO DTS",IF(AN557&lt;&gt;"","AGUARDANDO ASSINATURA GAB",IF(AM557&lt;&gt;"","AGUARDANDO ASSINATURA CTS",IF(AL557&lt;&gt;"","AGUARDANDO ENVIO ASSINATURA CTS",IF(AK557&lt;&gt;"","AGUARDANDO CONFERÊNCIA","")))))))</f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>IFERROR(IF(BD557-KI557=0,"",BD557-AK557),"")</f>
        <v/>
      </c>
      <c r="BI557" s="98" t="str">
        <f>IF(AND(AH557&lt;&gt;"SIM",AH557="UH"),"AA","INDENIZAÇÃO")</f>
        <v>AA</v>
      </c>
      <c r="BJ557" s="98" t="str">
        <f>IF(AND(BD557&lt;&gt;"AGUARDANDO",BD557&lt;&gt;"",N557="AUXÍLIO ALUGUEL ATÉ INDENIZAÇÃO"),"SIM","NÃO")</f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hidden="1" customHeight="1" x14ac:dyDescent="0.25">
      <c r="A558" s="207">
        <v>554</v>
      </c>
      <c r="B558" s="197" t="s">
        <v>4396</v>
      </c>
      <c r="C558" s="207" t="s">
        <v>4426</v>
      </c>
      <c r="D558" s="207">
        <v>1</v>
      </c>
      <c r="E558" s="207" t="s">
        <v>4398</v>
      </c>
      <c r="F558" s="214" t="s">
        <v>6798</v>
      </c>
      <c r="G558" s="207" t="s">
        <v>4400</v>
      </c>
      <c r="H558" s="207" t="s">
        <v>4401</v>
      </c>
      <c r="I558" s="217" t="s">
        <v>4402</v>
      </c>
      <c r="J558" s="215" t="s">
        <v>6799</v>
      </c>
      <c r="K558" s="215" t="s">
        <v>6800</v>
      </c>
      <c r="L558" s="215" t="s">
        <v>6801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6799</v>
      </c>
      <c r="AB558" s="215" t="s">
        <v>6800</v>
      </c>
      <c r="AC558" s="215" t="s">
        <v>6801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>IF(AQ558="SIM","AGUARDANDO CORREÇÃO",IF(AP558&lt;&gt;"","FINALIZADO",IF(AO558&lt;&gt;"","AGUARDANDO ENVIO DTS",IF(AN558&lt;&gt;"","AGUARDANDO ASSINATURA GAB",IF(AM558&lt;&gt;"","AGUARDANDO ASSINATURA CTS",IF(AL558&lt;&gt;"","AGUARDANDO ENVIO ASSINATURA CTS",IF(AK558&lt;&gt;"","AGUARDANDO CONFERÊNCIA","")))))))</f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>IFERROR(IF(BD558-KI558=0,"",BD558-AK558),"")</f>
        <v/>
      </c>
      <c r="BI558" s="98" t="str">
        <f>IF(AND(AH558&lt;&gt;"SIM",AH558="UH"),"AA","INDENIZAÇÃO")</f>
        <v>AA</v>
      </c>
      <c r="BJ558" s="98" t="str">
        <f>IF(AND(BD558&lt;&gt;"AGUARDANDO",BD558&lt;&gt;"",N558="AUXÍLIO ALUGUEL ATÉ INDENIZAÇÃO"),"SIM","NÃO")</f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hidden="1" customHeight="1" x14ac:dyDescent="0.25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6798</v>
      </c>
      <c r="G559" s="207" t="s">
        <v>4400</v>
      </c>
      <c r="H559" s="207" t="s">
        <v>4401</v>
      </c>
      <c r="I559" s="207" t="s">
        <v>4402</v>
      </c>
      <c r="J559" s="215" t="s">
        <v>6802</v>
      </c>
      <c r="K559" s="215" t="s">
        <v>6803</v>
      </c>
      <c r="L559" s="215" t="s">
        <v>6804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6802</v>
      </c>
      <c r="AB559" s="215" t="s">
        <v>6803</v>
      </c>
      <c r="AC559" s="215" t="s">
        <v>6804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>IF(AQ559="SIM","AGUARDANDO CORREÇÃO",IF(AP559&lt;&gt;"","FINALIZADO",IF(AO559&lt;&gt;"","AGUARDANDO ENVIO DTS",IF(AN559&lt;&gt;"","AGUARDANDO ASSINATURA GAB",IF(AM559&lt;&gt;"","AGUARDANDO ASSINATURA CTS",IF(AL559&lt;&gt;"","AGUARDANDO ENVIO ASSINATURA CTS",IF(AK559&lt;&gt;"","AGUARDANDO CONFERÊNCIA","")))))))</f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>IFERROR(IF(BD559-KI559=0,"",BD559-AK559),"")</f>
        <v/>
      </c>
      <c r="BI559" s="98" t="str">
        <f>IF(AND(AH559&lt;&gt;"SIM",AH559="UH"),"AA","INDENIZAÇÃO")</f>
        <v>AA</v>
      </c>
      <c r="BJ559" s="98" t="str">
        <f>IF(AND(BD559&lt;&gt;"AGUARDANDO",BD559&lt;&gt;"",N559="AUXÍLIO ALUGUEL ATÉ INDENIZAÇÃO"),"SIM","NÃO")</f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hidden="1" customHeight="1" x14ac:dyDescent="0.25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6805</v>
      </c>
      <c r="G560" s="207" t="s">
        <v>4400</v>
      </c>
      <c r="H560" s="207" t="s">
        <v>4401</v>
      </c>
      <c r="I560" s="207" t="s">
        <v>4402</v>
      </c>
      <c r="J560" s="215" t="s">
        <v>6806</v>
      </c>
      <c r="K560" s="215" t="s">
        <v>6807</v>
      </c>
      <c r="L560" s="215" t="s">
        <v>6808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6806</v>
      </c>
      <c r="AB560" s="215" t="s">
        <v>6807</v>
      </c>
      <c r="AC560" s="215" t="s">
        <v>6808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>IF(AQ560="SIM","AGUARDANDO CORREÇÃO",IF(AP560&lt;&gt;"","FINALIZADO",IF(AO560&lt;&gt;"","AGUARDANDO ENVIO DTS",IF(AN560&lt;&gt;"","AGUARDANDO ASSINATURA GAB",IF(AM560&lt;&gt;"","AGUARDANDO ASSINATURA CTS",IF(AL560&lt;&gt;"","AGUARDANDO ENVIO ASSINATURA CTS",IF(AK560&lt;&gt;"","AGUARDANDO CONFERÊNCIA","")))))))</f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>IFERROR(IF(BD560-KI560=0,"",BD560-AK560),"")</f>
        <v/>
      </c>
      <c r="BI560" s="98" t="str">
        <f>IF(AND(AH560&lt;&gt;"SIM",AH560="UH"),"AA","INDENIZAÇÃO")</f>
        <v>AA</v>
      </c>
      <c r="BJ560" s="98" t="str">
        <f>IF(AND(BD560&lt;&gt;"AGUARDANDO",BD560&lt;&gt;"",N560="AUXÍLIO ALUGUEL ATÉ INDENIZAÇÃO"),"SIM","NÃO")</f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customHeight="1" x14ac:dyDescent="0.25">
      <c r="A561" s="207">
        <v>557</v>
      </c>
      <c r="B561" s="197" t="s">
        <v>4396</v>
      </c>
      <c r="C561" s="207" t="s">
        <v>4426</v>
      </c>
      <c r="D561" s="207">
        <v>1</v>
      </c>
      <c r="E561" s="207" t="s">
        <v>4398</v>
      </c>
      <c r="F561" s="214" t="s">
        <v>6809</v>
      </c>
      <c r="G561" s="207" t="s">
        <v>4400</v>
      </c>
      <c r="H561" s="207" t="s">
        <v>4401</v>
      </c>
      <c r="I561" s="217" t="s">
        <v>4402</v>
      </c>
      <c r="J561" s="215" t="s">
        <v>6810</v>
      </c>
      <c r="K561" s="215" t="s">
        <v>6811</v>
      </c>
      <c r="L561" s="215" t="s">
        <v>6812</v>
      </c>
      <c r="M561" s="207" t="s">
        <v>4405</v>
      </c>
      <c r="N561" s="207" t="s">
        <v>4441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6810</v>
      </c>
      <c r="AB561" s="215" t="s">
        <v>6811</v>
      </c>
      <c r="AC561" s="215" t="s">
        <v>6812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4432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>IF(AQ561="SIM","AGUARDANDO CORREÇÃO",IF(AP561&lt;&gt;"","FINALIZADO",IF(AO561&lt;&gt;"","AGUARDANDO ENVIO DTS",IF(AN561&lt;&gt;"","AGUARDANDO ASSINATURA GAB",IF(AM561&lt;&gt;"","AGUARDANDO ASSINATURA CTS",IF(AL561&lt;&gt;"","AGUARDANDO ENVIO ASSINATURA CTS",IF(AK561&lt;&gt;"","AGUARDANDO CONFERÊNCIA","")))))))</f>
        <v>FINALIZADO</v>
      </c>
      <c r="AS561" s="207" t="s">
        <v>4423</v>
      </c>
      <c r="AT561" s="219"/>
      <c r="AU561" s="220" t="s">
        <v>6813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4434</v>
      </c>
      <c r="BF561" s="228" t="s">
        <v>4435</v>
      </c>
      <c r="BG561" s="229" t="s">
        <v>4425</v>
      </c>
      <c r="BH561" s="321">
        <f>IFERROR(IF(BD561-KI561=0,"",BD561-AK561),"")</f>
        <v>31</v>
      </c>
      <c r="BI561" s="98" t="str">
        <f>IF(AND(AH561&lt;&gt;"SIM",AH561="UH"),"AA","INDENIZAÇÃO")</f>
        <v>INDENIZAÇÃO</v>
      </c>
      <c r="BJ561" s="98" t="str">
        <f>IF(AND(BD561&lt;&gt;"AGUARDANDO",BD561&lt;&gt;"",N561="AUXÍLIO ALUGUEL ATÉ INDENIZAÇÃO"),"SIM","NÃO")</f>
        <v>NÃO</v>
      </c>
      <c r="BK561" s="230" t="s">
        <v>4436</v>
      </c>
      <c r="BL561" s="230" t="s">
        <v>4436</v>
      </c>
      <c r="BM561" s="230" t="s">
        <v>4436</v>
      </c>
      <c r="BN561" s="265" t="s">
        <v>4956</v>
      </c>
      <c r="BO561" s="265"/>
      <c r="BP561" s="265"/>
      <c r="BQ561" s="265"/>
      <c r="BR561" s="231"/>
    </row>
    <row r="562" spans="1:112" s="240" customFormat="1" ht="27" customHeight="1" x14ac:dyDescent="0.25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6809</v>
      </c>
      <c r="G562" s="219" t="s">
        <v>4400</v>
      </c>
      <c r="H562" s="219" t="s">
        <v>4401</v>
      </c>
      <c r="I562" s="219" t="s">
        <v>4402</v>
      </c>
      <c r="J562" s="255" t="s">
        <v>6814</v>
      </c>
      <c r="K562" s="255" t="s">
        <v>6815</v>
      </c>
      <c r="L562" s="255" t="s">
        <v>6816</v>
      </c>
      <c r="M562" s="219" t="s">
        <v>4405</v>
      </c>
      <c r="N562" s="219" t="s">
        <v>4431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6814</v>
      </c>
      <c r="AB562" s="255" t="s">
        <v>6815</v>
      </c>
      <c r="AC562" s="255" t="s">
        <v>6816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4432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>IF(AQ562="SIM","AGUARDANDO CORREÇÃO",IF(AP562&lt;&gt;"","FINALIZADO",IF(AO562&lt;&gt;"","AGUARDANDO ENVIO DTS",IF(AN562&lt;&gt;"","AGUARDANDO ASSINATURA GAB",IF(AM562&lt;&gt;"","AGUARDANDO ASSINATURA CTS",IF(AL562&lt;&gt;"","AGUARDANDO ENVIO ASSINATURA CTS",IF(AK562&lt;&gt;"","AGUARDANDO CONFERÊNCIA","")))))))</f>
        <v>FINALIZADO</v>
      </c>
      <c r="AS562" s="207" t="s">
        <v>4423</v>
      </c>
      <c r="AT562" s="219"/>
      <c r="AU562" s="220" t="s">
        <v>6817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4434</v>
      </c>
      <c r="BF562" s="257" t="s">
        <v>4435</v>
      </c>
      <c r="BG562" s="219" t="s">
        <v>4425</v>
      </c>
      <c r="BH562" s="321">
        <f>IFERROR(IF(BD562-KI562=0,"",BD562-AK562),"")</f>
        <v>107</v>
      </c>
      <c r="BI562" s="98" t="str">
        <f>IF(AND(AH562&lt;&gt;"SIM",AH562="UH"),"AA","INDENIZAÇÃO")</f>
        <v>INDENIZAÇÃO</v>
      </c>
      <c r="BJ562" s="98" t="str">
        <f>IF(AND(BD562&lt;&gt;"AGUARDANDO",BD562&lt;&gt;"",N562="AUXÍLIO ALUGUEL ATÉ INDENIZAÇÃO"),"SIM","NÃO")</f>
        <v>NÃO</v>
      </c>
      <c r="BK562" s="219" t="s">
        <v>4436</v>
      </c>
      <c r="BL562" s="219" t="s">
        <v>4436</v>
      </c>
      <c r="BM562" s="219" t="s">
        <v>4436</v>
      </c>
      <c r="BN562" s="257" t="s">
        <v>4956</v>
      </c>
      <c r="BO562" s="257"/>
      <c r="BP562" s="257"/>
      <c r="BQ562" s="257"/>
      <c r="BR562" s="258"/>
      <c r="BS562" s="223"/>
    </row>
    <row r="563" spans="1:112" s="240" customFormat="1" ht="27" hidden="1" customHeight="1" x14ac:dyDescent="0.25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6818</v>
      </c>
      <c r="G563" s="207" t="s">
        <v>4400</v>
      </c>
      <c r="H563" s="207" t="s">
        <v>4401</v>
      </c>
      <c r="I563" s="207" t="s">
        <v>4402</v>
      </c>
      <c r="J563" s="215" t="s">
        <v>6819</v>
      </c>
      <c r="K563" s="215" t="s">
        <v>6820</v>
      </c>
      <c r="L563" s="215" t="s">
        <v>6821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6819</v>
      </c>
      <c r="AB563" s="215" t="s">
        <v>6820</v>
      </c>
      <c r="AC563" s="215" t="s">
        <v>6821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>IF(AQ563="SIM","AGUARDANDO CORREÇÃO",IF(AP563&lt;&gt;"","FINALIZADO",IF(AO563&lt;&gt;"","AGUARDANDO ENVIO DTS",IF(AN563&lt;&gt;"","AGUARDANDO ASSINATURA GAB",IF(AM563&lt;&gt;"","AGUARDANDO ASSINATURA CTS",IF(AL563&lt;&gt;"","AGUARDANDO ENVIO ASSINATURA CTS",IF(AK563&lt;&gt;"","AGUARDANDO CONFERÊNCIA","")))))))</f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>IFERROR(IF(BD563-KI563=0,"",BD563-AK563),"")</f>
        <v/>
      </c>
      <c r="BI563" s="98" t="str">
        <f>IF(AND(AH563&lt;&gt;"SIM",AH563="UH"),"AA","INDENIZAÇÃO")</f>
        <v>AA</v>
      </c>
      <c r="BJ563" s="98" t="str">
        <f>IF(AND(BD563&lt;&gt;"AGUARDANDO",BD563&lt;&gt;"",N563="AUXÍLIO ALUGUEL ATÉ INDENIZAÇÃO"),"SIM","NÃO")</f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hidden="1" customHeight="1" x14ac:dyDescent="0.25">
      <c r="A564" s="197">
        <v>560</v>
      </c>
      <c r="B564" s="197" t="s">
        <v>4396</v>
      </c>
      <c r="C564" s="207" t="s">
        <v>4426</v>
      </c>
      <c r="D564" s="207">
        <v>1</v>
      </c>
      <c r="E564" s="207" t="s">
        <v>4398</v>
      </c>
      <c r="F564" s="214" t="s">
        <v>6818</v>
      </c>
      <c r="G564" s="207" t="s">
        <v>4400</v>
      </c>
      <c r="H564" s="207" t="s">
        <v>4401</v>
      </c>
      <c r="I564" s="217" t="s">
        <v>4402</v>
      </c>
      <c r="J564" s="215" t="s">
        <v>6822</v>
      </c>
      <c r="K564" s="215" t="s">
        <v>6823</v>
      </c>
      <c r="L564" s="215" t="s">
        <v>6824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6822</v>
      </c>
      <c r="AB564" s="215" t="s">
        <v>6823</v>
      </c>
      <c r="AC564" s="215" t="s">
        <v>6824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>IF(AQ564="SIM","AGUARDANDO CORREÇÃO",IF(AP564&lt;&gt;"","FINALIZADO",IF(AO564&lt;&gt;"","AGUARDANDO ENVIO DTS",IF(AN564&lt;&gt;"","AGUARDANDO ASSINATURA GAB",IF(AM564&lt;&gt;"","AGUARDANDO ASSINATURA CTS",IF(AL564&lt;&gt;"","AGUARDANDO ENVIO ASSINATURA CTS",IF(AK564&lt;&gt;"","AGUARDANDO CONFERÊNCIA","")))))))</f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>IFERROR(IF(BD564-KI564=0,"",BD564-AK564),"")</f>
        <v/>
      </c>
      <c r="BI564" s="98" t="str">
        <f>IF(AND(AH564&lt;&gt;"SIM",AH564="UH"),"AA","INDENIZAÇÃO")</f>
        <v>AA</v>
      </c>
      <c r="BJ564" s="98" t="str">
        <f>IF(AND(BD564&lt;&gt;"AGUARDANDO",BD564&lt;&gt;"",N564="AUXÍLIO ALUGUEL ATÉ INDENIZAÇÃO"),"SIM","NÃO")</f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hidden="1" customHeight="1" x14ac:dyDescent="0.25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6825</v>
      </c>
      <c r="G565" s="207" t="s">
        <v>4400</v>
      </c>
      <c r="H565" s="207" t="s">
        <v>4401</v>
      </c>
      <c r="I565" s="207" t="s">
        <v>4402</v>
      </c>
      <c r="J565" s="215" t="s">
        <v>6826</v>
      </c>
      <c r="K565" s="215" t="s">
        <v>6827</v>
      </c>
      <c r="L565" s="215" t="s">
        <v>6828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6826</v>
      </c>
      <c r="AB565" s="215" t="s">
        <v>6827</v>
      </c>
      <c r="AC565" s="215" t="s">
        <v>6828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>IF(AQ565="SIM","AGUARDANDO CORREÇÃO",IF(AP565&lt;&gt;"","FINALIZADO",IF(AO565&lt;&gt;"","AGUARDANDO ENVIO DTS",IF(AN565&lt;&gt;"","AGUARDANDO ASSINATURA GAB",IF(AM565&lt;&gt;"","AGUARDANDO ASSINATURA CTS",IF(AL565&lt;&gt;"","AGUARDANDO ENVIO ASSINATURA CTS",IF(AK565&lt;&gt;"","AGUARDANDO CONFERÊNCIA","")))))))</f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>IFERROR(IF(BD565-KI565=0,"",BD565-AK565),"")</f>
        <v/>
      </c>
      <c r="BI565" s="98" t="str">
        <f>IF(AND(AH565&lt;&gt;"SIM",AH565="UH"),"AA","INDENIZAÇÃO")</f>
        <v>AA</v>
      </c>
      <c r="BJ565" s="98" t="str">
        <f>IF(AND(BD565&lt;&gt;"AGUARDANDO",BD565&lt;&gt;"",N565="AUXÍLIO ALUGUEL ATÉ INDENIZAÇÃO"),"SIM","NÃO")</f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hidden="1" customHeight="1" x14ac:dyDescent="0.25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6829</v>
      </c>
      <c r="G566" s="207" t="s">
        <v>4400</v>
      </c>
      <c r="H566" s="207" t="s">
        <v>4401</v>
      </c>
      <c r="I566" s="207" t="s">
        <v>4402</v>
      </c>
      <c r="J566" s="215" t="s">
        <v>6830</v>
      </c>
      <c r="K566" s="215" t="s">
        <v>6831</v>
      </c>
      <c r="L566" s="215" t="s">
        <v>6832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6830</v>
      </c>
      <c r="AB566" s="215" t="s">
        <v>6831</v>
      </c>
      <c r="AC566" s="215" t="s">
        <v>6832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>IF(AQ566="SIM","AGUARDANDO CORREÇÃO",IF(AP566&lt;&gt;"","FINALIZADO",IF(AO566&lt;&gt;"","AGUARDANDO ENVIO DTS",IF(AN566&lt;&gt;"","AGUARDANDO ASSINATURA GAB",IF(AM566&lt;&gt;"","AGUARDANDO ASSINATURA CTS",IF(AL566&lt;&gt;"","AGUARDANDO ENVIO ASSINATURA CTS",IF(AK566&lt;&gt;"","AGUARDANDO CONFERÊNCIA","")))))))</f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>IFERROR(IF(BD566-KI566=0,"",BD566-AK566),"")</f>
        <v/>
      </c>
      <c r="BI566" s="98" t="str">
        <f>IF(AND(AH566&lt;&gt;"SIM",AH566="UH"),"AA","INDENIZAÇÃO")</f>
        <v>AA</v>
      </c>
      <c r="BJ566" s="98" t="str">
        <f>IF(AND(BD566&lt;&gt;"AGUARDANDO",BD566&lt;&gt;"",N566="AUXÍLIO ALUGUEL ATÉ INDENIZAÇÃO"),"SIM","NÃO")</f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hidden="1" customHeight="1" x14ac:dyDescent="0.25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6833</v>
      </c>
      <c r="G567" s="207" t="s">
        <v>4400</v>
      </c>
      <c r="H567" s="207" t="s">
        <v>4401</v>
      </c>
      <c r="I567" s="207" t="s">
        <v>4402</v>
      </c>
      <c r="J567" s="215" t="s">
        <v>6834</v>
      </c>
      <c r="K567" s="215" t="s">
        <v>4398</v>
      </c>
      <c r="L567" s="215" t="s">
        <v>6835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6834</v>
      </c>
      <c r="AB567" s="215" t="s">
        <v>4398</v>
      </c>
      <c r="AC567" s="215" t="s">
        <v>6835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>IF(AQ567="SIM","AGUARDANDO CORREÇÃO",IF(AP567&lt;&gt;"","FINALIZADO",IF(AO567&lt;&gt;"","AGUARDANDO ENVIO DTS",IF(AN567&lt;&gt;"","AGUARDANDO ASSINATURA GAB",IF(AM567&lt;&gt;"","AGUARDANDO ASSINATURA CTS",IF(AL567&lt;&gt;"","AGUARDANDO ENVIO ASSINATURA CTS",IF(AK567&lt;&gt;"","AGUARDANDO CONFERÊNCIA","")))))))</f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>IFERROR(IF(BD567-KI567=0,"",BD567-AK567),"")</f>
        <v/>
      </c>
      <c r="BI567" s="98" t="str">
        <f>IF(AND(AH567&lt;&gt;"SIM",AH567="UH"),"AA","INDENIZAÇÃO")</f>
        <v>AA</v>
      </c>
      <c r="BJ567" s="98" t="str">
        <f>IF(AND(BD567&lt;&gt;"AGUARDANDO",BD567&lt;&gt;"",N567="AUXÍLIO ALUGUEL ATÉ INDENIZAÇÃO"),"SIM","NÃO")</f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hidden="1" customHeight="1" x14ac:dyDescent="0.25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6836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6837</v>
      </c>
      <c r="L568" s="215" t="s">
        <v>6838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6837</v>
      </c>
      <c r="AC568" s="215" t="s">
        <v>6838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>IF(AQ568="SIM","AGUARDANDO CORREÇÃO",IF(AP568&lt;&gt;"","FINALIZADO",IF(AO568&lt;&gt;"","AGUARDANDO ENVIO DTS",IF(AN568&lt;&gt;"","AGUARDANDO ASSINATURA GAB",IF(AM568&lt;&gt;"","AGUARDANDO ASSINATURA CTS",IF(AL568&lt;&gt;"","AGUARDANDO ENVIO ASSINATURA CTS",IF(AK568&lt;&gt;"","AGUARDANDO CONFERÊNCIA","")))))))</f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>IFERROR(IF(BD568-KI568=0,"",BD568-AK568),"")</f>
        <v/>
      </c>
      <c r="BI568" s="98" t="str">
        <f>IF(AND(AH568&lt;&gt;"SIM",AH568="UH"),"AA","INDENIZAÇÃO")</f>
        <v>AA</v>
      </c>
      <c r="BJ568" s="98" t="str">
        <f>IF(AND(BD568&lt;&gt;"AGUARDANDO",BD568&lt;&gt;"",N568="AUXÍLIO ALUGUEL ATÉ INDENIZAÇÃO"),"SIM","NÃO")</f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customHeight="1" x14ac:dyDescent="0.25">
      <c r="A569" s="197">
        <v>565</v>
      </c>
      <c r="B569" s="197" t="s">
        <v>4396</v>
      </c>
      <c r="C569" s="207" t="s">
        <v>4426</v>
      </c>
      <c r="D569" s="207">
        <v>1</v>
      </c>
      <c r="E569" s="207" t="s">
        <v>4398</v>
      </c>
      <c r="F569" s="214" t="s">
        <v>6839</v>
      </c>
      <c r="G569" s="207" t="s">
        <v>4400</v>
      </c>
      <c r="H569" s="207" t="s">
        <v>4401</v>
      </c>
      <c r="I569" s="217" t="s">
        <v>4402</v>
      </c>
      <c r="J569" s="255" t="s">
        <v>6840</v>
      </c>
      <c r="K569" s="215" t="s">
        <v>6841</v>
      </c>
      <c r="L569" s="215" t="s">
        <v>6842</v>
      </c>
      <c r="M569" s="207" t="s">
        <v>4405</v>
      </c>
      <c r="N569" s="207" t="s">
        <v>4441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6840</v>
      </c>
      <c r="AB569" s="215" t="s">
        <v>6841</v>
      </c>
      <c r="AC569" s="215" t="s">
        <v>6842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4432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>IF(AQ569="SIM","AGUARDANDO CORREÇÃO",IF(AP569&lt;&gt;"","FINALIZADO",IF(AO569&lt;&gt;"","AGUARDANDO ENVIO DTS",IF(AN569&lt;&gt;"","AGUARDANDO ASSINATURA GAB",IF(AM569&lt;&gt;"","AGUARDANDO ASSINATURA CTS",IF(AL569&lt;&gt;"","AGUARDANDO ENVIO ASSINATURA CTS",IF(AK569&lt;&gt;"","AGUARDANDO CONFERÊNCIA","")))))))</f>
        <v>FINALIZADO</v>
      </c>
      <c r="AS569" s="207" t="s">
        <v>4423</v>
      </c>
      <c r="AT569" s="207"/>
      <c r="AU569" s="220" t="s">
        <v>6843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4434</v>
      </c>
      <c r="BF569" s="236" t="s">
        <v>4435</v>
      </c>
      <c r="BG569" s="237" t="s">
        <v>4425</v>
      </c>
      <c r="BH569" s="321">
        <f>IFERROR(IF(BD569-KI569=0,"",BD569-AK569),"")</f>
        <v>105</v>
      </c>
      <c r="BI569" s="98" t="str">
        <f>IF(AND(AH569&lt;&gt;"SIM",AH569="UH"),"AA","INDENIZAÇÃO")</f>
        <v>INDENIZAÇÃO</v>
      </c>
      <c r="BJ569" s="98" t="str">
        <f>IF(AND(BD569&lt;&gt;"AGUARDANDO",BD569&lt;&gt;"",N569="AUXÍLIO ALUGUEL ATÉ INDENIZAÇÃO"),"SIM","NÃO")</f>
        <v>NÃO</v>
      </c>
      <c r="BK569" s="238" t="s">
        <v>4436</v>
      </c>
      <c r="BL569" s="238" t="s">
        <v>4436</v>
      </c>
      <c r="BM569" s="238" t="s">
        <v>4436</v>
      </c>
      <c r="BN569" s="273" t="s">
        <v>4956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hidden="1" customHeight="1" x14ac:dyDescent="0.25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6839</v>
      </c>
      <c r="G570" s="207" t="s">
        <v>4400</v>
      </c>
      <c r="H570" s="207" t="s">
        <v>4401</v>
      </c>
      <c r="I570" s="207" t="s">
        <v>4402</v>
      </c>
      <c r="J570" s="215" t="s">
        <v>6844</v>
      </c>
      <c r="K570" s="215" t="s">
        <v>6845</v>
      </c>
      <c r="L570" s="215" t="s">
        <v>6846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6844</v>
      </c>
      <c r="AB570" s="215" t="s">
        <v>6845</v>
      </c>
      <c r="AC570" s="215" t="s">
        <v>6846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>IF(AQ570="SIM","AGUARDANDO CORREÇÃO",IF(AP570&lt;&gt;"","FINALIZADO",IF(AO570&lt;&gt;"","AGUARDANDO ENVIO DTS",IF(AN570&lt;&gt;"","AGUARDANDO ASSINATURA GAB",IF(AM570&lt;&gt;"","AGUARDANDO ASSINATURA CTS",IF(AL570&lt;&gt;"","AGUARDANDO ENVIO ASSINATURA CTS",IF(AK570&lt;&gt;"","AGUARDANDO CONFERÊNCIA","")))))))</f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>IFERROR(IF(BD570-KI570=0,"",BD570-AK570),"")</f>
        <v/>
      </c>
      <c r="BI570" s="98" t="str">
        <f>IF(AND(AH570&lt;&gt;"SIM",AH570="UH"),"AA","INDENIZAÇÃO")</f>
        <v>AA</v>
      </c>
      <c r="BJ570" s="98" t="str">
        <f>IF(AND(BD570&lt;&gt;"AGUARDANDO",BD570&lt;&gt;"",N570="AUXÍLIO ALUGUEL ATÉ INDENIZAÇÃO"),"SIM","NÃO")</f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hidden="1" customHeight="1" x14ac:dyDescent="0.25">
      <c r="A571" s="207">
        <v>567</v>
      </c>
      <c r="B571" s="197" t="s">
        <v>4396</v>
      </c>
      <c r="C571" s="207" t="s">
        <v>4426</v>
      </c>
      <c r="D571" s="207">
        <v>1</v>
      </c>
      <c r="E571" s="207" t="s">
        <v>4398</v>
      </c>
      <c r="F571" s="214" t="s">
        <v>6847</v>
      </c>
      <c r="G571" s="207" t="s">
        <v>4400</v>
      </c>
      <c r="H571" s="207" t="s">
        <v>4401</v>
      </c>
      <c r="I571" s="217" t="s">
        <v>4402</v>
      </c>
      <c r="J571" s="255" t="s">
        <v>6848</v>
      </c>
      <c r="K571" s="215" t="s">
        <v>4439</v>
      </c>
      <c r="L571" s="215" t="s">
        <v>6849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6848</v>
      </c>
      <c r="AB571" s="215" t="s">
        <v>4439</v>
      </c>
      <c r="AC571" s="215" t="s">
        <v>6849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>IF(AQ571="SIM","AGUARDANDO CORREÇÃO",IF(AP571&lt;&gt;"","FINALIZADO",IF(AO571&lt;&gt;"","AGUARDANDO ENVIO DTS",IF(AN571&lt;&gt;"","AGUARDANDO ASSINATURA GAB",IF(AM571&lt;&gt;"","AGUARDANDO ASSINATURA CTS",IF(AL571&lt;&gt;"","AGUARDANDO ENVIO ASSINATURA CTS",IF(AK571&lt;&gt;"","AGUARDANDO CONFERÊNCIA","")))))))</f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>IFERROR(IF(BD571-KI571=0,"",BD571-AK571),"")</f>
        <v/>
      </c>
      <c r="BI571" s="98" t="str">
        <f>IF(AND(AH571&lt;&gt;"SIM",AH571="UH"),"AA","INDENIZAÇÃO")</f>
        <v>AA</v>
      </c>
      <c r="BJ571" s="98" t="str">
        <f>IF(AND(BD571&lt;&gt;"AGUARDANDO",BD571&lt;&gt;"",N571="AUXÍLIO ALUGUEL ATÉ INDENIZAÇÃO"),"SIM","NÃO")</f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hidden="1" customHeight="1" x14ac:dyDescent="0.25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6847</v>
      </c>
      <c r="G572" s="207" t="s">
        <v>4400</v>
      </c>
      <c r="H572" s="207" t="s">
        <v>4401</v>
      </c>
      <c r="I572" s="217" t="s">
        <v>4402</v>
      </c>
      <c r="J572" s="255" t="s">
        <v>6850</v>
      </c>
      <c r="K572" s="215" t="s">
        <v>6851</v>
      </c>
      <c r="L572" s="215" t="s">
        <v>6852</v>
      </c>
      <c r="M572" s="207" t="s">
        <v>4405</v>
      </c>
      <c r="N572" s="207" t="s">
        <v>4431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6850</v>
      </c>
      <c r="AB572" s="215" t="s">
        <v>6851</v>
      </c>
      <c r="AC572" s="215" t="s">
        <v>6852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4432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>IF(AQ572="SIM","AGUARDANDO CORREÇÃO",IF(AP572&lt;&gt;"","FINALIZADO",IF(AO572&lt;&gt;"","AGUARDANDO ENVIO DTS",IF(AN572&lt;&gt;"","AGUARDANDO ASSINATURA GAB",IF(AM572&lt;&gt;"","AGUARDANDO ASSINATURA CTS",IF(AL572&lt;&gt;"","AGUARDANDO ENVIO ASSINATURA CTS",IF(AK572&lt;&gt;"","AGUARDANDO CONFERÊNCIA","")))))))</f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>IFERROR(IF(BD572-KI572=0,"",BD572-AK572),"")</f>
        <v/>
      </c>
      <c r="BI572" s="98" t="str">
        <f>IF(AND(AH572&lt;&gt;"SIM",AH572="UH"),"AA","INDENIZAÇÃO")</f>
        <v>INDENIZAÇÃO</v>
      </c>
      <c r="BJ572" s="98" t="str">
        <f>IF(AND(BD572&lt;&gt;"AGUARDANDO",BD572&lt;&gt;"",N572="AUXÍLIO ALUGUEL ATÉ INDENIZAÇÃO"),"SIM","NÃO")</f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customHeight="1" x14ac:dyDescent="0.25">
      <c r="A573" s="207">
        <v>569</v>
      </c>
      <c r="B573" s="197" t="s">
        <v>4396</v>
      </c>
      <c r="C573" s="207" t="s">
        <v>4426</v>
      </c>
      <c r="D573" s="207">
        <v>1</v>
      </c>
      <c r="E573" s="207" t="s">
        <v>4398</v>
      </c>
      <c r="F573" s="214" t="s">
        <v>6853</v>
      </c>
      <c r="G573" s="207" t="s">
        <v>4400</v>
      </c>
      <c r="H573" s="207" t="s">
        <v>4401</v>
      </c>
      <c r="I573" s="217" t="s">
        <v>4402</v>
      </c>
      <c r="J573" s="215" t="s">
        <v>6854</v>
      </c>
      <c r="K573" s="215" t="s">
        <v>6855</v>
      </c>
      <c r="L573" s="215" t="s">
        <v>6856</v>
      </c>
      <c r="M573" s="207" t="s">
        <v>4405</v>
      </c>
      <c r="N573" s="207" t="s">
        <v>4441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6854</v>
      </c>
      <c r="AB573" s="215" t="s">
        <v>6855</v>
      </c>
      <c r="AC573" s="215" t="s">
        <v>6856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4432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>IF(AQ573="SIM","AGUARDANDO CORREÇÃO",IF(AP573&lt;&gt;"","FINALIZADO",IF(AO573&lt;&gt;"","AGUARDANDO ENVIO DTS",IF(AN573&lt;&gt;"","AGUARDANDO ASSINATURA GAB",IF(AM573&lt;&gt;"","AGUARDANDO ASSINATURA CTS",IF(AL573&lt;&gt;"","AGUARDANDO ENVIO ASSINATURA CTS",IF(AK573&lt;&gt;"","AGUARDANDO CONFERÊNCIA","")))))))</f>
        <v>FINALIZADO</v>
      </c>
      <c r="AS573" s="207" t="s">
        <v>4423</v>
      </c>
      <c r="AT573" s="219"/>
      <c r="AU573" s="220" t="s">
        <v>6857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4434</v>
      </c>
      <c r="BF573" s="228" t="s">
        <v>4435</v>
      </c>
      <c r="BG573" s="229" t="s">
        <v>4425</v>
      </c>
      <c r="BH573" s="321">
        <f>IFERROR(IF(BD573-KI573=0,"",BD573-AK573),"")</f>
        <v>50</v>
      </c>
      <c r="BI573" s="98" t="str">
        <f>IF(AND(AH573&lt;&gt;"SIM",AH573="UH"),"AA","INDENIZAÇÃO")</f>
        <v>INDENIZAÇÃO</v>
      </c>
      <c r="BJ573" s="98" t="str">
        <f>IF(AND(BD573&lt;&gt;"AGUARDANDO",BD573&lt;&gt;"",N573="AUXÍLIO ALUGUEL ATÉ INDENIZAÇÃO"),"SIM","NÃO")</f>
        <v>NÃO</v>
      </c>
      <c r="BK573" s="219" t="s">
        <v>4436</v>
      </c>
      <c r="BL573" s="219" t="s">
        <v>4436</v>
      </c>
      <c r="BM573" s="219" t="s">
        <v>4436</v>
      </c>
      <c r="BN573" s="257" t="s">
        <v>4956</v>
      </c>
      <c r="BO573" s="257"/>
      <c r="BP573" s="257"/>
      <c r="BQ573" s="257"/>
      <c r="BR573" s="258"/>
    </row>
    <row r="574" spans="1:112" ht="27" hidden="1" customHeight="1" x14ac:dyDescent="0.25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6853</v>
      </c>
      <c r="G574" s="207" t="s">
        <v>4400</v>
      </c>
      <c r="H574" s="207" t="s">
        <v>4401</v>
      </c>
      <c r="I574" s="217" t="s">
        <v>4402</v>
      </c>
      <c r="J574" s="215" t="s">
        <v>6858</v>
      </c>
      <c r="K574" s="215" t="s">
        <v>6859</v>
      </c>
      <c r="L574" s="215" t="s">
        <v>6860</v>
      </c>
      <c r="M574" s="207" t="s">
        <v>4405</v>
      </c>
      <c r="N574" s="207" t="s">
        <v>4441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6858</v>
      </c>
      <c r="AB574" s="215" t="s">
        <v>6859</v>
      </c>
      <c r="AC574" s="215" t="s">
        <v>6860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4432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>IF(AQ574="SIM","AGUARDANDO CORREÇÃO",IF(AP574&lt;&gt;"","FINALIZADO",IF(AO574&lt;&gt;"","AGUARDANDO ENVIO DTS",IF(AN574&lt;&gt;"","AGUARDANDO ASSINATURA GAB",IF(AM574&lt;&gt;"","AGUARDANDO ASSINATURA CTS",IF(AL574&lt;&gt;"","AGUARDANDO ENVIO ASSINATURA CTS",IF(AK574&lt;&gt;"","AGUARDANDO CONFERÊNCIA","")))))))</f>
        <v>FINALIZADO</v>
      </c>
      <c r="AS574" s="207" t="s">
        <v>4423</v>
      </c>
      <c r="AT574" s="219"/>
      <c r="AU574" s="220" t="s">
        <v>6861</v>
      </c>
      <c r="AV574" s="219" t="s">
        <v>4425</v>
      </c>
      <c r="AW574" s="207" t="s">
        <v>4425</v>
      </c>
      <c r="AX574" s="257" t="s">
        <v>8612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>IFERROR(IF(BD574-KI574=0,"",BD574-AK574),"")</f>
        <v/>
      </c>
      <c r="BI574" s="98" t="str">
        <f>IF(AND(AH574&lt;&gt;"SIM",AH574="UH"),"AA","INDENIZAÇÃO")</f>
        <v>INDENIZAÇÃO</v>
      </c>
      <c r="BJ574" s="98" t="str">
        <f>IF(AND(BD574&lt;&gt;"AGUARDANDO",BD574&lt;&gt;"",N574="AUXÍLIO ALUGUEL ATÉ INDENIZAÇÃO"),"SIM","NÃO")</f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hidden="1" customHeight="1" x14ac:dyDescent="0.25">
      <c r="A575" s="197">
        <v>571</v>
      </c>
      <c r="B575" s="197" t="s">
        <v>4396</v>
      </c>
      <c r="C575" s="207" t="s">
        <v>4426</v>
      </c>
      <c r="D575" s="207">
        <v>1</v>
      </c>
      <c r="E575" s="207" t="s">
        <v>4398</v>
      </c>
      <c r="F575" s="214" t="s">
        <v>6862</v>
      </c>
      <c r="G575" s="207" t="s">
        <v>4400</v>
      </c>
      <c r="H575" s="207" t="s">
        <v>4401</v>
      </c>
      <c r="I575" s="217" t="s">
        <v>4402</v>
      </c>
      <c r="J575" s="215" t="s">
        <v>6863</v>
      </c>
      <c r="K575" s="215" t="s">
        <v>6864</v>
      </c>
      <c r="L575" s="215" t="s">
        <v>6865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6863</v>
      </c>
      <c r="AB575" s="215" t="s">
        <v>6864</v>
      </c>
      <c r="AC575" s="215" t="s">
        <v>6865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>IF(AQ575="SIM","AGUARDANDO CORREÇÃO",IF(AP575&lt;&gt;"","FINALIZADO",IF(AO575&lt;&gt;"","AGUARDANDO ENVIO DTS",IF(AN575&lt;&gt;"","AGUARDANDO ASSINATURA GAB",IF(AM575&lt;&gt;"","AGUARDANDO ASSINATURA CTS",IF(AL575&lt;&gt;"","AGUARDANDO ENVIO ASSINATURA CTS",IF(AK575&lt;&gt;"","AGUARDANDO CONFERÊNCIA","")))))))</f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>IFERROR(IF(BD575-KI575=0,"",BD575-AK575),"")</f>
        <v/>
      </c>
      <c r="BI575" s="98" t="str">
        <f>IF(AND(AH575&lt;&gt;"SIM",AH575="UH"),"AA","INDENIZAÇÃO")</f>
        <v>AA</v>
      </c>
      <c r="BJ575" s="98" t="str">
        <f>IF(AND(BD575&lt;&gt;"AGUARDANDO",BD575&lt;&gt;"",N575="AUXÍLIO ALUGUEL ATÉ INDENIZAÇÃO"),"SIM","NÃO")</f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hidden="1" customHeight="1" x14ac:dyDescent="0.25">
      <c r="A576" s="207">
        <v>572</v>
      </c>
      <c r="B576" s="197" t="s">
        <v>4396</v>
      </c>
      <c r="C576" s="207" t="s">
        <v>4426</v>
      </c>
      <c r="D576" s="207">
        <v>1</v>
      </c>
      <c r="E576" s="207" t="s">
        <v>4398</v>
      </c>
      <c r="F576" s="214" t="s">
        <v>6866</v>
      </c>
      <c r="G576" s="207" t="s">
        <v>4400</v>
      </c>
      <c r="H576" s="207" t="s">
        <v>4401</v>
      </c>
      <c r="I576" s="217" t="s">
        <v>4402</v>
      </c>
      <c r="J576" s="215" t="s">
        <v>6867</v>
      </c>
      <c r="K576" s="215" t="s">
        <v>6868</v>
      </c>
      <c r="L576" s="215" t="s">
        <v>6869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>IF(AQ576="SIM","AGUARDANDO CORREÇÃO",IF(AP576&lt;&gt;"","FINALIZADO",IF(AO576&lt;&gt;"","AGUARDANDO ENVIO DTS",IF(AN576&lt;&gt;"","AGUARDANDO ASSINATURA GAB",IF(AM576&lt;&gt;"","AGUARDANDO ASSINATURA CTS",IF(AL576&lt;&gt;"","AGUARDANDO ENVIO ASSINATURA CTS",IF(AK576&lt;&gt;"","AGUARDANDO CONFERÊNCIA","")))))))</f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>IFERROR(IF(BD576-KI576=0,"",BD576-AK576),"")</f>
        <v/>
      </c>
      <c r="BI576" s="98" t="str">
        <f>IF(AND(AH576&lt;&gt;"SIM",AH576="UH"),"AA","INDENIZAÇÃO")</f>
        <v>INDENIZAÇÃO</v>
      </c>
      <c r="BJ576" s="98" t="str">
        <f>IF(AND(BD576&lt;&gt;"AGUARDANDO",BD576&lt;&gt;"",N576="AUXÍLIO ALUGUEL ATÉ INDENIZAÇÃO"),"SIM","NÃO")</f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 x14ac:dyDescent="0.25">
      <c r="A577" s="207">
        <v>573</v>
      </c>
      <c r="B577" s="197" t="s">
        <v>4396</v>
      </c>
      <c r="C577" s="207" t="s">
        <v>4426</v>
      </c>
      <c r="D577" s="207">
        <v>1</v>
      </c>
      <c r="E577" s="207" t="s">
        <v>4398</v>
      </c>
      <c r="F577" s="214" t="s">
        <v>6870</v>
      </c>
      <c r="G577" s="207" t="s">
        <v>4400</v>
      </c>
      <c r="H577" s="207" t="s">
        <v>4401</v>
      </c>
      <c r="I577" s="217" t="s">
        <v>4402</v>
      </c>
      <c r="J577" s="215" t="s">
        <v>6871</v>
      </c>
      <c r="K577" s="215" t="s">
        <v>6872</v>
      </c>
      <c r="L577" s="215" t="s">
        <v>6873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6871</v>
      </c>
      <c r="AB577" s="215" t="s">
        <v>6872</v>
      </c>
      <c r="AC577" s="215" t="s">
        <v>6873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>IF(AQ577="SIM","AGUARDANDO CORREÇÃO",IF(AP577&lt;&gt;"","FINALIZADO",IF(AO577&lt;&gt;"","AGUARDANDO ENVIO DTS",IF(AN577&lt;&gt;"","AGUARDANDO ASSINATURA GAB",IF(AM577&lt;&gt;"","AGUARDANDO ASSINATURA CTS",IF(AL577&lt;&gt;"","AGUARDANDO ENVIO ASSINATURA CTS",IF(AK577&lt;&gt;"","AGUARDANDO CONFERÊNCIA","")))))))</f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>IFERROR(IF(BD577-KI577=0,"",BD577-AK577),"")</f>
        <v/>
      </c>
      <c r="BI577" s="98" t="str">
        <f>IF(AND(AH577&lt;&gt;"SIM",AH577="UH"),"AA","INDENIZAÇÃO")</f>
        <v>AA</v>
      </c>
      <c r="BJ577" s="98" t="str">
        <f>IF(AND(BD577&lt;&gt;"AGUARDANDO",BD577&lt;&gt;"",N577="AUXÍLIO ALUGUEL ATÉ INDENIZAÇÃO"),"SIM","NÃO")</f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 x14ac:dyDescent="0.25">
      <c r="A578" s="207">
        <v>574</v>
      </c>
      <c r="B578" s="197" t="s">
        <v>4396</v>
      </c>
      <c r="C578" s="207" t="s">
        <v>4426</v>
      </c>
      <c r="D578" s="207">
        <v>1</v>
      </c>
      <c r="E578" s="207" t="s">
        <v>4398</v>
      </c>
      <c r="F578" s="214" t="s">
        <v>6874</v>
      </c>
      <c r="G578" s="207" t="s">
        <v>4400</v>
      </c>
      <c r="H578" s="207" t="s">
        <v>4401</v>
      </c>
      <c r="I578" s="217" t="s">
        <v>4402</v>
      </c>
      <c r="J578" s="242" t="s">
        <v>6875</v>
      </c>
      <c r="K578" s="215" t="s">
        <v>6876</v>
      </c>
      <c r="L578" s="215" t="s">
        <v>6877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6875</v>
      </c>
      <c r="AB578" s="215" t="s">
        <v>6876</v>
      </c>
      <c r="AC578" s="215" t="s">
        <v>6877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>IF(AQ578="SIM","AGUARDANDO CORREÇÃO",IF(AP578&lt;&gt;"","FINALIZADO",IF(AO578&lt;&gt;"","AGUARDANDO ENVIO DTS",IF(AN578&lt;&gt;"","AGUARDANDO ASSINATURA GAB",IF(AM578&lt;&gt;"","AGUARDANDO ASSINATURA CTS",IF(AL578&lt;&gt;"","AGUARDANDO ENVIO ASSINATURA CTS",IF(AK578&lt;&gt;"","AGUARDANDO CONFERÊNCIA","")))))))</f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>IFERROR(IF(BD578-KI578=0,"",BD578-AK578),"")</f>
        <v/>
      </c>
      <c r="BI578" s="98" t="str">
        <f>IF(AND(AH578&lt;&gt;"SIM",AH578="UH"),"AA","INDENIZAÇÃO")</f>
        <v>AA</v>
      </c>
      <c r="BJ578" s="98" t="str">
        <f>IF(AND(BD578&lt;&gt;"AGUARDANDO",BD578&lt;&gt;"",N578="AUXÍLIO ALUGUEL ATÉ INDENIZAÇÃO"),"SIM","NÃO")</f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customHeight="1" x14ac:dyDescent="0.25">
      <c r="A579" s="197">
        <v>575</v>
      </c>
      <c r="B579" s="197" t="s">
        <v>4396</v>
      </c>
      <c r="C579" s="207" t="s">
        <v>4426</v>
      </c>
      <c r="D579" s="207">
        <v>1</v>
      </c>
      <c r="E579" s="207" t="s">
        <v>4398</v>
      </c>
      <c r="F579" s="214" t="s">
        <v>6878</v>
      </c>
      <c r="G579" s="207" t="s">
        <v>4545</v>
      </c>
      <c r="H579" s="207" t="s">
        <v>6497</v>
      </c>
      <c r="I579" s="233" t="s">
        <v>4421</v>
      </c>
      <c r="J579" s="215" t="s">
        <v>6879</v>
      </c>
      <c r="K579" s="215" t="s">
        <v>6880</v>
      </c>
      <c r="L579" s="215" t="s">
        <v>6881</v>
      </c>
      <c r="M579" s="207" t="s">
        <v>4405</v>
      </c>
      <c r="N579" s="207" t="s">
        <v>4441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6879</v>
      </c>
      <c r="AB579" s="200" t="s">
        <v>6880</v>
      </c>
      <c r="AC579" s="200" t="s">
        <v>6881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4432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>IF(AQ579="SIM","AGUARDANDO CORREÇÃO",IF(AP579&lt;&gt;"","FINALIZADO",IF(AO579&lt;&gt;"","AGUARDANDO ENVIO DTS",IF(AN579&lt;&gt;"","AGUARDANDO ASSINATURA GAB",IF(AM579&lt;&gt;"","AGUARDANDO ASSINATURA CTS",IF(AL579&lt;&gt;"","AGUARDANDO ENVIO ASSINATURA CTS",IF(AK579&lt;&gt;"","AGUARDANDO CONFERÊNCIA","")))))))</f>
        <v>FINALIZADO</v>
      </c>
      <c r="AS579" s="207" t="s">
        <v>4423</v>
      </c>
      <c r="AT579" s="207"/>
      <c r="AU579" s="225" t="s">
        <v>6882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4434</v>
      </c>
      <c r="BF579" s="236" t="s">
        <v>4435</v>
      </c>
      <c r="BG579" s="237" t="s">
        <v>4425</v>
      </c>
      <c r="BH579" s="321">
        <f>IFERROR(IF(BD579-KI579=0,"",BD579-AK579),"")</f>
        <v>104</v>
      </c>
      <c r="BI579" s="98" t="str">
        <f>IF(AND(AH579&lt;&gt;"SIM",AH579="UH"),"AA","INDENIZAÇÃO")</f>
        <v>INDENIZAÇÃO</v>
      </c>
      <c r="BJ579" s="98" t="str">
        <f>IF(AND(BD579&lt;&gt;"AGUARDANDO",BD579&lt;&gt;"",N579="AUXÍLIO ALUGUEL ATÉ INDENIZAÇÃO"),"SIM","NÃO")</f>
        <v>NÃO</v>
      </c>
      <c r="BK579" s="238" t="s">
        <v>4436</v>
      </c>
      <c r="BL579" s="238" t="s">
        <v>4436</v>
      </c>
      <c r="BM579" s="238" t="s">
        <v>4436</v>
      </c>
      <c r="BN579" s="273" t="s">
        <v>4956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 x14ac:dyDescent="0.25">
      <c r="A580" s="197">
        <v>576</v>
      </c>
      <c r="B580" s="197" t="s">
        <v>4396</v>
      </c>
      <c r="C580" s="207" t="s">
        <v>4426</v>
      </c>
      <c r="D580" s="207">
        <v>1</v>
      </c>
      <c r="E580" s="207" t="s">
        <v>4398</v>
      </c>
      <c r="F580" s="214" t="s">
        <v>6883</v>
      </c>
      <c r="G580" s="207" t="s">
        <v>4400</v>
      </c>
      <c r="H580" s="207" t="s">
        <v>4401</v>
      </c>
      <c r="I580" s="249" t="s">
        <v>4402</v>
      </c>
      <c r="J580" s="215" t="s">
        <v>6884</v>
      </c>
      <c r="K580" s="215" t="s">
        <v>6885</v>
      </c>
      <c r="L580" s="215" t="s">
        <v>6886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6884</v>
      </c>
      <c r="AB580" s="215" t="s">
        <v>6885</v>
      </c>
      <c r="AC580" s="215" t="s">
        <v>6886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>IF(AQ580="SIM","AGUARDANDO CORREÇÃO",IF(AP580&lt;&gt;"","FINALIZADO",IF(AO580&lt;&gt;"","AGUARDANDO ENVIO DTS",IF(AN580&lt;&gt;"","AGUARDANDO ASSINATURA GAB",IF(AM580&lt;&gt;"","AGUARDANDO ASSINATURA CTS",IF(AL580&lt;&gt;"","AGUARDANDO ENVIO ASSINATURA CTS",IF(AK580&lt;&gt;"","AGUARDANDO CONFERÊNCIA","")))))))</f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>IFERROR(IF(BD580-KI580=0,"",BD580-AK580),"")</f>
        <v/>
      </c>
      <c r="BI580" s="98" t="str">
        <f>IF(AND(AH580&lt;&gt;"SIM",AH580="UH"),"AA","INDENIZAÇÃO")</f>
        <v>AA</v>
      </c>
      <c r="BJ580" s="98" t="str">
        <f>IF(AND(BD580&lt;&gt;"AGUARDANDO",BD580&lt;&gt;"",N580="AUXÍLIO ALUGUEL ATÉ INDENIZAÇÃO"),"SIM","NÃO")</f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 x14ac:dyDescent="0.25">
      <c r="A581" s="207">
        <v>577</v>
      </c>
      <c r="B581" s="197" t="s">
        <v>4396</v>
      </c>
      <c r="C581" s="207" t="s">
        <v>4426</v>
      </c>
      <c r="D581" s="207">
        <v>1</v>
      </c>
      <c r="E581" s="207" t="s">
        <v>4398</v>
      </c>
      <c r="F581" s="214" t="s">
        <v>6887</v>
      </c>
      <c r="G581" s="207" t="s">
        <v>4400</v>
      </c>
      <c r="H581" s="207" t="s">
        <v>4401</v>
      </c>
      <c r="I581" s="249" t="s">
        <v>4402</v>
      </c>
      <c r="J581" s="215" t="s">
        <v>6888</v>
      </c>
      <c r="K581" s="215" t="s">
        <v>6889</v>
      </c>
      <c r="L581" s="215" t="s">
        <v>6890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>IF(AQ581="SIM","AGUARDANDO CORREÇÃO",IF(AP581&lt;&gt;"","FINALIZADO",IF(AO581&lt;&gt;"","AGUARDANDO ENVIO DTS",IF(AN581&lt;&gt;"","AGUARDANDO ASSINATURA GAB",IF(AM581&lt;&gt;"","AGUARDANDO ASSINATURA CTS",IF(AL581&lt;&gt;"","AGUARDANDO ENVIO ASSINATURA CTS",IF(AK581&lt;&gt;"","AGUARDANDO CONFERÊNCIA","")))))))</f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>IFERROR(IF(BD581-KI581=0,"",BD581-AK581),"")</f>
        <v/>
      </c>
      <c r="BI581" s="98" t="str">
        <f>IF(AND(AH581&lt;&gt;"SIM",AH581="UH"),"AA","INDENIZAÇÃO")</f>
        <v>INDENIZAÇÃO</v>
      </c>
      <c r="BJ581" s="98" t="str">
        <f>IF(AND(BD581&lt;&gt;"AGUARDANDO",BD581&lt;&gt;"",N581="AUXÍLIO ALUGUEL ATÉ INDENIZAÇÃO"),"SIM","NÃO")</f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hidden="1" customHeight="1" x14ac:dyDescent="0.25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6891</v>
      </c>
      <c r="G582" s="207" t="s">
        <v>4400</v>
      </c>
      <c r="H582" s="207" t="s">
        <v>4401</v>
      </c>
      <c r="I582" s="207" t="s">
        <v>4402</v>
      </c>
      <c r="J582" s="215" t="s">
        <v>6892</v>
      </c>
      <c r="K582" s="215" t="s">
        <v>6893</v>
      </c>
      <c r="L582" s="215" t="s">
        <v>6894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6892</v>
      </c>
      <c r="AB582" s="215" t="s">
        <v>6893</v>
      </c>
      <c r="AC582" s="215" t="s">
        <v>6894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>IFERROR(IF(BD582-KI582=0,"",BD582-AK582),"")</f>
        <v/>
      </c>
      <c r="BI582" s="98" t="str">
        <f>IF(AND(AH582&lt;&gt;"SIM",AH582="UH"),"AA","INDENIZAÇÃO")</f>
        <v>AA</v>
      </c>
      <c r="BJ582" s="98" t="str">
        <f>IF(AND(BD582&lt;&gt;"AGUARDANDO",BD582&lt;&gt;"",N582="AUXÍLIO ALUGUEL ATÉ INDENIZAÇÃO"),"SIM","NÃO")</f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 x14ac:dyDescent="0.25">
      <c r="A583" s="207">
        <v>579</v>
      </c>
      <c r="B583" s="197" t="s">
        <v>4396</v>
      </c>
      <c r="C583" s="207" t="s">
        <v>4426</v>
      </c>
      <c r="D583" s="207">
        <v>1</v>
      </c>
      <c r="E583" s="207" t="s">
        <v>4398</v>
      </c>
      <c r="F583" s="214" t="s">
        <v>6895</v>
      </c>
      <c r="G583" s="207" t="s">
        <v>4400</v>
      </c>
      <c r="H583" s="207" t="s">
        <v>4401</v>
      </c>
      <c r="I583" s="207" t="s">
        <v>4402</v>
      </c>
      <c r="J583" s="242" t="s">
        <v>6896</v>
      </c>
      <c r="K583" s="215" t="s">
        <v>4439</v>
      </c>
      <c r="L583" s="215" t="s">
        <v>6897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6896</v>
      </c>
      <c r="AB583" s="215" t="s">
        <v>4439</v>
      </c>
      <c r="AC583" s="215" t="s">
        <v>6897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2:AR645" si="4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1:BH644" si="5">IFERROR(IF(BD583-KI583=0,"",BD583-AK583),"")</f>
        <v/>
      </c>
      <c r="BI583" s="98" t="str">
        <f t="shared" ref="BI581:BI644" si="6">IF(AND(AH583&lt;&gt;"SIM",AH583="UH"),"AA","INDENIZAÇÃO")</f>
        <v>AA</v>
      </c>
      <c r="BJ583" s="98" t="str">
        <f t="shared" ref="BJ581:BJ644" si="7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 x14ac:dyDescent="0.25">
      <c r="A584" s="197">
        <v>580</v>
      </c>
      <c r="B584" s="197" t="s">
        <v>4396</v>
      </c>
      <c r="C584" s="207" t="s">
        <v>4426</v>
      </c>
      <c r="D584" s="207">
        <v>1</v>
      </c>
      <c r="E584" s="207" t="s">
        <v>4398</v>
      </c>
      <c r="F584" s="214" t="s">
        <v>6898</v>
      </c>
      <c r="G584" s="207" t="s">
        <v>4400</v>
      </c>
      <c r="H584" s="207" t="s">
        <v>4401</v>
      </c>
      <c r="I584" s="207" t="s">
        <v>4402</v>
      </c>
      <c r="J584" s="242" t="s">
        <v>6899</v>
      </c>
      <c r="K584" s="215" t="s">
        <v>4439</v>
      </c>
      <c r="L584" s="215" t="s">
        <v>6900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6899</v>
      </c>
      <c r="AB584" s="215" t="s">
        <v>4439</v>
      </c>
      <c r="AC584" s="215" t="s">
        <v>6900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5"/>
        <v/>
      </c>
      <c r="BI584" s="98" t="str">
        <f t="shared" si="6"/>
        <v>AA</v>
      </c>
      <c r="BJ584" s="98" t="str">
        <f t="shared" si="7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 x14ac:dyDescent="0.25">
      <c r="A585" s="197">
        <v>581</v>
      </c>
      <c r="B585" s="197" t="s">
        <v>4396</v>
      </c>
      <c r="C585" s="207" t="s">
        <v>4426</v>
      </c>
      <c r="D585" s="207">
        <v>1</v>
      </c>
      <c r="E585" s="207" t="s">
        <v>4398</v>
      </c>
      <c r="F585" s="214" t="s">
        <v>6901</v>
      </c>
      <c r="G585" s="207" t="s">
        <v>4400</v>
      </c>
      <c r="H585" s="207" t="s">
        <v>4401</v>
      </c>
      <c r="I585" s="217" t="s">
        <v>4402</v>
      </c>
      <c r="J585" s="242" t="s">
        <v>6902</v>
      </c>
      <c r="K585" s="215" t="s">
        <v>6903</v>
      </c>
      <c r="L585" s="215" t="s">
        <v>6904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6902</v>
      </c>
      <c r="AB585" s="215" t="s">
        <v>6903</v>
      </c>
      <c r="AC585" s="215" t="s">
        <v>6904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5"/>
        <v/>
      </c>
      <c r="BI585" s="98" t="str">
        <f t="shared" si="6"/>
        <v>AA</v>
      </c>
      <c r="BJ585" s="98" t="str">
        <f t="shared" si="7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customHeight="1" x14ac:dyDescent="0.25">
      <c r="A586" s="207">
        <v>582</v>
      </c>
      <c r="B586" s="197" t="s">
        <v>4396</v>
      </c>
      <c r="C586" s="207" t="s">
        <v>4426</v>
      </c>
      <c r="D586" s="207">
        <v>1</v>
      </c>
      <c r="E586" s="207" t="s">
        <v>4398</v>
      </c>
      <c r="F586" s="214" t="s">
        <v>6905</v>
      </c>
      <c r="G586" s="207" t="s">
        <v>4400</v>
      </c>
      <c r="H586" s="207" t="s">
        <v>4401</v>
      </c>
      <c r="I586" s="217" t="s">
        <v>4402</v>
      </c>
      <c r="J586" s="215" t="s">
        <v>6906</v>
      </c>
      <c r="K586" s="215" t="s">
        <v>6907</v>
      </c>
      <c r="L586" s="215" t="s">
        <v>6908</v>
      </c>
      <c r="M586" s="207" t="s">
        <v>4405</v>
      </c>
      <c r="N586" s="207" t="s">
        <v>4441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6906</v>
      </c>
      <c r="AB586" s="215" t="s">
        <v>6907</v>
      </c>
      <c r="AC586" s="215" t="s">
        <v>6908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4432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"/>
        <v>FINALIZADO</v>
      </c>
      <c r="AS586" s="207" t="s">
        <v>4423</v>
      </c>
      <c r="AT586" s="207"/>
      <c r="AU586" s="263" t="s">
        <v>6909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4434</v>
      </c>
      <c r="BF586" s="257" t="s">
        <v>4435</v>
      </c>
      <c r="BG586" s="219" t="s">
        <v>4425</v>
      </c>
      <c r="BH586" s="321">
        <f t="shared" si="5"/>
        <v>103</v>
      </c>
      <c r="BI586" s="98" t="str">
        <f t="shared" si="6"/>
        <v>INDENIZAÇÃO</v>
      </c>
      <c r="BJ586" s="98" t="str">
        <f t="shared" si="7"/>
        <v>NÃO</v>
      </c>
      <c r="BK586" s="219" t="s">
        <v>4436</v>
      </c>
      <c r="BL586" s="219" t="s">
        <v>4436</v>
      </c>
      <c r="BM586" s="219" t="s">
        <v>4436</v>
      </c>
      <c r="BN586" s="257" t="s">
        <v>4956</v>
      </c>
      <c r="BO586" s="257"/>
      <c r="BP586" s="257"/>
      <c r="BQ586" s="257"/>
      <c r="BR586" s="258"/>
      <c r="BS586" s="223"/>
      <c r="BT586" s="240"/>
    </row>
    <row r="587" spans="1:112" ht="27" hidden="1" customHeight="1" x14ac:dyDescent="0.25">
      <c r="A587" s="207">
        <v>583</v>
      </c>
      <c r="B587" s="197" t="s">
        <v>4396</v>
      </c>
      <c r="C587" s="207" t="s">
        <v>4426</v>
      </c>
      <c r="D587" s="207">
        <v>1</v>
      </c>
      <c r="E587" s="250" t="s">
        <v>4398</v>
      </c>
      <c r="F587" s="214" t="s">
        <v>6910</v>
      </c>
      <c r="G587" s="207" t="s">
        <v>4400</v>
      </c>
      <c r="H587" s="207" t="s">
        <v>4401</v>
      </c>
      <c r="I587" s="217" t="s">
        <v>4402</v>
      </c>
      <c r="J587" s="242" t="s">
        <v>6911</v>
      </c>
      <c r="K587" s="215" t="s">
        <v>6912</v>
      </c>
      <c r="L587" s="215" t="s">
        <v>6913</v>
      </c>
      <c r="M587" s="207" t="s">
        <v>4405</v>
      </c>
      <c r="N587" s="207" t="s">
        <v>4441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 t="s">
        <v>4409</v>
      </c>
      <c r="AA587" s="242" t="s">
        <v>6911</v>
      </c>
      <c r="AB587" s="215" t="s">
        <v>6912</v>
      </c>
      <c r="AC587" s="215" t="s">
        <v>6913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4432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"/>
        <v>FINALIZADO</v>
      </c>
      <c r="AS587" s="207" t="s">
        <v>4423</v>
      </c>
      <c r="AT587" s="207"/>
      <c r="AU587" s="220" t="s">
        <v>4434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5"/>
        <v/>
      </c>
      <c r="BI587" s="98" t="str">
        <f t="shared" si="6"/>
        <v>INDENIZAÇÃO</v>
      </c>
      <c r="BJ587" s="98" t="str">
        <f t="shared" si="7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 x14ac:dyDescent="0.25">
      <c r="A588" s="207">
        <v>584</v>
      </c>
      <c r="B588" s="197" t="s">
        <v>4396</v>
      </c>
      <c r="C588" s="207" t="s">
        <v>4426</v>
      </c>
      <c r="D588" s="207">
        <v>1</v>
      </c>
      <c r="E588" s="207" t="s">
        <v>4398</v>
      </c>
      <c r="F588" s="214" t="s">
        <v>6914</v>
      </c>
      <c r="G588" s="207" t="s">
        <v>4400</v>
      </c>
      <c r="H588" s="207" t="s">
        <v>4401</v>
      </c>
      <c r="I588" s="217" t="s">
        <v>4402</v>
      </c>
      <c r="J588" s="215" t="s">
        <v>6915</v>
      </c>
      <c r="K588" s="215" t="s">
        <v>6916</v>
      </c>
      <c r="L588" s="215" t="s">
        <v>6917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6915</v>
      </c>
      <c r="AB588" s="215" t="s">
        <v>6916</v>
      </c>
      <c r="AC588" s="215" t="s">
        <v>6917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5"/>
        <v/>
      </c>
      <c r="BI588" s="98" t="str">
        <f t="shared" si="6"/>
        <v>AA</v>
      </c>
      <c r="BJ588" s="98" t="str">
        <f t="shared" si="7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 x14ac:dyDescent="0.25">
      <c r="A589" s="197">
        <v>585</v>
      </c>
      <c r="B589" s="197" t="s">
        <v>4396</v>
      </c>
      <c r="C589" s="207" t="s">
        <v>4426</v>
      </c>
      <c r="D589" s="207">
        <v>1</v>
      </c>
      <c r="E589" s="207" t="s">
        <v>4398</v>
      </c>
      <c r="F589" s="214" t="s">
        <v>6918</v>
      </c>
      <c r="G589" s="207" t="s">
        <v>4400</v>
      </c>
      <c r="H589" s="207" t="s">
        <v>4401</v>
      </c>
      <c r="I589" s="217" t="s">
        <v>4402</v>
      </c>
      <c r="J589" s="242" t="s">
        <v>6919</v>
      </c>
      <c r="K589" s="215" t="s">
        <v>6920</v>
      </c>
      <c r="L589" s="215" t="s">
        <v>6921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6919</v>
      </c>
      <c r="AB589" s="215" t="s">
        <v>6920</v>
      </c>
      <c r="AC589" s="215" t="s">
        <v>6921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5"/>
        <v/>
      </c>
      <c r="BI589" s="98" t="str">
        <f t="shared" si="6"/>
        <v>AA</v>
      </c>
      <c r="BJ589" s="98" t="str">
        <f t="shared" si="7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 x14ac:dyDescent="0.25">
      <c r="A590" s="197">
        <v>586</v>
      </c>
      <c r="B590" s="197" t="s">
        <v>4396</v>
      </c>
      <c r="C590" s="207" t="s">
        <v>4426</v>
      </c>
      <c r="D590" s="207">
        <v>1</v>
      </c>
      <c r="E590" s="250" t="s">
        <v>4398</v>
      </c>
      <c r="F590" s="214" t="s">
        <v>6922</v>
      </c>
      <c r="G590" s="207" t="s">
        <v>4400</v>
      </c>
      <c r="H590" s="207" t="s">
        <v>4401</v>
      </c>
      <c r="I590" s="217" t="s">
        <v>4402</v>
      </c>
      <c r="J590" s="242" t="s">
        <v>6923</v>
      </c>
      <c r="K590" s="215" t="s">
        <v>6924</v>
      </c>
      <c r="L590" s="215" t="s">
        <v>6925</v>
      </c>
      <c r="M590" s="207" t="s">
        <v>4405</v>
      </c>
      <c r="N590" s="207" t="s">
        <v>4431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6923</v>
      </c>
      <c r="AB590" s="215" t="s">
        <v>6924</v>
      </c>
      <c r="AC590" s="215" t="s">
        <v>6925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4432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"/>
        <v>FINALIZADO</v>
      </c>
      <c r="AS590" s="207" t="s">
        <v>4423</v>
      </c>
      <c r="AT590" s="207"/>
      <c r="AU590" s="220" t="s">
        <v>4434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5"/>
        <v/>
      </c>
      <c r="BI590" s="98" t="str">
        <f t="shared" si="6"/>
        <v>INDENIZAÇÃO</v>
      </c>
      <c r="BJ590" s="98" t="str">
        <f t="shared" si="7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 x14ac:dyDescent="0.25">
      <c r="A591" s="207">
        <v>587</v>
      </c>
      <c r="B591" s="197" t="s">
        <v>4396</v>
      </c>
      <c r="C591" s="207" t="s">
        <v>4426</v>
      </c>
      <c r="D591" s="207">
        <v>1</v>
      </c>
      <c r="E591" s="207" t="s">
        <v>4398</v>
      </c>
      <c r="F591" s="214" t="s">
        <v>6926</v>
      </c>
      <c r="G591" s="207" t="s">
        <v>4400</v>
      </c>
      <c r="H591" s="207" t="s">
        <v>4401</v>
      </c>
      <c r="I591" s="217" t="s">
        <v>4402</v>
      </c>
      <c r="J591" s="242" t="s">
        <v>6927</v>
      </c>
      <c r="K591" s="215" t="s">
        <v>6928</v>
      </c>
      <c r="L591" s="215" t="s">
        <v>6929</v>
      </c>
      <c r="M591" s="207" t="s">
        <v>4405</v>
      </c>
      <c r="N591" s="207" t="s">
        <v>4431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6930</v>
      </c>
      <c r="AA591" s="242" t="s">
        <v>6927</v>
      </c>
      <c r="AB591" s="215" t="s">
        <v>6928</v>
      </c>
      <c r="AC591" s="215" t="s">
        <v>6929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4432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5"/>
        <v/>
      </c>
      <c r="BI591" s="98" t="str">
        <f t="shared" si="6"/>
        <v>INDENIZAÇÃO</v>
      </c>
      <c r="BJ591" s="98" t="str">
        <f t="shared" si="7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 x14ac:dyDescent="0.25">
      <c r="A592" s="207">
        <v>588</v>
      </c>
      <c r="B592" s="197" t="s">
        <v>4396</v>
      </c>
      <c r="C592" s="207" t="s">
        <v>4426</v>
      </c>
      <c r="D592" s="207">
        <v>1</v>
      </c>
      <c r="E592" s="207" t="s">
        <v>4398</v>
      </c>
      <c r="F592" s="214" t="s">
        <v>6931</v>
      </c>
      <c r="G592" s="207" t="s">
        <v>4400</v>
      </c>
      <c r="H592" s="207" t="s">
        <v>4401</v>
      </c>
      <c r="I592" s="217" t="s">
        <v>4402</v>
      </c>
      <c r="J592" s="242" t="s">
        <v>6932</v>
      </c>
      <c r="K592" s="215"/>
      <c r="L592" s="215" t="s">
        <v>6933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5"/>
        <v/>
      </c>
      <c r="BI592" s="98" t="str">
        <f t="shared" si="6"/>
        <v>INDENIZAÇÃO</v>
      </c>
      <c r="BJ592" s="98" t="str">
        <f t="shared" si="7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 x14ac:dyDescent="0.25">
      <c r="A593" s="207">
        <v>589</v>
      </c>
      <c r="B593" s="197" t="s">
        <v>4396</v>
      </c>
      <c r="C593" s="207" t="s">
        <v>4426</v>
      </c>
      <c r="D593" s="207">
        <v>1</v>
      </c>
      <c r="E593" s="207" t="s">
        <v>4398</v>
      </c>
      <c r="F593" s="214" t="s">
        <v>6934</v>
      </c>
      <c r="G593" s="207" t="s">
        <v>4400</v>
      </c>
      <c r="H593" s="207" t="s">
        <v>4401</v>
      </c>
      <c r="I593" s="217" t="s">
        <v>4402</v>
      </c>
      <c r="J593" s="215" t="s">
        <v>6935</v>
      </c>
      <c r="K593" s="215" t="s">
        <v>6936</v>
      </c>
      <c r="L593" s="215" t="s">
        <v>6937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6935</v>
      </c>
      <c r="AB593" s="215" t="s">
        <v>6936</v>
      </c>
      <c r="AC593" s="215" t="s">
        <v>6937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5"/>
        <v/>
      </c>
      <c r="BI593" s="98" t="str">
        <f t="shared" si="6"/>
        <v>AA</v>
      </c>
      <c r="BJ593" s="98" t="str">
        <f t="shared" si="7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customHeight="1" x14ac:dyDescent="0.25">
      <c r="A594" s="197">
        <v>590</v>
      </c>
      <c r="B594" s="197" t="s">
        <v>4396</v>
      </c>
      <c r="C594" s="207" t="s">
        <v>4426</v>
      </c>
      <c r="D594" s="207">
        <v>1</v>
      </c>
      <c r="E594" s="207" t="s">
        <v>4398</v>
      </c>
      <c r="F594" s="214" t="s">
        <v>6938</v>
      </c>
      <c r="G594" s="207" t="s">
        <v>4400</v>
      </c>
      <c r="H594" s="207" t="s">
        <v>4401</v>
      </c>
      <c r="I594" s="217" t="s">
        <v>4402</v>
      </c>
      <c r="J594" s="215" t="s">
        <v>6939</v>
      </c>
      <c r="K594" s="215" t="s">
        <v>6940</v>
      </c>
      <c r="L594" s="215" t="s">
        <v>6941</v>
      </c>
      <c r="M594" s="207" t="s">
        <v>4405</v>
      </c>
      <c r="N594" s="207" t="s">
        <v>4441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6939</v>
      </c>
      <c r="AB594" s="200" t="s">
        <v>6940</v>
      </c>
      <c r="AC594" s="200" t="s">
        <v>6941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4432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"/>
        <v>FINALIZADO</v>
      </c>
      <c r="AS594" s="207" t="s">
        <v>4423</v>
      </c>
      <c r="AT594" s="207"/>
      <c r="AU594" s="225" t="s">
        <v>6942</v>
      </c>
      <c r="AV594" s="250" t="s">
        <v>4425</v>
      </c>
      <c r="AW594" s="207" t="s">
        <v>4425</v>
      </c>
      <c r="AX594" s="207" t="s">
        <v>4817</v>
      </c>
      <c r="AY594" s="207" t="s">
        <v>4817</v>
      </c>
      <c r="AZ594" s="202">
        <v>46233</v>
      </c>
      <c r="BA594" s="207" t="s">
        <v>4817</v>
      </c>
      <c r="BB594" s="207" t="s">
        <v>4817</v>
      </c>
      <c r="BC594" s="202">
        <v>46251</v>
      </c>
      <c r="BD594" s="227">
        <v>46251</v>
      </c>
      <c r="BE594" s="226" t="s">
        <v>4434</v>
      </c>
      <c r="BF594" s="228" t="s">
        <v>4435</v>
      </c>
      <c r="BG594" s="219" t="s">
        <v>4425</v>
      </c>
      <c r="BH594" s="321">
        <f t="shared" si="5"/>
        <v>122</v>
      </c>
      <c r="BI594" s="98" t="str">
        <f t="shared" si="6"/>
        <v>INDENIZAÇÃO</v>
      </c>
      <c r="BJ594" s="98" t="str">
        <f t="shared" si="7"/>
        <v>NÃO</v>
      </c>
      <c r="BK594" s="219" t="s">
        <v>4436</v>
      </c>
      <c r="BL594" s="219" t="s">
        <v>4436</v>
      </c>
      <c r="BM594" s="219" t="s">
        <v>4436</v>
      </c>
      <c r="BN594" s="257" t="s">
        <v>4956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 x14ac:dyDescent="0.25">
      <c r="A595" s="197">
        <v>591</v>
      </c>
      <c r="B595" s="197" t="s">
        <v>4396</v>
      </c>
      <c r="C595" s="207" t="s">
        <v>4426</v>
      </c>
      <c r="D595" s="207">
        <v>1</v>
      </c>
      <c r="E595" s="207" t="s">
        <v>4398</v>
      </c>
      <c r="F595" s="214" t="s">
        <v>6943</v>
      </c>
      <c r="G595" s="207" t="s">
        <v>4400</v>
      </c>
      <c r="H595" s="207" t="s">
        <v>4401</v>
      </c>
      <c r="I595" s="217" t="s">
        <v>4402</v>
      </c>
      <c r="J595" s="215" t="s">
        <v>6944</v>
      </c>
      <c r="K595" s="215" t="s">
        <v>6945</v>
      </c>
      <c r="L595" s="215" t="s">
        <v>6946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6944</v>
      </c>
      <c r="AB595" s="215" t="s">
        <v>6945</v>
      </c>
      <c r="AC595" s="215" t="s">
        <v>6946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5"/>
        <v/>
      </c>
      <c r="BI595" s="98" t="str">
        <f t="shared" si="6"/>
        <v>AA</v>
      </c>
      <c r="BJ595" s="98" t="str">
        <f t="shared" si="7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customHeight="1" x14ac:dyDescent="0.25">
      <c r="A596" s="207">
        <v>592</v>
      </c>
      <c r="B596" s="197" t="s">
        <v>4396</v>
      </c>
      <c r="C596" s="207" t="s">
        <v>4426</v>
      </c>
      <c r="D596" s="207">
        <v>1</v>
      </c>
      <c r="E596" s="207" t="s">
        <v>4398</v>
      </c>
      <c r="F596" s="214" t="s">
        <v>6947</v>
      </c>
      <c r="G596" s="207" t="s">
        <v>4400</v>
      </c>
      <c r="H596" s="207" t="s">
        <v>4401</v>
      </c>
      <c r="I596" s="217" t="s">
        <v>4402</v>
      </c>
      <c r="J596" s="215" t="s">
        <v>6948</v>
      </c>
      <c r="K596" s="215" t="s">
        <v>6949</v>
      </c>
      <c r="L596" s="215" t="s">
        <v>6950</v>
      </c>
      <c r="M596" s="207" t="s">
        <v>4405</v>
      </c>
      <c r="N596" s="207" t="s">
        <v>4441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6948</v>
      </c>
      <c r="AB596" s="215" t="s">
        <v>6949</v>
      </c>
      <c r="AC596" s="215" t="s">
        <v>6950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4432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"/>
        <v>FINALIZADO</v>
      </c>
      <c r="AS596" s="207" t="s">
        <v>4423</v>
      </c>
      <c r="AT596" s="219"/>
      <c r="AU596" s="225" t="s">
        <v>6951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4434</v>
      </c>
      <c r="BF596" s="228" t="s">
        <v>4435</v>
      </c>
      <c r="BG596" s="229" t="s">
        <v>4425</v>
      </c>
      <c r="BH596" s="321">
        <f t="shared" si="5"/>
        <v>23</v>
      </c>
      <c r="BI596" s="98" t="str">
        <f t="shared" si="6"/>
        <v>INDENIZAÇÃO</v>
      </c>
      <c r="BJ596" s="98" t="str">
        <f t="shared" si="7"/>
        <v>NÃO</v>
      </c>
      <c r="BK596" s="230" t="s">
        <v>4436</v>
      </c>
      <c r="BL596" s="230" t="s">
        <v>4436</v>
      </c>
      <c r="BM596" s="230" t="s">
        <v>4436</v>
      </c>
      <c r="BN596" s="265" t="s">
        <v>4956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 x14ac:dyDescent="0.25">
      <c r="A597" s="207">
        <v>593</v>
      </c>
      <c r="B597" s="197" t="s">
        <v>4396</v>
      </c>
      <c r="C597" s="207" t="s">
        <v>4426</v>
      </c>
      <c r="D597" s="207">
        <v>1</v>
      </c>
      <c r="E597" s="207" t="s">
        <v>4398</v>
      </c>
      <c r="F597" s="214" t="s">
        <v>6952</v>
      </c>
      <c r="G597" s="207" t="s">
        <v>4400</v>
      </c>
      <c r="H597" s="207" t="s">
        <v>4401</v>
      </c>
      <c r="I597" s="217" t="s">
        <v>4402</v>
      </c>
      <c r="J597" s="255" t="s">
        <v>6953</v>
      </c>
      <c r="K597" s="215" t="s">
        <v>6954</v>
      </c>
      <c r="L597" s="215" t="s">
        <v>6955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6953</v>
      </c>
      <c r="AB597" s="215" t="s">
        <v>6954</v>
      </c>
      <c r="AC597" s="215" t="s">
        <v>6955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5"/>
        <v/>
      </c>
      <c r="BI597" s="98" t="str">
        <f t="shared" si="6"/>
        <v>AA</v>
      </c>
      <c r="BJ597" s="98" t="str">
        <f t="shared" si="7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 x14ac:dyDescent="0.25">
      <c r="A598" s="207">
        <v>594</v>
      </c>
      <c r="B598" s="197" t="s">
        <v>4396</v>
      </c>
      <c r="C598" s="207" t="s">
        <v>4426</v>
      </c>
      <c r="D598" s="207">
        <v>1</v>
      </c>
      <c r="E598" s="207" t="s">
        <v>4398</v>
      </c>
      <c r="F598" s="214" t="s">
        <v>6956</v>
      </c>
      <c r="G598" s="207" t="s">
        <v>4400</v>
      </c>
      <c r="H598" s="207" t="s">
        <v>4401</v>
      </c>
      <c r="I598" s="217" t="s">
        <v>4402</v>
      </c>
      <c r="J598" s="242" t="s">
        <v>6957</v>
      </c>
      <c r="K598" s="215" t="s">
        <v>6958</v>
      </c>
      <c r="L598" s="215" t="s">
        <v>6959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6957</v>
      </c>
      <c r="AB598" s="215" t="s">
        <v>6958</v>
      </c>
      <c r="AC598" s="215" t="s">
        <v>6959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5"/>
        <v/>
      </c>
      <c r="BI598" s="98" t="str">
        <f t="shared" si="6"/>
        <v>AA</v>
      </c>
      <c r="BJ598" s="98" t="str">
        <f t="shared" si="7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 x14ac:dyDescent="0.25">
      <c r="A599" s="197">
        <v>595</v>
      </c>
      <c r="B599" s="197" t="s">
        <v>4396</v>
      </c>
      <c r="C599" s="207" t="s">
        <v>4426</v>
      </c>
      <c r="D599" s="207">
        <v>1</v>
      </c>
      <c r="E599" s="207" t="s">
        <v>4398</v>
      </c>
      <c r="F599" s="214" t="s">
        <v>6960</v>
      </c>
      <c r="G599" s="207" t="s">
        <v>4400</v>
      </c>
      <c r="H599" s="207" t="s">
        <v>4401</v>
      </c>
      <c r="I599" s="217" t="s">
        <v>4402</v>
      </c>
      <c r="J599" s="215" t="s">
        <v>6961</v>
      </c>
      <c r="K599" s="215" t="s">
        <v>6962</v>
      </c>
      <c r="L599" s="215" t="s">
        <v>6963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6961</v>
      </c>
      <c r="AB599" s="215" t="s">
        <v>6962</v>
      </c>
      <c r="AC599" s="215" t="s">
        <v>6963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5"/>
        <v/>
      </c>
      <c r="BI599" s="98" t="str">
        <f t="shared" si="6"/>
        <v>AA</v>
      </c>
      <c r="BJ599" s="98" t="str">
        <f t="shared" si="7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 x14ac:dyDescent="0.25">
      <c r="A600" s="197">
        <v>596</v>
      </c>
      <c r="B600" s="197" t="s">
        <v>4396</v>
      </c>
      <c r="C600" s="207" t="s">
        <v>4426</v>
      </c>
      <c r="D600" s="207">
        <v>1</v>
      </c>
      <c r="E600" s="207" t="s">
        <v>4398</v>
      </c>
      <c r="F600" s="214" t="s">
        <v>6964</v>
      </c>
      <c r="G600" s="207" t="s">
        <v>4400</v>
      </c>
      <c r="H600" s="207" t="s">
        <v>4401</v>
      </c>
      <c r="I600" s="217" t="s">
        <v>4402</v>
      </c>
      <c r="J600" s="215" t="s">
        <v>6965</v>
      </c>
      <c r="K600" s="215" t="s">
        <v>6966</v>
      </c>
      <c r="L600" s="215" t="s">
        <v>6967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6965</v>
      </c>
      <c r="AB600" s="215" t="s">
        <v>6966</v>
      </c>
      <c r="AC600" s="215" t="s">
        <v>6967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5"/>
        <v/>
      </c>
      <c r="BI600" s="98" t="str">
        <f t="shared" si="6"/>
        <v>AA</v>
      </c>
      <c r="BJ600" s="98" t="str">
        <f t="shared" si="7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 x14ac:dyDescent="0.25">
      <c r="A601" s="207">
        <v>597</v>
      </c>
      <c r="B601" s="197" t="s">
        <v>4396</v>
      </c>
      <c r="C601" s="207" t="s">
        <v>4426</v>
      </c>
      <c r="D601" s="207">
        <v>1</v>
      </c>
      <c r="E601" s="207" t="s">
        <v>4398</v>
      </c>
      <c r="F601" s="214" t="s">
        <v>6968</v>
      </c>
      <c r="G601" s="207" t="s">
        <v>4400</v>
      </c>
      <c r="H601" s="207" t="s">
        <v>4401</v>
      </c>
      <c r="I601" s="217" t="s">
        <v>4402</v>
      </c>
      <c r="J601" s="215" t="s">
        <v>6969</v>
      </c>
      <c r="K601" s="215" t="s">
        <v>6970</v>
      </c>
      <c r="L601" s="215" t="s">
        <v>6971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6969</v>
      </c>
      <c r="AB601" s="215" t="s">
        <v>6970</v>
      </c>
      <c r="AC601" s="215" t="s">
        <v>6971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5"/>
        <v/>
      </c>
      <c r="BI601" s="98" t="str">
        <f t="shared" si="6"/>
        <v>AA</v>
      </c>
      <c r="BJ601" s="98" t="str">
        <f t="shared" si="7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 x14ac:dyDescent="0.25">
      <c r="A602" s="207">
        <v>598</v>
      </c>
      <c r="B602" s="197" t="s">
        <v>4396</v>
      </c>
      <c r="C602" s="207" t="s">
        <v>4426</v>
      </c>
      <c r="D602" s="207">
        <v>1</v>
      </c>
      <c r="E602" s="207" t="s">
        <v>4398</v>
      </c>
      <c r="F602" s="214" t="s">
        <v>6972</v>
      </c>
      <c r="G602" s="207" t="s">
        <v>4400</v>
      </c>
      <c r="H602" s="207" t="s">
        <v>4401</v>
      </c>
      <c r="I602" s="217" t="s">
        <v>4402</v>
      </c>
      <c r="J602" s="215" t="s">
        <v>6973</v>
      </c>
      <c r="K602" s="215" t="s">
        <v>6974</v>
      </c>
      <c r="L602" s="215" t="s">
        <v>6975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6973</v>
      </c>
      <c r="AB602" s="215" t="s">
        <v>6974</v>
      </c>
      <c r="AC602" s="215" t="s">
        <v>6975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5"/>
        <v/>
      </c>
      <c r="BI602" s="98" t="str">
        <f t="shared" si="6"/>
        <v>AA</v>
      </c>
      <c r="BJ602" s="98" t="str">
        <f t="shared" si="7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 x14ac:dyDescent="0.25">
      <c r="A603" s="207">
        <v>599</v>
      </c>
      <c r="B603" s="197" t="s">
        <v>4396</v>
      </c>
      <c r="C603" s="207" t="s">
        <v>4426</v>
      </c>
      <c r="D603" s="207">
        <v>1</v>
      </c>
      <c r="E603" s="207" t="s">
        <v>4398</v>
      </c>
      <c r="F603" s="214" t="s">
        <v>6976</v>
      </c>
      <c r="G603" s="207" t="s">
        <v>4400</v>
      </c>
      <c r="H603" s="207" t="s">
        <v>4401</v>
      </c>
      <c r="I603" s="217" t="s">
        <v>4402</v>
      </c>
      <c r="J603" s="215" t="s">
        <v>6977</v>
      </c>
      <c r="K603" s="215" t="s">
        <v>6978</v>
      </c>
      <c r="L603" s="215" t="s">
        <v>6979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6977</v>
      </c>
      <c r="AB603" s="215" t="s">
        <v>6978</v>
      </c>
      <c r="AC603" s="215" t="s">
        <v>6979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5"/>
        <v/>
      </c>
      <c r="BI603" s="98" t="str">
        <f t="shared" si="6"/>
        <v>AA</v>
      </c>
      <c r="BJ603" s="98" t="str">
        <f t="shared" si="7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 x14ac:dyDescent="0.25">
      <c r="A604" s="197">
        <v>600</v>
      </c>
      <c r="B604" s="197" t="s">
        <v>4396</v>
      </c>
      <c r="C604" s="207" t="s">
        <v>4426</v>
      </c>
      <c r="D604" s="207">
        <v>1</v>
      </c>
      <c r="E604" s="207" t="s">
        <v>4398</v>
      </c>
      <c r="F604" s="214" t="s">
        <v>6980</v>
      </c>
      <c r="G604" s="207" t="s">
        <v>4400</v>
      </c>
      <c r="H604" s="207" t="s">
        <v>4401</v>
      </c>
      <c r="I604" s="217" t="s">
        <v>4402</v>
      </c>
      <c r="J604" s="215" t="s">
        <v>6981</v>
      </c>
      <c r="K604" s="215" t="s">
        <v>6982</v>
      </c>
      <c r="L604" s="215" t="s">
        <v>6983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5"/>
        <v/>
      </c>
      <c r="BI604" s="98" t="str">
        <f t="shared" si="6"/>
        <v>INDENIZAÇÃO</v>
      </c>
      <c r="BJ604" s="98" t="str">
        <f t="shared" si="7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 x14ac:dyDescent="0.25">
      <c r="A605" s="197">
        <v>601</v>
      </c>
      <c r="B605" s="197" t="s">
        <v>4396</v>
      </c>
      <c r="C605" s="207" t="s">
        <v>4426</v>
      </c>
      <c r="D605" s="207">
        <v>1</v>
      </c>
      <c r="E605" s="207" t="s">
        <v>4398</v>
      </c>
      <c r="F605" s="214" t="s">
        <v>6984</v>
      </c>
      <c r="G605" s="207" t="s">
        <v>4400</v>
      </c>
      <c r="H605" s="207" t="s">
        <v>4401</v>
      </c>
      <c r="I605" s="217" t="s">
        <v>4402</v>
      </c>
      <c r="J605" s="215" t="s">
        <v>6985</v>
      </c>
      <c r="K605" s="215" t="s">
        <v>6986</v>
      </c>
      <c r="L605" s="215" t="s">
        <v>6987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5"/>
        <v/>
      </c>
      <c r="BI605" s="98" t="str">
        <f t="shared" si="6"/>
        <v>INDENIZAÇÃO</v>
      </c>
      <c r="BJ605" s="98" t="str">
        <f t="shared" si="7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 x14ac:dyDescent="0.25">
      <c r="A606" s="207">
        <v>602</v>
      </c>
      <c r="B606" s="197" t="s">
        <v>4396</v>
      </c>
      <c r="C606" s="207" t="s">
        <v>4426</v>
      </c>
      <c r="D606" s="207">
        <v>1</v>
      </c>
      <c r="E606" s="207" t="s">
        <v>4398</v>
      </c>
      <c r="F606" s="214" t="s">
        <v>6988</v>
      </c>
      <c r="G606" s="207" t="s">
        <v>4400</v>
      </c>
      <c r="H606" s="207" t="s">
        <v>4401</v>
      </c>
      <c r="I606" s="217" t="s">
        <v>4402</v>
      </c>
      <c r="J606" s="215" t="s">
        <v>6989</v>
      </c>
      <c r="K606" s="215" t="s">
        <v>6990</v>
      </c>
      <c r="L606" s="215" t="s">
        <v>6991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6989</v>
      </c>
      <c r="AB606" s="215" t="s">
        <v>6990</v>
      </c>
      <c r="AC606" s="215" t="s">
        <v>6991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5"/>
        <v/>
      </c>
      <c r="BI606" s="98" t="str">
        <f t="shared" si="6"/>
        <v>AA</v>
      </c>
      <c r="BJ606" s="98" t="str">
        <f t="shared" si="7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 x14ac:dyDescent="0.25">
      <c r="A607" s="207">
        <v>603</v>
      </c>
      <c r="B607" s="197" t="s">
        <v>4396</v>
      </c>
      <c r="C607" s="207" t="s">
        <v>4426</v>
      </c>
      <c r="D607" s="207">
        <v>1</v>
      </c>
      <c r="E607" s="207" t="s">
        <v>4398</v>
      </c>
      <c r="F607" s="214" t="s">
        <v>6992</v>
      </c>
      <c r="G607" s="207" t="s">
        <v>4400</v>
      </c>
      <c r="H607" s="207" t="s">
        <v>4401</v>
      </c>
      <c r="I607" s="217" t="s">
        <v>4402</v>
      </c>
      <c r="J607" s="215" t="s">
        <v>6993</v>
      </c>
      <c r="K607" s="215" t="s">
        <v>6994</v>
      </c>
      <c r="L607" s="215" t="s">
        <v>6995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5"/>
        <v/>
      </c>
      <c r="BI607" s="98" t="str">
        <f t="shared" si="6"/>
        <v>INDENIZAÇÃO</v>
      </c>
      <c r="BJ607" s="98" t="str">
        <f t="shared" si="7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customHeight="1" x14ac:dyDescent="0.25">
      <c r="A608" s="207">
        <v>604</v>
      </c>
      <c r="B608" s="197" t="s">
        <v>4396</v>
      </c>
      <c r="C608" s="207" t="s">
        <v>4426</v>
      </c>
      <c r="D608" s="207">
        <v>1</v>
      </c>
      <c r="E608" s="207" t="s">
        <v>4398</v>
      </c>
      <c r="F608" s="214" t="s">
        <v>6996</v>
      </c>
      <c r="G608" s="219" t="s">
        <v>4544</v>
      </c>
      <c r="H608" s="207" t="s">
        <v>6497</v>
      </c>
      <c r="I608" s="233" t="s">
        <v>4421</v>
      </c>
      <c r="J608" s="215" t="s">
        <v>6997</v>
      </c>
      <c r="K608" s="215" t="s">
        <v>6998</v>
      </c>
      <c r="L608" s="215" t="s">
        <v>6999</v>
      </c>
      <c r="M608" s="207" t="s">
        <v>4405</v>
      </c>
      <c r="N608" s="207" t="s">
        <v>4441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6997</v>
      </c>
      <c r="AB608" s="215" t="s">
        <v>6998</v>
      </c>
      <c r="AC608" s="215" t="s">
        <v>6999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4432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"/>
        <v>FINALIZADO</v>
      </c>
      <c r="AS608" s="207" t="s">
        <v>4423</v>
      </c>
      <c r="AT608" s="207"/>
      <c r="AU608" s="225" t="s">
        <v>7000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4434</v>
      </c>
      <c r="BF608" s="228" t="s">
        <v>4435</v>
      </c>
      <c r="BG608" s="229" t="s">
        <v>4425</v>
      </c>
      <c r="BH608" s="321">
        <f t="shared" si="5"/>
        <v>94</v>
      </c>
      <c r="BI608" s="98" t="str">
        <f t="shared" si="6"/>
        <v>INDENIZAÇÃO</v>
      </c>
      <c r="BJ608" s="98" t="str">
        <f t="shared" si="7"/>
        <v>NÃO</v>
      </c>
      <c r="BK608" s="230" t="s">
        <v>4436</v>
      </c>
      <c r="BL608" s="230" t="s">
        <v>4436</v>
      </c>
      <c r="BM608" s="230" t="s">
        <v>4436</v>
      </c>
      <c r="BN608" s="265" t="s">
        <v>4956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customHeight="1" x14ac:dyDescent="0.25">
      <c r="A609" s="197">
        <v>605</v>
      </c>
      <c r="B609" s="197" t="s">
        <v>4396</v>
      </c>
      <c r="C609" s="207" t="s">
        <v>4426</v>
      </c>
      <c r="D609" s="207">
        <v>1</v>
      </c>
      <c r="E609" s="207" t="s">
        <v>4398</v>
      </c>
      <c r="F609" s="214" t="s">
        <v>7001</v>
      </c>
      <c r="G609" s="160" t="s">
        <v>4400</v>
      </c>
      <c r="H609" s="207" t="s">
        <v>4401</v>
      </c>
      <c r="I609" s="249" t="s">
        <v>4402</v>
      </c>
      <c r="J609" s="215" t="s">
        <v>7002</v>
      </c>
      <c r="K609" s="215" t="s">
        <v>7003</v>
      </c>
      <c r="L609" s="215" t="s">
        <v>7004</v>
      </c>
      <c r="M609" s="207" t="s">
        <v>4405</v>
      </c>
      <c r="N609" s="207" t="s">
        <v>4441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7002</v>
      </c>
      <c r="AB609" s="215" t="s">
        <v>7003</v>
      </c>
      <c r="AC609" s="215" t="s">
        <v>7004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4432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"/>
        <v>FINALIZADO</v>
      </c>
      <c r="AS609" s="207" t="s">
        <v>4423</v>
      </c>
      <c r="AT609" s="207"/>
      <c r="AU609" s="225" t="s">
        <v>7005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4434</v>
      </c>
      <c r="BF609" s="228" t="s">
        <v>4435</v>
      </c>
      <c r="BG609" s="229" t="s">
        <v>4425</v>
      </c>
      <c r="BH609" s="321">
        <f t="shared" si="5"/>
        <v>47</v>
      </c>
      <c r="BI609" s="98" t="str">
        <f t="shared" si="6"/>
        <v>INDENIZAÇÃO</v>
      </c>
      <c r="BJ609" s="98" t="str">
        <f t="shared" si="7"/>
        <v>NÃO</v>
      </c>
      <c r="BK609" s="230" t="s">
        <v>4436</v>
      </c>
      <c r="BL609" s="230" t="s">
        <v>4436</v>
      </c>
      <c r="BM609" s="230" t="s">
        <v>4436</v>
      </c>
      <c r="BN609" s="265" t="s">
        <v>4956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customHeight="1" x14ac:dyDescent="0.25">
      <c r="A610" s="197">
        <v>606</v>
      </c>
      <c r="B610" s="197" t="s">
        <v>4396</v>
      </c>
      <c r="C610" s="207" t="s">
        <v>4426</v>
      </c>
      <c r="D610" s="207">
        <v>1</v>
      </c>
      <c r="E610" s="207" t="s">
        <v>4398</v>
      </c>
      <c r="F610" s="214" t="s">
        <v>7006</v>
      </c>
      <c r="G610" s="219" t="s">
        <v>4544</v>
      </c>
      <c r="H610" s="207" t="s">
        <v>6497</v>
      </c>
      <c r="I610" s="233" t="s">
        <v>4421</v>
      </c>
      <c r="J610" s="215" t="s">
        <v>7007</v>
      </c>
      <c r="K610" s="215" t="s">
        <v>7008</v>
      </c>
      <c r="L610" s="215" t="s">
        <v>7009</v>
      </c>
      <c r="M610" s="207" t="s">
        <v>4405</v>
      </c>
      <c r="N610" s="207" t="s">
        <v>4441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7007</v>
      </c>
      <c r="AB610" s="215" t="s">
        <v>7008</v>
      </c>
      <c r="AC610" s="215" t="s">
        <v>7009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4432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"/>
        <v>FINALIZADO</v>
      </c>
      <c r="AS610" s="207" t="s">
        <v>4423</v>
      </c>
      <c r="AT610" s="207"/>
      <c r="AU610" s="225" t="s">
        <v>7010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4434</v>
      </c>
      <c r="BF610" s="228" t="s">
        <v>4435</v>
      </c>
      <c r="BG610" s="229" t="s">
        <v>4425</v>
      </c>
      <c r="BH610" s="321">
        <f t="shared" si="5"/>
        <v>106</v>
      </c>
      <c r="BI610" s="98" t="str">
        <f t="shared" si="6"/>
        <v>INDENIZAÇÃO</v>
      </c>
      <c r="BJ610" s="98" t="str">
        <f t="shared" si="7"/>
        <v>NÃO</v>
      </c>
      <c r="BK610" s="230" t="s">
        <v>4436</v>
      </c>
      <c r="BL610" s="230" t="s">
        <v>4436</v>
      </c>
      <c r="BM610" s="230" t="s">
        <v>4436</v>
      </c>
      <c r="BN610" s="265" t="s">
        <v>4956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customHeight="1" x14ac:dyDescent="0.25">
      <c r="A611" s="207">
        <v>607</v>
      </c>
      <c r="B611" s="197" t="s">
        <v>4396</v>
      </c>
      <c r="C611" s="207" t="s">
        <v>4426</v>
      </c>
      <c r="D611" s="207">
        <v>1</v>
      </c>
      <c r="E611" s="207" t="s">
        <v>4398</v>
      </c>
      <c r="F611" s="214" t="s">
        <v>7011</v>
      </c>
      <c r="G611" s="160" t="s">
        <v>4400</v>
      </c>
      <c r="H611" s="207" t="s">
        <v>4401</v>
      </c>
      <c r="I611" s="249" t="s">
        <v>4402</v>
      </c>
      <c r="J611" s="215" t="s">
        <v>7012</v>
      </c>
      <c r="K611" s="215" t="s">
        <v>7013</v>
      </c>
      <c r="L611" s="215" t="s">
        <v>7014</v>
      </c>
      <c r="M611" s="207" t="s">
        <v>4405</v>
      </c>
      <c r="N611" s="207" t="s">
        <v>4441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7012</v>
      </c>
      <c r="AB611" s="215" t="s">
        <v>7013</v>
      </c>
      <c r="AC611" s="215" t="s">
        <v>7014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4432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"/>
        <v>FINALIZADO</v>
      </c>
      <c r="AS611" s="207" t="s">
        <v>4423</v>
      </c>
      <c r="AT611" s="207"/>
      <c r="AU611" s="225" t="s">
        <v>7015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4434</v>
      </c>
      <c r="BF611" s="228" t="s">
        <v>4435</v>
      </c>
      <c r="BG611" s="229" t="s">
        <v>4425</v>
      </c>
      <c r="BH611" s="321">
        <f t="shared" si="5"/>
        <v>75</v>
      </c>
      <c r="BI611" s="98" t="str">
        <f t="shared" si="6"/>
        <v>INDENIZAÇÃO</v>
      </c>
      <c r="BJ611" s="98" t="str">
        <f t="shared" si="7"/>
        <v>NÃO</v>
      </c>
      <c r="BK611" s="219" t="s">
        <v>4436</v>
      </c>
      <c r="BL611" s="219" t="s">
        <v>4436</v>
      </c>
      <c r="BM611" s="219" t="s">
        <v>4436</v>
      </c>
      <c r="BN611" s="257" t="s">
        <v>4956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 x14ac:dyDescent="0.25">
      <c r="A612" s="207">
        <v>608</v>
      </c>
      <c r="B612" s="197" t="s">
        <v>4396</v>
      </c>
      <c r="C612" s="207" t="s">
        <v>4426</v>
      </c>
      <c r="D612" s="207">
        <v>1</v>
      </c>
      <c r="E612" s="207" t="s">
        <v>4398</v>
      </c>
      <c r="F612" s="214" t="s">
        <v>7016</v>
      </c>
      <c r="G612" s="207" t="s">
        <v>4400</v>
      </c>
      <c r="H612" s="207" t="s">
        <v>4401</v>
      </c>
      <c r="I612" s="217" t="s">
        <v>4402</v>
      </c>
      <c r="J612" s="215" t="s">
        <v>7017</v>
      </c>
      <c r="K612" s="215" t="s">
        <v>7018</v>
      </c>
      <c r="L612" s="215" t="s">
        <v>7019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7017</v>
      </c>
      <c r="AB612" s="215" t="s">
        <v>7018</v>
      </c>
      <c r="AC612" s="215" t="s">
        <v>7019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5"/>
        <v/>
      </c>
      <c r="BI612" s="98" t="str">
        <f t="shared" si="6"/>
        <v>AA</v>
      </c>
      <c r="BJ612" s="98" t="str">
        <f t="shared" si="7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 x14ac:dyDescent="0.25">
      <c r="A613" s="207">
        <v>609</v>
      </c>
      <c r="B613" s="197" t="s">
        <v>4396</v>
      </c>
      <c r="C613" s="207" t="s">
        <v>4426</v>
      </c>
      <c r="D613" s="207">
        <v>1</v>
      </c>
      <c r="E613" s="207" t="s">
        <v>4398</v>
      </c>
      <c r="F613" s="214" t="s">
        <v>7020</v>
      </c>
      <c r="G613" s="207" t="s">
        <v>4400</v>
      </c>
      <c r="H613" s="207" t="s">
        <v>4401</v>
      </c>
      <c r="I613" s="217" t="s">
        <v>7021</v>
      </c>
      <c r="J613" s="215" t="s">
        <v>7022</v>
      </c>
      <c r="K613" s="215" t="s">
        <v>7023</v>
      </c>
      <c r="L613" s="215" t="s">
        <v>7024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7022</v>
      </c>
      <c r="AB613" s="215" t="s">
        <v>7023</v>
      </c>
      <c r="AC613" s="215" t="s">
        <v>7024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5"/>
        <v/>
      </c>
      <c r="BI613" s="98" t="str">
        <f t="shared" si="6"/>
        <v>AA</v>
      </c>
      <c r="BJ613" s="98" t="str">
        <f t="shared" si="7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 x14ac:dyDescent="0.25">
      <c r="A614" s="197">
        <v>610</v>
      </c>
      <c r="B614" s="197" t="s">
        <v>4396</v>
      </c>
      <c r="C614" s="207" t="s">
        <v>4426</v>
      </c>
      <c r="D614" s="207">
        <v>1</v>
      </c>
      <c r="E614" s="207" t="s">
        <v>4398</v>
      </c>
      <c r="F614" s="214" t="s">
        <v>7025</v>
      </c>
      <c r="G614" s="207" t="s">
        <v>4400</v>
      </c>
      <c r="H614" s="207" t="s">
        <v>4401</v>
      </c>
      <c r="I614" s="217" t="s">
        <v>4402</v>
      </c>
      <c r="J614" s="215" t="s">
        <v>7026</v>
      </c>
      <c r="K614" s="215" t="s">
        <v>7027</v>
      </c>
      <c r="L614" s="215" t="s">
        <v>7028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7026</v>
      </c>
      <c r="AB614" s="215" t="s">
        <v>7027</v>
      </c>
      <c r="AC614" s="215" t="s">
        <v>7028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5"/>
        <v/>
      </c>
      <c r="BI614" s="98" t="str">
        <f t="shared" si="6"/>
        <v>AA</v>
      </c>
      <c r="BJ614" s="98" t="str">
        <f t="shared" si="7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 x14ac:dyDescent="0.25">
      <c r="A615" s="197">
        <v>611</v>
      </c>
      <c r="B615" s="197" t="s">
        <v>4396</v>
      </c>
      <c r="C615" s="207" t="s">
        <v>4426</v>
      </c>
      <c r="D615" s="207">
        <v>1</v>
      </c>
      <c r="E615" s="207" t="s">
        <v>4398</v>
      </c>
      <c r="F615" s="214" t="s">
        <v>7029</v>
      </c>
      <c r="G615" s="207" t="s">
        <v>4400</v>
      </c>
      <c r="H615" s="207" t="s">
        <v>4401</v>
      </c>
      <c r="I615" s="217" t="s">
        <v>7021</v>
      </c>
      <c r="J615" s="215" t="s">
        <v>7030</v>
      </c>
      <c r="K615" s="215" t="s">
        <v>7031</v>
      </c>
      <c r="L615" s="215" t="s">
        <v>7032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7030</v>
      </c>
      <c r="AB615" s="215" t="s">
        <v>7031</v>
      </c>
      <c r="AC615" s="215" t="s">
        <v>7032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5"/>
        <v/>
      </c>
      <c r="BI615" s="98" t="str">
        <f t="shared" si="6"/>
        <v>AA</v>
      </c>
      <c r="BJ615" s="98" t="str">
        <f t="shared" si="7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customHeight="1" x14ac:dyDescent="0.25">
      <c r="A616" s="207">
        <v>612</v>
      </c>
      <c r="B616" s="197" t="s">
        <v>4396</v>
      </c>
      <c r="C616" s="207" t="s">
        <v>4426</v>
      </c>
      <c r="D616" s="207">
        <v>1</v>
      </c>
      <c r="E616" s="207" t="s">
        <v>4398</v>
      </c>
      <c r="F616" s="214" t="s">
        <v>7033</v>
      </c>
      <c r="G616" s="207" t="s">
        <v>4400</v>
      </c>
      <c r="H616" s="207" t="s">
        <v>4401</v>
      </c>
      <c r="I616" s="217" t="s">
        <v>4402</v>
      </c>
      <c r="J616" s="215" t="s">
        <v>7034</v>
      </c>
      <c r="K616" s="215" t="s">
        <v>7035</v>
      </c>
      <c r="L616" s="215" t="s">
        <v>7036</v>
      </c>
      <c r="M616" s="207" t="s">
        <v>4405</v>
      </c>
      <c r="N616" s="207" t="s">
        <v>4441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7034</v>
      </c>
      <c r="AB616" s="200" t="s">
        <v>7035</v>
      </c>
      <c r="AC616" s="200" t="s">
        <v>7036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4432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"/>
        <v>FINALIZADO</v>
      </c>
      <c r="AS616" s="207" t="s">
        <v>4423</v>
      </c>
      <c r="AT616" s="219"/>
      <c r="AU616" s="225" t="s">
        <v>7037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4434</v>
      </c>
      <c r="BF616" s="228" t="s">
        <v>4435</v>
      </c>
      <c r="BG616" s="229" t="s">
        <v>4425</v>
      </c>
      <c r="BH616" s="321">
        <f t="shared" si="5"/>
        <v>44</v>
      </c>
      <c r="BI616" s="98" t="str">
        <f t="shared" si="6"/>
        <v>INDENIZAÇÃO</v>
      </c>
      <c r="BJ616" s="98" t="str">
        <f t="shared" si="7"/>
        <v>NÃO</v>
      </c>
      <c r="BK616" s="230" t="s">
        <v>4436</v>
      </c>
      <c r="BL616" s="230" t="s">
        <v>4436</v>
      </c>
      <c r="BM616" s="230" t="s">
        <v>4436</v>
      </c>
      <c r="BN616" s="265" t="s">
        <v>4956</v>
      </c>
      <c r="BO616" s="265"/>
      <c r="BP616" s="265"/>
      <c r="BQ616" s="265"/>
      <c r="BR616" s="231"/>
    </row>
    <row r="617" spans="1:112" ht="27" hidden="1" customHeight="1" x14ac:dyDescent="0.25">
      <c r="A617" s="207">
        <v>613</v>
      </c>
      <c r="B617" s="197" t="s">
        <v>4396</v>
      </c>
      <c r="C617" s="207" t="s">
        <v>4426</v>
      </c>
      <c r="D617" s="207">
        <v>1</v>
      </c>
      <c r="E617" s="207" t="s">
        <v>4398</v>
      </c>
      <c r="F617" s="214" t="s">
        <v>7038</v>
      </c>
      <c r="G617" s="207" t="s">
        <v>4400</v>
      </c>
      <c r="H617" s="207" t="s">
        <v>4401</v>
      </c>
      <c r="I617" s="217" t="s">
        <v>4402</v>
      </c>
      <c r="J617" s="215" t="s">
        <v>7039</v>
      </c>
      <c r="K617" s="215" t="s">
        <v>7040</v>
      </c>
      <c r="L617" s="215" t="s">
        <v>7041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7039</v>
      </c>
      <c r="AB617" s="215" t="s">
        <v>7040</v>
      </c>
      <c r="AC617" s="215" t="s">
        <v>7041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5"/>
        <v/>
      </c>
      <c r="BI617" s="98" t="str">
        <f t="shared" si="6"/>
        <v>AA</v>
      </c>
      <c r="BJ617" s="98" t="str">
        <f t="shared" si="7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hidden="1" customHeight="1" x14ac:dyDescent="0.25">
      <c r="A618" s="207">
        <v>614</v>
      </c>
      <c r="B618" s="197" t="s">
        <v>4396</v>
      </c>
      <c r="C618" s="207" t="s">
        <v>4426</v>
      </c>
      <c r="D618" s="207">
        <v>1</v>
      </c>
      <c r="E618" s="207" t="s">
        <v>4398</v>
      </c>
      <c r="F618" s="214" t="s">
        <v>7042</v>
      </c>
      <c r="G618" s="207" t="s">
        <v>4400</v>
      </c>
      <c r="H618" s="207" t="s">
        <v>4401</v>
      </c>
      <c r="I618" s="217" t="s">
        <v>4402</v>
      </c>
      <c r="J618" s="242" t="s">
        <v>7043</v>
      </c>
      <c r="K618" s="215" t="s">
        <v>7044</v>
      </c>
      <c r="L618" s="215" t="s">
        <v>7045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7043</v>
      </c>
      <c r="AB618" s="215" t="s">
        <v>7044</v>
      </c>
      <c r="AC618" s="215" t="s">
        <v>7045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5"/>
        <v/>
      </c>
      <c r="BI618" s="98" t="str">
        <f t="shared" si="6"/>
        <v>AA</v>
      </c>
      <c r="BJ618" s="98" t="str">
        <f t="shared" si="7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 x14ac:dyDescent="0.25">
      <c r="A619" s="197">
        <v>615</v>
      </c>
      <c r="B619" s="197" t="s">
        <v>4396</v>
      </c>
      <c r="C619" s="207" t="s">
        <v>4426</v>
      </c>
      <c r="D619" s="207">
        <v>1</v>
      </c>
      <c r="E619" s="250" t="s">
        <v>4398</v>
      </c>
      <c r="F619" s="214" t="s">
        <v>7046</v>
      </c>
      <c r="G619" s="207" t="s">
        <v>4545</v>
      </c>
      <c r="H619" s="207" t="s">
        <v>4545</v>
      </c>
      <c r="I619" s="233" t="s">
        <v>4421</v>
      </c>
      <c r="J619" s="215" t="s">
        <v>7047</v>
      </c>
      <c r="K619" s="215" t="s">
        <v>7048</v>
      </c>
      <c r="L619" s="215" t="s">
        <v>7049</v>
      </c>
      <c r="M619" s="207" t="s">
        <v>4405</v>
      </c>
      <c r="N619" s="207" t="s">
        <v>4441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7047</v>
      </c>
      <c r="AB619" s="200" t="s">
        <v>7048</v>
      </c>
      <c r="AC619" s="200" t="s">
        <v>7049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4432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"/>
        <v>FINALIZADO</v>
      </c>
      <c r="AS619" s="207" t="s">
        <v>4423</v>
      </c>
      <c r="AT619" s="207"/>
      <c r="AU619" s="220" t="s">
        <v>4434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5"/>
        <v/>
      </c>
      <c r="BI619" s="98" t="str">
        <f t="shared" si="6"/>
        <v>INDENIZAÇÃO</v>
      </c>
      <c r="BJ619" s="98" t="str">
        <f t="shared" si="7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 x14ac:dyDescent="0.25">
      <c r="A620" s="197">
        <v>616</v>
      </c>
      <c r="B620" s="197" t="s">
        <v>4396</v>
      </c>
      <c r="C620" s="207" t="s">
        <v>4426</v>
      </c>
      <c r="D620" s="207">
        <v>1</v>
      </c>
      <c r="E620" s="207" t="s">
        <v>4398</v>
      </c>
      <c r="F620" s="214" t="s">
        <v>7050</v>
      </c>
      <c r="G620" s="207" t="s">
        <v>4400</v>
      </c>
      <c r="H620" s="207" t="s">
        <v>4401</v>
      </c>
      <c r="I620" s="249" t="s">
        <v>4402</v>
      </c>
      <c r="J620" s="215" t="s">
        <v>7051</v>
      </c>
      <c r="K620" s="215" t="s">
        <v>4439</v>
      </c>
      <c r="L620" s="215" t="s">
        <v>7052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7051</v>
      </c>
      <c r="AB620" s="215" t="s">
        <v>4439</v>
      </c>
      <c r="AC620" s="215" t="s">
        <v>7052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5"/>
        <v/>
      </c>
      <c r="BI620" s="98" t="str">
        <f t="shared" si="6"/>
        <v>AA</v>
      </c>
      <c r="BJ620" s="98" t="str">
        <f t="shared" si="7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 x14ac:dyDescent="0.25">
      <c r="A621" s="207">
        <v>617</v>
      </c>
      <c r="B621" s="197" t="s">
        <v>4396</v>
      </c>
      <c r="C621" s="207" t="s">
        <v>4426</v>
      </c>
      <c r="D621" s="207">
        <v>1</v>
      </c>
      <c r="E621" s="207" t="s">
        <v>4398</v>
      </c>
      <c r="F621" s="214" t="s">
        <v>7053</v>
      </c>
      <c r="G621" s="207" t="s">
        <v>4400</v>
      </c>
      <c r="H621" s="207" t="s">
        <v>4401</v>
      </c>
      <c r="I621" s="217" t="s">
        <v>4402</v>
      </c>
      <c r="J621" s="215" t="s">
        <v>7054</v>
      </c>
      <c r="K621" s="215" t="s">
        <v>7055</v>
      </c>
      <c r="L621" s="215" t="s">
        <v>7056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7054</v>
      </c>
      <c r="AB621" s="215" t="s">
        <v>7055</v>
      </c>
      <c r="AC621" s="215" t="s">
        <v>7056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5"/>
        <v/>
      </c>
      <c r="BI621" s="98" t="str">
        <f t="shared" si="6"/>
        <v>AA</v>
      </c>
      <c r="BJ621" s="98" t="str">
        <f t="shared" si="7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customHeight="1" x14ac:dyDescent="0.25">
      <c r="A622" s="207">
        <v>618</v>
      </c>
      <c r="B622" s="197" t="s">
        <v>4396</v>
      </c>
      <c r="C622" s="207" t="s">
        <v>4426</v>
      </c>
      <c r="D622" s="207">
        <v>1</v>
      </c>
      <c r="E622" s="207" t="s">
        <v>4398</v>
      </c>
      <c r="F622" s="214" t="s">
        <v>7057</v>
      </c>
      <c r="G622" s="207" t="s">
        <v>4400</v>
      </c>
      <c r="H622" s="207" t="s">
        <v>4401</v>
      </c>
      <c r="I622" s="217" t="s">
        <v>4402</v>
      </c>
      <c r="J622" s="215" t="s">
        <v>7058</v>
      </c>
      <c r="K622" s="215" t="s">
        <v>7059</v>
      </c>
      <c r="L622" s="215" t="s">
        <v>7060</v>
      </c>
      <c r="M622" s="207" t="s">
        <v>4405</v>
      </c>
      <c r="N622" s="207" t="s">
        <v>4441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7058</v>
      </c>
      <c r="AB622" s="200" t="s">
        <v>7059</v>
      </c>
      <c r="AC622" s="200" t="s">
        <v>7060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4432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"/>
        <v>FINALIZADO</v>
      </c>
      <c r="AS622" s="207" t="s">
        <v>4423</v>
      </c>
      <c r="AT622" s="219"/>
      <c r="AU622" s="225" t="s">
        <v>7061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4434</v>
      </c>
      <c r="BF622" s="228" t="s">
        <v>4435</v>
      </c>
      <c r="BG622" s="229" t="s">
        <v>4425</v>
      </c>
      <c r="BH622" s="321">
        <f t="shared" si="5"/>
        <v>41</v>
      </c>
      <c r="BI622" s="98" t="str">
        <f t="shared" si="6"/>
        <v>INDENIZAÇÃO</v>
      </c>
      <c r="BJ622" s="98" t="str">
        <f t="shared" si="7"/>
        <v>NÃO</v>
      </c>
      <c r="BK622" s="230" t="s">
        <v>4436</v>
      </c>
      <c r="BL622" s="230" t="s">
        <v>4436</v>
      </c>
      <c r="BM622" s="230" t="s">
        <v>4436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4434</v>
      </c>
    </row>
    <row r="623" spans="1:112" ht="27" hidden="1" customHeight="1" x14ac:dyDescent="0.25">
      <c r="A623" s="207">
        <v>619</v>
      </c>
      <c r="B623" s="197" t="s">
        <v>4396</v>
      </c>
      <c r="C623" s="207" t="s">
        <v>4426</v>
      </c>
      <c r="D623" s="207">
        <v>1</v>
      </c>
      <c r="E623" s="207" t="s">
        <v>4398</v>
      </c>
      <c r="F623" s="214" t="s">
        <v>7062</v>
      </c>
      <c r="G623" s="207" t="s">
        <v>4400</v>
      </c>
      <c r="H623" s="207" t="s">
        <v>4582</v>
      </c>
      <c r="I623" s="217" t="s">
        <v>4402</v>
      </c>
      <c r="J623" s="215" t="s">
        <v>7063</v>
      </c>
      <c r="K623" s="215" t="s">
        <v>4439</v>
      </c>
      <c r="L623" s="215" t="s">
        <v>7064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7063</v>
      </c>
      <c r="AB623" s="215" t="s">
        <v>4439</v>
      </c>
      <c r="AC623" s="215" t="s">
        <v>7064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5"/>
        <v/>
      </c>
      <c r="BI623" s="98" t="str">
        <f t="shared" si="6"/>
        <v>AA</v>
      </c>
      <c r="BJ623" s="98" t="str">
        <f t="shared" si="7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customHeight="1" x14ac:dyDescent="0.25">
      <c r="A624" s="197">
        <v>620</v>
      </c>
      <c r="B624" s="197" t="s">
        <v>4396</v>
      </c>
      <c r="C624" s="207" t="s">
        <v>4426</v>
      </c>
      <c r="D624" s="207">
        <v>1</v>
      </c>
      <c r="E624" s="207" t="s">
        <v>4398</v>
      </c>
      <c r="F624" s="214" t="s">
        <v>7065</v>
      </c>
      <c r="G624" s="207" t="s">
        <v>4400</v>
      </c>
      <c r="H624" s="207" t="s">
        <v>4401</v>
      </c>
      <c r="I624" s="217" t="s">
        <v>4402</v>
      </c>
      <c r="J624" s="215" t="s">
        <v>7066</v>
      </c>
      <c r="K624" s="215" t="s">
        <v>7067</v>
      </c>
      <c r="L624" s="215" t="s">
        <v>7068</v>
      </c>
      <c r="M624" s="207" t="s">
        <v>4405</v>
      </c>
      <c r="N624" s="207" t="s">
        <v>4441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7066</v>
      </c>
      <c r="AB624" s="215" t="s">
        <v>7067</v>
      </c>
      <c r="AC624" s="215" t="s">
        <v>7068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4432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"/>
        <v>FINALIZADO</v>
      </c>
      <c r="AS624" s="207" t="s">
        <v>4423</v>
      </c>
      <c r="AT624" s="219"/>
      <c r="AU624" s="225" t="s">
        <v>7069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4434</v>
      </c>
      <c r="BF624" s="228" t="s">
        <v>4435</v>
      </c>
      <c r="BG624" s="229" t="s">
        <v>4425</v>
      </c>
      <c r="BH624" s="321">
        <f t="shared" si="5"/>
        <v>44</v>
      </c>
      <c r="BI624" s="98" t="str">
        <f t="shared" si="6"/>
        <v>INDENIZAÇÃO</v>
      </c>
      <c r="BJ624" s="98" t="str">
        <f t="shared" si="7"/>
        <v>NÃO</v>
      </c>
      <c r="BK624" s="230" t="s">
        <v>4436</v>
      </c>
      <c r="BL624" s="230" t="s">
        <v>4436</v>
      </c>
      <c r="BM624" s="230" t="s">
        <v>4436</v>
      </c>
      <c r="BN624" s="265" t="s">
        <v>4956</v>
      </c>
      <c r="BO624" s="265"/>
      <c r="BP624" s="265"/>
      <c r="BQ624" s="265"/>
      <c r="BR624" s="231"/>
      <c r="BS624" s="240"/>
    </row>
    <row r="625" spans="1:72" ht="27" hidden="1" customHeight="1" x14ac:dyDescent="0.25">
      <c r="A625" s="197">
        <v>621</v>
      </c>
      <c r="B625" s="197" t="s">
        <v>4396</v>
      </c>
      <c r="C625" s="207" t="s">
        <v>4426</v>
      </c>
      <c r="D625" s="207">
        <v>1</v>
      </c>
      <c r="E625" s="207" t="s">
        <v>4398</v>
      </c>
      <c r="F625" s="214" t="s">
        <v>7070</v>
      </c>
      <c r="G625" s="207" t="s">
        <v>4400</v>
      </c>
      <c r="H625" s="207" t="s">
        <v>4401</v>
      </c>
      <c r="I625" s="217" t="s">
        <v>4402</v>
      </c>
      <c r="J625" s="215" t="s">
        <v>7071</v>
      </c>
      <c r="K625" s="215" t="s">
        <v>7072</v>
      </c>
      <c r="L625" s="215" t="s">
        <v>7073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7071</v>
      </c>
      <c r="AB625" s="215" t="s">
        <v>7072</v>
      </c>
      <c r="AC625" s="215" t="s">
        <v>7073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5"/>
        <v/>
      </c>
      <c r="BI625" s="98" t="str">
        <f t="shared" si="6"/>
        <v>AA</v>
      </c>
      <c r="BJ625" s="98" t="str">
        <f t="shared" si="7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hidden="1" customHeight="1" x14ac:dyDescent="0.25">
      <c r="A626" s="207">
        <v>622</v>
      </c>
      <c r="B626" s="197" t="s">
        <v>4396</v>
      </c>
      <c r="C626" s="207" t="s">
        <v>4426</v>
      </c>
      <c r="D626" s="207">
        <v>1</v>
      </c>
      <c r="E626" s="207" t="s">
        <v>4398</v>
      </c>
      <c r="F626" s="214" t="s">
        <v>7074</v>
      </c>
      <c r="G626" s="207" t="s">
        <v>4400</v>
      </c>
      <c r="H626" s="207" t="s">
        <v>4401</v>
      </c>
      <c r="I626" s="217" t="s">
        <v>4402</v>
      </c>
      <c r="J626" s="242" t="s">
        <v>7075</v>
      </c>
      <c r="K626" s="215" t="s">
        <v>7076</v>
      </c>
      <c r="L626" s="215" t="s">
        <v>7077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7075</v>
      </c>
      <c r="AB626" s="215" t="s">
        <v>7076</v>
      </c>
      <c r="AC626" s="215" t="s">
        <v>7077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5"/>
        <v/>
      </c>
      <c r="BI626" s="98" t="str">
        <f t="shared" si="6"/>
        <v>AA</v>
      </c>
      <c r="BJ626" s="98" t="str">
        <f t="shared" si="7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 x14ac:dyDescent="0.25">
      <c r="A627" s="207">
        <v>623</v>
      </c>
      <c r="B627" s="197" t="s">
        <v>4396</v>
      </c>
      <c r="C627" s="207" t="s">
        <v>4426</v>
      </c>
      <c r="D627" s="207">
        <v>1</v>
      </c>
      <c r="E627" s="207" t="s">
        <v>4398</v>
      </c>
      <c r="F627" s="214" t="s">
        <v>7078</v>
      </c>
      <c r="G627" s="207" t="s">
        <v>4400</v>
      </c>
      <c r="H627" s="207" t="s">
        <v>4401</v>
      </c>
      <c r="I627" s="217" t="s">
        <v>4402</v>
      </c>
      <c r="J627" s="242" t="s">
        <v>7079</v>
      </c>
      <c r="K627" s="215" t="s">
        <v>4439</v>
      </c>
      <c r="L627" s="215" t="s">
        <v>7080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7079</v>
      </c>
      <c r="AB627" s="215" t="s">
        <v>4439</v>
      </c>
      <c r="AC627" s="215" t="s">
        <v>7080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5"/>
        <v/>
      </c>
      <c r="BI627" s="98" t="str">
        <f t="shared" si="6"/>
        <v>AA</v>
      </c>
      <c r="BJ627" s="98" t="str">
        <f t="shared" si="7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customHeight="1" x14ac:dyDescent="0.25">
      <c r="A628" s="207">
        <v>624</v>
      </c>
      <c r="B628" s="197" t="s">
        <v>4396</v>
      </c>
      <c r="C628" s="207" t="s">
        <v>4426</v>
      </c>
      <c r="D628" s="207">
        <v>1</v>
      </c>
      <c r="E628" s="207" t="s">
        <v>4398</v>
      </c>
      <c r="F628" s="214" t="s">
        <v>7081</v>
      </c>
      <c r="G628" s="207" t="s">
        <v>4400</v>
      </c>
      <c r="H628" s="207" t="s">
        <v>4401</v>
      </c>
      <c r="I628" s="217" t="s">
        <v>4414</v>
      </c>
      <c r="J628" s="242" t="s">
        <v>7082</v>
      </c>
      <c r="K628" s="215" t="s">
        <v>7083</v>
      </c>
      <c r="L628" s="215" t="s">
        <v>7084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7085</v>
      </c>
      <c r="AB628" s="215" t="s">
        <v>4398</v>
      </c>
      <c r="AC628" s="215" t="s">
        <v>7086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4432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"/>
        <v>FINALIZADO</v>
      </c>
      <c r="AS628" s="207" t="s">
        <v>4423</v>
      </c>
      <c r="AT628" s="219"/>
      <c r="AU628" s="225" t="s">
        <v>7087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4434</v>
      </c>
      <c r="BF628" s="228" t="s">
        <v>4435</v>
      </c>
      <c r="BG628" s="229" t="s">
        <v>4425</v>
      </c>
      <c r="BH628" s="321">
        <f t="shared" si="5"/>
        <v>44</v>
      </c>
      <c r="BI628" s="98" t="str">
        <f t="shared" si="6"/>
        <v>INDENIZAÇÃO</v>
      </c>
      <c r="BJ628" s="98" t="str">
        <f t="shared" si="7"/>
        <v>NÃO</v>
      </c>
      <c r="BK628" s="230" t="s">
        <v>4436</v>
      </c>
      <c r="BL628" s="230" t="s">
        <v>4436</v>
      </c>
      <c r="BM628" s="230" t="s">
        <v>4436</v>
      </c>
      <c r="BN628" s="265" t="s">
        <v>4956</v>
      </c>
      <c r="BO628" s="265"/>
      <c r="BP628" s="265"/>
      <c r="BQ628" s="265"/>
      <c r="BR628" s="231"/>
    </row>
    <row r="629" spans="1:72" ht="27" hidden="1" customHeight="1" x14ac:dyDescent="0.25">
      <c r="A629" s="197">
        <v>625</v>
      </c>
      <c r="B629" s="197" t="s">
        <v>4396</v>
      </c>
      <c r="C629" s="207" t="s">
        <v>4426</v>
      </c>
      <c r="D629" s="207">
        <v>1</v>
      </c>
      <c r="E629" s="207" t="s">
        <v>4398</v>
      </c>
      <c r="F629" s="214" t="s">
        <v>7088</v>
      </c>
      <c r="G629" s="207" t="s">
        <v>4400</v>
      </c>
      <c r="H629" s="207" t="s">
        <v>4401</v>
      </c>
      <c r="I629" s="217" t="s">
        <v>4402</v>
      </c>
      <c r="J629" s="215" t="s">
        <v>7089</v>
      </c>
      <c r="K629" s="215" t="s">
        <v>7090</v>
      </c>
      <c r="L629" s="215" t="s">
        <v>7091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7089</v>
      </c>
      <c r="AB629" s="215" t="s">
        <v>7090</v>
      </c>
      <c r="AC629" s="215" t="s">
        <v>7091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5"/>
        <v/>
      </c>
      <c r="BI629" s="98" t="str">
        <f t="shared" si="6"/>
        <v>AA</v>
      </c>
      <c r="BJ629" s="98" t="str">
        <f t="shared" si="7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hidden="1" customHeight="1" x14ac:dyDescent="0.25">
      <c r="A630" s="197">
        <v>626</v>
      </c>
      <c r="B630" s="197" t="s">
        <v>4396</v>
      </c>
      <c r="C630" s="207" t="s">
        <v>4426</v>
      </c>
      <c r="D630" s="207">
        <v>1</v>
      </c>
      <c r="E630" s="207" t="s">
        <v>4398</v>
      </c>
      <c r="F630" s="214" t="s">
        <v>7092</v>
      </c>
      <c r="G630" s="207" t="s">
        <v>4400</v>
      </c>
      <c r="H630" s="207" t="s">
        <v>4401</v>
      </c>
      <c r="I630" s="217" t="s">
        <v>4402</v>
      </c>
      <c r="J630" s="215" t="s">
        <v>7093</v>
      </c>
      <c r="K630" s="215" t="s">
        <v>7094</v>
      </c>
      <c r="L630" s="215" t="s">
        <v>7095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7093</v>
      </c>
      <c r="AB630" s="215" t="s">
        <v>7094</v>
      </c>
      <c r="AC630" s="215" t="s">
        <v>7095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5"/>
        <v/>
      </c>
      <c r="BI630" s="98" t="str">
        <f t="shared" si="6"/>
        <v>AA</v>
      </c>
      <c r="BJ630" s="98" t="str">
        <f t="shared" si="7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customHeight="1" x14ac:dyDescent="0.25">
      <c r="A631" s="207">
        <v>627</v>
      </c>
      <c r="B631" s="197" t="s">
        <v>4396</v>
      </c>
      <c r="C631" s="207" t="s">
        <v>4426</v>
      </c>
      <c r="D631" s="207">
        <v>1</v>
      </c>
      <c r="E631" s="207" t="s">
        <v>4398</v>
      </c>
      <c r="F631" s="214" t="s">
        <v>7096</v>
      </c>
      <c r="G631" s="207" t="s">
        <v>4400</v>
      </c>
      <c r="H631" s="207" t="s">
        <v>4401</v>
      </c>
      <c r="I631" s="217" t="s">
        <v>4402</v>
      </c>
      <c r="J631" s="215" t="s">
        <v>7097</v>
      </c>
      <c r="K631" s="215" t="s">
        <v>7098</v>
      </c>
      <c r="L631" s="215" t="s">
        <v>7099</v>
      </c>
      <c r="M631" s="207" t="s">
        <v>4405</v>
      </c>
      <c r="N631" s="207" t="s">
        <v>4441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7097</v>
      </c>
      <c r="AB631" s="200" t="s">
        <v>7098</v>
      </c>
      <c r="AC631" s="200" t="s">
        <v>7099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4432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"/>
        <v>FINALIZADO</v>
      </c>
      <c r="AS631" s="207" t="s">
        <v>4423</v>
      </c>
      <c r="AT631" s="295"/>
      <c r="AU631" s="225" t="s">
        <v>7100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4434</v>
      </c>
      <c r="BF631" s="228" t="s">
        <v>4435</v>
      </c>
      <c r="BG631" s="229" t="s">
        <v>4425</v>
      </c>
      <c r="BH631" s="321">
        <f t="shared" si="5"/>
        <v>37</v>
      </c>
      <c r="BI631" s="98" t="str">
        <f t="shared" si="6"/>
        <v>INDENIZAÇÃO</v>
      </c>
      <c r="BJ631" s="98" t="str">
        <f t="shared" si="7"/>
        <v>NÃO</v>
      </c>
      <c r="BK631" s="230" t="s">
        <v>4436</v>
      </c>
      <c r="BL631" s="230" t="s">
        <v>4436</v>
      </c>
      <c r="BM631" s="230" t="s">
        <v>4436</v>
      </c>
      <c r="BN631" s="265" t="s">
        <v>4956</v>
      </c>
      <c r="BO631" s="265"/>
      <c r="BP631" s="265"/>
      <c r="BQ631" s="265"/>
      <c r="BR631" s="231"/>
    </row>
    <row r="632" spans="1:72" ht="27" hidden="1" customHeight="1" x14ac:dyDescent="0.25">
      <c r="A632" s="207">
        <v>628</v>
      </c>
      <c r="B632" s="197" t="s">
        <v>4396</v>
      </c>
      <c r="C632" s="207" t="s">
        <v>4426</v>
      </c>
      <c r="D632" s="207">
        <v>1</v>
      </c>
      <c r="E632" s="207" t="s">
        <v>4398</v>
      </c>
      <c r="F632" s="214" t="s">
        <v>7101</v>
      </c>
      <c r="G632" s="207" t="s">
        <v>4400</v>
      </c>
      <c r="H632" s="207" t="s">
        <v>4401</v>
      </c>
      <c r="I632" s="217" t="s">
        <v>4402</v>
      </c>
      <c r="J632" s="215" t="s">
        <v>7102</v>
      </c>
      <c r="K632" s="215" t="s">
        <v>7103</v>
      </c>
      <c r="L632" s="215" t="s">
        <v>7104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7102</v>
      </c>
      <c r="AB632" s="215" t="s">
        <v>7103</v>
      </c>
      <c r="AC632" s="215" t="s">
        <v>7104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5"/>
        <v/>
      </c>
      <c r="BI632" s="98" t="str">
        <f t="shared" si="6"/>
        <v>AA</v>
      </c>
      <c r="BJ632" s="98" t="str">
        <f t="shared" si="7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hidden="1" customHeight="1" x14ac:dyDescent="0.25">
      <c r="A633" s="207">
        <v>629</v>
      </c>
      <c r="B633" s="197" t="s">
        <v>4396</v>
      </c>
      <c r="C633" s="207" t="s">
        <v>4426</v>
      </c>
      <c r="D633" s="207">
        <v>1</v>
      </c>
      <c r="E633" s="207" t="s">
        <v>4398</v>
      </c>
      <c r="F633" s="214" t="s">
        <v>7105</v>
      </c>
      <c r="G633" s="207" t="s">
        <v>4400</v>
      </c>
      <c r="H633" s="207" t="s">
        <v>4401</v>
      </c>
      <c r="I633" s="217" t="s">
        <v>4402</v>
      </c>
      <c r="J633" s="242" t="s">
        <v>7106</v>
      </c>
      <c r="K633" s="215" t="s">
        <v>7107</v>
      </c>
      <c r="L633" s="215" t="s">
        <v>7108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7106</v>
      </c>
      <c r="AB633" s="200" t="s">
        <v>7107</v>
      </c>
      <c r="AC633" s="200" t="s">
        <v>7108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5"/>
        <v/>
      </c>
      <c r="BI633" s="98" t="str">
        <f t="shared" si="6"/>
        <v>AA</v>
      </c>
      <c r="BJ633" s="98" t="str">
        <f t="shared" si="7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 x14ac:dyDescent="0.25">
      <c r="A634" s="197">
        <v>630</v>
      </c>
      <c r="B634" s="197" t="s">
        <v>4396</v>
      </c>
      <c r="C634" s="207" t="s">
        <v>4426</v>
      </c>
      <c r="D634" s="207">
        <v>1</v>
      </c>
      <c r="E634" s="207" t="s">
        <v>4398</v>
      </c>
      <c r="F634" s="214" t="s">
        <v>7109</v>
      </c>
      <c r="G634" s="207" t="s">
        <v>4400</v>
      </c>
      <c r="H634" s="207" t="s">
        <v>4401</v>
      </c>
      <c r="I634" s="217" t="s">
        <v>4402</v>
      </c>
      <c r="J634" s="215" t="s">
        <v>7110</v>
      </c>
      <c r="K634" s="215" t="s">
        <v>7111</v>
      </c>
      <c r="L634" s="215" t="s">
        <v>7112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7110</v>
      </c>
      <c r="AB634" s="215" t="s">
        <v>7111</v>
      </c>
      <c r="AC634" s="215" t="s">
        <v>7112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5"/>
        <v/>
      </c>
      <c r="BI634" s="98" t="str">
        <f t="shared" si="6"/>
        <v>AA</v>
      </c>
      <c r="BJ634" s="98" t="str">
        <f t="shared" si="7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customHeight="1" x14ac:dyDescent="0.25">
      <c r="A635" s="197">
        <v>631</v>
      </c>
      <c r="B635" s="197" t="s">
        <v>4396</v>
      </c>
      <c r="C635" s="207" t="s">
        <v>4426</v>
      </c>
      <c r="D635" s="207">
        <v>1</v>
      </c>
      <c r="E635" s="207" t="s">
        <v>4398</v>
      </c>
      <c r="F635" s="214" t="s">
        <v>7113</v>
      </c>
      <c r="G635" s="207" t="s">
        <v>4400</v>
      </c>
      <c r="H635" s="207" t="s">
        <v>4401</v>
      </c>
      <c r="I635" s="217" t="s">
        <v>4402</v>
      </c>
      <c r="J635" s="215" t="s">
        <v>7114</v>
      </c>
      <c r="K635" s="215" t="s">
        <v>4439</v>
      </c>
      <c r="L635" s="215" t="s">
        <v>7115</v>
      </c>
      <c r="M635" s="207" t="s">
        <v>4405</v>
      </c>
      <c r="N635" s="207" t="s">
        <v>4441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7114</v>
      </c>
      <c r="AB635" s="215" t="s">
        <v>4439</v>
      </c>
      <c r="AC635" s="215" t="s">
        <v>7115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4432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"/>
        <v>FINALIZADO</v>
      </c>
      <c r="AS635" s="207" t="s">
        <v>4423</v>
      </c>
      <c r="AT635" s="207"/>
      <c r="AU635" s="225" t="s">
        <v>7116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4434</v>
      </c>
      <c r="BF635" s="228" t="s">
        <v>4435</v>
      </c>
      <c r="BG635" s="229" t="s">
        <v>4425</v>
      </c>
      <c r="BH635" s="321">
        <f t="shared" si="5"/>
        <v>50</v>
      </c>
      <c r="BI635" s="98" t="str">
        <f t="shared" si="6"/>
        <v>INDENIZAÇÃO</v>
      </c>
      <c r="BJ635" s="98" t="str">
        <f t="shared" si="7"/>
        <v>NÃO</v>
      </c>
      <c r="BK635" s="230" t="s">
        <v>4436</v>
      </c>
      <c r="BL635" s="230" t="s">
        <v>4436</v>
      </c>
      <c r="BM635" s="230" t="s">
        <v>4436</v>
      </c>
      <c r="BN635" s="265" t="s">
        <v>4956</v>
      </c>
      <c r="BO635" s="265"/>
      <c r="BP635" s="265"/>
      <c r="BQ635" s="265"/>
      <c r="BR635" s="231"/>
    </row>
    <row r="636" spans="1:72" ht="27" hidden="1" customHeight="1" x14ac:dyDescent="0.25">
      <c r="A636" s="207">
        <v>632</v>
      </c>
      <c r="B636" s="197" t="s">
        <v>4396</v>
      </c>
      <c r="C636" s="207" t="s">
        <v>4426</v>
      </c>
      <c r="D636" s="207">
        <v>1</v>
      </c>
      <c r="E636" s="207" t="s">
        <v>4398</v>
      </c>
      <c r="F636" s="214" t="s">
        <v>7117</v>
      </c>
      <c r="G636" s="207" t="s">
        <v>4400</v>
      </c>
      <c r="H636" s="207" t="s">
        <v>4401</v>
      </c>
      <c r="I636" s="217" t="s">
        <v>4402</v>
      </c>
      <c r="J636" s="215" t="s">
        <v>7118</v>
      </c>
      <c r="K636" s="215" t="s">
        <v>7119</v>
      </c>
      <c r="L636" s="215" t="s">
        <v>7120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7118</v>
      </c>
      <c r="AB636" s="215" t="s">
        <v>7119</v>
      </c>
      <c r="AC636" s="215" t="s">
        <v>7120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5"/>
        <v/>
      </c>
      <c r="BI636" s="98" t="str">
        <f t="shared" si="6"/>
        <v>AA</v>
      </c>
      <c r="BJ636" s="98" t="str">
        <f t="shared" si="7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customHeight="1" x14ac:dyDescent="0.25">
      <c r="A637" s="207">
        <v>633</v>
      </c>
      <c r="B637" s="197" t="s">
        <v>4396</v>
      </c>
      <c r="C637" s="207" t="s">
        <v>4426</v>
      </c>
      <c r="D637" s="207">
        <v>1</v>
      </c>
      <c r="E637" s="207" t="s">
        <v>4398</v>
      </c>
      <c r="F637" s="214" t="s">
        <v>7121</v>
      </c>
      <c r="G637" s="207" t="s">
        <v>4400</v>
      </c>
      <c r="H637" s="207" t="s">
        <v>4401</v>
      </c>
      <c r="I637" s="217" t="s">
        <v>4402</v>
      </c>
      <c r="J637" s="215" t="s">
        <v>7122</v>
      </c>
      <c r="K637" s="215" t="s">
        <v>7123</v>
      </c>
      <c r="L637" s="215" t="s">
        <v>7124</v>
      </c>
      <c r="M637" s="207" t="s">
        <v>4405</v>
      </c>
      <c r="N637" s="207" t="s">
        <v>4441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7122</v>
      </c>
      <c r="AB637" s="200" t="s">
        <v>7123</v>
      </c>
      <c r="AC637" s="200" t="s">
        <v>7124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4432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"/>
        <v>FINALIZADO</v>
      </c>
      <c r="AS637" s="207" t="s">
        <v>4423</v>
      </c>
      <c r="AT637" s="219"/>
      <c r="AU637" s="225" t="s">
        <v>7125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4434</v>
      </c>
      <c r="BF637" s="228" t="s">
        <v>4435</v>
      </c>
      <c r="BG637" s="229" t="s">
        <v>4425</v>
      </c>
      <c r="BH637" s="321">
        <f t="shared" si="5"/>
        <v>69</v>
      </c>
      <c r="BI637" s="98" t="str">
        <f t="shared" si="6"/>
        <v>INDENIZAÇÃO</v>
      </c>
      <c r="BJ637" s="98" t="str">
        <f t="shared" si="7"/>
        <v>NÃO</v>
      </c>
      <c r="BK637" s="230" t="s">
        <v>4436</v>
      </c>
      <c r="BL637" s="230" t="s">
        <v>4436</v>
      </c>
      <c r="BM637" s="230" t="s">
        <v>4436</v>
      </c>
      <c r="BN637" s="265" t="s">
        <v>4956</v>
      </c>
      <c r="BO637" s="265"/>
      <c r="BP637" s="265"/>
      <c r="BQ637" s="265"/>
      <c r="BR637" s="231"/>
    </row>
    <row r="638" spans="1:72" ht="27" hidden="1" customHeight="1" x14ac:dyDescent="0.25">
      <c r="A638" s="207">
        <v>634</v>
      </c>
      <c r="B638" s="197" t="s">
        <v>4396</v>
      </c>
      <c r="C638" s="207" t="s">
        <v>4426</v>
      </c>
      <c r="D638" s="207">
        <v>1</v>
      </c>
      <c r="E638" s="207" t="s">
        <v>4398</v>
      </c>
      <c r="F638" s="214" t="s">
        <v>7126</v>
      </c>
      <c r="G638" s="207" t="s">
        <v>4400</v>
      </c>
      <c r="H638" s="207" t="s">
        <v>4401</v>
      </c>
      <c r="I638" s="217" t="s">
        <v>4402</v>
      </c>
      <c r="J638" s="215" t="s">
        <v>7127</v>
      </c>
      <c r="K638" s="215" t="s">
        <v>7128</v>
      </c>
      <c r="L638" s="215" t="s">
        <v>7129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7127</v>
      </c>
      <c r="AB638" s="215" t="s">
        <v>7128</v>
      </c>
      <c r="AC638" s="215" t="s">
        <v>7129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5"/>
        <v/>
      </c>
      <c r="BI638" s="98" t="str">
        <f t="shared" si="6"/>
        <v>AA</v>
      </c>
      <c r="BJ638" s="98" t="str">
        <f t="shared" si="7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customHeight="1" x14ac:dyDescent="0.25">
      <c r="A639" s="197">
        <v>635</v>
      </c>
      <c r="B639" s="197" t="s">
        <v>4396</v>
      </c>
      <c r="C639" s="207" t="s">
        <v>4426</v>
      </c>
      <c r="D639" s="207">
        <v>1</v>
      </c>
      <c r="E639" s="207" t="s">
        <v>4398</v>
      </c>
      <c r="F639" s="214" t="s">
        <v>7130</v>
      </c>
      <c r="G639" s="207" t="s">
        <v>4400</v>
      </c>
      <c r="H639" s="207" t="s">
        <v>4401</v>
      </c>
      <c r="I639" s="217" t="s">
        <v>4414</v>
      </c>
      <c r="J639" s="242" t="s">
        <v>7131</v>
      </c>
      <c r="K639" s="215" t="s">
        <v>7132</v>
      </c>
      <c r="L639" s="215" t="s">
        <v>7133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7134</v>
      </c>
      <c r="AB639" s="200" t="s">
        <v>7135</v>
      </c>
      <c r="AC639" s="200" t="s">
        <v>7136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4432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"/>
        <v>FINALIZADO</v>
      </c>
      <c r="AS639" s="207" t="s">
        <v>4423</v>
      </c>
      <c r="AT639" s="219"/>
      <c r="AU639" s="225" t="s">
        <v>7137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4434</v>
      </c>
      <c r="BF639" s="228" t="s">
        <v>4435</v>
      </c>
      <c r="BG639" s="229" t="s">
        <v>4425</v>
      </c>
      <c r="BH639" s="321">
        <f t="shared" si="5"/>
        <v>130</v>
      </c>
      <c r="BI639" s="98" t="str">
        <f t="shared" si="6"/>
        <v>INDENIZAÇÃO</v>
      </c>
      <c r="BJ639" s="98" t="str">
        <f t="shared" si="7"/>
        <v>NÃO</v>
      </c>
      <c r="BK639" s="219" t="s">
        <v>4436</v>
      </c>
      <c r="BL639" s="219" t="s">
        <v>4436</v>
      </c>
      <c r="BM639" s="219" t="s">
        <v>4436</v>
      </c>
      <c r="BN639" s="257" t="s">
        <v>4956</v>
      </c>
      <c r="BO639" s="257"/>
      <c r="BP639" s="257"/>
      <c r="BQ639" s="257"/>
      <c r="BR639" s="258"/>
    </row>
    <row r="640" spans="1:72" ht="27" customHeight="1" x14ac:dyDescent="0.25">
      <c r="A640" s="197">
        <v>636</v>
      </c>
      <c r="B640" s="197" t="s">
        <v>4396</v>
      </c>
      <c r="C640" s="207" t="s">
        <v>4426</v>
      </c>
      <c r="D640" s="207">
        <v>1</v>
      </c>
      <c r="E640" s="207" t="s">
        <v>4398</v>
      </c>
      <c r="F640" s="214" t="s">
        <v>7138</v>
      </c>
      <c r="G640" s="207" t="s">
        <v>4400</v>
      </c>
      <c r="H640" s="207" t="s">
        <v>4401</v>
      </c>
      <c r="I640" s="217" t="s">
        <v>4402</v>
      </c>
      <c r="J640" s="242" t="s">
        <v>7139</v>
      </c>
      <c r="K640" s="215" t="s">
        <v>7140</v>
      </c>
      <c r="L640" s="215" t="s">
        <v>7141</v>
      </c>
      <c r="M640" s="207" t="s">
        <v>4405</v>
      </c>
      <c r="N640" s="207" t="s">
        <v>4441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7139</v>
      </c>
      <c r="AB640" s="215" t="s">
        <v>7140</v>
      </c>
      <c r="AC640" s="215" t="s">
        <v>7141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4432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"/>
        <v>FINALIZADO</v>
      </c>
      <c r="AS640" s="207" t="s">
        <v>4423</v>
      </c>
      <c r="AT640" s="219"/>
      <c r="AU640" s="225" t="s">
        <v>7142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4434</v>
      </c>
      <c r="BF640" s="245" t="s">
        <v>4435</v>
      </c>
      <c r="BG640" s="229" t="s">
        <v>4425</v>
      </c>
      <c r="BH640" s="321">
        <f t="shared" si="5"/>
        <v>44</v>
      </c>
      <c r="BI640" s="98" t="str">
        <f t="shared" si="6"/>
        <v>INDENIZAÇÃO</v>
      </c>
      <c r="BJ640" s="98" t="str">
        <f t="shared" si="7"/>
        <v>NÃO</v>
      </c>
      <c r="BK640" s="230" t="s">
        <v>4436</v>
      </c>
      <c r="BL640" s="230" t="s">
        <v>4436</v>
      </c>
      <c r="BM640" s="230" t="s">
        <v>4436</v>
      </c>
      <c r="BN640" s="265" t="s">
        <v>4956</v>
      </c>
      <c r="BO640" s="265"/>
      <c r="BP640" s="265"/>
      <c r="BQ640" s="265"/>
      <c r="BR640" s="231"/>
      <c r="BS640" s="223"/>
      <c r="BT640" s="223"/>
    </row>
    <row r="641" spans="1:71" ht="27" customHeight="1" x14ac:dyDescent="0.25">
      <c r="A641" s="207">
        <v>637</v>
      </c>
      <c r="B641" s="197" t="s">
        <v>4396</v>
      </c>
      <c r="C641" s="207" t="s">
        <v>4426</v>
      </c>
      <c r="D641" s="207">
        <v>1</v>
      </c>
      <c r="E641" s="207" t="s">
        <v>4398</v>
      </c>
      <c r="F641" s="214" t="s">
        <v>7143</v>
      </c>
      <c r="G641" s="207" t="s">
        <v>4400</v>
      </c>
      <c r="H641" s="207" t="s">
        <v>4401</v>
      </c>
      <c r="I641" s="217" t="s">
        <v>4402</v>
      </c>
      <c r="J641" s="215" t="s">
        <v>7144</v>
      </c>
      <c r="K641" s="215" t="s">
        <v>7145</v>
      </c>
      <c r="L641" s="215" t="s">
        <v>7146</v>
      </c>
      <c r="M641" s="207" t="s">
        <v>4405</v>
      </c>
      <c r="N641" s="207" t="s">
        <v>4441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7144</v>
      </c>
      <c r="AB641" s="215" t="s">
        <v>7145</v>
      </c>
      <c r="AC641" s="215" t="s">
        <v>7146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4432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"/>
        <v>FINALIZADO</v>
      </c>
      <c r="AS641" s="207" t="s">
        <v>4423</v>
      </c>
      <c r="AT641" s="207"/>
      <c r="AU641" s="225" t="s">
        <v>7147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4434</v>
      </c>
      <c r="BF641" s="245" t="s">
        <v>4435</v>
      </c>
      <c r="BG641" s="229" t="s">
        <v>4425</v>
      </c>
      <c r="BH641" s="321">
        <f t="shared" si="5"/>
        <v>104</v>
      </c>
      <c r="BI641" s="98" t="str">
        <f t="shared" si="6"/>
        <v>INDENIZAÇÃO</v>
      </c>
      <c r="BJ641" s="98" t="str">
        <f t="shared" si="7"/>
        <v>NÃO</v>
      </c>
      <c r="BK641" s="230" t="s">
        <v>4436</v>
      </c>
      <c r="BL641" s="230" t="s">
        <v>4436</v>
      </c>
      <c r="BM641" s="230" t="s">
        <v>4436</v>
      </c>
      <c r="BN641" s="265" t="s">
        <v>4956</v>
      </c>
      <c r="BO641" s="265"/>
      <c r="BP641" s="265"/>
      <c r="BQ641" s="265"/>
      <c r="BR641" s="231"/>
      <c r="BS641" s="223"/>
    </row>
    <row r="642" spans="1:71" ht="27" customHeight="1" x14ac:dyDescent="0.25">
      <c r="A642" s="207">
        <v>638</v>
      </c>
      <c r="B642" s="197" t="s">
        <v>4396</v>
      </c>
      <c r="C642" s="207" t="s">
        <v>4426</v>
      </c>
      <c r="D642" s="207">
        <v>1</v>
      </c>
      <c r="E642" s="207" t="s">
        <v>4398</v>
      </c>
      <c r="F642" s="214" t="s">
        <v>7148</v>
      </c>
      <c r="G642" s="207" t="s">
        <v>4400</v>
      </c>
      <c r="H642" s="207" t="s">
        <v>4401</v>
      </c>
      <c r="I642" s="217" t="s">
        <v>4402</v>
      </c>
      <c r="J642" s="215" t="s">
        <v>7149</v>
      </c>
      <c r="K642" s="215" t="s">
        <v>7150</v>
      </c>
      <c r="L642" s="215" t="s">
        <v>7151</v>
      </c>
      <c r="M642" s="207" t="s">
        <v>4405</v>
      </c>
      <c r="N642" s="207" t="s">
        <v>4441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7149</v>
      </c>
      <c r="AB642" s="215" t="s">
        <v>7150</v>
      </c>
      <c r="AC642" s="215" t="s">
        <v>7151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4432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"/>
        <v>FINALIZADO</v>
      </c>
      <c r="AS642" s="207" t="s">
        <v>4423</v>
      </c>
      <c r="AT642" s="207"/>
      <c r="AU642" s="225" t="s">
        <v>7152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4434</v>
      </c>
      <c r="BF642" s="245" t="s">
        <v>4435</v>
      </c>
      <c r="BG642" s="229" t="s">
        <v>4425</v>
      </c>
      <c r="BH642" s="321">
        <f t="shared" si="5"/>
        <v>40</v>
      </c>
      <c r="BI642" s="98" t="str">
        <f t="shared" si="6"/>
        <v>INDENIZAÇÃO</v>
      </c>
      <c r="BJ642" s="98" t="str">
        <f t="shared" si="7"/>
        <v>NÃO</v>
      </c>
      <c r="BK642" s="230" t="s">
        <v>4436</v>
      </c>
      <c r="BL642" s="230" t="s">
        <v>4436</v>
      </c>
      <c r="BM642" s="230" t="s">
        <v>4436</v>
      </c>
      <c r="BN642" s="265" t="s">
        <v>4956</v>
      </c>
      <c r="BO642" s="265"/>
      <c r="BP642" s="265"/>
      <c r="BQ642" s="265"/>
      <c r="BR642" s="231"/>
      <c r="BS642" s="223"/>
    </row>
    <row r="643" spans="1:71" ht="27" hidden="1" customHeight="1" x14ac:dyDescent="0.25">
      <c r="A643" s="207">
        <v>639</v>
      </c>
      <c r="B643" s="197" t="s">
        <v>4396</v>
      </c>
      <c r="C643" s="207" t="s">
        <v>4426</v>
      </c>
      <c r="D643" s="207">
        <v>1</v>
      </c>
      <c r="E643" s="207" t="s">
        <v>4398</v>
      </c>
      <c r="F643" s="214" t="s">
        <v>7153</v>
      </c>
      <c r="G643" s="207" t="s">
        <v>4400</v>
      </c>
      <c r="H643" s="207" t="s">
        <v>4401</v>
      </c>
      <c r="I643" s="217" t="s">
        <v>4402</v>
      </c>
      <c r="J643" s="215" t="s">
        <v>7154</v>
      </c>
      <c r="K643" s="215" t="s">
        <v>7155</v>
      </c>
      <c r="L643" s="215" t="s">
        <v>7156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7154</v>
      </c>
      <c r="AB643" s="215" t="s">
        <v>7155</v>
      </c>
      <c r="AC643" s="215" t="s">
        <v>7156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5"/>
        <v/>
      </c>
      <c r="BI643" s="98" t="str">
        <f t="shared" si="6"/>
        <v>AA</v>
      </c>
      <c r="BJ643" s="98" t="str">
        <f t="shared" si="7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hidden="1" customHeight="1" x14ac:dyDescent="0.25">
      <c r="A644" s="197">
        <v>640</v>
      </c>
      <c r="B644" s="197" t="s">
        <v>4396</v>
      </c>
      <c r="C644" s="207" t="s">
        <v>4426</v>
      </c>
      <c r="D644" s="207">
        <v>1</v>
      </c>
      <c r="E644" s="207" t="s">
        <v>4398</v>
      </c>
      <c r="F644" s="214" t="s">
        <v>7157</v>
      </c>
      <c r="G644" s="207" t="s">
        <v>4400</v>
      </c>
      <c r="H644" s="207" t="s">
        <v>4401</v>
      </c>
      <c r="I644" s="217" t="s">
        <v>4402</v>
      </c>
      <c r="J644" s="215" t="s">
        <v>7158</v>
      </c>
      <c r="K644" s="215" t="s">
        <v>7159</v>
      </c>
      <c r="L644" s="215" t="s">
        <v>7160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7158</v>
      </c>
      <c r="AB644" s="215" t="s">
        <v>7159</v>
      </c>
      <c r="AC644" s="215" t="s">
        <v>7160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5"/>
        <v/>
      </c>
      <c r="BI644" s="98" t="str">
        <f t="shared" si="6"/>
        <v>AA</v>
      </c>
      <c r="BJ644" s="98" t="str">
        <f t="shared" si="7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 x14ac:dyDescent="0.25">
      <c r="A645" s="197">
        <v>641</v>
      </c>
      <c r="B645" s="197" t="s">
        <v>4396</v>
      </c>
      <c r="C645" s="207" t="s">
        <v>4426</v>
      </c>
      <c r="D645" s="207">
        <v>1</v>
      </c>
      <c r="E645" s="207" t="s">
        <v>4398</v>
      </c>
      <c r="F645" s="214" t="s">
        <v>7161</v>
      </c>
      <c r="G645" s="207" t="s">
        <v>4400</v>
      </c>
      <c r="H645" s="207" t="s">
        <v>4401</v>
      </c>
      <c r="I645" s="217" t="s">
        <v>4402</v>
      </c>
      <c r="J645" s="215" t="s">
        <v>7162</v>
      </c>
      <c r="K645" s="215" t="s">
        <v>7163</v>
      </c>
      <c r="L645" s="215" t="s">
        <v>7164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7162</v>
      </c>
      <c r="AB645" s="215" t="s">
        <v>7163</v>
      </c>
      <c r="AC645" s="215" t="s">
        <v>7164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8">IFERROR(IF(BD645-KI645=0,"",BD645-AK645),"")</f>
        <v/>
      </c>
      <c r="BI645" s="98" t="str">
        <f t="shared" ref="BI645:BI708" si="9">IF(AND(AH645&lt;&gt;"SIM",AH645="UH"),"AA","INDENIZAÇÃO")</f>
        <v>AA</v>
      </c>
      <c r="BJ645" s="98" t="str">
        <f t="shared" ref="BJ645:BJ708" si="10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 x14ac:dyDescent="0.25">
      <c r="A646" s="207">
        <v>642</v>
      </c>
      <c r="B646" s="197" t="s">
        <v>4396</v>
      </c>
      <c r="C646" s="207" t="s">
        <v>4426</v>
      </c>
      <c r="D646" s="207">
        <v>1</v>
      </c>
      <c r="E646" s="207" t="s">
        <v>4398</v>
      </c>
      <c r="F646" s="214" t="s">
        <v>7165</v>
      </c>
      <c r="G646" s="207" t="s">
        <v>4400</v>
      </c>
      <c r="H646" s="207" t="s">
        <v>4401</v>
      </c>
      <c r="I646" s="217" t="s">
        <v>4402</v>
      </c>
      <c r="J646" s="215" t="s">
        <v>7166</v>
      </c>
      <c r="K646" s="215" t="s">
        <v>7167</v>
      </c>
      <c r="L646" s="215" t="s">
        <v>7168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7166</v>
      </c>
      <c r="AB646" s="215" t="s">
        <v>7167</v>
      </c>
      <c r="AC646" s="215" t="s">
        <v>7168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11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8"/>
        <v/>
      </c>
      <c r="BI646" s="98" t="str">
        <f t="shared" si="9"/>
        <v>AA</v>
      </c>
      <c r="BJ646" s="98" t="str">
        <f t="shared" si="10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 x14ac:dyDescent="0.25">
      <c r="A647" s="207">
        <v>643</v>
      </c>
      <c r="B647" s="197" t="s">
        <v>4396</v>
      </c>
      <c r="C647" s="207" t="s">
        <v>4426</v>
      </c>
      <c r="D647" s="207">
        <v>1</v>
      </c>
      <c r="E647" s="207" t="s">
        <v>4398</v>
      </c>
      <c r="F647" s="214" t="s">
        <v>7169</v>
      </c>
      <c r="G647" s="207" t="s">
        <v>4400</v>
      </c>
      <c r="H647" s="207" t="s">
        <v>4401</v>
      </c>
      <c r="I647" s="217" t="s">
        <v>4402</v>
      </c>
      <c r="J647" s="215" t="s">
        <v>7170</v>
      </c>
      <c r="K647" s="215" t="s">
        <v>7171</v>
      </c>
      <c r="L647" s="215" t="s">
        <v>7172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7170</v>
      </c>
      <c r="AB647" s="215" t="s">
        <v>7171</v>
      </c>
      <c r="AC647" s="215" t="s">
        <v>7172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11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8"/>
        <v/>
      </c>
      <c r="BI647" s="98" t="str">
        <f t="shared" si="9"/>
        <v>AA</v>
      </c>
      <c r="BJ647" s="98" t="str">
        <f t="shared" si="10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 x14ac:dyDescent="0.25">
      <c r="A648" s="207">
        <v>644</v>
      </c>
      <c r="B648" s="197" t="s">
        <v>4396</v>
      </c>
      <c r="C648" s="207" t="s">
        <v>4426</v>
      </c>
      <c r="D648" s="207">
        <v>1</v>
      </c>
      <c r="E648" s="207" t="s">
        <v>4398</v>
      </c>
      <c r="F648" s="214" t="s">
        <v>7173</v>
      </c>
      <c r="G648" s="207" t="s">
        <v>4400</v>
      </c>
      <c r="H648" s="207" t="s">
        <v>4401</v>
      </c>
      <c r="I648" s="217" t="s">
        <v>4402</v>
      </c>
      <c r="J648" s="215" t="s">
        <v>7174</v>
      </c>
      <c r="K648" s="215" t="s">
        <v>7175</v>
      </c>
      <c r="L648" s="215" t="s">
        <v>7176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7174</v>
      </c>
      <c r="AB648" s="215" t="s">
        <v>7175</v>
      </c>
      <c r="AC648" s="215" t="s">
        <v>7176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11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8"/>
        <v/>
      </c>
      <c r="BI648" s="98" t="str">
        <f t="shared" si="9"/>
        <v>AA</v>
      </c>
      <c r="BJ648" s="98" t="str">
        <f t="shared" si="10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customHeight="1" x14ac:dyDescent="0.25">
      <c r="A649" s="197">
        <v>645</v>
      </c>
      <c r="B649" s="197" t="s">
        <v>4396</v>
      </c>
      <c r="C649" s="207" t="s">
        <v>4426</v>
      </c>
      <c r="D649" s="207">
        <v>1</v>
      </c>
      <c r="E649" s="207" t="s">
        <v>4398</v>
      </c>
      <c r="F649" s="214" t="s">
        <v>7177</v>
      </c>
      <c r="G649" s="219" t="s">
        <v>4544</v>
      </c>
      <c r="H649" s="207" t="s">
        <v>4545</v>
      </c>
      <c r="I649" s="233" t="s">
        <v>4421</v>
      </c>
      <c r="J649" s="215" t="s">
        <v>7178</v>
      </c>
      <c r="K649" s="215" t="s">
        <v>7179</v>
      </c>
      <c r="L649" s="215" t="s">
        <v>7180</v>
      </c>
      <c r="M649" s="207" t="s">
        <v>4405</v>
      </c>
      <c r="N649" s="207" t="s">
        <v>4441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7178</v>
      </c>
      <c r="AB649" s="215" t="s">
        <v>7179</v>
      </c>
      <c r="AC649" s="215" t="s">
        <v>7180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4432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11"/>
        <v>FINALIZADO</v>
      </c>
      <c r="AS649" s="207" t="s">
        <v>4423</v>
      </c>
      <c r="AT649" s="207"/>
      <c r="AU649" s="225" t="s">
        <v>7181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4434</v>
      </c>
      <c r="BF649" s="245" t="s">
        <v>4435</v>
      </c>
      <c r="BG649" s="229" t="s">
        <v>4425</v>
      </c>
      <c r="BH649" s="321">
        <f t="shared" si="8"/>
        <v>51</v>
      </c>
      <c r="BI649" s="98" t="str">
        <f t="shared" si="9"/>
        <v>INDENIZAÇÃO</v>
      </c>
      <c r="BJ649" s="98" t="str">
        <f t="shared" si="10"/>
        <v>NÃO</v>
      </c>
      <c r="BK649" s="230" t="s">
        <v>4436</v>
      </c>
      <c r="BL649" s="230" t="s">
        <v>4436</v>
      </c>
      <c r="BM649" s="230" t="s">
        <v>4436</v>
      </c>
      <c r="BN649" s="265" t="s">
        <v>4956</v>
      </c>
      <c r="BO649" s="265"/>
      <c r="BP649" s="265"/>
      <c r="BQ649" s="265"/>
      <c r="BR649" s="231"/>
      <c r="BS649" s="223"/>
    </row>
    <row r="650" spans="1:71" ht="27" hidden="1" customHeight="1" x14ac:dyDescent="0.25">
      <c r="A650" s="197">
        <v>646</v>
      </c>
      <c r="B650" s="197" t="s">
        <v>4396</v>
      </c>
      <c r="C650" s="207" t="s">
        <v>4426</v>
      </c>
      <c r="D650" s="207">
        <v>1</v>
      </c>
      <c r="E650" s="207" t="s">
        <v>4398</v>
      </c>
      <c r="F650" s="214" t="s">
        <v>7182</v>
      </c>
      <c r="G650" s="160" t="s">
        <v>4400</v>
      </c>
      <c r="H650" s="207" t="s">
        <v>4401</v>
      </c>
      <c r="I650" s="249" t="s">
        <v>4402</v>
      </c>
      <c r="J650" s="215" t="s">
        <v>7183</v>
      </c>
      <c r="K650" s="215" t="s">
        <v>7184</v>
      </c>
      <c r="L650" s="215" t="s">
        <v>7185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7183</v>
      </c>
      <c r="AB650" s="215" t="s">
        <v>7184</v>
      </c>
      <c r="AC650" s="215" t="s">
        <v>7185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11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8"/>
        <v/>
      </c>
      <c r="BI650" s="98" t="str">
        <f t="shared" si="9"/>
        <v>AA</v>
      </c>
      <c r="BJ650" s="98" t="str">
        <f t="shared" si="10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 x14ac:dyDescent="0.25">
      <c r="A651" s="207">
        <v>647</v>
      </c>
      <c r="B651" s="197" t="s">
        <v>4396</v>
      </c>
      <c r="C651" s="207" t="s">
        <v>4426</v>
      </c>
      <c r="D651" s="207">
        <v>1</v>
      </c>
      <c r="E651" s="207" t="s">
        <v>4398</v>
      </c>
      <c r="F651" s="214" t="s">
        <v>7186</v>
      </c>
      <c r="G651" s="207" t="s">
        <v>4400</v>
      </c>
      <c r="H651" s="207" t="s">
        <v>4401</v>
      </c>
      <c r="I651" s="217" t="s">
        <v>4402</v>
      </c>
      <c r="J651" s="215" t="s">
        <v>7187</v>
      </c>
      <c r="K651" s="215" t="s">
        <v>7188</v>
      </c>
      <c r="L651" s="215" t="s">
        <v>7189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7187</v>
      </c>
      <c r="AB651" s="215" t="s">
        <v>7188</v>
      </c>
      <c r="AC651" s="215" t="s">
        <v>7189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11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8"/>
        <v/>
      </c>
      <c r="BI651" s="98" t="str">
        <f t="shared" si="9"/>
        <v>AA</v>
      </c>
      <c r="BJ651" s="98" t="str">
        <f t="shared" si="10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 x14ac:dyDescent="0.25">
      <c r="A652" s="207">
        <v>648</v>
      </c>
      <c r="B652" s="197" t="s">
        <v>4396</v>
      </c>
      <c r="C652" s="207" t="s">
        <v>4426</v>
      </c>
      <c r="D652" s="207">
        <v>1</v>
      </c>
      <c r="E652" s="207" t="s">
        <v>4398</v>
      </c>
      <c r="F652" s="214" t="s">
        <v>7190</v>
      </c>
      <c r="G652" s="207" t="s">
        <v>4400</v>
      </c>
      <c r="H652" s="207" t="s">
        <v>4401</v>
      </c>
      <c r="I652" s="217" t="s">
        <v>7021</v>
      </c>
      <c r="J652" s="215" t="s">
        <v>7191</v>
      </c>
      <c r="K652" s="215" t="s">
        <v>7192</v>
      </c>
      <c r="L652" s="215" t="s">
        <v>7193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7191</v>
      </c>
      <c r="AB652" s="215" t="s">
        <v>7192</v>
      </c>
      <c r="AC652" s="215" t="s">
        <v>7193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11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8"/>
        <v/>
      </c>
      <c r="BI652" s="98" t="str">
        <f t="shared" si="9"/>
        <v>AA</v>
      </c>
      <c r="BJ652" s="98" t="str">
        <f t="shared" si="10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customHeight="1" x14ac:dyDescent="0.25">
      <c r="A653" s="207">
        <v>649</v>
      </c>
      <c r="B653" s="197" t="s">
        <v>4396</v>
      </c>
      <c r="C653" s="207" t="s">
        <v>4426</v>
      </c>
      <c r="D653" s="207">
        <v>1</v>
      </c>
      <c r="E653" s="207" t="s">
        <v>4398</v>
      </c>
      <c r="F653" s="214" t="s">
        <v>7194</v>
      </c>
      <c r="G653" s="207" t="s">
        <v>4400</v>
      </c>
      <c r="H653" s="207" t="s">
        <v>4401</v>
      </c>
      <c r="I653" s="217" t="s">
        <v>4414</v>
      </c>
      <c r="J653" s="215" t="s">
        <v>7195</v>
      </c>
      <c r="K653" s="215" t="s">
        <v>7196</v>
      </c>
      <c r="L653" s="215" t="s">
        <v>7197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7198</v>
      </c>
      <c r="AB653" s="215" t="s">
        <v>7199</v>
      </c>
      <c r="AC653" s="215" t="s">
        <v>7200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11"/>
        <v>FINALIZADO</v>
      </c>
      <c r="AS653" s="207" t="s">
        <v>4423</v>
      </c>
      <c r="AT653" s="219"/>
      <c r="AU653" s="225" t="s">
        <v>7201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4434</v>
      </c>
      <c r="BF653" s="228" t="s">
        <v>4435</v>
      </c>
      <c r="BG653" s="219" t="s">
        <v>4425</v>
      </c>
      <c r="BH653" s="321">
        <f t="shared" si="8"/>
        <v>85</v>
      </c>
      <c r="BI653" s="98" t="str">
        <f t="shared" si="9"/>
        <v>INDENIZAÇÃO</v>
      </c>
      <c r="BJ653" s="98" t="str">
        <f t="shared" si="10"/>
        <v>NÃO</v>
      </c>
      <c r="BK653" s="219" t="s">
        <v>4436</v>
      </c>
      <c r="BL653" s="219" t="s">
        <v>4436</v>
      </c>
      <c r="BM653" s="219" t="s">
        <v>4436</v>
      </c>
      <c r="BN653" s="265" t="s">
        <v>4956</v>
      </c>
      <c r="BO653" s="257"/>
      <c r="BP653" s="257"/>
      <c r="BQ653" s="257"/>
      <c r="BR653" s="258"/>
    </row>
    <row r="654" spans="1:71" ht="27" customHeight="1" x14ac:dyDescent="0.25">
      <c r="A654" s="197">
        <v>650</v>
      </c>
      <c r="B654" s="197" t="s">
        <v>4396</v>
      </c>
      <c r="C654" s="207" t="s">
        <v>4426</v>
      </c>
      <c r="D654" s="207">
        <v>1</v>
      </c>
      <c r="E654" s="207" t="s">
        <v>4398</v>
      </c>
      <c r="F654" s="214" t="s">
        <v>7202</v>
      </c>
      <c r="G654" s="207" t="s">
        <v>4400</v>
      </c>
      <c r="H654" s="207" t="s">
        <v>4401</v>
      </c>
      <c r="I654" s="217" t="s">
        <v>4402</v>
      </c>
      <c r="J654" s="215" t="s">
        <v>7203</v>
      </c>
      <c r="K654" s="215" t="s">
        <v>7204</v>
      </c>
      <c r="L654" s="215" t="s">
        <v>7205</v>
      </c>
      <c r="M654" s="207" t="s">
        <v>4405</v>
      </c>
      <c r="N654" s="207" t="s">
        <v>4441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7203</v>
      </c>
      <c r="AB654" s="215" t="s">
        <v>7204</v>
      </c>
      <c r="AC654" s="215" t="s">
        <v>7205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11"/>
        <v>FINALIZADO</v>
      </c>
      <c r="AS654" s="207" t="s">
        <v>4423</v>
      </c>
      <c r="AT654" s="207"/>
      <c r="AU654" s="225" t="s">
        <v>7206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4434</v>
      </c>
      <c r="BF654" s="245" t="s">
        <v>4435</v>
      </c>
      <c r="BG654" s="229" t="s">
        <v>4425</v>
      </c>
      <c r="BH654" s="321">
        <f t="shared" si="8"/>
        <v>51</v>
      </c>
      <c r="BI654" s="98" t="str">
        <f t="shared" si="9"/>
        <v>INDENIZAÇÃO</v>
      </c>
      <c r="BJ654" s="98" t="str">
        <f t="shared" si="10"/>
        <v>NÃO</v>
      </c>
      <c r="BK654" s="230" t="s">
        <v>4436</v>
      </c>
      <c r="BL654" s="230" t="s">
        <v>4436</v>
      </c>
      <c r="BM654" s="230" t="s">
        <v>4436</v>
      </c>
      <c r="BN654" s="265" t="s">
        <v>4956</v>
      </c>
      <c r="BO654" s="265"/>
      <c r="BP654" s="265"/>
      <c r="BQ654" s="265"/>
      <c r="BR654" s="231"/>
      <c r="BS654" s="223"/>
    </row>
    <row r="655" spans="1:71" ht="27" hidden="1" customHeight="1" x14ac:dyDescent="0.25">
      <c r="A655" s="197">
        <v>651</v>
      </c>
      <c r="B655" s="197" t="s">
        <v>4396</v>
      </c>
      <c r="C655" s="207" t="s">
        <v>4426</v>
      </c>
      <c r="D655" s="207">
        <v>1</v>
      </c>
      <c r="E655" s="207" t="s">
        <v>4398</v>
      </c>
      <c r="F655" s="214" t="s">
        <v>7207</v>
      </c>
      <c r="G655" s="207" t="s">
        <v>4400</v>
      </c>
      <c r="H655" s="207" t="s">
        <v>4401</v>
      </c>
      <c r="I655" s="217" t="s">
        <v>4402</v>
      </c>
      <c r="J655" s="215" t="s">
        <v>7208</v>
      </c>
      <c r="K655" s="215" t="s">
        <v>7209</v>
      </c>
      <c r="L655" s="215" t="s">
        <v>7210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7208</v>
      </c>
      <c r="AB655" s="215" t="s">
        <v>7209</v>
      </c>
      <c r="AC655" s="215" t="s">
        <v>7210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11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8"/>
        <v/>
      </c>
      <c r="BI655" s="98" t="str">
        <f t="shared" si="9"/>
        <v>AA</v>
      </c>
      <c r="BJ655" s="98" t="str">
        <f t="shared" si="10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customHeight="1" x14ac:dyDescent="0.25">
      <c r="A656" s="207">
        <v>652</v>
      </c>
      <c r="B656" s="197" t="s">
        <v>4396</v>
      </c>
      <c r="C656" s="207" t="s">
        <v>4426</v>
      </c>
      <c r="D656" s="207">
        <v>1</v>
      </c>
      <c r="E656" s="207" t="s">
        <v>4398</v>
      </c>
      <c r="F656" s="214" t="s">
        <v>7211</v>
      </c>
      <c r="G656" s="207" t="s">
        <v>4400</v>
      </c>
      <c r="H656" s="207" t="s">
        <v>4401</v>
      </c>
      <c r="I656" s="217" t="s">
        <v>4414</v>
      </c>
      <c r="J656" s="215" t="s">
        <v>7212</v>
      </c>
      <c r="K656" s="215" t="s">
        <v>6590</v>
      </c>
      <c r="L656" s="215" t="s">
        <v>7213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7214</v>
      </c>
      <c r="AB656" s="215" t="s">
        <v>7215</v>
      </c>
      <c r="AC656" s="215" t="s">
        <v>7216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4432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11"/>
        <v>FINALIZADO</v>
      </c>
      <c r="AS656" s="207" t="s">
        <v>4423</v>
      </c>
      <c r="AT656" s="207"/>
      <c r="AU656" s="225" t="s">
        <v>7217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4434</v>
      </c>
      <c r="BF656" s="228" t="s">
        <v>4435</v>
      </c>
      <c r="BG656" s="229" t="s">
        <v>4425</v>
      </c>
      <c r="BH656" s="321">
        <f t="shared" si="8"/>
        <v>131</v>
      </c>
      <c r="BI656" s="98" t="str">
        <f t="shared" si="9"/>
        <v>INDENIZAÇÃO</v>
      </c>
      <c r="BJ656" s="98" t="str">
        <f t="shared" si="10"/>
        <v>NÃO</v>
      </c>
      <c r="BK656" s="230" t="s">
        <v>4436</v>
      </c>
      <c r="BL656" s="230" t="s">
        <v>4436</v>
      </c>
      <c r="BM656" s="230" t="s">
        <v>4436</v>
      </c>
      <c r="BN656" s="265" t="s">
        <v>4956</v>
      </c>
      <c r="BO656" s="265"/>
      <c r="BP656" s="265"/>
      <c r="BQ656" s="265"/>
      <c r="BR656" s="231"/>
    </row>
    <row r="657" spans="1:74" ht="27" hidden="1" customHeight="1" x14ac:dyDescent="0.25">
      <c r="A657" s="207">
        <v>653</v>
      </c>
      <c r="B657" s="197" t="s">
        <v>4396</v>
      </c>
      <c r="C657" s="207" t="s">
        <v>4426</v>
      </c>
      <c r="D657" s="207">
        <v>1</v>
      </c>
      <c r="E657" s="207" t="s">
        <v>4398</v>
      </c>
      <c r="F657" s="214" t="s">
        <v>7218</v>
      </c>
      <c r="G657" s="207" t="s">
        <v>4400</v>
      </c>
      <c r="H657" s="207" t="s">
        <v>4401</v>
      </c>
      <c r="I657" s="217" t="s">
        <v>4402</v>
      </c>
      <c r="J657" s="215" t="s">
        <v>7219</v>
      </c>
      <c r="K657" s="215" t="s">
        <v>7220</v>
      </c>
      <c r="L657" s="215" t="s">
        <v>7221</v>
      </c>
      <c r="M657" s="207" t="s">
        <v>4405</v>
      </c>
      <c r="N657" s="207" t="s">
        <v>4441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7219</v>
      </c>
      <c r="AB657" s="215" t="s">
        <v>7220</v>
      </c>
      <c r="AC657" s="215" t="s">
        <v>7221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11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8"/>
        <v/>
      </c>
      <c r="BI657" s="98" t="str">
        <f t="shared" si="9"/>
        <v>INDENIZAÇÃO</v>
      </c>
      <c r="BJ657" s="98" t="str">
        <f t="shared" si="10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customHeight="1" x14ac:dyDescent="0.25">
      <c r="A658" s="207">
        <v>654</v>
      </c>
      <c r="B658" s="197" t="s">
        <v>4396</v>
      </c>
      <c r="C658" s="207" t="s">
        <v>4426</v>
      </c>
      <c r="D658" s="207">
        <v>1</v>
      </c>
      <c r="E658" s="207" t="s">
        <v>4398</v>
      </c>
      <c r="F658" s="214" t="s">
        <v>7222</v>
      </c>
      <c r="G658" s="207" t="s">
        <v>4400</v>
      </c>
      <c r="H658" s="207" t="s">
        <v>4401</v>
      </c>
      <c r="I658" s="217" t="s">
        <v>4402</v>
      </c>
      <c r="J658" s="215" t="s">
        <v>7223</v>
      </c>
      <c r="K658" s="215" t="s">
        <v>7224</v>
      </c>
      <c r="L658" s="215" t="s">
        <v>7225</v>
      </c>
      <c r="M658" s="207" t="s">
        <v>4405</v>
      </c>
      <c r="N658" s="207" t="s">
        <v>4441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7223</v>
      </c>
      <c r="AB658" s="215" t="s">
        <v>7224</v>
      </c>
      <c r="AC658" s="215" t="s">
        <v>7225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4432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11"/>
        <v>FINALIZADO</v>
      </c>
      <c r="AS658" s="207" t="s">
        <v>4423</v>
      </c>
      <c r="AT658" s="207"/>
      <c r="AU658" s="225" t="s">
        <v>7226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4434</v>
      </c>
      <c r="BF658" s="245" t="s">
        <v>4435</v>
      </c>
      <c r="BG658" s="229" t="s">
        <v>4425</v>
      </c>
      <c r="BH658" s="321">
        <f t="shared" si="8"/>
        <v>137</v>
      </c>
      <c r="BI658" s="98" t="str">
        <f t="shared" si="9"/>
        <v>INDENIZAÇÃO</v>
      </c>
      <c r="BJ658" s="98" t="str">
        <f t="shared" si="10"/>
        <v>NÃO</v>
      </c>
      <c r="BK658" s="219" t="s">
        <v>4436</v>
      </c>
      <c r="BL658" s="219" t="s">
        <v>4436</v>
      </c>
      <c r="BM658" s="219" t="s">
        <v>4436</v>
      </c>
      <c r="BN658" s="257" t="s">
        <v>4956</v>
      </c>
      <c r="BO658" s="257"/>
      <c r="BP658" s="257"/>
      <c r="BQ658" s="257"/>
      <c r="BR658" s="258"/>
      <c r="BS658" s="223"/>
    </row>
    <row r="659" spans="1:74" ht="27" customHeight="1" x14ac:dyDescent="0.25">
      <c r="A659" s="197">
        <v>655</v>
      </c>
      <c r="B659" s="197" t="s">
        <v>4396</v>
      </c>
      <c r="C659" s="207" t="s">
        <v>4426</v>
      </c>
      <c r="D659" s="207">
        <v>1</v>
      </c>
      <c r="E659" s="207" t="s">
        <v>4398</v>
      </c>
      <c r="F659" s="214" t="s">
        <v>7227</v>
      </c>
      <c r="G659" s="207" t="s">
        <v>4400</v>
      </c>
      <c r="H659" s="207" t="s">
        <v>4401</v>
      </c>
      <c r="I659" s="217" t="s">
        <v>4402</v>
      </c>
      <c r="J659" s="215" t="s">
        <v>7228</v>
      </c>
      <c r="K659" s="215" t="s">
        <v>7229</v>
      </c>
      <c r="L659" s="215" t="s">
        <v>7230</v>
      </c>
      <c r="M659" s="207" t="s">
        <v>4405</v>
      </c>
      <c r="N659" s="207" t="s">
        <v>4441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7228</v>
      </c>
      <c r="AB659" s="215" t="s">
        <v>7229</v>
      </c>
      <c r="AC659" s="215" t="s">
        <v>7230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4432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11"/>
        <v>FINALIZADO</v>
      </c>
      <c r="AS659" s="207" t="s">
        <v>4423</v>
      </c>
      <c r="AT659" s="207"/>
      <c r="AU659" s="225" t="s">
        <v>7231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4434</v>
      </c>
      <c r="BF659" s="245" t="s">
        <v>4435</v>
      </c>
      <c r="BG659" s="229" t="s">
        <v>4425</v>
      </c>
      <c r="BH659" s="321">
        <f t="shared" si="8"/>
        <v>47</v>
      </c>
      <c r="BI659" s="98" t="str">
        <f t="shared" si="9"/>
        <v>INDENIZAÇÃO</v>
      </c>
      <c r="BJ659" s="98" t="str">
        <f t="shared" si="10"/>
        <v>NÃO</v>
      </c>
      <c r="BK659" s="230" t="s">
        <v>4436</v>
      </c>
      <c r="BL659" s="230" t="s">
        <v>4436</v>
      </c>
      <c r="BM659" s="230" t="s">
        <v>4436</v>
      </c>
      <c r="BN659" s="265" t="s">
        <v>4956</v>
      </c>
      <c r="BO659" s="265"/>
      <c r="BP659" s="265"/>
      <c r="BQ659" s="265"/>
      <c r="BR659" s="231"/>
      <c r="BS659" s="223"/>
    </row>
    <row r="660" spans="1:74" ht="27" hidden="1" customHeight="1" x14ac:dyDescent="0.25">
      <c r="A660" s="197">
        <v>656</v>
      </c>
      <c r="B660" s="197" t="s">
        <v>4396</v>
      </c>
      <c r="C660" s="207" t="s">
        <v>4426</v>
      </c>
      <c r="D660" s="207">
        <v>1</v>
      </c>
      <c r="E660" s="207" t="s">
        <v>4398</v>
      </c>
      <c r="F660" s="214" t="s">
        <v>7232</v>
      </c>
      <c r="G660" s="207" t="s">
        <v>4400</v>
      </c>
      <c r="H660" s="207" t="s">
        <v>4401</v>
      </c>
      <c r="I660" s="217" t="s">
        <v>4402</v>
      </c>
      <c r="J660" s="242" t="s">
        <v>7233</v>
      </c>
      <c r="K660" s="215" t="s">
        <v>7234</v>
      </c>
      <c r="L660" s="215" t="s">
        <v>7235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7233</v>
      </c>
      <c r="AB660" s="215" t="s">
        <v>7234</v>
      </c>
      <c r="AC660" s="215" t="s">
        <v>7235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11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8"/>
        <v/>
      </c>
      <c r="BI660" s="98" t="str">
        <f t="shared" si="9"/>
        <v>AA</v>
      </c>
      <c r="BJ660" s="98" t="str">
        <f t="shared" si="10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 x14ac:dyDescent="0.25">
      <c r="A661" s="207">
        <v>657</v>
      </c>
      <c r="B661" s="197" t="s">
        <v>4396</v>
      </c>
      <c r="C661" s="207" t="s">
        <v>4426</v>
      </c>
      <c r="D661" s="207">
        <v>1</v>
      </c>
      <c r="E661" s="207" t="s">
        <v>4398</v>
      </c>
      <c r="F661" s="214" t="s">
        <v>7236</v>
      </c>
      <c r="G661" s="207" t="s">
        <v>4400</v>
      </c>
      <c r="H661" s="207" t="s">
        <v>4401</v>
      </c>
      <c r="I661" s="217" t="s">
        <v>4402</v>
      </c>
      <c r="J661" s="242" t="s">
        <v>7237</v>
      </c>
      <c r="K661" s="215" t="s">
        <v>7238</v>
      </c>
      <c r="L661" s="215" t="s">
        <v>7239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7237</v>
      </c>
      <c r="AB661" s="215" t="s">
        <v>7238</v>
      </c>
      <c r="AC661" s="215" t="s">
        <v>7239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11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8"/>
        <v/>
      </c>
      <c r="BI661" s="98" t="str">
        <f t="shared" si="9"/>
        <v>AA</v>
      </c>
      <c r="BJ661" s="98" t="str">
        <f t="shared" si="10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 x14ac:dyDescent="0.25">
      <c r="A662" s="207">
        <v>658</v>
      </c>
      <c r="B662" s="197" t="s">
        <v>4396</v>
      </c>
      <c r="C662" s="207" t="s">
        <v>4426</v>
      </c>
      <c r="D662" s="207">
        <v>1</v>
      </c>
      <c r="E662" s="207" t="s">
        <v>4398</v>
      </c>
      <c r="F662" s="214" t="s">
        <v>7240</v>
      </c>
      <c r="G662" s="207" t="s">
        <v>4400</v>
      </c>
      <c r="H662" s="207" t="s">
        <v>4401</v>
      </c>
      <c r="I662" s="217" t="s">
        <v>4402</v>
      </c>
      <c r="J662" s="215" t="s">
        <v>7241</v>
      </c>
      <c r="K662" s="215" t="s">
        <v>4439</v>
      </c>
      <c r="L662" s="215" t="s">
        <v>7242</v>
      </c>
      <c r="M662" s="207" t="s">
        <v>4405</v>
      </c>
      <c r="N662" s="207" t="s">
        <v>4441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7241</v>
      </c>
      <c r="AB662" s="215" t="s">
        <v>4439</v>
      </c>
      <c r="AC662" s="215" t="s">
        <v>7242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4432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11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8"/>
        <v/>
      </c>
      <c r="BI662" s="98" t="str">
        <f t="shared" si="9"/>
        <v>INDENIZAÇÃO</v>
      </c>
      <c r="BJ662" s="98" t="str">
        <f t="shared" si="10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customHeight="1" x14ac:dyDescent="0.25">
      <c r="A663" s="207">
        <v>659</v>
      </c>
      <c r="B663" s="197" t="s">
        <v>4396</v>
      </c>
      <c r="C663" s="207" t="s">
        <v>4426</v>
      </c>
      <c r="D663" s="207">
        <v>1</v>
      </c>
      <c r="E663" s="207" t="s">
        <v>4398</v>
      </c>
      <c r="F663" s="214" t="s">
        <v>7243</v>
      </c>
      <c r="G663" s="207" t="s">
        <v>4400</v>
      </c>
      <c r="H663" s="207" t="s">
        <v>4401</v>
      </c>
      <c r="I663" s="217" t="s">
        <v>4414</v>
      </c>
      <c r="J663" s="215" t="s">
        <v>7244</v>
      </c>
      <c r="K663" s="215" t="s">
        <v>7245</v>
      </c>
      <c r="L663" s="215" t="s">
        <v>7246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4439</v>
      </c>
      <c r="Y663" s="202"/>
      <c r="Z663" s="207" t="s">
        <v>6213</v>
      </c>
      <c r="AA663" s="215" t="s">
        <v>7247</v>
      </c>
      <c r="AB663" s="215" t="s">
        <v>7248</v>
      </c>
      <c r="AC663" s="215" t="s">
        <v>7249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4432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11"/>
        <v>FINALIZADO</v>
      </c>
      <c r="AS663" s="207" t="s">
        <v>4423</v>
      </c>
      <c r="AT663" s="207"/>
      <c r="AU663" s="225" t="s">
        <v>7250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4434</v>
      </c>
      <c r="BF663" s="228" t="s">
        <v>4435</v>
      </c>
      <c r="BG663" s="229" t="s">
        <v>4425</v>
      </c>
      <c r="BH663" s="321">
        <f t="shared" si="8"/>
        <v>89</v>
      </c>
      <c r="BI663" s="98" t="str">
        <f t="shared" si="9"/>
        <v>INDENIZAÇÃO</v>
      </c>
      <c r="BJ663" s="98" t="str">
        <f t="shared" si="10"/>
        <v>NÃO</v>
      </c>
      <c r="BK663" s="230" t="s">
        <v>4436</v>
      </c>
      <c r="BL663" s="230" t="s">
        <v>4436</v>
      </c>
      <c r="BM663" s="230" t="s">
        <v>4436</v>
      </c>
      <c r="BN663" s="265" t="s">
        <v>4956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 x14ac:dyDescent="0.25">
      <c r="A664" s="197">
        <v>660</v>
      </c>
      <c r="B664" s="197" t="s">
        <v>4396</v>
      </c>
      <c r="C664" s="207" t="s">
        <v>4426</v>
      </c>
      <c r="D664" s="207">
        <v>1</v>
      </c>
      <c r="E664" s="207" t="s">
        <v>4398</v>
      </c>
      <c r="F664" s="214" t="s">
        <v>7251</v>
      </c>
      <c r="G664" s="207" t="s">
        <v>4400</v>
      </c>
      <c r="H664" s="207" t="s">
        <v>4401</v>
      </c>
      <c r="I664" s="217" t="s">
        <v>4402</v>
      </c>
      <c r="J664" s="215" t="s">
        <v>7252</v>
      </c>
      <c r="K664" s="215" t="s">
        <v>7253</v>
      </c>
      <c r="L664" s="215" t="s">
        <v>7254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7252</v>
      </c>
      <c r="AB664" s="215" t="s">
        <v>7253</v>
      </c>
      <c r="AC664" s="215" t="s">
        <v>7254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11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8"/>
        <v/>
      </c>
      <c r="BI664" s="98" t="str">
        <f t="shared" si="9"/>
        <v>AA</v>
      </c>
      <c r="BJ664" s="98" t="str">
        <f t="shared" si="10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 x14ac:dyDescent="0.25">
      <c r="A665" s="197">
        <v>661</v>
      </c>
      <c r="B665" s="197" t="s">
        <v>4396</v>
      </c>
      <c r="C665" s="207" t="s">
        <v>4426</v>
      </c>
      <c r="D665" s="207">
        <v>1</v>
      </c>
      <c r="E665" s="207" t="s">
        <v>4398</v>
      </c>
      <c r="F665" s="214" t="s">
        <v>7255</v>
      </c>
      <c r="G665" s="207" t="s">
        <v>4400</v>
      </c>
      <c r="H665" s="207" t="s">
        <v>4401</v>
      </c>
      <c r="I665" s="217" t="s">
        <v>4402</v>
      </c>
      <c r="J665" s="215" t="s">
        <v>7256</v>
      </c>
      <c r="K665" s="215" t="s">
        <v>7257</v>
      </c>
      <c r="L665" s="215" t="s">
        <v>7258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7256</v>
      </c>
      <c r="AB665" s="215" t="s">
        <v>7257</v>
      </c>
      <c r="AC665" s="215" t="s">
        <v>7258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11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8"/>
        <v/>
      </c>
      <c r="BI665" s="98" t="str">
        <f t="shared" si="9"/>
        <v>AA</v>
      </c>
      <c r="BJ665" s="98" t="str">
        <f t="shared" si="10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 x14ac:dyDescent="0.25">
      <c r="A666" s="207">
        <v>662</v>
      </c>
      <c r="B666" s="197" t="s">
        <v>4396</v>
      </c>
      <c r="C666" s="207" t="s">
        <v>4426</v>
      </c>
      <c r="D666" s="207">
        <v>1</v>
      </c>
      <c r="E666" s="207" t="s">
        <v>4398</v>
      </c>
      <c r="F666" s="214" t="s">
        <v>7259</v>
      </c>
      <c r="G666" s="207" t="s">
        <v>4400</v>
      </c>
      <c r="H666" s="207" t="s">
        <v>4401</v>
      </c>
      <c r="I666" s="217" t="s">
        <v>4402</v>
      </c>
      <c r="J666" s="215" t="s">
        <v>7260</v>
      </c>
      <c r="K666" s="215" t="s">
        <v>7261</v>
      </c>
      <c r="L666" s="215" t="s">
        <v>7262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7263</v>
      </c>
      <c r="AA666" s="215" t="s">
        <v>7260</v>
      </c>
      <c r="AB666" s="215" t="s">
        <v>7261</v>
      </c>
      <c r="AC666" s="215" t="s">
        <v>7262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11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8"/>
        <v/>
      </c>
      <c r="BI666" s="98" t="str">
        <f t="shared" si="9"/>
        <v>AA</v>
      </c>
      <c r="BJ666" s="98" t="str">
        <f t="shared" si="10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 x14ac:dyDescent="0.25">
      <c r="A667" s="207">
        <v>663</v>
      </c>
      <c r="B667" s="197" t="s">
        <v>4396</v>
      </c>
      <c r="C667" s="207" t="s">
        <v>4426</v>
      </c>
      <c r="D667" s="207">
        <v>1</v>
      </c>
      <c r="E667" s="207" t="s">
        <v>4398</v>
      </c>
      <c r="F667" s="214" t="s">
        <v>7264</v>
      </c>
      <c r="G667" s="207" t="s">
        <v>4400</v>
      </c>
      <c r="H667" s="207" t="s">
        <v>4401</v>
      </c>
      <c r="I667" s="217" t="s">
        <v>4402</v>
      </c>
      <c r="J667" s="215" t="s">
        <v>7265</v>
      </c>
      <c r="K667" s="215" t="s">
        <v>7266</v>
      </c>
      <c r="L667" s="215" t="s">
        <v>7267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7265</v>
      </c>
      <c r="AB667" s="215" t="s">
        <v>7266</v>
      </c>
      <c r="AC667" s="215" t="s">
        <v>7267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11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8"/>
        <v/>
      </c>
      <c r="BI667" s="98" t="str">
        <f t="shared" si="9"/>
        <v>AA</v>
      </c>
      <c r="BJ667" s="98" t="str">
        <f t="shared" si="10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 x14ac:dyDescent="0.25">
      <c r="A668" s="207">
        <v>664</v>
      </c>
      <c r="B668" s="197" t="s">
        <v>4396</v>
      </c>
      <c r="C668" s="207" t="s">
        <v>4426</v>
      </c>
      <c r="D668" s="207">
        <v>1</v>
      </c>
      <c r="E668" s="207" t="s">
        <v>4398</v>
      </c>
      <c r="F668" s="214" t="s">
        <v>7268</v>
      </c>
      <c r="G668" s="207" t="s">
        <v>4400</v>
      </c>
      <c r="H668" s="207" t="s">
        <v>4401</v>
      </c>
      <c r="I668" s="217" t="s">
        <v>4402</v>
      </c>
      <c r="J668" s="215" t="s">
        <v>7269</v>
      </c>
      <c r="K668" s="215" t="s">
        <v>4439</v>
      </c>
      <c r="L668" s="215" t="s">
        <v>7270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7269</v>
      </c>
      <c r="AB668" s="215" t="s">
        <v>4439</v>
      </c>
      <c r="AC668" s="215" t="s">
        <v>7270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11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8"/>
        <v/>
      </c>
      <c r="BI668" s="98" t="str">
        <f t="shared" si="9"/>
        <v>AA</v>
      </c>
      <c r="BJ668" s="98" t="str">
        <f t="shared" si="10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 x14ac:dyDescent="0.25">
      <c r="A669" s="197">
        <v>665</v>
      </c>
      <c r="B669" s="197" t="s">
        <v>4396</v>
      </c>
      <c r="C669" s="207" t="s">
        <v>4426</v>
      </c>
      <c r="D669" s="207">
        <v>1</v>
      </c>
      <c r="E669" s="207" t="s">
        <v>4398</v>
      </c>
      <c r="F669" s="214" t="s">
        <v>7271</v>
      </c>
      <c r="G669" s="207" t="s">
        <v>4400</v>
      </c>
      <c r="H669" s="207" t="s">
        <v>4401</v>
      </c>
      <c r="I669" s="217" t="s">
        <v>4402</v>
      </c>
      <c r="J669" s="215" t="s">
        <v>7272</v>
      </c>
      <c r="K669" s="215" t="s">
        <v>7273</v>
      </c>
      <c r="L669" s="215" t="s">
        <v>7274</v>
      </c>
      <c r="M669" s="207" t="s">
        <v>4405</v>
      </c>
      <c r="N669" s="207" t="s">
        <v>4549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4439</v>
      </c>
      <c r="Y669" s="202"/>
      <c r="Z669" s="217" t="s">
        <v>7275</v>
      </c>
      <c r="AA669" s="215" t="s">
        <v>7272</v>
      </c>
      <c r="AB669" s="215" t="s">
        <v>7273</v>
      </c>
      <c r="AC669" s="215" t="s">
        <v>7274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11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8"/>
        <v/>
      </c>
      <c r="BI669" s="98" t="str">
        <f t="shared" si="9"/>
        <v>AA</v>
      </c>
      <c r="BJ669" s="98" t="str">
        <f t="shared" si="10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 x14ac:dyDescent="0.25">
      <c r="A670" s="197">
        <v>666</v>
      </c>
      <c r="B670" s="197" t="s">
        <v>4396</v>
      </c>
      <c r="C670" s="207" t="s">
        <v>4426</v>
      </c>
      <c r="D670" s="207">
        <v>1</v>
      </c>
      <c r="E670" s="207" t="s">
        <v>4398</v>
      </c>
      <c r="F670" s="214" t="s">
        <v>7276</v>
      </c>
      <c r="G670" s="207" t="s">
        <v>4400</v>
      </c>
      <c r="H670" s="207" t="s">
        <v>4401</v>
      </c>
      <c r="I670" s="217" t="s">
        <v>4402</v>
      </c>
      <c r="J670" s="215" t="s">
        <v>7277</v>
      </c>
      <c r="K670" s="215" t="s">
        <v>7278</v>
      </c>
      <c r="L670" s="215" t="s">
        <v>7279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7277</v>
      </c>
      <c r="AB670" s="215" t="s">
        <v>7278</v>
      </c>
      <c r="AC670" s="215" t="s">
        <v>7279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11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8"/>
        <v/>
      </c>
      <c r="BI670" s="98" t="str">
        <f t="shared" si="9"/>
        <v>AA</v>
      </c>
      <c r="BJ670" s="98" t="str">
        <f t="shared" si="10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customHeight="1" x14ac:dyDescent="0.25">
      <c r="A671" s="207">
        <v>667</v>
      </c>
      <c r="B671" s="197" t="s">
        <v>4396</v>
      </c>
      <c r="C671" s="207" t="s">
        <v>4426</v>
      </c>
      <c r="D671" s="207">
        <v>1</v>
      </c>
      <c r="E671" s="207" t="s">
        <v>4398</v>
      </c>
      <c r="F671" s="214" t="s">
        <v>7280</v>
      </c>
      <c r="G671" s="207" t="s">
        <v>4400</v>
      </c>
      <c r="H671" s="207" t="s">
        <v>4401</v>
      </c>
      <c r="I671" s="207" t="s">
        <v>4402</v>
      </c>
      <c r="J671" s="215" t="s">
        <v>7281</v>
      </c>
      <c r="K671" s="298" t="s">
        <v>6590</v>
      </c>
      <c r="L671" s="215" t="s">
        <v>7282</v>
      </c>
      <c r="M671" s="207" t="s">
        <v>4405</v>
      </c>
      <c r="N671" s="207" t="s">
        <v>4441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7281</v>
      </c>
      <c r="AB671" s="299" t="s">
        <v>6590</v>
      </c>
      <c r="AC671" s="200" t="s">
        <v>7282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11"/>
        <v>FINALIZADO</v>
      </c>
      <c r="AS671" s="207" t="s">
        <v>4423</v>
      </c>
      <c r="AT671" s="219"/>
      <c r="AU671" s="225" t="s">
        <v>7283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4434</v>
      </c>
      <c r="BF671" s="228" t="s">
        <v>4435</v>
      </c>
      <c r="BG671" s="229" t="s">
        <v>4425</v>
      </c>
      <c r="BH671" s="321">
        <f t="shared" si="8"/>
        <v>64</v>
      </c>
      <c r="BI671" s="98" t="str">
        <f t="shared" si="9"/>
        <v>INDENIZAÇÃO</v>
      </c>
      <c r="BJ671" s="98" t="str">
        <f t="shared" si="10"/>
        <v>NÃO</v>
      </c>
      <c r="BK671" s="230" t="s">
        <v>4436</v>
      </c>
      <c r="BL671" s="230" t="s">
        <v>4436</v>
      </c>
      <c r="BM671" s="230" t="s">
        <v>4436</v>
      </c>
      <c r="BN671" s="265" t="s">
        <v>4956</v>
      </c>
      <c r="BO671" s="265"/>
      <c r="BP671" s="265"/>
      <c r="BQ671" s="265"/>
      <c r="BR671" s="231"/>
    </row>
    <row r="672" spans="1:74" ht="27" hidden="1" customHeight="1" x14ac:dyDescent="0.25">
      <c r="A672" s="207">
        <v>668</v>
      </c>
      <c r="B672" s="197" t="s">
        <v>4396</v>
      </c>
      <c r="C672" s="207" t="s">
        <v>4426</v>
      </c>
      <c r="D672" s="207">
        <v>1</v>
      </c>
      <c r="E672" s="207" t="s">
        <v>4398</v>
      </c>
      <c r="F672" s="214" t="s">
        <v>7284</v>
      </c>
      <c r="G672" s="207" t="s">
        <v>4400</v>
      </c>
      <c r="H672" s="207" t="s">
        <v>4401</v>
      </c>
      <c r="I672" s="217" t="s">
        <v>4402</v>
      </c>
      <c r="J672" s="215" t="s">
        <v>7285</v>
      </c>
      <c r="K672" s="215" t="s">
        <v>7286</v>
      </c>
      <c r="L672" s="215" t="s">
        <v>7287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7285</v>
      </c>
      <c r="AB672" s="215" t="s">
        <v>7286</v>
      </c>
      <c r="AC672" s="215" t="s">
        <v>7287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11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8"/>
        <v/>
      </c>
      <c r="BI672" s="98" t="str">
        <f t="shared" si="9"/>
        <v>AA</v>
      </c>
      <c r="BJ672" s="98" t="str">
        <f t="shared" si="10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 x14ac:dyDescent="0.25">
      <c r="A673" s="207">
        <v>669</v>
      </c>
      <c r="B673" s="197" t="s">
        <v>4396</v>
      </c>
      <c r="C673" s="207" t="s">
        <v>4426</v>
      </c>
      <c r="D673" s="207">
        <v>1</v>
      </c>
      <c r="E673" s="207" t="s">
        <v>4398</v>
      </c>
      <c r="F673" s="214" t="s">
        <v>7288</v>
      </c>
      <c r="G673" s="207" t="s">
        <v>4400</v>
      </c>
      <c r="H673" s="207" t="s">
        <v>4401</v>
      </c>
      <c r="I673" s="217" t="s">
        <v>4402</v>
      </c>
      <c r="J673" s="215" t="s">
        <v>7289</v>
      </c>
      <c r="K673" s="215" t="s">
        <v>7290</v>
      </c>
      <c r="L673" s="215" t="s">
        <v>7291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7289</v>
      </c>
      <c r="AB673" s="215" t="s">
        <v>7290</v>
      </c>
      <c r="AC673" s="215" t="s">
        <v>7291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11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8"/>
        <v/>
      </c>
      <c r="BI673" s="98" t="str">
        <f t="shared" si="9"/>
        <v>AA</v>
      </c>
      <c r="BJ673" s="98" t="str">
        <f t="shared" si="10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 x14ac:dyDescent="0.25">
      <c r="A674" s="197">
        <v>670</v>
      </c>
      <c r="B674" s="197" t="s">
        <v>4396</v>
      </c>
      <c r="C674" s="207" t="s">
        <v>4426</v>
      </c>
      <c r="D674" s="207">
        <v>1</v>
      </c>
      <c r="E674" s="207" t="s">
        <v>4398</v>
      </c>
      <c r="F674" s="214" t="s">
        <v>7292</v>
      </c>
      <c r="G674" s="207" t="s">
        <v>4400</v>
      </c>
      <c r="H674" s="207" t="s">
        <v>4401</v>
      </c>
      <c r="I674" s="217" t="s">
        <v>4402</v>
      </c>
      <c r="J674" s="255" t="s">
        <v>7293</v>
      </c>
      <c r="K674" s="215" t="s">
        <v>7294</v>
      </c>
      <c r="L674" s="215" t="s">
        <v>7295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7293</v>
      </c>
      <c r="AB674" s="215" t="s">
        <v>7294</v>
      </c>
      <c r="AC674" s="215" t="s">
        <v>7295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11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8"/>
        <v/>
      </c>
      <c r="BI674" s="98" t="str">
        <f t="shared" si="9"/>
        <v>AA</v>
      </c>
      <c r="BJ674" s="98" t="str">
        <f t="shared" si="10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 x14ac:dyDescent="0.25">
      <c r="A675" s="197">
        <v>671</v>
      </c>
      <c r="B675" s="197" t="s">
        <v>4396</v>
      </c>
      <c r="C675" s="207" t="s">
        <v>4426</v>
      </c>
      <c r="D675" s="207">
        <v>1</v>
      </c>
      <c r="E675" s="207" t="s">
        <v>4398</v>
      </c>
      <c r="F675" s="214" t="s">
        <v>7296</v>
      </c>
      <c r="G675" s="207" t="s">
        <v>4400</v>
      </c>
      <c r="H675" s="207" t="s">
        <v>4401</v>
      </c>
      <c r="I675" s="217" t="s">
        <v>4402</v>
      </c>
      <c r="J675" s="255" t="s">
        <v>7297</v>
      </c>
      <c r="K675" s="215" t="s">
        <v>7298</v>
      </c>
      <c r="L675" s="215" t="s">
        <v>7299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7297</v>
      </c>
      <c r="AB675" s="215" t="s">
        <v>7298</v>
      </c>
      <c r="AC675" s="215" t="s">
        <v>7299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11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8"/>
        <v/>
      </c>
      <c r="BI675" s="98" t="str">
        <f t="shared" si="9"/>
        <v>AA</v>
      </c>
      <c r="BJ675" s="98" t="str">
        <f t="shared" si="10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 x14ac:dyDescent="0.25">
      <c r="A676" s="207">
        <v>672</v>
      </c>
      <c r="B676" s="197" t="s">
        <v>4396</v>
      </c>
      <c r="C676" s="207" t="s">
        <v>4426</v>
      </c>
      <c r="D676" s="207">
        <v>1</v>
      </c>
      <c r="E676" s="207" t="s">
        <v>4398</v>
      </c>
      <c r="F676" s="214" t="s">
        <v>7300</v>
      </c>
      <c r="G676" s="207" t="s">
        <v>4400</v>
      </c>
      <c r="H676" s="207" t="s">
        <v>4401</v>
      </c>
      <c r="I676" s="217" t="s">
        <v>4402</v>
      </c>
      <c r="J676" s="255" t="s">
        <v>7301</v>
      </c>
      <c r="K676" s="215" t="s">
        <v>4439</v>
      </c>
      <c r="L676" s="215" t="s">
        <v>7302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7301</v>
      </c>
      <c r="AB676" s="215" t="s">
        <v>4439</v>
      </c>
      <c r="AC676" s="215" t="s">
        <v>7302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11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8"/>
        <v/>
      </c>
      <c r="BI676" s="98" t="str">
        <f t="shared" si="9"/>
        <v>AA</v>
      </c>
      <c r="BJ676" s="98" t="str">
        <f t="shared" si="10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 x14ac:dyDescent="0.25">
      <c r="A677" s="207">
        <v>673</v>
      </c>
      <c r="B677" s="197" t="s">
        <v>4396</v>
      </c>
      <c r="C677" s="207" t="s">
        <v>4426</v>
      </c>
      <c r="D677" s="207">
        <v>1</v>
      </c>
      <c r="E677" s="207" t="s">
        <v>4398</v>
      </c>
      <c r="F677" s="214" t="s">
        <v>7303</v>
      </c>
      <c r="G677" s="207" t="s">
        <v>4400</v>
      </c>
      <c r="H677" s="207" t="s">
        <v>4401</v>
      </c>
      <c r="I677" s="217" t="s">
        <v>4402</v>
      </c>
      <c r="J677" s="255" t="s">
        <v>7304</v>
      </c>
      <c r="K677" s="215" t="s">
        <v>7305</v>
      </c>
      <c r="L677" s="215" t="s">
        <v>7306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7304</v>
      </c>
      <c r="AB677" s="215" t="s">
        <v>7305</v>
      </c>
      <c r="AC677" s="215" t="s">
        <v>7306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11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8"/>
        <v/>
      </c>
      <c r="BI677" s="98" t="str">
        <f t="shared" si="9"/>
        <v>AA</v>
      </c>
      <c r="BJ677" s="98" t="str">
        <f t="shared" si="10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 x14ac:dyDescent="0.25">
      <c r="A678" s="207">
        <v>674</v>
      </c>
      <c r="B678" s="197" t="s">
        <v>4396</v>
      </c>
      <c r="C678" s="207" t="s">
        <v>4426</v>
      </c>
      <c r="D678" s="207">
        <v>1</v>
      </c>
      <c r="E678" s="207" t="s">
        <v>4398</v>
      </c>
      <c r="F678" s="214" t="s">
        <v>7307</v>
      </c>
      <c r="G678" s="207" t="s">
        <v>4400</v>
      </c>
      <c r="H678" s="207" t="s">
        <v>4401</v>
      </c>
      <c r="I678" s="217" t="s">
        <v>4402</v>
      </c>
      <c r="J678" s="255" t="s">
        <v>7308</v>
      </c>
      <c r="K678" s="215" t="s">
        <v>7309</v>
      </c>
      <c r="L678" s="215" t="s">
        <v>7310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7308</v>
      </c>
      <c r="AB678" s="215" t="s">
        <v>7309</v>
      </c>
      <c r="AC678" s="215" t="s">
        <v>7310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11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8"/>
        <v/>
      </c>
      <c r="BI678" s="98" t="str">
        <f t="shared" si="9"/>
        <v>AA</v>
      </c>
      <c r="BJ678" s="98" t="str">
        <f t="shared" si="10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customHeight="1" x14ac:dyDescent="0.25">
      <c r="A679" s="197">
        <v>675</v>
      </c>
      <c r="B679" s="197" t="s">
        <v>4396</v>
      </c>
      <c r="C679" s="207" t="s">
        <v>4426</v>
      </c>
      <c r="D679" s="207">
        <v>1</v>
      </c>
      <c r="E679" s="207" t="s">
        <v>4398</v>
      </c>
      <c r="F679" s="214" t="s">
        <v>7311</v>
      </c>
      <c r="G679" s="207" t="s">
        <v>4400</v>
      </c>
      <c r="H679" s="207" t="s">
        <v>4582</v>
      </c>
      <c r="I679" s="217" t="s">
        <v>4402</v>
      </c>
      <c r="J679" s="215" t="s">
        <v>7312</v>
      </c>
      <c r="K679" s="215" t="s">
        <v>7313</v>
      </c>
      <c r="L679" s="215" t="s">
        <v>7314</v>
      </c>
      <c r="M679" s="207" t="s">
        <v>4405</v>
      </c>
      <c r="N679" s="207" t="s">
        <v>4441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7312</v>
      </c>
      <c r="AB679" s="215" t="s">
        <v>7313</v>
      </c>
      <c r="AC679" s="215" t="s">
        <v>7314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4432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11"/>
        <v>FINALIZADO</v>
      </c>
      <c r="AS679" s="207" t="s">
        <v>4423</v>
      </c>
      <c r="AT679" s="219"/>
      <c r="AU679" s="225" t="s">
        <v>7315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4434</v>
      </c>
      <c r="BF679" s="245" t="s">
        <v>4435</v>
      </c>
      <c r="BG679" s="229" t="s">
        <v>4425</v>
      </c>
      <c r="BH679" s="321">
        <f t="shared" si="8"/>
        <v>61</v>
      </c>
      <c r="BI679" s="98" t="str">
        <f t="shared" si="9"/>
        <v>INDENIZAÇÃO</v>
      </c>
      <c r="BJ679" s="98" t="str">
        <f t="shared" si="10"/>
        <v>NÃO</v>
      </c>
      <c r="BK679" s="230" t="s">
        <v>4436</v>
      </c>
      <c r="BL679" s="230" t="s">
        <v>4436</v>
      </c>
      <c r="BM679" s="230" t="s">
        <v>4436</v>
      </c>
      <c r="BN679" s="265" t="s">
        <v>4956</v>
      </c>
      <c r="BO679" s="265"/>
      <c r="BP679" s="265"/>
      <c r="BQ679" s="265"/>
      <c r="BR679" s="231"/>
      <c r="BS679" s="223"/>
    </row>
    <row r="680" spans="1:71" ht="27" customHeight="1" x14ac:dyDescent="0.25">
      <c r="A680" s="197">
        <v>676</v>
      </c>
      <c r="B680" s="197" t="s">
        <v>4396</v>
      </c>
      <c r="C680" s="207" t="s">
        <v>4426</v>
      </c>
      <c r="D680" s="207">
        <v>1</v>
      </c>
      <c r="E680" s="207" t="s">
        <v>4398</v>
      </c>
      <c r="F680" s="214" t="s">
        <v>7316</v>
      </c>
      <c r="G680" s="207" t="s">
        <v>4400</v>
      </c>
      <c r="H680" s="207" t="s">
        <v>4401</v>
      </c>
      <c r="I680" s="217" t="s">
        <v>4402</v>
      </c>
      <c r="J680" s="215" t="s">
        <v>7317</v>
      </c>
      <c r="K680" s="215" t="s">
        <v>7318</v>
      </c>
      <c r="L680" s="215" t="s">
        <v>7319</v>
      </c>
      <c r="M680" s="207" t="s">
        <v>4405</v>
      </c>
      <c r="N680" s="207" t="s">
        <v>4441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7320</v>
      </c>
      <c r="AB680" s="215" t="s">
        <v>7318</v>
      </c>
      <c r="AC680" s="215" t="s">
        <v>7319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4432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11"/>
        <v>FINALIZADO</v>
      </c>
      <c r="AS680" s="207" t="s">
        <v>4423</v>
      </c>
      <c r="AT680" s="219"/>
      <c r="AU680" s="225" t="s">
        <v>7321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4434</v>
      </c>
      <c r="BF680" s="228" t="s">
        <v>4435</v>
      </c>
      <c r="BG680" s="229" t="s">
        <v>4425</v>
      </c>
      <c r="BH680" s="321">
        <f t="shared" si="8"/>
        <v>37</v>
      </c>
      <c r="BI680" s="98" t="str">
        <f t="shared" si="9"/>
        <v>INDENIZAÇÃO</v>
      </c>
      <c r="BJ680" s="98" t="str">
        <f t="shared" si="10"/>
        <v>NÃO</v>
      </c>
      <c r="BK680" s="230" t="s">
        <v>4436</v>
      </c>
      <c r="BL680" s="230" t="s">
        <v>4436</v>
      </c>
      <c r="BM680" s="230" t="s">
        <v>4436</v>
      </c>
      <c r="BN680" s="265" t="s">
        <v>4956</v>
      </c>
      <c r="BO680" s="265"/>
      <c r="BP680" s="265"/>
      <c r="BQ680" s="265"/>
      <c r="BR680" s="231"/>
      <c r="BS680" s="223"/>
    </row>
    <row r="681" spans="1:71" ht="27" hidden="1" customHeight="1" x14ac:dyDescent="0.25">
      <c r="A681" s="207">
        <v>677</v>
      </c>
      <c r="B681" s="197" t="s">
        <v>4396</v>
      </c>
      <c r="C681" s="207" t="s">
        <v>4426</v>
      </c>
      <c r="D681" s="207">
        <v>1</v>
      </c>
      <c r="E681" s="207" t="s">
        <v>4398</v>
      </c>
      <c r="F681" s="214" t="s">
        <v>7322</v>
      </c>
      <c r="G681" s="207" t="s">
        <v>4400</v>
      </c>
      <c r="H681" s="207" t="s">
        <v>4401</v>
      </c>
      <c r="I681" s="217" t="s">
        <v>4402</v>
      </c>
      <c r="J681" s="215" t="s">
        <v>7323</v>
      </c>
      <c r="K681" s="215" t="s">
        <v>7324</v>
      </c>
      <c r="L681" s="215" t="s">
        <v>7325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7323</v>
      </c>
      <c r="AB681" s="215" t="s">
        <v>7324</v>
      </c>
      <c r="AC681" s="215" t="s">
        <v>7325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11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8"/>
        <v/>
      </c>
      <c r="BI681" s="98" t="str">
        <f t="shared" si="9"/>
        <v>AA</v>
      </c>
      <c r="BJ681" s="98" t="str">
        <f t="shared" si="10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hidden="1" customHeight="1" x14ac:dyDescent="0.25">
      <c r="A682" s="207">
        <v>678</v>
      </c>
      <c r="B682" s="197" t="s">
        <v>4396</v>
      </c>
      <c r="C682" s="207" t="s">
        <v>4426</v>
      </c>
      <c r="D682" s="207">
        <v>1</v>
      </c>
      <c r="E682" s="207" t="s">
        <v>4398</v>
      </c>
      <c r="F682" s="214" t="s">
        <v>7326</v>
      </c>
      <c r="G682" s="207" t="s">
        <v>4400</v>
      </c>
      <c r="H682" s="207" t="s">
        <v>4401</v>
      </c>
      <c r="I682" s="217" t="s">
        <v>4402</v>
      </c>
      <c r="J682" s="215" t="s">
        <v>7320</v>
      </c>
      <c r="K682" s="215" t="s">
        <v>7327</v>
      </c>
      <c r="L682" s="215" t="s">
        <v>7328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7320</v>
      </c>
      <c r="AB682" s="215" t="s">
        <v>7327</v>
      </c>
      <c r="AC682" s="215" t="s">
        <v>7328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11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8"/>
        <v/>
      </c>
      <c r="BI682" s="98" t="str">
        <f t="shared" si="9"/>
        <v>AA</v>
      </c>
      <c r="BJ682" s="98" t="str">
        <f t="shared" si="10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 x14ac:dyDescent="0.25">
      <c r="A683" s="207">
        <v>679</v>
      </c>
      <c r="B683" s="197" t="s">
        <v>4396</v>
      </c>
      <c r="C683" s="207" t="s">
        <v>4426</v>
      </c>
      <c r="D683" s="207">
        <v>1</v>
      </c>
      <c r="E683" s="207" t="s">
        <v>4398</v>
      </c>
      <c r="F683" s="214" t="s">
        <v>7329</v>
      </c>
      <c r="G683" s="207" t="s">
        <v>4400</v>
      </c>
      <c r="H683" s="207" t="s">
        <v>4401</v>
      </c>
      <c r="I683" s="217" t="s">
        <v>4402</v>
      </c>
      <c r="J683" s="215" t="s">
        <v>7330</v>
      </c>
      <c r="K683" s="215" t="s">
        <v>7331</v>
      </c>
      <c r="L683" s="215" t="s">
        <v>7332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7330</v>
      </c>
      <c r="AB683" s="215" t="s">
        <v>7331</v>
      </c>
      <c r="AC683" s="215" t="s">
        <v>7332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11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8"/>
        <v/>
      </c>
      <c r="BI683" s="98" t="str">
        <f t="shared" si="9"/>
        <v>AA</v>
      </c>
      <c r="BJ683" s="98" t="str">
        <f t="shared" si="10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 x14ac:dyDescent="0.25">
      <c r="A684" s="197">
        <v>680</v>
      </c>
      <c r="B684" s="197" t="s">
        <v>4396</v>
      </c>
      <c r="C684" s="207" t="s">
        <v>4426</v>
      </c>
      <c r="D684" s="207">
        <v>1</v>
      </c>
      <c r="E684" s="207" t="s">
        <v>4398</v>
      </c>
      <c r="F684" s="214" t="s">
        <v>7333</v>
      </c>
      <c r="G684" s="207" t="s">
        <v>4400</v>
      </c>
      <c r="H684" s="207" t="s">
        <v>4401</v>
      </c>
      <c r="I684" s="217" t="s">
        <v>7021</v>
      </c>
      <c r="J684" s="215" t="s">
        <v>7334</v>
      </c>
      <c r="K684" s="215" t="s">
        <v>7335</v>
      </c>
      <c r="L684" s="215" t="s">
        <v>7336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7334</v>
      </c>
      <c r="AB684" s="215" t="s">
        <v>7335</v>
      </c>
      <c r="AC684" s="215" t="s">
        <v>7336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11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8"/>
        <v/>
      </c>
      <c r="BI684" s="98" t="str">
        <f t="shared" si="9"/>
        <v>AA</v>
      </c>
      <c r="BJ684" s="98" t="str">
        <f t="shared" si="10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 x14ac:dyDescent="0.25">
      <c r="A685" s="197">
        <v>681</v>
      </c>
      <c r="B685" s="197" t="s">
        <v>4396</v>
      </c>
      <c r="C685" s="207" t="s">
        <v>4426</v>
      </c>
      <c r="D685" s="207">
        <v>1</v>
      </c>
      <c r="E685" s="207" t="s">
        <v>4398</v>
      </c>
      <c r="F685" s="214" t="s">
        <v>7337</v>
      </c>
      <c r="G685" s="207" t="s">
        <v>4400</v>
      </c>
      <c r="H685" s="207" t="s">
        <v>4401</v>
      </c>
      <c r="I685" s="217" t="s">
        <v>4402</v>
      </c>
      <c r="J685" s="215" t="s">
        <v>7338</v>
      </c>
      <c r="K685" s="215" t="s">
        <v>7339</v>
      </c>
      <c r="L685" s="215" t="s">
        <v>7340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7338</v>
      </c>
      <c r="AB685" s="215" t="s">
        <v>7339</v>
      </c>
      <c r="AC685" s="215" t="s">
        <v>7340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11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8"/>
        <v/>
      </c>
      <c r="BI685" s="98" t="str">
        <f t="shared" si="9"/>
        <v>AA</v>
      </c>
      <c r="BJ685" s="98" t="str">
        <f t="shared" si="10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 x14ac:dyDescent="0.25">
      <c r="A686" s="207">
        <v>682</v>
      </c>
      <c r="B686" s="197" t="s">
        <v>4396</v>
      </c>
      <c r="C686" s="207" t="s">
        <v>4426</v>
      </c>
      <c r="D686" s="207">
        <v>1</v>
      </c>
      <c r="E686" s="207" t="s">
        <v>4398</v>
      </c>
      <c r="F686" s="214" t="s">
        <v>7341</v>
      </c>
      <c r="G686" s="207" t="s">
        <v>4400</v>
      </c>
      <c r="H686" s="207" t="s">
        <v>4401</v>
      </c>
      <c r="I686" s="217" t="s">
        <v>4402</v>
      </c>
      <c r="J686" s="215" t="s">
        <v>7342</v>
      </c>
      <c r="K686" s="215" t="s">
        <v>7343</v>
      </c>
      <c r="L686" s="215" t="s">
        <v>7344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7342</v>
      </c>
      <c r="AB686" s="215" t="s">
        <v>7343</v>
      </c>
      <c r="AC686" s="215" t="s">
        <v>7344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11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8"/>
        <v/>
      </c>
      <c r="BI686" s="98" t="str">
        <f t="shared" si="9"/>
        <v>AA</v>
      </c>
      <c r="BJ686" s="98" t="str">
        <f t="shared" si="10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 x14ac:dyDescent="0.25">
      <c r="A687" s="207">
        <v>683</v>
      </c>
      <c r="B687" s="197" t="s">
        <v>4396</v>
      </c>
      <c r="C687" s="207" t="s">
        <v>4426</v>
      </c>
      <c r="D687" s="207">
        <v>1</v>
      </c>
      <c r="E687" s="207" t="s">
        <v>4398</v>
      </c>
      <c r="F687" s="214" t="s">
        <v>7345</v>
      </c>
      <c r="G687" s="207" t="s">
        <v>4400</v>
      </c>
      <c r="H687" s="207" t="s">
        <v>4401</v>
      </c>
      <c r="I687" s="217" t="s">
        <v>4402</v>
      </c>
      <c r="J687" s="215" t="s">
        <v>7346</v>
      </c>
      <c r="K687" s="215" t="s">
        <v>7347</v>
      </c>
      <c r="L687" s="215" t="s">
        <v>7348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7346</v>
      </c>
      <c r="AB687" s="215" t="s">
        <v>7347</v>
      </c>
      <c r="AC687" s="215" t="s">
        <v>7348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11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8"/>
        <v/>
      </c>
      <c r="BI687" s="98" t="str">
        <f t="shared" si="9"/>
        <v>AA</v>
      </c>
      <c r="BJ687" s="98" t="str">
        <f t="shared" si="10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 x14ac:dyDescent="0.25">
      <c r="A688" s="207">
        <v>684</v>
      </c>
      <c r="B688" s="197" t="s">
        <v>4396</v>
      </c>
      <c r="C688" s="207" t="s">
        <v>4426</v>
      </c>
      <c r="D688" s="207">
        <v>1</v>
      </c>
      <c r="E688" s="207" t="s">
        <v>4398</v>
      </c>
      <c r="F688" s="214" t="s">
        <v>7349</v>
      </c>
      <c r="G688" s="207" t="s">
        <v>4400</v>
      </c>
      <c r="H688" s="207" t="s">
        <v>4401</v>
      </c>
      <c r="I688" s="217" t="s">
        <v>4402</v>
      </c>
      <c r="J688" s="215" t="s">
        <v>7350</v>
      </c>
      <c r="K688" s="215" t="s">
        <v>7351</v>
      </c>
      <c r="L688" s="215" t="s">
        <v>7352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7350</v>
      </c>
      <c r="AB688" s="215" t="s">
        <v>7351</v>
      </c>
      <c r="AC688" s="215" t="s">
        <v>7352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11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8"/>
        <v/>
      </c>
      <c r="BI688" s="98" t="str">
        <f t="shared" si="9"/>
        <v>AA</v>
      </c>
      <c r="BJ688" s="98" t="str">
        <f t="shared" si="10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 x14ac:dyDescent="0.25">
      <c r="A689" s="197">
        <v>685</v>
      </c>
      <c r="B689" s="197" t="s">
        <v>4396</v>
      </c>
      <c r="C689" s="207" t="s">
        <v>4426</v>
      </c>
      <c r="D689" s="207">
        <v>1</v>
      </c>
      <c r="E689" s="207" t="s">
        <v>4398</v>
      </c>
      <c r="F689" s="214" t="s">
        <v>7353</v>
      </c>
      <c r="G689" s="207" t="s">
        <v>4400</v>
      </c>
      <c r="H689" s="207" t="s">
        <v>4401</v>
      </c>
      <c r="I689" s="217" t="s">
        <v>4402</v>
      </c>
      <c r="J689" s="242" t="s">
        <v>7354</v>
      </c>
      <c r="K689" s="215" t="s">
        <v>7355</v>
      </c>
      <c r="L689" s="215" t="s">
        <v>7356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7354</v>
      </c>
      <c r="AB689" s="215" t="s">
        <v>7355</v>
      </c>
      <c r="AC689" s="215" t="s">
        <v>7356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11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8"/>
        <v/>
      </c>
      <c r="BI689" s="98" t="str">
        <f t="shared" si="9"/>
        <v>AA</v>
      </c>
      <c r="BJ689" s="98" t="str">
        <f t="shared" si="10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 x14ac:dyDescent="0.25">
      <c r="A690" s="197">
        <v>686</v>
      </c>
      <c r="B690" s="197" t="s">
        <v>4396</v>
      </c>
      <c r="C690" s="207" t="s">
        <v>4426</v>
      </c>
      <c r="D690" s="207">
        <v>1</v>
      </c>
      <c r="E690" s="207" t="s">
        <v>4398</v>
      </c>
      <c r="F690" s="214" t="s">
        <v>7357</v>
      </c>
      <c r="G690" s="207" t="s">
        <v>4400</v>
      </c>
      <c r="H690" s="207" t="s">
        <v>4401</v>
      </c>
      <c r="I690" s="217" t="s">
        <v>4402</v>
      </c>
      <c r="J690" s="242" t="s">
        <v>7358</v>
      </c>
      <c r="K690" s="215" t="s">
        <v>7359</v>
      </c>
      <c r="L690" s="215" t="s">
        <v>7360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7358</v>
      </c>
      <c r="AB690" s="215" t="s">
        <v>7359</v>
      </c>
      <c r="AC690" s="215" t="s">
        <v>7360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11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8"/>
        <v/>
      </c>
      <c r="BI690" s="98" t="str">
        <f t="shared" si="9"/>
        <v>AA</v>
      </c>
      <c r="BJ690" s="98" t="str">
        <f t="shared" si="10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 x14ac:dyDescent="0.25">
      <c r="A691" s="207">
        <v>687</v>
      </c>
      <c r="B691" s="197" t="s">
        <v>4396</v>
      </c>
      <c r="C691" s="207" t="s">
        <v>4426</v>
      </c>
      <c r="D691" s="207">
        <v>1</v>
      </c>
      <c r="E691" s="207" t="s">
        <v>4398</v>
      </c>
      <c r="F691" s="214" t="s">
        <v>7361</v>
      </c>
      <c r="G691" s="207" t="s">
        <v>4400</v>
      </c>
      <c r="H691" s="207" t="s">
        <v>4401</v>
      </c>
      <c r="I691" s="217" t="s">
        <v>4402</v>
      </c>
      <c r="J691" s="215" t="s">
        <v>7362</v>
      </c>
      <c r="K691" s="215" t="s">
        <v>7363</v>
      </c>
      <c r="L691" s="215" t="s">
        <v>7364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7362</v>
      </c>
      <c r="AB691" s="215" t="s">
        <v>7363</v>
      </c>
      <c r="AC691" s="215" t="s">
        <v>7364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11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8"/>
        <v/>
      </c>
      <c r="BI691" s="98" t="str">
        <f t="shared" si="9"/>
        <v>AA</v>
      </c>
      <c r="BJ691" s="98" t="str">
        <f t="shared" si="10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 x14ac:dyDescent="0.25">
      <c r="A692" s="207">
        <v>688</v>
      </c>
      <c r="B692" s="197" t="s">
        <v>4396</v>
      </c>
      <c r="C692" s="207" t="s">
        <v>4426</v>
      </c>
      <c r="D692" s="207">
        <v>1</v>
      </c>
      <c r="E692" s="207" t="s">
        <v>4398</v>
      </c>
      <c r="F692" s="214" t="s">
        <v>7365</v>
      </c>
      <c r="G692" s="207" t="s">
        <v>4400</v>
      </c>
      <c r="H692" s="207" t="s">
        <v>4401</v>
      </c>
      <c r="I692" s="217" t="s">
        <v>4402</v>
      </c>
      <c r="J692" s="215" t="s">
        <v>7366</v>
      </c>
      <c r="K692" s="215" t="s">
        <v>7367</v>
      </c>
      <c r="L692" s="215" t="s">
        <v>7368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7366</v>
      </c>
      <c r="AB692" s="215" t="s">
        <v>7367</v>
      </c>
      <c r="AC692" s="215" t="s">
        <v>7368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11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8"/>
        <v/>
      </c>
      <c r="BI692" s="98" t="str">
        <f t="shared" si="9"/>
        <v>AA</v>
      </c>
      <c r="BJ692" s="98" t="str">
        <f t="shared" si="10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 x14ac:dyDescent="0.25">
      <c r="A693" s="207">
        <v>689</v>
      </c>
      <c r="B693" s="197" t="s">
        <v>4396</v>
      </c>
      <c r="C693" s="207" t="s">
        <v>4426</v>
      </c>
      <c r="D693" s="207">
        <v>1</v>
      </c>
      <c r="E693" s="207" t="s">
        <v>4398</v>
      </c>
      <c r="F693" s="214" t="s">
        <v>7369</v>
      </c>
      <c r="G693" s="207" t="s">
        <v>4400</v>
      </c>
      <c r="H693" s="207" t="s">
        <v>4401</v>
      </c>
      <c r="I693" s="217" t="s">
        <v>4402</v>
      </c>
      <c r="J693" s="215" t="s">
        <v>7370</v>
      </c>
      <c r="K693" s="215" t="s">
        <v>7371</v>
      </c>
      <c r="L693" s="215" t="s">
        <v>7372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7370</v>
      </c>
      <c r="AB693" s="215" t="s">
        <v>7371</v>
      </c>
      <c r="AC693" s="215" t="s">
        <v>7372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11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8"/>
        <v/>
      </c>
      <c r="BI693" s="98" t="str">
        <f t="shared" si="9"/>
        <v>AA</v>
      </c>
      <c r="BJ693" s="98" t="str">
        <f t="shared" si="10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 x14ac:dyDescent="0.25">
      <c r="A694" s="197">
        <v>690</v>
      </c>
      <c r="B694" s="197" t="s">
        <v>4396</v>
      </c>
      <c r="C694" s="207" t="s">
        <v>4426</v>
      </c>
      <c r="D694" s="207">
        <v>1</v>
      </c>
      <c r="E694" s="207" t="s">
        <v>4398</v>
      </c>
      <c r="F694" s="214" t="s">
        <v>7373</v>
      </c>
      <c r="G694" s="207" t="s">
        <v>4400</v>
      </c>
      <c r="H694" s="207" t="s">
        <v>4401</v>
      </c>
      <c r="I694" s="217" t="s">
        <v>4402</v>
      </c>
      <c r="J694" s="215" t="s">
        <v>7374</v>
      </c>
      <c r="K694" s="215" t="s">
        <v>7375</v>
      </c>
      <c r="L694" s="215" t="s">
        <v>7376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7374</v>
      </c>
      <c r="AB694" s="215" t="s">
        <v>7375</v>
      </c>
      <c r="AC694" s="215" t="s">
        <v>7376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11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8"/>
        <v/>
      </c>
      <c r="BI694" s="98" t="str">
        <f t="shared" si="9"/>
        <v>AA</v>
      </c>
      <c r="BJ694" s="98" t="str">
        <f t="shared" si="10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 x14ac:dyDescent="0.25">
      <c r="A695" s="197">
        <v>691</v>
      </c>
      <c r="B695" s="197" t="s">
        <v>4396</v>
      </c>
      <c r="C695" s="207" t="s">
        <v>4426</v>
      </c>
      <c r="D695" s="207">
        <v>1</v>
      </c>
      <c r="E695" s="207" t="s">
        <v>4398</v>
      </c>
      <c r="F695" s="214" t="s">
        <v>7377</v>
      </c>
      <c r="G695" s="207" t="s">
        <v>4400</v>
      </c>
      <c r="H695" s="207" t="s">
        <v>4401</v>
      </c>
      <c r="I695" s="217" t="s">
        <v>4402</v>
      </c>
      <c r="J695" s="215" t="s">
        <v>7378</v>
      </c>
      <c r="K695" s="215" t="s">
        <v>4439</v>
      </c>
      <c r="L695" s="215" t="s">
        <v>7379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7378</v>
      </c>
      <c r="AB695" s="215" t="s">
        <v>4439</v>
      </c>
      <c r="AC695" s="215" t="s">
        <v>7379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11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8"/>
        <v/>
      </c>
      <c r="BI695" s="98" t="str">
        <f t="shared" si="9"/>
        <v>AA</v>
      </c>
      <c r="BJ695" s="98" t="str">
        <f t="shared" si="10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customHeight="1" x14ac:dyDescent="0.25">
      <c r="A696" s="207">
        <v>692</v>
      </c>
      <c r="B696" s="197" t="s">
        <v>4396</v>
      </c>
      <c r="C696" s="207" t="s">
        <v>4426</v>
      </c>
      <c r="D696" s="207">
        <v>1</v>
      </c>
      <c r="E696" s="207" t="s">
        <v>4398</v>
      </c>
      <c r="F696" s="214" t="s">
        <v>7380</v>
      </c>
      <c r="G696" s="207" t="s">
        <v>4400</v>
      </c>
      <c r="H696" s="207" t="s">
        <v>4401</v>
      </c>
      <c r="I696" s="217" t="s">
        <v>4402</v>
      </c>
      <c r="J696" s="215" t="s">
        <v>7381</v>
      </c>
      <c r="K696" s="215" t="s">
        <v>7382</v>
      </c>
      <c r="L696" s="215" t="s">
        <v>7383</v>
      </c>
      <c r="M696" s="207" t="s">
        <v>4405</v>
      </c>
      <c r="N696" s="207" t="s">
        <v>4441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7384</v>
      </c>
      <c r="AB696" s="215" t="s">
        <v>7382</v>
      </c>
      <c r="AC696" s="215" t="s">
        <v>7383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4432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11"/>
        <v>FINALIZADO</v>
      </c>
      <c r="AS696" s="207" t="s">
        <v>4423</v>
      </c>
      <c r="AT696" s="219"/>
      <c r="AU696" s="225" t="s">
        <v>7385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4434</v>
      </c>
      <c r="BF696" s="245" t="s">
        <v>4435</v>
      </c>
      <c r="BG696" s="229" t="s">
        <v>4425</v>
      </c>
      <c r="BH696" s="321">
        <f t="shared" si="8"/>
        <v>62</v>
      </c>
      <c r="BI696" s="98" t="str">
        <f t="shared" si="9"/>
        <v>INDENIZAÇÃO</v>
      </c>
      <c r="BJ696" s="98" t="str">
        <f t="shared" si="10"/>
        <v>NÃO</v>
      </c>
      <c r="BK696" s="219" t="s">
        <v>4436</v>
      </c>
      <c r="BL696" s="219" t="s">
        <v>4436</v>
      </c>
      <c r="BM696" s="219" t="s">
        <v>4436</v>
      </c>
      <c r="BN696" s="257" t="s">
        <v>4956</v>
      </c>
      <c r="BO696" s="257"/>
      <c r="BP696" s="257"/>
      <c r="BQ696" s="257"/>
      <c r="BR696" s="258"/>
      <c r="BS696" s="223"/>
    </row>
    <row r="697" spans="1:71" ht="27" hidden="1" customHeight="1" x14ac:dyDescent="0.25">
      <c r="A697" s="207">
        <v>693</v>
      </c>
      <c r="B697" s="197" t="s">
        <v>4396</v>
      </c>
      <c r="C697" s="207" t="s">
        <v>4426</v>
      </c>
      <c r="D697" s="207">
        <v>1</v>
      </c>
      <c r="E697" s="207" t="s">
        <v>4398</v>
      </c>
      <c r="F697" s="214" t="s">
        <v>7386</v>
      </c>
      <c r="G697" s="207" t="s">
        <v>4400</v>
      </c>
      <c r="H697" s="207" t="s">
        <v>4401</v>
      </c>
      <c r="I697" s="217" t="s">
        <v>4402</v>
      </c>
      <c r="J697" s="215" t="s">
        <v>7387</v>
      </c>
      <c r="K697" s="215" t="s">
        <v>7388</v>
      </c>
      <c r="L697" s="215" t="s">
        <v>7389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7387</v>
      </c>
      <c r="AB697" s="215" t="s">
        <v>7388</v>
      </c>
      <c r="AC697" s="215" t="s">
        <v>7389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11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8"/>
        <v/>
      </c>
      <c r="BI697" s="98" t="str">
        <f t="shared" si="9"/>
        <v>AA</v>
      </c>
      <c r="BJ697" s="98" t="str">
        <f t="shared" si="10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 x14ac:dyDescent="0.25">
      <c r="A698" s="207">
        <v>694</v>
      </c>
      <c r="B698" s="197" t="s">
        <v>4396</v>
      </c>
      <c r="C698" s="207" t="s">
        <v>4426</v>
      </c>
      <c r="D698" s="207">
        <v>1</v>
      </c>
      <c r="E698" s="207" t="s">
        <v>4398</v>
      </c>
      <c r="F698" s="214" t="s">
        <v>7390</v>
      </c>
      <c r="G698" s="207" t="s">
        <v>4400</v>
      </c>
      <c r="H698" s="207" t="s">
        <v>4401</v>
      </c>
      <c r="I698" s="217" t="s">
        <v>4402</v>
      </c>
      <c r="J698" s="215" t="s">
        <v>7391</v>
      </c>
      <c r="K698" s="215" t="s">
        <v>4439</v>
      </c>
      <c r="L698" s="215" t="s">
        <v>7392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7391</v>
      </c>
      <c r="AB698" s="215" t="s">
        <v>4439</v>
      </c>
      <c r="AC698" s="215" t="s">
        <v>7392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11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8"/>
        <v/>
      </c>
      <c r="BI698" s="98" t="str">
        <f t="shared" si="9"/>
        <v>AA</v>
      </c>
      <c r="BJ698" s="98" t="str">
        <f t="shared" si="10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 x14ac:dyDescent="0.25">
      <c r="A699" s="197">
        <v>695</v>
      </c>
      <c r="B699" s="197" t="s">
        <v>4396</v>
      </c>
      <c r="C699" s="207" t="s">
        <v>4426</v>
      </c>
      <c r="D699" s="207">
        <v>1</v>
      </c>
      <c r="E699" s="207" t="s">
        <v>4398</v>
      </c>
      <c r="F699" s="214" t="s">
        <v>7393</v>
      </c>
      <c r="G699" s="207" t="s">
        <v>4400</v>
      </c>
      <c r="H699" s="207" t="s">
        <v>4401</v>
      </c>
      <c r="I699" s="217" t="s">
        <v>4402</v>
      </c>
      <c r="J699" s="215" t="s">
        <v>7394</v>
      </c>
      <c r="K699" s="215" t="s">
        <v>7395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7394</v>
      </c>
      <c r="AB699" s="215" t="s">
        <v>7395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11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8"/>
        <v/>
      </c>
      <c r="BI699" s="98" t="str">
        <f t="shared" si="9"/>
        <v>AA</v>
      </c>
      <c r="BJ699" s="98" t="str">
        <f t="shared" si="10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 x14ac:dyDescent="0.25">
      <c r="A700" s="197">
        <v>696</v>
      </c>
      <c r="B700" s="197" t="s">
        <v>4396</v>
      </c>
      <c r="C700" s="207" t="s">
        <v>4426</v>
      </c>
      <c r="D700" s="207">
        <v>1</v>
      </c>
      <c r="E700" s="207" t="s">
        <v>4398</v>
      </c>
      <c r="F700" s="214" t="s">
        <v>7396</v>
      </c>
      <c r="G700" s="207" t="s">
        <v>4400</v>
      </c>
      <c r="H700" s="207" t="s">
        <v>4401</v>
      </c>
      <c r="I700" s="217" t="s">
        <v>4402</v>
      </c>
      <c r="J700" s="215" t="s">
        <v>7397</v>
      </c>
      <c r="K700" s="215" t="s">
        <v>4439</v>
      </c>
      <c r="L700" s="215" t="s">
        <v>7398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7397</v>
      </c>
      <c r="AB700" s="215" t="s">
        <v>4439</v>
      </c>
      <c r="AC700" s="215" t="s">
        <v>7398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11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8"/>
        <v/>
      </c>
      <c r="BI700" s="98" t="str">
        <f t="shared" si="9"/>
        <v>AA</v>
      </c>
      <c r="BJ700" s="98" t="str">
        <f t="shared" si="10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 x14ac:dyDescent="0.25">
      <c r="A701" s="207">
        <v>697</v>
      </c>
      <c r="B701" s="197" t="s">
        <v>4396</v>
      </c>
      <c r="C701" s="207" t="s">
        <v>4426</v>
      </c>
      <c r="D701" s="207">
        <v>1</v>
      </c>
      <c r="E701" s="207" t="s">
        <v>4398</v>
      </c>
      <c r="F701" s="214" t="s">
        <v>7399</v>
      </c>
      <c r="G701" s="207" t="s">
        <v>4400</v>
      </c>
      <c r="H701" s="207" t="s">
        <v>4401</v>
      </c>
      <c r="I701" s="217" t="s">
        <v>4402</v>
      </c>
      <c r="J701" s="215" t="s">
        <v>7400</v>
      </c>
      <c r="K701" s="215" t="s">
        <v>7401</v>
      </c>
      <c r="L701" s="215" t="s">
        <v>7402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7400</v>
      </c>
      <c r="AB701" s="215" t="s">
        <v>7401</v>
      </c>
      <c r="AC701" s="215" t="s">
        <v>7402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11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8"/>
        <v/>
      </c>
      <c r="BI701" s="98" t="str">
        <f t="shared" si="9"/>
        <v>AA</v>
      </c>
      <c r="BJ701" s="98" t="str">
        <f t="shared" si="10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 x14ac:dyDescent="0.25">
      <c r="A702" s="207">
        <v>698</v>
      </c>
      <c r="B702" s="197" t="s">
        <v>4396</v>
      </c>
      <c r="C702" s="207" t="s">
        <v>4426</v>
      </c>
      <c r="D702" s="207">
        <v>1</v>
      </c>
      <c r="E702" s="207" t="s">
        <v>4398</v>
      </c>
      <c r="F702" s="214" t="s">
        <v>7403</v>
      </c>
      <c r="G702" s="207" t="s">
        <v>4400</v>
      </c>
      <c r="H702" s="207" t="s">
        <v>4401</v>
      </c>
      <c r="I702" s="217" t="s">
        <v>4402</v>
      </c>
      <c r="J702" s="215" t="s">
        <v>7404</v>
      </c>
      <c r="K702" s="215" t="s">
        <v>4439</v>
      </c>
      <c r="L702" s="215" t="s">
        <v>7405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7404</v>
      </c>
      <c r="AB702" s="215" t="s">
        <v>4439</v>
      </c>
      <c r="AC702" s="215" t="s">
        <v>7405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11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8"/>
        <v/>
      </c>
      <c r="BI702" s="98" t="str">
        <f t="shared" si="9"/>
        <v>AA</v>
      </c>
      <c r="BJ702" s="98" t="str">
        <f t="shared" si="10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 x14ac:dyDescent="0.25">
      <c r="A703" s="207">
        <v>699</v>
      </c>
      <c r="B703" s="197" t="s">
        <v>4396</v>
      </c>
      <c r="C703" s="207" t="s">
        <v>4426</v>
      </c>
      <c r="D703" s="207">
        <v>1</v>
      </c>
      <c r="E703" s="207" t="s">
        <v>4398</v>
      </c>
      <c r="F703" s="214" t="s">
        <v>7406</v>
      </c>
      <c r="G703" s="207" t="s">
        <v>4400</v>
      </c>
      <c r="H703" s="207" t="s">
        <v>4401</v>
      </c>
      <c r="I703" s="217" t="s">
        <v>4402</v>
      </c>
      <c r="J703" s="215" t="s">
        <v>7407</v>
      </c>
      <c r="K703" s="215" t="s">
        <v>7408</v>
      </c>
      <c r="L703" s="215" t="s">
        <v>7409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7407</v>
      </c>
      <c r="AB703" s="215" t="s">
        <v>7408</v>
      </c>
      <c r="AC703" s="215" t="s">
        <v>7409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11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8"/>
        <v/>
      </c>
      <c r="BI703" s="98" t="str">
        <f t="shared" si="9"/>
        <v>AA</v>
      </c>
      <c r="BJ703" s="98" t="str">
        <f t="shared" si="10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 x14ac:dyDescent="0.25">
      <c r="A704" s="197">
        <v>700</v>
      </c>
      <c r="B704" s="197" t="s">
        <v>4396</v>
      </c>
      <c r="C704" s="207" t="s">
        <v>4426</v>
      </c>
      <c r="D704" s="207">
        <v>1</v>
      </c>
      <c r="E704" s="207" t="s">
        <v>4398</v>
      </c>
      <c r="F704" s="214" t="s">
        <v>7410</v>
      </c>
      <c r="G704" s="207" t="s">
        <v>4400</v>
      </c>
      <c r="H704" s="207" t="s">
        <v>4401</v>
      </c>
      <c r="I704" s="217" t="s">
        <v>4402</v>
      </c>
      <c r="J704" s="215" t="s">
        <v>7411</v>
      </c>
      <c r="K704" s="215" t="s">
        <v>7412</v>
      </c>
      <c r="L704" s="215" t="s">
        <v>7413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7411</v>
      </c>
      <c r="AB704" s="215" t="s">
        <v>7412</v>
      </c>
      <c r="AC704" s="215" t="s">
        <v>7413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11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8"/>
        <v/>
      </c>
      <c r="BI704" s="98" t="str">
        <f t="shared" si="9"/>
        <v>AA</v>
      </c>
      <c r="BJ704" s="98" t="str">
        <f t="shared" si="10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 x14ac:dyDescent="0.25">
      <c r="A705" s="197">
        <v>701</v>
      </c>
      <c r="B705" s="197" t="s">
        <v>4396</v>
      </c>
      <c r="C705" s="207" t="s">
        <v>4426</v>
      </c>
      <c r="D705" s="207">
        <v>1</v>
      </c>
      <c r="E705" s="207" t="s">
        <v>4398</v>
      </c>
      <c r="F705" s="214" t="s">
        <v>7414</v>
      </c>
      <c r="G705" s="207" t="s">
        <v>4400</v>
      </c>
      <c r="H705" s="207" t="s">
        <v>4401</v>
      </c>
      <c r="I705" s="217" t="s">
        <v>4402</v>
      </c>
      <c r="J705" s="215" t="s">
        <v>7415</v>
      </c>
      <c r="K705" s="215" t="s">
        <v>7416</v>
      </c>
      <c r="L705" s="215" t="s">
        <v>7417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7415</v>
      </c>
      <c r="AB705" s="215" t="s">
        <v>7416</v>
      </c>
      <c r="AC705" s="215" t="s">
        <v>7417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11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8"/>
        <v/>
      </c>
      <c r="BI705" s="98" t="str">
        <f t="shared" si="9"/>
        <v>AA</v>
      </c>
      <c r="BJ705" s="98" t="str">
        <f t="shared" si="10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 x14ac:dyDescent="0.25">
      <c r="A706" s="207">
        <v>702</v>
      </c>
      <c r="B706" s="197" t="s">
        <v>4396</v>
      </c>
      <c r="C706" s="207" t="s">
        <v>4426</v>
      </c>
      <c r="D706" s="207">
        <v>1</v>
      </c>
      <c r="E706" s="207" t="s">
        <v>4398</v>
      </c>
      <c r="F706" s="214" t="s">
        <v>7418</v>
      </c>
      <c r="G706" s="207" t="s">
        <v>4400</v>
      </c>
      <c r="H706" s="207" t="s">
        <v>4401</v>
      </c>
      <c r="I706" s="217" t="s">
        <v>4402</v>
      </c>
      <c r="J706" s="215" t="s">
        <v>7419</v>
      </c>
      <c r="K706" s="215" t="s">
        <v>7420</v>
      </c>
      <c r="L706" s="215" t="s">
        <v>7421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7419</v>
      </c>
      <c r="AB706" s="215" t="s">
        <v>7420</v>
      </c>
      <c r="AC706" s="215" t="s">
        <v>7421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11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8"/>
        <v/>
      </c>
      <c r="BI706" s="98" t="str">
        <f t="shared" si="9"/>
        <v>AA</v>
      </c>
      <c r="BJ706" s="98" t="str">
        <f t="shared" si="10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 x14ac:dyDescent="0.25">
      <c r="A707" s="207">
        <v>703</v>
      </c>
      <c r="B707" s="197" t="s">
        <v>4396</v>
      </c>
      <c r="C707" s="207" t="s">
        <v>4426</v>
      </c>
      <c r="D707" s="207">
        <v>1</v>
      </c>
      <c r="E707" s="207" t="s">
        <v>4398</v>
      </c>
      <c r="F707" s="214" t="s">
        <v>7422</v>
      </c>
      <c r="G707" s="207" t="s">
        <v>4400</v>
      </c>
      <c r="H707" s="207" t="s">
        <v>4401</v>
      </c>
      <c r="I707" s="217" t="s">
        <v>4402</v>
      </c>
      <c r="J707" s="215" t="s">
        <v>7423</v>
      </c>
      <c r="K707" s="215" t="s">
        <v>7424</v>
      </c>
      <c r="L707" s="215" t="s">
        <v>7425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7423</v>
      </c>
      <c r="AB707" s="215" t="s">
        <v>7424</v>
      </c>
      <c r="AC707" s="215" t="s">
        <v>7425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11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8"/>
        <v/>
      </c>
      <c r="BI707" s="98" t="str">
        <f t="shared" si="9"/>
        <v>AA</v>
      </c>
      <c r="BJ707" s="98" t="str">
        <f t="shared" si="10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 x14ac:dyDescent="0.25">
      <c r="A708" s="207">
        <v>704</v>
      </c>
      <c r="B708" s="197" t="s">
        <v>4396</v>
      </c>
      <c r="C708" s="207" t="s">
        <v>4426</v>
      </c>
      <c r="D708" s="207">
        <v>1</v>
      </c>
      <c r="E708" s="207" t="s">
        <v>4398</v>
      </c>
      <c r="F708" s="214" t="s">
        <v>7426</v>
      </c>
      <c r="G708" s="207" t="s">
        <v>4400</v>
      </c>
      <c r="H708" s="207" t="s">
        <v>4401</v>
      </c>
      <c r="I708" s="217" t="s">
        <v>4402</v>
      </c>
      <c r="J708" s="215" t="s">
        <v>7427</v>
      </c>
      <c r="K708" s="215" t="s">
        <v>7428</v>
      </c>
      <c r="L708" s="215" t="s">
        <v>7429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7427</v>
      </c>
      <c r="AB708" s="215" t="s">
        <v>7428</v>
      </c>
      <c r="AC708" s="215" t="s">
        <v>7429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11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8"/>
        <v/>
      </c>
      <c r="BI708" s="98" t="str">
        <f t="shared" si="9"/>
        <v>AA</v>
      </c>
      <c r="BJ708" s="98" t="str">
        <f t="shared" si="10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 x14ac:dyDescent="0.25">
      <c r="A709" s="197">
        <v>705</v>
      </c>
      <c r="B709" s="197" t="s">
        <v>4396</v>
      </c>
      <c r="C709" s="207" t="s">
        <v>4426</v>
      </c>
      <c r="D709" s="207">
        <v>1</v>
      </c>
      <c r="E709" s="207" t="s">
        <v>4398</v>
      </c>
      <c r="F709" s="214" t="s">
        <v>7430</v>
      </c>
      <c r="G709" s="207" t="s">
        <v>4400</v>
      </c>
      <c r="H709" s="207" t="s">
        <v>4401</v>
      </c>
      <c r="I709" s="217" t="s">
        <v>4402</v>
      </c>
      <c r="J709" s="215" t="s">
        <v>7431</v>
      </c>
      <c r="K709" s="215" t="s">
        <v>7432</v>
      </c>
      <c r="L709" s="215" t="s">
        <v>7433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7431</v>
      </c>
      <c r="AB709" s="215" t="s">
        <v>7432</v>
      </c>
      <c r="AC709" s="215" t="s">
        <v>7433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11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12">IFERROR(IF(BD709-KI709=0,"",BD709-AK709),"")</f>
        <v/>
      </c>
      <c r="BI709" s="98" t="str">
        <f t="shared" ref="BI709:BI772" si="13">IF(AND(AH709&lt;&gt;"SIM",AH709="UH"),"AA","INDENIZAÇÃO")</f>
        <v>AA</v>
      </c>
      <c r="BJ709" s="98" t="str">
        <f t="shared" ref="BJ709:BJ772" si="14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 x14ac:dyDescent="0.25">
      <c r="A710" s="197">
        <v>706</v>
      </c>
      <c r="B710" s="197" t="s">
        <v>4396</v>
      </c>
      <c r="C710" s="207" t="s">
        <v>4426</v>
      </c>
      <c r="D710" s="207">
        <v>1</v>
      </c>
      <c r="E710" s="207" t="s">
        <v>4398</v>
      </c>
      <c r="F710" s="214" t="s">
        <v>7434</v>
      </c>
      <c r="G710" s="207" t="s">
        <v>4400</v>
      </c>
      <c r="H710" s="207" t="s">
        <v>4401</v>
      </c>
      <c r="I710" s="217" t="s">
        <v>4402</v>
      </c>
      <c r="J710" s="215" t="s">
        <v>7435</v>
      </c>
      <c r="K710" s="215" t="s">
        <v>7436</v>
      </c>
      <c r="L710" s="215" t="s">
        <v>7437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7435</v>
      </c>
      <c r="AB710" s="215" t="s">
        <v>7436</v>
      </c>
      <c r="AC710" s="215" t="s">
        <v>7437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15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12"/>
        <v/>
      </c>
      <c r="BI710" s="98" t="str">
        <f t="shared" si="13"/>
        <v>AA</v>
      </c>
      <c r="BJ710" s="98" t="str">
        <f t="shared" si="14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 x14ac:dyDescent="0.25">
      <c r="A711" s="207">
        <v>707</v>
      </c>
      <c r="B711" s="197" t="s">
        <v>4396</v>
      </c>
      <c r="C711" s="207" t="s">
        <v>4426</v>
      </c>
      <c r="D711" s="207">
        <v>1</v>
      </c>
      <c r="E711" s="207" t="s">
        <v>4398</v>
      </c>
      <c r="F711" s="214" t="s">
        <v>7438</v>
      </c>
      <c r="G711" s="207" t="s">
        <v>4400</v>
      </c>
      <c r="H711" s="207" t="s">
        <v>4401</v>
      </c>
      <c r="I711" s="217" t="s">
        <v>4402</v>
      </c>
      <c r="J711" s="215" t="s">
        <v>7439</v>
      </c>
      <c r="K711" s="215" t="s">
        <v>4439</v>
      </c>
      <c r="L711" s="215" t="s">
        <v>7440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7439</v>
      </c>
      <c r="AB711" s="215" t="s">
        <v>4439</v>
      </c>
      <c r="AC711" s="215" t="s">
        <v>7440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15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12"/>
        <v/>
      </c>
      <c r="BI711" s="98" t="str">
        <f t="shared" si="13"/>
        <v>AA</v>
      </c>
      <c r="BJ711" s="98" t="str">
        <f t="shared" si="14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 x14ac:dyDescent="0.25">
      <c r="A712" s="207">
        <v>708</v>
      </c>
      <c r="B712" s="197" t="s">
        <v>4396</v>
      </c>
      <c r="C712" s="207" t="s">
        <v>4426</v>
      </c>
      <c r="D712" s="207">
        <v>1</v>
      </c>
      <c r="E712" s="207" t="s">
        <v>4398</v>
      </c>
      <c r="F712" s="214" t="s">
        <v>7441</v>
      </c>
      <c r="G712" s="207" t="s">
        <v>4400</v>
      </c>
      <c r="H712" s="207" t="s">
        <v>4401</v>
      </c>
      <c r="I712" s="217" t="s">
        <v>4402</v>
      </c>
      <c r="J712" s="215" t="s">
        <v>7442</v>
      </c>
      <c r="K712" s="215" t="s">
        <v>7443</v>
      </c>
      <c r="L712" s="215" t="s">
        <v>7444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7442</v>
      </c>
      <c r="AB712" s="215" t="s">
        <v>7443</v>
      </c>
      <c r="AC712" s="215" t="s">
        <v>7444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15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12"/>
        <v/>
      </c>
      <c r="BI712" s="98" t="str">
        <f t="shared" si="13"/>
        <v>AA</v>
      </c>
      <c r="BJ712" s="98" t="str">
        <f t="shared" si="14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 x14ac:dyDescent="0.25">
      <c r="A713" s="207">
        <v>709</v>
      </c>
      <c r="B713" s="197" t="s">
        <v>4396</v>
      </c>
      <c r="C713" s="207" t="s">
        <v>4426</v>
      </c>
      <c r="D713" s="207">
        <v>1</v>
      </c>
      <c r="E713" s="207" t="s">
        <v>4398</v>
      </c>
      <c r="F713" s="214" t="s">
        <v>7445</v>
      </c>
      <c r="G713" s="207" t="s">
        <v>4400</v>
      </c>
      <c r="H713" s="207" t="s">
        <v>4401</v>
      </c>
      <c r="I713" s="217" t="s">
        <v>4402</v>
      </c>
      <c r="J713" s="215" t="s">
        <v>7446</v>
      </c>
      <c r="K713" s="215" t="s">
        <v>7447</v>
      </c>
      <c r="L713" s="215" t="s">
        <v>7448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7446</v>
      </c>
      <c r="AB713" s="215" t="s">
        <v>7447</v>
      </c>
      <c r="AC713" s="215" t="s">
        <v>7448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15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12"/>
        <v/>
      </c>
      <c r="BI713" s="98" t="str">
        <f t="shared" si="13"/>
        <v>AA</v>
      </c>
      <c r="BJ713" s="98" t="str">
        <f t="shared" si="14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 x14ac:dyDescent="0.25">
      <c r="A714" s="197">
        <v>710</v>
      </c>
      <c r="B714" s="197" t="s">
        <v>4396</v>
      </c>
      <c r="C714" s="207" t="s">
        <v>4426</v>
      </c>
      <c r="D714" s="207">
        <v>1</v>
      </c>
      <c r="E714" s="207" t="s">
        <v>4398</v>
      </c>
      <c r="F714" s="214" t="s">
        <v>7449</v>
      </c>
      <c r="G714" s="207" t="s">
        <v>4400</v>
      </c>
      <c r="H714" s="207" t="s">
        <v>4401</v>
      </c>
      <c r="I714" s="217" t="s">
        <v>4402</v>
      </c>
      <c r="J714" s="255" t="s">
        <v>7450</v>
      </c>
      <c r="K714" s="215" t="s">
        <v>7451</v>
      </c>
      <c r="L714" s="215" t="s">
        <v>7452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7450</v>
      </c>
      <c r="AB714" s="215" t="s">
        <v>7451</v>
      </c>
      <c r="AC714" s="215" t="s">
        <v>7452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15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12"/>
        <v/>
      </c>
      <c r="BI714" s="98" t="str">
        <f t="shared" si="13"/>
        <v>AA</v>
      </c>
      <c r="BJ714" s="98" t="str">
        <f t="shared" si="14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customHeight="1" x14ac:dyDescent="0.25">
      <c r="A715" s="197">
        <v>711</v>
      </c>
      <c r="B715" s="197" t="s">
        <v>4396</v>
      </c>
      <c r="C715" s="207" t="s">
        <v>4426</v>
      </c>
      <c r="D715" s="207">
        <v>1</v>
      </c>
      <c r="E715" s="207" t="s">
        <v>4398</v>
      </c>
      <c r="F715" s="214" t="s">
        <v>7453</v>
      </c>
      <c r="G715" s="207" t="s">
        <v>4400</v>
      </c>
      <c r="H715" s="207" t="s">
        <v>4401</v>
      </c>
      <c r="I715" s="217" t="s">
        <v>4402</v>
      </c>
      <c r="J715" s="242" t="s">
        <v>7454</v>
      </c>
      <c r="K715" s="215" t="s">
        <v>7455</v>
      </c>
      <c r="L715" s="215" t="s">
        <v>7456</v>
      </c>
      <c r="M715" s="207" t="s">
        <v>4405</v>
      </c>
      <c r="N715" s="207" t="s">
        <v>4441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7454</v>
      </c>
      <c r="AB715" s="215" t="s">
        <v>7455</v>
      </c>
      <c r="AC715" s="215" t="s">
        <v>7456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4432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15"/>
        <v>FINALIZADO</v>
      </c>
      <c r="AS715" s="207" t="s">
        <v>4423</v>
      </c>
      <c r="AT715" s="207"/>
      <c r="AU715" s="225" t="s">
        <v>7457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4434</v>
      </c>
      <c r="BF715" s="228" t="s">
        <v>4435</v>
      </c>
      <c r="BG715" s="229" t="s">
        <v>4425</v>
      </c>
      <c r="BH715" s="321">
        <f t="shared" si="12"/>
        <v>54</v>
      </c>
      <c r="BI715" s="98" t="str">
        <f t="shared" si="13"/>
        <v>INDENIZAÇÃO</v>
      </c>
      <c r="BJ715" s="98" t="str">
        <f t="shared" si="14"/>
        <v>NÃO</v>
      </c>
      <c r="BK715" s="230" t="s">
        <v>4436</v>
      </c>
      <c r="BL715" s="230" t="s">
        <v>4436</v>
      </c>
      <c r="BM715" s="230" t="s">
        <v>4436</v>
      </c>
      <c r="BN715" s="265" t="s">
        <v>4956</v>
      </c>
      <c r="BO715" s="265"/>
      <c r="BP715" s="265"/>
      <c r="BQ715" s="265"/>
      <c r="BR715" s="231"/>
      <c r="BS715" s="223"/>
    </row>
    <row r="716" spans="1:74" ht="27" customHeight="1" x14ac:dyDescent="0.25">
      <c r="A716" s="207">
        <v>712</v>
      </c>
      <c r="B716" s="197" t="s">
        <v>4396</v>
      </c>
      <c r="C716" s="207" t="s">
        <v>4426</v>
      </c>
      <c r="D716" s="207">
        <v>1</v>
      </c>
      <c r="E716" s="207" t="s">
        <v>4398</v>
      </c>
      <c r="F716" s="214" t="s">
        <v>7458</v>
      </c>
      <c r="G716" s="207" t="s">
        <v>4400</v>
      </c>
      <c r="H716" s="207" t="s">
        <v>4401</v>
      </c>
      <c r="I716" s="217" t="s">
        <v>4402</v>
      </c>
      <c r="J716" s="215" t="s">
        <v>7459</v>
      </c>
      <c r="K716" s="215" t="s">
        <v>7460</v>
      </c>
      <c r="L716" s="215" t="s">
        <v>7461</v>
      </c>
      <c r="M716" s="207" t="s">
        <v>4405</v>
      </c>
      <c r="N716" s="207" t="s">
        <v>4441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7462</v>
      </c>
      <c r="AB716" s="215" t="s">
        <v>7460</v>
      </c>
      <c r="AC716" s="215" t="s">
        <v>7461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15"/>
        <v>FINALIZADO</v>
      </c>
      <c r="AS716" s="207" t="s">
        <v>4423</v>
      </c>
      <c r="AT716" s="219"/>
      <c r="AU716" s="225" t="s">
        <v>7463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4434</v>
      </c>
      <c r="BF716" s="245" t="s">
        <v>4435</v>
      </c>
      <c r="BG716" s="229" t="s">
        <v>4425</v>
      </c>
      <c r="BH716" s="321">
        <f t="shared" si="12"/>
        <v>71</v>
      </c>
      <c r="BI716" s="98" t="str">
        <f t="shared" si="13"/>
        <v>INDENIZAÇÃO</v>
      </c>
      <c r="BJ716" s="98" t="str">
        <f t="shared" si="14"/>
        <v>NÃO</v>
      </c>
      <c r="BK716" s="230" t="s">
        <v>4436</v>
      </c>
      <c r="BL716" s="230" t="s">
        <v>4436</v>
      </c>
      <c r="BM716" s="230" t="s">
        <v>4436</v>
      </c>
      <c r="BN716" s="265" t="s">
        <v>4956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customHeight="1" x14ac:dyDescent="0.25">
      <c r="A717" s="207">
        <v>713</v>
      </c>
      <c r="B717" s="197" t="s">
        <v>4396</v>
      </c>
      <c r="C717" s="207" t="s">
        <v>4426</v>
      </c>
      <c r="D717" s="207">
        <v>1</v>
      </c>
      <c r="E717" s="207" t="s">
        <v>4398</v>
      </c>
      <c r="F717" s="214" t="s">
        <v>7464</v>
      </c>
      <c r="G717" s="207" t="s">
        <v>4400</v>
      </c>
      <c r="H717" s="207" t="s">
        <v>4401</v>
      </c>
      <c r="I717" s="217" t="s">
        <v>4402</v>
      </c>
      <c r="J717" s="242" t="s">
        <v>7465</v>
      </c>
      <c r="K717" s="215" t="s">
        <v>7466</v>
      </c>
      <c r="L717" s="215" t="s">
        <v>7467</v>
      </c>
      <c r="M717" s="207" t="s">
        <v>4405</v>
      </c>
      <c r="N717" s="207" t="s">
        <v>4441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7468</v>
      </c>
      <c r="AB717" s="215" t="s">
        <v>7466</v>
      </c>
      <c r="AC717" s="215" t="s">
        <v>7467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4432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15"/>
        <v>FINALIZADO</v>
      </c>
      <c r="AS717" s="207" t="s">
        <v>4423</v>
      </c>
      <c r="AT717" s="219"/>
      <c r="AU717" s="225" t="s">
        <v>7469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4434</v>
      </c>
      <c r="BF717" s="245" t="s">
        <v>4435</v>
      </c>
      <c r="BG717" s="229" t="s">
        <v>4425</v>
      </c>
      <c r="BH717" s="321">
        <f t="shared" si="12"/>
        <v>41</v>
      </c>
      <c r="BI717" s="98" t="str">
        <f t="shared" si="13"/>
        <v>INDENIZAÇÃO</v>
      </c>
      <c r="BJ717" s="98" t="str">
        <f t="shared" si="14"/>
        <v>NÃO</v>
      </c>
      <c r="BK717" s="230" t="s">
        <v>4436</v>
      </c>
      <c r="BL717" s="230" t="s">
        <v>4436</v>
      </c>
      <c r="BM717" s="230" t="s">
        <v>4436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4434</v>
      </c>
      <c r="BS717" s="223"/>
      <c r="BT717" s="240"/>
    </row>
    <row r="718" spans="1:74" ht="27" hidden="1" customHeight="1" x14ac:dyDescent="0.25">
      <c r="A718" s="207">
        <v>714</v>
      </c>
      <c r="B718" s="197" t="s">
        <v>4396</v>
      </c>
      <c r="C718" s="207" t="s">
        <v>4426</v>
      </c>
      <c r="D718" s="207">
        <v>1</v>
      </c>
      <c r="E718" s="207" t="s">
        <v>4398</v>
      </c>
      <c r="F718" s="214" t="s">
        <v>7470</v>
      </c>
      <c r="G718" s="207" t="s">
        <v>4400</v>
      </c>
      <c r="H718" s="207" t="s">
        <v>4401</v>
      </c>
      <c r="I718" s="217" t="s">
        <v>4402</v>
      </c>
      <c r="J718" s="215" t="s">
        <v>7471</v>
      </c>
      <c r="K718" s="215" t="s">
        <v>7472</v>
      </c>
      <c r="L718" s="215" t="s">
        <v>7473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7471</v>
      </c>
      <c r="AB718" s="215" t="s">
        <v>7472</v>
      </c>
      <c r="AC718" s="215" t="s">
        <v>7473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15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12"/>
        <v/>
      </c>
      <c r="BI718" s="98" t="str">
        <f t="shared" si="13"/>
        <v>AA</v>
      </c>
      <c r="BJ718" s="98" t="str">
        <f t="shared" si="14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hidden="1" customHeight="1" x14ac:dyDescent="0.25">
      <c r="A719" s="197">
        <v>715</v>
      </c>
      <c r="B719" s="197" t="s">
        <v>4396</v>
      </c>
      <c r="C719" s="207" t="s">
        <v>4426</v>
      </c>
      <c r="D719" s="207">
        <v>1</v>
      </c>
      <c r="E719" s="207" t="s">
        <v>4398</v>
      </c>
      <c r="F719" s="214" t="s">
        <v>7474</v>
      </c>
      <c r="G719" s="207" t="s">
        <v>4400</v>
      </c>
      <c r="H719" s="207" t="s">
        <v>4401</v>
      </c>
      <c r="I719" s="217" t="s">
        <v>4402</v>
      </c>
      <c r="J719" s="215" t="s">
        <v>7462</v>
      </c>
      <c r="K719" s="215" t="s">
        <v>7475</v>
      </c>
      <c r="L719" s="215" t="s">
        <v>7476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7462</v>
      </c>
      <c r="AB719" s="215" t="s">
        <v>7475</v>
      </c>
      <c r="AC719" s="215" t="s">
        <v>7476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15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12"/>
        <v/>
      </c>
      <c r="BI719" s="98" t="str">
        <f t="shared" si="13"/>
        <v>AA</v>
      </c>
      <c r="BJ719" s="98" t="str">
        <f t="shared" si="14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 x14ac:dyDescent="0.25">
      <c r="A720" s="197">
        <v>716</v>
      </c>
      <c r="B720" s="197" t="s">
        <v>4396</v>
      </c>
      <c r="C720" s="207" t="s">
        <v>4426</v>
      </c>
      <c r="D720" s="207">
        <v>1</v>
      </c>
      <c r="E720" s="207" t="s">
        <v>4398</v>
      </c>
      <c r="F720" s="214" t="s">
        <v>7477</v>
      </c>
      <c r="G720" s="207" t="s">
        <v>4400</v>
      </c>
      <c r="H720" s="207" t="s">
        <v>4401</v>
      </c>
      <c r="I720" s="217" t="s">
        <v>4402</v>
      </c>
      <c r="J720" s="215" t="s">
        <v>7468</v>
      </c>
      <c r="K720" s="215" t="s">
        <v>7478</v>
      </c>
      <c r="L720" s="215" t="s">
        <v>7479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7468</v>
      </c>
      <c r="AB720" s="215" t="s">
        <v>7478</v>
      </c>
      <c r="AC720" s="215" t="s">
        <v>7479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15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12"/>
        <v/>
      </c>
      <c r="BI720" s="98" t="str">
        <f t="shared" si="13"/>
        <v>AA</v>
      </c>
      <c r="BJ720" s="98" t="str">
        <f t="shared" si="14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 x14ac:dyDescent="0.25">
      <c r="A721" s="207">
        <v>717</v>
      </c>
      <c r="B721" s="197" t="s">
        <v>4396</v>
      </c>
      <c r="C721" s="207" t="s">
        <v>4426</v>
      </c>
      <c r="D721" s="207">
        <v>1</v>
      </c>
      <c r="E721" s="207" t="s">
        <v>4398</v>
      </c>
      <c r="F721" s="214" t="s">
        <v>7480</v>
      </c>
      <c r="G721" s="207" t="s">
        <v>4400</v>
      </c>
      <c r="H721" s="207" t="s">
        <v>4401</v>
      </c>
      <c r="I721" s="217" t="s">
        <v>4402</v>
      </c>
      <c r="J721" s="215" t="s">
        <v>7481</v>
      </c>
      <c r="K721" s="215" t="s">
        <v>7482</v>
      </c>
      <c r="L721" s="215" t="s">
        <v>7483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7481</v>
      </c>
      <c r="AB721" s="215" t="s">
        <v>7482</v>
      </c>
      <c r="AC721" s="215" t="s">
        <v>7483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15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12"/>
        <v/>
      </c>
      <c r="BI721" s="98" t="str">
        <f t="shared" si="13"/>
        <v>AA</v>
      </c>
      <c r="BJ721" s="98" t="str">
        <f t="shared" si="14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 x14ac:dyDescent="0.25">
      <c r="A722" s="207">
        <v>718</v>
      </c>
      <c r="B722" s="197" t="s">
        <v>4396</v>
      </c>
      <c r="C722" s="207" t="s">
        <v>4426</v>
      </c>
      <c r="D722" s="207">
        <v>1</v>
      </c>
      <c r="E722" s="207" t="s">
        <v>4398</v>
      </c>
      <c r="F722" s="214" t="s">
        <v>7484</v>
      </c>
      <c r="G722" s="207" t="s">
        <v>4400</v>
      </c>
      <c r="H722" s="207" t="s">
        <v>4401</v>
      </c>
      <c r="I722" s="217" t="s">
        <v>4402</v>
      </c>
      <c r="J722" s="242" t="s">
        <v>7485</v>
      </c>
      <c r="K722" s="215" t="s">
        <v>7486</v>
      </c>
      <c r="L722" s="215" t="s">
        <v>7487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7485</v>
      </c>
      <c r="AB722" s="215" t="s">
        <v>7486</v>
      </c>
      <c r="AC722" s="215" t="s">
        <v>7487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15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12"/>
        <v/>
      </c>
      <c r="BI722" s="98" t="str">
        <f t="shared" si="13"/>
        <v>AA</v>
      </c>
      <c r="BJ722" s="98" t="str">
        <f t="shared" si="14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customHeight="1" x14ac:dyDescent="0.25">
      <c r="A723" s="207">
        <v>719</v>
      </c>
      <c r="B723" s="197" t="s">
        <v>4396</v>
      </c>
      <c r="C723" s="207" t="s">
        <v>4426</v>
      </c>
      <c r="D723" s="207">
        <v>1</v>
      </c>
      <c r="E723" s="207" t="s">
        <v>4398</v>
      </c>
      <c r="F723" s="214" t="s">
        <v>7488</v>
      </c>
      <c r="G723" s="207" t="s">
        <v>4400</v>
      </c>
      <c r="H723" s="207" t="s">
        <v>4401</v>
      </c>
      <c r="I723" s="217" t="s">
        <v>4402</v>
      </c>
      <c r="J723" s="215" t="s">
        <v>7489</v>
      </c>
      <c r="K723" s="215" t="s">
        <v>7490</v>
      </c>
      <c r="L723" s="215" t="s">
        <v>7491</v>
      </c>
      <c r="M723" s="207" t="s">
        <v>4405</v>
      </c>
      <c r="N723" s="207" t="s">
        <v>4441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7489</v>
      </c>
      <c r="AB723" s="200" t="s">
        <v>7490</v>
      </c>
      <c r="AC723" s="200" t="s">
        <v>7491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4432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15"/>
        <v>FINALIZADO</v>
      </c>
      <c r="AS723" s="207" t="s">
        <v>4423</v>
      </c>
      <c r="AT723" s="219"/>
      <c r="AU723" s="225" t="s">
        <v>7492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4434</v>
      </c>
      <c r="BF723" s="245" t="s">
        <v>4435</v>
      </c>
      <c r="BG723" s="229" t="s">
        <v>4425</v>
      </c>
      <c r="BH723" s="321">
        <f t="shared" si="12"/>
        <v>85</v>
      </c>
      <c r="BI723" s="98" t="str">
        <f t="shared" si="13"/>
        <v>INDENIZAÇÃO</v>
      </c>
      <c r="BJ723" s="98" t="str">
        <f t="shared" si="14"/>
        <v>NÃO</v>
      </c>
      <c r="BK723" s="230" t="s">
        <v>4436</v>
      </c>
      <c r="BL723" s="230" t="s">
        <v>4436</v>
      </c>
      <c r="BM723" s="230" t="s">
        <v>4436</v>
      </c>
      <c r="BN723" s="265" t="s">
        <v>4956</v>
      </c>
      <c r="BO723" s="265"/>
      <c r="BP723" s="265"/>
      <c r="BQ723" s="265"/>
      <c r="BR723" s="231"/>
      <c r="BS723" s="223"/>
      <c r="BT723" s="240"/>
    </row>
    <row r="724" spans="1:74" ht="27" hidden="1" customHeight="1" x14ac:dyDescent="0.25">
      <c r="A724" s="197">
        <v>720</v>
      </c>
      <c r="B724" s="197" t="s">
        <v>4396</v>
      </c>
      <c r="C724" s="207" t="s">
        <v>4426</v>
      </c>
      <c r="D724" s="207">
        <v>1</v>
      </c>
      <c r="E724" s="207" t="s">
        <v>4398</v>
      </c>
      <c r="F724" s="214" t="s">
        <v>7493</v>
      </c>
      <c r="G724" s="207" t="s">
        <v>4400</v>
      </c>
      <c r="H724" s="207" t="s">
        <v>4401</v>
      </c>
      <c r="I724" s="217" t="s">
        <v>4402</v>
      </c>
      <c r="J724" s="215" t="s">
        <v>7494</v>
      </c>
      <c r="K724" s="215" t="s">
        <v>7495</v>
      </c>
      <c r="L724" s="215" t="s">
        <v>7496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7494</v>
      </c>
      <c r="AB724" s="215" t="s">
        <v>7495</v>
      </c>
      <c r="AC724" s="215" t="s">
        <v>7496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15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12"/>
        <v/>
      </c>
      <c r="BI724" s="98" t="str">
        <f t="shared" si="13"/>
        <v>AA</v>
      </c>
      <c r="BJ724" s="98" t="str">
        <f t="shared" si="14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customHeight="1" x14ac:dyDescent="0.25">
      <c r="A725" s="197">
        <v>721</v>
      </c>
      <c r="B725" s="197" t="s">
        <v>4396</v>
      </c>
      <c r="C725" s="207" t="s">
        <v>4426</v>
      </c>
      <c r="D725" s="207">
        <v>1</v>
      </c>
      <c r="E725" s="207" t="s">
        <v>4398</v>
      </c>
      <c r="F725" s="214" t="s">
        <v>7497</v>
      </c>
      <c r="G725" s="207" t="s">
        <v>4400</v>
      </c>
      <c r="H725" s="207" t="s">
        <v>4401</v>
      </c>
      <c r="I725" s="217" t="s">
        <v>4402</v>
      </c>
      <c r="J725" s="215" t="s">
        <v>7498</v>
      </c>
      <c r="K725" s="215" t="s">
        <v>7499</v>
      </c>
      <c r="L725" s="215" t="s">
        <v>7500</v>
      </c>
      <c r="M725" s="207" t="s">
        <v>4405</v>
      </c>
      <c r="N725" s="207" t="s">
        <v>4441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7498</v>
      </c>
      <c r="AB725" s="200" t="s">
        <v>7499</v>
      </c>
      <c r="AC725" s="200" t="s">
        <v>7500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4432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15"/>
        <v>FINALIZADO</v>
      </c>
      <c r="AS725" s="207" t="s">
        <v>4423</v>
      </c>
      <c r="AT725" s="219"/>
      <c r="AU725" s="225" t="s">
        <v>7501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4434</v>
      </c>
      <c r="BF725" s="228" t="s">
        <v>4435</v>
      </c>
      <c r="BG725" s="229" t="s">
        <v>4425</v>
      </c>
      <c r="BH725" s="321">
        <f t="shared" si="12"/>
        <v>61</v>
      </c>
      <c r="BI725" s="98" t="str">
        <f t="shared" si="13"/>
        <v>INDENIZAÇÃO</v>
      </c>
      <c r="BJ725" s="98" t="str">
        <f t="shared" si="14"/>
        <v>NÃO</v>
      </c>
      <c r="BK725" s="230" t="s">
        <v>4436</v>
      </c>
      <c r="BL725" s="230" t="s">
        <v>4436</v>
      </c>
      <c r="BM725" s="230" t="s">
        <v>4436</v>
      </c>
      <c r="BN725" s="265" t="s">
        <v>4956</v>
      </c>
      <c r="BO725" s="265"/>
      <c r="BP725" s="265"/>
      <c r="BQ725" s="265"/>
      <c r="BR725" s="231"/>
    </row>
    <row r="726" spans="1:74" ht="27" hidden="1" customHeight="1" x14ac:dyDescent="0.25">
      <c r="A726" s="207">
        <v>722</v>
      </c>
      <c r="B726" s="197" t="s">
        <v>4396</v>
      </c>
      <c r="C726" s="207" t="s">
        <v>4426</v>
      </c>
      <c r="D726" s="207">
        <v>1</v>
      </c>
      <c r="E726" s="207" t="s">
        <v>4398</v>
      </c>
      <c r="F726" s="214" t="s">
        <v>7502</v>
      </c>
      <c r="G726" s="207" t="s">
        <v>4400</v>
      </c>
      <c r="H726" s="207" t="s">
        <v>4401</v>
      </c>
      <c r="I726" s="217" t="s">
        <v>4402</v>
      </c>
      <c r="J726" s="215" t="s">
        <v>7503</v>
      </c>
      <c r="K726" s="215" t="s">
        <v>7504</v>
      </c>
      <c r="L726" s="215" t="s">
        <v>7505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7503</v>
      </c>
      <c r="AB726" s="215" t="s">
        <v>7504</v>
      </c>
      <c r="AC726" s="215" t="s">
        <v>7505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15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12"/>
        <v/>
      </c>
      <c r="BI726" s="98" t="str">
        <f t="shared" si="13"/>
        <v>AA</v>
      </c>
      <c r="BJ726" s="98" t="str">
        <f t="shared" si="14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hidden="1" customHeight="1" x14ac:dyDescent="0.25">
      <c r="A727" s="207">
        <v>723</v>
      </c>
      <c r="B727" s="197" t="s">
        <v>4396</v>
      </c>
      <c r="C727" s="207" t="s">
        <v>4426</v>
      </c>
      <c r="D727" s="207">
        <v>1</v>
      </c>
      <c r="E727" s="207" t="s">
        <v>4398</v>
      </c>
      <c r="F727" s="214" t="s">
        <v>7506</v>
      </c>
      <c r="G727" s="207" t="s">
        <v>4400</v>
      </c>
      <c r="H727" s="207" t="s">
        <v>4401</v>
      </c>
      <c r="I727" s="217" t="s">
        <v>4402</v>
      </c>
      <c r="J727" s="242" t="s">
        <v>7507</v>
      </c>
      <c r="K727" s="215" t="s">
        <v>7508</v>
      </c>
      <c r="L727" s="215" t="s">
        <v>7509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7507</v>
      </c>
      <c r="AB727" s="215" t="s">
        <v>7508</v>
      </c>
      <c r="AC727" s="215" t="s">
        <v>7509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15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12"/>
        <v/>
      </c>
      <c r="BI727" s="98" t="str">
        <f t="shared" si="13"/>
        <v>AA</v>
      </c>
      <c r="BJ727" s="98" t="str">
        <f t="shared" si="14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 x14ac:dyDescent="0.25">
      <c r="A728" s="207">
        <v>724</v>
      </c>
      <c r="B728" s="197" t="s">
        <v>4396</v>
      </c>
      <c r="C728" s="207" t="s">
        <v>4426</v>
      </c>
      <c r="D728" s="207">
        <v>1</v>
      </c>
      <c r="E728" s="207" t="s">
        <v>4398</v>
      </c>
      <c r="F728" s="214" t="s">
        <v>7510</v>
      </c>
      <c r="G728" s="207" t="s">
        <v>4400</v>
      </c>
      <c r="H728" s="207" t="s">
        <v>4401</v>
      </c>
      <c r="I728" s="217" t="s">
        <v>4402</v>
      </c>
      <c r="J728" s="242" t="s">
        <v>7511</v>
      </c>
      <c r="K728" s="215" t="s">
        <v>7512</v>
      </c>
      <c r="L728" s="215" t="s">
        <v>7513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7511</v>
      </c>
      <c r="AB728" s="215" t="s">
        <v>7512</v>
      </c>
      <c r="AC728" s="215" t="s">
        <v>7513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15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12"/>
        <v/>
      </c>
      <c r="BI728" s="98" t="str">
        <f t="shared" si="13"/>
        <v>AA</v>
      </c>
      <c r="BJ728" s="98" t="str">
        <f t="shared" si="14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 x14ac:dyDescent="0.25">
      <c r="A729" s="197">
        <v>725</v>
      </c>
      <c r="B729" s="197" t="s">
        <v>4396</v>
      </c>
      <c r="C729" s="207" t="s">
        <v>4426</v>
      </c>
      <c r="D729" s="207">
        <v>1</v>
      </c>
      <c r="E729" s="207" t="s">
        <v>4398</v>
      </c>
      <c r="F729" s="214" t="s">
        <v>7514</v>
      </c>
      <c r="G729" s="207" t="s">
        <v>4400</v>
      </c>
      <c r="H729" s="207" t="s">
        <v>4401</v>
      </c>
      <c r="I729" s="217" t="s">
        <v>4402</v>
      </c>
      <c r="J729" s="242" t="s">
        <v>7515</v>
      </c>
      <c r="K729" s="215" t="s">
        <v>7516</v>
      </c>
      <c r="L729" s="215" t="s">
        <v>7517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7515</v>
      </c>
      <c r="AB729" s="215" t="s">
        <v>7516</v>
      </c>
      <c r="AC729" s="215" t="s">
        <v>7517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15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12"/>
        <v/>
      </c>
      <c r="BI729" s="98" t="str">
        <f t="shared" si="13"/>
        <v>AA</v>
      </c>
      <c r="BJ729" s="98" t="str">
        <f t="shared" si="14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 x14ac:dyDescent="0.25">
      <c r="A730" s="197">
        <v>726</v>
      </c>
      <c r="B730" s="197" t="s">
        <v>4396</v>
      </c>
      <c r="C730" s="207" t="s">
        <v>4426</v>
      </c>
      <c r="D730" s="207">
        <v>1</v>
      </c>
      <c r="E730" s="207" t="s">
        <v>4398</v>
      </c>
      <c r="F730" s="214" t="s">
        <v>7518</v>
      </c>
      <c r="G730" s="207" t="s">
        <v>4400</v>
      </c>
      <c r="H730" s="207" t="s">
        <v>4401</v>
      </c>
      <c r="I730" s="217" t="s">
        <v>4402</v>
      </c>
      <c r="J730" s="242" t="s">
        <v>7519</v>
      </c>
      <c r="K730" s="215" t="s">
        <v>7520</v>
      </c>
      <c r="L730" s="215" t="s">
        <v>7521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7519</v>
      </c>
      <c r="AB730" s="215" t="s">
        <v>7520</v>
      </c>
      <c r="AC730" s="215" t="s">
        <v>7522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15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12"/>
        <v/>
      </c>
      <c r="BI730" s="98" t="str">
        <f t="shared" si="13"/>
        <v>AA</v>
      </c>
      <c r="BJ730" s="98" t="str">
        <f t="shared" si="14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 x14ac:dyDescent="0.25">
      <c r="A731" s="207">
        <v>727</v>
      </c>
      <c r="B731" s="197" t="s">
        <v>4396</v>
      </c>
      <c r="C731" s="207" t="s">
        <v>4426</v>
      </c>
      <c r="D731" s="207">
        <v>1</v>
      </c>
      <c r="E731" s="207" t="s">
        <v>4398</v>
      </c>
      <c r="F731" s="214" t="s">
        <v>7523</v>
      </c>
      <c r="G731" s="207" t="s">
        <v>4400</v>
      </c>
      <c r="H731" s="207" t="s">
        <v>4401</v>
      </c>
      <c r="I731" s="217" t="s">
        <v>4402</v>
      </c>
      <c r="J731" s="242" t="s">
        <v>7524</v>
      </c>
      <c r="K731" s="215" t="s">
        <v>7525</v>
      </c>
      <c r="L731" s="215" t="s">
        <v>7526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7524</v>
      </c>
      <c r="AB731" s="215" t="s">
        <v>7525</v>
      </c>
      <c r="AC731" s="215" t="s">
        <v>7526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15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12"/>
        <v/>
      </c>
      <c r="BI731" s="98" t="str">
        <f t="shared" si="13"/>
        <v>AA</v>
      </c>
      <c r="BJ731" s="98" t="str">
        <f t="shared" si="14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 x14ac:dyDescent="0.25">
      <c r="A732" s="207">
        <v>728</v>
      </c>
      <c r="B732" s="197" t="s">
        <v>4396</v>
      </c>
      <c r="C732" s="207" t="s">
        <v>4426</v>
      </c>
      <c r="D732" s="207">
        <v>1</v>
      </c>
      <c r="E732" s="207" t="s">
        <v>4398</v>
      </c>
      <c r="F732" s="214" t="s">
        <v>7527</v>
      </c>
      <c r="G732" s="207" t="s">
        <v>4400</v>
      </c>
      <c r="H732" s="207" t="s">
        <v>4401</v>
      </c>
      <c r="I732" s="217" t="s">
        <v>4402</v>
      </c>
      <c r="J732" s="242" t="s">
        <v>7528</v>
      </c>
      <c r="K732" s="215" t="s">
        <v>7529</v>
      </c>
      <c r="L732" s="215" t="s">
        <v>7530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7528</v>
      </c>
      <c r="AB732" s="215" t="s">
        <v>7529</v>
      </c>
      <c r="AC732" s="215" t="s">
        <v>7530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15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12"/>
        <v/>
      </c>
      <c r="BI732" s="98" t="str">
        <f t="shared" si="13"/>
        <v>AA</v>
      </c>
      <c r="BJ732" s="98" t="str">
        <f t="shared" si="14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 x14ac:dyDescent="0.25">
      <c r="A733" s="207">
        <v>729</v>
      </c>
      <c r="B733" s="197" t="s">
        <v>4396</v>
      </c>
      <c r="C733" s="207" t="s">
        <v>4426</v>
      </c>
      <c r="D733" s="207">
        <v>1</v>
      </c>
      <c r="E733" s="207" t="s">
        <v>4398</v>
      </c>
      <c r="F733" s="214" t="s">
        <v>7531</v>
      </c>
      <c r="G733" s="207" t="s">
        <v>4400</v>
      </c>
      <c r="H733" s="207" t="s">
        <v>4401</v>
      </c>
      <c r="I733" s="217" t="s">
        <v>4402</v>
      </c>
      <c r="J733" s="215" t="s">
        <v>7532</v>
      </c>
      <c r="K733" s="215" t="s">
        <v>7533</v>
      </c>
      <c r="L733" s="215" t="s">
        <v>7534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7532</v>
      </c>
      <c r="AB733" s="215" t="s">
        <v>7533</v>
      </c>
      <c r="AC733" s="215" t="s">
        <v>7534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15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12"/>
        <v/>
      </c>
      <c r="BI733" s="98" t="str">
        <f t="shared" si="13"/>
        <v>AA</v>
      </c>
      <c r="BJ733" s="98" t="str">
        <f t="shared" si="14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 x14ac:dyDescent="0.25">
      <c r="A734" s="197">
        <v>730</v>
      </c>
      <c r="B734" s="197" t="s">
        <v>4396</v>
      </c>
      <c r="C734" s="207" t="s">
        <v>4426</v>
      </c>
      <c r="D734" s="207">
        <v>1</v>
      </c>
      <c r="E734" s="207" t="s">
        <v>4398</v>
      </c>
      <c r="F734" s="214" t="s">
        <v>7535</v>
      </c>
      <c r="G734" s="207" t="s">
        <v>4400</v>
      </c>
      <c r="H734" s="207" t="s">
        <v>4401</v>
      </c>
      <c r="I734" s="217" t="s">
        <v>4402</v>
      </c>
      <c r="J734" s="242" t="s">
        <v>7536</v>
      </c>
      <c r="K734" s="215" t="s">
        <v>7537</v>
      </c>
      <c r="L734" s="215" t="s">
        <v>7538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7536</v>
      </c>
      <c r="AB734" s="215" t="s">
        <v>7537</v>
      </c>
      <c r="AC734" s="215" t="s">
        <v>7538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15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12"/>
        <v/>
      </c>
      <c r="BI734" s="98" t="str">
        <f t="shared" si="13"/>
        <v>AA</v>
      </c>
      <c r="BJ734" s="98" t="str">
        <f t="shared" si="14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 x14ac:dyDescent="0.25">
      <c r="A735" s="197">
        <v>731</v>
      </c>
      <c r="B735" s="197" t="s">
        <v>4396</v>
      </c>
      <c r="C735" s="207" t="s">
        <v>4426</v>
      </c>
      <c r="D735" s="207">
        <v>1</v>
      </c>
      <c r="E735" s="207" t="s">
        <v>4398</v>
      </c>
      <c r="F735" s="214" t="s">
        <v>7539</v>
      </c>
      <c r="G735" s="207" t="s">
        <v>4400</v>
      </c>
      <c r="H735" s="207" t="s">
        <v>4401</v>
      </c>
      <c r="I735" s="217" t="s">
        <v>4402</v>
      </c>
      <c r="J735" s="215" t="s">
        <v>7540</v>
      </c>
      <c r="K735" s="215" t="s">
        <v>4439</v>
      </c>
      <c r="L735" s="215" t="s">
        <v>7541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7540</v>
      </c>
      <c r="AB735" s="215" t="s">
        <v>4439</v>
      </c>
      <c r="AC735" s="215" t="s">
        <v>7541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15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12"/>
        <v/>
      </c>
      <c r="BI735" s="98" t="str">
        <f t="shared" si="13"/>
        <v>AA</v>
      </c>
      <c r="BJ735" s="98" t="str">
        <f t="shared" si="14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 x14ac:dyDescent="0.25">
      <c r="A736" s="207">
        <v>732</v>
      </c>
      <c r="B736" s="197" t="s">
        <v>4396</v>
      </c>
      <c r="C736" s="207" t="s">
        <v>4426</v>
      </c>
      <c r="D736" s="207">
        <v>1</v>
      </c>
      <c r="E736" s="207" t="s">
        <v>4398</v>
      </c>
      <c r="F736" s="214" t="s">
        <v>7542</v>
      </c>
      <c r="G736" s="207" t="s">
        <v>4400</v>
      </c>
      <c r="H736" s="207" t="s">
        <v>4401</v>
      </c>
      <c r="I736" s="217" t="s">
        <v>4402</v>
      </c>
      <c r="J736" s="215" t="s">
        <v>7543</v>
      </c>
      <c r="K736" s="215" t="s">
        <v>7544</v>
      </c>
      <c r="L736" s="215" t="s">
        <v>7545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7543</v>
      </c>
      <c r="AB736" s="215" t="s">
        <v>7544</v>
      </c>
      <c r="AC736" s="215" t="s">
        <v>7545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15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12"/>
        <v/>
      </c>
      <c r="BI736" s="98" t="str">
        <f t="shared" si="13"/>
        <v>AA</v>
      </c>
      <c r="BJ736" s="98" t="str">
        <f t="shared" si="14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 x14ac:dyDescent="0.25">
      <c r="A737" s="207">
        <v>733</v>
      </c>
      <c r="B737" s="197" t="s">
        <v>4396</v>
      </c>
      <c r="C737" s="207" t="s">
        <v>4426</v>
      </c>
      <c r="D737" s="207">
        <v>1</v>
      </c>
      <c r="E737" s="207" t="s">
        <v>4398</v>
      </c>
      <c r="F737" s="214" t="s">
        <v>7546</v>
      </c>
      <c r="G737" s="207" t="s">
        <v>4400</v>
      </c>
      <c r="H737" s="207" t="s">
        <v>4401</v>
      </c>
      <c r="I737" s="217" t="s">
        <v>4402</v>
      </c>
      <c r="J737" s="215" t="s">
        <v>7547</v>
      </c>
      <c r="K737" s="215" t="s">
        <v>7548</v>
      </c>
      <c r="L737" s="215" t="s">
        <v>7549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7547</v>
      </c>
      <c r="AB737" s="215" t="s">
        <v>7548</v>
      </c>
      <c r="AC737" s="215" t="s">
        <v>7549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15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12"/>
        <v/>
      </c>
      <c r="BI737" s="98" t="str">
        <f t="shared" si="13"/>
        <v>AA</v>
      </c>
      <c r="BJ737" s="98" t="str">
        <f t="shared" si="14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 x14ac:dyDescent="0.25">
      <c r="A738" s="207">
        <v>734</v>
      </c>
      <c r="B738" s="197" t="s">
        <v>4396</v>
      </c>
      <c r="C738" s="207" t="s">
        <v>4426</v>
      </c>
      <c r="D738" s="207">
        <v>1</v>
      </c>
      <c r="E738" s="207" t="s">
        <v>4398</v>
      </c>
      <c r="F738" s="214" t="s">
        <v>7550</v>
      </c>
      <c r="G738" s="207" t="s">
        <v>4400</v>
      </c>
      <c r="H738" s="207" t="s">
        <v>4401</v>
      </c>
      <c r="I738" s="217" t="s">
        <v>4402</v>
      </c>
      <c r="J738" s="242" t="s">
        <v>7551</v>
      </c>
      <c r="K738" s="215" t="s">
        <v>7552</v>
      </c>
      <c r="L738" s="215" t="s">
        <v>7553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7551</v>
      </c>
      <c r="AB738" s="215" t="s">
        <v>7552</v>
      </c>
      <c r="AC738" s="215" t="s">
        <v>7553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15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12"/>
        <v/>
      </c>
      <c r="BI738" s="98" t="str">
        <f t="shared" si="13"/>
        <v>AA</v>
      </c>
      <c r="BJ738" s="98" t="str">
        <f t="shared" si="14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 x14ac:dyDescent="0.25">
      <c r="A739" s="197">
        <v>735</v>
      </c>
      <c r="B739" s="197" t="s">
        <v>4396</v>
      </c>
      <c r="C739" s="207" t="s">
        <v>4426</v>
      </c>
      <c r="D739" s="207">
        <v>1</v>
      </c>
      <c r="E739" s="207" t="s">
        <v>4398</v>
      </c>
      <c r="F739" s="214" t="s">
        <v>7554</v>
      </c>
      <c r="G739" s="207" t="s">
        <v>4400</v>
      </c>
      <c r="H739" s="207" t="s">
        <v>4401</v>
      </c>
      <c r="I739" s="217" t="s">
        <v>4402</v>
      </c>
      <c r="J739" s="215" t="s">
        <v>7555</v>
      </c>
      <c r="K739" s="215" t="s">
        <v>7556</v>
      </c>
      <c r="L739" s="215" t="s">
        <v>7557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7555</v>
      </c>
      <c r="AB739" s="215" t="s">
        <v>7556</v>
      </c>
      <c r="AC739" s="215" t="s">
        <v>7557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15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12"/>
        <v/>
      </c>
      <c r="BI739" s="98" t="str">
        <f t="shared" si="13"/>
        <v>AA</v>
      </c>
      <c r="BJ739" s="98" t="str">
        <f t="shared" si="14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 x14ac:dyDescent="0.25">
      <c r="A740" s="197">
        <v>736</v>
      </c>
      <c r="B740" s="197" t="s">
        <v>4396</v>
      </c>
      <c r="C740" s="207" t="s">
        <v>4426</v>
      </c>
      <c r="D740" s="207">
        <v>1</v>
      </c>
      <c r="E740" s="207" t="s">
        <v>4398</v>
      </c>
      <c r="F740" s="214" t="s">
        <v>7558</v>
      </c>
      <c r="G740" s="207" t="s">
        <v>4400</v>
      </c>
      <c r="H740" s="207" t="s">
        <v>4401</v>
      </c>
      <c r="I740" s="217" t="s">
        <v>4402</v>
      </c>
      <c r="J740" s="215" t="s">
        <v>7559</v>
      </c>
      <c r="K740" s="215" t="s">
        <v>7560</v>
      </c>
      <c r="L740" s="215" t="s">
        <v>7561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7559</v>
      </c>
      <c r="AB740" s="215" t="s">
        <v>7560</v>
      </c>
      <c r="AC740" s="215" t="s">
        <v>7561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15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12"/>
        <v/>
      </c>
      <c r="BI740" s="98" t="str">
        <f t="shared" si="13"/>
        <v>AA</v>
      </c>
      <c r="BJ740" s="98" t="str">
        <f t="shared" si="14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 x14ac:dyDescent="0.25">
      <c r="A741" s="207">
        <v>737</v>
      </c>
      <c r="B741" s="197" t="s">
        <v>4396</v>
      </c>
      <c r="C741" s="207" t="s">
        <v>4426</v>
      </c>
      <c r="D741" s="207">
        <v>1</v>
      </c>
      <c r="E741" s="207" t="s">
        <v>4398</v>
      </c>
      <c r="F741" s="214" t="s">
        <v>7562</v>
      </c>
      <c r="G741" s="207" t="s">
        <v>4400</v>
      </c>
      <c r="H741" s="207" t="s">
        <v>4401</v>
      </c>
      <c r="I741" s="217" t="s">
        <v>4402</v>
      </c>
      <c r="J741" s="215" t="s">
        <v>7563</v>
      </c>
      <c r="K741" s="215" t="s">
        <v>7564</v>
      </c>
      <c r="L741" s="215" t="s">
        <v>7565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7563</v>
      </c>
      <c r="AB741" s="215" t="s">
        <v>7564</v>
      </c>
      <c r="AC741" s="215" t="s">
        <v>7565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15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12"/>
        <v/>
      </c>
      <c r="BI741" s="98" t="str">
        <f t="shared" si="13"/>
        <v>AA</v>
      </c>
      <c r="BJ741" s="98" t="str">
        <f t="shared" si="14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 x14ac:dyDescent="0.25">
      <c r="A742" s="207">
        <v>738</v>
      </c>
      <c r="B742" s="197" t="s">
        <v>4396</v>
      </c>
      <c r="C742" s="207" t="s">
        <v>4426</v>
      </c>
      <c r="D742" s="207">
        <v>1</v>
      </c>
      <c r="E742" s="207" t="s">
        <v>4398</v>
      </c>
      <c r="F742" s="214" t="s">
        <v>7566</v>
      </c>
      <c r="G742" s="207" t="s">
        <v>4400</v>
      </c>
      <c r="H742" s="207" t="s">
        <v>4401</v>
      </c>
      <c r="I742" s="217" t="s">
        <v>4402</v>
      </c>
      <c r="J742" s="215" t="s">
        <v>7567</v>
      </c>
      <c r="K742" s="215" t="s">
        <v>7568</v>
      </c>
      <c r="L742" s="215" t="s">
        <v>7569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7567</v>
      </c>
      <c r="AB742" s="215" t="s">
        <v>7568</v>
      </c>
      <c r="AC742" s="215" t="s">
        <v>7569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15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12"/>
        <v/>
      </c>
      <c r="BI742" s="98" t="str">
        <f t="shared" si="13"/>
        <v>AA</v>
      </c>
      <c r="BJ742" s="98" t="str">
        <f t="shared" si="14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 x14ac:dyDescent="0.25">
      <c r="A743" s="207">
        <v>739</v>
      </c>
      <c r="B743" s="197" t="s">
        <v>4396</v>
      </c>
      <c r="C743" s="207" t="s">
        <v>4426</v>
      </c>
      <c r="D743" s="207">
        <v>1</v>
      </c>
      <c r="E743" s="207" t="s">
        <v>4398</v>
      </c>
      <c r="F743" s="214" t="s">
        <v>7570</v>
      </c>
      <c r="G743" s="207" t="s">
        <v>4400</v>
      </c>
      <c r="H743" s="207" t="s">
        <v>4401</v>
      </c>
      <c r="I743" s="217" t="s">
        <v>4402</v>
      </c>
      <c r="J743" s="242" t="s">
        <v>7571</v>
      </c>
      <c r="K743" s="215" t="s">
        <v>7572</v>
      </c>
      <c r="L743" s="215" t="s">
        <v>7573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7571</v>
      </c>
      <c r="AB743" s="215" t="s">
        <v>7572</v>
      </c>
      <c r="AC743" s="215" t="s">
        <v>7573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15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12"/>
        <v/>
      </c>
      <c r="BI743" s="98" t="str">
        <f t="shared" si="13"/>
        <v>AA</v>
      </c>
      <c r="BJ743" s="98" t="str">
        <f t="shared" si="14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 x14ac:dyDescent="0.25">
      <c r="A744" s="197">
        <v>740</v>
      </c>
      <c r="B744" s="197" t="s">
        <v>4396</v>
      </c>
      <c r="C744" s="207" t="s">
        <v>4426</v>
      </c>
      <c r="D744" s="207">
        <v>1</v>
      </c>
      <c r="E744" s="207" t="s">
        <v>4398</v>
      </c>
      <c r="F744" s="214" t="s">
        <v>7574</v>
      </c>
      <c r="G744" s="207" t="s">
        <v>4400</v>
      </c>
      <c r="H744" s="207" t="s">
        <v>4401</v>
      </c>
      <c r="I744" s="217" t="s">
        <v>4402</v>
      </c>
      <c r="J744" s="215" t="s">
        <v>7575</v>
      </c>
      <c r="K744" s="215" t="s">
        <v>7576</v>
      </c>
      <c r="L744" s="215" t="s">
        <v>7577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7575</v>
      </c>
      <c r="AB744" s="215" t="s">
        <v>7576</v>
      </c>
      <c r="AC744" s="215" t="s">
        <v>7577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15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12"/>
        <v/>
      </c>
      <c r="BI744" s="98" t="str">
        <f t="shared" si="13"/>
        <v>AA</v>
      </c>
      <c r="BJ744" s="98" t="str">
        <f t="shared" si="14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 x14ac:dyDescent="0.25">
      <c r="A745" s="197">
        <v>741</v>
      </c>
      <c r="B745" s="197" t="s">
        <v>4396</v>
      </c>
      <c r="C745" s="207" t="s">
        <v>4426</v>
      </c>
      <c r="D745" s="207">
        <v>1</v>
      </c>
      <c r="E745" s="207" t="s">
        <v>4398</v>
      </c>
      <c r="F745" s="214" t="s">
        <v>7578</v>
      </c>
      <c r="G745" s="207" t="s">
        <v>4400</v>
      </c>
      <c r="H745" s="207" t="s">
        <v>4401</v>
      </c>
      <c r="I745" s="217" t="s">
        <v>4402</v>
      </c>
      <c r="J745" s="215" t="s">
        <v>7579</v>
      </c>
      <c r="K745" s="215" t="s">
        <v>7580</v>
      </c>
      <c r="L745" s="215" t="s">
        <v>7581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7579</v>
      </c>
      <c r="AB745" s="215" t="s">
        <v>7580</v>
      </c>
      <c r="AC745" s="215" t="s">
        <v>7581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15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12"/>
        <v/>
      </c>
      <c r="BI745" s="98" t="str">
        <f t="shared" si="13"/>
        <v>AA</v>
      </c>
      <c r="BJ745" s="98" t="str">
        <f t="shared" si="14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 x14ac:dyDescent="0.25">
      <c r="A746" s="207">
        <v>742</v>
      </c>
      <c r="B746" s="197" t="s">
        <v>4396</v>
      </c>
      <c r="C746" s="207" t="s">
        <v>4426</v>
      </c>
      <c r="D746" s="207">
        <v>1</v>
      </c>
      <c r="E746" s="207" t="s">
        <v>4398</v>
      </c>
      <c r="F746" s="214" t="s">
        <v>7582</v>
      </c>
      <c r="G746" s="207" t="s">
        <v>4400</v>
      </c>
      <c r="H746" s="207" t="s">
        <v>4401</v>
      </c>
      <c r="I746" s="217" t="s">
        <v>4402</v>
      </c>
      <c r="J746" s="215" t="s">
        <v>7583</v>
      </c>
      <c r="K746" s="215" t="s">
        <v>7584</v>
      </c>
      <c r="L746" s="215" t="s">
        <v>7585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4439</v>
      </c>
      <c r="Y746" s="202"/>
      <c r="Z746" s="217" t="s">
        <v>7586</v>
      </c>
      <c r="AA746" s="215" t="s">
        <v>7583</v>
      </c>
      <c r="AB746" s="215" t="s">
        <v>7584</v>
      </c>
      <c r="AC746" s="215" t="s">
        <v>7585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15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12"/>
        <v/>
      </c>
      <c r="BI746" s="98" t="str">
        <f t="shared" si="13"/>
        <v>AA</v>
      </c>
      <c r="BJ746" s="98" t="str">
        <f t="shared" si="14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 x14ac:dyDescent="0.25">
      <c r="A747" s="207">
        <v>743</v>
      </c>
      <c r="B747" s="197" t="s">
        <v>4396</v>
      </c>
      <c r="C747" s="207" t="s">
        <v>4426</v>
      </c>
      <c r="D747" s="207">
        <v>1</v>
      </c>
      <c r="E747" s="207" t="s">
        <v>4398</v>
      </c>
      <c r="F747" s="214" t="s">
        <v>7587</v>
      </c>
      <c r="G747" s="207" t="s">
        <v>4400</v>
      </c>
      <c r="H747" s="207" t="s">
        <v>4401</v>
      </c>
      <c r="I747" s="217" t="s">
        <v>4402</v>
      </c>
      <c r="J747" s="215" t="s">
        <v>7588</v>
      </c>
      <c r="K747" s="215" t="s">
        <v>7589</v>
      </c>
      <c r="L747" s="215" t="s">
        <v>7590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7588</v>
      </c>
      <c r="AB747" s="215" t="s">
        <v>7589</v>
      </c>
      <c r="AC747" s="215" t="s">
        <v>7590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15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12"/>
        <v/>
      </c>
      <c r="BI747" s="98" t="str">
        <f t="shared" si="13"/>
        <v>AA</v>
      </c>
      <c r="BJ747" s="98" t="str">
        <f t="shared" si="14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 x14ac:dyDescent="0.25">
      <c r="A748" s="207">
        <v>744</v>
      </c>
      <c r="B748" s="197" t="s">
        <v>4396</v>
      </c>
      <c r="C748" s="207" t="s">
        <v>4426</v>
      </c>
      <c r="D748" s="207">
        <v>1</v>
      </c>
      <c r="E748" s="207" t="s">
        <v>4398</v>
      </c>
      <c r="F748" s="214" t="s">
        <v>7591</v>
      </c>
      <c r="G748" s="207" t="s">
        <v>4400</v>
      </c>
      <c r="H748" s="207" t="s">
        <v>4401</v>
      </c>
      <c r="I748" s="217" t="s">
        <v>4402</v>
      </c>
      <c r="J748" s="215" t="s">
        <v>7592</v>
      </c>
      <c r="K748" s="215" t="s">
        <v>7593</v>
      </c>
      <c r="L748" s="215" t="s">
        <v>7594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7592</v>
      </c>
      <c r="AB748" s="215" t="s">
        <v>7593</v>
      </c>
      <c r="AC748" s="215" t="s">
        <v>7594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15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12"/>
        <v/>
      </c>
      <c r="BI748" s="98" t="str">
        <f t="shared" si="13"/>
        <v>AA</v>
      </c>
      <c r="BJ748" s="98" t="str">
        <f t="shared" si="14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 x14ac:dyDescent="0.25">
      <c r="A749" s="197">
        <v>745</v>
      </c>
      <c r="B749" s="197" t="s">
        <v>4396</v>
      </c>
      <c r="C749" s="207" t="s">
        <v>4426</v>
      </c>
      <c r="D749" s="207">
        <v>1</v>
      </c>
      <c r="E749" s="207" t="s">
        <v>4398</v>
      </c>
      <c r="F749" s="214" t="s">
        <v>7595</v>
      </c>
      <c r="G749" s="207" t="s">
        <v>4400</v>
      </c>
      <c r="H749" s="207" t="s">
        <v>4401</v>
      </c>
      <c r="I749" s="217" t="s">
        <v>4402</v>
      </c>
      <c r="J749" s="242" t="s">
        <v>7596</v>
      </c>
      <c r="K749" s="215" t="s">
        <v>7597</v>
      </c>
      <c r="L749" s="215" t="s">
        <v>7598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7596</v>
      </c>
      <c r="AB749" s="215" t="s">
        <v>7597</v>
      </c>
      <c r="AC749" s="215" t="s">
        <v>7598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15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12"/>
        <v/>
      </c>
      <c r="BI749" s="98" t="str">
        <f t="shared" si="13"/>
        <v>AA</v>
      </c>
      <c r="BJ749" s="98" t="str">
        <f t="shared" si="14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 x14ac:dyDescent="0.25">
      <c r="A750" s="197">
        <v>746</v>
      </c>
      <c r="B750" s="197" t="s">
        <v>4396</v>
      </c>
      <c r="C750" s="207" t="s">
        <v>4426</v>
      </c>
      <c r="D750" s="207">
        <v>1</v>
      </c>
      <c r="E750" s="207" t="s">
        <v>4398</v>
      </c>
      <c r="F750" s="214" t="s">
        <v>7599</v>
      </c>
      <c r="G750" s="207" t="s">
        <v>4400</v>
      </c>
      <c r="H750" s="207" t="s">
        <v>4401</v>
      </c>
      <c r="I750" s="217" t="s">
        <v>4402</v>
      </c>
      <c r="J750" s="242" t="s">
        <v>7600</v>
      </c>
      <c r="K750" s="215" t="s">
        <v>7601</v>
      </c>
      <c r="L750" s="215" t="s">
        <v>7602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7600</v>
      </c>
      <c r="AB750" s="215" t="s">
        <v>7601</v>
      </c>
      <c r="AC750" s="215" t="s">
        <v>7602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15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12"/>
        <v/>
      </c>
      <c r="BI750" s="98" t="str">
        <f t="shared" si="13"/>
        <v>AA</v>
      </c>
      <c r="BJ750" s="98" t="str">
        <f t="shared" si="14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 x14ac:dyDescent="0.25">
      <c r="A751" s="207">
        <v>747</v>
      </c>
      <c r="B751" s="197" t="s">
        <v>4396</v>
      </c>
      <c r="C751" s="207" t="s">
        <v>4426</v>
      </c>
      <c r="D751" s="207">
        <v>1</v>
      </c>
      <c r="E751" s="207" t="s">
        <v>4398</v>
      </c>
      <c r="F751" s="214" t="s">
        <v>7603</v>
      </c>
      <c r="G751" s="207" t="s">
        <v>4400</v>
      </c>
      <c r="H751" s="207" t="s">
        <v>4401</v>
      </c>
      <c r="I751" s="217" t="s">
        <v>7021</v>
      </c>
      <c r="J751" s="215" t="s">
        <v>7604</v>
      </c>
      <c r="K751" s="215" t="s">
        <v>4439</v>
      </c>
      <c r="L751" s="215" t="s">
        <v>7605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7604</v>
      </c>
      <c r="AB751" s="215" t="s">
        <v>4439</v>
      </c>
      <c r="AC751" s="215" t="s">
        <v>7605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15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12"/>
        <v/>
      </c>
      <c r="BI751" s="98" t="str">
        <f t="shared" si="13"/>
        <v>AA</v>
      </c>
      <c r="BJ751" s="98" t="str">
        <f t="shared" si="14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 x14ac:dyDescent="0.25">
      <c r="A752" s="207">
        <v>748</v>
      </c>
      <c r="B752" s="197" t="s">
        <v>4396</v>
      </c>
      <c r="C752" s="207" t="s">
        <v>4426</v>
      </c>
      <c r="D752" s="207">
        <v>1</v>
      </c>
      <c r="E752" s="207" t="s">
        <v>4398</v>
      </c>
      <c r="F752" s="214" t="s">
        <v>7606</v>
      </c>
      <c r="G752" s="207" t="s">
        <v>4400</v>
      </c>
      <c r="H752" s="207" t="s">
        <v>4401</v>
      </c>
      <c r="I752" s="217" t="s">
        <v>4402</v>
      </c>
      <c r="J752" s="215" t="s">
        <v>7607</v>
      </c>
      <c r="K752" s="215" t="s">
        <v>7608</v>
      </c>
      <c r="L752" s="215" t="s">
        <v>7609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7607</v>
      </c>
      <c r="AB752" s="215" t="s">
        <v>7608</v>
      </c>
      <c r="AC752" s="215" t="s">
        <v>7609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15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12"/>
        <v/>
      </c>
      <c r="BI752" s="98" t="str">
        <f t="shared" si="13"/>
        <v>AA</v>
      </c>
      <c r="BJ752" s="98" t="str">
        <f t="shared" si="14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 x14ac:dyDescent="0.25">
      <c r="A753" s="207">
        <v>749</v>
      </c>
      <c r="B753" s="197" t="s">
        <v>4396</v>
      </c>
      <c r="C753" s="207" t="s">
        <v>4426</v>
      </c>
      <c r="D753" s="207">
        <v>1</v>
      </c>
      <c r="E753" s="207" t="s">
        <v>4398</v>
      </c>
      <c r="F753" s="214" t="s">
        <v>7610</v>
      </c>
      <c r="G753" s="207" t="s">
        <v>4400</v>
      </c>
      <c r="H753" s="207" t="s">
        <v>4401</v>
      </c>
      <c r="I753" s="217" t="s">
        <v>4402</v>
      </c>
      <c r="J753" s="215" t="s">
        <v>7611</v>
      </c>
      <c r="K753" s="215" t="s">
        <v>7612</v>
      </c>
      <c r="L753" s="215" t="s">
        <v>7613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7611</v>
      </c>
      <c r="AB753" s="215" t="s">
        <v>7612</v>
      </c>
      <c r="AC753" s="215" t="s">
        <v>7613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15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12"/>
        <v/>
      </c>
      <c r="BI753" s="98" t="str">
        <f t="shared" si="13"/>
        <v>AA</v>
      </c>
      <c r="BJ753" s="98" t="str">
        <f t="shared" si="14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 x14ac:dyDescent="0.25">
      <c r="A754" s="197">
        <v>750</v>
      </c>
      <c r="B754" s="197" t="s">
        <v>4396</v>
      </c>
      <c r="C754" s="207" t="s">
        <v>4426</v>
      </c>
      <c r="D754" s="207">
        <v>1</v>
      </c>
      <c r="E754" s="207" t="s">
        <v>4398</v>
      </c>
      <c r="F754" s="214" t="s">
        <v>7614</v>
      </c>
      <c r="G754" s="207" t="s">
        <v>4400</v>
      </c>
      <c r="H754" s="207" t="s">
        <v>4401</v>
      </c>
      <c r="I754" s="217" t="s">
        <v>4402</v>
      </c>
      <c r="J754" s="215" t="s">
        <v>7615</v>
      </c>
      <c r="K754" s="215" t="s">
        <v>7616</v>
      </c>
      <c r="L754" s="215" t="s">
        <v>7617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7615</v>
      </c>
      <c r="AB754" s="215" t="s">
        <v>7616</v>
      </c>
      <c r="AC754" s="215" t="s">
        <v>7617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15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12"/>
        <v/>
      </c>
      <c r="BI754" s="98" t="str">
        <f t="shared" si="13"/>
        <v>AA</v>
      </c>
      <c r="BJ754" s="98" t="str">
        <f t="shared" si="14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 x14ac:dyDescent="0.25">
      <c r="A755" s="197">
        <v>751</v>
      </c>
      <c r="B755" s="197" t="s">
        <v>4396</v>
      </c>
      <c r="C755" s="207" t="s">
        <v>4426</v>
      </c>
      <c r="D755" s="207">
        <v>1</v>
      </c>
      <c r="E755" s="207" t="s">
        <v>4398</v>
      </c>
      <c r="F755" s="214" t="s">
        <v>7618</v>
      </c>
      <c r="G755" s="207" t="s">
        <v>4400</v>
      </c>
      <c r="H755" s="207" t="s">
        <v>4401</v>
      </c>
      <c r="I755" s="217" t="s">
        <v>4402</v>
      </c>
      <c r="J755" s="215" t="s">
        <v>7619</v>
      </c>
      <c r="K755" s="215" t="s">
        <v>7620</v>
      </c>
      <c r="L755" s="215" t="s">
        <v>7621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7619</v>
      </c>
      <c r="AB755" s="215" t="s">
        <v>7620</v>
      </c>
      <c r="AC755" s="215" t="s">
        <v>7621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15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12"/>
        <v/>
      </c>
      <c r="BI755" s="98" t="str">
        <f t="shared" si="13"/>
        <v>AA</v>
      </c>
      <c r="BJ755" s="98" t="str">
        <f t="shared" si="14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 x14ac:dyDescent="0.25">
      <c r="A756" s="207">
        <v>752</v>
      </c>
      <c r="B756" s="197" t="s">
        <v>4396</v>
      </c>
      <c r="C756" s="207" t="s">
        <v>4426</v>
      </c>
      <c r="D756" s="207">
        <v>1</v>
      </c>
      <c r="E756" s="207" t="s">
        <v>4398</v>
      </c>
      <c r="F756" s="214" t="s">
        <v>7622</v>
      </c>
      <c r="G756" s="207" t="s">
        <v>4400</v>
      </c>
      <c r="H756" s="207" t="s">
        <v>4401</v>
      </c>
      <c r="I756" s="217" t="s">
        <v>4402</v>
      </c>
      <c r="J756" s="215" t="s">
        <v>7623</v>
      </c>
      <c r="K756" s="215" t="s">
        <v>7624</v>
      </c>
      <c r="L756" s="215" t="s">
        <v>7625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7623</v>
      </c>
      <c r="AB756" s="215" t="s">
        <v>7624</v>
      </c>
      <c r="AC756" s="215" t="s">
        <v>7625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15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12"/>
        <v/>
      </c>
      <c r="BI756" s="98" t="str">
        <f t="shared" si="13"/>
        <v>AA</v>
      </c>
      <c r="BJ756" s="98" t="str">
        <f t="shared" si="14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 x14ac:dyDescent="0.25">
      <c r="A757" s="207">
        <v>753</v>
      </c>
      <c r="B757" s="197" t="s">
        <v>4396</v>
      </c>
      <c r="C757" s="207" t="s">
        <v>4426</v>
      </c>
      <c r="D757" s="207">
        <v>1</v>
      </c>
      <c r="E757" s="207" t="s">
        <v>4398</v>
      </c>
      <c r="F757" s="214" t="s">
        <v>7626</v>
      </c>
      <c r="G757" s="207" t="s">
        <v>4400</v>
      </c>
      <c r="H757" s="207" t="s">
        <v>4401</v>
      </c>
      <c r="I757" s="217" t="s">
        <v>4402</v>
      </c>
      <c r="J757" s="215" t="s">
        <v>7627</v>
      </c>
      <c r="K757" s="215" t="s">
        <v>7628</v>
      </c>
      <c r="L757" s="215" t="s">
        <v>7629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7627</v>
      </c>
      <c r="AB757" s="215" t="s">
        <v>7628</v>
      </c>
      <c r="AC757" s="215" t="s">
        <v>7629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15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12"/>
        <v/>
      </c>
      <c r="BI757" s="98" t="str">
        <f t="shared" si="13"/>
        <v>AA</v>
      </c>
      <c r="BJ757" s="98" t="str">
        <f t="shared" si="14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 x14ac:dyDescent="0.25">
      <c r="A758" s="207">
        <v>754</v>
      </c>
      <c r="B758" s="197" t="s">
        <v>4396</v>
      </c>
      <c r="C758" s="207" t="s">
        <v>4426</v>
      </c>
      <c r="D758" s="207">
        <v>1</v>
      </c>
      <c r="E758" s="207" t="s">
        <v>4398</v>
      </c>
      <c r="F758" s="214" t="s">
        <v>7630</v>
      </c>
      <c r="G758" s="207" t="s">
        <v>4400</v>
      </c>
      <c r="H758" s="207" t="s">
        <v>4401</v>
      </c>
      <c r="I758" s="217" t="s">
        <v>4402</v>
      </c>
      <c r="J758" s="215" t="s">
        <v>7631</v>
      </c>
      <c r="K758" s="215" t="s">
        <v>7632</v>
      </c>
      <c r="L758" s="215" t="s">
        <v>7633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7631</v>
      </c>
      <c r="AB758" s="215" t="s">
        <v>7632</v>
      </c>
      <c r="AC758" s="215" t="s">
        <v>7633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15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12"/>
        <v/>
      </c>
      <c r="BI758" s="98" t="str">
        <f t="shared" si="13"/>
        <v>AA</v>
      </c>
      <c r="BJ758" s="98" t="str">
        <f t="shared" si="14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 x14ac:dyDescent="0.25">
      <c r="A759" s="197">
        <v>755</v>
      </c>
      <c r="B759" s="197" t="s">
        <v>4396</v>
      </c>
      <c r="C759" s="207" t="s">
        <v>4426</v>
      </c>
      <c r="D759" s="207">
        <v>1</v>
      </c>
      <c r="E759" s="207" t="s">
        <v>4398</v>
      </c>
      <c r="F759" s="214" t="s">
        <v>7634</v>
      </c>
      <c r="G759" s="207" t="s">
        <v>4400</v>
      </c>
      <c r="H759" s="207" t="s">
        <v>4401</v>
      </c>
      <c r="I759" s="217" t="s">
        <v>4402</v>
      </c>
      <c r="J759" s="215" t="s">
        <v>7635</v>
      </c>
      <c r="K759" s="215" t="s">
        <v>7636</v>
      </c>
      <c r="L759" s="215" t="s">
        <v>7637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7635</v>
      </c>
      <c r="AB759" s="215" t="s">
        <v>7636</v>
      </c>
      <c r="AC759" s="215" t="s">
        <v>7637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15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12"/>
        <v/>
      </c>
      <c r="BI759" s="98" t="str">
        <f t="shared" si="13"/>
        <v>AA</v>
      </c>
      <c r="BJ759" s="98" t="str">
        <f t="shared" si="14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 x14ac:dyDescent="0.25">
      <c r="A760" s="197">
        <v>756</v>
      </c>
      <c r="B760" s="197" t="s">
        <v>4396</v>
      </c>
      <c r="C760" s="207" t="s">
        <v>4426</v>
      </c>
      <c r="D760" s="207">
        <v>1</v>
      </c>
      <c r="E760" s="207" t="s">
        <v>4398</v>
      </c>
      <c r="F760" s="214" t="s">
        <v>7638</v>
      </c>
      <c r="G760" s="207" t="s">
        <v>4400</v>
      </c>
      <c r="H760" s="207" t="s">
        <v>4401</v>
      </c>
      <c r="I760" s="217" t="s">
        <v>4402</v>
      </c>
      <c r="J760" s="215" t="s">
        <v>7639</v>
      </c>
      <c r="K760" s="215" t="s">
        <v>7640</v>
      </c>
      <c r="L760" s="215" t="s">
        <v>7641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7639</v>
      </c>
      <c r="AB760" s="215" t="s">
        <v>7640</v>
      </c>
      <c r="AC760" s="215" t="s">
        <v>7641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15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12"/>
        <v/>
      </c>
      <c r="BI760" s="98" t="str">
        <f t="shared" si="13"/>
        <v>AA</v>
      </c>
      <c r="BJ760" s="98" t="str">
        <f t="shared" si="14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 x14ac:dyDescent="0.25">
      <c r="A761" s="207">
        <v>757</v>
      </c>
      <c r="B761" s="197" t="s">
        <v>4396</v>
      </c>
      <c r="C761" s="207" t="s">
        <v>4426</v>
      </c>
      <c r="D761" s="207">
        <v>1</v>
      </c>
      <c r="E761" s="207" t="s">
        <v>4398</v>
      </c>
      <c r="F761" s="214" t="s">
        <v>7642</v>
      </c>
      <c r="G761" s="207" t="s">
        <v>4400</v>
      </c>
      <c r="H761" s="207" t="s">
        <v>4401</v>
      </c>
      <c r="I761" s="217" t="s">
        <v>4402</v>
      </c>
      <c r="J761" s="215" t="s">
        <v>7643</v>
      </c>
      <c r="K761" s="215" t="s">
        <v>7644</v>
      </c>
      <c r="L761" s="215" t="s">
        <v>7645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7643</v>
      </c>
      <c r="AB761" s="215" t="s">
        <v>7644</v>
      </c>
      <c r="AC761" s="215" t="s">
        <v>7645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15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12"/>
        <v/>
      </c>
      <c r="BI761" s="98" t="str">
        <f t="shared" si="13"/>
        <v>AA</v>
      </c>
      <c r="BJ761" s="98" t="str">
        <f t="shared" si="14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 x14ac:dyDescent="0.25">
      <c r="A762" s="207">
        <v>758</v>
      </c>
      <c r="B762" s="197" t="s">
        <v>4396</v>
      </c>
      <c r="C762" s="207" t="s">
        <v>4426</v>
      </c>
      <c r="D762" s="207">
        <v>1</v>
      </c>
      <c r="E762" s="207" t="s">
        <v>4398</v>
      </c>
      <c r="F762" s="214" t="s">
        <v>7646</v>
      </c>
      <c r="G762" s="207" t="s">
        <v>4400</v>
      </c>
      <c r="H762" s="207" t="s">
        <v>4401</v>
      </c>
      <c r="I762" s="217" t="s">
        <v>4402</v>
      </c>
      <c r="J762" s="242" t="s">
        <v>7647</v>
      </c>
      <c r="K762" s="215" t="s">
        <v>7648</v>
      </c>
      <c r="L762" s="215" t="s">
        <v>7649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7647</v>
      </c>
      <c r="AB762" s="215" t="s">
        <v>7648</v>
      </c>
      <c r="AC762" s="215" t="s">
        <v>7649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15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12"/>
        <v/>
      </c>
      <c r="BI762" s="98" t="str">
        <f t="shared" si="13"/>
        <v>AA</v>
      </c>
      <c r="BJ762" s="98" t="str">
        <f t="shared" si="14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 x14ac:dyDescent="0.25">
      <c r="A763" s="207">
        <v>759</v>
      </c>
      <c r="B763" s="197" t="s">
        <v>4396</v>
      </c>
      <c r="C763" s="207" t="s">
        <v>4426</v>
      </c>
      <c r="D763" s="207">
        <v>1</v>
      </c>
      <c r="E763" s="207" t="s">
        <v>4398</v>
      </c>
      <c r="F763" s="214" t="s">
        <v>7650</v>
      </c>
      <c r="G763" s="207" t="s">
        <v>4400</v>
      </c>
      <c r="H763" s="207" t="s">
        <v>4401</v>
      </c>
      <c r="I763" s="217" t="s">
        <v>4402</v>
      </c>
      <c r="J763" s="215" t="s">
        <v>7651</v>
      </c>
      <c r="K763" s="215" t="s">
        <v>7652</v>
      </c>
      <c r="L763" s="215" t="s">
        <v>7653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7651</v>
      </c>
      <c r="AB763" s="215" t="s">
        <v>7652</v>
      </c>
      <c r="AC763" s="215" t="s">
        <v>7653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15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12"/>
        <v/>
      </c>
      <c r="BI763" s="98" t="str">
        <f t="shared" si="13"/>
        <v>AA</v>
      </c>
      <c r="BJ763" s="98" t="str">
        <f t="shared" si="14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 x14ac:dyDescent="0.25">
      <c r="A764" s="197">
        <v>760</v>
      </c>
      <c r="B764" s="197" t="s">
        <v>4396</v>
      </c>
      <c r="C764" s="207" t="s">
        <v>4426</v>
      </c>
      <c r="D764" s="207">
        <v>1</v>
      </c>
      <c r="E764" s="207" t="s">
        <v>4398</v>
      </c>
      <c r="F764" s="214" t="s">
        <v>7654</v>
      </c>
      <c r="G764" s="207" t="s">
        <v>4400</v>
      </c>
      <c r="H764" s="207" t="s">
        <v>4401</v>
      </c>
      <c r="I764" s="217" t="s">
        <v>4402</v>
      </c>
      <c r="J764" s="215" t="s">
        <v>7655</v>
      </c>
      <c r="K764" s="215" t="s">
        <v>7656</v>
      </c>
      <c r="L764" s="215" t="s">
        <v>7657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7655</v>
      </c>
      <c r="AB764" s="215" t="s">
        <v>7656</v>
      </c>
      <c r="AC764" s="215" t="s">
        <v>7657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15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12"/>
        <v/>
      </c>
      <c r="BI764" s="98" t="str">
        <f t="shared" si="13"/>
        <v>AA</v>
      </c>
      <c r="BJ764" s="98" t="str">
        <f t="shared" si="14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 x14ac:dyDescent="0.25">
      <c r="A765" s="197">
        <v>761</v>
      </c>
      <c r="B765" s="197" t="s">
        <v>4396</v>
      </c>
      <c r="C765" s="207" t="s">
        <v>4426</v>
      </c>
      <c r="D765" s="207">
        <v>1</v>
      </c>
      <c r="E765" s="207" t="s">
        <v>4398</v>
      </c>
      <c r="F765" s="214" t="s">
        <v>7658</v>
      </c>
      <c r="G765" s="207" t="s">
        <v>4400</v>
      </c>
      <c r="H765" s="207" t="s">
        <v>4401</v>
      </c>
      <c r="I765" s="217" t="s">
        <v>4402</v>
      </c>
      <c r="J765" s="215" t="s">
        <v>7659</v>
      </c>
      <c r="K765" s="215" t="s">
        <v>7660</v>
      </c>
      <c r="L765" s="215" t="s">
        <v>7661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7659</v>
      </c>
      <c r="AB765" s="215" t="s">
        <v>7660</v>
      </c>
      <c r="AC765" s="215" t="s">
        <v>7661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15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12"/>
        <v/>
      </c>
      <c r="BI765" s="98" t="str">
        <f t="shared" si="13"/>
        <v>AA</v>
      </c>
      <c r="BJ765" s="98" t="str">
        <f t="shared" si="14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customHeight="1" x14ac:dyDescent="0.25">
      <c r="A766" s="207">
        <v>762</v>
      </c>
      <c r="B766" s="197" t="s">
        <v>4396</v>
      </c>
      <c r="C766" s="207" t="s">
        <v>4426</v>
      </c>
      <c r="D766" s="207">
        <v>1</v>
      </c>
      <c r="E766" s="207" t="s">
        <v>4398</v>
      </c>
      <c r="F766" s="162" t="s">
        <v>7662</v>
      </c>
      <c r="G766" s="207" t="s">
        <v>4400</v>
      </c>
      <c r="H766" s="207" t="s">
        <v>4401</v>
      </c>
      <c r="I766" s="217" t="s">
        <v>4402</v>
      </c>
      <c r="J766" s="215" t="s">
        <v>7663</v>
      </c>
      <c r="K766" s="215" t="s">
        <v>4439</v>
      </c>
      <c r="L766" s="215" t="s">
        <v>7664</v>
      </c>
      <c r="M766" s="207" t="s">
        <v>4405</v>
      </c>
      <c r="N766" s="207" t="s">
        <v>4441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7663</v>
      </c>
      <c r="AB766" s="200" t="s">
        <v>4398</v>
      </c>
      <c r="AC766" s="200" t="s">
        <v>7664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4432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15"/>
        <v>FINALIZADO</v>
      </c>
      <c r="AS766" s="207" t="s">
        <v>4423</v>
      </c>
      <c r="AU766" s="225" t="s">
        <v>7665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4434</v>
      </c>
      <c r="BF766" s="228" t="s">
        <v>4435</v>
      </c>
      <c r="BG766" s="229" t="s">
        <v>4425</v>
      </c>
      <c r="BH766" s="321">
        <f t="shared" si="12"/>
        <v>45</v>
      </c>
      <c r="BI766" s="98" t="str">
        <f t="shared" si="13"/>
        <v>INDENIZAÇÃO</v>
      </c>
      <c r="BJ766" s="98" t="str">
        <f t="shared" si="14"/>
        <v>NÃO</v>
      </c>
      <c r="BK766" s="302" t="s">
        <v>4436</v>
      </c>
      <c r="BL766" s="302" t="s">
        <v>4436</v>
      </c>
      <c r="BM766" s="302" t="s">
        <v>4436</v>
      </c>
      <c r="BN766" s="303" t="s">
        <v>4956</v>
      </c>
      <c r="BO766" s="303"/>
      <c r="BP766" s="303"/>
      <c r="BQ766" s="303"/>
      <c r="BR766" s="304"/>
    </row>
    <row r="767" spans="1:71" ht="27" hidden="1" customHeight="1" x14ac:dyDescent="0.25">
      <c r="A767" s="207">
        <v>763</v>
      </c>
      <c r="B767" s="197" t="s">
        <v>4396</v>
      </c>
      <c r="C767" s="207" t="s">
        <v>4426</v>
      </c>
      <c r="D767" s="207">
        <v>1</v>
      </c>
      <c r="E767" s="207" t="s">
        <v>4398</v>
      </c>
      <c r="F767" s="214" t="s">
        <v>7666</v>
      </c>
      <c r="G767" s="207" t="s">
        <v>4400</v>
      </c>
      <c r="H767" s="207" t="s">
        <v>4401</v>
      </c>
      <c r="I767" s="217" t="s">
        <v>4402</v>
      </c>
      <c r="J767" s="215" t="s">
        <v>7667</v>
      </c>
      <c r="K767" s="215" t="s">
        <v>4439</v>
      </c>
      <c r="L767" s="215" t="s">
        <v>7668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7667</v>
      </c>
      <c r="AB767" s="215" t="s">
        <v>4439</v>
      </c>
      <c r="AC767" s="215" t="s">
        <v>7668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15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12"/>
        <v/>
      </c>
      <c r="BI767" s="98" t="str">
        <f t="shared" si="13"/>
        <v>AA</v>
      </c>
      <c r="BJ767" s="98" t="str">
        <f t="shared" si="14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hidden="1" customHeight="1" x14ac:dyDescent="0.25">
      <c r="A768" s="207">
        <v>764</v>
      </c>
      <c r="B768" s="197" t="s">
        <v>4396</v>
      </c>
      <c r="C768" s="207" t="s">
        <v>4426</v>
      </c>
      <c r="D768" s="207">
        <v>1</v>
      </c>
      <c r="E768" s="207" t="s">
        <v>4398</v>
      </c>
      <c r="F768" s="214" t="s">
        <v>7669</v>
      </c>
      <c r="G768" s="207" t="s">
        <v>4400</v>
      </c>
      <c r="H768" s="207" t="s">
        <v>4401</v>
      </c>
      <c r="I768" s="217" t="s">
        <v>4402</v>
      </c>
      <c r="J768" s="215" t="s">
        <v>7670</v>
      </c>
      <c r="K768" s="215" t="s">
        <v>7671</v>
      </c>
      <c r="L768" s="215" t="s">
        <v>7672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7670</v>
      </c>
      <c r="AB768" s="215" t="s">
        <v>7671</v>
      </c>
      <c r="AC768" s="215" t="s">
        <v>7672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15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12"/>
        <v/>
      </c>
      <c r="BI768" s="98" t="str">
        <f t="shared" si="13"/>
        <v>AA</v>
      </c>
      <c r="BJ768" s="98" t="str">
        <f t="shared" si="14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 x14ac:dyDescent="0.25">
      <c r="A769" s="197">
        <v>765</v>
      </c>
      <c r="B769" s="197" t="s">
        <v>4396</v>
      </c>
      <c r="C769" s="207" t="s">
        <v>4426</v>
      </c>
      <c r="D769" s="207">
        <v>1</v>
      </c>
      <c r="E769" s="207" t="s">
        <v>4398</v>
      </c>
      <c r="F769" s="214" t="s">
        <v>7673</v>
      </c>
      <c r="G769" s="207" t="s">
        <v>4400</v>
      </c>
      <c r="H769" s="207" t="s">
        <v>4401</v>
      </c>
      <c r="I769" s="217" t="s">
        <v>4402</v>
      </c>
      <c r="J769" s="215" t="s">
        <v>7674</v>
      </c>
      <c r="K769" s="215" t="s">
        <v>7675</v>
      </c>
      <c r="L769" s="215" t="s">
        <v>7676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7674</v>
      </c>
      <c r="AB769" s="215" t="s">
        <v>7675</v>
      </c>
      <c r="AC769" s="215" t="s">
        <v>7676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15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12"/>
        <v/>
      </c>
      <c r="BI769" s="98" t="str">
        <f t="shared" si="13"/>
        <v>AA</v>
      </c>
      <c r="BJ769" s="98" t="str">
        <f t="shared" si="14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 x14ac:dyDescent="0.25">
      <c r="A770" s="197">
        <v>766</v>
      </c>
      <c r="B770" s="197" t="s">
        <v>4396</v>
      </c>
      <c r="C770" s="207" t="s">
        <v>4426</v>
      </c>
      <c r="D770" s="207">
        <v>1</v>
      </c>
      <c r="E770" s="207" t="s">
        <v>4398</v>
      </c>
      <c r="F770" s="214" t="s">
        <v>7677</v>
      </c>
      <c r="G770" s="207" t="s">
        <v>4400</v>
      </c>
      <c r="H770" s="207" t="s">
        <v>4401</v>
      </c>
      <c r="I770" s="217" t="s">
        <v>4402</v>
      </c>
      <c r="J770" s="215" t="s">
        <v>7678</v>
      </c>
      <c r="K770" s="215" t="s">
        <v>7679</v>
      </c>
      <c r="L770" s="215" t="s">
        <v>7680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7678</v>
      </c>
      <c r="AB770" s="215" t="s">
        <v>7679</v>
      </c>
      <c r="AC770" s="215" t="s">
        <v>7680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15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12"/>
        <v/>
      </c>
      <c r="BI770" s="98" t="str">
        <f t="shared" si="13"/>
        <v>AA</v>
      </c>
      <c r="BJ770" s="98" t="str">
        <f t="shared" si="14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 x14ac:dyDescent="0.25">
      <c r="A771" s="207">
        <v>767</v>
      </c>
      <c r="B771" s="197" t="s">
        <v>4396</v>
      </c>
      <c r="C771" s="207" t="s">
        <v>4426</v>
      </c>
      <c r="D771" s="207">
        <v>1</v>
      </c>
      <c r="E771" s="207" t="s">
        <v>4398</v>
      </c>
      <c r="F771" s="214" t="s">
        <v>7681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7682</v>
      </c>
      <c r="L771" s="215" t="s">
        <v>7683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7682</v>
      </c>
      <c r="AC771" s="215" t="s">
        <v>7683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15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12"/>
        <v/>
      </c>
      <c r="BI771" s="98" t="str">
        <f t="shared" si="13"/>
        <v>AA</v>
      </c>
      <c r="BJ771" s="98" t="str">
        <f t="shared" si="14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 x14ac:dyDescent="0.25">
      <c r="A772" s="207">
        <v>768</v>
      </c>
      <c r="B772" s="197" t="s">
        <v>4396</v>
      </c>
      <c r="C772" s="207" t="s">
        <v>4426</v>
      </c>
      <c r="D772" s="207">
        <v>1</v>
      </c>
      <c r="E772" s="207" t="s">
        <v>4398</v>
      </c>
      <c r="F772" s="214" t="s">
        <v>7684</v>
      </c>
      <c r="G772" s="207" t="s">
        <v>4400</v>
      </c>
      <c r="H772" s="207" t="s">
        <v>4401</v>
      </c>
      <c r="I772" s="217" t="s">
        <v>4402</v>
      </c>
      <c r="J772" s="215" t="s">
        <v>7685</v>
      </c>
      <c r="K772" s="215" t="s">
        <v>7686</v>
      </c>
      <c r="L772" s="215" t="s">
        <v>7687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7685</v>
      </c>
      <c r="AB772" s="215" t="s">
        <v>7686</v>
      </c>
      <c r="AC772" s="215" t="s">
        <v>7687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15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12"/>
        <v/>
      </c>
      <c r="BI772" s="98" t="str">
        <f t="shared" si="13"/>
        <v>AA</v>
      </c>
      <c r="BJ772" s="98" t="str">
        <f t="shared" si="14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 x14ac:dyDescent="0.25">
      <c r="A773" s="207">
        <v>769</v>
      </c>
      <c r="B773" s="197" t="s">
        <v>4396</v>
      </c>
      <c r="C773" s="207" t="s">
        <v>4426</v>
      </c>
      <c r="D773" s="207">
        <v>1</v>
      </c>
      <c r="E773" s="207" t="s">
        <v>4398</v>
      </c>
      <c r="F773" s="214" t="s">
        <v>7688</v>
      </c>
      <c r="G773" s="207" t="s">
        <v>4400</v>
      </c>
      <c r="H773" s="207" t="s">
        <v>4401</v>
      </c>
      <c r="I773" s="217" t="s">
        <v>4402</v>
      </c>
      <c r="J773" s="215" t="s">
        <v>7689</v>
      </c>
      <c r="K773" s="215" t="s">
        <v>7690</v>
      </c>
      <c r="L773" s="215" t="s">
        <v>7691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7689</v>
      </c>
      <c r="AB773" s="215" t="s">
        <v>7690</v>
      </c>
      <c r="AC773" s="215" t="s">
        <v>7691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15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16">IFERROR(IF(BD773-KI773=0,"",BD773-AK773),"")</f>
        <v/>
      </c>
      <c r="BI773" s="98" t="str">
        <f t="shared" ref="BI773:BI836" si="17">IF(AND(AH773&lt;&gt;"SIM",AH773="UH"),"AA","INDENIZAÇÃO")</f>
        <v>AA</v>
      </c>
      <c r="BJ773" s="98" t="str">
        <f t="shared" ref="BJ773:BJ836" si="18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 x14ac:dyDescent="0.25">
      <c r="A774" s="197">
        <v>770</v>
      </c>
      <c r="B774" s="197" t="s">
        <v>4396</v>
      </c>
      <c r="C774" s="207" t="s">
        <v>4426</v>
      </c>
      <c r="D774" s="207">
        <v>1</v>
      </c>
      <c r="E774" s="207" t="s">
        <v>4398</v>
      </c>
      <c r="F774" s="214" t="s">
        <v>7692</v>
      </c>
      <c r="G774" s="207" t="s">
        <v>4400</v>
      </c>
      <c r="H774" s="207" t="s">
        <v>4401</v>
      </c>
      <c r="I774" s="217" t="s">
        <v>4402</v>
      </c>
      <c r="J774" s="215" t="s">
        <v>7693</v>
      </c>
      <c r="K774" s="215" t="s">
        <v>7694</v>
      </c>
      <c r="L774" s="215" t="s">
        <v>7695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7693</v>
      </c>
      <c r="AB774" s="215" t="s">
        <v>7694</v>
      </c>
      <c r="AC774" s="215" t="s">
        <v>7695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37" si="19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16"/>
        <v/>
      </c>
      <c r="BI774" s="98" t="str">
        <f t="shared" si="17"/>
        <v>AA</v>
      </c>
      <c r="BJ774" s="98" t="str">
        <f t="shared" si="18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 x14ac:dyDescent="0.25">
      <c r="A775" s="197">
        <v>771</v>
      </c>
      <c r="B775" s="197" t="s">
        <v>4396</v>
      </c>
      <c r="C775" s="207" t="s">
        <v>4426</v>
      </c>
      <c r="D775" s="207">
        <v>1</v>
      </c>
      <c r="E775" s="207" t="s">
        <v>4398</v>
      </c>
      <c r="F775" s="214" t="s">
        <v>7696</v>
      </c>
      <c r="G775" s="207" t="s">
        <v>4400</v>
      </c>
      <c r="H775" s="207" t="s">
        <v>4401</v>
      </c>
      <c r="I775" s="217" t="s">
        <v>4402</v>
      </c>
      <c r="J775" s="215" t="s">
        <v>7697</v>
      </c>
      <c r="K775" s="215" t="s">
        <v>7698</v>
      </c>
      <c r="L775" s="215" t="s">
        <v>7699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7697</v>
      </c>
      <c r="AB775" s="215" t="s">
        <v>7698</v>
      </c>
      <c r="AC775" s="215" t="s">
        <v>7699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19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16"/>
        <v/>
      </c>
      <c r="BI775" s="98" t="str">
        <f t="shared" si="17"/>
        <v>AA</v>
      </c>
      <c r="BJ775" s="98" t="str">
        <f t="shared" si="18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 x14ac:dyDescent="0.25">
      <c r="A776" s="207">
        <v>772</v>
      </c>
      <c r="B776" s="197" t="s">
        <v>4396</v>
      </c>
      <c r="C776" s="207" t="s">
        <v>4426</v>
      </c>
      <c r="D776" s="207">
        <v>1</v>
      </c>
      <c r="E776" s="207" t="s">
        <v>4398</v>
      </c>
      <c r="F776" s="214" t="s">
        <v>7700</v>
      </c>
      <c r="G776" s="207" t="s">
        <v>4400</v>
      </c>
      <c r="H776" s="207" t="s">
        <v>4401</v>
      </c>
      <c r="I776" s="217" t="s">
        <v>4402</v>
      </c>
      <c r="J776" s="215" t="s">
        <v>7701</v>
      </c>
      <c r="K776" s="215" t="s">
        <v>7702</v>
      </c>
      <c r="L776" s="215" t="s">
        <v>7703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7701</v>
      </c>
      <c r="AB776" s="215" t="s">
        <v>7702</v>
      </c>
      <c r="AC776" s="215" t="s">
        <v>7703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19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16"/>
        <v/>
      </c>
      <c r="BI776" s="98" t="str">
        <f t="shared" si="17"/>
        <v>AA</v>
      </c>
      <c r="BJ776" s="98" t="str">
        <f t="shared" si="18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 x14ac:dyDescent="0.25">
      <c r="A777" s="207">
        <v>773</v>
      </c>
      <c r="B777" s="197" t="s">
        <v>4396</v>
      </c>
      <c r="C777" s="207" t="s">
        <v>4426</v>
      </c>
      <c r="D777" s="207">
        <v>1</v>
      </c>
      <c r="E777" s="207" t="s">
        <v>4398</v>
      </c>
      <c r="F777" s="214" t="s">
        <v>7704</v>
      </c>
      <c r="G777" s="207" t="s">
        <v>4400</v>
      </c>
      <c r="H777" s="207" t="s">
        <v>4401</v>
      </c>
      <c r="I777" s="217" t="s">
        <v>4402</v>
      </c>
      <c r="J777" s="215" t="s">
        <v>7705</v>
      </c>
      <c r="K777" s="215" t="s">
        <v>7706</v>
      </c>
      <c r="L777" s="215" t="s">
        <v>7707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7705</v>
      </c>
      <c r="AB777" s="215" t="s">
        <v>7706</v>
      </c>
      <c r="AC777" s="215" t="s">
        <v>7707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19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16"/>
        <v/>
      </c>
      <c r="BI777" s="98" t="str">
        <f t="shared" si="17"/>
        <v>AA</v>
      </c>
      <c r="BJ777" s="98" t="str">
        <f t="shared" si="18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 x14ac:dyDescent="0.25">
      <c r="A778" s="207">
        <v>774</v>
      </c>
      <c r="B778" s="197" t="s">
        <v>4396</v>
      </c>
      <c r="C778" s="207" t="s">
        <v>4426</v>
      </c>
      <c r="D778" s="207">
        <v>1</v>
      </c>
      <c r="E778" s="207" t="s">
        <v>4398</v>
      </c>
      <c r="F778" s="214" t="s">
        <v>7708</v>
      </c>
      <c r="G778" s="207" t="s">
        <v>4400</v>
      </c>
      <c r="H778" s="207" t="s">
        <v>4401</v>
      </c>
      <c r="I778" s="217" t="s">
        <v>4402</v>
      </c>
      <c r="J778" s="215" t="s">
        <v>7709</v>
      </c>
      <c r="K778" s="215" t="s">
        <v>7710</v>
      </c>
      <c r="L778" s="215" t="s">
        <v>7711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7709</v>
      </c>
      <c r="AB778" s="215" t="s">
        <v>7710</v>
      </c>
      <c r="AC778" s="215" t="s">
        <v>7711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19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16"/>
        <v/>
      </c>
      <c r="BI778" s="98" t="str">
        <f t="shared" si="17"/>
        <v>AA</v>
      </c>
      <c r="BJ778" s="98" t="str">
        <f t="shared" si="18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 x14ac:dyDescent="0.25">
      <c r="A779" s="197">
        <v>775</v>
      </c>
      <c r="B779" s="197" t="s">
        <v>4396</v>
      </c>
      <c r="C779" s="207" t="s">
        <v>4426</v>
      </c>
      <c r="D779" s="207">
        <v>1</v>
      </c>
      <c r="E779" s="207" t="s">
        <v>4398</v>
      </c>
      <c r="F779" s="214" t="s">
        <v>7712</v>
      </c>
      <c r="G779" s="207" t="s">
        <v>4400</v>
      </c>
      <c r="H779" s="207" t="s">
        <v>4401</v>
      </c>
      <c r="I779" s="217" t="s">
        <v>4402</v>
      </c>
      <c r="J779" s="215" t="s">
        <v>7713</v>
      </c>
      <c r="K779" s="215" t="s">
        <v>7714</v>
      </c>
      <c r="L779" s="215" t="s">
        <v>7715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7713</v>
      </c>
      <c r="AB779" s="215" t="s">
        <v>7714</v>
      </c>
      <c r="AC779" s="215" t="s">
        <v>7715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19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16"/>
        <v/>
      </c>
      <c r="BI779" s="98" t="str">
        <f t="shared" si="17"/>
        <v>AA</v>
      </c>
      <c r="BJ779" s="98" t="str">
        <f t="shared" si="18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 x14ac:dyDescent="0.25">
      <c r="A780" s="197">
        <v>776</v>
      </c>
      <c r="B780" s="197" t="s">
        <v>4396</v>
      </c>
      <c r="C780" s="207" t="s">
        <v>4426</v>
      </c>
      <c r="D780" s="207">
        <v>1</v>
      </c>
      <c r="E780" s="207" t="s">
        <v>4398</v>
      </c>
      <c r="F780" s="214" t="s">
        <v>7716</v>
      </c>
      <c r="G780" s="207" t="s">
        <v>4400</v>
      </c>
      <c r="H780" s="207" t="s">
        <v>4401</v>
      </c>
      <c r="I780" s="217" t="s">
        <v>4402</v>
      </c>
      <c r="J780" s="215" t="s">
        <v>7717</v>
      </c>
      <c r="K780" s="215" t="s">
        <v>7718</v>
      </c>
      <c r="L780" s="215" t="s">
        <v>7719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7717</v>
      </c>
      <c r="AB780" s="215" t="s">
        <v>7718</v>
      </c>
      <c r="AC780" s="215" t="s">
        <v>7719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19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16"/>
        <v/>
      </c>
      <c r="BI780" s="98" t="str">
        <f t="shared" si="17"/>
        <v>AA</v>
      </c>
      <c r="BJ780" s="98" t="str">
        <f t="shared" si="18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 x14ac:dyDescent="0.25">
      <c r="A781" s="207">
        <v>777</v>
      </c>
      <c r="B781" s="197" t="s">
        <v>4396</v>
      </c>
      <c r="C781" s="207" t="s">
        <v>4426</v>
      </c>
      <c r="D781" s="207">
        <v>1</v>
      </c>
      <c r="E781" s="207" t="s">
        <v>4398</v>
      </c>
      <c r="F781" s="214" t="s">
        <v>7720</v>
      </c>
      <c r="G781" s="207" t="s">
        <v>4400</v>
      </c>
      <c r="H781" s="207" t="s">
        <v>4401</v>
      </c>
      <c r="I781" s="217" t="s">
        <v>4402</v>
      </c>
      <c r="J781" s="215" t="s">
        <v>7721</v>
      </c>
      <c r="K781" s="215" t="s">
        <v>7722</v>
      </c>
      <c r="L781" s="215" t="s">
        <v>7723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7721</v>
      </c>
      <c r="AB781" s="215" t="s">
        <v>7722</v>
      </c>
      <c r="AC781" s="215" t="s">
        <v>7723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19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16"/>
        <v/>
      </c>
      <c r="BI781" s="98" t="str">
        <f t="shared" si="17"/>
        <v>AA</v>
      </c>
      <c r="BJ781" s="98" t="str">
        <f t="shared" si="18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 x14ac:dyDescent="0.25">
      <c r="A782" s="207">
        <v>778</v>
      </c>
      <c r="B782" s="197" t="s">
        <v>4396</v>
      </c>
      <c r="C782" s="207" t="s">
        <v>4426</v>
      </c>
      <c r="D782" s="207">
        <v>1</v>
      </c>
      <c r="E782" s="207" t="s">
        <v>4398</v>
      </c>
      <c r="F782" s="214" t="s">
        <v>7724</v>
      </c>
      <c r="G782" s="207" t="s">
        <v>4400</v>
      </c>
      <c r="H782" s="207" t="s">
        <v>4401</v>
      </c>
      <c r="I782" s="217" t="s">
        <v>4402</v>
      </c>
      <c r="J782" s="215" t="s">
        <v>7725</v>
      </c>
      <c r="K782" s="215" t="s">
        <v>7726</v>
      </c>
      <c r="L782" s="215" t="s">
        <v>7727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7725</v>
      </c>
      <c r="AB782" s="215" t="s">
        <v>7726</v>
      </c>
      <c r="AC782" s="215" t="s">
        <v>7727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19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16"/>
        <v/>
      </c>
      <c r="BI782" s="98" t="str">
        <f t="shared" si="17"/>
        <v>AA</v>
      </c>
      <c r="BJ782" s="98" t="str">
        <f t="shared" si="18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 x14ac:dyDescent="0.25">
      <c r="A783" s="207">
        <v>779</v>
      </c>
      <c r="B783" s="197" t="s">
        <v>4396</v>
      </c>
      <c r="C783" s="207" t="s">
        <v>4426</v>
      </c>
      <c r="D783" s="207">
        <v>1</v>
      </c>
      <c r="E783" s="207" t="s">
        <v>4398</v>
      </c>
      <c r="F783" s="214" t="s">
        <v>7728</v>
      </c>
      <c r="G783" s="207" t="s">
        <v>4400</v>
      </c>
      <c r="H783" s="207" t="s">
        <v>4401</v>
      </c>
      <c r="I783" s="217" t="s">
        <v>4402</v>
      </c>
      <c r="J783" s="215" t="s">
        <v>7729</v>
      </c>
      <c r="K783" s="215" t="s">
        <v>7730</v>
      </c>
      <c r="L783" s="215" t="s">
        <v>7731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7729</v>
      </c>
      <c r="AB783" s="215" t="s">
        <v>7730</v>
      </c>
      <c r="AC783" s="215" t="s">
        <v>7731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19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16"/>
        <v/>
      </c>
      <c r="BI783" s="98" t="str">
        <f t="shared" si="17"/>
        <v>AA</v>
      </c>
      <c r="BJ783" s="98" t="str">
        <f t="shared" si="18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 x14ac:dyDescent="0.25">
      <c r="A784" s="197">
        <v>780</v>
      </c>
      <c r="B784" s="197" t="s">
        <v>4396</v>
      </c>
      <c r="C784" s="207" t="s">
        <v>4426</v>
      </c>
      <c r="D784" s="207">
        <v>1</v>
      </c>
      <c r="E784" s="207" t="s">
        <v>4398</v>
      </c>
      <c r="F784" s="214" t="s">
        <v>7732</v>
      </c>
      <c r="G784" s="207" t="s">
        <v>4400</v>
      </c>
      <c r="H784" s="207" t="s">
        <v>4401</v>
      </c>
      <c r="I784" s="217" t="s">
        <v>4402</v>
      </c>
      <c r="J784" s="215" t="s">
        <v>7733</v>
      </c>
      <c r="K784" s="215" t="s">
        <v>7734</v>
      </c>
      <c r="L784" s="215" t="s">
        <v>7735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7733</v>
      </c>
      <c r="AB784" s="215" t="s">
        <v>7734</v>
      </c>
      <c r="AC784" s="215" t="s">
        <v>7735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19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16"/>
        <v/>
      </c>
      <c r="BI784" s="98" t="str">
        <f t="shared" si="17"/>
        <v>AA</v>
      </c>
      <c r="BJ784" s="98" t="str">
        <f t="shared" si="18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 x14ac:dyDescent="0.25">
      <c r="A785" s="197">
        <v>781</v>
      </c>
      <c r="B785" s="197" t="s">
        <v>4396</v>
      </c>
      <c r="C785" s="207" t="s">
        <v>4426</v>
      </c>
      <c r="D785" s="207">
        <v>1</v>
      </c>
      <c r="E785" s="207" t="s">
        <v>4398</v>
      </c>
      <c r="F785" s="214" t="s">
        <v>7736</v>
      </c>
      <c r="G785" s="207" t="s">
        <v>4400</v>
      </c>
      <c r="H785" s="207" t="s">
        <v>4401</v>
      </c>
      <c r="I785" s="217" t="s">
        <v>4402</v>
      </c>
      <c r="J785" s="215" t="s">
        <v>7737</v>
      </c>
      <c r="K785" s="215" t="s">
        <v>7738</v>
      </c>
      <c r="L785" s="215" t="s">
        <v>7739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7737</v>
      </c>
      <c r="AB785" s="215" t="s">
        <v>7738</v>
      </c>
      <c r="AC785" s="215" t="s">
        <v>7739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19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16"/>
        <v/>
      </c>
      <c r="BI785" s="98" t="str">
        <f t="shared" si="17"/>
        <v>AA</v>
      </c>
      <c r="BJ785" s="98" t="str">
        <f t="shared" si="18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 x14ac:dyDescent="0.25">
      <c r="A786" s="207">
        <v>782</v>
      </c>
      <c r="B786" s="197" t="s">
        <v>4396</v>
      </c>
      <c r="C786" s="207" t="s">
        <v>4426</v>
      </c>
      <c r="D786" s="207">
        <v>1</v>
      </c>
      <c r="E786" s="207" t="s">
        <v>4398</v>
      </c>
      <c r="F786" s="214" t="s">
        <v>7740</v>
      </c>
      <c r="G786" s="207" t="s">
        <v>4400</v>
      </c>
      <c r="H786" s="207" t="s">
        <v>4401</v>
      </c>
      <c r="I786" s="217" t="s">
        <v>4402</v>
      </c>
      <c r="J786" s="215" t="s">
        <v>7741</v>
      </c>
      <c r="K786" s="215" t="s">
        <v>7742</v>
      </c>
      <c r="L786" s="215" t="s">
        <v>7743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7741</v>
      </c>
      <c r="AB786" s="215" t="s">
        <v>7742</v>
      </c>
      <c r="AC786" s="215" t="s">
        <v>7743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19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16"/>
        <v/>
      </c>
      <c r="BI786" s="98" t="str">
        <f t="shared" si="17"/>
        <v>AA</v>
      </c>
      <c r="BJ786" s="98" t="str">
        <f t="shared" si="18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 x14ac:dyDescent="0.25">
      <c r="A787" s="207">
        <v>783</v>
      </c>
      <c r="B787" s="197" t="s">
        <v>4396</v>
      </c>
      <c r="C787" s="207" t="s">
        <v>4426</v>
      </c>
      <c r="D787" s="207">
        <v>1</v>
      </c>
      <c r="E787" s="207" t="s">
        <v>4398</v>
      </c>
      <c r="F787" s="214" t="s">
        <v>7744</v>
      </c>
      <c r="G787" s="207" t="s">
        <v>4400</v>
      </c>
      <c r="H787" s="207" t="s">
        <v>4401</v>
      </c>
      <c r="I787" s="217" t="s">
        <v>4402</v>
      </c>
      <c r="J787" s="215" t="s">
        <v>7745</v>
      </c>
      <c r="K787" s="215" t="s">
        <v>4398</v>
      </c>
      <c r="L787" s="215" t="s">
        <v>7746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7745</v>
      </c>
      <c r="AB787" s="215" t="s">
        <v>4398</v>
      </c>
      <c r="AC787" s="215" t="s">
        <v>7746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19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16"/>
        <v/>
      </c>
      <c r="BI787" s="98" t="str">
        <f t="shared" si="17"/>
        <v>AA</v>
      </c>
      <c r="BJ787" s="98" t="str">
        <f t="shared" si="18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customHeight="1" x14ac:dyDescent="0.25">
      <c r="A788" s="207">
        <v>784</v>
      </c>
      <c r="B788" s="197" t="s">
        <v>4396</v>
      </c>
      <c r="C788" s="207" t="s">
        <v>4426</v>
      </c>
      <c r="D788" s="207">
        <v>1</v>
      </c>
      <c r="E788" s="207" t="s">
        <v>4398</v>
      </c>
      <c r="F788" s="214" t="s">
        <v>7747</v>
      </c>
      <c r="G788" s="207" t="s">
        <v>4400</v>
      </c>
      <c r="H788" s="207" t="s">
        <v>4401</v>
      </c>
      <c r="I788" s="217" t="s">
        <v>4402</v>
      </c>
      <c r="J788" s="215" t="s">
        <v>7748</v>
      </c>
      <c r="K788" s="215" t="s">
        <v>7749</v>
      </c>
      <c r="L788" s="215" t="s">
        <v>7750</v>
      </c>
      <c r="M788" s="207" t="s">
        <v>4405</v>
      </c>
      <c r="N788" s="207" t="s">
        <v>4441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7748</v>
      </c>
      <c r="AB788" s="200" t="s">
        <v>7749</v>
      </c>
      <c r="AC788" s="200" t="s">
        <v>7750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4432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19"/>
        <v>FINALIZADO</v>
      </c>
      <c r="AS788" s="207" t="s">
        <v>4423</v>
      </c>
      <c r="AT788" s="207"/>
      <c r="AU788" s="225" t="s">
        <v>7751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4434</v>
      </c>
      <c r="BF788" s="228" t="s">
        <v>4435</v>
      </c>
      <c r="BG788" s="229" t="s">
        <v>4425</v>
      </c>
      <c r="BH788" s="321">
        <f t="shared" si="16"/>
        <v>51</v>
      </c>
      <c r="BI788" s="98" t="str">
        <f t="shared" si="17"/>
        <v>INDENIZAÇÃO</v>
      </c>
      <c r="BJ788" s="98" t="str">
        <f t="shared" si="18"/>
        <v>NÃO</v>
      </c>
      <c r="BK788" s="230" t="s">
        <v>4436</v>
      </c>
      <c r="BL788" s="230" t="s">
        <v>4436</v>
      </c>
      <c r="BM788" s="230" t="s">
        <v>4436</v>
      </c>
      <c r="BN788" s="265" t="s">
        <v>4956</v>
      </c>
      <c r="BO788" s="265"/>
      <c r="BP788" s="265"/>
      <c r="BQ788" s="265"/>
      <c r="BR788" s="231"/>
    </row>
    <row r="789" spans="1:70" ht="27" hidden="1" customHeight="1" x14ac:dyDescent="0.25">
      <c r="A789" s="197">
        <v>785</v>
      </c>
      <c r="B789" s="197" t="s">
        <v>4396</v>
      </c>
      <c r="C789" s="207" t="s">
        <v>4426</v>
      </c>
      <c r="D789" s="207">
        <v>1</v>
      </c>
      <c r="E789" s="207" t="s">
        <v>4398</v>
      </c>
      <c r="F789" s="214" t="s">
        <v>7752</v>
      </c>
      <c r="G789" s="207" t="s">
        <v>4400</v>
      </c>
      <c r="H789" s="207" t="s">
        <v>4401</v>
      </c>
      <c r="I789" s="217" t="s">
        <v>4402</v>
      </c>
      <c r="J789" s="255" t="s">
        <v>7753</v>
      </c>
      <c r="K789" s="255" t="s">
        <v>7754</v>
      </c>
      <c r="L789" s="255" t="s">
        <v>7755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7753</v>
      </c>
      <c r="AB789" s="255" t="s">
        <v>7754</v>
      </c>
      <c r="AC789" s="255" t="s">
        <v>7755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19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16"/>
        <v/>
      </c>
      <c r="BI789" s="98" t="str">
        <f t="shared" si="17"/>
        <v>AA</v>
      </c>
      <c r="BJ789" s="98" t="str">
        <f t="shared" si="18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 x14ac:dyDescent="0.25">
      <c r="A790" s="197">
        <v>786</v>
      </c>
      <c r="B790" s="197" t="s">
        <v>4396</v>
      </c>
      <c r="C790" s="207" t="s">
        <v>4426</v>
      </c>
      <c r="D790" s="207">
        <v>1</v>
      </c>
      <c r="E790" s="207" t="s">
        <v>4398</v>
      </c>
      <c r="F790" s="214" t="s">
        <v>7756</v>
      </c>
      <c r="G790" s="219" t="s">
        <v>4400</v>
      </c>
      <c r="H790" s="219" t="s">
        <v>4401</v>
      </c>
      <c r="I790" s="217" t="s">
        <v>4402</v>
      </c>
      <c r="J790" s="255" t="s">
        <v>7757</v>
      </c>
      <c r="K790" s="255" t="s">
        <v>7758</v>
      </c>
      <c r="L790" s="255" t="s">
        <v>7759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7757</v>
      </c>
      <c r="AB790" s="255" t="s">
        <v>7758</v>
      </c>
      <c r="AC790" s="255" t="s">
        <v>7759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19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16"/>
        <v/>
      </c>
      <c r="BI790" s="98" t="str">
        <f t="shared" si="17"/>
        <v>AA</v>
      </c>
      <c r="BJ790" s="98" t="str">
        <f t="shared" si="18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 x14ac:dyDescent="0.25">
      <c r="A791" s="207">
        <v>787</v>
      </c>
      <c r="B791" s="197" t="s">
        <v>4396</v>
      </c>
      <c r="C791" s="207" t="s">
        <v>4426</v>
      </c>
      <c r="D791" s="207">
        <v>1</v>
      </c>
      <c r="E791" s="207" t="s">
        <v>4398</v>
      </c>
      <c r="F791" s="214" t="s">
        <v>7760</v>
      </c>
      <c r="G791" s="207" t="s">
        <v>4400</v>
      </c>
      <c r="H791" s="207" t="s">
        <v>4401</v>
      </c>
      <c r="I791" s="217" t="s">
        <v>4402</v>
      </c>
      <c r="J791" s="255" t="s">
        <v>7761</v>
      </c>
      <c r="K791" s="255" t="s">
        <v>7762</v>
      </c>
      <c r="L791" s="255" t="s">
        <v>7763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7761</v>
      </c>
      <c r="AB791" s="255" t="s">
        <v>7762</v>
      </c>
      <c r="AC791" s="255" t="s">
        <v>7763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19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16"/>
        <v/>
      </c>
      <c r="BI791" s="98" t="str">
        <f t="shared" si="17"/>
        <v>AA</v>
      </c>
      <c r="BJ791" s="98" t="str">
        <f t="shared" si="18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 x14ac:dyDescent="0.25">
      <c r="A792" s="207">
        <v>788</v>
      </c>
      <c r="B792" s="197" t="s">
        <v>4396</v>
      </c>
      <c r="C792" s="207" t="s">
        <v>4426</v>
      </c>
      <c r="D792" s="207">
        <v>1</v>
      </c>
      <c r="E792" s="207" t="s">
        <v>4398</v>
      </c>
      <c r="F792" s="214" t="s">
        <v>7764</v>
      </c>
      <c r="G792" s="219" t="s">
        <v>4400</v>
      </c>
      <c r="H792" s="219" t="s">
        <v>4401</v>
      </c>
      <c r="I792" s="217" t="s">
        <v>4402</v>
      </c>
      <c r="J792" s="255" t="s">
        <v>7765</v>
      </c>
      <c r="K792" s="255" t="s">
        <v>7766</v>
      </c>
      <c r="L792" s="255" t="s">
        <v>7767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7765</v>
      </c>
      <c r="AB792" s="255" t="s">
        <v>7766</v>
      </c>
      <c r="AC792" s="255" t="s">
        <v>7767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19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16"/>
        <v/>
      </c>
      <c r="BI792" s="98" t="str">
        <f t="shared" si="17"/>
        <v>AA</v>
      </c>
      <c r="BJ792" s="98" t="str">
        <f t="shared" si="18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 x14ac:dyDescent="0.25">
      <c r="A793" s="207">
        <v>789</v>
      </c>
      <c r="B793" s="197" t="s">
        <v>4396</v>
      </c>
      <c r="C793" s="207" t="s">
        <v>4426</v>
      </c>
      <c r="D793" s="207">
        <v>1</v>
      </c>
      <c r="E793" s="207" t="s">
        <v>4398</v>
      </c>
      <c r="F793" s="214" t="s">
        <v>7768</v>
      </c>
      <c r="G793" s="219" t="s">
        <v>4400</v>
      </c>
      <c r="H793" s="219" t="s">
        <v>4401</v>
      </c>
      <c r="I793" s="217" t="s">
        <v>4402</v>
      </c>
      <c r="J793" s="255" t="s">
        <v>7769</v>
      </c>
      <c r="K793" s="255" t="s">
        <v>7770</v>
      </c>
      <c r="L793" s="255" t="s">
        <v>7771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7769</v>
      </c>
      <c r="AB793" s="255" t="s">
        <v>7770</v>
      </c>
      <c r="AC793" s="255" t="s">
        <v>7771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19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16"/>
        <v/>
      </c>
      <c r="BI793" s="98" t="str">
        <f t="shared" si="17"/>
        <v>AA</v>
      </c>
      <c r="BJ793" s="98" t="str">
        <f t="shared" si="18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 x14ac:dyDescent="0.25">
      <c r="A794" s="197">
        <v>790</v>
      </c>
      <c r="B794" s="197" t="s">
        <v>4396</v>
      </c>
      <c r="C794" s="207" t="s">
        <v>4426</v>
      </c>
      <c r="D794" s="207">
        <v>1</v>
      </c>
      <c r="E794" s="207" t="s">
        <v>4398</v>
      </c>
      <c r="F794" s="214" t="s">
        <v>7772</v>
      </c>
      <c r="G794" s="207" t="s">
        <v>4400</v>
      </c>
      <c r="H794" s="207" t="s">
        <v>4401</v>
      </c>
      <c r="I794" s="217" t="s">
        <v>4402</v>
      </c>
      <c r="J794" s="215" t="s">
        <v>7773</v>
      </c>
      <c r="K794" s="215" t="s">
        <v>7774</v>
      </c>
      <c r="L794" s="215" t="s">
        <v>7775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7773</v>
      </c>
      <c r="AB794" s="215" t="s">
        <v>7774</v>
      </c>
      <c r="AC794" s="215" t="s">
        <v>7775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19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16"/>
        <v/>
      </c>
      <c r="BI794" s="98" t="str">
        <f t="shared" si="17"/>
        <v>AA</v>
      </c>
      <c r="BJ794" s="98" t="str">
        <f t="shared" si="18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 x14ac:dyDescent="0.25">
      <c r="A795" s="197">
        <v>791</v>
      </c>
      <c r="B795" s="197" t="s">
        <v>4396</v>
      </c>
      <c r="C795" s="207" t="s">
        <v>4426</v>
      </c>
      <c r="D795" s="207">
        <v>1</v>
      </c>
      <c r="E795" s="207" t="s">
        <v>4398</v>
      </c>
      <c r="F795" s="214" t="s">
        <v>7776</v>
      </c>
      <c r="G795" s="207" t="s">
        <v>4400</v>
      </c>
      <c r="H795" s="207" t="s">
        <v>4401</v>
      </c>
      <c r="I795" s="217" t="s">
        <v>4402</v>
      </c>
      <c r="J795" s="255" t="s">
        <v>7777</v>
      </c>
      <c r="K795" s="255" t="s">
        <v>7778</v>
      </c>
      <c r="L795" s="255" t="s">
        <v>7779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7777</v>
      </c>
      <c r="AB795" s="255" t="s">
        <v>7778</v>
      </c>
      <c r="AC795" s="255" t="s">
        <v>7779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19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16"/>
        <v/>
      </c>
      <c r="BI795" s="98" t="str">
        <f t="shared" si="17"/>
        <v>AA</v>
      </c>
      <c r="BJ795" s="98" t="str">
        <f t="shared" si="18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 x14ac:dyDescent="0.25">
      <c r="A796" s="207">
        <v>792</v>
      </c>
      <c r="B796" s="197" t="s">
        <v>4396</v>
      </c>
      <c r="C796" s="207" t="s">
        <v>4426</v>
      </c>
      <c r="D796" s="207">
        <v>1</v>
      </c>
      <c r="E796" s="207" t="s">
        <v>4398</v>
      </c>
      <c r="F796" s="214" t="s">
        <v>7780</v>
      </c>
      <c r="G796" s="207" t="s">
        <v>4400</v>
      </c>
      <c r="H796" s="207" t="s">
        <v>4401</v>
      </c>
      <c r="I796" s="217" t="s">
        <v>4402</v>
      </c>
      <c r="J796" s="255" t="s">
        <v>7781</v>
      </c>
      <c r="K796" s="255" t="s">
        <v>7782</v>
      </c>
      <c r="L796" s="255" t="s">
        <v>7783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7781</v>
      </c>
      <c r="AB796" s="255" t="s">
        <v>7782</v>
      </c>
      <c r="AC796" s="255" t="s">
        <v>7783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19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16"/>
        <v/>
      </c>
      <c r="BI796" s="98" t="str">
        <f t="shared" si="17"/>
        <v>AA</v>
      </c>
      <c r="BJ796" s="98" t="str">
        <f t="shared" si="18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 x14ac:dyDescent="0.25">
      <c r="A797" s="207">
        <v>793</v>
      </c>
      <c r="B797" s="197" t="s">
        <v>4396</v>
      </c>
      <c r="C797" s="207" t="s">
        <v>4426</v>
      </c>
      <c r="D797" s="207">
        <v>1</v>
      </c>
      <c r="E797" s="207" t="s">
        <v>4398</v>
      </c>
      <c r="F797" s="214" t="s">
        <v>7784</v>
      </c>
      <c r="G797" s="219" t="s">
        <v>4400</v>
      </c>
      <c r="H797" s="219" t="s">
        <v>4401</v>
      </c>
      <c r="I797" s="217" t="s">
        <v>4402</v>
      </c>
      <c r="J797" s="255" t="s">
        <v>7785</v>
      </c>
      <c r="K797" s="255" t="s">
        <v>4439</v>
      </c>
      <c r="L797" s="255" t="s">
        <v>7786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7785</v>
      </c>
      <c r="AB797" s="255" t="s">
        <v>4439</v>
      </c>
      <c r="AC797" s="255" t="s">
        <v>7786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19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16"/>
        <v/>
      </c>
      <c r="BI797" s="98" t="str">
        <f t="shared" si="17"/>
        <v>AA</v>
      </c>
      <c r="BJ797" s="98" t="str">
        <f t="shared" si="18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 x14ac:dyDescent="0.25">
      <c r="A798" s="207">
        <v>794</v>
      </c>
      <c r="B798" s="197" t="s">
        <v>4396</v>
      </c>
      <c r="C798" s="207" t="s">
        <v>4426</v>
      </c>
      <c r="D798" s="207">
        <v>1</v>
      </c>
      <c r="E798" s="207" t="s">
        <v>4398</v>
      </c>
      <c r="F798" s="214" t="s">
        <v>7787</v>
      </c>
      <c r="G798" s="207" t="s">
        <v>4400</v>
      </c>
      <c r="H798" s="207" t="s">
        <v>4401</v>
      </c>
      <c r="I798" s="217" t="s">
        <v>4402</v>
      </c>
      <c r="J798" s="255" t="s">
        <v>7788</v>
      </c>
      <c r="K798" s="255" t="s">
        <v>7789</v>
      </c>
      <c r="L798" s="255" t="s">
        <v>7790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7788</v>
      </c>
      <c r="AB798" s="255" t="s">
        <v>7789</v>
      </c>
      <c r="AC798" s="255" t="s">
        <v>7790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19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16"/>
        <v/>
      </c>
      <c r="BI798" s="98" t="str">
        <f t="shared" si="17"/>
        <v>AA</v>
      </c>
      <c r="BJ798" s="98" t="str">
        <f t="shared" si="18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 x14ac:dyDescent="0.25">
      <c r="A799" s="197">
        <v>795</v>
      </c>
      <c r="B799" s="197" t="s">
        <v>4396</v>
      </c>
      <c r="C799" s="207" t="s">
        <v>4426</v>
      </c>
      <c r="D799" s="207">
        <v>1</v>
      </c>
      <c r="E799" s="207" t="s">
        <v>4398</v>
      </c>
      <c r="F799" s="214" t="s">
        <v>7791</v>
      </c>
      <c r="G799" s="207" t="s">
        <v>4400</v>
      </c>
      <c r="H799" s="207" t="s">
        <v>4401</v>
      </c>
      <c r="I799" s="217" t="s">
        <v>4402</v>
      </c>
      <c r="J799" s="255" t="s">
        <v>7792</v>
      </c>
      <c r="K799" s="255" t="s">
        <v>7793</v>
      </c>
      <c r="L799" s="255" t="s">
        <v>7794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7792</v>
      </c>
      <c r="AB799" s="255" t="s">
        <v>7793</v>
      </c>
      <c r="AC799" s="255" t="s">
        <v>7794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19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16"/>
        <v/>
      </c>
      <c r="BI799" s="98" t="str">
        <f t="shared" si="17"/>
        <v>AA</v>
      </c>
      <c r="BJ799" s="98" t="str">
        <f t="shared" si="18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 x14ac:dyDescent="0.25">
      <c r="A800" s="197">
        <v>796</v>
      </c>
      <c r="B800" s="197" t="s">
        <v>4396</v>
      </c>
      <c r="C800" s="207" t="s">
        <v>4426</v>
      </c>
      <c r="D800" s="207">
        <v>1</v>
      </c>
      <c r="E800" s="207" t="s">
        <v>4398</v>
      </c>
      <c r="F800" s="214" t="s">
        <v>7795</v>
      </c>
      <c r="G800" s="219" t="s">
        <v>4400</v>
      </c>
      <c r="H800" s="219" t="s">
        <v>4401</v>
      </c>
      <c r="I800" s="217" t="s">
        <v>4402</v>
      </c>
      <c r="J800" s="255" t="s">
        <v>7796</v>
      </c>
      <c r="K800" s="255" t="s">
        <v>7797</v>
      </c>
      <c r="L800" s="255" t="s">
        <v>7798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7796</v>
      </c>
      <c r="AB800" s="255" t="s">
        <v>7797</v>
      </c>
      <c r="AC800" s="255" t="s">
        <v>7798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19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16"/>
        <v/>
      </c>
      <c r="BI800" s="98" t="str">
        <f t="shared" si="17"/>
        <v>AA</v>
      </c>
      <c r="BJ800" s="98" t="str">
        <f t="shared" si="18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 x14ac:dyDescent="0.25">
      <c r="A801" s="207">
        <v>797</v>
      </c>
      <c r="B801" s="197" t="s">
        <v>4396</v>
      </c>
      <c r="C801" s="207" t="s">
        <v>4426</v>
      </c>
      <c r="D801" s="207">
        <v>1</v>
      </c>
      <c r="E801" s="207" t="s">
        <v>4398</v>
      </c>
      <c r="F801" s="214" t="s">
        <v>7799</v>
      </c>
      <c r="G801" s="219" t="s">
        <v>4400</v>
      </c>
      <c r="H801" s="219" t="s">
        <v>4401</v>
      </c>
      <c r="I801" s="217" t="s">
        <v>4402</v>
      </c>
      <c r="J801" s="255" t="s">
        <v>7800</v>
      </c>
      <c r="K801" s="255" t="s">
        <v>7801</v>
      </c>
      <c r="L801" s="255" t="s">
        <v>7802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7800</v>
      </c>
      <c r="AB801" s="255" t="s">
        <v>7801</v>
      </c>
      <c r="AC801" s="255" t="s">
        <v>7802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19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16"/>
        <v/>
      </c>
      <c r="BI801" s="98" t="str">
        <f t="shared" si="17"/>
        <v>AA</v>
      </c>
      <c r="BJ801" s="98" t="str">
        <f t="shared" si="18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 x14ac:dyDescent="0.25">
      <c r="A802" s="207">
        <v>798</v>
      </c>
      <c r="B802" s="197" t="s">
        <v>4396</v>
      </c>
      <c r="C802" s="207" t="s">
        <v>4426</v>
      </c>
      <c r="D802" s="207">
        <v>1</v>
      </c>
      <c r="E802" s="207" t="s">
        <v>4398</v>
      </c>
      <c r="F802" s="214" t="s">
        <v>7803</v>
      </c>
      <c r="G802" s="207" t="s">
        <v>4400</v>
      </c>
      <c r="H802" s="207" t="s">
        <v>4401</v>
      </c>
      <c r="I802" s="217" t="s">
        <v>4402</v>
      </c>
      <c r="J802" s="255" t="s">
        <v>7804</v>
      </c>
      <c r="K802" s="255" t="s">
        <v>7805</v>
      </c>
      <c r="L802" s="255" t="s">
        <v>7806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7804</v>
      </c>
      <c r="AB802" s="255" t="s">
        <v>7805</v>
      </c>
      <c r="AC802" s="255" t="s">
        <v>7806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19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16"/>
        <v/>
      </c>
      <c r="BI802" s="98" t="str">
        <f t="shared" si="17"/>
        <v>AA</v>
      </c>
      <c r="BJ802" s="98" t="str">
        <f t="shared" si="18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 x14ac:dyDescent="0.25">
      <c r="A803" s="207">
        <v>799</v>
      </c>
      <c r="B803" s="197" t="s">
        <v>4396</v>
      </c>
      <c r="C803" s="207" t="s">
        <v>4426</v>
      </c>
      <c r="D803" s="207">
        <v>1</v>
      </c>
      <c r="E803" s="207" t="s">
        <v>4398</v>
      </c>
      <c r="F803" s="214" t="s">
        <v>7807</v>
      </c>
      <c r="G803" s="219" t="s">
        <v>4400</v>
      </c>
      <c r="H803" s="219" t="s">
        <v>4401</v>
      </c>
      <c r="I803" s="217" t="s">
        <v>4402</v>
      </c>
      <c r="J803" s="255" t="s">
        <v>7808</v>
      </c>
      <c r="K803" s="255" t="s">
        <v>7809</v>
      </c>
      <c r="L803" s="255" t="s">
        <v>7810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7808</v>
      </c>
      <c r="AB803" s="255" t="s">
        <v>7809</v>
      </c>
      <c r="AC803" s="255" t="s">
        <v>7810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19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16"/>
        <v/>
      </c>
      <c r="BI803" s="98" t="str">
        <f t="shared" si="17"/>
        <v>AA</v>
      </c>
      <c r="BJ803" s="98" t="str">
        <f t="shared" si="18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 x14ac:dyDescent="0.25">
      <c r="A804" s="197">
        <v>800</v>
      </c>
      <c r="B804" s="197" t="s">
        <v>4396</v>
      </c>
      <c r="C804" s="207" t="s">
        <v>4426</v>
      </c>
      <c r="D804" s="207">
        <v>1</v>
      </c>
      <c r="E804" s="207" t="s">
        <v>4398</v>
      </c>
      <c r="F804" s="214" t="s">
        <v>7811</v>
      </c>
      <c r="G804" s="207" t="s">
        <v>4400</v>
      </c>
      <c r="H804" s="207" t="s">
        <v>4401</v>
      </c>
      <c r="I804" s="217" t="s">
        <v>4402</v>
      </c>
      <c r="J804" s="255" t="s">
        <v>7812</v>
      </c>
      <c r="K804" s="255" t="s">
        <v>7813</v>
      </c>
      <c r="L804" s="255" t="s">
        <v>7814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7812</v>
      </c>
      <c r="AB804" s="255" t="s">
        <v>7813</v>
      </c>
      <c r="AC804" s="255" t="s">
        <v>7814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19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16"/>
        <v/>
      </c>
      <c r="BI804" s="98" t="str">
        <f t="shared" si="17"/>
        <v>AA</v>
      </c>
      <c r="BJ804" s="98" t="str">
        <f t="shared" si="18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 x14ac:dyDescent="0.25">
      <c r="A805" s="197">
        <v>801</v>
      </c>
      <c r="B805" s="197" t="s">
        <v>4396</v>
      </c>
      <c r="C805" s="207" t="s">
        <v>4426</v>
      </c>
      <c r="D805" s="207">
        <v>1</v>
      </c>
      <c r="E805" s="207" t="s">
        <v>4398</v>
      </c>
      <c r="F805" s="214" t="s">
        <v>7815</v>
      </c>
      <c r="G805" s="219" t="s">
        <v>4400</v>
      </c>
      <c r="H805" s="219" t="s">
        <v>4401</v>
      </c>
      <c r="I805" s="217" t="s">
        <v>4402</v>
      </c>
      <c r="J805" s="255" t="s">
        <v>7816</v>
      </c>
      <c r="K805" s="255" t="s">
        <v>7817</v>
      </c>
      <c r="L805" s="255" t="s">
        <v>7818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7816</v>
      </c>
      <c r="AB805" s="255" t="s">
        <v>7817</v>
      </c>
      <c r="AC805" s="255" t="s">
        <v>7818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19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16"/>
        <v/>
      </c>
      <c r="BI805" s="98" t="str">
        <f t="shared" si="17"/>
        <v>AA</v>
      </c>
      <c r="BJ805" s="98" t="str">
        <f t="shared" si="18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 x14ac:dyDescent="0.25">
      <c r="A806" s="207">
        <v>802</v>
      </c>
      <c r="B806" s="197" t="s">
        <v>4396</v>
      </c>
      <c r="C806" s="207" t="s">
        <v>4426</v>
      </c>
      <c r="D806" s="207">
        <v>1</v>
      </c>
      <c r="E806" s="207" t="s">
        <v>4398</v>
      </c>
      <c r="F806" s="214" t="s">
        <v>7819</v>
      </c>
      <c r="G806" s="207" t="s">
        <v>4400</v>
      </c>
      <c r="H806" s="207" t="s">
        <v>4401</v>
      </c>
      <c r="I806" s="217" t="s">
        <v>4402</v>
      </c>
      <c r="J806" s="255" t="s">
        <v>7820</v>
      </c>
      <c r="K806" s="255" t="s">
        <v>4439</v>
      </c>
      <c r="L806" s="255" t="s">
        <v>7821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7820</v>
      </c>
      <c r="AB806" s="255" t="s">
        <v>4439</v>
      </c>
      <c r="AC806" s="255" t="s">
        <v>7821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19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16"/>
        <v/>
      </c>
      <c r="BI806" s="98" t="str">
        <f t="shared" si="17"/>
        <v>AA</v>
      </c>
      <c r="BJ806" s="98" t="str">
        <f t="shared" si="18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customHeight="1" x14ac:dyDescent="0.25">
      <c r="A807" s="207">
        <v>803</v>
      </c>
      <c r="B807" s="197" t="s">
        <v>4396</v>
      </c>
      <c r="C807" s="207" t="s">
        <v>4426</v>
      </c>
      <c r="D807" s="207">
        <v>1</v>
      </c>
      <c r="E807" s="207" t="s">
        <v>4398</v>
      </c>
      <c r="F807" s="214" t="s">
        <v>7822</v>
      </c>
      <c r="G807" s="207" t="s">
        <v>4400</v>
      </c>
      <c r="H807" s="207" t="s">
        <v>4401</v>
      </c>
      <c r="I807" s="217" t="s">
        <v>4402</v>
      </c>
      <c r="J807" s="215" t="s">
        <v>7823</v>
      </c>
      <c r="K807" s="215" t="s">
        <v>4398</v>
      </c>
      <c r="L807" s="215" t="s">
        <v>7824</v>
      </c>
      <c r="M807" s="207" t="s">
        <v>4405</v>
      </c>
      <c r="N807" s="207" t="s">
        <v>4431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7823</v>
      </c>
      <c r="AB807" s="215" t="s">
        <v>4398</v>
      </c>
      <c r="AC807" s="215" t="s">
        <v>7824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4432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19"/>
        <v>FINALIZADO</v>
      </c>
      <c r="AS807" s="207" t="s">
        <v>4423</v>
      </c>
      <c r="AT807" s="207"/>
      <c r="AU807" s="263" t="s">
        <v>7825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4434</v>
      </c>
      <c r="BF807" s="257" t="s">
        <v>4435</v>
      </c>
      <c r="BG807" s="219" t="s">
        <v>4425</v>
      </c>
      <c r="BH807" s="321">
        <f t="shared" si="16"/>
        <v>103</v>
      </c>
      <c r="BI807" s="98" t="str">
        <f t="shared" si="17"/>
        <v>INDENIZAÇÃO</v>
      </c>
      <c r="BJ807" s="98" t="str">
        <f t="shared" si="18"/>
        <v>NÃO</v>
      </c>
      <c r="BK807" s="219" t="s">
        <v>4436</v>
      </c>
      <c r="BL807" s="219" t="s">
        <v>4436</v>
      </c>
      <c r="BM807" s="219" t="s">
        <v>4436</v>
      </c>
      <c r="BN807" s="257" t="s">
        <v>4956</v>
      </c>
      <c r="BO807" s="257"/>
      <c r="BP807" s="257"/>
      <c r="BQ807" s="257"/>
      <c r="BR807" s="258"/>
      <c r="BS807" s="223"/>
    </row>
    <row r="808" spans="1:71" ht="27" customHeight="1" x14ac:dyDescent="0.25">
      <c r="A808" s="207">
        <v>804</v>
      </c>
      <c r="B808" s="197" t="s">
        <v>4396</v>
      </c>
      <c r="C808" s="207" t="s">
        <v>4426</v>
      </c>
      <c r="D808" s="207">
        <v>1</v>
      </c>
      <c r="E808" s="207" t="s">
        <v>4398</v>
      </c>
      <c r="F808" s="214" t="s">
        <v>7826</v>
      </c>
      <c r="G808" s="219" t="s">
        <v>4400</v>
      </c>
      <c r="H808" s="219" t="s">
        <v>4401</v>
      </c>
      <c r="I808" s="217" t="s">
        <v>4402</v>
      </c>
      <c r="J808" s="255" t="s">
        <v>7827</v>
      </c>
      <c r="K808" s="220" t="s">
        <v>7828</v>
      </c>
      <c r="L808" s="220" t="s">
        <v>7829</v>
      </c>
      <c r="M808" s="219" t="s">
        <v>4405</v>
      </c>
      <c r="N808" s="219" t="s">
        <v>4431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7827</v>
      </c>
      <c r="AB808" s="220" t="s">
        <v>7828</v>
      </c>
      <c r="AC808" s="220" t="s">
        <v>7829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4432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19"/>
        <v>FINALIZADO</v>
      </c>
      <c r="AS808" s="207" t="s">
        <v>4423</v>
      </c>
      <c r="AT808" s="219"/>
      <c r="AU808" s="263" t="s">
        <v>7830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4434</v>
      </c>
      <c r="BF808" s="257" t="s">
        <v>4435</v>
      </c>
      <c r="BG808" s="219" t="s">
        <v>4425</v>
      </c>
      <c r="BH808" s="321">
        <f t="shared" si="16"/>
        <v>103</v>
      </c>
      <c r="BI808" s="98" t="str">
        <f t="shared" si="17"/>
        <v>INDENIZAÇÃO</v>
      </c>
      <c r="BJ808" s="98" t="str">
        <f t="shared" si="18"/>
        <v>NÃO</v>
      </c>
      <c r="BK808" s="219" t="s">
        <v>4436</v>
      </c>
      <c r="BL808" s="219" t="s">
        <v>4436</v>
      </c>
      <c r="BM808" s="219" t="s">
        <v>4436</v>
      </c>
      <c r="BN808" s="257" t="s">
        <v>4956</v>
      </c>
      <c r="BO808" s="257"/>
      <c r="BP808" s="257"/>
      <c r="BQ808" s="257"/>
      <c r="BR808" s="258"/>
      <c r="BS808" s="223"/>
    </row>
    <row r="809" spans="1:71" ht="27" hidden="1" customHeight="1" x14ac:dyDescent="0.25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20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16"/>
        <v/>
      </c>
      <c r="BI809" s="98" t="str">
        <f t="shared" si="17"/>
        <v>INDENIZAÇÃO</v>
      </c>
      <c r="BJ809" s="98" t="str">
        <f t="shared" si="18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 x14ac:dyDescent="0.25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20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16"/>
        <v/>
      </c>
      <c r="BI810" s="98" t="str">
        <f t="shared" si="17"/>
        <v>INDENIZAÇÃO</v>
      </c>
      <c r="BJ810" s="98" t="str">
        <f t="shared" si="18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 x14ac:dyDescent="0.25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20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16"/>
        <v/>
      </c>
      <c r="BI811" s="98" t="str">
        <f t="shared" si="17"/>
        <v>INDENIZAÇÃO</v>
      </c>
      <c r="BJ811" s="98" t="str">
        <f t="shared" si="18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 x14ac:dyDescent="0.25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20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16"/>
        <v/>
      </c>
      <c r="BI812" s="98" t="str">
        <f t="shared" si="17"/>
        <v>INDENIZAÇÃO</v>
      </c>
      <c r="BJ812" s="98" t="str">
        <f t="shared" si="18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 x14ac:dyDescent="0.25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20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16"/>
        <v/>
      </c>
      <c r="BI813" s="98" t="str">
        <f t="shared" si="17"/>
        <v>INDENIZAÇÃO</v>
      </c>
      <c r="BJ813" s="98" t="str">
        <f t="shared" si="18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 x14ac:dyDescent="0.25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20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16"/>
        <v/>
      </c>
      <c r="BI814" s="98" t="str">
        <f t="shared" si="17"/>
        <v>INDENIZAÇÃO</v>
      </c>
      <c r="BJ814" s="98" t="str">
        <f t="shared" si="18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 x14ac:dyDescent="0.25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20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16"/>
        <v/>
      </c>
      <c r="BI815" s="98" t="str">
        <f t="shared" si="17"/>
        <v>INDENIZAÇÃO</v>
      </c>
      <c r="BJ815" s="98" t="str">
        <f t="shared" si="18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 x14ac:dyDescent="0.25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20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16"/>
        <v/>
      </c>
      <c r="BI816" s="98" t="str">
        <f t="shared" si="17"/>
        <v>INDENIZAÇÃO</v>
      </c>
      <c r="BJ816" s="98" t="str">
        <f t="shared" si="18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 x14ac:dyDescent="0.25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20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16"/>
        <v/>
      </c>
      <c r="BI817" s="98" t="str">
        <f t="shared" si="17"/>
        <v>INDENIZAÇÃO</v>
      </c>
      <c r="BJ817" s="98" t="str">
        <f t="shared" si="18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 x14ac:dyDescent="0.25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20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16"/>
        <v/>
      </c>
      <c r="BI818" s="98" t="str">
        <f t="shared" si="17"/>
        <v>INDENIZAÇÃO</v>
      </c>
      <c r="BJ818" s="98" t="str">
        <f t="shared" si="18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 x14ac:dyDescent="0.25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20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16"/>
        <v/>
      </c>
      <c r="BI819" s="98" t="str">
        <f t="shared" si="17"/>
        <v>INDENIZAÇÃO</v>
      </c>
      <c r="BJ819" s="98" t="str">
        <f t="shared" si="18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 x14ac:dyDescent="0.25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20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16"/>
        <v/>
      </c>
      <c r="BI820" s="98" t="str">
        <f t="shared" si="17"/>
        <v>INDENIZAÇÃO</v>
      </c>
      <c r="BJ820" s="98" t="str">
        <f t="shared" si="18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 x14ac:dyDescent="0.25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20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16"/>
        <v/>
      </c>
      <c r="BI821" s="98" t="str">
        <f t="shared" si="17"/>
        <v>INDENIZAÇÃO</v>
      </c>
      <c r="BJ821" s="98" t="str">
        <f t="shared" si="18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 x14ac:dyDescent="0.25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20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16"/>
        <v/>
      </c>
      <c r="BI822" s="98" t="str">
        <f t="shared" si="17"/>
        <v>INDENIZAÇÃO</v>
      </c>
      <c r="BJ822" s="98" t="str">
        <f t="shared" si="18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 x14ac:dyDescent="0.25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20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16"/>
        <v/>
      </c>
      <c r="BI823" s="98" t="str">
        <f t="shared" si="17"/>
        <v>INDENIZAÇÃO</v>
      </c>
      <c r="BJ823" s="98" t="str">
        <f t="shared" si="18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 x14ac:dyDescent="0.25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20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16"/>
        <v/>
      </c>
      <c r="BI824" s="98" t="str">
        <f t="shared" si="17"/>
        <v>INDENIZAÇÃO</v>
      </c>
      <c r="BJ824" s="98" t="str">
        <f t="shared" si="18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 x14ac:dyDescent="0.25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20"/>
        <v/>
      </c>
      <c r="AS825" s="197"/>
      <c r="AU825" s="225"/>
      <c r="BD825" s="208"/>
      <c r="BH825" s="321" t="str">
        <f t="shared" si="16"/>
        <v/>
      </c>
      <c r="BI825" s="98" t="str">
        <f t="shared" si="17"/>
        <v>INDENIZAÇÃO</v>
      </c>
      <c r="BJ825" s="98" t="str">
        <f t="shared" si="18"/>
        <v>NÃO</v>
      </c>
    </row>
    <row r="826" spans="1:70" ht="27" hidden="1" customHeight="1" x14ac:dyDescent="0.25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20"/>
        <v/>
      </c>
      <c r="AS826" s="207"/>
      <c r="AU826" s="225"/>
      <c r="BD826" s="208"/>
      <c r="BH826" s="321" t="str">
        <f t="shared" si="16"/>
        <v/>
      </c>
      <c r="BI826" s="98" t="str">
        <f t="shared" si="17"/>
        <v>INDENIZAÇÃO</v>
      </c>
      <c r="BJ826" s="98" t="str">
        <f t="shared" si="18"/>
        <v>NÃO</v>
      </c>
    </row>
    <row r="827" spans="1:70" ht="27" hidden="1" customHeight="1" x14ac:dyDescent="0.25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20"/>
        <v/>
      </c>
      <c r="AS827" s="207"/>
      <c r="AU827" s="225"/>
      <c r="BD827" s="208"/>
      <c r="BH827" s="321" t="str">
        <f t="shared" si="16"/>
        <v/>
      </c>
      <c r="BI827" s="98" t="str">
        <f t="shared" si="17"/>
        <v>INDENIZAÇÃO</v>
      </c>
      <c r="BJ827" s="98" t="str">
        <f t="shared" si="18"/>
        <v>NÃO</v>
      </c>
    </row>
    <row r="828" spans="1:70" ht="27" hidden="1" customHeight="1" x14ac:dyDescent="0.25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20"/>
        <v/>
      </c>
      <c r="AS828" s="207"/>
      <c r="AU828" s="225"/>
      <c r="BD828" s="208"/>
      <c r="BH828" s="321" t="str">
        <f t="shared" si="16"/>
        <v/>
      </c>
      <c r="BI828" s="98" t="str">
        <f t="shared" si="17"/>
        <v>INDENIZAÇÃO</v>
      </c>
      <c r="BJ828" s="98" t="str">
        <f t="shared" si="18"/>
        <v>NÃO</v>
      </c>
    </row>
    <row r="829" spans="1:70" ht="27" hidden="1" customHeight="1" x14ac:dyDescent="0.25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20"/>
        <v/>
      </c>
      <c r="AS829" s="207"/>
      <c r="AU829" s="225"/>
      <c r="BD829" s="208"/>
      <c r="BH829" s="321" t="str">
        <f t="shared" si="16"/>
        <v/>
      </c>
      <c r="BI829" s="98" t="str">
        <f t="shared" si="17"/>
        <v>INDENIZAÇÃO</v>
      </c>
      <c r="BJ829" s="98" t="str">
        <f t="shared" si="18"/>
        <v>NÃO</v>
      </c>
    </row>
    <row r="830" spans="1:70" ht="27" hidden="1" customHeight="1" x14ac:dyDescent="0.25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20"/>
        <v/>
      </c>
      <c r="AS830" s="207"/>
      <c r="AU830" s="225"/>
      <c r="BD830" s="208"/>
      <c r="BH830" s="321" t="str">
        <f t="shared" si="16"/>
        <v/>
      </c>
      <c r="BI830" s="98" t="str">
        <f t="shared" si="17"/>
        <v>INDENIZAÇÃO</v>
      </c>
      <c r="BJ830" s="98" t="str">
        <f t="shared" si="18"/>
        <v>NÃO</v>
      </c>
    </row>
    <row r="831" spans="1:70" ht="27" hidden="1" customHeight="1" x14ac:dyDescent="0.25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21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16"/>
        <v/>
      </c>
      <c r="BI831" s="98" t="str">
        <f t="shared" si="17"/>
        <v>INDENIZAÇÃO</v>
      </c>
      <c r="BJ831" s="98" t="str">
        <f t="shared" si="18"/>
        <v>NÃO</v>
      </c>
    </row>
    <row r="832" spans="1:70" ht="27" hidden="1" customHeight="1" x14ac:dyDescent="0.25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21"/>
        <v/>
      </c>
      <c r="AS832" s="207"/>
      <c r="AU832" s="225"/>
      <c r="BD832" s="208"/>
      <c r="BH832" s="321" t="str">
        <f t="shared" si="16"/>
        <v/>
      </c>
      <c r="BI832" s="98" t="str">
        <f t="shared" si="17"/>
        <v>INDENIZAÇÃO</v>
      </c>
      <c r="BJ832" s="98" t="str">
        <f t="shared" si="18"/>
        <v>NÃO</v>
      </c>
    </row>
    <row r="833" spans="1:62" ht="27" hidden="1" customHeight="1" x14ac:dyDescent="0.25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21"/>
        <v/>
      </c>
      <c r="AS833" s="207"/>
      <c r="AU833" s="225"/>
      <c r="BD833" s="208"/>
      <c r="BH833" s="321" t="str">
        <f t="shared" si="16"/>
        <v/>
      </c>
      <c r="BI833" s="98" t="str">
        <f t="shared" si="17"/>
        <v>INDENIZAÇÃO</v>
      </c>
      <c r="BJ833" s="98" t="str">
        <f t="shared" si="18"/>
        <v>NÃO</v>
      </c>
    </row>
    <row r="834" spans="1:62" ht="27" hidden="1" customHeight="1" x14ac:dyDescent="0.25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21"/>
        <v/>
      </c>
      <c r="AS834" s="207"/>
      <c r="AU834" s="225"/>
      <c r="BD834" s="208"/>
      <c r="BH834" s="321" t="str">
        <f t="shared" si="16"/>
        <v/>
      </c>
      <c r="BI834" s="98" t="str">
        <f t="shared" si="17"/>
        <v>INDENIZAÇÃO</v>
      </c>
      <c r="BJ834" s="98" t="str">
        <f t="shared" si="18"/>
        <v>NÃO</v>
      </c>
    </row>
    <row r="835" spans="1:62" ht="27" hidden="1" customHeight="1" x14ac:dyDescent="0.25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21"/>
        <v/>
      </c>
      <c r="AS835" s="207"/>
      <c r="AU835" s="225"/>
      <c r="BD835" s="208"/>
      <c r="BH835" s="321" t="str">
        <f t="shared" si="16"/>
        <v/>
      </c>
      <c r="BI835" s="98" t="str">
        <f t="shared" si="17"/>
        <v>INDENIZAÇÃO</v>
      </c>
      <c r="BJ835" s="98" t="str">
        <f t="shared" si="18"/>
        <v>NÃO</v>
      </c>
    </row>
    <row r="836" spans="1:62" ht="27" hidden="1" customHeight="1" x14ac:dyDescent="0.25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21"/>
        <v/>
      </c>
      <c r="AS836" s="207"/>
      <c r="AU836" s="225"/>
      <c r="BD836" s="208"/>
      <c r="BH836" s="321" t="str">
        <f t="shared" si="16"/>
        <v/>
      </c>
      <c r="BI836" s="98" t="str">
        <f t="shared" si="17"/>
        <v>INDENIZAÇÃO</v>
      </c>
      <c r="BJ836" s="98" t="str">
        <f t="shared" si="18"/>
        <v>NÃO</v>
      </c>
    </row>
    <row r="837" spans="1:62" ht="27" hidden="1" customHeight="1" x14ac:dyDescent="0.25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21"/>
        <v/>
      </c>
      <c r="AS837" s="207"/>
      <c r="AU837" s="225"/>
      <c r="BD837" s="208"/>
      <c r="BH837" s="321" t="str">
        <f t="shared" ref="BH837:BH900" si="22">IFERROR(IF(BD837-KI837=0,"",BD837-AK837),"")</f>
        <v/>
      </c>
      <c r="BI837" s="98" t="str">
        <f t="shared" ref="BI837:BI900" si="23">IF(AND(AH837&lt;&gt;"SIM",AH837="UH"),"AA","INDENIZAÇÃO")</f>
        <v>INDENIZAÇÃO</v>
      </c>
      <c r="BJ837" s="98" t="str">
        <f t="shared" ref="BJ837:BJ900" si="24">IF(AND(BD837&lt;&gt;"AGUARDANDO",BD837&lt;&gt;"",N837="AUXÍLIO ALUGUEL ATÉ INDENIZAÇÃO"),"SIM","NÃO")</f>
        <v>NÃO</v>
      </c>
    </row>
    <row r="838" spans="1:62" ht="27" hidden="1" customHeight="1" x14ac:dyDescent="0.25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21"/>
        <v/>
      </c>
      <c r="AS838" s="207"/>
      <c r="AU838" s="225"/>
      <c r="BD838" s="208"/>
      <c r="BH838" s="321" t="str">
        <f t="shared" si="22"/>
        <v/>
      </c>
      <c r="BI838" s="98" t="str">
        <f t="shared" si="23"/>
        <v>INDENIZAÇÃO</v>
      </c>
      <c r="BJ838" s="98" t="str">
        <f t="shared" si="24"/>
        <v>NÃO</v>
      </c>
    </row>
    <row r="839" spans="1:62" ht="27" hidden="1" customHeight="1" x14ac:dyDescent="0.25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21"/>
        <v/>
      </c>
      <c r="AS839" s="207"/>
      <c r="AU839" s="225"/>
      <c r="BD839" s="208"/>
      <c r="BH839" s="321" t="str">
        <f t="shared" si="22"/>
        <v/>
      </c>
      <c r="BI839" s="98" t="str">
        <f t="shared" si="23"/>
        <v>INDENIZAÇÃO</v>
      </c>
      <c r="BJ839" s="98" t="str">
        <f t="shared" si="24"/>
        <v>NÃO</v>
      </c>
    </row>
    <row r="840" spans="1:62" ht="27" hidden="1" customHeight="1" x14ac:dyDescent="0.25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21"/>
        <v/>
      </c>
      <c r="AS840" s="207"/>
      <c r="AU840" s="225"/>
      <c r="BD840" s="208"/>
      <c r="BH840" s="321" t="str">
        <f t="shared" si="22"/>
        <v/>
      </c>
      <c r="BI840" s="98" t="str">
        <f t="shared" si="23"/>
        <v>INDENIZAÇÃO</v>
      </c>
      <c r="BJ840" s="98" t="str">
        <f t="shared" si="24"/>
        <v>NÃO</v>
      </c>
    </row>
    <row r="841" spans="1:62" ht="27" hidden="1" customHeight="1" x14ac:dyDescent="0.25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21"/>
        <v/>
      </c>
      <c r="AS841" s="207"/>
      <c r="AU841" s="225"/>
      <c r="BD841" s="208"/>
      <c r="BH841" s="321" t="str">
        <f t="shared" si="22"/>
        <v/>
      </c>
      <c r="BI841" s="98" t="str">
        <f t="shared" si="23"/>
        <v>INDENIZAÇÃO</v>
      </c>
      <c r="BJ841" s="98" t="str">
        <f t="shared" si="24"/>
        <v>NÃO</v>
      </c>
    </row>
    <row r="842" spans="1:62" ht="27" hidden="1" customHeight="1" x14ac:dyDescent="0.25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21"/>
        <v/>
      </c>
      <c r="AS842" s="207"/>
      <c r="AU842" s="225"/>
      <c r="BD842" s="208"/>
      <c r="BH842" s="321" t="str">
        <f t="shared" si="22"/>
        <v/>
      </c>
      <c r="BI842" s="98" t="str">
        <f t="shared" si="23"/>
        <v>INDENIZAÇÃO</v>
      </c>
      <c r="BJ842" s="98" t="str">
        <f t="shared" si="24"/>
        <v>NÃO</v>
      </c>
    </row>
    <row r="843" spans="1:62" ht="27" hidden="1" customHeight="1" x14ac:dyDescent="0.25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21"/>
        <v/>
      </c>
      <c r="AS843" s="207"/>
      <c r="AU843" s="225"/>
      <c r="BD843" s="208"/>
      <c r="BH843" s="321" t="str">
        <f t="shared" si="22"/>
        <v/>
      </c>
      <c r="BI843" s="98" t="str">
        <f t="shared" si="23"/>
        <v>INDENIZAÇÃO</v>
      </c>
      <c r="BJ843" s="98" t="str">
        <f t="shared" si="24"/>
        <v>NÃO</v>
      </c>
    </row>
    <row r="844" spans="1:62" ht="27" hidden="1" customHeight="1" x14ac:dyDescent="0.25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21"/>
        <v/>
      </c>
      <c r="AS844" s="207"/>
      <c r="AU844" s="225"/>
      <c r="BD844" s="208"/>
      <c r="BH844" s="321" t="str">
        <f t="shared" si="22"/>
        <v/>
      </c>
      <c r="BI844" s="98" t="str">
        <f t="shared" si="23"/>
        <v>INDENIZAÇÃO</v>
      </c>
      <c r="BJ844" s="98" t="str">
        <f t="shared" si="24"/>
        <v>NÃO</v>
      </c>
    </row>
    <row r="845" spans="1:62" ht="27" hidden="1" customHeight="1" x14ac:dyDescent="0.25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21"/>
        <v/>
      </c>
      <c r="AS845" s="207"/>
      <c r="AU845" s="225"/>
      <c r="BD845" s="208"/>
      <c r="BH845" s="321" t="str">
        <f t="shared" si="22"/>
        <v/>
      </c>
      <c r="BI845" s="98" t="str">
        <f t="shared" si="23"/>
        <v>INDENIZAÇÃO</v>
      </c>
      <c r="BJ845" s="98" t="str">
        <f t="shared" si="24"/>
        <v>NÃO</v>
      </c>
    </row>
    <row r="846" spans="1:62" ht="27" hidden="1" customHeight="1" x14ac:dyDescent="0.25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21"/>
        <v/>
      </c>
      <c r="AS846" s="207"/>
      <c r="AU846" s="225"/>
      <c r="BD846" s="208"/>
      <c r="BH846" s="321" t="str">
        <f t="shared" si="22"/>
        <v/>
      </c>
      <c r="BI846" s="98" t="str">
        <f t="shared" si="23"/>
        <v>INDENIZAÇÃO</v>
      </c>
      <c r="BJ846" s="98" t="str">
        <f t="shared" si="24"/>
        <v>NÃO</v>
      </c>
    </row>
    <row r="847" spans="1:62" ht="27" hidden="1" customHeight="1" x14ac:dyDescent="0.25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21"/>
        <v/>
      </c>
      <c r="AS847" s="207"/>
      <c r="AU847" s="225"/>
      <c r="BD847" s="208"/>
      <c r="BH847" s="321" t="str">
        <f t="shared" si="22"/>
        <v/>
      </c>
      <c r="BI847" s="98" t="str">
        <f t="shared" si="23"/>
        <v>INDENIZAÇÃO</v>
      </c>
      <c r="BJ847" s="98" t="str">
        <f t="shared" si="24"/>
        <v>NÃO</v>
      </c>
    </row>
    <row r="848" spans="1:62" ht="27" hidden="1" customHeight="1" x14ac:dyDescent="0.25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21"/>
        <v/>
      </c>
      <c r="AS848" s="207"/>
      <c r="AU848" s="225"/>
      <c r="BD848" s="208"/>
      <c r="BH848" s="321" t="str">
        <f t="shared" si="22"/>
        <v/>
      </c>
      <c r="BI848" s="98" t="str">
        <f t="shared" si="23"/>
        <v>INDENIZAÇÃO</v>
      </c>
      <c r="BJ848" s="98" t="str">
        <f t="shared" si="24"/>
        <v>NÃO</v>
      </c>
    </row>
    <row r="849" spans="1:62" ht="27" hidden="1" customHeight="1" x14ac:dyDescent="0.25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21"/>
        <v/>
      </c>
      <c r="AS849" s="207"/>
      <c r="AU849" s="225"/>
      <c r="BD849" s="208"/>
      <c r="BH849" s="321" t="str">
        <f t="shared" si="22"/>
        <v/>
      </c>
      <c r="BI849" s="98" t="str">
        <f t="shared" si="23"/>
        <v>INDENIZAÇÃO</v>
      </c>
      <c r="BJ849" s="98" t="str">
        <f t="shared" si="24"/>
        <v>NÃO</v>
      </c>
    </row>
    <row r="850" spans="1:62" ht="27" hidden="1" customHeight="1" x14ac:dyDescent="0.25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21"/>
        <v/>
      </c>
      <c r="AS850" s="207"/>
      <c r="AU850" s="225"/>
      <c r="BD850" s="208"/>
      <c r="BH850" s="321" t="str">
        <f t="shared" si="22"/>
        <v/>
      </c>
      <c r="BI850" s="98" t="str">
        <f t="shared" si="23"/>
        <v>INDENIZAÇÃO</v>
      </c>
      <c r="BJ850" s="98" t="str">
        <f t="shared" si="24"/>
        <v>NÃO</v>
      </c>
    </row>
    <row r="851" spans="1:62" ht="27" hidden="1" customHeight="1" x14ac:dyDescent="0.25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21"/>
        <v/>
      </c>
      <c r="AS851" s="207"/>
      <c r="AU851" s="225"/>
      <c r="BD851" s="208"/>
      <c r="BH851" s="321" t="str">
        <f t="shared" si="22"/>
        <v/>
      </c>
      <c r="BI851" s="98" t="str">
        <f t="shared" si="23"/>
        <v>INDENIZAÇÃO</v>
      </c>
      <c r="BJ851" s="98" t="str">
        <f t="shared" si="24"/>
        <v>NÃO</v>
      </c>
    </row>
    <row r="852" spans="1:62" ht="27" hidden="1" customHeight="1" x14ac:dyDescent="0.25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21"/>
        <v/>
      </c>
      <c r="AS852" s="207"/>
      <c r="AU852" s="225"/>
      <c r="BD852" s="208"/>
      <c r="BH852" s="321" t="str">
        <f t="shared" si="22"/>
        <v/>
      </c>
      <c r="BI852" s="98" t="str">
        <f t="shared" si="23"/>
        <v>INDENIZAÇÃO</v>
      </c>
      <c r="BJ852" s="98" t="str">
        <f t="shared" si="24"/>
        <v>NÃO</v>
      </c>
    </row>
    <row r="853" spans="1:62" ht="27" hidden="1" customHeight="1" x14ac:dyDescent="0.25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21"/>
        <v/>
      </c>
      <c r="AS853" s="207"/>
      <c r="AU853" s="225"/>
      <c r="BD853" s="208"/>
      <c r="BH853" s="321" t="str">
        <f t="shared" si="22"/>
        <v/>
      </c>
      <c r="BI853" s="98" t="str">
        <f t="shared" si="23"/>
        <v>INDENIZAÇÃO</v>
      </c>
      <c r="BJ853" s="98" t="str">
        <f t="shared" si="24"/>
        <v>NÃO</v>
      </c>
    </row>
    <row r="854" spans="1:62" ht="27" hidden="1" customHeight="1" x14ac:dyDescent="0.25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21"/>
        <v/>
      </c>
      <c r="AS854" s="207"/>
      <c r="AU854" s="225"/>
      <c r="BD854" s="208"/>
      <c r="BH854" s="321" t="str">
        <f t="shared" si="22"/>
        <v/>
      </c>
      <c r="BI854" s="98" t="str">
        <f t="shared" si="23"/>
        <v>INDENIZAÇÃO</v>
      </c>
      <c r="BJ854" s="98" t="str">
        <f t="shared" si="24"/>
        <v>NÃO</v>
      </c>
    </row>
    <row r="855" spans="1:62" ht="27" hidden="1" customHeight="1" x14ac:dyDescent="0.25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21"/>
        <v/>
      </c>
      <c r="AS855" s="207"/>
      <c r="AU855" s="225"/>
      <c r="BD855" s="208"/>
      <c r="BH855" s="321" t="str">
        <f t="shared" si="22"/>
        <v/>
      </c>
      <c r="BI855" s="98" t="str">
        <f t="shared" si="23"/>
        <v>INDENIZAÇÃO</v>
      </c>
      <c r="BJ855" s="98" t="str">
        <f t="shared" si="24"/>
        <v>NÃO</v>
      </c>
    </row>
    <row r="856" spans="1:62" ht="27" hidden="1" customHeight="1" x14ac:dyDescent="0.25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21"/>
        <v/>
      </c>
      <c r="AS856" s="207"/>
      <c r="AU856" s="225"/>
      <c r="BD856" s="208"/>
      <c r="BH856" s="321" t="str">
        <f t="shared" si="22"/>
        <v/>
      </c>
      <c r="BI856" s="98" t="str">
        <f t="shared" si="23"/>
        <v>INDENIZAÇÃO</v>
      </c>
      <c r="BJ856" s="98" t="str">
        <f t="shared" si="24"/>
        <v>NÃO</v>
      </c>
    </row>
    <row r="857" spans="1:62" ht="27" hidden="1" customHeight="1" x14ac:dyDescent="0.25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21"/>
        <v/>
      </c>
      <c r="AS857" s="207"/>
      <c r="AU857" s="225"/>
      <c r="BD857" s="208"/>
      <c r="BH857" s="321" t="str">
        <f t="shared" si="22"/>
        <v/>
      </c>
      <c r="BI857" s="98" t="str">
        <f t="shared" si="23"/>
        <v>INDENIZAÇÃO</v>
      </c>
      <c r="BJ857" s="98" t="str">
        <f t="shared" si="24"/>
        <v>NÃO</v>
      </c>
    </row>
    <row r="858" spans="1:62" ht="27" hidden="1" customHeight="1" x14ac:dyDescent="0.25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21"/>
        <v/>
      </c>
      <c r="AS858" s="207"/>
      <c r="AU858" s="225"/>
      <c r="BD858" s="208"/>
      <c r="BH858" s="321" t="str">
        <f t="shared" si="22"/>
        <v/>
      </c>
      <c r="BI858" s="98" t="str">
        <f t="shared" si="23"/>
        <v>INDENIZAÇÃO</v>
      </c>
      <c r="BJ858" s="98" t="str">
        <f t="shared" si="24"/>
        <v>NÃO</v>
      </c>
    </row>
    <row r="859" spans="1:62" ht="27" hidden="1" customHeight="1" x14ac:dyDescent="0.25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21"/>
        <v/>
      </c>
      <c r="AS859" s="207"/>
      <c r="AU859" s="225"/>
      <c r="BD859" s="208"/>
      <c r="BH859" s="321" t="str">
        <f t="shared" si="22"/>
        <v/>
      </c>
      <c r="BI859" s="98" t="str">
        <f t="shared" si="23"/>
        <v>INDENIZAÇÃO</v>
      </c>
      <c r="BJ859" s="98" t="str">
        <f t="shared" si="24"/>
        <v>NÃO</v>
      </c>
    </row>
    <row r="860" spans="1:62" ht="27" hidden="1" customHeight="1" x14ac:dyDescent="0.25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21"/>
        <v/>
      </c>
      <c r="AS860" s="207"/>
      <c r="AU860" s="225"/>
      <c r="BD860" s="208"/>
      <c r="BH860" s="321" t="str">
        <f t="shared" si="22"/>
        <v/>
      </c>
      <c r="BI860" s="98" t="str">
        <f t="shared" si="23"/>
        <v>INDENIZAÇÃO</v>
      </c>
      <c r="BJ860" s="98" t="str">
        <f t="shared" si="24"/>
        <v>NÃO</v>
      </c>
    </row>
    <row r="861" spans="1:62" ht="27" hidden="1" customHeight="1" x14ac:dyDescent="0.25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21"/>
        <v/>
      </c>
      <c r="AS861" s="207"/>
      <c r="AU861" s="225"/>
      <c r="BD861" s="208"/>
      <c r="BH861" s="321" t="str">
        <f t="shared" si="22"/>
        <v/>
      </c>
      <c r="BI861" s="98" t="str">
        <f t="shared" si="23"/>
        <v>INDENIZAÇÃO</v>
      </c>
      <c r="BJ861" s="98" t="str">
        <f t="shared" si="24"/>
        <v>NÃO</v>
      </c>
    </row>
    <row r="862" spans="1:62" ht="27" hidden="1" customHeight="1" x14ac:dyDescent="0.25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21"/>
        <v/>
      </c>
      <c r="AS862" s="207"/>
      <c r="AU862" s="225"/>
      <c r="BD862" s="208"/>
      <c r="BH862" s="321" t="str">
        <f t="shared" si="22"/>
        <v/>
      </c>
      <c r="BI862" s="98" t="str">
        <f t="shared" si="23"/>
        <v>INDENIZAÇÃO</v>
      </c>
      <c r="BJ862" s="98" t="str">
        <f t="shared" si="24"/>
        <v>NÃO</v>
      </c>
    </row>
    <row r="863" spans="1:62" ht="27" hidden="1" customHeight="1" x14ac:dyDescent="0.25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21"/>
        <v/>
      </c>
      <c r="AS863" s="207"/>
      <c r="AU863" s="225"/>
      <c r="BD863" s="208"/>
      <c r="BH863" s="321" t="str">
        <f t="shared" si="22"/>
        <v/>
      </c>
      <c r="BI863" s="98" t="str">
        <f t="shared" si="23"/>
        <v>INDENIZAÇÃO</v>
      </c>
      <c r="BJ863" s="98" t="str">
        <f t="shared" si="24"/>
        <v>NÃO</v>
      </c>
    </row>
    <row r="864" spans="1:62" ht="27" hidden="1" customHeight="1" x14ac:dyDescent="0.25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21"/>
        <v/>
      </c>
      <c r="AS864" s="207"/>
      <c r="AU864" s="225"/>
      <c r="BD864" s="208"/>
      <c r="BH864" s="321" t="str">
        <f t="shared" si="22"/>
        <v/>
      </c>
      <c r="BI864" s="98" t="str">
        <f t="shared" si="23"/>
        <v>INDENIZAÇÃO</v>
      </c>
      <c r="BJ864" s="98" t="str">
        <f t="shared" si="24"/>
        <v>NÃO</v>
      </c>
    </row>
    <row r="865" spans="1:62" ht="27" hidden="1" customHeight="1" x14ac:dyDescent="0.25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21"/>
        <v/>
      </c>
      <c r="AS865" s="207"/>
      <c r="AU865" s="225"/>
      <c r="BD865" s="208"/>
      <c r="BH865" s="321" t="str">
        <f t="shared" si="22"/>
        <v/>
      </c>
      <c r="BI865" s="98" t="str">
        <f t="shared" si="23"/>
        <v>INDENIZAÇÃO</v>
      </c>
      <c r="BJ865" s="98" t="str">
        <f t="shared" si="24"/>
        <v>NÃO</v>
      </c>
    </row>
    <row r="866" spans="1:62" ht="27" hidden="1" customHeight="1" x14ac:dyDescent="0.25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21"/>
        <v/>
      </c>
      <c r="AS866" s="207"/>
      <c r="AU866" s="225"/>
      <c r="BD866" s="208"/>
      <c r="BH866" s="321" t="str">
        <f t="shared" si="22"/>
        <v/>
      </c>
      <c r="BI866" s="98" t="str">
        <f t="shared" si="23"/>
        <v>INDENIZAÇÃO</v>
      </c>
      <c r="BJ866" s="98" t="str">
        <f t="shared" si="24"/>
        <v>NÃO</v>
      </c>
    </row>
    <row r="867" spans="1:62" ht="27" hidden="1" customHeight="1" x14ac:dyDescent="0.25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21"/>
        <v/>
      </c>
      <c r="AS867" s="207"/>
      <c r="AU867" s="225"/>
      <c r="BD867" s="208"/>
      <c r="BH867" s="321" t="str">
        <f t="shared" si="22"/>
        <v/>
      </c>
      <c r="BI867" s="98" t="str">
        <f t="shared" si="23"/>
        <v>INDENIZAÇÃO</v>
      </c>
      <c r="BJ867" s="98" t="str">
        <f t="shared" si="24"/>
        <v>NÃO</v>
      </c>
    </row>
    <row r="868" spans="1:62" ht="27" hidden="1" customHeight="1" x14ac:dyDescent="0.25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21"/>
        <v/>
      </c>
      <c r="AS868" s="207"/>
      <c r="AU868" s="225"/>
      <c r="BD868" s="208"/>
      <c r="BH868" s="321" t="str">
        <f t="shared" si="22"/>
        <v/>
      </c>
      <c r="BI868" s="98" t="str">
        <f t="shared" si="23"/>
        <v>INDENIZAÇÃO</v>
      </c>
      <c r="BJ868" s="98" t="str">
        <f t="shared" si="24"/>
        <v>NÃO</v>
      </c>
    </row>
    <row r="869" spans="1:62" ht="27" hidden="1" customHeight="1" x14ac:dyDescent="0.25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21"/>
        <v/>
      </c>
      <c r="AS869" s="207"/>
      <c r="AU869" s="225"/>
      <c r="BD869" s="208"/>
      <c r="BH869" s="321" t="str">
        <f t="shared" si="22"/>
        <v/>
      </c>
      <c r="BI869" s="98" t="str">
        <f t="shared" si="23"/>
        <v>INDENIZAÇÃO</v>
      </c>
      <c r="BJ869" s="98" t="str">
        <f t="shared" si="24"/>
        <v>NÃO</v>
      </c>
    </row>
    <row r="870" spans="1:62" ht="27" hidden="1" customHeight="1" x14ac:dyDescent="0.25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21"/>
        <v/>
      </c>
      <c r="AU870" s="225"/>
      <c r="BC870" s="308"/>
      <c r="BD870" s="208"/>
      <c r="BH870" s="321" t="str">
        <f t="shared" si="22"/>
        <v/>
      </c>
      <c r="BI870" s="98" t="str">
        <f t="shared" si="23"/>
        <v>INDENIZAÇÃO</v>
      </c>
      <c r="BJ870" s="98" t="str">
        <f t="shared" si="24"/>
        <v>NÃO</v>
      </c>
    </row>
    <row r="871" spans="1:62" ht="27" hidden="1" customHeight="1" x14ac:dyDescent="0.25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21"/>
        <v/>
      </c>
      <c r="AU871" s="225"/>
      <c r="BC871" s="308"/>
      <c r="BD871" s="208"/>
      <c r="BH871" s="321" t="str">
        <f t="shared" si="22"/>
        <v/>
      </c>
      <c r="BI871" s="98" t="str">
        <f t="shared" si="23"/>
        <v>INDENIZAÇÃO</v>
      </c>
      <c r="BJ871" s="98" t="str">
        <f t="shared" si="24"/>
        <v>NÃO</v>
      </c>
    </row>
    <row r="872" spans="1:62" ht="27" hidden="1" customHeight="1" x14ac:dyDescent="0.25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21"/>
        <v/>
      </c>
      <c r="AU872" s="225"/>
      <c r="BC872" s="308"/>
      <c r="BD872" s="208"/>
      <c r="BH872" s="321" t="str">
        <f t="shared" si="22"/>
        <v/>
      </c>
      <c r="BI872" s="98" t="str">
        <f t="shared" si="23"/>
        <v>INDENIZAÇÃO</v>
      </c>
      <c r="BJ872" s="98" t="str">
        <f t="shared" si="24"/>
        <v>NÃO</v>
      </c>
    </row>
    <row r="873" spans="1:62" ht="27" hidden="1" customHeight="1" x14ac:dyDescent="0.25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21"/>
        <v/>
      </c>
      <c r="AU873" s="225"/>
      <c r="BC873" s="308"/>
      <c r="BD873" s="208"/>
      <c r="BH873" s="321" t="str">
        <f t="shared" si="22"/>
        <v/>
      </c>
      <c r="BI873" s="98" t="str">
        <f t="shared" si="23"/>
        <v>INDENIZAÇÃO</v>
      </c>
      <c r="BJ873" s="98" t="str">
        <f t="shared" si="24"/>
        <v>NÃO</v>
      </c>
    </row>
    <row r="874" spans="1:62" ht="27" hidden="1" customHeight="1" x14ac:dyDescent="0.25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21"/>
        <v/>
      </c>
      <c r="AU874" s="225"/>
      <c r="BD874" s="208"/>
      <c r="BH874" s="321" t="str">
        <f t="shared" si="22"/>
        <v/>
      </c>
      <c r="BI874" s="98" t="str">
        <f t="shared" si="23"/>
        <v>INDENIZAÇÃO</v>
      </c>
      <c r="BJ874" s="98" t="str">
        <f t="shared" si="24"/>
        <v>NÃO</v>
      </c>
    </row>
    <row r="875" spans="1:62" ht="27" hidden="1" customHeight="1" x14ac:dyDescent="0.25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21"/>
        <v/>
      </c>
      <c r="AU875" s="225"/>
      <c r="BC875" s="308"/>
      <c r="BD875" s="208"/>
      <c r="BH875" s="321" t="str">
        <f t="shared" si="22"/>
        <v/>
      </c>
      <c r="BI875" s="98" t="str">
        <f t="shared" si="23"/>
        <v>INDENIZAÇÃO</v>
      </c>
      <c r="BJ875" s="98" t="str">
        <f t="shared" si="24"/>
        <v>NÃO</v>
      </c>
    </row>
    <row r="876" spans="1:62" ht="27" hidden="1" customHeight="1" x14ac:dyDescent="0.25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21"/>
        <v/>
      </c>
      <c r="AU876" s="225"/>
      <c r="BC876" s="308"/>
      <c r="BD876" s="208"/>
      <c r="BH876" s="321" t="str">
        <f t="shared" si="22"/>
        <v/>
      </c>
      <c r="BI876" s="98" t="str">
        <f t="shared" si="23"/>
        <v>INDENIZAÇÃO</v>
      </c>
      <c r="BJ876" s="98" t="str">
        <f t="shared" si="24"/>
        <v>NÃO</v>
      </c>
    </row>
    <row r="877" spans="1:62" ht="27" hidden="1" customHeight="1" x14ac:dyDescent="0.25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21"/>
        <v/>
      </c>
      <c r="AU877" s="225"/>
      <c r="BC877" s="308"/>
      <c r="BD877" s="208"/>
      <c r="BH877" s="321" t="str">
        <f t="shared" si="22"/>
        <v/>
      </c>
      <c r="BI877" s="98" t="str">
        <f t="shared" si="23"/>
        <v>INDENIZAÇÃO</v>
      </c>
      <c r="BJ877" s="98" t="str">
        <f t="shared" si="24"/>
        <v>NÃO</v>
      </c>
    </row>
    <row r="878" spans="1:62" ht="27" hidden="1" customHeight="1" x14ac:dyDescent="0.25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21"/>
        <v/>
      </c>
      <c r="AU878" s="225"/>
      <c r="BC878" s="308"/>
      <c r="BD878" s="208"/>
      <c r="BH878" s="321" t="str">
        <f t="shared" si="22"/>
        <v/>
      </c>
      <c r="BI878" s="98" t="str">
        <f t="shared" si="23"/>
        <v>INDENIZAÇÃO</v>
      </c>
      <c r="BJ878" s="98" t="str">
        <f t="shared" si="24"/>
        <v>NÃO</v>
      </c>
    </row>
    <row r="879" spans="1:62" ht="27" hidden="1" customHeight="1" x14ac:dyDescent="0.25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21"/>
        <v/>
      </c>
      <c r="AU879" s="225"/>
      <c r="BC879" s="308"/>
      <c r="BD879" s="208"/>
      <c r="BH879" s="321" t="str">
        <f t="shared" si="22"/>
        <v/>
      </c>
      <c r="BI879" s="98" t="str">
        <f t="shared" si="23"/>
        <v>INDENIZAÇÃO</v>
      </c>
      <c r="BJ879" s="98" t="str">
        <f t="shared" si="24"/>
        <v>NÃO</v>
      </c>
    </row>
    <row r="880" spans="1:62" ht="27" hidden="1" customHeight="1" x14ac:dyDescent="0.25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21"/>
        <v/>
      </c>
      <c r="AU880" s="225"/>
      <c r="BC880" s="308"/>
      <c r="BD880" s="208"/>
      <c r="BH880" s="321" t="str">
        <f t="shared" si="22"/>
        <v/>
      </c>
      <c r="BI880" s="98" t="str">
        <f t="shared" si="23"/>
        <v>INDENIZAÇÃO</v>
      </c>
      <c r="BJ880" s="98" t="str">
        <f t="shared" si="24"/>
        <v>NÃO</v>
      </c>
    </row>
    <row r="881" spans="1:62" ht="27" hidden="1" customHeight="1" x14ac:dyDescent="0.25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21"/>
        <v/>
      </c>
      <c r="AU881" s="225"/>
      <c r="BC881" s="308"/>
      <c r="BD881" s="208"/>
      <c r="BH881" s="321" t="str">
        <f t="shared" si="22"/>
        <v/>
      </c>
      <c r="BI881" s="98" t="str">
        <f t="shared" si="23"/>
        <v>INDENIZAÇÃO</v>
      </c>
      <c r="BJ881" s="98" t="str">
        <f t="shared" si="24"/>
        <v>NÃO</v>
      </c>
    </row>
    <row r="882" spans="1:62" ht="27" hidden="1" customHeight="1" x14ac:dyDescent="0.25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21"/>
        <v/>
      </c>
      <c r="AU882" s="225"/>
      <c r="BC882" s="308"/>
      <c r="BD882" s="208"/>
      <c r="BH882" s="321" t="str">
        <f t="shared" si="22"/>
        <v/>
      </c>
      <c r="BI882" s="98" t="str">
        <f t="shared" si="23"/>
        <v>INDENIZAÇÃO</v>
      </c>
      <c r="BJ882" s="98" t="str">
        <f t="shared" si="24"/>
        <v>NÃO</v>
      </c>
    </row>
    <row r="883" spans="1:62" ht="27" hidden="1" customHeight="1" x14ac:dyDescent="0.25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21"/>
        <v/>
      </c>
      <c r="AU883" s="225"/>
      <c r="BC883" s="308"/>
      <c r="BD883" s="208"/>
      <c r="BH883" s="321" t="str">
        <f t="shared" si="22"/>
        <v/>
      </c>
      <c r="BI883" s="98" t="str">
        <f t="shared" si="23"/>
        <v>INDENIZAÇÃO</v>
      </c>
      <c r="BJ883" s="98" t="str">
        <f t="shared" si="24"/>
        <v>NÃO</v>
      </c>
    </row>
    <row r="884" spans="1:62" ht="27" hidden="1" customHeight="1" x14ac:dyDescent="0.25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21"/>
        <v/>
      </c>
      <c r="AU884" s="225"/>
      <c r="BD884" s="208"/>
      <c r="BH884" s="321" t="str">
        <f t="shared" si="22"/>
        <v/>
      </c>
      <c r="BI884" s="98" t="str">
        <f t="shared" si="23"/>
        <v>INDENIZAÇÃO</v>
      </c>
      <c r="BJ884" s="98" t="str">
        <f t="shared" si="24"/>
        <v>NÃO</v>
      </c>
    </row>
    <row r="885" spans="1:62" ht="27" hidden="1" customHeight="1" x14ac:dyDescent="0.25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21"/>
        <v/>
      </c>
      <c r="AU885" s="225"/>
      <c r="BD885" s="208"/>
      <c r="BH885" s="321" t="str">
        <f t="shared" si="22"/>
        <v/>
      </c>
      <c r="BI885" s="98" t="str">
        <f t="shared" si="23"/>
        <v>INDENIZAÇÃO</v>
      </c>
      <c r="BJ885" s="98" t="str">
        <f t="shared" si="24"/>
        <v>NÃO</v>
      </c>
    </row>
    <row r="886" spans="1:62" ht="27" hidden="1" customHeight="1" x14ac:dyDescent="0.25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21"/>
        <v/>
      </c>
      <c r="AU886" s="225"/>
      <c r="BD886" s="208"/>
      <c r="BH886" s="321" t="str">
        <f t="shared" si="22"/>
        <v/>
      </c>
      <c r="BI886" s="98" t="str">
        <f t="shared" si="23"/>
        <v>INDENIZAÇÃO</v>
      </c>
      <c r="BJ886" s="98" t="str">
        <f t="shared" si="24"/>
        <v>NÃO</v>
      </c>
    </row>
    <row r="887" spans="1:62" ht="27" hidden="1" customHeight="1" x14ac:dyDescent="0.25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21"/>
        <v/>
      </c>
      <c r="AU887" s="225"/>
      <c r="BD887" s="208"/>
      <c r="BH887" s="321" t="str">
        <f t="shared" si="22"/>
        <v/>
      </c>
      <c r="BI887" s="98" t="str">
        <f t="shared" si="23"/>
        <v>INDENIZAÇÃO</v>
      </c>
      <c r="BJ887" s="98" t="str">
        <f t="shared" si="24"/>
        <v>NÃO</v>
      </c>
    </row>
    <row r="888" spans="1:62" ht="27" hidden="1" customHeight="1" x14ac:dyDescent="0.25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21"/>
        <v/>
      </c>
      <c r="AU888" s="225"/>
      <c r="BD888" s="208"/>
      <c r="BH888" s="321" t="str">
        <f t="shared" si="22"/>
        <v/>
      </c>
      <c r="BI888" s="98" t="str">
        <f t="shared" si="23"/>
        <v>INDENIZAÇÃO</v>
      </c>
      <c r="BJ888" s="98" t="str">
        <f t="shared" si="24"/>
        <v>NÃO</v>
      </c>
    </row>
    <row r="889" spans="1:62" ht="27" hidden="1" customHeight="1" x14ac:dyDescent="0.25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21"/>
        <v/>
      </c>
      <c r="AU889" s="225"/>
      <c r="BD889" s="208"/>
      <c r="BH889" s="321" t="str">
        <f t="shared" si="22"/>
        <v/>
      </c>
      <c r="BI889" s="98" t="str">
        <f t="shared" si="23"/>
        <v>INDENIZAÇÃO</v>
      </c>
      <c r="BJ889" s="98" t="str">
        <f t="shared" si="24"/>
        <v>NÃO</v>
      </c>
    </row>
    <row r="890" spans="1:62" ht="27" hidden="1" customHeight="1" x14ac:dyDescent="0.25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21"/>
        <v/>
      </c>
      <c r="AU890" s="225"/>
      <c r="BD890" s="208"/>
      <c r="BH890" s="321" t="str">
        <f t="shared" si="22"/>
        <v/>
      </c>
      <c r="BI890" s="98" t="str">
        <f t="shared" si="23"/>
        <v>INDENIZAÇÃO</v>
      </c>
      <c r="BJ890" s="98" t="str">
        <f t="shared" si="24"/>
        <v>NÃO</v>
      </c>
    </row>
    <row r="891" spans="1:62" ht="27" hidden="1" customHeight="1" x14ac:dyDescent="0.25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21"/>
        <v/>
      </c>
      <c r="AU891" s="225"/>
      <c r="BD891" s="208"/>
      <c r="BH891" s="321" t="str">
        <f t="shared" si="22"/>
        <v/>
      </c>
      <c r="BI891" s="98" t="str">
        <f t="shared" si="23"/>
        <v>INDENIZAÇÃO</v>
      </c>
      <c r="BJ891" s="98" t="str">
        <f t="shared" si="24"/>
        <v>NÃO</v>
      </c>
    </row>
    <row r="892" spans="1:62" ht="27" hidden="1" customHeight="1" x14ac:dyDescent="0.25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21"/>
        <v/>
      </c>
      <c r="AU892" s="225"/>
      <c r="BD892" s="208"/>
      <c r="BH892" s="321" t="str">
        <f t="shared" si="22"/>
        <v/>
      </c>
      <c r="BI892" s="98" t="str">
        <f t="shared" si="23"/>
        <v>INDENIZAÇÃO</v>
      </c>
      <c r="BJ892" s="98" t="str">
        <f t="shared" si="24"/>
        <v>NÃO</v>
      </c>
    </row>
    <row r="893" spans="1:62" ht="27" hidden="1" customHeight="1" x14ac:dyDescent="0.25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21"/>
        <v/>
      </c>
      <c r="AU893" s="225"/>
      <c r="BD893" s="208"/>
      <c r="BH893" s="321" t="str">
        <f t="shared" si="22"/>
        <v/>
      </c>
      <c r="BI893" s="98" t="str">
        <f t="shared" si="23"/>
        <v>INDENIZAÇÃO</v>
      </c>
      <c r="BJ893" s="98" t="str">
        <f t="shared" si="24"/>
        <v>NÃO</v>
      </c>
    </row>
    <row r="894" spans="1:62" ht="27" hidden="1" customHeight="1" x14ac:dyDescent="0.25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21"/>
        <v/>
      </c>
      <c r="AU894" s="225"/>
      <c r="BD894" s="208"/>
      <c r="BH894" s="321" t="str">
        <f t="shared" si="22"/>
        <v/>
      </c>
      <c r="BI894" s="98" t="str">
        <f t="shared" si="23"/>
        <v>INDENIZAÇÃO</v>
      </c>
      <c r="BJ894" s="98" t="str">
        <f t="shared" si="24"/>
        <v>NÃO</v>
      </c>
    </row>
    <row r="895" spans="1:62" ht="27" hidden="1" customHeight="1" x14ac:dyDescent="0.25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25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22"/>
        <v/>
      </c>
      <c r="BI895" s="98" t="str">
        <f t="shared" si="23"/>
        <v>INDENIZAÇÃO</v>
      </c>
      <c r="BJ895" s="98" t="str">
        <f t="shared" si="24"/>
        <v>NÃO</v>
      </c>
    </row>
    <row r="896" spans="1:62" ht="27" hidden="1" customHeight="1" x14ac:dyDescent="0.25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25"/>
        <v/>
      </c>
      <c r="AU896" s="225"/>
      <c r="BD896" s="208"/>
      <c r="BH896" s="321" t="str">
        <f t="shared" si="22"/>
        <v/>
      </c>
      <c r="BI896" s="98" t="str">
        <f t="shared" si="23"/>
        <v>INDENIZAÇÃO</v>
      </c>
      <c r="BJ896" s="98" t="str">
        <f t="shared" si="24"/>
        <v>NÃO</v>
      </c>
    </row>
    <row r="897" spans="1:62" ht="27" hidden="1" customHeight="1" x14ac:dyDescent="0.25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25"/>
        <v/>
      </c>
      <c r="AU897" s="225"/>
      <c r="BD897" s="208"/>
      <c r="BH897" s="321" t="str">
        <f t="shared" si="22"/>
        <v/>
      </c>
      <c r="BI897" s="98" t="str">
        <f t="shared" si="23"/>
        <v>INDENIZAÇÃO</v>
      </c>
      <c r="BJ897" s="98" t="str">
        <f t="shared" si="24"/>
        <v>NÃO</v>
      </c>
    </row>
    <row r="898" spans="1:62" ht="27" hidden="1" customHeight="1" x14ac:dyDescent="0.25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25"/>
        <v/>
      </c>
      <c r="AU898" s="225"/>
      <c r="BD898" s="208"/>
      <c r="BH898" s="321" t="str">
        <f t="shared" si="22"/>
        <v/>
      </c>
      <c r="BI898" s="98" t="str">
        <f t="shared" si="23"/>
        <v>INDENIZAÇÃO</v>
      </c>
      <c r="BJ898" s="98" t="str">
        <f t="shared" si="24"/>
        <v>NÃO</v>
      </c>
    </row>
    <row r="899" spans="1:62" ht="27" hidden="1" customHeight="1" x14ac:dyDescent="0.25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25"/>
        <v/>
      </c>
      <c r="AU899" s="225"/>
      <c r="BD899" s="208"/>
      <c r="BH899" s="321" t="str">
        <f t="shared" si="22"/>
        <v/>
      </c>
      <c r="BI899" s="98" t="str">
        <f t="shared" si="23"/>
        <v>INDENIZAÇÃO</v>
      </c>
      <c r="BJ899" s="98" t="str">
        <f t="shared" si="24"/>
        <v>NÃO</v>
      </c>
    </row>
    <row r="900" spans="1:62" ht="27" hidden="1" customHeight="1" x14ac:dyDescent="0.25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25"/>
        <v/>
      </c>
      <c r="AU900" s="225"/>
      <c r="BD900" s="208"/>
      <c r="BH900" s="321" t="str">
        <f t="shared" si="22"/>
        <v/>
      </c>
      <c r="BI900" s="98" t="str">
        <f t="shared" si="23"/>
        <v>INDENIZAÇÃO</v>
      </c>
      <c r="BJ900" s="98" t="str">
        <f t="shared" si="24"/>
        <v>NÃO</v>
      </c>
    </row>
    <row r="901" spans="1:62" ht="27" hidden="1" customHeight="1" x14ac:dyDescent="0.25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25"/>
        <v/>
      </c>
      <c r="AU901" s="225"/>
      <c r="BD901" s="208"/>
      <c r="BH901" s="321" t="str">
        <f t="shared" ref="BH901:BH964" si="26">IFERROR(IF(BD901-KI901=0,"",BD901-AK901),"")</f>
        <v/>
      </c>
      <c r="BI901" s="98" t="str">
        <f t="shared" ref="BI901:BI964" si="27">IF(AND(AH901&lt;&gt;"SIM",AH901="UH"),"AA","INDENIZAÇÃO")</f>
        <v>INDENIZAÇÃO</v>
      </c>
      <c r="BJ901" s="98" t="str">
        <f t="shared" ref="BJ901:BJ964" si="28">IF(AND(BD901&lt;&gt;"AGUARDANDO",BD901&lt;&gt;"",N901="AUXÍLIO ALUGUEL ATÉ INDENIZAÇÃO"),"SIM","NÃO")</f>
        <v>NÃO</v>
      </c>
    </row>
    <row r="902" spans="1:62" ht="27" hidden="1" customHeight="1" x14ac:dyDescent="0.25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25"/>
        <v/>
      </c>
      <c r="AU902" s="225"/>
      <c r="BD902" s="208"/>
      <c r="BH902" s="321" t="str">
        <f t="shared" si="26"/>
        <v/>
      </c>
      <c r="BI902" s="98" t="str">
        <f t="shared" si="27"/>
        <v>INDENIZAÇÃO</v>
      </c>
      <c r="BJ902" s="98" t="str">
        <f t="shared" si="28"/>
        <v>NÃO</v>
      </c>
    </row>
    <row r="903" spans="1:62" ht="27" hidden="1" customHeight="1" x14ac:dyDescent="0.25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25"/>
        <v/>
      </c>
      <c r="AU903" s="225"/>
      <c r="BD903" s="208"/>
      <c r="BH903" s="321" t="str">
        <f t="shared" si="26"/>
        <v/>
      </c>
      <c r="BI903" s="98" t="str">
        <f t="shared" si="27"/>
        <v>INDENIZAÇÃO</v>
      </c>
      <c r="BJ903" s="98" t="str">
        <f t="shared" si="28"/>
        <v>NÃO</v>
      </c>
    </row>
    <row r="904" spans="1:62" ht="27" hidden="1" customHeight="1" x14ac:dyDescent="0.25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25"/>
        <v/>
      </c>
      <c r="AU904" s="225"/>
      <c r="BD904" s="208"/>
      <c r="BH904" s="321" t="str">
        <f t="shared" si="26"/>
        <v/>
      </c>
      <c r="BI904" s="98" t="str">
        <f t="shared" si="27"/>
        <v>INDENIZAÇÃO</v>
      </c>
      <c r="BJ904" s="98" t="str">
        <f t="shared" si="28"/>
        <v>NÃO</v>
      </c>
    </row>
    <row r="905" spans="1:62" ht="27" hidden="1" customHeight="1" x14ac:dyDescent="0.25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25"/>
        <v/>
      </c>
      <c r="AU905" s="225"/>
      <c r="BD905" s="208"/>
      <c r="BH905" s="321" t="str">
        <f t="shared" si="26"/>
        <v/>
      </c>
      <c r="BI905" s="98" t="str">
        <f t="shared" si="27"/>
        <v>INDENIZAÇÃO</v>
      </c>
      <c r="BJ905" s="98" t="str">
        <f t="shared" si="28"/>
        <v>NÃO</v>
      </c>
    </row>
    <row r="906" spans="1:62" ht="27" hidden="1" customHeight="1" x14ac:dyDescent="0.25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25"/>
        <v/>
      </c>
      <c r="AU906" s="225"/>
      <c r="BD906" s="208"/>
      <c r="BH906" s="321" t="str">
        <f t="shared" si="26"/>
        <v/>
      </c>
      <c r="BI906" s="98" t="str">
        <f t="shared" si="27"/>
        <v>INDENIZAÇÃO</v>
      </c>
      <c r="BJ906" s="98" t="str">
        <f t="shared" si="28"/>
        <v>NÃO</v>
      </c>
    </row>
    <row r="907" spans="1:62" ht="27" hidden="1" customHeight="1" x14ac:dyDescent="0.25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25"/>
        <v/>
      </c>
      <c r="AU907" s="225"/>
      <c r="BD907" s="208"/>
      <c r="BH907" s="321" t="str">
        <f t="shared" si="26"/>
        <v/>
      </c>
      <c r="BI907" s="98" t="str">
        <f t="shared" si="27"/>
        <v>INDENIZAÇÃO</v>
      </c>
      <c r="BJ907" s="98" t="str">
        <f t="shared" si="28"/>
        <v>NÃO</v>
      </c>
    </row>
    <row r="908" spans="1:62" ht="27" hidden="1" customHeight="1" x14ac:dyDescent="0.25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25"/>
        <v/>
      </c>
      <c r="AU908" s="225"/>
      <c r="BD908" s="208"/>
      <c r="BH908" s="321" t="str">
        <f t="shared" si="26"/>
        <v/>
      </c>
      <c r="BI908" s="98" t="str">
        <f t="shared" si="27"/>
        <v>INDENIZAÇÃO</v>
      </c>
      <c r="BJ908" s="98" t="str">
        <f t="shared" si="28"/>
        <v>NÃO</v>
      </c>
    </row>
    <row r="909" spans="1:62" ht="27" hidden="1" customHeight="1" x14ac:dyDescent="0.25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25"/>
        <v/>
      </c>
      <c r="AU909" s="225"/>
      <c r="BD909" s="208"/>
      <c r="BH909" s="321" t="str">
        <f t="shared" si="26"/>
        <v/>
      </c>
      <c r="BI909" s="98" t="str">
        <f t="shared" si="27"/>
        <v>INDENIZAÇÃO</v>
      </c>
      <c r="BJ909" s="98" t="str">
        <f t="shared" si="28"/>
        <v>NÃO</v>
      </c>
    </row>
    <row r="910" spans="1:62" ht="27" hidden="1" customHeight="1" x14ac:dyDescent="0.25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25"/>
        <v/>
      </c>
      <c r="AU910" s="225"/>
      <c r="BD910" s="208"/>
      <c r="BH910" s="321" t="str">
        <f t="shared" si="26"/>
        <v/>
      </c>
      <c r="BI910" s="98" t="str">
        <f t="shared" si="27"/>
        <v>INDENIZAÇÃO</v>
      </c>
      <c r="BJ910" s="98" t="str">
        <f t="shared" si="28"/>
        <v>NÃO</v>
      </c>
    </row>
    <row r="911" spans="1:62" ht="27" hidden="1" customHeight="1" x14ac:dyDescent="0.25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25"/>
        <v/>
      </c>
      <c r="AU911" s="225"/>
      <c r="BD911" s="208"/>
      <c r="BH911" s="321" t="str">
        <f t="shared" si="26"/>
        <v/>
      </c>
      <c r="BI911" s="98" t="str">
        <f t="shared" si="27"/>
        <v>INDENIZAÇÃO</v>
      </c>
      <c r="BJ911" s="98" t="str">
        <f t="shared" si="28"/>
        <v>NÃO</v>
      </c>
    </row>
    <row r="912" spans="1:62" ht="27" hidden="1" customHeight="1" x14ac:dyDescent="0.25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25"/>
        <v/>
      </c>
      <c r="AU912" s="225"/>
      <c r="BD912" s="208"/>
      <c r="BH912" s="321" t="str">
        <f t="shared" si="26"/>
        <v/>
      </c>
      <c r="BI912" s="98" t="str">
        <f t="shared" si="27"/>
        <v>INDENIZAÇÃO</v>
      </c>
      <c r="BJ912" s="98" t="str">
        <f t="shared" si="28"/>
        <v>NÃO</v>
      </c>
    </row>
    <row r="913" spans="1:62" ht="27" hidden="1" customHeight="1" x14ac:dyDescent="0.25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25"/>
        <v/>
      </c>
      <c r="AU913" s="225"/>
      <c r="BD913" s="208"/>
      <c r="BH913" s="321" t="str">
        <f t="shared" si="26"/>
        <v/>
      </c>
      <c r="BI913" s="98" t="str">
        <f t="shared" si="27"/>
        <v>INDENIZAÇÃO</v>
      </c>
      <c r="BJ913" s="98" t="str">
        <f t="shared" si="28"/>
        <v>NÃO</v>
      </c>
    </row>
    <row r="914" spans="1:62" ht="27" hidden="1" customHeight="1" x14ac:dyDescent="0.25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25"/>
        <v/>
      </c>
      <c r="AU914" s="225"/>
      <c r="BD914" s="208"/>
      <c r="BH914" s="321" t="str">
        <f t="shared" si="26"/>
        <v/>
      </c>
      <c r="BI914" s="98" t="str">
        <f t="shared" si="27"/>
        <v>INDENIZAÇÃO</v>
      </c>
      <c r="BJ914" s="98" t="str">
        <f t="shared" si="28"/>
        <v>NÃO</v>
      </c>
    </row>
    <row r="915" spans="1:62" ht="27" hidden="1" customHeight="1" x14ac:dyDescent="0.25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25"/>
        <v/>
      </c>
      <c r="AU915" s="225"/>
      <c r="BD915" s="208"/>
      <c r="BH915" s="321" t="str">
        <f t="shared" si="26"/>
        <v/>
      </c>
      <c r="BI915" s="98" t="str">
        <f t="shared" si="27"/>
        <v>INDENIZAÇÃO</v>
      </c>
      <c r="BJ915" s="98" t="str">
        <f t="shared" si="28"/>
        <v>NÃO</v>
      </c>
    </row>
    <row r="916" spans="1:62" ht="27" hidden="1" customHeight="1" x14ac:dyDescent="0.25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25"/>
        <v/>
      </c>
      <c r="AU916" s="225"/>
      <c r="BD916" s="208"/>
      <c r="BH916" s="321" t="str">
        <f t="shared" si="26"/>
        <v/>
      </c>
      <c r="BI916" s="98" t="str">
        <f t="shared" si="27"/>
        <v>INDENIZAÇÃO</v>
      </c>
      <c r="BJ916" s="98" t="str">
        <f t="shared" si="28"/>
        <v>NÃO</v>
      </c>
    </row>
    <row r="917" spans="1:62" ht="27" hidden="1" customHeight="1" x14ac:dyDescent="0.25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25"/>
        <v/>
      </c>
      <c r="AU917" s="225"/>
      <c r="BD917" s="208"/>
      <c r="BH917" s="321" t="str">
        <f t="shared" si="26"/>
        <v/>
      </c>
      <c r="BI917" s="98" t="str">
        <f t="shared" si="27"/>
        <v>INDENIZAÇÃO</v>
      </c>
      <c r="BJ917" s="98" t="str">
        <f t="shared" si="28"/>
        <v>NÃO</v>
      </c>
    </row>
    <row r="918" spans="1:62" ht="27" hidden="1" customHeight="1" x14ac:dyDescent="0.25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25"/>
        <v/>
      </c>
      <c r="AU918" s="225"/>
      <c r="BD918" s="208"/>
      <c r="BH918" s="321" t="str">
        <f t="shared" si="26"/>
        <v/>
      </c>
      <c r="BI918" s="98" t="str">
        <f t="shared" si="27"/>
        <v>INDENIZAÇÃO</v>
      </c>
      <c r="BJ918" s="98" t="str">
        <f t="shared" si="28"/>
        <v>NÃO</v>
      </c>
    </row>
    <row r="919" spans="1:62" ht="27" hidden="1" customHeight="1" x14ac:dyDescent="0.25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25"/>
        <v/>
      </c>
      <c r="AU919" s="225"/>
      <c r="BD919" s="208"/>
      <c r="BH919" s="321" t="str">
        <f t="shared" si="26"/>
        <v/>
      </c>
      <c r="BI919" s="98" t="str">
        <f t="shared" si="27"/>
        <v>INDENIZAÇÃO</v>
      </c>
      <c r="BJ919" s="98" t="str">
        <f t="shared" si="28"/>
        <v>NÃO</v>
      </c>
    </row>
    <row r="920" spans="1:62" ht="27" hidden="1" customHeight="1" x14ac:dyDescent="0.25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25"/>
        <v/>
      </c>
      <c r="AU920" s="225"/>
      <c r="BD920" s="208"/>
      <c r="BH920" s="321" t="str">
        <f t="shared" si="26"/>
        <v/>
      </c>
      <c r="BI920" s="98" t="str">
        <f t="shared" si="27"/>
        <v>INDENIZAÇÃO</v>
      </c>
      <c r="BJ920" s="98" t="str">
        <f t="shared" si="28"/>
        <v>NÃO</v>
      </c>
    </row>
    <row r="921" spans="1:62" ht="27" hidden="1" customHeight="1" x14ac:dyDescent="0.25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25"/>
        <v/>
      </c>
      <c r="AU921" s="225"/>
      <c r="BD921" s="208"/>
      <c r="BH921" s="321" t="str">
        <f t="shared" si="26"/>
        <v/>
      </c>
      <c r="BI921" s="98" t="str">
        <f t="shared" si="27"/>
        <v>INDENIZAÇÃO</v>
      </c>
      <c r="BJ921" s="98" t="str">
        <f t="shared" si="28"/>
        <v>NÃO</v>
      </c>
    </row>
    <row r="922" spans="1:62" ht="27" hidden="1" customHeight="1" x14ac:dyDescent="0.25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25"/>
        <v/>
      </c>
      <c r="AU922" s="225"/>
      <c r="BD922" s="208"/>
      <c r="BH922" s="321" t="str">
        <f t="shared" si="26"/>
        <v/>
      </c>
      <c r="BI922" s="98" t="str">
        <f t="shared" si="27"/>
        <v>INDENIZAÇÃO</v>
      </c>
      <c r="BJ922" s="98" t="str">
        <f t="shared" si="28"/>
        <v>NÃO</v>
      </c>
    </row>
    <row r="923" spans="1:62" ht="27" hidden="1" customHeight="1" x14ac:dyDescent="0.25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25"/>
        <v/>
      </c>
      <c r="AU923" s="225"/>
      <c r="BD923" s="208"/>
      <c r="BH923" s="321" t="str">
        <f t="shared" si="26"/>
        <v/>
      </c>
      <c r="BI923" s="98" t="str">
        <f t="shared" si="27"/>
        <v>INDENIZAÇÃO</v>
      </c>
      <c r="BJ923" s="98" t="str">
        <f t="shared" si="28"/>
        <v>NÃO</v>
      </c>
    </row>
    <row r="924" spans="1:62" ht="27" hidden="1" customHeight="1" x14ac:dyDescent="0.25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25"/>
        <v/>
      </c>
      <c r="AU924" s="225"/>
      <c r="BD924" s="208"/>
      <c r="BH924" s="321" t="str">
        <f t="shared" si="26"/>
        <v/>
      </c>
      <c r="BI924" s="98" t="str">
        <f t="shared" si="27"/>
        <v>INDENIZAÇÃO</v>
      </c>
      <c r="BJ924" s="98" t="str">
        <f t="shared" si="28"/>
        <v>NÃO</v>
      </c>
    </row>
    <row r="925" spans="1:62" ht="27" hidden="1" customHeight="1" x14ac:dyDescent="0.25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25"/>
        <v/>
      </c>
      <c r="AU925" s="225"/>
      <c r="BD925" s="208"/>
      <c r="BH925" s="321" t="str">
        <f t="shared" si="26"/>
        <v/>
      </c>
      <c r="BI925" s="98" t="str">
        <f t="shared" si="27"/>
        <v>INDENIZAÇÃO</v>
      </c>
      <c r="BJ925" s="98" t="str">
        <f t="shared" si="28"/>
        <v>NÃO</v>
      </c>
    </row>
    <row r="926" spans="1:62" ht="27" hidden="1" customHeight="1" x14ac:dyDescent="0.25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25"/>
        <v/>
      </c>
      <c r="AU926" s="225"/>
      <c r="BD926" s="208"/>
      <c r="BH926" s="321" t="str">
        <f t="shared" si="26"/>
        <v/>
      </c>
      <c r="BI926" s="98" t="str">
        <f t="shared" si="27"/>
        <v>INDENIZAÇÃO</v>
      </c>
      <c r="BJ926" s="98" t="str">
        <f t="shared" si="28"/>
        <v>NÃO</v>
      </c>
    </row>
    <row r="927" spans="1:62" ht="27" hidden="1" customHeight="1" x14ac:dyDescent="0.25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25"/>
        <v/>
      </c>
      <c r="AU927" s="225"/>
      <c r="BD927" s="208"/>
      <c r="BH927" s="321" t="str">
        <f t="shared" si="26"/>
        <v/>
      </c>
      <c r="BI927" s="98" t="str">
        <f t="shared" si="27"/>
        <v>INDENIZAÇÃO</v>
      </c>
      <c r="BJ927" s="98" t="str">
        <f t="shared" si="28"/>
        <v>NÃO</v>
      </c>
    </row>
    <row r="928" spans="1:62" ht="27" hidden="1" customHeight="1" x14ac:dyDescent="0.25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25"/>
        <v/>
      </c>
      <c r="AU928" s="225"/>
      <c r="BD928" s="208"/>
      <c r="BH928" s="321" t="str">
        <f t="shared" si="26"/>
        <v/>
      </c>
      <c r="BI928" s="98" t="str">
        <f t="shared" si="27"/>
        <v>INDENIZAÇÃO</v>
      </c>
      <c r="BJ928" s="98" t="str">
        <f t="shared" si="28"/>
        <v>NÃO</v>
      </c>
    </row>
    <row r="929" spans="1:62" ht="27" hidden="1" customHeight="1" x14ac:dyDescent="0.25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25"/>
        <v/>
      </c>
      <c r="AU929" s="225"/>
      <c r="BD929" s="208"/>
      <c r="BH929" s="321" t="str">
        <f t="shared" si="26"/>
        <v/>
      </c>
      <c r="BI929" s="98" t="str">
        <f t="shared" si="27"/>
        <v>INDENIZAÇÃO</v>
      </c>
      <c r="BJ929" s="98" t="str">
        <f t="shared" si="28"/>
        <v>NÃO</v>
      </c>
    </row>
    <row r="930" spans="1:62" ht="27" hidden="1" customHeight="1" x14ac:dyDescent="0.25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25"/>
        <v/>
      </c>
      <c r="AU930" s="225"/>
      <c r="BD930" s="208"/>
      <c r="BH930" s="321" t="str">
        <f t="shared" si="26"/>
        <v/>
      </c>
      <c r="BI930" s="98" t="str">
        <f t="shared" si="27"/>
        <v>INDENIZAÇÃO</v>
      </c>
      <c r="BJ930" s="98" t="str">
        <f t="shared" si="28"/>
        <v>NÃO</v>
      </c>
    </row>
    <row r="931" spans="1:62" ht="27" hidden="1" customHeight="1" x14ac:dyDescent="0.25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25"/>
        <v/>
      </c>
      <c r="AU931" s="225"/>
      <c r="BD931" s="208"/>
      <c r="BH931" s="321" t="str">
        <f t="shared" si="26"/>
        <v/>
      </c>
      <c r="BI931" s="98" t="str">
        <f t="shared" si="27"/>
        <v>INDENIZAÇÃO</v>
      </c>
      <c r="BJ931" s="98" t="str">
        <f t="shared" si="28"/>
        <v>NÃO</v>
      </c>
    </row>
    <row r="932" spans="1:62" ht="27" hidden="1" customHeight="1" x14ac:dyDescent="0.25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25"/>
        <v/>
      </c>
      <c r="AU932" s="225"/>
      <c r="BD932" s="208"/>
      <c r="BH932" s="321" t="str">
        <f t="shared" si="26"/>
        <v/>
      </c>
      <c r="BI932" s="98" t="str">
        <f t="shared" si="27"/>
        <v>INDENIZAÇÃO</v>
      </c>
      <c r="BJ932" s="98" t="str">
        <f t="shared" si="28"/>
        <v>NÃO</v>
      </c>
    </row>
    <row r="933" spans="1:62" ht="27" hidden="1" customHeight="1" x14ac:dyDescent="0.25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25"/>
        <v/>
      </c>
      <c r="AU933" s="225"/>
      <c r="BD933" s="208"/>
      <c r="BH933" s="321" t="str">
        <f t="shared" si="26"/>
        <v/>
      </c>
      <c r="BI933" s="98" t="str">
        <f t="shared" si="27"/>
        <v>INDENIZAÇÃO</v>
      </c>
      <c r="BJ933" s="98" t="str">
        <f t="shared" si="28"/>
        <v>NÃO</v>
      </c>
    </row>
    <row r="934" spans="1:62" ht="27" hidden="1" customHeight="1" x14ac:dyDescent="0.25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25"/>
        <v/>
      </c>
      <c r="AU934" s="225"/>
      <c r="BD934" s="208"/>
      <c r="BH934" s="321" t="str">
        <f t="shared" si="26"/>
        <v/>
      </c>
      <c r="BI934" s="98" t="str">
        <f t="shared" si="27"/>
        <v>INDENIZAÇÃO</v>
      </c>
      <c r="BJ934" s="98" t="str">
        <f t="shared" si="28"/>
        <v>NÃO</v>
      </c>
    </row>
    <row r="935" spans="1:62" ht="27" hidden="1" customHeight="1" x14ac:dyDescent="0.25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25"/>
        <v/>
      </c>
      <c r="AU935" s="225"/>
      <c r="BD935" s="208"/>
      <c r="BH935" s="321" t="str">
        <f t="shared" si="26"/>
        <v/>
      </c>
      <c r="BI935" s="98" t="str">
        <f t="shared" si="27"/>
        <v>INDENIZAÇÃO</v>
      </c>
      <c r="BJ935" s="98" t="str">
        <f t="shared" si="28"/>
        <v>NÃO</v>
      </c>
    </row>
    <row r="936" spans="1:62" ht="27" hidden="1" customHeight="1" x14ac:dyDescent="0.25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25"/>
        <v/>
      </c>
      <c r="AU936" s="225"/>
      <c r="BD936" s="208"/>
      <c r="BH936" s="321" t="str">
        <f t="shared" si="26"/>
        <v/>
      </c>
      <c r="BI936" s="98" t="str">
        <f t="shared" si="27"/>
        <v>INDENIZAÇÃO</v>
      </c>
      <c r="BJ936" s="98" t="str">
        <f t="shared" si="28"/>
        <v>NÃO</v>
      </c>
    </row>
    <row r="937" spans="1:62" ht="27" hidden="1" customHeight="1" x14ac:dyDescent="0.25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25"/>
        <v/>
      </c>
      <c r="AU937" s="225"/>
      <c r="BD937" s="208"/>
      <c r="BH937" s="321" t="str">
        <f t="shared" si="26"/>
        <v/>
      </c>
      <c r="BI937" s="98" t="str">
        <f t="shared" si="27"/>
        <v>INDENIZAÇÃO</v>
      </c>
      <c r="BJ937" s="98" t="str">
        <f t="shared" si="28"/>
        <v>NÃO</v>
      </c>
    </row>
    <row r="938" spans="1:62" ht="27" hidden="1" customHeight="1" x14ac:dyDescent="0.25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25"/>
        <v/>
      </c>
      <c r="AU938" s="225"/>
      <c r="BD938" s="208"/>
      <c r="BH938" s="321" t="str">
        <f t="shared" si="26"/>
        <v/>
      </c>
      <c r="BI938" s="98" t="str">
        <f t="shared" si="27"/>
        <v>INDENIZAÇÃO</v>
      </c>
      <c r="BJ938" s="98" t="str">
        <f t="shared" si="28"/>
        <v>NÃO</v>
      </c>
    </row>
    <row r="939" spans="1:62" ht="27" hidden="1" customHeight="1" x14ac:dyDescent="0.25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25"/>
        <v/>
      </c>
      <c r="AU939" s="225"/>
      <c r="BD939" s="208"/>
      <c r="BH939" s="321" t="str">
        <f t="shared" si="26"/>
        <v/>
      </c>
      <c r="BI939" s="98" t="str">
        <f t="shared" si="27"/>
        <v>INDENIZAÇÃO</v>
      </c>
      <c r="BJ939" s="98" t="str">
        <f t="shared" si="28"/>
        <v>NÃO</v>
      </c>
    </row>
    <row r="940" spans="1:62" ht="27" hidden="1" customHeight="1" x14ac:dyDescent="0.25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25"/>
        <v/>
      </c>
      <c r="BD940" s="208"/>
      <c r="BH940" s="321" t="str">
        <f t="shared" si="26"/>
        <v/>
      </c>
      <c r="BI940" s="98" t="str">
        <f t="shared" si="27"/>
        <v>INDENIZAÇÃO</v>
      </c>
      <c r="BJ940" s="98" t="str">
        <f t="shared" si="28"/>
        <v>NÃO</v>
      </c>
    </row>
    <row r="941" spans="1:62" ht="27" hidden="1" customHeight="1" x14ac:dyDescent="0.25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25"/>
        <v/>
      </c>
      <c r="BD941" s="208"/>
      <c r="BH941" s="321" t="str">
        <f t="shared" si="26"/>
        <v/>
      </c>
      <c r="BI941" s="98" t="str">
        <f t="shared" si="27"/>
        <v>INDENIZAÇÃO</v>
      </c>
      <c r="BJ941" s="98" t="str">
        <f t="shared" si="28"/>
        <v>NÃO</v>
      </c>
    </row>
    <row r="942" spans="1:62" ht="27" hidden="1" customHeight="1" x14ac:dyDescent="0.25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25"/>
        <v/>
      </c>
      <c r="BD942" s="208"/>
      <c r="BH942" s="321" t="str">
        <f t="shared" si="26"/>
        <v/>
      </c>
      <c r="BI942" s="98" t="str">
        <f t="shared" si="27"/>
        <v>INDENIZAÇÃO</v>
      </c>
      <c r="BJ942" s="98" t="str">
        <f t="shared" si="28"/>
        <v>NÃO</v>
      </c>
    </row>
    <row r="943" spans="1:62" ht="27" hidden="1" customHeight="1" x14ac:dyDescent="0.25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25"/>
        <v/>
      </c>
      <c r="BD943" s="208"/>
      <c r="BH943" s="321" t="str">
        <f t="shared" si="26"/>
        <v/>
      </c>
      <c r="BI943" s="98" t="str">
        <f t="shared" si="27"/>
        <v>INDENIZAÇÃO</v>
      </c>
      <c r="BJ943" s="98" t="str">
        <f t="shared" si="28"/>
        <v>NÃO</v>
      </c>
    </row>
    <row r="944" spans="1:62" ht="27" hidden="1" customHeight="1" x14ac:dyDescent="0.25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25"/>
        <v/>
      </c>
      <c r="BD944" s="208"/>
      <c r="BH944" s="321" t="str">
        <f t="shared" si="26"/>
        <v/>
      </c>
      <c r="BI944" s="98" t="str">
        <f t="shared" si="27"/>
        <v>INDENIZAÇÃO</v>
      </c>
      <c r="BJ944" s="98" t="str">
        <f t="shared" si="28"/>
        <v>NÃO</v>
      </c>
    </row>
    <row r="945" spans="1:62" ht="27" hidden="1" customHeight="1" x14ac:dyDescent="0.25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25"/>
        <v/>
      </c>
      <c r="BD945" s="208"/>
      <c r="BH945" s="321" t="str">
        <f t="shared" si="26"/>
        <v/>
      </c>
      <c r="BI945" s="98" t="str">
        <f t="shared" si="27"/>
        <v>INDENIZAÇÃO</v>
      </c>
      <c r="BJ945" s="98" t="str">
        <f t="shared" si="28"/>
        <v>NÃO</v>
      </c>
    </row>
    <row r="946" spans="1:62" ht="27" hidden="1" customHeight="1" x14ac:dyDescent="0.25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25"/>
        <v/>
      </c>
      <c r="BD946" s="208"/>
      <c r="BH946" s="321" t="str">
        <f t="shared" si="26"/>
        <v/>
      </c>
      <c r="BI946" s="98" t="str">
        <f t="shared" si="27"/>
        <v>INDENIZAÇÃO</v>
      </c>
      <c r="BJ946" s="98" t="str">
        <f t="shared" si="28"/>
        <v>NÃO</v>
      </c>
    </row>
    <row r="947" spans="1:62" ht="27" hidden="1" customHeight="1" x14ac:dyDescent="0.25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25"/>
        <v/>
      </c>
      <c r="BD947" s="208"/>
      <c r="BH947" s="321" t="str">
        <f t="shared" si="26"/>
        <v/>
      </c>
      <c r="BI947" s="98" t="str">
        <f t="shared" si="27"/>
        <v>INDENIZAÇÃO</v>
      </c>
      <c r="BJ947" s="98" t="str">
        <f t="shared" si="28"/>
        <v>NÃO</v>
      </c>
    </row>
    <row r="948" spans="1:62" ht="27" hidden="1" customHeight="1" x14ac:dyDescent="0.25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25"/>
        <v/>
      </c>
      <c r="BD948" s="208"/>
      <c r="BH948" s="321" t="str">
        <f t="shared" si="26"/>
        <v/>
      </c>
      <c r="BI948" s="98" t="str">
        <f t="shared" si="27"/>
        <v>INDENIZAÇÃO</v>
      </c>
      <c r="BJ948" s="98" t="str">
        <f t="shared" si="28"/>
        <v>NÃO</v>
      </c>
    </row>
    <row r="949" spans="1:62" ht="27" hidden="1" customHeight="1" x14ac:dyDescent="0.25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25"/>
        <v/>
      </c>
      <c r="BD949" s="208"/>
      <c r="BH949" s="321" t="str">
        <f t="shared" si="26"/>
        <v/>
      </c>
      <c r="BI949" s="98" t="str">
        <f t="shared" si="27"/>
        <v>INDENIZAÇÃO</v>
      </c>
      <c r="BJ949" s="98" t="str">
        <f t="shared" si="28"/>
        <v>NÃO</v>
      </c>
    </row>
    <row r="950" spans="1:62" ht="27" hidden="1" customHeight="1" x14ac:dyDescent="0.25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25"/>
        <v/>
      </c>
      <c r="BD950" s="208"/>
      <c r="BH950" s="321" t="str">
        <f t="shared" si="26"/>
        <v/>
      </c>
      <c r="BI950" s="98" t="str">
        <f t="shared" si="27"/>
        <v>INDENIZAÇÃO</v>
      </c>
      <c r="BJ950" s="98" t="str">
        <f t="shared" si="28"/>
        <v>NÃO</v>
      </c>
    </row>
    <row r="951" spans="1:62" ht="27" hidden="1" customHeight="1" x14ac:dyDescent="0.25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25"/>
        <v/>
      </c>
      <c r="BD951" s="208"/>
      <c r="BH951" s="321" t="str">
        <f t="shared" si="26"/>
        <v/>
      </c>
      <c r="BI951" s="98" t="str">
        <f t="shared" si="27"/>
        <v>INDENIZAÇÃO</v>
      </c>
      <c r="BJ951" s="98" t="str">
        <f t="shared" si="28"/>
        <v>NÃO</v>
      </c>
    </row>
    <row r="952" spans="1:62" ht="27" hidden="1" customHeight="1" x14ac:dyDescent="0.25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25"/>
        <v/>
      </c>
      <c r="BD952" s="208"/>
      <c r="BH952" s="321" t="str">
        <f t="shared" si="26"/>
        <v/>
      </c>
      <c r="BI952" s="98" t="str">
        <f t="shared" si="27"/>
        <v>INDENIZAÇÃO</v>
      </c>
      <c r="BJ952" s="98" t="str">
        <f t="shared" si="28"/>
        <v>NÃO</v>
      </c>
    </row>
    <row r="953" spans="1:62" ht="27" hidden="1" customHeight="1" x14ac:dyDescent="0.25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25"/>
        <v/>
      </c>
      <c r="BD953" s="208"/>
      <c r="BH953" s="321" t="str">
        <f t="shared" si="26"/>
        <v/>
      </c>
      <c r="BI953" s="98" t="str">
        <f t="shared" si="27"/>
        <v>INDENIZAÇÃO</v>
      </c>
      <c r="BJ953" s="98" t="str">
        <f t="shared" si="28"/>
        <v>NÃO</v>
      </c>
    </row>
    <row r="954" spans="1:62" ht="27" hidden="1" customHeight="1" x14ac:dyDescent="0.25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25"/>
        <v/>
      </c>
      <c r="BD954" s="208"/>
      <c r="BH954" s="321" t="str">
        <f t="shared" si="26"/>
        <v/>
      </c>
      <c r="BI954" s="98" t="str">
        <f t="shared" si="27"/>
        <v>INDENIZAÇÃO</v>
      </c>
      <c r="BJ954" s="98" t="str">
        <f t="shared" si="28"/>
        <v>NÃO</v>
      </c>
    </row>
    <row r="955" spans="1:62" ht="27" hidden="1" customHeight="1" x14ac:dyDescent="0.25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25"/>
        <v/>
      </c>
      <c r="BD955" s="208"/>
      <c r="BH955" s="321" t="str">
        <f t="shared" si="26"/>
        <v/>
      </c>
      <c r="BI955" s="98" t="str">
        <f t="shared" si="27"/>
        <v>INDENIZAÇÃO</v>
      </c>
      <c r="BJ955" s="98" t="str">
        <f t="shared" si="28"/>
        <v>NÃO</v>
      </c>
    </row>
    <row r="956" spans="1:62" ht="27" hidden="1" customHeight="1" x14ac:dyDescent="0.25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25"/>
        <v/>
      </c>
      <c r="BD956" s="208"/>
      <c r="BH956" s="321" t="str">
        <f t="shared" si="26"/>
        <v/>
      </c>
      <c r="BI956" s="98" t="str">
        <f t="shared" si="27"/>
        <v>INDENIZAÇÃO</v>
      </c>
      <c r="BJ956" s="98" t="str">
        <f t="shared" si="28"/>
        <v>NÃO</v>
      </c>
    </row>
    <row r="957" spans="1:62" ht="27" hidden="1" customHeight="1" x14ac:dyDescent="0.25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25"/>
        <v/>
      </c>
      <c r="BD957" s="208"/>
      <c r="BH957" s="321" t="str">
        <f t="shared" si="26"/>
        <v/>
      </c>
      <c r="BI957" s="98" t="str">
        <f t="shared" si="27"/>
        <v>INDENIZAÇÃO</v>
      </c>
      <c r="BJ957" s="98" t="str">
        <f t="shared" si="28"/>
        <v>NÃO</v>
      </c>
    </row>
    <row r="958" spans="1:62" ht="27" hidden="1" customHeight="1" x14ac:dyDescent="0.25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25"/>
        <v/>
      </c>
      <c r="BD958" s="208"/>
      <c r="BH958" s="321" t="str">
        <f t="shared" si="26"/>
        <v/>
      </c>
      <c r="BI958" s="98" t="str">
        <f t="shared" si="27"/>
        <v>INDENIZAÇÃO</v>
      </c>
      <c r="BJ958" s="98" t="str">
        <f t="shared" si="28"/>
        <v>NÃO</v>
      </c>
    </row>
    <row r="959" spans="1:62" ht="27" hidden="1" customHeight="1" x14ac:dyDescent="0.25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29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26"/>
        <v/>
      </c>
      <c r="BI959" s="98" t="str">
        <f t="shared" si="27"/>
        <v>INDENIZAÇÃO</v>
      </c>
      <c r="BJ959" s="98" t="str">
        <f t="shared" si="28"/>
        <v>NÃO</v>
      </c>
    </row>
    <row r="960" spans="1:62" ht="27" hidden="1" customHeight="1" x14ac:dyDescent="0.25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29"/>
        <v/>
      </c>
      <c r="BD960" s="208"/>
      <c r="BH960" s="321" t="str">
        <f t="shared" si="26"/>
        <v/>
      </c>
      <c r="BI960" s="98" t="str">
        <f t="shared" si="27"/>
        <v>INDENIZAÇÃO</v>
      </c>
      <c r="BJ960" s="98" t="str">
        <f t="shared" si="28"/>
        <v>NÃO</v>
      </c>
    </row>
    <row r="961" spans="1:62" ht="27" hidden="1" customHeight="1" x14ac:dyDescent="0.25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29"/>
        <v/>
      </c>
      <c r="BD961" s="208"/>
      <c r="BH961" s="321" t="str">
        <f t="shared" si="26"/>
        <v/>
      </c>
      <c r="BI961" s="98" t="str">
        <f t="shared" si="27"/>
        <v>INDENIZAÇÃO</v>
      </c>
      <c r="BJ961" s="98" t="str">
        <f t="shared" si="28"/>
        <v>NÃO</v>
      </c>
    </row>
    <row r="962" spans="1:62" ht="27" hidden="1" customHeight="1" x14ac:dyDescent="0.25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29"/>
        <v/>
      </c>
      <c r="BD962" s="208"/>
      <c r="BH962" s="321" t="str">
        <f t="shared" si="26"/>
        <v/>
      </c>
      <c r="BI962" s="98" t="str">
        <f t="shared" si="27"/>
        <v>INDENIZAÇÃO</v>
      </c>
      <c r="BJ962" s="98" t="str">
        <f t="shared" si="28"/>
        <v>NÃO</v>
      </c>
    </row>
    <row r="963" spans="1:62" ht="27" hidden="1" customHeight="1" x14ac:dyDescent="0.25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29"/>
        <v/>
      </c>
      <c r="BD963" s="208"/>
      <c r="BH963" s="321" t="str">
        <f t="shared" si="26"/>
        <v/>
      </c>
      <c r="BI963" s="98" t="str">
        <f t="shared" si="27"/>
        <v>INDENIZAÇÃO</v>
      </c>
      <c r="BJ963" s="98" t="str">
        <f t="shared" si="28"/>
        <v>NÃO</v>
      </c>
    </row>
    <row r="964" spans="1:62" ht="27" hidden="1" customHeight="1" x14ac:dyDescent="0.25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29"/>
        <v/>
      </c>
      <c r="BD964" s="208"/>
      <c r="BH964" s="321" t="str">
        <f t="shared" si="26"/>
        <v/>
      </c>
      <c r="BI964" s="98" t="str">
        <f t="shared" si="27"/>
        <v>INDENIZAÇÃO</v>
      </c>
      <c r="BJ964" s="98" t="str">
        <f t="shared" si="28"/>
        <v>NÃO</v>
      </c>
    </row>
    <row r="965" spans="1:62" ht="27" hidden="1" customHeight="1" x14ac:dyDescent="0.25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29"/>
        <v/>
      </c>
      <c r="BD965" s="208"/>
      <c r="BH965" s="321" t="str">
        <f t="shared" ref="BH965:BH1028" si="30">IFERROR(IF(BD965-KI965=0,"",BD965-AK965),"")</f>
        <v/>
      </c>
      <c r="BI965" s="98" t="str">
        <f t="shared" ref="BI965:BI1028" si="31">IF(AND(AH965&lt;&gt;"SIM",AH965="UH"),"AA","INDENIZAÇÃO")</f>
        <v>INDENIZAÇÃO</v>
      </c>
      <c r="BJ965" s="98" t="str">
        <f t="shared" ref="BJ965:BJ1028" si="32">IF(AND(BD965&lt;&gt;"AGUARDANDO",BD965&lt;&gt;"",N965="AUXÍLIO ALUGUEL ATÉ INDENIZAÇÃO"),"SIM","NÃO")</f>
        <v>NÃO</v>
      </c>
    </row>
    <row r="966" spans="1:62" ht="27" hidden="1" customHeight="1" x14ac:dyDescent="0.25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29"/>
        <v/>
      </c>
      <c r="BD966" s="208"/>
      <c r="BH966" s="321" t="str">
        <f t="shared" si="30"/>
        <v/>
      </c>
      <c r="BI966" s="98" t="str">
        <f t="shared" si="31"/>
        <v>INDENIZAÇÃO</v>
      </c>
      <c r="BJ966" s="98" t="str">
        <f t="shared" si="32"/>
        <v>NÃO</v>
      </c>
    </row>
    <row r="967" spans="1:62" ht="27" hidden="1" customHeight="1" x14ac:dyDescent="0.25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29"/>
        <v/>
      </c>
      <c r="BD967" s="208"/>
      <c r="BH967" s="321" t="str">
        <f t="shared" si="30"/>
        <v/>
      </c>
      <c r="BI967" s="98" t="str">
        <f t="shared" si="31"/>
        <v>INDENIZAÇÃO</v>
      </c>
      <c r="BJ967" s="98" t="str">
        <f t="shared" si="32"/>
        <v>NÃO</v>
      </c>
    </row>
    <row r="968" spans="1:62" ht="27" hidden="1" customHeight="1" x14ac:dyDescent="0.25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29"/>
        <v/>
      </c>
      <c r="BD968" s="208"/>
      <c r="BH968" s="321" t="str">
        <f t="shared" si="30"/>
        <v/>
      </c>
      <c r="BI968" s="98" t="str">
        <f t="shared" si="31"/>
        <v>INDENIZAÇÃO</v>
      </c>
      <c r="BJ968" s="98" t="str">
        <f t="shared" si="32"/>
        <v>NÃO</v>
      </c>
    </row>
    <row r="969" spans="1:62" ht="27" hidden="1" customHeight="1" x14ac:dyDescent="0.25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29"/>
        <v/>
      </c>
      <c r="BD969" s="208"/>
      <c r="BH969" s="321" t="str">
        <f t="shared" si="30"/>
        <v/>
      </c>
      <c r="BI969" s="98" t="str">
        <f t="shared" si="31"/>
        <v>INDENIZAÇÃO</v>
      </c>
      <c r="BJ969" s="98" t="str">
        <f t="shared" si="32"/>
        <v>NÃO</v>
      </c>
    </row>
    <row r="970" spans="1:62" ht="27" hidden="1" customHeight="1" x14ac:dyDescent="0.25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29"/>
        <v/>
      </c>
      <c r="BD970" s="208"/>
      <c r="BH970" s="321" t="str">
        <f t="shared" si="30"/>
        <v/>
      </c>
      <c r="BI970" s="98" t="str">
        <f t="shared" si="31"/>
        <v>INDENIZAÇÃO</v>
      </c>
      <c r="BJ970" s="98" t="str">
        <f t="shared" si="32"/>
        <v>NÃO</v>
      </c>
    </row>
    <row r="971" spans="1:62" ht="27" hidden="1" customHeight="1" x14ac:dyDescent="0.25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29"/>
        <v/>
      </c>
      <c r="BD971" s="208"/>
      <c r="BH971" s="321" t="str">
        <f t="shared" si="30"/>
        <v/>
      </c>
      <c r="BI971" s="98" t="str">
        <f t="shared" si="31"/>
        <v>INDENIZAÇÃO</v>
      </c>
      <c r="BJ971" s="98" t="str">
        <f t="shared" si="32"/>
        <v>NÃO</v>
      </c>
    </row>
    <row r="972" spans="1:62" ht="27" hidden="1" customHeight="1" x14ac:dyDescent="0.25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29"/>
        <v/>
      </c>
      <c r="BD972" s="208"/>
      <c r="BH972" s="321" t="str">
        <f t="shared" si="30"/>
        <v/>
      </c>
      <c r="BI972" s="98" t="str">
        <f t="shared" si="31"/>
        <v>INDENIZAÇÃO</v>
      </c>
      <c r="BJ972" s="98" t="str">
        <f t="shared" si="32"/>
        <v>NÃO</v>
      </c>
    </row>
    <row r="973" spans="1:62" ht="27" hidden="1" customHeight="1" x14ac:dyDescent="0.25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29"/>
        <v/>
      </c>
      <c r="BD973" s="208"/>
      <c r="BH973" s="321" t="str">
        <f t="shared" si="30"/>
        <v/>
      </c>
      <c r="BI973" s="98" t="str">
        <f t="shared" si="31"/>
        <v>INDENIZAÇÃO</v>
      </c>
      <c r="BJ973" s="98" t="str">
        <f t="shared" si="32"/>
        <v>NÃO</v>
      </c>
    </row>
    <row r="974" spans="1:62" ht="27" hidden="1" customHeight="1" x14ac:dyDescent="0.25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29"/>
        <v/>
      </c>
      <c r="BD974" s="208"/>
      <c r="BH974" s="321" t="str">
        <f t="shared" si="30"/>
        <v/>
      </c>
      <c r="BI974" s="98" t="str">
        <f t="shared" si="31"/>
        <v>INDENIZAÇÃO</v>
      </c>
      <c r="BJ974" s="98" t="str">
        <f t="shared" si="32"/>
        <v>NÃO</v>
      </c>
    </row>
    <row r="975" spans="1:62" ht="27" hidden="1" customHeight="1" x14ac:dyDescent="0.25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29"/>
        <v/>
      </c>
      <c r="BD975" s="208"/>
      <c r="BH975" s="321" t="str">
        <f t="shared" si="30"/>
        <v/>
      </c>
      <c r="BI975" s="98" t="str">
        <f t="shared" si="31"/>
        <v>INDENIZAÇÃO</v>
      </c>
      <c r="BJ975" s="98" t="str">
        <f t="shared" si="32"/>
        <v>NÃO</v>
      </c>
    </row>
    <row r="976" spans="1:62" ht="27" hidden="1" customHeight="1" x14ac:dyDescent="0.25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29"/>
        <v/>
      </c>
      <c r="BD976" s="208"/>
      <c r="BH976" s="321" t="str">
        <f t="shared" si="30"/>
        <v/>
      </c>
      <c r="BI976" s="98" t="str">
        <f t="shared" si="31"/>
        <v>INDENIZAÇÃO</v>
      </c>
      <c r="BJ976" s="98" t="str">
        <f t="shared" si="32"/>
        <v>NÃO</v>
      </c>
    </row>
    <row r="977" spans="1:62" ht="27" hidden="1" customHeight="1" x14ac:dyDescent="0.25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29"/>
        <v/>
      </c>
      <c r="BD977" s="208"/>
      <c r="BH977" s="321" t="str">
        <f t="shared" si="30"/>
        <v/>
      </c>
      <c r="BI977" s="98" t="str">
        <f t="shared" si="31"/>
        <v>INDENIZAÇÃO</v>
      </c>
      <c r="BJ977" s="98" t="str">
        <f t="shared" si="32"/>
        <v>NÃO</v>
      </c>
    </row>
    <row r="978" spans="1:62" ht="27" hidden="1" customHeight="1" x14ac:dyDescent="0.25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29"/>
        <v/>
      </c>
      <c r="BD978" s="208"/>
      <c r="BH978" s="321" t="str">
        <f t="shared" si="30"/>
        <v/>
      </c>
      <c r="BI978" s="98" t="str">
        <f t="shared" si="31"/>
        <v>INDENIZAÇÃO</v>
      </c>
      <c r="BJ978" s="98" t="str">
        <f t="shared" si="32"/>
        <v>NÃO</v>
      </c>
    </row>
    <row r="979" spans="1:62" ht="27" hidden="1" customHeight="1" x14ac:dyDescent="0.25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29"/>
        <v/>
      </c>
      <c r="BD979" s="208"/>
      <c r="BH979" s="321" t="str">
        <f t="shared" si="30"/>
        <v/>
      </c>
      <c r="BI979" s="98" t="str">
        <f t="shared" si="31"/>
        <v>INDENIZAÇÃO</v>
      </c>
      <c r="BJ979" s="98" t="str">
        <f t="shared" si="32"/>
        <v>NÃO</v>
      </c>
    </row>
    <row r="980" spans="1:62" ht="27" hidden="1" customHeight="1" x14ac:dyDescent="0.25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29"/>
        <v/>
      </c>
      <c r="BH980" s="321" t="str">
        <f t="shared" si="30"/>
        <v/>
      </c>
      <c r="BI980" s="98" t="str">
        <f t="shared" si="31"/>
        <v>INDENIZAÇÃO</v>
      </c>
      <c r="BJ980" s="98" t="str">
        <f t="shared" si="32"/>
        <v>NÃO</v>
      </c>
    </row>
    <row r="981" spans="1:62" ht="27" hidden="1" customHeight="1" x14ac:dyDescent="0.25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29"/>
        <v/>
      </c>
      <c r="BH981" s="321" t="str">
        <f t="shared" si="30"/>
        <v/>
      </c>
      <c r="BI981" s="98" t="str">
        <f t="shared" si="31"/>
        <v>INDENIZAÇÃO</v>
      </c>
      <c r="BJ981" s="98" t="str">
        <f t="shared" si="32"/>
        <v>NÃO</v>
      </c>
    </row>
    <row r="982" spans="1:62" ht="27" hidden="1" customHeight="1" x14ac:dyDescent="0.25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29"/>
        <v/>
      </c>
      <c r="BH982" s="321" t="str">
        <f t="shared" si="30"/>
        <v/>
      </c>
      <c r="BI982" s="98" t="str">
        <f t="shared" si="31"/>
        <v>INDENIZAÇÃO</v>
      </c>
      <c r="BJ982" s="98" t="str">
        <f t="shared" si="32"/>
        <v>NÃO</v>
      </c>
    </row>
    <row r="983" spans="1:62" ht="27" hidden="1" customHeight="1" x14ac:dyDescent="0.25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29"/>
        <v/>
      </c>
      <c r="BH983" s="321" t="str">
        <f t="shared" si="30"/>
        <v/>
      </c>
      <c r="BI983" s="98" t="str">
        <f t="shared" si="31"/>
        <v>INDENIZAÇÃO</v>
      </c>
      <c r="BJ983" s="98" t="str">
        <f t="shared" si="32"/>
        <v>NÃO</v>
      </c>
    </row>
    <row r="984" spans="1:62" ht="27" hidden="1" customHeight="1" x14ac:dyDescent="0.25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29"/>
        <v/>
      </c>
      <c r="BH984" s="321" t="str">
        <f t="shared" si="30"/>
        <v/>
      </c>
      <c r="BI984" s="98" t="str">
        <f t="shared" si="31"/>
        <v>INDENIZAÇÃO</v>
      </c>
      <c r="BJ984" s="98" t="str">
        <f t="shared" si="32"/>
        <v>NÃO</v>
      </c>
    </row>
    <row r="985" spans="1:62" ht="27" hidden="1" customHeight="1" x14ac:dyDescent="0.25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29"/>
        <v/>
      </c>
      <c r="BH985" s="321" t="str">
        <f t="shared" si="30"/>
        <v/>
      </c>
      <c r="BI985" s="98" t="str">
        <f t="shared" si="31"/>
        <v>INDENIZAÇÃO</v>
      </c>
      <c r="BJ985" s="98" t="str">
        <f t="shared" si="32"/>
        <v>NÃO</v>
      </c>
    </row>
    <row r="986" spans="1:62" ht="27" hidden="1" customHeight="1" x14ac:dyDescent="0.25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29"/>
        <v/>
      </c>
      <c r="BH986" s="321" t="str">
        <f t="shared" si="30"/>
        <v/>
      </c>
      <c r="BI986" s="98" t="str">
        <f t="shared" si="31"/>
        <v>INDENIZAÇÃO</v>
      </c>
      <c r="BJ986" s="98" t="str">
        <f t="shared" si="32"/>
        <v>NÃO</v>
      </c>
    </row>
    <row r="987" spans="1:62" ht="27" hidden="1" customHeight="1" x14ac:dyDescent="0.25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29"/>
        <v/>
      </c>
      <c r="BH987" s="321" t="str">
        <f t="shared" si="30"/>
        <v/>
      </c>
      <c r="BI987" s="98" t="str">
        <f t="shared" si="31"/>
        <v>INDENIZAÇÃO</v>
      </c>
      <c r="BJ987" s="98" t="str">
        <f t="shared" si="32"/>
        <v>NÃO</v>
      </c>
    </row>
    <row r="988" spans="1:62" ht="27" hidden="1" customHeight="1" x14ac:dyDescent="0.25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29"/>
        <v/>
      </c>
      <c r="BD988" s="166" t="s">
        <v>1124</v>
      </c>
      <c r="BH988" s="321" t="str">
        <f t="shared" si="30"/>
        <v/>
      </c>
      <c r="BI988" s="98" t="str">
        <f t="shared" si="31"/>
        <v>INDENIZAÇÃO</v>
      </c>
      <c r="BJ988" s="98" t="str">
        <f t="shared" si="32"/>
        <v>NÃO</v>
      </c>
    </row>
    <row r="989" spans="1:62" ht="27" hidden="1" customHeight="1" x14ac:dyDescent="0.25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29"/>
        <v/>
      </c>
      <c r="BH989" s="321" t="str">
        <f t="shared" si="30"/>
        <v/>
      </c>
      <c r="BI989" s="98" t="str">
        <f t="shared" si="31"/>
        <v>INDENIZAÇÃO</v>
      </c>
      <c r="BJ989" s="98" t="str">
        <f t="shared" si="32"/>
        <v>NÃO</v>
      </c>
    </row>
    <row r="990" spans="1:62" ht="27" hidden="1" customHeight="1" x14ac:dyDescent="0.25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29"/>
        <v/>
      </c>
      <c r="BH990" s="321" t="str">
        <f t="shared" si="30"/>
        <v/>
      </c>
      <c r="BI990" s="98" t="str">
        <f t="shared" si="31"/>
        <v>INDENIZAÇÃO</v>
      </c>
      <c r="BJ990" s="98" t="str">
        <f t="shared" si="32"/>
        <v>NÃO</v>
      </c>
    </row>
    <row r="991" spans="1:62" ht="27" hidden="1" customHeight="1" x14ac:dyDescent="0.25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29"/>
        <v/>
      </c>
      <c r="BH991" s="321" t="str">
        <f t="shared" si="30"/>
        <v/>
      </c>
      <c r="BI991" s="98" t="str">
        <f t="shared" si="31"/>
        <v>INDENIZAÇÃO</v>
      </c>
      <c r="BJ991" s="98" t="str">
        <f t="shared" si="32"/>
        <v>NÃO</v>
      </c>
    </row>
    <row r="992" spans="1:62" ht="27" hidden="1" customHeight="1" x14ac:dyDescent="0.25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29"/>
        <v/>
      </c>
      <c r="BH992" s="321" t="str">
        <f t="shared" si="30"/>
        <v/>
      </c>
      <c r="BI992" s="98" t="str">
        <f t="shared" si="31"/>
        <v>INDENIZAÇÃO</v>
      </c>
      <c r="BJ992" s="98" t="str">
        <f t="shared" si="32"/>
        <v>NÃO</v>
      </c>
    </row>
    <row r="993" spans="1:62" ht="27" hidden="1" customHeight="1" x14ac:dyDescent="0.25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29"/>
        <v/>
      </c>
      <c r="BH993" s="321" t="str">
        <f t="shared" si="30"/>
        <v/>
      </c>
      <c r="BI993" s="98" t="str">
        <f t="shared" si="31"/>
        <v>INDENIZAÇÃO</v>
      </c>
      <c r="BJ993" s="98" t="str">
        <f t="shared" si="32"/>
        <v>NÃO</v>
      </c>
    </row>
    <row r="994" spans="1:62" ht="27" hidden="1" customHeight="1" x14ac:dyDescent="0.25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29"/>
        <v/>
      </c>
      <c r="BH994" s="321" t="str">
        <f t="shared" si="30"/>
        <v/>
      </c>
      <c r="BI994" s="98" t="str">
        <f t="shared" si="31"/>
        <v>INDENIZAÇÃO</v>
      </c>
      <c r="BJ994" s="98" t="str">
        <f t="shared" si="32"/>
        <v>NÃO</v>
      </c>
    </row>
    <row r="995" spans="1:62" ht="27" hidden="1" customHeight="1" x14ac:dyDescent="0.25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29"/>
        <v/>
      </c>
      <c r="BH995" s="321" t="str">
        <f t="shared" si="30"/>
        <v/>
      </c>
      <c r="BI995" s="98" t="str">
        <f t="shared" si="31"/>
        <v>INDENIZAÇÃO</v>
      </c>
      <c r="BJ995" s="98" t="str">
        <f t="shared" si="32"/>
        <v>NÃO</v>
      </c>
    </row>
    <row r="996" spans="1:62" ht="27" hidden="1" customHeight="1" x14ac:dyDescent="0.25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29"/>
        <v/>
      </c>
      <c r="BH996" s="321" t="str">
        <f t="shared" si="30"/>
        <v/>
      </c>
      <c r="BI996" s="98" t="str">
        <f t="shared" si="31"/>
        <v>INDENIZAÇÃO</v>
      </c>
      <c r="BJ996" s="98" t="str">
        <f t="shared" si="32"/>
        <v>NÃO</v>
      </c>
    </row>
    <row r="997" spans="1:62" ht="27" hidden="1" customHeight="1" x14ac:dyDescent="0.25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29"/>
        <v/>
      </c>
      <c r="BH997" s="321" t="str">
        <f t="shared" si="30"/>
        <v/>
      </c>
      <c r="BI997" s="98" t="str">
        <f t="shared" si="31"/>
        <v>INDENIZAÇÃO</v>
      </c>
      <c r="BJ997" s="98" t="str">
        <f t="shared" si="32"/>
        <v>NÃO</v>
      </c>
    </row>
    <row r="998" spans="1:62" ht="27" hidden="1" customHeight="1" x14ac:dyDescent="0.25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29"/>
        <v/>
      </c>
      <c r="BH998" s="321" t="str">
        <f t="shared" si="30"/>
        <v/>
      </c>
      <c r="BI998" s="98" t="str">
        <f t="shared" si="31"/>
        <v>INDENIZAÇÃO</v>
      </c>
      <c r="BJ998" s="98" t="str">
        <f t="shared" si="32"/>
        <v>NÃO</v>
      </c>
    </row>
    <row r="999" spans="1:62" ht="27" hidden="1" customHeight="1" x14ac:dyDescent="0.25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29"/>
        <v/>
      </c>
      <c r="BH999" s="321" t="str">
        <f t="shared" si="30"/>
        <v/>
      </c>
      <c r="BI999" s="98" t="str">
        <f t="shared" si="31"/>
        <v>INDENIZAÇÃO</v>
      </c>
      <c r="BJ999" s="98" t="str">
        <f t="shared" si="32"/>
        <v>NÃO</v>
      </c>
    </row>
    <row r="1000" spans="1:62" ht="27" hidden="1" customHeight="1" x14ac:dyDescent="0.25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29"/>
        <v/>
      </c>
      <c r="BH1000" s="321" t="str">
        <f t="shared" si="30"/>
        <v/>
      </c>
      <c r="BI1000" s="98" t="str">
        <f t="shared" si="31"/>
        <v>INDENIZAÇÃO</v>
      </c>
      <c r="BJ1000" s="98" t="str">
        <f t="shared" si="32"/>
        <v>NÃO</v>
      </c>
    </row>
    <row r="1001" spans="1:62" ht="27" hidden="1" customHeight="1" x14ac:dyDescent="0.25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29"/>
        <v/>
      </c>
      <c r="BH1001" s="321" t="str">
        <f t="shared" si="30"/>
        <v/>
      </c>
      <c r="BI1001" s="98" t="str">
        <f t="shared" si="31"/>
        <v>INDENIZAÇÃO</v>
      </c>
      <c r="BJ1001" s="98" t="str">
        <f t="shared" si="32"/>
        <v>NÃO</v>
      </c>
    </row>
    <row r="1002" spans="1:62" ht="27" hidden="1" customHeight="1" x14ac:dyDescent="0.25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29"/>
        <v/>
      </c>
      <c r="BH1002" s="321" t="str">
        <f t="shared" si="30"/>
        <v/>
      </c>
      <c r="BI1002" s="98" t="str">
        <f t="shared" si="31"/>
        <v>INDENIZAÇÃO</v>
      </c>
      <c r="BJ1002" s="98" t="str">
        <f t="shared" si="32"/>
        <v>NÃO</v>
      </c>
    </row>
    <row r="1003" spans="1:62" ht="27" hidden="1" customHeight="1" x14ac:dyDescent="0.25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29"/>
        <v/>
      </c>
      <c r="BH1003" s="321" t="str">
        <f t="shared" si="30"/>
        <v/>
      </c>
      <c r="BI1003" s="98" t="str">
        <f t="shared" si="31"/>
        <v>INDENIZAÇÃO</v>
      </c>
      <c r="BJ1003" s="98" t="str">
        <f t="shared" si="32"/>
        <v>NÃO</v>
      </c>
    </row>
    <row r="1004" spans="1:62" ht="27" hidden="1" customHeight="1" x14ac:dyDescent="0.25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29"/>
        <v/>
      </c>
      <c r="BH1004" s="321" t="str">
        <f t="shared" si="30"/>
        <v/>
      </c>
      <c r="BI1004" s="98" t="str">
        <f t="shared" si="31"/>
        <v>INDENIZAÇÃO</v>
      </c>
      <c r="BJ1004" s="98" t="str">
        <f t="shared" si="32"/>
        <v>NÃO</v>
      </c>
    </row>
    <row r="1005" spans="1:62" ht="27" hidden="1" customHeight="1" x14ac:dyDescent="0.25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29"/>
        <v/>
      </c>
      <c r="BH1005" s="321" t="str">
        <f t="shared" si="30"/>
        <v/>
      </c>
      <c r="BI1005" s="98" t="str">
        <f t="shared" si="31"/>
        <v>INDENIZAÇÃO</v>
      </c>
      <c r="BJ1005" s="98" t="str">
        <f t="shared" si="32"/>
        <v>NÃO</v>
      </c>
    </row>
    <row r="1006" spans="1:62" ht="27" hidden="1" customHeight="1" x14ac:dyDescent="0.25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29"/>
        <v/>
      </c>
      <c r="BH1006" s="321" t="str">
        <f t="shared" si="30"/>
        <v/>
      </c>
      <c r="BI1006" s="98" t="str">
        <f t="shared" si="31"/>
        <v>INDENIZAÇÃO</v>
      </c>
      <c r="BJ1006" s="98" t="str">
        <f t="shared" si="32"/>
        <v>NÃO</v>
      </c>
    </row>
    <row r="1007" spans="1:62" ht="27" hidden="1" customHeight="1" x14ac:dyDescent="0.25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29"/>
        <v/>
      </c>
      <c r="BH1007" s="321" t="str">
        <f t="shared" si="30"/>
        <v/>
      </c>
      <c r="BI1007" s="98" t="str">
        <f t="shared" si="31"/>
        <v>INDENIZAÇÃO</v>
      </c>
      <c r="BJ1007" s="98" t="str">
        <f t="shared" si="32"/>
        <v>NÃO</v>
      </c>
    </row>
    <row r="1008" spans="1:62" ht="27" hidden="1" customHeight="1" x14ac:dyDescent="0.25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29"/>
        <v/>
      </c>
      <c r="BH1008" s="321" t="str">
        <f t="shared" si="30"/>
        <v/>
      </c>
      <c r="BI1008" s="98" t="str">
        <f t="shared" si="31"/>
        <v>INDENIZAÇÃO</v>
      </c>
      <c r="BJ1008" s="98" t="str">
        <f t="shared" si="32"/>
        <v>NÃO</v>
      </c>
    </row>
    <row r="1009" spans="1:62" ht="27" hidden="1" customHeight="1" x14ac:dyDescent="0.25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29"/>
        <v/>
      </c>
      <c r="BH1009" s="321" t="str">
        <f t="shared" si="30"/>
        <v/>
      </c>
      <c r="BI1009" s="98" t="str">
        <f t="shared" si="31"/>
        <v>INDENIZAÇÃO</v>
      </c>
      <c r="BJ1009" s="98" t="str">
        <f t="shared" si="32"/>
        <v>NÃO</v>
      </c>
    </row>
    <row r="1010" spans="1:62" ht="27" hidden="1" customHeight="1" x14ac:dyDescent="0.25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29"/>
        <v/>
      </c>
      <c r="BH1010" s="321" t="str">
        <f t="shared" si="30"/>
        <v/>
      </c>
      <c r="BI1010" s="98" t="str">
        <f t="shared" si="31"/>
        <v>INDENIZAÇÃO</v>
      </c>
      <c r="BJ1010" s="98" t="str">
        <f t="shared" si="32"/>
        <v>NÃO</v>
      </c>
    </row>
    <row r="1011" spans="1:62" ht="27" hidden="1" customHeight="1" x14ac:dyDescent="0.25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29"/>
        <v/>
      </c>
      <c r="BH1011" s="321" t="str">
        <f t="shared" si="30"/>
        <v/>
      </c>
      <c r="BI1011" s="98" t="str">
        <f t="shared" si="31"/>
        <v>INDENIZAÇÃO</v>
      </c>
      <c r="BJ1011" s="98" t="str">
        <f t="shared" si="32"/>
        <v>NÃO</v>
      </c>
    </row>
    <row r="1012" spans="1:62" ht="27" hidden="1" customHeight="1" x14ac:dyDescent="0.25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29"/>
        <v/>
      </c>
      <c r="BH1012" s="321" t="str">
        <f t="shared" si="30"/>
        <v/>
      </c>
      <c r="BI1012" s="98" t="str">
        <f t="shared" si="31"/>
        <v>INDENIZAÇÃO</v>
      </c>
      <c r="BJ1012" s="98" t="str">
        <f t="shared" si="32"/>
        <v>NÃO</v>
      </c>
    </row>
    <row r="1013" spans="1:62" ht="27" hidden="1" customHeight="1" x14ac:dyDescent="0.25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29"/>
        <v/>
      </c>
      <c r="BH1013" s="321" t="str">
        <f t="shared" si="30"/>
        <v/>
      </c>
      <c r="BI1013" s="98" t="str">
        <f t="shared" si="31"/>
        <v>INDENIZAÇÃO</v>
      </c>
      <c r="BJ1013" s="98" t="str">
        <f t="shared" si="32"/>
        <v>NÃO</v>
      </c>
    </row>
    <row r="1014" spans="1:62" ht="27" hidden="1" customHeight="1" x14ac:dyDescent="0.25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29"/>
        <v/>
      </c>
      <c r="BH1014" s="321" t="str">
        <f t="shared" si="30"/>
        <v/>
      </c>
      <c r="BI1014" s="98" t="str">
        <f t="shared" si="31"/>
        <v>INDENIZAÇÃO</v>
      </c>
      <c r="BJ1014" s="98" t="str">
        <f t="shared" si="32"/>
        <v>NÃO</v>
      </c>
    </row>
    <row r="1015" spans="1:62" ht="27" hidden="1" customHeight="1" x14ac:dyDescent="0.25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29"/>
        <v/>
      </c>
      <c r="BH1015" s="321" t="str">
        <f t="shared" si="30"/>
        <v/>
      </c>
      <c r="BI1015" s="98" t="str">
        <f t="shared" si="31"/>
        <v>INDENIZAÇÃO</v>
      </c>
      <c r="BJ1015" s="98" t="str">
        <f t="shared" si="32"/>
        <v>NÃO</v>
      </c>
    </row>
    <row r="1016" spans="1:62" ht="27" hidden="1" customHeight="1" x14ac:dyDescent="0.25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29"/>
        <v/>
      </c>
      <c r="BH1016" s="321" t="str">
        <f t="shared" si="30"/>
        <v/>
      </c>
      <c r="BI1016" s="98" t="str">
        <f t="shared" si="31"/>
        <v>INDENIZAÇÃO</v>
      </c>
      <c r="BJ1016" s="98" t="str">
        <f t="shared" si="32"/>
        <v>NÃO</v>
      </c>
    </row>
    <row r="1017" spans="1:62" ht="27" hidden="1" customHeight="1" x14ac:dyDescent="0.25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29"/>
        <v/>
      </c>
      <c r="BH1017" s="321" t="str">
        <f t="shared" si="30"/>
        <v/>
      </c>
      <c r="BI1017" s="98" t="str">
        <f t="shared" si="31"/>
        <v>INDENIZAÇÃO</v>
      </c>
      <c r="BJ1017" s="98" t="str">
        <f t="shared" si="32"/>
        <v>NÃO</v>
      </c>
    </row>
    <row r="1018" spans="1:62" ht="27" hidden="1" customHeight="1" x14ac:dyDescent="0.25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29"/>
        <v/>
      </c>
      <c r="BH1018" s="321" t="str">
        <f t="shared" si="30"/>
        <v/>
      </c>
      <c r="BI1018" s="98" t="str">
        <f t="shared" si="31"/>
        <v>INDENIZAÇÃO</v>
      </c>
      <c r="BJ1018" s="98" t="str">
        <f t="shared" si="32"/>
        <v>NÃO</v>
      </c>
    </row>
    <row r="1019" spans="1:62" ht="27" hidden="1" customHeight="1" x14ac:dyDescent="0.25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29"/>
        <v/>
      </c>
      <c r="BH1019" s="321" t="str">
        <f t="shared" si="30"/>
        <v/>
      </c>
      <c r="BI1019" s="98" t="str">
        <f t="shared" si="31"/>
        <v>INDENIZAÇÃO</v>
      </c>
      <c r="BJ1019" s="98" t="str">
        <f t="shared" si="32"/>
        <v>NÃO</v>
      </c>
    </row>
    <row r="1020" spans="1:62" ht="27" hidden="1" customHeight="1" x14ac:dyDescent="0.25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29"/>
        <v/>
      </c>
      <c r="BH1020" s="321" t="str">
        <f t="shared" si="30"/>
        <v/>
      </c>
      <c r="BI1020" s="98" t="str">
        <f t="shared" si="31"/>
        <v>INDENIZAÇÃO</v>
      </c>
      <c r="BJ1020" s="98" t="str">
        <f t="shared" si="32"/>
        <v>NÃO</v>
      </c>
    </row>
    <row r="1021" spans="1:62" ht="27" hidden="1" customHeight="1" x14ac:dyDescent="0.25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29"/>
        <v/>
      </c>
      <c r="BH1021" s="321" t="str">
        <f t="shared" si="30"/>
        <v/>
      </c>
      <c r="BI1021" s="98" t="str">
        <f t="shared" si="31"/>
        <v>INDENIZAÇÃO</v>
      </c>
      <c r="BJ1021" s="98" t="str">
        <f t="shared" si="32"/>
        <v>NÃO</v>
      </c>
    </row>
    <row r="1022" spans="1:62" ht="27" hidden="1" customHeight="1" x14ac:dyDescent="0.25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29"/>
        <v/>
      </c>
      <c r="BH1022" s="321" t="str">
        <f t="shared" si="30"/>
        <v/>
      </c>
      <c r="BI1022" s="98" t="str">
        <f t="shared" si="31"/>
        <v>INDENIZAÇÃO</v>
      </c>
      <c r="BJ1022" s="98" t="str">
        <f t="shared" si="32"/>
        <v>NÃO</v>
      </c>
    </row>
    <row r="1023" spans="1:62" ht="27" hidden="1" customHeight="1" x14ac:dyDescent="0.25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33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30"/>
        <v/>
      </c>
      <c r="BI1023" s="98" t="str">
        <f t="shared" si="31"/>
        <v>INDENIZAÇÃO</v>
      </c>
      <c r="BJ1023" s="98" t="str">
        <f t="shared" si="32"/>
        <v>NÃO</v>
      </c>
    </row>
    <row r="1024" spans="1:62" ht="27" hidden="1" customHeight="1" x14ac:dyDescent="0.25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33"/>
        <v/>
      </c>
      <c r="BH1024" s="321" t="str">
        <f t="shared" si="30"/>
        <v/>
      </c>
      <c r="BI1024" s="98" t="str">
        <f t="shared" si="31"/>
        <v>INDENIZAÇÃO</v>
      </c>
      <c r="BJ1024" s="98" t="str">
        <f t="shared" si="32"/>
        <v>NÃO</v>
      </c>
    </row>
    <row r="1025" spans="1:62" ht="27" hidden="1" customHeight="1" x14ac:dyDescent="0.25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33"/>
        <v/>
      </c>
      <c r="BH1025" s="321" t="str">
        <f t="shared" si="30"/>
        <v/>
      </c>
      <c r="BI1025" s="98" t="str">
        <f t="shared" si="31"/>
        <v>INDENIZAÇÃO</v>
      </c>
      <c r="BJ1025" s="98" t="str">
        <f t="shared" si="32"/>
        <v>NÃO</v>
      </c>
    </row>
    <row r="1026" spans="1:62" ht="27" hidden="1" customHeight="1" x14ac:dyDescent="0.25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33"/>
        <v/>
      </c>
      <c r="BH1026" s="321" t="str">
        <f t="shared" si="30"/>
        <v/>
      </c>
      <c r="BI1026" s="98" t="str">
        <f t="shared" si="31"/>
        <v>INDENIZAÇÃO</v>
      </c>
      <c r="BJ1026" s="98" t="str">
        <f t="shared" si="32"/>
        <v>NÃO</v>
      </c>
    </row>
    <row r="1027" spans="1:62" ht="27" hidden="1" customHeight="1" x14ac:dyDescent="0.25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33"/>
        <v/>
      </c>
      <c r="BH1027" s="321" t="str">
        <f t="shared" si="30"/>
        <v/>
      </c>
      <c r="BI1027" s="98" t="str">
        <f t="shared" si="31"/>
        <v>INDENIZAÇÃO</v>
      </c>
      <c r="BJ1027" s="98" t="str">
        <f t="shared" si="32"/>
        <v>NÃO</v>
      </c>
    </row>
    <row r="1028" spans="1:62" ht="27" hidden="1" customHeight="1" x14ac:dyDescent="0.25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33"/>
        <v/>
      </c>
      <c r="BH1028" s="321" t="str">
        <f t="shared" si="30"/>
        <v/>
      </c>
      <c r="BI1028" s="98" t="str">
        <f t="shared" si="31"/>
        <v>INDENIZAÇÃO</v>
      </c>
      <c r="BJ1028" s="98" t="str">
        <f t="shared" si="32"/>
        <v>NÃO</v>
      </c>
    </row>
    <row r="1029" spans="1:62" ht="27" hidden="1" customHeight="1" x14ac:dyDescent="0.25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33"/>
        <v/>
      </c>
      <c r="BH1029" s="321" t="str">
        <f t="shared" ref="BH1029:BH1092" si="34">IFERROR(IF(BD1029-KI1029=0,"",BD1029-AK1029),"")</f>
        <v/>
      </c>
      <c r="BI1029" s="98" t="str">
        <f t="shared" ref="BI1029:BI1092" si="35">IF(AND(AH1029&lt;&gt;"SIM",AH1029="UH"),"AA","INDENIZAÇÃO")</f>
        <v>INDENIZAÇÃO</v>
      </c>
      <c r="BJ1029" s="98" t="str">
        <f t="shared" ref="BJ1029:BJ1092" si="36">IF(AND(BD1029&lt;&gt;"AGUARDANDO",BD1029&lt;&gt;"",N1029="AUXÍLIO ALUGUEL ATÉ INDENIZAÇÃO"),"SIM","NÃO")</f>
        <v>NÃO</v>
      </c>
    </row>
    <row r="1030" spans="1:62" ht="27" hidden="1" customHeight="1" x14ac:dyDescent="0.25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33"/>
        <v/>
      </c>
      <c r="BH1030" s="321" t="str">
        <f t="shared" si="34"/>
        <v/>
      </c>
      <c r="BI1030" s="98" t="str">
        <f t="shared" si="35"/>
        <v>INDENIZAÇÃO</v>
      </c>
      <c r="BJ1030" s="98" t="str">
        <f t="shared" si="36"/>
        <v>NÃO</v>
      </c>
    </row>
    <row r="1031" spans="1:62" ht="27" hidden="1" customHeight="1" x14ac:dyDescent="0.25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33"/>
        <v/>
      </c>
      <c r="BH1031" s="321" t="str">
        <f t="shared" si="34"/>
        <v/>
      </c>
      <c r="BI1031" s="98" t="str">
        <f t="shared" si="35"/>
        <v>INDENIZAÇÃO</v>
      </c>
      <c r="BJ1031" s="98" t="str">
        <f t="shared" si="36"/>
        <v>NÃO</v>
      </c>
    </row>
    <row r="1032" spans="1:62" ht="27" hidden="1" customHeight="1" x14ac:dyDescent="0.25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33"/>
        <v/>
      </c>
      <c r="BH1032" s="321" t="str">
        <f t="shared" si="34"/>
        <v/>
      </c>
      <c r="BI1032" s="98" t="str">
        <f t="shared" si="35"/>
        <v>INDENIZAÇÃO</v>
      </c>
      <c r="BJ1032" s="98" t="str">
        <f t="shared" si="36"/>
        <v>NÃO</v>
      </c>
    </row>
    <row r="1033" spans="1:62" ht="27" hidden="1" customHeight="1" x14ac:dyDescent="0.25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33"/>
        <v/>
      </c>
      <c r="BH1033" s="321" t="str">
        <f t="shared" si="34"/>
        <v/>
      </c>
      <c r="BI1033" s="98" t="str">
        <f t="shared" si="35"/>
        <v>INDENIZAÇÃO</v>
      </c>
      <c r="BJ1033" s="98" t="str">
        <f t="shared" si="36"/>
        <v>NÃO</v>
      </c>
    </row>
    <row r="1034" spans="1:62" ht="27" hidden="1" customHeight="1" x14ac:dyDescent="0.25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33"/>
        <v/>
      </c>
      <c r="BH1034" s="321" t="str">
        <f t="shared" si="34"/>
        <v/>
      </c>
      <c r="BI1034" s="98" t="str">
        <f t="shared" si="35"/>
        <v>INDENIZAÇÃO</v>
      </c>
      <c r="BJ1034" s="98" t="str">
        <f t="shared" si="36"/>
        <v>NÃO</v>
      </c>
    </row>
    <row r="1035" spans="1:62" ht="27" hidden="1" customHeight="1" x14ac:dyDescent="0.25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33"/>
        <v/>
      </c>
      <c r="BH1035" s="321" t="str">
        <f t="shared" si="34"/>
        <v/>
      </c>
      <c r="BI1035" s="98" t="str">
        <f t="shared" si="35"/>
        <v>INDENIZAÇÃO</v>
      </c>
      <c r="BJ1035" s="98" t="str">
        <f t="shared" si="36"/>
        <v>NÃO</v>
      </c>
    </row>
    <row r="1036" spans="1:62" ht="27" hidden="1" customHeight="1" x14ac:dyDescent="0.25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33"/>
        <v/>
      </c>
      <c r="BH1036" s="321" t="str">
        <f t="shared" si="34"/>
        <v/>
      </c>
      <c r="BI1036" s="98" t="str">
        <f t="shared" si="35"/>
        <v>INDENIZAÇÃO</v>
      </c>
      <c r="BJ1036" s="98" t="str">
        <f t="shared" si="36"/>
        <v>NÃO</v>
      </c>
    </row>
    <row r="1037" spans="1:62" ht="27" hidden="1" customHeight="1" x14ac:dyDescent="0.25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33"/>
        <v/>
      </c>
      <c r="BH1037" s="321" t="str">
        <f t="shared" si="34"/>
        <v/>
      </c>
      <c r="BI1037" s="98" t="str">
        <f t="shared" si="35"/>
        <v>INDENIZAÇÃO</v>
      </c>
      <c r="BJ1037" s="98" t="str">
        <f t="shared" si="36"/>
        <v>NÃO</v>
      </c>
    </row>
    <row r="1038" spans="1:62" ht="27" hidden="1" customHeight="1" x14ac:dyDescent="0.25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33"/>
        <v/>
      </c>
      <c r="BH1038" s="321" t="str">
        <f t="shared" si="34"/>
        <v/>
      </c>
      <c r="BI1038" s="98" t="str">
        <f t="shared" si="35"/>
        <v>INDENIZAÇÃO</v>
      </c>
      <c r="BJ1038" s="98" t="str">
        <f t="shared" si="36"/>
        <v>NÃO</v>
      </c>
    </row>
    <row r="1039" spans="1:62" ht="27" hidden="1" customHeight="1" x14ac:dyDescent="0.25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33"/>
        <v/>
      </c>
      <c r="BH1039" s="321" t="str">
        <f t="shared" si="34"/>
        <v/>
      </c>
      <c r="BI1039" s="98" t="str">
        <f t="shared" si="35"/>
        <v>INDENIZAÇÃO</v>
      </c>
      <c r="BJ1039" s="98" t="str">
        <f t="shared" si="36"/>
        <v>NÃO</v>
      </c>
    </row>
    <row r="1040" spans="1:62" ht="27" hidden="1" customHeight="1" x14ac:dyDescent="0.25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33"/>
        <v/>
      </c>
      <c r="BH1040" s="321" t="str">
        <f t="shared" si="34"/>
        <v/>
      </c>
      <c r="BI1040" s="98" t="str">
        <f t="shared" si="35"/>
        <v>INDENIZAÇÃO</v>
      </c>
      <c r="BJ1040" s="98" t="str">
        <f t="shared" si="36"/>
        <v>NÃO</v>
      </c>
    </row>
    <row r="1041" spans="1:62" ht="27" hidden="1" customHeight="1" x14ac:dyDescent="0.25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33"/>
        <v/>
      </c>
      <c r="BH1041" s="321" t="str">
        <f t="shared" si="34"/>
        <v/>
      </c>
      <c r="BI1041" s="98" t="str">
        <f t="shared" si="35"/>
        <v>INDENIZAÇÃO</v>
      </c>
      <c r="BJ1041" s="98" t="str">
        <f t="shared" si="36"/>
        <v>NÃO</v>
      </c>
    </row>
    <row r="1042" spans="1:62" ht="27" hidden="1" customHeight="1" x14ac:dyDescent="0.25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33"/>
        <v/>
      </c>
      <c r="BH1042" s="321" t="str">
        <f t="shared" si="34"/>
        <v/>
      </c>
      <c r="BI1042" s="98" t="str">
        <f t="shared" si="35"/>
        <v>INDENIZAÇÃO</v>
      </c>
      <c r="BJ1042" s="98" t="str">
        <f t="shared" si="36"/>
        <v>NÃO</v>
      </c>
    </row>
    <row r="1043" spans="1:62" ht="27" hidden="1" customHeight="1" x14ac:dyDescent="0.25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33"/>
        <v/>
      </c>
      <c r="BH1043" s="321" t="str">
        <f t="shared" si="34"/>
        <v/>
      </c>
      <c r="BI1043" s="98" t="str">
        <f t="shared" si="35"/>
        <v>INDENIZAÇÃO</v>
      </c>
      <c r="BJ1043" s="98" t="str">
        <f t="shared" si="36"/>
        <v>NÃO</v>
      </c>
    </row>
    <row r="1044" spans="1:62" ht="27" hidden="1" customHeight="1" x14ac:dyDescent="0.25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33"/>
        <v/>
      </c>
      <c r="BH1044" s="321" t="str">
        <f t="shared" si="34"/>
        <v/>
      </c>
      <c r="BI1044" s="98" t="str">
        <f t="shared" si="35"/>
        <v>INDENIZAÇÃO</v>
      </c>
      <c r="BJ1044" s="98" t="str">
        <f t="shared" si="36"/>
        <v>NÃO</v>
      </c>
    </row>
    <row r="1045" spans="1:62" ht="27" hidden="1" customHeight="1" x14ac:dyDescent="0.25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33"/>
        <v/>
      </c>
      <c r="BH1045" s="321" t="str">
        <f t="shared" si="34"/>
        <v/>
      </c>
      <c r="BI1045" s="98" t="str">
        <f t="shared" si="35"/>
        <v>INDENIZAÇÃO</v>
      </c>
      <c r="BJ1045" s="98" t="str">
        <f t="shared" si="36"/>
        <v>NÃO</v>
      </c>
    </row>
    <row r="1046" spans="1:62" ht="27" hidden="1" customHeight="1" x14ac:dyDescent="0.25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33"/>
        <v/>
      </c>
      <c r="BH1046" s="321" t="str">
        <f t="shared" si="34"/>
        <v/>
      </c>
      <c r="BI1046" s="98" t="str">
        <f t="shared" si="35"/>
        <v>INDENIZAÇÃO</v>
      </c>
      <c r="BJ1046" s="98" t="str">
        <f t="shared" si="36"/>
        <v>NÃO</v>
      </c>
    </row>
    <row r="1047" spans="1:62" ht="27" hidden="1" customHeight="1" x14ac:dyDescent="0.25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33"/>
        <v/>
      </c>
      <c r="BH1047" s="321" t="str">
        <f t="shared" si="34"/>
        <v/>
      </c>
      <c r="BI1047" s="98" t="str">
        <f t="shared" si="35"/>
        <v>INDENIZAÇÃO</v>
      </c>
      <c r="BJ1047" s="98" t="str">
        <f t="shared" si="36"/>
        <v>NÃO</v>
      </c>
    </row>
    <row r="1048" spans="1:62" ht="27" hidden="1" customHeight="1" x14ac:dyDescent="0.25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33"/>
        <v/>
      </c>
      <c r="BH1048" s="321" t="str">
        <f t="shared" si="34"/>
        <v/>
      </c>
      <c r="BI1048" s="98" t="str">
        <f t="shared" si="35"/>
        <v>INDENIZAÇÃO</v>
      </c>
      <c r="BJ1048" s="98" t="str">
        <f t="shared" si="36"/>
        <v>NÃO</v>
      </c>
    </row>
    <row r="1049" spans="1:62" ht="27" hidden="1" customHeight="1" x14ac:dyDescent="0.25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33"/>
        <v/>
      </c>
      <c r="BH1049" s="321" t="str">
        <f t="shared" si="34"/>
        <v/>
      </c>
      <c r="BI1049" s="98" t="str">
        <f t="shared" si="35"/>
        <v>INDENIZAÇÃO</v>
      </c>
      <c r="BJ1049" s="98" t="str">
        <f t="shared" si="36"/>
        <v>NÃO</v>
      </c>
    </row>
    <row r="1050" spans="1:62" ht="27" hidden="1" customHeight="1" x14ac:dyDescent="0.25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33"/>
        <v/>
      </c>
      <c r="BH1050" s="321" t="str">
        <f t="shared" si="34"/>
        <v/>
      </c>
      <c r="BI1050" s="98" t="str">
        <f t="shared" si="35"/>
        <v>INDENIZAÇÃO</v>
      </c>
      <c r="BJ1050" s="98" t="str">
        <f t="shared" si="36"/>
        <v>NÃO</v>
      </c>
    </row>
    <row r="1051" spans="1:62" ht="27" hidden="1" customHeight="1" x14ac:dyDescent="0.25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33"/>
        <v/>
      </c>
      <c r="BH1051" s="321" t="str">
        <f t="shared" si="34"/>
        <v/>
      </c>
      <c r="BI1051" s="98" t="str">
        <f t="shared" si="35"/>
        <v>INDENIZAÇÃO</v>
      </c>
      <c r="BJ1051" s="98" t="str">
        <f t="shared" si="36"/>
        <v>NÃO</v>
      </c>
    </row>
    <row r="1052" spans="1:62" ht="27" hidden="1" customHeight="1" x14ac:dyDescent="0.25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33"/>
        <v/>
      </c>
      <c r="BH1052" s="321" t="str">
        <f t="shared" si="34"/>
        <v/>
      </c>
      <c r="BI1052" s="98" t="str">
        <f t="shared" si="35"/>
        <v>INDENIZAÇÃO</v>
      </c>
      <c r="BJ1052" s="98" t="str">
        <f t="shared" si="36"/>
        <v>NÃO</v>
      </c>
    </row>
    <row r="1053" spans="1:62" ht="27" hidden="1" customHeight="1" x14ac:dyDescent="0.25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33"/>
        <v/>
      </c>
      <c r="BH1053" s="321" t="str">
        <f t="shared" si="34"/>
        <v/>
      </c>
      <c r="BI1053" s="98" t="str">
        <f t="shared" si="35"/>
        <v>INDENIZAÇÃO</v>
      </c>
      <c r="BJ1053" s="98" t="str">
        <f t="shared" si="36"/>
        <v>NÃO</v>
      </c>
    </row>
    <row r="1054" spans="1:62" ht="27" hidden="1" customHeight="1" x14ac:dyDescent="0.25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33"/>
        <v/>
      </c>
      <c r="BH1054" s="321" t="str">
        <f t="shared" si="34"/>
        <v/>
      </c>
      <c r="BI1054" s="98" t="str">
        <f t="shared" si="35"/>
        <v>INDENIZAÇÃO</v>
      </c>
      <c r="BJ1054" s="98" t="str">
        <f t="shared" si="36"/>
        <v>NÃO</v>
      </c>
    </row>
    <row r="1055" spans="1:62" ht="27" hidden="1" customHeight="1" x14ac:dyDescent="0.25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33"/>
        <v/>
      </c>
      <c r="BH1055" s="321" t="str">
        <f t="shared" si="34"/>
        <v/>
      </c>
      <c r="BI1055" s="98" t="str">
        <f t="shared" si="35"/>
        <v>INDENIZAÇÃO</v>
      </c>
      <c r="BJ1055" s="98" t="str">
        <f t="shared" si="36"/>
        <v>NÃO</v>
      </c>
    </row>
    <row r="1056" spans="1:62" ht="27" hidden="1" customHeight="1" x14ac:dyDescent="0.25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33"/>
        <v/>
      </c>
      <c r="BH1056" s="321" t="str">
        <f t="shared" si="34"/>
        <v/>
      </c>
      <c r="BI1056" s="98" t="str">
        <f t="shared" si="35"/>
        <v>INDENIZAÇÃO</v>
      </c>
      <c r="BJ1056" s="98" t="str">
        <f t="shared" si="36"/>
        <v>NÃO</v>
      </c>
    </row>
    <row r="1057" spans="1:62" ht="27" hidden="1" customHeight="1" x14ac:dyDescent="0.25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33"/>
        <v/>
      </c>
      <c r="BH1057" s="321" t="str">
        <f t="shared" si="34"/>
        <v/>
      </c>
      <c r="BI1057" s="98" t="str">
        <f t="shared" si="35"/>
        <v>INDENIZAÇÃO</v>
      </c>
      <c r="BJ1057" s="98" t="str">
        <f t="shared" si="36"/>
        <v>NÃO</v>
      </c>
    </row>
    <row r="1058" spans="1:62" ht="27" hidden="1" customHeight="1" x14ac:dyDescent="0.25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33"/>
        <v/>
      </c>
      <c r="BH1058" s="321" t="str">
        <f t="shared" si="34"/>
        <v/>
      </c>
      <c r="BI1058" s="98" t="str">
        <f t="shared" si="35"/>
        <v>INDENIZAÇÃO</v>
      </c>
      <c r="BJ1058" s="98" t="str">
        <f t="shared" si="36"/>
        <v>NÃO</v>
      </c>
    </row>
    <row r="1059" spans="1:62" ht="27" hidden="1" customHeight="1" x14ac:dyDescent="0.25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33"/>
        <v/>
      </c>
      <c r="BH1059" s="321" t="str">
        <f t="shared" si="34"/>
        <v/>
      </c>
      <c r="BI1059" s="98" t="str">
        <f t="shared" si="35"/>
        <v>INDENIZAÇÃO</v>
      </c>
      <c r="BJ1059" s="98" t="str">
        <f t="shared" si="36"/>
        <v>NÃO</v>
      </c>
    </row>
    <row r="1060" spans="1:62" ht="27" hidden="1" customHeight="1" x14ac:dyDescent="0.25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33"/>
        <v/>
      </c>
      <c r="BH1060" s="321" t="str">
        <f t="shared" si="34"/>
        <v/>
      </c>
      <c r="BI1060" s="98" t="str">
        <f t="shared" si="35"/>
        <v>INDENIZAÇÃO</v>
      </c>
      <c r="BJ1060" s="98" t="str">
        <f t="shared" si="36"/>
        <v>NÃO</v>
      </c>
    </row>
    <row r="1061" spans="1:62" ht="27" hidden="1" customHeight="1" x14ac:dyDescent="0.25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33"/>
        <v/>
      </c>
      <c r="BH1061" s="321" t="str">
        <f t="shared" si="34"/>
        <v/>
      </c>
      <c r="BI1061" s="98" t="str">
        <f t="shared" si="35"/>
        <v>INDENIZAÇÃO</v>
      </c>
      <c r="BJ1061" s="98" t="str">
        <f t="shared" si="36"/>
        <v>NÃO</v>
      </c>
    </row>
    <row r="1062" spans="1:62" ht="27" hidden="1" customHeight="1" x14ac:dyDescent="0.25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33"/>
        <v/>
      </c>
      <c r="BH1062" s="321" t="str">
        <f t="shared" si="34"/>
        <v/>
      </c>
      <c r="BI1062" s="98" t="str">
        <f t="shared" si="35"/>
        <v>INDENIZAÇÃO</v>
      </c>
      <c r="BJ1062" s="98" t="str">
        <f t="shared" si="36"/>
        <v>NÃO</v>
      </c>
    </row>
    <row r="1063" spans="1:62" ht="27" hidden="1" customHeight="1" x14ac:dyDescent="0.25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33"/>
        <v/>
      </c>
      <c r="BH1063" s="321" t="str">
        <f t="shared" si="34"/>
        <v/>
      </c>
      <c r="BI1063" s="98" t="str">
        <f t="shared" si="35"/>
        <v>INDENIZAÇÃO</v>
      </c>
      <c r="BJ1063" s="98" t="str">
        <f t="shared" si="36"/>
        <v>NÃO</v>
      </c>
    </row>
    <row r="1064" spans="1:62" ht="27" hidden="1" customHeight="1" x14ac:dyDescent="0.25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33"/>
        <v/>
      </c>
      <c r="BH1064" s="321" t="str">
        <f t="shared" si="34"/>
        <v/>
      </c>
      <c r="BI1064" s="98" t="str">
        <f t="shared" si="35"/>
        <v>INDENIZAÇÃO</v>
      </c>
      <c r="BJ1064" s="98" t="str">
        <f t="shared" si="36"/>
        <v>NÃO</v>
      </c>
    </row>
    <row r="1065" spans="1:62" ht="27" hidden="1" customHeight="1" x14ac:dyDescent="0.25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33"/>
        <v/>
      </c>
      <c r="BH1065" s="321" t="str">
        <f t="shared" si="34"/>
        <v/>
      </c>
      <c r="BI1065" s="98" t="str">
        <f t="shared" si="35"/>
        <v>INDENIZAÇÃO</v>
      </c>
      <c r="BJ1065" s="98" t="str">
        <f t="shared" si="36"/>
        <v>NÃO</v>
      </c>
    </row>
    <row r="1066" spans="1:62" ht="27" hidden="1" customHeight="1" x14ac:dyDescent="0.25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33"/>
        <v/>
      </c>
      <c r="BH1066" s="321" t="str">
        <f t="shared" si="34"/>
        <v/>
      </c>
      <c r="BI1066" s="98" t="str">
        <f t="shared" si="35"/>
        <v>INDENIZAÇÃO</v>
      </c>
      <c r="BJ1066" s="98" t="str">
        <f t="shared" si="36"/>
        <v>NÃO</v>
      </c>
    </row>
    <row r="1067" spans="1:62" ht="27" hidden="1" customHeight="1" x14ac:dyDescent="0.25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33"/>
        <v/>
      </c>
      <c r="BH1067" s="321" t="str">
        <f t="shared" si="34"/>
        <v/>
      </c>
      <c r="BI1067" s="98" t="str">
        <f t="shared" si="35"/>
        <v>INDENIZAÇÃO</v>
      </c>
      <c r="BJ1067" s="98" t="str">
        <f t="shared" si="36"/>
        <v>NÃO</v>
      </c>
    </row>
    <row r="1068" spans="1:62" ht="27" hidden="1" customHeight="1" x14ac:dyDescent="0.25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33"/>
        <v/>
      </c>
      <c r="BH1068" s="321" t="str">
        <f t="shared" si="34"/>
        <v/>
      </c>
      <c r="BI1068" s="98" t="str">
        <f t="shared" si="35"/>
        <v>INDENIZAÇÃO</v>
      </c>
      <c r="BJ1068" s="98" t="str">
        <f t="shared" si="36"/>
        <v>NÃO</v>
      </c>
    </row>
    <row r="1069" spans="1:62" ht="27" hidden="1" customHeight="1" x14ac:dyDescent="0.25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33"/>
        <v/>
      </c>
      <c r="BH1069" s="321" t="str">
        <f t="shared" si="34"/>
        <v/>
      </c>
      <c r="BI1069" s="98" t="str">
        <f t="shared" si="35"/>
        <v>INDENIZAÇÃO</v>
      </c>
      <c r="BJ1069" s="98" t="str">
        <f t="shared" si="36"/>
        <v>NÃO</v>
      </c>
    </row>
    <row r="1070" spans="1:62" ht="27" hidden="1" customHeight="1" x14ac:dyDescent="0.25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33"/>
        <v/>
      </c>
      <c r="BH1070" s="321" t="str">
        <f t="shared" si="34"/>
        <v/>
      </c>
      <c r="BI1070" s="98" t="str">
        <f t="shared" si="35"/>
        <v>INDENIZAÇÃO</v>
      </c>
      <c r="BJ1070" s="98" t="str">
        <f t="shared" si="36"/>
        <v>NÃO</v>
      </c>
    </row>
    <row r="1071" spans="1:62" ht="27" hidden="1" customHeight="1" x14ac:dyDescent="0.25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33"/>
        <v/>
      </c>
      <c r="BH1071" s="321" t="str">
        <f t="shared" si="34"/>
        <v/>
      </c>
      <c r="BI1071" s="98" t="str">
        <f t="shared" si="35"/>
        <v>INDENIZAÇÃO</v>
      </c>
      <c r="BJ1071" s="98" t="str">
        <f t="shared" si="36"/>
        <v>NÃO</v>
      </c>
    </row>
    <row r="1072" spans="1:62" ht="27" hidden="1" customHeight="1" x14ac:dyDescent="0.25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33"/>
        <v/>
      </c>
      <c r="BH1072" s="321" t="str">
        <f t="shared" si="34"/>
        <v/>
      </c>
      <c r="BI1072" s="98" t="str">
        <f t="shared" si="35"/>
        <v>INDENIZAÇÃO</v>
      </c>
      <c r="BJ1072" s="98" t="str">
        <f t="shared" si="36"/>
        <v>NÃO</v>
      </c>
    </row>
    <row r="1073" spans="1:62" ht="27" hidden="1" customHeight="1" x14ac:dyDescent="0.25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33"/>
        <v/>
      </c>
      <c r="BH1073" s="321" t="str">
        <f t="shared" si="34"/>
        <v/>
      </c>
      <c r="BI1073" s="98" t="str">
        <f t="shared" si="35"/>
        <v>INDENIZAÇÃO</v>
      </c>
      <c r="BJ1073" s="98" t="str">
        <f t="shared" si="36"/>
        <v>NÃO</v>
      </c>
    </row>
    <row r="1074" spans="1:62" ht="27" hidden="1" customHeight="1" x14ac:dyDescent="0.25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33"/>
        <v/>
      </c>
      <c r="BH1074" s="321" t="str">
        <f t="shared" si="34"/>
        <v/>
      </c>
      <c r="BI1074" s="98" t="str">
        <f t="shared" si="35"/>
        <v>INDENIZAÇÃO</v>
      </c>
      <c r="BJ1074" s="98" t="str">
        <f t="shared" si="36"/>
        <v>NÃO</v>
      </c>
    </row>
    <row r="1075" spans="1:62" ht="27" hidden="1" customHeight="1" x14ac:dyDescent="0.25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33"/>
        <v/>
      </c>
      <c r="BH1075" s="321" t="str">
        <f t="shared" si="34"/>
        <v/>
      </c>
      <c r="BI1075" s="98" t="str">
        <f t="shared" si="35"/>
        <v>INDENIZAÇÃO</v>
      </c>
      <c r="BJ1075" s="98" t="str">
        <f t="shared" si="36"/>
        <v>NÃO</v>
      </c>
    </row>
    <row r="1076" spans="1:62" ht="27" hidden="1" customHeight="1" x14ac:dyDescent="0.25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33"/>
        <v/>
      </c>
      <c r="BH1076" s="321" t="str">
        <f t="shared" si="34"/>
        <v/>
      </c>
      <c r="BI1076" s="98" t="str">
        <f t="shared" si="35"/>
        <v>INDENIZAÇÃO</v>
      </c>
      <c r="BJ1076" s="98" t="str">
        <f t="shared" si="36"/>
        <v>NÃO</v>
      </c>
    </row>
    <row r="1077" spans="1:62" ht="27" hidden="1" customHeight="1" x14ac:dyDescent="0.25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33"/>
        <v/>
      </c>
      <c r="BH1077" s="321" t="str">
        <f t="shared" si="34"/>
        <v/>
      </c>
      <c r="BI1077" s="98" t="str">
        <f t="shared" si="35"/>
        <v>INDENIZAÇÃO</v>
      </c>
      <c r="BJ1077" s="98" t="str">
        <f t="shared" si="36"/>
        <v>NÃO</v>
      </c>
    </row>
    <row r="1078" spans="1:62" ht="27" hidden="1" customHeight="1" x14ac:dyDescent="0.25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33"/>
        <v/>
      </c>
      <c r="BH1078" s="321" t="str">
        <f t="shared" si="34"/>
        <v/>
      </c>
      <c r="BI1078" s="98" t="str">
        <f t="shared" si="35"/>
        <v>INDENIZAÇÃO</v>
      </c>
      <c r="BJ1078" s="98" t="str">
        <f t="shared" si="36"/>
        <v>NÃO</v>
      </c>
    </row>
    <row r="1079" spans="1:62" ht="27" hidden="1" customHeight="1" x14ac:dyDescent="0.25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33"/>
        <v/>
      </c>
      <c r="BH1079" s="321" t="str">
        <f t="shared" si="34"/>
        <v/>
      </c>
      <c r="BI1079" s="98" t="str">
        <f t="shared" si="35"/>
        <v>INDENIZAÇÃO</v>
      </c>
      <c r="BJ1079" s="98" t="str">
        <f t="shared" si="36"/>
        <v>NÃO</v>
      </c>
    </row>
    <row r="1080" spans="1:62" ht="27" hidden="1" customHeight="1" x14ac:dyDescent="0.25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33"/>
        <v/>
      </c>
      <c r="BH1080" s="321" t="str">
        <f t="shared" si="34"/>
        <v/>
      </c>
      <c r="BI1080" s="98" t="str">
        <f t="shared" si="35"/>
        <v>INDENIZAÇÃO</v>
      </c>
      <c r="BJ1080" s="98" t="str">
        <f t="shared" si="36"/>
        <v>NÃO</v>
      </c>
    </row>
    <row r="1081" spans="1:62" ht="27" hidden="1" customHeight="1" x14ac:dyDescent="0.25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33"/>
        <v/>
      </c>
      <c r="BH1081" s="321" t="str">
        <f t="shared" si="34"/>
        <v/>
      </c>
      <c r="BI1081" s="98" t="str">
        <f t="shared" si="35"/>
        <v>INDENIZAÇÃO</v>
      </c>
      <c r="BJ1081" s="98" t="str">
        <f t="shared" si="36"/>
        <v>NÃO</v>
      </c>
    </row>
    <row r="1082" spans="1:62" ht="27" hidden="1" customHeight="1" x14ac:dyDescent="0.25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33"/>
        <v/>
      </c>
      <c r="BH1082" s="321" t="str">
        <f t="shared" si="34"/>
        <v/>
      </c>
      <c r="BI1082" s="98" t="str">
        <f t="shared" si="35"/>
        <v>INDENIZAÇÃO</v>
      </c>
      <c r="BJ1082" s="98" t="str">
        <f t="shared" si="36"/>
        <v>NÃO</v>
      </c>
    </row>
    <row r="1083" spans="1:62" ht="27" hidden="1" customHeight="1" x14ac:dyDescent="0.25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33"/>
        <v/>
      </c>
      <c r="BH1083" s="321" t="str">
        <f t="shared" si="34"/>
        <v/>
      </c>
      <c r="BI1083" s="98" t="str">
        <f t="shared" si="35"/>
        <v>INDENIZAÇÃO</v>
      </c>
      <c r="BJ1083" s="98" t="str">
        <f t="shared" si="36"/>
        <v>NÃO</v>
      </c>
    </row>
    <row r="1084" spans="1:62" ht="27" hidden="1" customHeight="1" x14ac:dyDescent="0.25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33"/>
        <v/>
      </c>
      <c r="BH1084" s="321" t="str">
        <f t="shared" si="34"/>
        <v/>
      </c>
      <c r="BI1084" s="98" t="str">
        <f t="shared" si="35"/>
        <v>INDENIZAÇÃO</v>
      </c>
      <c r="BJ1084" s="98" t="str">
        <f t="shared" si="36"/>
        <v>NÃO</v>
      </c>
    </row>
    <row r="1085" spans="1:62" ht="27" hidden="1" customHeight="1" x14ac:dyDescent="0.25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33"/>
        <v/>
      </c>
      <c r="BH1085" s="321" t="str">
        <f t="shared" si="34"/>
        <v/>
      </c>
      <c r="BI1085" s="98" t="str">
        <f t="shared" si="35"/>
        <v>INDENIZAÇÃO</v>
      </c>
      <c r="BJ1085" s="98" t="str">
        <f t="shared" si="36"/>
        <v>NÃO</v>
      </c>
    </row>
    <row r="1086" spans="1:62" ht="27" hidden="1" customHeight="1" x14ac:dyDescent="0.25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33"/>
        <v/>
      </c>
      <c r="BH1086" s="321" t="str">
        <f t="shared" si="34"/>
        <v/>
      </c>
      <c r="BI1086" s="98" t="str">
        <f t="shared" si="35"/>
        <v>INDENIZAÇÃO</v>
      </c>
      <c r="BJ1086" s="98" t="str">
        <f t="shared" si="36"/>
        <v>NÃO</v>
      </c>
    </row>
    <row r="1087" spans="1:62" ht="27" hidden="1" customHeight="1" x14ac:dyDescent="0.25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37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34"/>
        <v/>
      </c>
      <c r="BI1087" s="98" t="str">
        <f t="shared" si="35"/>
        <v>INDENIZAÇÃO</v>
      </c>
      <c r="BJ1087" s="98" t="str">
        <f t="shared" si="36"/>
        <v>NÃO</v>
      </c>
    </row>
    <row r="1088" spans="1:62" ht="27" hidden="1" customHeight="1" x14ac:dyDescent="0.25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37"/>
        <v/>
      </c>
      <c r="BH1088" s="321" t="str">
        <f t="shared" si="34"/>
        <v/>
      </c>
      <c r="BI1088" s="98" t="str">
        <f t="shared" si="35"/>
        <v>INDENIZAÇÃO</v>
      </c>
      <c r="BJ1088" s="98" t="str">
        <f t="shared" si="36"/>
        <v>NÃO</v>
      </c>
    </row>
    <row r="1089" spans="1:62" ht="27" hidden="1" customHeight="1" x14ac:dyDescent="0.25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37"/>
        <v/>
      </c>
      <c r="BH1089" s="321" t="str">
        <f t="shared" si="34"/>
        <v/>
      </c>
      <c r="BI1089" s="98" t="str">
        <f t="shared" si="35"/>
        <v>INDENIZAÇÃO</v>
      </c>
      <c r="BJ1089" s="98" t="str">
        <f t="shared" si="36"/>
        <v>NÃO</v>
      </c>
    </row>
    <row r="1090" spans="1:62" ht="30" hidden="1" customHeight="1" x14ac:dyDescent="0.25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37"/>
        <v/>
      </c>
      <c r="BH1090" s="321" t="str">
        <f t="shared" si="34"/>
        <v/>
      </c>
      <c r="BI1090" s="98" t="str">
        <f t="shared" si="35"/>
        <v>INDENIZAÇÃO</v>
      </c>
      <c r="BJ1090" s="98" t="str">
        <f t="shared" si="36"/>
        <v>NÃO</v>
      </c>
    </row>
    <row r="1091" spans="1:62" ht="30" hidden="1" customHeight="1" x14ac:dyDescent="0.25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37"/>
        <v/>
      </c>
      <c r="BH1091" s="321" t="str">
        <f t="shared" si="34"/>
        <v/>
      </c>
      <c r="BI1091" s="98" t="str">
        <f t="shared" si="35"/>
        <v>INDENIZAÇÃO</v>
      </c>
      <c r="BJ1091" s="98" t="str">
        <f t="shared" si="36"/>
        <v>NÃO</v>
      </c>
    </row>
    <row r="1092" spans="1:62" ht="30" hidden="1" customHeight="1" x14ac:dyDescent="0.25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37"/>
        <v/>
      </c>
      <c r="BH1092" s="321" t="str">
        <f t="shared" si="34"/>
        <v/>
      </c>
      <c r="BI1092" s="98" t="str">
        <f t="shared" si="35"/>
        <v>INDENIZAÇÃO</v>
      </c>
      <c r="BJ1092" s="98" t="str">
        <f t="shared" si="36"/>
        <v>NÃO</v>
      </c>
    </row>
    <row r="1093" spans="1:62" ht="30" hidden="1" customHeight="1" x14ac:dyDescent="0.25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37"/>
        <v/>
      </c>
      <c r="BH1093" s="321" t="str">
        <f t="shared" ref="BH1093:BH1156" si="38">IFERROR(IF(BD1093-KI1093=0,"",BD1093-AK1093),"")</f>
        <v/>
      </c>
      <c r="BI1093" s="98" t="str">
        <f t="shared" ref="BI1093:BI1156" si="39">IF(AND(AH1093&lt;&gt;"SIM",AH1093="UH"),"AA","INDENIZAÇÃO")</f>
        <v>INDENIZAÇÃO</v>
      </c>
      <c r="BJ1093" s="98" t="str">
        <f t="shared" ref="BJ1093:BJ1156" si="40">IF(AND(BD1093&lt;&gt;"AGUARDANDO",BD1093&lt;&gt;"",N1093="AUXÍLIO ALUGUEL ATÉ INDENIZAÇÃO"),"SIM","NÃO")</f>
        <v>NÃO</v>
      </c>
    </row>
    <row r="1094" spans="1:62" ht="30" hidden="1" customHeight="1" x14ac:dyDescent="0.25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37"/>
        <v/>
      </c>
      <c r="BH1094" s="321" t="str">
        <f t="shared" si="38"/>
        <v/>
      </c>
      <c r="BI1094" s="98" t="str">
        <f t="shared" si="39"/>
        <v>INDENIZAÇÃO</v>
      </c>
      <c r="BJ1094" s="98" t="str">
        <f t="shared" si="40"/>
        <v>NÃO</v>
      </c>
    </row>
    <row r="1095" spans="1:62" ht="30" hidden="1" customHeight="1" x14ac:dyDescent="0.25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37"/>
        <v/>
      </c>
      <c r="BH1095" s="321" t="str">
        <f t="shared" si="38"/>
        <v/>
      </c>
      <c r="BI1095" s="98" t="str">
        <f t="shared" si="39"/>
        <v>INDENIZAÇÃO</v>
      </c>
      <c r="BJ1095" s="98" t="str">
        <f t="shared" si="40"/>
        <v>NÃO</v>
      </c>
    </row>
    <row r="1096" spans="1:62" ht="30" hidden="1" customHeight="1" x14ac:dyDescent="0.25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37"/>
        <v/>
      </c>
      <c r="BH1096" s="321" t="str">
        <f t="shared" si="38"/>
        <v/>
      </c>
      <c r="BI1096" s="98" t="str">
        <f t="shared" si="39"/>
        <v>INDENIZAÇÃO</v>
      </c>
      <c r="BJ1096" s="98" t="str">
        <f t="shared" si="40"/>
        <v>NÃO</v>
      </c>
    </row>
    <row r="1097" spans="1:62" ht="30" hidden="1" customHeight="1" x14ac:dyDescent="0.25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37"/>
        <v/>
      </c>
      <c r="BH1097" s="321" t="str">
        <f t="shared" si="38"/>
        <v/>
      </c>
      <c r="BI1097" s="98" t="str">
        <f t="shared" si="39"/>
        <v>INDENIZAÇÃO</v>
      </c>
      <c r="BJ1097" s="98" t="str">
        <f t="shared" si="40"/>
        <v>NÃO</v>
      </c>
    </row>
    <row r="1098" spans="1:62" ht="30" hidden="1" customHeight="1" x14ac:dyDescent="0.25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37"/>
        <v/>
      </c>
      <c r="BH1098" s="321" t="str">
        <f t="shared" si="38"/>
        <v/>
      </c>
      <c r="BI1098" s="98" t="str">
        <f t="shared" si="39"/>
        <v>INDENIZAÇÃO</v>
      </c>
      <c r="BJ1098" s="98" t="str">
        <f t="shared" si="40"/>
        <v>NÃO</v>
      </c>
    </row>
    <row r="1099" spans="1:62" ht="30" hidden="1" customHeight="1" x14ac:dyDescent="0.25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37"/>
        <v/>
      </c>
      <c r="BH1099" s="321" t="str">
        <f t="shared" si="38"/>
        <v/>
      </c>
      <c r="BI1099" s="98" t="str">
        <f t="shared" si="39"/>
        <v>INDENIZAÇÃO</v>
      </c>
      <c r="BJ1099" s="98" t="str">
        <f t="shared" si="40"/>
        <v>NÃO</v>
      </c>
    </row>
    <row r="1100" spans="1:62" ht="30" hidden="1" customHeight="1" x14ac:dyDescent="0.25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37"/>
        <v/>
      </c>
      <c r="BH1100" s="321" t="str">
        <f t="shared" si="38"/>
        <v/>
      </c>
      <c r="BI1100" s="98" t="str">
        <f t="shared" si="39"/>
        <v>INDENIZAÇÃO</v>
      </c>
      <c r="BJ1100" s="98" t="str">
        <f t="shared" si="40"/>
        <v>NÃO</v>
      </c>
    </row>
    <row r="1101" spans="1:62" ht="30" hidden="1" customHeight="1" x14ac:dyDescent="0.25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37"/>
        <v/>
      </c>
      <c r="BH1101" s="321" t="str">
        <f t="shared" si="38"/>
        <v/>
      </c>
      <c r="BI1101" s="98" t="str">
        <f t="shared" si="39"/>
        <v>INDENIZAÇÃO</v>
      </c>
      <c r="BJ1101" s="98" t="str">
        <f t="shared" si="40"/>
        <v>NÃO</v>
      </c>
    </row>
    <row r="1102" spans="1:62" ht="30" hidden="1" customHeight="1" x14ac:dyDescent="0.25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37"/>
        <v/>
      </c>
      <c r="BH1102" s="321" t="str">
        <f t="shared" si="38"/>
        <v/>
      </c>
      <c r="BI1102" s="98" t="str">
        <f t="shared" si="39"/>
        <v>INDENIZAÇÃO</v>
      </c>
      <c r="BJ1102" s="98" t="str">
        <f t="shared" si="40"/>
        <v>NÃO</v>
      </c>
    </row>
    <row r="1103" spans="1:62" ht="30" hidden="1" customHeight="1" x14ac:dyDescent="0.25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37"/>
        <v/>
      </c>
      <c r="BH1103" s="321" t="str">
        <f t="shared" si="38"/>
        <v/>
      </c>
      <c r="BI1103" s="98" t="str">
        <f t="shared" si="39"/>
        <v>INDENIZAÇÃO</v>
      </c>
      <c r="BJ1103" s="98" t="str">
        <f t="shared" si="40"/>
        <v>NÃO</v>
      </c>
    </row>
    <row r="1104" spans="1:62" ht="30" hidden="1" customHeight="1" x14ac:dyDescent="0.25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37"/>
        <v/>
      </c>
      <c r="BH1104" s="321" t="str">
        <f t="shared" si="38"/>
        <v/>
      </c>
      <c r="BI1104" s="98" t="str">
        <f t="shared" si="39"/>
        <v>INDENIZAÇÃO</v>
      </c>
      <c r="BJ1104" s="98" t="str">
        <f t="shared" si="40"/>
        <v>NÃO</v>
      </c>
    </row>
    <row r="1105" spans="2:62" ht="30" hidden="1" customHeight="1" x14ac:dyDescent="0.25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37"/>
        <v/>
      </c>
      <c r="BH1105" s="321" t="str">
        <f t="shared" si="38"/>
        <v/>
      </c>
      <c r="BI1105" s="98" t="str">
        <f t="shared" si="39"/>
        <v>INDENIZAÇÃO</v>
      </c>
      <c r="BJ1105" s="98" t="str">
        <f t="shared" si="40"/>
        <v>NÃO</v>
      </c>
    </row>
    <row r="1106" spans="2:62" ht="30" hidden="1" customHeight="1" x14ac:dyDescent="0.25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37"/>
        <v/>
      </c>
      <c r="BH1106" s="321" t="str">
        <f t="shared" si="38"/>
        <v/>
      </c>
      <c r="BI1106" s="98" t="str">
        <f t="shared" si="39"/>
        <v>INDENIZAÇÃO</v>
      </c>
      <c r="BJ1106" s="98" t="str">
        <f t="shared" si="40"/>
        <v>NÃO</v>
      </c>
    </row>
    <row r="1107" spans="2:62" ht="30" hidden="1" customHeight="1" x14ac:dyDescent="0.25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37"/>
        <v/>
      </c>
      <c r="BH1107" s="321" t="str">
        <f t="shared" si="38"/>
        <v/>
      </c>
      <c r="BI1107" s="98" t="str">
        <f t="shared" si="39"/>
        <v>INDENIZAÇÃO</v>
      </c>
      <c r="BJ1107" s="98" t="str">
        <f t="shared" si="40"/>
        <v>NÃO</v>
      </c>
    </row>
    <row r="1108" spans="2:62" ht="30" hidden="1" customHeight="1" x14ac:dyDescent="0.25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37"/>
        <v/>
      </c>
      <c r="BH1108" s="321" t="str">
        <f t="shared" si="38"/>
        <v/>
      </c>
      <c r="BI1108" s="98" t="str">
        <f t="shared" si="39"/>
        <v>INDENIZAÇÃO</v>
      </c>
      <c r="BJ1108" s="98" t="str">
        <f t="shared" si="40"/>
        <v>NÃO</v>
      </c>
    </row>
    <row r="1109" spans="2:62" ht="30" hidden="1" customHeight="1" x14ac:dyDescent="0.25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37"/>
        <v/>
      </c>
      <c r="BH1109" s="321" t="str">
        <f t="shared" si="38"/>
        <v/>
      </c>
      <c r="BI1109" s="98" t="str">
        <f t="shared" si="39"/>
        <v>INDENIZAÇÃO</v>
      </c>
      <c r="BJ1109" s="98" t="str">
        <f t="shared" si="40"/>
        <v>NÃO</v>
      </c>
    </row>
    <row r="1110" spans="2:62" ht="30" hidden="1" customHeight="1" x14ac:dyDescent="0.25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37"/>
        <v/>
      </c>
      <c r="BH1110" s="321" t="str">
        <f t="shared" si="38"/>
        <v/>
      </c>
      <c r="BI1110" s="98" t="str">
        <f t="shared" si="39"/>
        <v>INDENIZAÇÃO</v>
      </c>
      <c r="BJ1110" s="98" t="str">
        <f t="shared" si="40"/>
        <v>NÃO</v>
      </c>
    </row>
    <row r="1111" spans="2:62" ht="30" hidden="1" customHeight="1" x14ac:dyDescent="0.25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37"/>
        <v/>
      </c>
      <c r="BH1111" s="321" t="str">
        <f t="shared" si="38"/>
        <v/>
      </c>
      <c r="BI1111" s="98" t="str">
        <f t="shared" si="39"/>
        <v>INDENIZAÇÃO</v>
      </c>
      <c r="BJ1111" s="98" t="str">
        <f t="shared" si="40"/>
        <v>NÃO</v>
      </c>
    </row>
    <row r="1112" spans="2:62" ht="30" hidden="1" customHeight="1" x14ac:dyDescent="0.25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37"/>
        <v/>
      </c>
      <c r="BH1112" s="321" t="str">
        <f t="shared" si="38"/>
        <v/>
      </c>
      <c r="BI1112" s="98" t="str">
        <f t="shared" si="39"/>
        <v>INDENIZAÇÃO</v>
      </c>
      <c r="BJ1112" s="98" t="str">
        <f t="shared" si="40"/>
        <v>NÃO</v>
      </c>
    </row>
    <row r="1113" spans="2:62" ht="30" hidden="1" customHeight="1" x14ac:dyDescent="0.25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37"/>
        <v/>
      </c>
      <c r="BH1113" s="321" t="str">
        <f t="shared" si="38"/>
        <v/>
      </c>
      <c r="BI1113" s="98" t="str">
        <f t="shared" si="39"/>
        <v>INDENIZAÇÃO</v>
      </c>
      <c r="BJ1113" s="98" t="str">
        <f t="shared" si="40"/>
        <v>NÃO</v>
      </c>
    </row>
    <row r="1114" spans="2:62" ht="30" hidden="1" customHeight="1" x14ac:dyDescent="0.25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37"/>
        <v/>
      </c>
      <c r="BH1114" s="321" t="str">
        <f t="shared" si="38"/>
        <v/>
      </c>
      <c r="BI1114" s="98" t="str">
        <f t="shared" si="39"/>
        <v>INDENIZAÇÃO</v>
      </c>
      <c r="BJ1114" s="98" t="str">
        <f t="shared" si="40"/>
        <v>NÃO</v>
      </c>
    </row>
    <row r="1115" spans="2:62" ht="30" hidden="1" customHeight="1" x14ac:dyDescent="0.25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37"/>
        <v/>
      </c>
      <c r="BH1115" s="321" t="str">
        <f t="shared" si="38"/>
        <v/>
      </c>
      <c r="BI1115" s="98" t="str">
        <f t="shared" si="39"/>
        <v>INDENIZAÇÃO</v>
      </c>
      <c r="BJ1115" s="98" t="str">
        <f t="shared" si="40"/>
        <v>NÃO</v>
      </c>
    </row>
    <row r="1116" spans="2:62" ht="30" hidden="1" customHeight="1" x14ac:dyDescent="0.25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37"/>
        <v/>
      </c>
      <c r="BH1116" s="321" t="str">
        <f t="shared" si="38"/>
        <v/>
      </c>
      <c r="BI1116" s="98" t="str">
        <f t="shared" si="39"/>
        <v>INDENIZAÇÃO</v>
      </c>
      <c r="BJ1116" s="98" t="str">
        <f t="shared" si="40"/>
        <v>NÃO</v>
      </c>
    </row>
    <row r="1117" spans="2:62" ht="30" hidden="1" customHeight="1" x14ac:dyDescent="0.25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37"/>
        <v/>
      </c>
      <c r="BH1117" s="321" t="str">
        <f t="shared" si="38"/>
        <v/>
      </c>
      <c r="BI1117" s="98" t="str">
        <f t="shared" si="39"/>
        <v>INDENIZAÇÃO</v>
      </c>
      <c r="BJ1117" s="98" t="str">
        <f t="shared" si="40"/>
        <v>NÃO</v>
      </c>
    </row>
    <row r="1118" spans="2:62" ht="30" hidden="1" customHeight="1" x14ac:dyDescent="0.25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37"/>
        <v/>
      </c>
      <c r="BH1118" s="321" t="str">
        <f t="shared" si="38"/>
        <v/>
      </c>
      <c r="BI1118" s="98" t="str">
        <f t="shared" si="39"/>
        <v>INDENIZAÇÃO</v>
      </c>
      <c r="BJ1118" s="98" t="str">
        <f t="shared" si="40"/>
        <v>NÃO</v>
      </c>
    </row>
    <row r="1119" spans="2:62" ht="30" hidden="1" customHeight="1" x14ac:dyDescent="0.25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37"/>
        <v/>
      </c>
      <c r="BH1119" s="321" t="str">
        <f t="shared" si="38"/>
        <v/>
      </c>
      <c r="BI1119" s="98" t="str">
        <f t="shared" si="39"/>
        <v>INDENIZAÇÃO</v>
      </c>
      <c r="BJ1119" s="98" t="str">
        <f t="shared" si="40"/>
        <v>NÃO</v>
      </c>
    </row>
    <row r="1120" spans="2:62" ht="30" hidden="1" customHeight="1" x14ac:dyDescent="0.25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37"/>
        <v/>
      </c>
      <c r="BH1120" s="321" t="str">
        <f t="shared" si="38"/>
        <v/>
      </c>
      <c r="BI1120" s="98" t="str">
        <f t="shared" si="39"/>
        <v>INDENIZAÇÃO</v>
      </c>
      <c r="BJ1120" s="98" t="str">
        <f t="shared" si="40"/>
        <v>NÃO</v>
      </c>
    </row>
    <row r="1121" spans="2:62" ht="30" hidden="1" customHeight="1" x14ac:dyDescent="0.25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37"/>
        <v/>
      </c>
      <c r="BH1121" s="321" t="str">
        <f t="shared" si="38"/>
        <v/>
      </c>
      <c r="BI1121" s="98" t="str">
        <f t="shared" si="39"/>
        <v>INDENIZAÇÃO</v>
      </c>
      <c r="BJ1121" s="98" t="str">
        <f t="shared" si="40"/>
        <v>NÃO</v>
      </c>
    </row>
    <row r="1122" spans="2:62" ht="30" hidden="1" customHeight="1" x14ac:dyDescent="0.25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37"/>
        <v/>
      </c>
      <c r="BH1122" s="321" t="str">
        <f t="shared" si="38"/>
        <v/>
      </c>
      <c r="BI1122" s="98" t="str">
        <f t="shared" si="39"/>
        <v>INDENIZAÇÃO</v>
      </c>
      <c r="BJ1122" s="98" t="str">
        <f t="shared" si="40"/>
        <v>NÃO</v>
      </c>
    </row>
    <row r="1123" spans="2:62" ht="30" hidden="1" customHeight="1" x14ac:dyDescent="0.25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37"/>
        <v/>
      </c>
      <c r="BH1123" s="321" t="str">
        <f t="shared" si="38"/>
        <v/>
      </c>
      <c r="BI1123" s="98" t="str">
        <f t="shared" si="39"/>
        <v>INDENIZAÇÃO</v>
      </c>
      <c r="BJ1123" s="98" t="str">
        <f t="shared" si="40"/>
        <v>NÃO</v>
      </c>
    </row>
    <row r="1124" spans="2:62" ht="30" hidden="1" customHeight="1" x14ac:dyDescent="0.25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37"/>
        <v/>
      </c>
      <c r="BH1124" s="321" t="str">
        <f t="shared" si="38"/>
        <v/>
      </c>
      <c r="BI1124" s="98" t="str">
        <f t="shared" si="39"/>
        <v>INDENIZAÇÃO</v>
      </c>
      <c r="BJ1124" s="98" t="str">
        <f t="shared" si="40"/>
        <v>NÃO</v>
      </c>
    </row>
    <row r="1125" spans="2:62" ht="30" hidden="1" customHeight="1" x14ac:dyDescent="0.25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37"/>
        <v/>
      </c>
      <c r="BH1125" s="321" t="str">
        <f t="shared" si="38"/>
        <v/>
      </c>
      <c r="BI1125" s="98" t="str">
        <f t="shared" si="39"/>
        <v>INDENIZAÇÃO</v>
      </c>
      <c r="BJ1125" s="98" t="str">
        <f t="shared" si="40"/>
        <v>NÃO</v>
      </c>
    </row>
    <row r="1126" spans="2:62" ht="30" hidden="1" customHeight="1" x14ac:dyDescent="0.25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37"/>
        <v/>
      </c>
      <c r="BH1126" s="321" t="str">
        <f t="shared" si="38"/>
        <v/>
      </c>
      <c r="BI1126" s="98" t="str">
        <f t="shared" si="39"/>
        <v>INDENIZAÇÃO</v>
      </c>
      <c r="BJ1126" s="98" t="str">
        <f t="shared" si="40"/>
        <v>NÃO</v>
      </c>
    </row>
    <row r="1127" spans="2:62" ht="30" hidden="1" customHeight="1" x14ac:dyDescent="0.25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37"/>
        <v/>
      </c>
      <c r="BH1127" s="321" t="str">
        <f t="shared" si="38"/>
        <v/>
      </c>
      <c r="BI1127" s="98" t="str">
        <f t="shared" si="39"/>
        <v>INDENIZAÇÃO</v>
      </c>
      <c r="BJ1127" s="98" t="str">
        <f t="shared" si="40"/>
        <v>NÃO</v>
      </c>
    </row>
    <row r="1128" spans="2:62" ht="30" hidden="1" customHeight="1" x14ac:dyDescent="0.25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37"/>
        <v/>
      </c>
      <c r="BH1128" s="321" t="str">
        <f t="shared" si="38"/>
        <v/>
      </c>
      <c r="BI1128" s="98" t="str">
        <f t="shared" si="39"/>
        <v>INDENIZAÇÃO</v>
      </c>
      <c r="BJ1128" s="98" t="str">
        <f t="shared" si="40"/>
        <v>NÃO</v>
      </c>
    </row>
    <row r="1129" spans="2:62" ht="30" hidden="1" customHeight="1" x14ac:dyDescent="0.25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37"/>
        <v/>
      </c>
      <c r="BH1129" s="321" t="str">
        <f t="shared" si="38"/>
        <v/>
      </c>
      <c r="BI1129" s="98" t="str">
        <f t="shared" si="39"/>
        <v>INDENIZAÇÃO</v>
      </c>
      <c r="BJ1129" s="98" t="str">
        <f t="shared" si="40"/>
        <v>NÃO</v>
      </c>
    </row>
    <row r="1130" spans="2:62" ht="30" hidden="1" customHeight="1" x14ac:dyDescent="0.25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37"/>
        <v/>
      </c>
      <c r="BH1130" s="321" t="str">
        <f t="shared" si="38"/>
        <v/>
      </c>
      <c r="BI1130" s="98" t="str">
        <f t="shared" si="39"/>
        <v>INDENIZAÇÃO</v>
      </c>
      <c r="BJ1130" s="98" t="str">
        <f t="shared" si="40"/>
        <v>NÃO</v>
      </c>
    </row>
    <row r="1131" spans="2:62" ht="30" hidden="1" customHeight="1" x14ac:dyDescent="0.25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37"/>
        <v/>
      </c>
      <c r="BH1131" s="321" t="str">
        <f t="shared" si="38"/>
        <v/>
      </c>
      <c r="BI1131" s="98" t="str">
        <f t="shared" si="39"/>
        <v>INDENIZAÇÃO</v>
      </c>
      <c r="BJ1131" s="98" t="str">
        <f t="shared" si="40"/>
        <v>NÃO</v>
      </c>
    </row>
    <row r="1132" spans="2:62" ht="30" hidden="1" customHeight="1" x14ac:dyDescent="0.25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37"/>
        <v/>
      </c>
      <c r="BH1132" s="321" t="str">
        <f t="shared" si="38"/>
        <v/>
      </c>
      <c r="BI1132" s="98" t="str">
        <f t="shared" si="39"/>
        <v>INDENIZAÇÃO</v>
      </c>
      <c r="BJ1132" s="98" t="str">
        <f t="shared" si="40"/>
        <v>NÃO</v>
      </c>
    </row>
    <row r="1133" spans="2:62" ht="30" hidden="1" customHeight="1" x14ac:dyDescent="0.25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37"/>
        <v/>
      </c>
      <c r="BH1133" s="321" t="str">
        <f t="shared" si="38"/>
        <v/>
      </c>
      <c r="BI1133" s="98" t="str">
        <f t="shared" si="39"/>
        <v>INDENIZAÇÃO</v>
      </c>
      <c r="BJ1133" s="98" t="str">
        <f t="shared" si="40"/>
        <v>NÃO</v>
      </c>
    </row>
    <row r="1134" spans="2:62" ht="30" hidden="1" customHeight="1" x14ac:dyDescent="0.25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37"/>
        <v/>
      </c>
      <c r="BH1134" s="321" t="str">
        <f t="shared" si="38"/>
        <v/>
      </c>
      <c r="BI1134" s="98" t="str">
        <f t="shared" si="39"/>
        <v>INDENIZAÇÃO</v>
      </c>
      <c r="BJ1134" s="98" t="str">
        <f t="shared" si="40"/>
        <v>NÃO</v>
      </c>
    </row>
    <row r="1135" spans="2:62" ht="30" hidden="1" customHeight="1" x14ac:dyDescent="0.25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37"/>
        <v/>
      </c>
      <c r="BH1135" s="321" t="str">
        <f t="shared" si="38"/>
        <v/>
      </c>
      <c r="BI1135" s="98" t="str">
        <f t="shared" si="39"/>
        <v>INDENIZAÇÃO</v>
      </c>
      <c r="BJ1135" s="98" t="str">
        <f t="shared" si="40"/>
        <v>NÃO</v>
      </c>
    </row>
    <row r="1136" spans="2:62" ht="30" hidden="1" customHeight="1" x14ac:dyDescent="0.25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37"/>
        <v/>
      </c>
      <c r="BH1136" s="321" t="str">
        <f t="shared" si="38"/>
        <v/>
      </c>
      <c r="BI1136" s="98" t="str">
        <f t="shared" si="39"/>
        <v>INDENIZAÇÃO</v>
      </c>
      <c r="BJ1136" s="98" t="str">
        <f t="shared" si="40"/>
        <v>NÃO</v>
      </c>
    </row>
    <row r="1137" spans="2:62" ht="30" hidden="1" customHeight="1" x14ac:dyDescent="0.25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37"/>
        <v/>
      </c>
      <c r="BH1137" s="321" t="str">
        <f t="shared" si="38"/>
        <v/>
      </c>
      <c r="BI1137" s="98" t="str">
        <f t="shared" si="39"/>
        <v>INDENIZAÇÃO</v>
      </c>
      <c r="BJ1137" s="98" t="str">
        <f t="shared" si="40"/>
        <v>NÃO</v>
      </c>
    </row>
    <row r="1138" spans="2:62" ht="30" hidden="1" customHeight="1" x14ac:dyDescent="0.25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37"/>
        <v/>
      </c>
      <c r="BH1138" s="321" t="str">
        <f t="shared" si="38"/>
        <v/>
      </c>
      <c r="BI1138" s="98" t="str">
        <f t="shared" si="39"/>
        <v>INDENIZAÇÃO</v>
      </c>
      <c r="BJ1138" s="98" t="str">
        <f t="shared" si="40"/>
        <v>NÃO</v>
      </c>
    </row>
    <row r="1139" spans="2:62" ht="30" hidden="1" customHeight="1" x14ac:dyDescent="0.25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37"/>
        <v/>
      </c>
      <c r="BH1139" s="321" t="str">
        <f t="shared" si="38"/>
        <v/>
      </c>
      <c r="BI1139" s="98" t="str">
        <f t="shared" si="39"/>
        <v>INDENIZAÇÃO</v>
      </c>
      <c r="BJ1139" s="98" t="str">
        <f t="shared" si="40"/>
        <v>NÃO</v>
      </c>
    </row>
    <row r="1140" spans="2:62" ht="30" hidden="1" customHeight="1" x14ac:dyDescent="0.25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37"/>
        <v/>
      </c>
      <c r="BH1140" s="321" t="str">
        <f t="shared" si="38"/>
        <v/>
      </c>
      <c r="BI1140" s="98" t="str">
        <f t="shared" si="39"/>
        <v>INDENIZAÇÃO</v>
      </c>
      <c r="BJ1140" s="98" t="str">
        <f t="shared" si="40"/>
        <v>NÃO</v>
      </c>
    </row>
    <row r="1141" spans="2:62" ht="30" hidden="1" customHeight="1" x14ac:dyDescent="0.25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37"/>
        <v/>
      </c>
      <c r="BH1141" s="321" t="str">
        <f t="shared" si="38"/>
        <v/>
      </c>
      <c r="BI1141" s="98" t="str">
        <f t="shared" si="39"/>
        <v>INDENIZAÇÃO</v>
      </c>
      <c r="BJ1141" s="98" t="str">
        <f t="shared" si="40"/>
        <v>NÃO</v>
      </c>
    </row>
    <row r="1142" spans="2:62" ht="30" hidden="1" customHeight="1" x14ac:dyDescent="0.25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37"/>
        <v/>
      </c>
      <c r="BH1142" s="321" t="str">
        <f t="shared" si="38"/>
        <v/>
      </c>
      <c r="BI1142" s="98" t="str">
        <f t="shared" si="39"/>
        <v>INDENIZAÇÃO</v>
      </c>
      <c r="BJ1142" s="98" t="str">
        <f t="shared" si="40"/>
        <v>NÃO</v>
      </c>
    </row>
    <row r="1143" spans="2:62" ht="30" hidden="1" customHeight="1" x14ac:dyDescent="0.25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37"/>
        <v/>
      </c>
      <c r="BH1143" s="321" t="str">
        <f t="shared" si="38"/>
        <v/>
      </c>
      <c r="BI1143" s="98" t="str">
        <f t="shared" si="39"/>
        <v>INDENIZAÇÃO</v>
      </c>
      <c r="BJ1143" s="98" t="str">
        <f t="shared" si="40"/>
        <v>NÃO</v>
      </c>
    </row>
    <row r="1144" spans="2:62" ht="30" hidden="1" customHeight="1" x14ac:dyDescent="0.25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37"/>
        <v/>
      </c>
      <c r="BH1144" s="321" t="str">
        <f t="shared" si="38"/>
        <v/>
      </c>
      <c r="BI1144" s="98" t="str">
        <f t="shared" si="39"/>
        <v>INDENIZAÇÃO</v>
      </c>
      <c r="BJ1144" s="98" t="str">
        <f t="shared" si="40"/>
        <v>NÃO</v>
      </c>
    </row>
    <row r="1145" spans="2:62" ht="30" hidden="1" customHeight="1" x14ac:dyDescent="0.25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37"/>
        <v/>
      </c>
      <c r="BH1145" s="321" t="str">
        <f t="shared" si="38"/>
        <v/>
      </c>
      <c r="BI1145" s="98" t="str">
        <f t="shared" si="39"/>
        <v>INDENIZAÇÃO</v>
      </c>
      <c r="BJ1145" s="98" t="str">
        <f t="shared" si="40"/>
        <v>NÃO</v>
      </c>
    </row>
    <row r="1146" spans="2:62" ht="30" hidden="1" customHeight="1" x14ac:dyDescent="0.25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37"/>
        <v/>
      </c>
      <c r="BH1146" s="321" t="str">
        <f t="shared" si="38"/>
        <v/>
      </c>
      <c r="BI1146" s="98" t="str">
        <f t="shared" si="39"/>
        <v>INDENIZAÇÃO</v>
      </c>
      <c r="BJ1146" s="98" t="str">
        <f t="shared" si="40"/>
        <v>NÃO</v>
      </c>
    </row>
    <row r="1147" spans="2:62" ht="30" hidden="1" customHeight="1" x14ac:dyDescent="0.25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37"/>
        <v/>
      </c>
      <c r="BH1147" s="321" t="str">
        <f t="shared" si="38"/>
        <v/>
      </c>
      <c r="BI1147" s="98" t="str">
        <f t="shared" si="39"/>
        <v>INDENIZAÇÃO</v>
      </c>
      <c r="BJ1147" s="98" t="str">
        <f t="shared" si="40"/>
        <v>NÃO</v>
      </c>
    </row>
    <row r="1148" spans="2:62" ht="30" hidden="1" customHeight="1" x14ac:dyDescent="0.25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37"/>
        <v/>
      </c>
      <c r="BH1148" s="321" t="str">
        <f t="shared" si="38"/>
        <v/>
      </c>
      <c r="BI1148" s="98" t="str">
        <f t="shared" si="39"/>
        <v>INDENIZAÇÃO</v>
      </c>
      <c r="BJ1148" s="98" t="str">
        <f t="shared" si="40"/>
        <v>NÃO</v>
      </c>
    </row>
    <row r="1149" spans="2:62" ht="30" hidden="1" customHeight="1" x14ac:dyDescent="0.25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37"/>
        <v/>
      </c>
      <c r="BH1149" s="321" t="str">
        <f t="shared" si="38"/>
        <v/>
      </c>
      <c r="BI1149" s="98" t="str">
        <f t="shared" si="39"/>
        <v>INDENIZAÇÃO</v>
      </c>
      <c r="BJ1149" s="98" t="str">
        <f t="shared" si="40"/>
        <v>NÃO</v>
      </c>
    </row>
    <row r="1150" spans="2:62" ht="30" hidden="1" customHeight="1" x14ac:dyDescent="0.25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37"/>
        <v/>
      </c>
      <c r="BH1150" s="321" t="str">
        <f t="shared" si="38"/>
        <v/>
      </c>
      <c r="BI1150" s="98" t="str">
        <f t="shared" si="39"/>
        <v>INDENIZAÇÃO</v>
      </c>
      <c r="BJ1150" s="98" t="str">
        <f t="shared" si="40"/>
        <v>NÃO</v>
      </c>
    </row>
    <row r="1151" spans="2:62" ht="30" hidden="1" customHeight="1" x14ac:dyDescent="0.25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41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38"/>
        <v/>
      </c>
      <c r="BI1151" s="98" t="str">
        <f t="shared" si="39"/>
        <v>INDENIZAÇÃO</v>
      </c>
      <c r="BJ1151" s="98" t="str">
        <f t="shared" si="40"/>
        <v>NÃO</v>
      </c>
    </row>
    <row r="1152" spans="2:62" ht="30" hidden="1" customHeight="1" x14ac:dyDescent="0.25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41"/>
        <v/>
      </c>
      <c r="BH1152" s="321" t="str">
        <f t="shared" si="38"/>
        <v/>
      </c>
      <c r="BI1152" s="98" t="str">
        <f t="shared" si="39"/>
        <v>INDENIZAÇÃO</v>
      </c>
      <c r="BJ1152" s="98" t="str">
        <f t="shared" si="40"/>
        <v>NÃO</v>
      </c>
    </row>
    <row r="1153" spans="2:62" ht="30" hidden="1" customHeight="1" x14ac:dyDescent="0.25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41"/>
        <v/>
      </c>
      <c r="BH1153" s="321" t="str">
        <f t="shared" si="38"/>
        <v/>
      </c>
      <c r="BI1153" s="98" t="str">
        <f t="shared" si="39"/>
        <v>INDENIZAÇÃO</v>
      </c>
      <c r="BJ1153" s="98" t="str">
        <f t="shared" si="40"/>
        <v>NÃO</v>
      </c>
    </row>
    <row r="1154" spans="2:62" ht="30" hidden="1" customHeight="1" x14ac:dyDescent="0.25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41"/>
        <v/>
      </c>
      <c r="BH1154" s="321" t="str">
        <f t="shared" si="38"/>
        <v/>
      </c>
      <c r="BI1154" s="98" t="str">
        <f t="shared" si="39"/>
        <v>INDENIZAÇÃO</v>
      </c>
      <c r="BJ1154" s="98" t="str">
        <f t="shared" si="40"/>
        <v>NÃO</v>
      </c>
    </row>
    <row r="1155" spans="2:62" ht="30" hidden="1" customHeight="1" x14ac:dyDescent="0.25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41"/>
        <v/>
      </c>
      <c r="BH1155" s="321" t="str">
        <f t="shared" si="38"/>
        <v/>
      </c>
      <c r="BI1155" s="98" t="str">
        <f t="shared" si="39"/>
        <v>INDENIZAÇÃO</v>
      </c>
      <c r="BJ1155" s="98" t="str">
        <f t="shared" si="40"/>
        <v>NÃO</v>
      </c>
    </row>
    <row r="1156" spans="2:62" ht="30" hidden="1" customHeight="1" x14ac:dyDescent="0.25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41"/>
        <v/>
      </c>
      <c r="BH1156" s="321" t="str">
        <f t="shared" si="38"/>
        <v/>
      </c>
      <c r="BI1156" s="98" t="str">
        <f t="shared" si="39"/>
        <v>INDENIZAÇÃO</v>
      </c>
      <c r="BJ1156" s="98" t="str">
        <f t="shared" si="40"/>
        <v>NÃO</v>
      </c>
    </row>
    <row r="1157" spans="2:62" ht="30" hidden="1" customHeight="1" x14ac:dyDescent="0.25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41"/>
        <v/>
      </c>
      <c r="BH1157" s="321" t="str">
        <f t="shared" ref="BH1157:BH1220" si="42">IFERROR(IF(BD1157-KI1157=0,"",BD1157-AK1157),"")</f>
        <v/>
      </c>
      <c r="BI1157" s="98" t="str">
        <f t="shared" ref="BI1157:BI1179" si="43">IF(AND(AH1157&lt;&gt;"SIM",AH1157="UH"),"AA","INDENIZAÇÃO")</f>
        <v>INDENIZAÇÃO</v>
      </c>
      <c r="BJ1157" s="98" t="str">
        <f t="shared" ref="BJ1157:BJ1220" si="44">IF(AND(BD1157&lt;&gt;"AGUARDANDO",BD1157&lt;&gt;"",N1157="AUXÍLIO ALUGUEL ATÉ INDENIZAÇÃO"),"SIM","NÃO")</f>
        <v>NÃO</v>
      </c>
    </row>
    <row r="1158" spans="2:62" ht="30" hidden="1" customHeight="1" x14ac:dyDescent="0.25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41"/>
        <v/>
      </c>
      <c r="BH1158" s="321" t="str">
        <f t="shared" si="42"/>
        <v/>
      </c>
      <c r="BI1158" s="98" t="str">
        <f t="shared" si="43"/>
        <v>INDENIZAÇÃO</v>
      </c>
      <c r="BJ1158" s="98" t="str">
        <f t="shared" si="44"/>
        <v>NÃO</v>
      </c>
    </row>
    <row r="1159" spans="2:62" ht="30" hidden="1" customHeight="1" x14ac:dyDescent="0.25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41"/>
        <v/>
      </c>
      <c r="BH1159" s="321" t="str">
        <f t="shared" si="42"/>
        <v/>
      </c>
      <c r="BI1159" s="98" t="str">
        <f t="shared" si="43"/>
        <v>INDENIZAÇÃO</v>
      </c>
      <c r="BJ1159" s="98" t="str">
        <f t="shared" si="44"/>
        <v>NÃO</v>
      </c>
    </row>
    <row r="1160" spans="2:62" ht="30" hidden="1" customHeight="1" x14ac:dyDescent="0.25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41"/>
        <v/>
      </c>
      <c r="BH1160" s="321" t="str">
        <f t="shared" si="42"/>
        <v/>
      </c>
      <c r="BI1160" s="98" t="str">
        <f t="shared" si="43"/>
        <v>INDENIZAÇÃO</v>
      </c>
      <c r="BJ1160" s="98" t="str">
        <f t="shared" si="44"/>
        <v>NÃO</v>
      </c>
    </row>
    <row r="1161" spans="2:62" ht="30" hidden="1" customHeight="1" x14ac:dyDescent="0.25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41"/>
        <v/>
      </c>
      <c r="BH1161" s="321" t="str">
        <f t="shared" si="42"/>
        <v/>
      </c>
      <c r="BI1161" s="98" t="str">
        <f t="shared" si="43"/>
        <v>INDENIZAÇÃO</v>
      </c>
      <c r="BJ1161" s="98" t="str">
        <f t="shared" si="44"/>
        <v>NÃO</v>
      </c>
    </row>
    <row r="1162" spans="2:62" ht="30" hidden="1" customHeight="1" x14ac:dyDescent="0.25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41"/>
        <v/>
      </c>
      <c r="BH1162" s="321" t="str">
        <f t="shared" si="42"/>
        <v/>
      </c>
      <c r="BI1162" s="98" t="str">
        <f t="shared" si="43"/>
        <v>INDENIZAÇÃO</v>
      </c>
      <c r="BJ1162" s="98" t="str">
        <f t="shared" si="44"/>
        <v>NÃO</v>
      </c>
    </row>
    <row r="1163" spans="2:62" ht="30" hidden="1" customHeight="1" x14ac:dyDescent="0.25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41"/>
        <v/>
      </c>
      <c r="BH1163" s="321" t="str">
        <f t="shared" si="42"/>
        <v/>
      </c>
      <c r="BI1163" s="98" t="str">
        <f t="shared" si="43"/>
        <v>INDENIZAÇÃO</v>
      </c>
      <c r="BJ1163" s="98" t="str">
        <f t="shared" si="44"/>
        <v>NÃO</v>
      </c>
    </row>
    <row r="1164" spans="2:62" ht="30" hidden="1" customHeight="1" x14ac:dyDescent="0.25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41"/>
        <v/>
      </c>
      <c r="BH1164" s="321" t="str">
        <f t="shared" si="42"/>
        <v/>
      </c>
      <c r="BI1164" s="98" t="str">
        <f t="shared" si="43"/>
        <v>INDENIZAÇÃO</v>
      </c>
      <c r="BJ1164" s="98" t="str">
        <f t="shared" si="44"/>
        <v>NÃO</v>
      </c>
    </row>
    <row r="1165" spans="2:62" ht="30" hidden="1" customHeight="1" x14ac:dyDescent="0.25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41"/>
        <v/>
      </c>
      <c r="BH1165" s="321" t="str">
        <f t="shared" si="42"/>
        <v/>
      </c>
      <c r="BI1165" s="98" t="str">
        <f t="shared" si="43"/>
        <v>INDENIZAÇÃO</v>
      </c>
      <c r="BJ1165" s="98" t="str">
        <f t="shared" si="44"/>
        <v>NÃO</v>
      </c>
    </row>
    <row r="1166" spans="2:62" ht="30" hidden="1" customHeight="1" x14ac:dyDescent="0.25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41"/>
        <v/>
      </c>
      <c r="BH1166" s="321" t="str">
        <f t="shared" si="42"/>
        <v/>
      </c>
      <c r="BI1166" s="98" t="str">
        <f t="shared" si="43"/>
        <v>INDENIZAÇÃO</v>
      </c>
      <c r="BJ1166" s="98" t="str">
        <f t="shared" si="44"/>
        <v>NÃO</v>
      </c>
    </row>
    <row r="1167" spans="2:62" ht="30" hidden="1" customHeight="1" x14ac:dyDescent="0.25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41"/>
        <v/>
      </c>
      <c r="BH1167" s="321" t="str">
        <f t="shared" si="42"/>
        <v/>
      </c>
      <c r="BI1167" s="98" t="str">
        <f t="shared" si="43"/>
        <v>INDENIZAÇÃO</v>
      </c>
      <c r="BJ1167" s="98" t="str">
        <f t="shared" si="44"/>
        <v>NÃO</v>
      </c>
    </row>
    <row r="1168" spans="2:62" ht="30" hidden="1" customHeight="1" x14ac:dyDescent="0.25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41"/>
        <v/>
      </c>
      <c r="BH1168" s="321" t="str">
        <f t="shared" si="42"/>
        <v/>
      </c>
      <c r="BI1168" s="98" t="str">
        <f t="shared" si="43"/>
        <v>INDENIZAÇÃO</v>
      </c>
      <c r="BJ1168" s="98" t="str">
        <f t="shared" si="44"/>
        <v>NÃO</v>
      </c>
    </row>
    <row r="1169" spans="2:62" ht="30" hidden="1" customHeight="1" x14ac:dyDescent="0.25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41"/>
        <v/>
      </c>
      <c r="BH1169" s="321" t="str">
        <f t="shared" si="42"/>
        <v/>
      </c>
      <c r="BI1169" s="98" t="str">
        <f t="shared" si="43"/>
        <v>INDENIZAÇÃO</v>
      </c>
      <c r="BJ1169" s="98" t="str">
        <f t="shared" si="44"/>
        <v>NÃO</v>
      </c>
    </row>
    <row r="1170" spans="2:62" ht="30" hidden="1" customHeight="1" x14ac:dyDescent="0.25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41"/>
        <v/>
      </c>
      <c r="BH1170" s="321" t="str">
        <f t="shared" si="42"/>
        <v/>
      </c>
      <c r="BI1170" s="98" t="str">
        <f t="shared" si="43"/>
        <v>INDENIZAÇÃO</v>
      </c>
      <c r="BJ1170" s="98" t="str">
        <f t="shared" si="44"/>
        <v>NÃO</v>
      </c>
    </row>
    <row r="1171" spans="2:62" ht="30" hidden="1" customHeight="1" x14ac:dyDescent="0.25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41"/>
        <v/>
      </c>
      <c r="BH1171" s="321" t="str">
        <f t="shared" si="42"/>
        <v/>
      </c>
      <c r="BI1171" s="98" t="str">
        <f t="shared" si="43"/>
        <v>INDENIZAÇÃO</v>
      </c>
      <c r="BJ1171" s="98" t="str">
        <f t="shared" si="44"/>
        <v>NÃO</v>
      </c>
    </row>
    <row r="1172" spans="2:62" ht="30" hidden="1" customHeight="1" x14ac:dyDescent="0.25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41"/>
        <v/>
      </c>
      <c r="BH1172" s="321" t="str">
        <f t="shared" si="42"/>
        <v/>
      </c>
      <c r="BI1172" s="98" t="str">
        <f t="shared" si="43"/>
        <v>INDENIZAÇÃO</v>
      </c>
      <c r="BJ1172" s="98" t="str">
        <f t="shared" si="44"/>
        <v>NÃO</v>
      </c>
    </row>
    <row r="1173" spans="2:62" ht="30" hidden="1" customHeight="1" x14ac:dyDescent="0.25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41"/>
        <v/>
      </c>
      <c r="BH1173" s="321" t="str">
        <f t="shared" si="42"/>
        <v/>
      </c>
      <c r="BI1173" s="98" t="str">
        <f t="shared" si="43"/>
        <v>INDENIZAÇÃO</v>
      </c>
      <c r="BJ1173" s="98" t="str">
        <f t="shared" si="44"/>
        <v>NÃO</v>
      </c>
    </row>
    <row r="1174" spans="2:62" ht="30" hidden="1" customHeight="1" x14ac:dyDescent="0.25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41"/>
        <v/>
      </c>
      <c r="BH1174" s="321" t="str">
        <f t="shared" si="42"/>
        <v/>
      </c>
      <c r="BI1174" s="98" t="str">
        <f t="shared" si="43"/>
        <v>INDENIZAÇÃO</v>
      </c>
      <c r="BJ1174" s="98" t="str">
        <f t="shared" si="44"/>
        <v>NÃO</v>
      </c>
    </row>
    <row r="1175" spans="2:62" ht="30" hidden="1" customHeight="1" x14ac:dyDescent="0.25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41"/>
        <v/>
      </c>
      <c r="BH1175" s="321" t="str">
        <f t="shared" si="42"/>
        <v/>
      </c>
      <c r="BI1175" s="98" t="str">
        <f t="shared" si="43"/>
        <v>INDENIZAÇÃO</v>
      </c>
      <c r="BJ1175" s="98" t="str">
        <f t="shared" si="44"/>
        <v>NÃO</v>
      </c>
    </row>
    <row r="1176" spans="2:62" ht="30" hidden="1" customHeight="1" x14ac:dyDescent="0.25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41"/>
        <v/>
      </c>
      <c r="BH1176" s="321" t="str">
        <f t="shared" si="42"/>
        <v/>
      </c>
      <c r="BI1176" s="98" t="str">
        <f t="shared" si="43"/>
        <v>INDENIZAÇÃO</v>
      </c>
      <c r="BJ1176" s="98" t="str">
        <f t="shared" si="44"/>
        <v>NÃO</v>
      </c>
    </row>
    <row r="1177" spans="2:62" ht="30" hidden="1" customHeight="1" x14ac:dyDescent="0.25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41"/>
        <v/>
      </c>
      <c r="BH1177" s="321" t="str">
        <f t="shared" si="42"/>
        <v/>
      </c>
      <c r="BI1177" s="98" t="str">
        <f t="shared" si="43"/>
        <v>INDENIZAÇÃO</v>
      </c>
      <c r="BJ1177" s="98" t="str">
        <f t="shared" si="44"/>
        <v>NÃO</v>
      </c>
    </row>
    <row r="1178" spans="2:62" ht="30" hidden="1" customHeight="1" x14ac:dyDescent="0.25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41"/>
        <v/>
      </c>
      <c r="BH1178" s="321" t="str">
        <f t="shared" si="42"/>
        <v/>
      </c>
      <c r="BI1178" s="98" t="str">
        <f t="shared" si="43"/>
        <v>INDENIZAÇÃO</v>
      </c>
      <c r="BJ1178" s="98" t="str">
        <f t="shared" si="44"/>
        <v>NÃO</v>
      </c>
    </row>
    <row r="1179" spans="2:62" ht="30" hidden="1" customHeight="1" x14ac:dyDescent="0.25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41"/>
        <v/>
      </c>
      <c r="BH1179" s="321" t="str">
        <f t="shared" si="42"/>
        <v/>
      </c>
      <c r="BI1179" s="98" t="str">
        <f t="shared" si="43"/>
        <v>INDENIZAÇÃO</v>
      </c>
      <c r="BJ1179" s="98" t="str">
        <f t="shared" si="44"/>
        <v>NÃO</v>
      </c>
    </row>
    <row r="1180" spans="2:62" ht="30" hidden="1" customHeight="1" x14ac:dyDescent="0.25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41"/>
        <v/>
      </c>
      <c r="BH1180" s="321" t="str">
        <f t="shared" si="42"/>
        <v/>
      </c>
      <c r="BJ1180" s="98" t="str">
        <f t="shared" si="44"/>
        <v>NÃO</v>
      </c>
    </row>
    <row r="1181" spans="2:62" ht="30" hidden="1" customHeight="1" x14ac:dyDescent="0.25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41"/>
        <v/>
      </c>
      <c r="BH1181" s="321" t="str">
        <f t="shared" si="42"/>
        <v/>
      </c>
      <c r="BJ1181" s="98" t="str">
        <f t="shared" si="44"/>
        <v>NÃO</v>
      </c>
    </row>
    <row r="1182" spans="2:62" ht="30" hidden="1" customHeight="1" x14ac:dyDescent="0.25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41"/>
        <v/>
      </c>
      <c r="BH1182" s="321" t="str">
        <f t="shared" si="42"/>
        <v/>
      </c>
      <c r="BJ1182" s="98" t="str">
        <f t="shared" si="44"/>
        <v>NÃO</v>
      </c>
    </row>
    <row r="1183" spans="2:62" ht="30" hidden="1" customHeight="1" x14ac:dyDescent="0.25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41"/>
        <v/>
      </c>
      <c r="BH1183" s="321" t="str">
        <f t="shared" si="42"/>
        <v/>
      </c>
      <c r="BJ1183" s="98" t="str">
        <f t="shared" si="44"/>
        <v>NÃO</v>
      </c>
    </row>
    <row r="1184" spans="2:62" ht="30" hidden="1" customHeight="1" x14ac:dyDescent="0.25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41"/>
        <v/>
      </c>
      <c r="BH1184" s="321" t="str">
        <f t="shared" si="42"/>
        <v/>
      </c>
      <c r="BJ1184" s="98" t="str">
        <f t="shared" si="44"/>
        <v>NÃO</v>
      </c>
    </row>
    <row r="1185" spans="2:62" ht="30" hidden="1" customHeight="1" x14ac:dyDescent="0.25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41"/>
        <v/>
      </c>
      <c r="BH1185" s="321" t="str">
        <f t="shared" si="42"/>
        <v/>
      </c>
      <c r="BJ1185" s="98" t="str">
        <f t="shared" si="44"/>
        <v>NÃO</v>
      </c>
    </row>
    <row r="1186" spans="2:62" ht="30" hidden="1" customHeight="1" x14ac:dyDescent="0.25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41"/>
        <v/>
      </c>
      <c r="BH1186" s="321" t="str">
        <f t="shared" si="42"/>
        <v/>
      </c>
      <c r="BJ1186" s="98" t="str">
        <f t="shared" si="44"/>
        <v>NÃO</v>
      </c>
    </row>
    <row r="1187" spans="2:62" ht="30" hidden="1" customHeight="1" x14ac:dyDescent="0.25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41"/>
        <v/>
      </c>
      <c r="BH1187" s="321" t="str">
        <f t="shared" si="42"/>
        <v/>
      </c>
      <c r="BJ1187" s="98" t="str">
        <f t="shared" si="44"/>
        <v>NÃO</v>
      </c>
    </row>
    <row r="1188" spans="2:62" ht="30" hidden="1" customHeight="1" x14ac:dyDescent="0.25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41"/>
        <v/>
      </c>
      <c r="BH1188" s="321" t="str">
        <f t="shared" si="42"/>
        <v/>
      </c>
      <c r="BJ1188" s="98" t="str">
        <f t="shared" si="44"/>
        <v>NÃO</v>
      </c>
    </row>
    <row r="1189" spans="2:62" ht="30" hidden="1" customHeight="1" x14ac:dyDescent="0.25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41"/>
        <v/>
      </c>
      <c r="BH1189" s="321" t="str">
        <f t="shared" si="42"/>
        <v/>
      </c>
      <c r="BJ1189" s="98" t="str">
        <f t="shared" si="44"/>
        <v>NÃO</v>
      </c>
    </row>
    <row r="1190" spans="2:62" ht="30" hidden="1" customHeight="1" x14ac:dyDescent="0.25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41"/>
        <v/>
      </c>
      <c r="BH1190" s="321" t="str">
        <f t="shared" si="42"/>
        <v/>
      </c>
      <c r="BJ1190" s="98" t="str">
        <f t="shared" si="44"/>
        <v>NÃO</v>
      </c>
    </row>
    <row r="1191" spans="2:62" ht="30" hidden="1" customHeight="1" x14ac:dyDescent="0.25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41"/>
        <v/>
      </c>
      <c r="BH1191" s="321" t="str">
        <f t="shared" si="42"/>
        <v/>
      </c>
      <c r="BJ1191" s="98" t="str">
        <f t="shared" si="44"/>
        <v>NÃO</v>
      </c>
    </row>
    <row r="1192" spans="2:62" ht="30" hidden="1" customHeight="1" x14ac:dyDescent="0.25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41"/>
        <v/>
      </c>
      <c r="BH1192" s="321" t="str">
        <f t="shared" si="42"/>
        <v/>
      </c>
      <c r="BJ1192" s="98" t="str">
        <f t="shared" si="44"/>
        <v>NÃO</v>
      </c>
    </row>
    <row r="1193" spans="2:62" ht="30" hidden="1" customHeight="1" x14ac:dyDescent="0.25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41"/>
        <v/>
      </c>
      <c r="BH1193" s="321" t="str">
        <f t="shared" si="42"/>
        <v/>
      </c>
      <c r="BJ1193" s="98" t="str">
        <f t="shared" si="44"/>
        <v>NÃO</v>
      </c>
    </row>
    <row r="1194" spans="2:62" ht="30" hidden="1" customHeight="1" x14ac:dyDescent="0.25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41"/>
        <v/>
      </c>
      <c r="BH1194" s="321" t="str">
        <f t="shared" si="42"/>
        <v/>
      </c>
      <c r="BJ1194" s="98" t="str">
        <f t="shared" si="44"/>
        <v>NÃO</v>
      </c>
    </row>
    <row r="1195" spans="2:62" ht="30" hidden="1" customHeight="1" x14ac:dyDescent="0.25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41"/>
        <v/>
      </c>
      <c r="BH1195" s="321" t="str">
        <f t="shared" si="42"/>
        <v/>
      </c>
      <c r="BJ1195" s="98" t="str">
        <f t="shared" si="44"/>
        <v>NÃO</v>
      </c>
    </row>
    <row r="1196" spans="2:62" ht="30" hidden="1" customHeight="1" x14ac:dyDescent="0.25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41"/>
        <v/>
      </c>
      <c r="BH1196" s="321" t="str">
        <f t="shared" si="42"/>
        <v/>
      </c>
      <c r="BJ1196" s="98" t="str">
        <f t="shared" si="44"/>
        <v>NÃO</v>
      </c>
    </row>
    <row r="1197" spans="2:62" ht="30" hidden="1" customHeight="1" x14ac:dyDescent="0.25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41"/>
        <v/>
      </c>
      <c r="BH1197" s="321" t="str">
        <f t="shared" si="42"/>
        <v/>
      </c>
      <c r="BJ1197" s="98" t="str">
        <f t="shared" si="44"/>
        <v>NÃO</v>
      </c>
    </row>
    <row r="1198" spans="2:62" ht="30" hidden="1" customHeight="1" x14ac:dyDescent="0.25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41"/>
        <v/>
      </c>
      <c r="BH1198" s="321" t="str">
        <f t="shared" si="42"/>
        <v/>
      </c>
      <c r="BJ1198" s="98" t="str">
        <f t="shared" si="44"/>
        <v>NÃO</v>
      </c>
    </row>
    <row r="1199" spans="2:62" ht="30" hidden="1" customHeight="1" x14ac:dyDescent="0.25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41"/>
        <v/>
      </c>
      <c r="BH1199" s="321" t="str">
        <f t="shared" si="42"/>
        <v/>
      </c>
      <c r="BJ1199" s="98" t="str">
        <f t="shared" si="44"/>
        <v>NÃO</v>
      </c>
    </row>
    <row r="1200" spans="2:62" ht="30" hidden="1" customHeight="1" x14ac:dyDescent="0.25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41"/>
        <v/>
      </c>
      <c r="BH1200" s="321" t="str">
        <f t="shared" si="42"/>
        <v/>
      </c>
      <c r="BJ1200" s="98" t="str">
        <f t="shared" si="44"/>
        <v>NÃO</v>
      </c>
    </row>
    <row r="1201" spans="2:62" ht="30" hidden="1" customHeight="1" x14ac:dyDescent="0.25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41"/>
        <v/>
      </c>
      <c r="BH1201" s="321" t="str">
        <f t="shared" si="42"/>
        <v/>
      </c>
      <c r="BJ1201" s="98" t="str">
        <f t="shared" si="44"/>
        <v>NÃO</v>
      </c>
    </row>
    <row r="1202" spans="2:62" ht="30" hidden="1" customHeight="1" x14ac:dyDescent="0.25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41"/>
        <v/>
      </c>
      <c r="BH1202" s="321" t="str">
        <f t="shared" si="42"/>
        <v/>
      </c>
      <c r="BJ1202" s="98" t="str">
        <f t="shared" si="44"/>
        <v>NÃO</v>
      </c>
    </row>
    <row r="1203" spans="2:62" ht="30" hidden="1" customHeight="1" x14ac:dyDescent="0.25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41"/>
        <v/>
      </c>
      <c r="BH1203" s="321" t="str">
        <f t="shared" si="42"/>
        <v/>
      </c>
      <c r="BJ1203" s="98" t="str">
        <f t="shared" si="44"/>
        <v>NÃO</v>
      </c>
    </row>
    <row r="1204" spans="2:62" ht="30" hidden="1" customHeight="1" x14ac:dyDescent="0.25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41"/>
        <v/>
      </c>
      <c r="BH1204" s="321" t="str">
        <f t="shared" si="42"/>
        <v/>
      </c>
      <c r="BJ1204" s="98" t="str">
        <f t="shared" si="44"/>
        <v>NÃO</v>
      </c>
    </row>
    <row r="1205" spans="2:62" ht="30" hidden="1" customHeight="1" x14ac:dyDescent="0.25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41"/>
        <v/>
      </c>
      <c r="BH1205" s="321" t="str">
        <f t="shared" si="42"/>
        <v/>
      </c>
      <c r="BJ1205" s="98" t="str">
        <f t="shared" si="44"/>
        <v>NÃO</v>
      </c>
    </row>
    <row r="1206" spans="2:62" ht="30" hidden="1" customHeight="1" x14ac:dyDescent="0.25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41"/>
        <v/>
      </c>
      <c r="BH1206" s="321" t="str">
        <f t="shared" si="42"/>
        <v/>
      </c>
      <c r="BJ1206" s="98" t="str">
        <f t="shared" si="44"/>
        <v>NÃO</v>
      </c>
    </row>
    <row r="1207" spans="2:62" ht="30" hidden="1" customHeight="1" x14ac:dyDescent="0.25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41"/>
        <v/>
      </c>
      <c r="BH1207" s="321" t="str">
        <f t="shared" si="42"/>
        <v/>
      </c>
      <c r="BJ1207" s="98" t="str">
        <f t="shared" si="44"/>
        <v>NÃO</v>
      </c>
    </row>
    <row r="1208" spans="2:62" ht="30" hidden="1" customHeight="1" x14ac:dyDescent="0.25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41"/>
        <v/>
      </c>
      <c r="BH1208" s="321" t="str">
        <f t="shared" si="42"/>
        <v/>
      </c>
      <c r="BJ1208" s="98" t="str">
        <f t="shared" si="44"/>
        <v>NÃO</v>
      </c>
    </row>
    <row r="1209" spans="2:62" ht="30" hidden="1" customHeight="1" x14ac:dyDescent="0.25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41"/>
        <v/>
      </c>
      <c r="BH1209" s="321" t="str">
        <f t="shared" si="42"/>
        <v/>
      </c>
      <c r="BJ1209" s="98" t="str">
        <f t="shared" si="44"/>
        <v>NÃO</v>
      </c>
    </row>
    <row r="1210" spans="2:62" ht="30" hidden="1" customHeight="1" x14ac:dyDescent="0.25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41"/>
        <v/>
      </c>
      <c r="BH1210" s="321" t="str">
        <f t="shared" si="42"/>
        <v/>
      </c>
      <c r="BJ1210" s="98" t="str">
        <f t="shared" si="44"/>
        <v>NÃO</v>
      </c>
    </row>
    <row r="1211" spans="2:62" ht="30" hidden="1" customHeight="1" x14ac:dyDescent="0.25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41"/>
        <v/>
      </c>
      <c r="BH1211" s="321" t="str">
        <f t="shared" si="42"/>
        <v/>
      </c>
      <c r="BJ1211" s="98" t="str">
        <f t="shared" si="44"/>
        <v>NÃO</v>
      </c>
    </row>
    <row r="1212" spans="2:62" ht="30" hidden="1" customHeight="1" x14ac:dyDescent="0.25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41"/>
        <v/>
      </c>
      <c r="BH1212" s="321" t="str">
        <f t="shared" si="42"/>
        <v/>
      </c>
      <c r="BJ1212" s="98" t="str">
        <f t="shared" si="44"/>
        <v>NÃO</v>
      </c>
    </row>
    <row r="1213" spans="2:62" ht="30" hidden="1" customHeight="1" x14ac:dyDescent="0.25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41"/>
        <v/>
      </c>
      <c r="BH1213" s="321" t="str">
        <f t="shared" si="42"/>
        <v/>
      </c>
      <c r="BJ1213" s="98" t="str">
        <f t="shared" si="44"/>
        <v>NÃO</v>
      </c>
    </row>
    <row r="1214" spans="2:62" ht="30" hidden="1" customHeight="1" x14ac:dyDescent="0.25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41"/>
        <v/>
      </c>
      <c r="BH1214" s="321" t="str">
        <f t="shared" si="42"/>
        <v/>
      </c>
      <c r="BJ1214" s="98" t="str">
        <f t="shared" si="44"/>
        <v>NÃO</v>
      </c>
    </row>
    <row r="1215" spans="2:62" ht="30" hidden="1" customHeight="1" x14ac:dyDescent="0.25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45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42"/>
        <v/>
      </c>
      <c r="BJ1215" s="98" t="str">
        <f t="shared" si="44"/>
        <v>NÃO</v>
      </c>
    </row>
    <row r="1216" spans="2:62" ht="30" hidden="1" customHeight="1" x14ac:dyDescent="0.25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45"/>
        <v/>
      </c>
      <c r="BH1216" s="321" t="str">
        <f t="shared" si="42"/>
        <v/>
      </c>
      <c r="BJ1216" s="98" t="str">
        <f t="shared" si="44"/>
        <v>NÃO</v>
      </c>
    </row>
    <row r="1217" spans="2:62" ht="30" hidden="1" customHeight="1" x14ac:dyDescent="0.25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45"/>
        <v/>
      </c>
      <c r="BH1217" s="321" t="str">
        <f t="shared" si="42"/>
        <v/>
      </c>
      <c r="BJ1217" s="98" t="str">
        <f t="shared" si="44"/>
        <v>NÃO</v>
      </c>
    </row>
    <row r="1218" spans="2:62" ht="30" hidden="1" customHeight="1" x14ac:dyDescent="0.25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45"/>
        <v/>
      </c>
      <c r="BH1218" s="321" t="str">
        <f t="shared" si="42"/>
        <v/>
      </c>
      <c r="BJ1218" s="98" t="str">
        <f t="shared" si="44"/>
        <v>NÃO</v>
      </c>
    </row>
    <row r="1219" spans="2:62" ht="30" hidden="1" customHeight="1" x14ac:dyDescent="0.25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45"/>
        <v/>
      </c>
      <c r="BH1219" s="321" t="str">
        <f t="shared" si="42"/>
        <v/>
      </c>
      <c r="BJ1219" s="98" t="str">
        <f t="shared" si="44"/>
        <v>NÃO</v>
      </c>
    </row>
    <row r="1220" spans="2:62" ht="30" hidden="1" customHeight="1" x14ac:dyDescent="0.25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45"/>
        <v/>
      </c>
      <c r="BH1220" s="321" t="str">
        <f t="shared" si="42"/>
        <v/>
      </c>
      <c r="BJ1220" s="98" t="str">
        <f t="shared" si="44"/>
        <v>NÃO</v>
      </c>
    </row>
    <row r="1221" spans="2:62" ht="30" hidden="1" customHeight="1" x14ac:dyDescent="0.25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45"/>
        <v/>
      </c>
      <c r="BH1221" s="321" t="str">
        <f t="shared" ref="BH1221:BH1260" si="46">IFERROR(IF(BD1221-KI1221=0,"",BD1221-AK1221),"")</f>
        <v/>
      </c>
      <c r="BJ1221" s="98" t="str">
        <f t="shared" ref="BJ1221:BJ1284" si="47">IF(AND(BD1221&lt;&gt;"AGUARDANDO",BD1221&lt;&gt;"",N1221="AUXÍLIO ALUGUEL ATÉ INDENIZAÇÃO"),"SIM","NÃO")</f>
        <v>NÃO</v>
      </c>
    </row>
    <row r="1222" spans="2:62" ht="30" hidden="1" customHeight="1" x14ac:dyDescent="0.25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45"/>
        <v/>
      </c>
      <c r="BH1222" s="321" t="str">
        <f t="shared" si="46"/>
        <v/>
      </c>
      <c r="BJ1222" s="98" t="str">
        <f t="shared" si="47"/>
        <v>NÃO</v>
      </c>
    </row>
    <row r="1223" spans="2:62" ht="30" hidden="1" customHeight="1" x14ac:dyDescent="0.25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45"/>
        <v/>
      </c>
      <c r="BH1223" s="321" t="str">
        <f t="shared" si="46"/>
        <v/>
      </c>
      <c r="BJ1223" s="98" t="str">
        <f t="shared" si="47"/>
        <v>NÃO</v>
      </c>
    </row>
    <row r="1224" spans="2:62" ht="30" hidden="1" customHeight="1" x14ac:dyDescent="0.25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45"/>
        <v/>
      </c>
      <c r="BH1224" s="321" t="str">
        <f t="shared" si="46"/>
        <v/>
      </c>
      <c r="BJ1224" s="98" t="str">
        <f t="shared" si="47"/>
        <v>NÃO</v>
      </c>
    </row>
    <row r="1225" spans="2:62" ht="30" hidden="1" customHeight="1" x14ac:dyDescent="0.25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45"/>
        <v/>
      </c>
      <c r="BH1225" s="321" t="str">
        <f t="shared" si="46"/>
        <v/>
      </c>
      <c r="BJ1225" s="98" t="str">
        <f t="shared" si="47"/>
        <v>NÃO</v>
      </c>
    </row>
    <row r="1226" spans="2:62" ht="30" hidden="1" customHeight="1" x14ac:dyDescent="0.25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45"/>
        <v/>
      </c>
      <c r="BH1226" s="321" t="str">
        <f t="shared" si="46"/>
        <v/>
      </c>
      <c r="BJ1226" s="98" t="str">
        <f t="shared" si="47"/>
        <v>NÃO</v>
      </c>
    </row>
    <row r="1227" spans="2:62" ht="30" hidden="1" customHeight="1" x14ac:dyDescent="0.25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45"/>
        <v/>
      </c>
      <c r="BH1227" s="321" t="str">
        <f t="shared" si="46"/>
        <v/>
      </c>
      <c r="BJ1227" s="98" t="str">
        <f t="shared" si="47"/>
        <v>NÃO</v>
      </c>
    </row>
    <row r="1228" spans="2:62" ht="30" hidden="1" customHeight="1" x14ac:dyDescent="0.25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45"/>
        <v/>
      </c>
      <c r="BH1228" s="321" t="str">
        <f t="shared" si="46"/>
        <v/>
      </c>
      <c r="BJ1228" s="98" t="str">
        <f t="shared" si="47"/>
        <v>NÃO</v>
      </c>
    </row>
    <row r="1229" spans="2:62" ht="30" hidden="1" customHeight="1" x14ac:dyDescent="0.25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45"/>
        <v/>
      </c>
      <c r="BH1229" s="321" t="str">
        <f t="shared" si="46"/>
        <v/>
      </c>
      <c r="BJ1229" s="98" t="str">
        <f t="shared" si="47"/>
        <v>NÃO</v>
      </c>
    </row>
    <row r="1230" spans="2:62" ht="30" hidden="1" customHeight="1" x14ac:dyDescent="0.25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45"/>
        <v/>
      </c>
      <c r="BH1230" s="321" t="str">
        <f t="shared" si="46"/>
        <v/>
      </c>
      <c r="BJ1230" s="98" t="str">
        <f t="shared" si="47"/>
        <v>NÃO</v>
      </c>
    </row>
    <row r="1231" spans="2:62" ht="30" hidden="1" customHeight="1" x14ac:dyDescent="0.25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45"/>
        <v/>
      </c>
      <c r="BH1231" s="321" t="str">
        <f t="shared" si="46"/>
        <v/>
      </c>
      <c r="BJ1231" s="98" t="str">
        <f t="shared" si="47"/>
        <v>NÃO</v>
      </c>
    </row>
    <row r="1232" spans="2:62" ht="30" hidden="1" customHeight="1" x14ac:dyDescent="0.25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45"/>
        <v/>
      </c>
      <c r="BH1232" s="321" t="str">
        <f t="shared" si="46"/>
        <v/>
      </c>
      <c r="BJ1232" s="98" t="str">
        <f t="shared" si="47"/>
        <v>NÃO</v>
      </c>
    </row>
    <row r="1233" spans="2:62" ht="30" hidden="1" customHeight="1" x14ac:dyDescent="0.25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45"/>
        <v/>
      </c>
      <c r="BH1233" s="321" t="str">
        <f t="shared" si="46"/>
        <v/>
      </c>
      <c r="BJ1233" s="98" t="str">
        <f t="shared" si="47"/>
        <v>NÃO</v>
      </c>
    </row>
    <row r="1234" spans="2:62" ht="30" hidden="1" customHeight="1" x14ac:dyDescent="0.25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45"/>
        <v/>
      </c>
      <c r="BH1234" s="321" t="str">
        <f t="shared" si="46"/>
        <v/>
      </c>
      <c r="BJ1234" s="98" t="str">
        <f t="shared" si="47"/>
        <v>NÃO</v>
      </c>
    </row>
    <row r="1235" spans="2:62" ht="30" hidden="1" customHeight="1" x14ac:dyDescent="0.25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45"/>
        <v/>
      </c>
      <c r="BH1235" s="321" t="str">
        <f t="shared" si="46"/>
        <v/>
      </c>
      <c r="BJ1235" s="98" t="str">
        <f t="shared" si="47"/>
        <v>NÃO</v>
      </c>
    </row>
    <row r="1236" spans="2:62" ht="30" hidden="1" customHeight="1" x14ac:dyDescent="0.25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45"/>
        <v/>
      </c>
      <c r="BH1236" s="321" t="str">
        <f t="shared" si="46"/>
        <v/>
      </c>
      <c r="BJ1236" s="98" t="str">
        <f t="shared" si="47"/>
        <v>NÃO</v>
      </c>
    </row>
    <row r="1237" spans="2:62" ht="30" hidden="1" customHeight="1" x14ac:dyDescent="0.25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45"/>
        <v/>
      </c>
      <c r="BH1237" s="321" t="str">
        <f t="shared" si="46"/>
        <v/>
      </c>
      <c r="BJ1237" s="98" t="str">
        <f t="shared" si="47"/>
        <v>NÃO</v>
      </c>
    </row>
    <row r="1238" spans="2:62" ht="30" hidden="1" customHeight="1" x14ac:dyDescent="0.25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45"/>
        <v/>
      </c>
      <c r="BH1238" s="321" t="str">
        <f t="shared" si="46"/>
        <v/>
      </c>
      <c r="BJ1238" s="98" t="str">
        <f t="shared" si="47"/>
        <v>NÃO</v>
      </c>
    </row>
    <row r="1239" spans="2:62" ht="30" hidden="1" customHeight="1" x14ac:dyDescent="0.25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45"/>
        <v/>
      </c>
      <c r="BH1239" s="321" t="str">
        <f t="shared" si="46"/>
        <v/>
      </c>
      <c r="BJ1239" s="98" t="str">
        <f t="shared" si="47"/>
        <v>NÃO</v>
      </c>
    </row>
    <row r="1240" spans="2:62" ht="30" hidden="1" customHeight="1" x14ac:dyDescent="0.25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45"/>
        <v/>
      </c>
      <c r="BH1240" s="321" t="str">
        <f t="shared" si="46"/>
        <v/>
      </c>
      <c r="BJ1240" s="98" t="str">
        <f t="shared" si="47"/>
        <v>NÃO</v>
      </c>
    </row>
    <row r="1241" spans="2:62" ht="30" hidden="1" customHeight="1" x14ac:dyDescent="0.25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45"/>
        <v/>
      </c>
      <c r="BH1241" s="321" t="str">
        <f t="shared" si="46"/>
        <v/>
      </c>
      <c r="BJ1241" s="98" t="str">
        <f t="shared" si="47"/>
        <v>NÃO</v>
      </c>
    </row>
    <row r="1242" spans="2:62" ht="30" hidden="1" customHeight="1" x14ac:dyDescent="0.25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45"/>
        <v/>
      </c>
      <c r="BH1242" s="321" t="str">
        <f t="shared" si="46"/>
        <v/>
      </c>
      <c r="BJ1242" s="98" t="str">
        <f t="shared" si="47"/>
        <v>NÃO</v>
      </c>
    </row>
    <row r="1243" spans="2:62" ht="30" hidden="1" customHeight="1" x14ac:dyDescent="0.25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45"/>
        <v/>
      </c>
      <c r="BH1243" s="321" t="str">
        <f t="shared" si="46"/>
        <v/>
      </c>
      <c r="BJ1243" s="98" t="str">
        <f t="shared" si="47"/>
        <v>NÃO</v>
      </c>
    </row>
    <row r="1244" spans="2:62" ht="30" hidden="1" customHeight="1" x14ac:dyDescent="0.25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45"/>
        <v/>
      </c>
      <c r="BH1244" s="321" t="str">
        <f t="shared" si="46"/>
        <v/>
      </c>
      <c r="BJ1244" s="98" t="str">
        <f t="shared" si="47"/>
        <v>NÃO</v>
      </c>
    </row>
    <row r="1245" spans="2:62" ht="30" hidden="1" customHeight="1" x14ac:dyDescent="0.25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45"/>
        <v/>
      </c>
      <c r="BH1245" s="321" t="str">
        <f t="shared" si="46"/>
        <v/>
      </c>
      <c r="BJ1245" s="98" t="str">
        <f t="shared" si="47"/>
        <v>NÃO</v>
      </c>
    </row>
    <row r="1246" spans="2:62" ht="30" hidden="1" customHeight="1" x14ac:dyDescent="0.25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45"/>
        <v/>
      </c>
      <c r="BH1246" s="321" t="str">
        <f t="shared" si="46"/>
        <v/>
      </c>
      <c r="BJ1246" s="98" t="str">
        <f t="shared" si="47"/>
        <v>NÃO</v>
      </c>
    </row>
    <row r="1247" spans="2:62" ht="30" hidden="1" customHeight="1" x14ac:dyDescent="0.25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45"/>
        <v/>
      </c>
      <c r="BH1247" s="321" t="str">
        <f t="shared" si="46"/>
        <v/>
      </c>
      <c r="BJ1247" s="98" t="str">
        <f t="shared" si="47"/>
        <v>NÃO</v>
      </c>
    </row>
    <row r="1248" spans="2:62" ht="30" hidden="1" customHeight="1" x14ac:dyDescent="0.25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45"/>
        <v/>
      </c>
      <c r="BH1248" s="321" t="str">
        <f t="shared" si="46"/>
        <v/>
      </c>
      <c r="BJ1248" s="98" t="str">
        <f t="shared" si="47"/>
        <v>NÃO</v>
      </c>
    </row>
    <row r="1249" spans="2:62" ht="30" hidden="1" customHeight="1" x14ac:dyDescent="0.25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45"/>
        <v/>
      </c>
      <c r="BH1249" s="321" t="str">
        <f t="shared" si="46"/>
        <v/>
      </c>
      <c r="BJ1249" s="98" t="str">
        <f t="shared" si="47"/>
        <v>NÃO</v>
      </c>
    </row>
    <row r="1250" spans="2:62" ht="30" hidden="1" customHeight="1" x14ac:dyDescent="0.25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45"/>
        <v/>
      </c>
      <c r="BH1250" s="321" t="str">
        <f t="shared" si="46"/>
        <v/>
      </c>
      <c r="BJ1250" s="98" t="str">
        <f t="shared" si="47"/>
        <v>NÃO</v>
      </c>
    </row>
    <row r="1251" spans="2:62" ht="30" hidden="1" customHeight="1" x14ac:dyDescent="0.25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45"/>
        <v/>
      </c>
      <c r="BH1251" s="321" t="str">
        <f t="shared" si="46"/>
        <v/>
      </c>
      <c r="BJ1251" s="98" t="str">
        <f t="shared" si="47"/>
        <v>NÃO</v>
      </c>
    </row>
    <row r="1252" spans="2:62" ht="30" hidden="1" customHeight="1" x14ac:dyDescent="0.25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45"/>
        <v/>
      </c>
      <c r="BH1252" s="321" t="str">
        <f t="shared" si="46"/>
        <v/>
      </c>
      <c r="BJ1252" s="98" t="str">
        <f t="shared" si="47"/>
        <v>NÃO</v>
      </c>
    </row>
    <row r="1253" spans="2:62" ht="30" hidden="1" customHeight="1" x14ac:dyDescent="0.25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45"/>
        <v/>
      </c>
      <c r="BH1253" s="321" t="str">
        <f t="shared" si="46"/>
        <v/>
      </c>
      <c r="BJ1253" s="98" t="str">
        <f t="shared" si="47"/>
        <v>NÃO</v>
      </c>
    </row>
    <row r="1254" spans="2:62" ht="30" hidden="1" customHeight="1" x14ac:dyDescent="0.25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45"/>
        <v/>
      </c>
      <c r="BH1254" s="321" t="str">
        <f t="shared" si="46"/>
        <v/>
      </c>
      <c r="BJ1254" s="98" t="str">
        <f t="shared" si="47"/>
        <v>NÃO</v>
      </c>
    </row>
    <row r="1255" spans="2:62" ht="30" hidden="1" customHeight="1" x14ac:dyDescent="0.25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45"/>
        <v/>
      </c>
      <c r="BH1255" s="321" t="str">
        <f t="shared" si="46"/>
        <v/>
      </c>
      <c r="BJ1255" s="98" t="str">
        <f t="shared" si="47"/>
        <v>NÃO</v>
      </c>
    </row>
    <row r="1256" spans="2:62" ht="30" hidden="1" customHeight="1" x14ac:dyDescent="0.25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45"/>
        <v/>
      </c>
      <c r="BH1256" s="321" t="str">
        <f t="shared" si="46"/>
        <v/>
      </c>
      <c r="BJ1256" s="98" t="str">
        <f t="shared" si="47"/>
        <v>NÃO</v>
      </c>
    </row>
    <row r="1257" spans="2:62" ht="30" hidden="1" customHeight="1" x14ac:dyDescent="0.25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45"/>
        <v/>
      </c>
      <c r="BH1257" s="321" t="str">
        <f t="shared" si="46"/>
        <v/>
      </c>
      <c r="BJ1257" s="98" t="str">
        <f t="shared" si="47"/>
        <v>NÃO</v>
      </c>
    </row>
    <row r="1258" spans="2:62" ht="30" hidden="1" customHeight="1" x14ac:dyDescent="0.25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45"/>
        <v/>
      </c>
      <c r="BH1258" s="321" t="str">
        <f t="shared" si="46"/>
        <v/>
      </c>
      <c r="BJ1258" s="98" t="str">
        <f t="shared" si="47"/>
        <v>NÃO</v>
      </c>
    </row>
    <row r="1259" spans="2:62" ht="30" hidden="1" customHeight="1" x14ac:dyDescent="0.25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45"/>
        <v/>
      </c>
      <c r="BH1259" s="321" t="str">
        <f t="shared" si="46"/>
        <v/>
      </c>
      <c r="BJ1259" s="98" t="str">
        <f t="shared" si="47"/>
        <v>NÃO</v>
      </c>
    </row>
    <row r="1260" spans="2:62" ht="30" hidden="1" customHeight="1" x14ac:dyDescent="0.25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45"/>
        <v/>
      </c>
      <c r="BH1260" s="321" t="str">
        <f t="shared" si="46"/>
        <v/>
      </c>
      <c r="BJ1260" s="98" t="str">
        <f t="shared" si="47"/>
        <v>NÃO</v>
      </c>
    </row>
    <row r="1261" spans="2:62" ht="30" hidden="1" customHeight="1" x14ac:dyDescent="0.25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45"/>
        <v/>
      </c>
      <c r="BH1261" s="321" t="str">
        <f t="shared" ref="BH1261:BH1324" si="48">IF(BD1261-KI1261=0,"",BD1261-AK1261)</f>
        <v/>
      </c>
      <c r="BJ1261" s="98" t="str">
        <f t="shared" si="47"/>
        <v>NÃO</v>
      </c>
    </row>
    <row r="1262" spans="2:62" ht="30" hidden="1" customHeight="1" x14ac:dyDescent="0.25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45"/>
        <v/>
      </c>
      <c r="BH1262" s="321" t="str">
        <f t="shared" si="48"/>
        <v/>
      </c>
      <c r="BJ1262" s="98" t="str">
        <f t="shared" si="47"/>
        <v>NÃO</v>
      </c>
    </row>
    <row r="1263" spans="2:62" ht="30" hidden="1" customHeight="1" x14ac:dyDescent="0.25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45"/>
        <v/>
      </c>
      <c r="BH1263" s="321" t="str">
        <f t="shared" si="48"/>
        <v/>
      </c>
      <c r="BJ1263" s="98" t="str">
        <f t="shared" si="47"/>
        <v>NÃO</v>
      </c>
    </row>
    <row r="1264" spans="2:62" ht="30" hidden="1" customHeight="1" x14ac:dyDescent="0.25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45"/>
        <v/>
      </c>
      <c r="BH1264" s="321" t="str">
        <f t="shared" si="48"/>
        <v/>
      </c>
      <c r="BJ1264" s="98" t="str">
        <f t="shared" si="47"/>
        <v>NÃO</v>
      </c>
    </row>
    <row r="1265" spans="2:62" ht="30" hidden="1" customHeight="1" x14ac:dyDescent="0.25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45"/>
        <v/>
      </c>
      <c r="BH1265" s="321" t="str">
        <f t="shared" si="48"/>
        <v/>
      </c>
      <c r="BJ1265" s="98" t="str">
        <f t="shared" si="47"/>
        <v>NÃO</v>
      </c>
    </row>
    <row r="1266" spans="2:62" ht="30" hidden="1" customHeight="1" x14ac:dyDescent="0.25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45"/>
        <v/>
      </c>
      <c r="BH1266" s="321" t="str">
        <f t="shared" si="48"/>
        <v/>
      </c>
      <c r="BJ1266" s="98" t="str">
        <f t="shared" si="47"/>
        <v>NÃO</v>
      </c>
    </row>
    <row r="1267" spans="2:62" ht="30" hidden="1" customHeight="1" x14ac:dyDescent="0.25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45"/>
        <v/>
      </c>
      <c r="BH1267" s="321" t="str">
        <f t="shared" si="48"/>
        <v/>
      </c>
      <c r="BJ1267" s="98" t="str">
        <f t="shared" si="47"/>
        <v>NÃO</v>
      </c>
    </row>
    <row r="1268" spans="2:62" ht="30" hidden="1" customHeight="1" x14ac:dyDescent="0.25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45"/>
        <v/>
      </c>
      <c r="BH1268" s="321" t="str">
        <f t="shared" si="48"/>
        <v/>
      </c>
      <c r="BJ1268" s="98" t="str">
        <f t="shared" si="47"/>
        <v>NÃO</v>
      </c>
    </row>
    <row r="1269" spans="2:62" ht="30" hidden="1" customHeight="1" x14ac:dyDescent="0.25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45"/>
        <v/>
      </c>
      <c r="BH1269" s="321" t="str">
        <f t="shared" si="48"/>
        <v/>
      </c>
      <c r="BJ1269" s="98" t="str">
        <f t="shared" si="47"/>
        <v>NÃO</v>
      </c>
    </row>
    <row r="1270" spans="2:62" ht="30" hidden="1" customHeight="1" x14ac:dyDescent="0.25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45"/>
        <v/>
      </c>
      <c r="BH1270" s="321" t="str">
        <f t="shared" si="48"/>
        <v/>
      </c>
      <c r="BJ1270" s="98" t="str">
        <f t="shared" si="47"/>
        <v>NÃO</v>
      </c>
    </row>
    <row r="1271" spans="2:62" ht="30" hidden="1" customHeight="1" x14ac:dyDescent="0.25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45"/>
        <v/>
      </c>
      <c r="BH1271" s="321" t="str">
        <f t="shared" si="48"/>
        <v/>
      </c>
      <c r="BJ1271" s="98" t="str">
        <f t="shared" si="47"/>
        <v>NÃO</v>
      </c>
    </row>
    <row r="1272" spans="2:62" ht="30" hidden="1" customHeight="1" x14ac:dyDescent="0.25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45"/>
        <v/>
      </c>
      <c r="BH1272" s="321" t="str">
        <f t="shared" si="48"/>
        <v/>
      </c>
      <c r="BJ1272" s="98" t="str">
        <f t="shared" si="47"/>
        <v>NÃO</v>
      </c>
    </row>
    <row r="1273" spans="2:62" ht="30" hidden="1" customHeight="1" x14ac:dyDescent="0.25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45"/>
        <v/>
      </c>
      <c r="BH1273" s="321" t="str">
        <f t="shared" si="48"/>
        <v/>
      </c>
      <c r="BJ1273" s="98" t="str">
        <f t="shared" si="47"/>
        <v>NÃO</v>
      </c>
    </row>
    <row r="1274" spans="2:62" ht="30" hidden="1" customHeight="1" x14ac:dyDescent="0.25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45"/>
        <v/>
      </c>
      <c r="BH1274" s="321" t="str">
        <f t="shared" si="48"/>
        <v/>
      </c>
      <c r="BJ1274" s="98" t="str">
        <f t="shared" si="47"/>
        <v>NÃO</v>
      </c>
    </row>
    <row r="1275" spans="2:62" ht="30" hidden="1" customHeight="1" x14ac:dyDescent="0.25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45"/>
        <v/>
      </c>
      <c r="BH1275" s="321" t="str">
        <f t="shared" si="48"/>
        <v/>
      </c>
      <c r="BJ1275" s="98" t="str">
        <f t="shared" si="47"/>
        <v>NÃO</v>
      </c>
    </row>
    <row r="1276" spans="2:62" ht="30" hidden="1" customHeight="1" x14ac:dyDescent="0.25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45"/>
        <v/>
      </c>
      <c r="BH1276" s="321" t="str">
        <f t="shared" si="48"/>
        <v/>
      </c>
      <c r="BJ1276" s="98" t="str">
        <f t="shared" si="47"/>
        <v>NÃO</v>
      </c>
    </row>
    <row r="1277" spans="2:62" ht="30" hidden="1" customHeight="1" x14ac:dyDescent="0.25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45"/>
        <v/>
      </c>
      <c r="BH1277" s="321" t="str">
        <f t="shared" si="48"/>
        <v/>
      </c>
      <c r="BJ1277" s="98" t="str">
        <f t="shared" si="47"/>
        <v>NÃO</v>
      </c>
    </row>
    <row r="1278" spans="2:62" ht="30" hidden="1" customHeight="1" x14ac:dyDescent="0.25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45"/>
        <v/>
      </c>
      <c r="BH1278" s="321" t="str">
        <f t="shared" si="48"/>
        <v/>
      </c>
      <c r="BJ1278" s="98" t="str">
        <f t="shared" si="47"/>
        <v>NÃO</v>
      </c>
    </row>
    <row r="1279" spans="2:62" ht="30" hidden="1" customHeight="1" x14ac:dyDescent="0.25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49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48"/>
        <v/>
      </c>
      <c r="BJ1279" s="98" t="str">
        <f t="shared" si="47"/>
        <v>NÃO</v>
      </c>
    </row>
    <row r="1280" spans="2:62" ht="30" hidden="1" customHeight="1" x14ac:dyDescent="0.25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49"/>
        <v/>
      </c>
      <c r="BH1280" s="321" t="str">
        <f t="shared" si="48"/>
        <v/>
      </c>
      <c r="BJ1280" s="98" t="str">
        <f t="shared" si="47"/>
        <v>NÃO</v>
      </c>
    </row>
    <row r="1281" spans="2:62" ht="30" hidden="1" customHeight="1" x14ac:dyDescent="0.25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49"/>
        <v/>
      </c>
      <c r="BH1281" s="321" t="str">
        <f t="shared" si="48"/>
        <v/>
      </c>
      <c r="BJ1281" s="98" t="str">
        <f t="shared" si="47"/>
        <v>NÃO</v>
      </c>
    </row>
    <row r="1282" spans="2:62" ht="30" hidden="1" customHeight="1" x14ac:dyDescent="0.25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49"/>
        <v/>
      </c>
      <c r="BH1282" s="321" t="str">
        <f t="shared" si="48"/>
        <v/>
      </c>
      <c r="BJ1282" s="98" t="str">
        <f t="shared" si="47"/>
        <v>NÃO</v>
      </c>
    </row>
    <row r="1283" spans="2:62" ht="30" hidden="1" customHeight="1" x14ac:dyDescent="0.25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49"/>
        <v/>
      </c>
      <c r="BH1283" s="321" t="str">
        <f t="shared" si="48"/>
        <v/>
      </c>
      <c r="BJ1283" s="98" t="str">
        <f t="shared" si="47"/>
        <v>NÃO</v>
      </c>
    </row>
    <row r="1284" spans="2:62" ht="30" hidden="1" customHeight="1" x14ac:dyDescent="0.25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49"/>
        <v/>
      </c>
      <c r="BH1284" s="321" t="str">
        <f t="shared" si="48"/>
        <v/>
      </c>
      <c r="BJ1284" s="98" t="str">
        <f t="shared" si="47"/>
        <v>NÃO</v>
      </c>
    </row>
    <row r="1285" spans="2:62" ht="30" hidden="1" customHeight="1" x14ac:dyDescent="0.25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49"/>
        <v/>
      </c>
      <c r="BH1285" s="321" t="str">
        <f t="shared" si="48"/>
        <v/>
      </c>
      <c r="BJ1285" s="98" t="str">
        <f t="shared" ref="BJ1285:BJ1291" si="50">IF(AND(BD1285&lt;&gt;"AGUARDANDO",BD1285&lt;&gt;"",N1285="AUXÍLIO ALUGUEL ATÉ INDENIZAÇÃO"),"SIM","NÃO")</f>
        <v>NÃO</v>
      </c>
    </row>
    <row r="1286" spans="2:62" ht="30" hidden="1" customHeight="1" x14ac:dyDescent="0.25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49"/>
        <v/>
      </c>
      <c r="BH1286" s="321" t="str">
        <f t="shared" si="48"/>
        <v/>
      </c>
      <c r="BJ1286" s="98" t="str">
        <f t="shared" si="50"/>
        <v>NÃO</v>
      </c>
    </row>
    <row r="1287" spans="2:62" ht="30" hidden="1" customHeight="1" x14ac:dyDescent="0.25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49"/>
        <v/>
      </c>
      <c r="BH1287" s="321" t="str">
        <f t="shared" si="48"/>
        <v/>
      </c>
      <c r="BJ1287" s="98" t="str">
        <f t="shared" si="50"/>
        <v>NÃO</v>
      </c>
    </row>
    <row r="1288" spans="2:62" ht="30" hidden="1" customHeight="1" x14ac:dyDescent="0.25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49"/>
        <v/>
      </c>
      <c r="BH1288" s="321" t="str">
        <f t="shared" si="48"/>
        <v/>
      </c>
      <c r="BJ1288" s="98" t="str">
        <f t="shared" si="50"/>
        <v>NÃO</v>
      </c>
    </row>
    <row r="1289" spans="2:62" ht="30" hidden="1" customHeight="1" x14ac:dyDescent="0.25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49"/>
        <v/>
      </c>
      <c r="BH1289" s="321" t="str">
        <f t="shared" si="48"/>
        <v/>
      </c>
      <c r="BJ1289" s="98" t="str">
        <f t="shared" si="50"/>
        <v>NÃO</v>
      </c>
    </row>
    <row r="1290" spans="2:62" ht="30" hidden="1" customHeight="1" x14ac:dyDescent="0.25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49"/>
        <v/>
      </c>
      <c r="BH1290" s="321" t="str">
        <f t="shared" si="48"/>
        <v/>
      </c>
      <c r="BJ1290" s="98" t="str">
        <f t="shared" si="50"/>
        <v>NÃO</v>
      </c>
    </row>
    <row r="1291" spans="2:62" ht="30" hidden="1" customHeight="1" x14ac:dyDescent="0.25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49"/>
        <v/>
      </c>
      <c r="BH1291" s="321" t="str">
        <f t="shared" si="48"/>
        <v/>
      </c>
      <c r="BJ1291" s="98" t="str">
        <f t="shared" si="50"/>
        <v>NÃO</v>
      </c>
    </row>
    <row r="1292" spans="2:62" ht="30" hidden="1" customHeight="1" x14ac:dyDescent="0.25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49"/>
        <v/>
      </c>
      <c r="BH1292" s="321" t="str">
        <f t="shared" si="48"/>
        <v/>
      </c>
    </row>
    <row r="1293" spans="2:62" ht="30" hidden="1" customHeight="1" x14ac:dyDescent="0.25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49"/>
        <v/>
      </c>
      <c r="BH1293" s="321" t="str">
        <f t="shared" si="48"/>
        <v/>
      </c>
    </row>
    <row r="1294" spans="2:62" ht="30" hidden="1" customHeight="1" x14ac:dyDescent="0.25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49"/>
        <v/>
      </c>
      <c r="BH1294" s="321" t="str">
        <f t="shared" si="48"/>
        <v/>
      </c>
    </row>
    <row r="1295" spans="2:62" ht="30" hidden="1" customHeight="1" x14ac:dyDescent="0.25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49"/>
        <v/>
      </c>
      <c r="BH1295" s="321" t="str">
        <f t="shared" si="48"/>
        <v/>
      </c>
    </row>
    <row r="1296" spans="2:62" ht="30" hidden="1" customHeight="1" x14ac:dyDescent="0.25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49"/>
        <v/>
      </c>
      <c r="BH1296" s="321" t="str">
        <f t="shared" si="48"/>
        <v/>
      </c>
    </row>
    <row r="1297" spans="2:60" ht="30" hidden="1" customHeight="1" x14ac:dyDescent="0.25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49"/>
        <v/>
      </c>
      <c r="BH1297" s="321" t="str">
        <f t="shared" si="48"/>
        <v/>
      </c>
    </row>
    <row r="1298" spans="2:60" ht="30" hidden="1" customHeight="1" x14ac:dyDescent="0.25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49"/>
        <v/>
      </c>
      <c r="BH1298" s="321" t="str">
        <f t="shared" si="48"/>
        <v/>
      </c>
    </row>
    <row r="1299" spans="2:60" ht="30" hidden="1" customHeight="1" x14ac:dyDescent="0.25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49"/>
        <v/>
      </c>
      <c r="BH1299" s="321" t="str">
        <f t="shared" si="48"/>
        <v/>
      </c>
    </row>
    <row r="1300" spans="2:60" ht="30" hidden="1" customHeight="1" x14ac:dyDescent="0.25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49"/>
        <v/>
      </c>
      <c r="BH1300" s="321" t="str">
        <f t="shared" si="48"/>
        <v/>
      </c>
    </row>
    <row r="1301" spans="2:60" ht="30" hidden="1" customHeight="1" x14ac:dyDescent="0.25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49"/>
        <v/>
      </c>
      <c r="BH1301" s="321" t="str">
        <f t="shared" si="48"/>
        <v/>
      </c>
    </row>
    <row r="1302" spans="2:60" ht="30" hidden="1" customHeight="1" x14ac:dyDescent="0.25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49"/>
        <v/>
      </c>
      <c r="BH1302" s="321" t="str">
        <f t="shared" si="48"/>
        <v/>
      </c>
    </row>
    <row r="1303" spans="2:60" ht="30" hidden="1" customHeight="1" x14ac:dyDescent="0.25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49"/>
        <v/>
      </c>
      <c r="BH1303" s="321" t="str">
        <f t="shared" si="48"/>
        <v/>
      </c>
    </row>
    <row r="1304" spans="2:60" ht="30" hidden="1" customHeight="1" x14ac:dyDescent="0.25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49"/>
        <v/>
      </c>
      <c r="BH1304" s="321" t="str">
        <f t="shared" si="48"/>
        <v/>
      </c>
    </row>
    <row r="1305" spans="2:60" ht="30" hidden="1" customHeight="1" x14ac:dyDescent="0.25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49"/>
        <v/>
      </c>
      <c r="BH1305" s="321" t="str">
        <f t="shared" si="48"/>
        <v/>
      </c>
    </row>
    <row r="1306" spans="2:60" ht="30" hidden="1" customHeight="1" x14ac:dyDescent="0.25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49"/>
        <v/>
      </c>
      <c r="BH1306" s="321" t="str">
        <f t="shared" si="48"/>
        <v/>
      </c>
    </row>
    <row r="1307" spans="2:60" ht="30" hidden="1" customHeight="1" x14ac:dyDescent="0.25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49"/>
        <v/>
      </c>
      <c r="BH1307" s="321" t="str">
        <f t="shared" si="48"/>
        <v/>
      </c>
    </row>
    <row r="1308" spans="2:60" ht="30" hidden="1" customHeight="1" x14ac:dyDescent="0.25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49"/>
        <v/>
      </c>
      <c r="BH1308" s="321" t="str">
        <f t="shared" si="48"/>
        <v/>
      </c>
    </row>
    <row r="1309" spans="2:60" ht="30" hidden="1" customHeight="1" x14ac:dyDescent="0.25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49"/>
        <v/>
      </c>
      <c r="BH1309" s="321" t="str">
        <f t="shared" si="48"/>
        <v/>
      </c>
    </row>
    <row r="1310" spans="2:60" ht="30" hidden="1" customHeight="1" x14ac:dyDescent="0.25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49"/>
        <v/>
      </c>
      <c r="BH1310" s="321" t="str">
        <f t="shared" si="48"/>
        <v/>
      </c>
    </row>
    <row r="1311" spans="2:60" ht="30" hidden="1" customHeight="1" x14ac:dyDescent="0.25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49"/>
        <v/>
      </c>
      <c r="BH1311" s="321" t="str">
        <f t="shared" si="48"/>
        <v/>
      </c>
    </row>
    <row r="1312" spans="2:60" ht="30" hidden="1" customHeight="1" x14ac:dyDescent="0.25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49"/>
        <v/>
      </c>
      <c r="BH1312" s="321" t="str">
        <f t="shared" si="48"/>
        <v/>
      </c>
    </row>
    <row r="1313" spans="2:60" ht="30" hidden="1" customHeight="1" x14ac:dyDescent="0.25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49"/>
        <v/>
      </c>
      <c r="BH1313" s="321" t="str">
        <f t="shared" si="48"/>
        <v/>
      </c>
    </row>
    <row r="1314" spans="2:60" ht="30" hidden="1" customHeight="1" x14ac:dyDescent="0.25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49"/>
        <v/>
      </c>
      <c r="BH1314" s="321" t="str">
        <f t="shared" si="48"/>
        <v/>
      </c>
    </row>
    <row r="1315" spans="2:60" ht="30" hidden="1" customHeight="1" x14ac:dyDescent="0.25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49"/>
        <v/>
      </c>
      <c r="BH1315" s="321" t="str">
        <f t="shared" si="48"/>
        <v/>
      </c>
    </row>
    <row r="1316" spans="2:60" ht="30" hidden="1" customHeight="1" x14ac:dyDescent="0.25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49"/>
        <v/>
      </c>
      <c r="BH1316" s="321" t="str">
        <f t="shared" si="48"/>
        <v/>
      </c>
    </row>
    <row r="1317" spans="2:60" ht="30" hidden="1" customHeight="1" x14ac:dyDescent="0.25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49"/>
        <v/>
      </c>
      <c r="BH1317" s="321" t="str">
        <f t="shared" si="48"/>
        <v/>
      </c>
    </row>
    <row r="1318" spans="2:60" ht="30" hidden="1" customHeight="1" x14ac:dyDescent="0.25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49"/>
        <v/>
      </c>
      <c r="BH1318" s="321" t="str">
        <f t="shared" si="48"/>
        <v/>
      </c>
    </row>
    <row r="1319" spans="2:60" ht="30" hidden="1" customHeight="1" x14ac:dyDescent="0.25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49"/>
        <v/>
      </c>
      <c r="BH1319" s="321" t="str">
        <f t="shared" si="48"/>
        <v/>
      </c>
    </row>
    <row r="1320" spans="2:60" ht="30" hidden="1" customHeight="1" x14ac:dyDescent="0.25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49"/>
        <v/>
      </c>
      <c r="BH1320" s="321" t="str">
        <f t="shared" si="48"/>
        <v/>
      </c>
    </row>
    <row r="1321" spans="2:60" ht="30" hidden="1" customHeight="1" x14ac:dyDescent="0.25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49"/>
        <v/>
      </c>
      <c r="BH1321" s="321" t="str">
        <f t="shared" si="48"/>
        <v/>
      </c>
    </row>
    <row r="1322" spans="2:60" ht="30" hidden="1" customHeight="1" x14ac:dyDescent="0.25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49"/>
        <v/>
      </c>
      <c r="BH1322" s="321" t="str">
        <f t="shared" si="48"/>
        <v/>
      </c>
    </row>
    <row r="1323" spans="2:60" ht="30" hidden="1" customHeight="1" x14ac:dyDescent="0.25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49"/>
        <v/>
      </c>
      <c r="BH1323" s="321" t="str">
        <f t="shared" si="48"/>
        <v/>
      </c>
    </row>
    <row r="1324" spans="2:60" ht="30" hidden="1" customHeight="1" x14ac:dyDescent="0.25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49"/>
        <v/>
      </c>
      <c r="BH1324" s="321" t="str">
        <f t="shared" si="48"/>
        <v/>
      </c>
    </row>
    <row r="1325" spans="2:60" ht="30" hidden="1" customHeight="1" x14ac:dyDescent="0.25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49"/>
        <v/>
      </c>
      <c r="BH1325" s="321" t="str">
        <f t="shared" ref="BH1325:BH1388" si="51">IF(BD1325-KI1325=0,"",BD1325-AK1325)</f>
        <v/>
      </c>
    </row>
    <row r="1326" spans="2:60" ht="30" hidden="1" customHeight="1" x14ac:dyDescent="0.25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49"/>
        <v/>
      </c>
      <c r="BH1326" s="321" t="str">
        <f t="shared" si="51"/>
        <v/>
      </c>
    </row>
    <row r="1327" spans="2:60" ht="30" hidden="1" customHeight="1" x14ac:dyDescent="0.25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49"/>
        <v/>
      </c>
      <c r="BH1327" s="321" t="str">
        <f t="shared" si="51"/>
        <v/>
      </c>
    </row>
    <row r="1328" spans="2:60" ht="30" hidden="1" customHeight="1" x14ac:dyDescent="0.25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49"/>
        <v/>
      </c>
      <c r="BH1328" s="321" t="str">
        <f t="shared" si="51"/>
        <v/>
      </c>
    </row>
    <row r="1329" spans="2:60" ht="30" hidden="1" customHeight="1" x14ac:dyDescent="0.25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49"/>
        <v/>
      </c>
      <c r="BH1329" s="321" t="str">
        <f t="shared" si="51"/>
        <v/>
      </c>
    </row>
    <row r="1330" spans="2:60" ht="30" hidden="1" customHeight="1" x14ac:dyDescent="0.25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49"/>
        <v/>
      </c>
      <c r="BH1330" s="321" t="str">
        <f t="shared" si="51"/>
        <v/>
      </c>
    </row>
    <row r="1331" spans="2:60" ht="30" hidden="1" customHeight="1" x14ac:dyDescent="0.25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49"/>
        <v/>
      </c>
      <c r="BH1331" s="321" t="str">
        <f t="shared" si="51"/>
        <v/>
      </c>
    </row>
    <row r="1332" spans="2:60" ht="30" hidden="1" customHeight="1" x14ac:dyDescent="0.25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49"/>
        <v/>
      </c>
      <c r="BH1332" s="321" t="str">
        <f t="shared" si="51"/>
        <v/>
      </c>
    </row>
    <row r="1333" spans="2:60" ht="30" hidden="1" customHeight="1" x14ac:dyDescent="0.25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49"/>
        <v/>
      </c>
      <c r="BH1333" s="321" t="str">
        <f t="shared" si="51"/>
        <v/>
      </c>
    </row>
    <row r="1334" spans="2:60" ht="30" hidden="1" customHeight="1" x14ac:dyDescent="0.25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49"/>
        <v/>
      </c>
      <c r="BH1334" s="321" t="str">
        <f t="shared" si="51"/>
        <v/>
      </c>
    </row>
    <row r="1335" spans="2:60" ht="30" hidden="1" customHeight="1" x14ac:dyDescent="0.25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49"/>
        <v/>
      </c>
      <c r="BH1335" s="321" t="str">
        <f t="shared" si="51"/>
        <v/>
      </c>
    </row>
    <row r="1336" spans="2:60" ht="30" hidden="1" customHeight="1" x14ac:dyDescent="0.25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49"/>
        <v/>
      </c>
      <c r="BH1336" s="321" t="str">
        <f t="shared" si="51"/>
        <v/>
      </c>
    </row>
    <row r="1337" spans="2:60" ht="30" hidden="1" customHeight="1" x14ac:dyDescent="0.25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49"/>
        <v/>
      </c>
      <c r="BH1337" s="321" t="str">
        <f t="shared" si="51"/>
        <v/>
      </c>
    </row>
    <row r="1338" spans="2:60" ht="30" hidden="1" customHeight="1" x14ac:dyDescent="0.25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49"/>
        <v/>
      </c>
      <c r="BH1338" s="321" t="str">
        <f t="shared" si="51"/>
        <v/>
      </c>
    </row>
    <row r="1339" spans="2:60" ht="30" hidden="1" customHeight="1" x14ac:dyDescent="0.25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49"/>
        <v/>
      </c>
      <c r="BH1339" s="321" t="str">
        <f t="shared" si="51"/>
        <v/>
      </c>
    </row>
    <row r="1340" spans="2:60" ht="30" hidden="1" customHeight="1" x14ac:dyDescent="0.25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49"/>
        <v/>
      </c>
      <c r="BH1340" s="321" t="str">
        <f t="shared" si="51"/>
        <v/>
      </c>
    </row>
    <row r="1341" spans="2:60" ht="30" hidden="1" customHeight="1" x14ac:dyDescent="0.25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49"/>
        <v/>
      </c>
      <c r="BH1341" s="321" t="str">
        <f t="shared" si="51"/>
        <v/>
      </c>
    </row>
    <row r="1342" spans="2:60" ht="30" hidden="1" customHeight="1" x14ac:dyDescent="0.25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49"/>
        <v/>
      </c>
      <c r="BH1342" s="321" t="str">
        <f t="shared" si="51"/>
        <v/>
      </c>
    </row>
    <row r="1343" spans="2:60" ht="30" hidden="1" customHeight="1" x14ac:dyDescent="0.25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52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51"/>
        <v/>
      </c>
    </row>
    <row r="1344" spans="2:60" ht="30" hidden="1" customHeight="1" x14ac:dyDescent="0.25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52"/>
        <v/>
      </c>
      <c r="BH1344" s="321" t="str">
        <f t="shared" si="51"/>
        <v/>
      </c>
    </row>
    <row r="1345" spans="2:60" ht="30" hidden="1" customHeight="1" x14ac:dyDescent="0.25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52"/>
        <v/>
      </c>
      <c r="BH1345" s="321" t="str">
        <f t="shared" si="51"/>
        <v/>
      </c>
    </row>
    <row r="1346" spans="2:60" ht="30" hidden="1" customHeight="1" x14ac:dyDescent="0.25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52"/>
        <v/>
      </c>
      <c r="BH1346" s="321" t="str">
        <f t="shared" si="51"/>
        <v/>
      </c>
    </row>
    <row r="1347" spans="2:60" ht="30" hidden="1" customHeight="1" x14ac:dyDescent="0.25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52"/>
        <v/>
      </c>
      <c r="BH1347" s="321" t="str">
        <f t="shared" si="51"/>
        <v/>
      </c>
    </row>
    <row r="1348" spans="2:60" ht="30" hidden="1" customHeight="1" x14ac:dyDescent="0.25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52"/>
        <v/>
      </c>
      <c r="BH1348" s="321" t="str">
        <f t="shared" si="51"/>
        <v/>
      </c>
    </row>
    <row r="1349" spans="2:60" ht="30" hidden="1" customHeight="1" x14ac:dyDescent="0.25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52"/>
        <v/>
      </c>
      <c r="BH1349" s="321" t="str">
        <f t="shared" si="51"/>
        <v/>
      </c>
    </row>
    <row r="1350" spans="2:60" ht="30" hidden="1" customHeight="1" x14ac:dyDescent="0.25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52"/>
        <v/>
      </c>
      <c r="BH1350" s="321" t="str">
        <f t="shared" si="51"/>
        <v/>
      </c>
    </row>
    <row r="1351" spans="2:60" ht="30" hidden="1" customHeight="1" x14ac:dyDescent="0.25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52"/>
        <v/>
      </c>
      <c r="BH1351" s="321" t="str">
        <f t="shared" si="51"/>
        <v/>
      </c>
    </row>
    <row r="1352" spans="2:60" ht="30" hidden="1" customHeight="1" x14ac:dyDescent="0.25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52"/>
        <v/>
      </c>
      <c r="BH1352" s="321" t="str">
        <f t="shared" si="51"/>
        <v/>
      </c>
    </row>
    <row r="1353" spans="2:60" ht="30" hidden="1" customHeight="1" x14ac:dyDescent="0.25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52"/>
        <v/>
      </c>
      <c r="BH1353" s="321" t="str">
        <f t="shared" si="51"/>
        <v/>
      </c>
    </row>
    <row r="1354" spans="2:60" ht="30" hidden="1" customHeight="1" x14ac:dyDescent="0.25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52"/>
        <v/>
      </c>
      <c r="BH1354" s="321" t="str">
        <f t="shared" si="51"/>
        <v/>
      </c>
    </row>
    <row r="1355" spans="2:60" ht="30" hidden="1" customHeight="1" x14ac:dyDescent="0.25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52"/>
        <v/>
      </c>
      <c r="BH1355" s="321" t="str">
        <f t="shared" si="51"/>
        <v/>
      </c>
    </row>
    <row r="1356" spans="2:60" ht="30" hidden="1" customHeight="1" x14ac:dyDescent="0.25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52"/>
        <v/>
      </c>
      <c r="BH1356" s="321" t="str">
        <f t="shared" si="51"/>
        <v/>
      </c>
    </row>
    <row r="1357" spans="2:60" ht="30" hidden="1" customHeight="1" x14ac:dyDescent="0.25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52"/>
        <v/>
      </c>
      <c r="BH1357" s="321" t="str">
        <f t="shared" si="51"/>
        <v/>
      </c>
    </row>
    <row r="1358" spans="2:60" ht="30" hidden="1" customHeight="1" x14ac:dyDescent="0.25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52"/>
        <v/>
      </c>
      <c r="BH1358" s="321" t="str">
        <f t="shared" si="51"/>
        <v/>
      </c>
    </row>
    <row r="1359" spans="2:60" ht="30" hidden="1" customHeight="1" x14ac:dyDescent="0.25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52"/>
        <v/>
      </c>
      <c r="BH1359" s="321" t="str">
        <f t="shared" si="51"/>
        <v/>
      </c>
    </row>
    <row r="1360" spans="2:60" ht="30" hidden="1" customHeight="1" x14ac:dyDescent="0.25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52"/>
        <v/>
      </c>
      <c r="BH1360" s="321" t="str">
        <f t="shared" si="51"/>
        <v/>
      </c>
    </row>
    <row r="1361" spans="2:60" ht="30" hidden="1" customHeight="1" x14ac:dyDescent="0.25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52"/>
        <v/>
      </c>
      <c r="BH1361" s="321" t="str">
        <f t="shared" si="51"/>
        <v/>
      </c>
    </row>
    <row r="1362" spans="2:60" ht="30" hidden="1" customHeight="1" x14ac:dyDescent="0.25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52"/>
        <v/>
      </c>
      <c r="BH1362" s="321" t="str">
        <f t="shared" si="51"/>
        <v/>
      </c>
    </row>
    <row r="1363" spans="2:60" ht="30" hidden="1" customHeight="1" x14ac:dyDescent="0.25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52"/>
        <v/>
      </c>
      <c r="BH1363" s="321" t="str">
        <f t="shared" si="51"/>
        <v/>
      </c>
    </row>
    <row r="1364" spans="2:60" ht="30" hidden="1" customHeight="1" x14ac:dyDescent="0.25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52"/>
        <v/>
      </c>
      <c r="BH1364" s="321" t="str">
        <f t="shared" si="51"/>
        <v/>
      </c>
    </row>
    <row r="1365" spans="2:60" ht="30" hidden="1" customHeight="1" x14ac:dyDescent="0.25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52"/>
        <v/>
      </c>
      <c r="BH1365" s="321" t="str">
        <f t="shared" si="51"/>
        <v/>
      </c>
    </row>
    <row r="1366" spans="2:60" ht="30" hidden="1" customHeight="1" x14ac:dyDescent="0.25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52"/>
        <v/>
      </c>
      <c r="BH1366" s="321" t="str">
        <f t="shared" si="51"/>
        <v/>
      </c>
    </row>
    <row r="1367" spans="2:60" ht="30" hidden="1" customHeight="1" x14ac:dyDescent="0.25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52"/>
        <v/>
      </c>
      <c r="BH1367" s="321" t="str">
        <f t="shared" si="51"/>
        <v/>
      </c>
    </row>
    <row r="1368" spans="2:60" ht="30" hidden="1" customHeight="1" x14ac:dyDescent="0.25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52"/>
        <v/>
      </c>
      <c r="BH1368" s="321" t="str">
        <f t="shared" si="51"/>
        <v/>
      </c>
    </row>
    <row r="1369" spans="2:60" ht="30" hidden="1" customHeight="1" x14ac:dyDescent="0.25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52"/>
        <v/>
      </c>
      <c r="BH1369" s="321" t="str">
        <f t="shared" si="51"/>
        <v/>
      </c>
    </row>
    <row r="1370" spans="2:60" ht="30" hidden="1" customHeight="1" x14ac:dyDescent="0.25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52"/>
        <v/>
      </c>
      <c r="BH1370" s="321" t="str">
        <f t="shared" si="51"/>
        <v/>
      </c>
    </row>
    <row r="1371" spans="2:60" ht="30" hidden="1" customHeight="1" x14ac:dyDescent="0.25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52"/>
        <v/>
      </c>
      <c r="BH1371" s="321" t="str">
        <f t="shared" si="51"/>
        <v/>
      </c>
    </row>
    <row r="1372" spans="2:60" ht="30" hidden="1" customHeight="1" x14ac:dyDescent="0.25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52"/>
        <v/>
      </c>
      <c r="BH1372" s="321" t="str">
        <f t="shared" si="51"/>
        <v/>
      </c>
    </row>
    <row r="1373" spans="2:60" ht="30" hidden="1" customHeight="1" x14ac:dyDescent="0.25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52"/>
        <v/>
      </c>
      <c r="BH1373" s="321" t="str">
        <f t="shared" si="51"/>
        <v/>
      </c>
    </row>
    <row r="1374" spans="2:60" ht="30" hidden="1" customHeight="1" x14ac:dyDescent="0.25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52"/>
        <v/>
      </c>
      <c r="BH1374" s="321" t="str">
        <f t="shared" si="51"/>
        <v/>
      </c>
    </row>
    <row r="1375" spans="2:60" ht="30" hidden="1" customHeight="1" x14ac:dyDescent="0.25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52"/>
        <v/>
      </c>
      <c r="BH1375" s="321" t="str">
        <f t="shared" si="51"/>
        <v/>
      </c>
    </row>
    <row r="1376" spans="2:60" ht="30" hidden="1" customHeight="1" x14ac:dyDescent="0.25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52"/>
        <v/>
      </c>
      <c r="BH1376" s="321" t="str">
        <f t="shared" si="51"/>
        <v/>
      </c>
    </row>
    <row r="1377" spans="2:60" ht="30" hidden="1" customHeight="1" x14ac:dyDescent="0.25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52"/>
        <v/>
      </c>
      <c r="BH1377" s="321" t="str">
        <f t="shared" si="51"/>
        <v/>
      </c>
    </row>
    <row r="1378" spans="2:60" ht="30" hidden="1" customHeight="1" x14ac:dyDescent="0.25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52"/>
        <v/>
      </c>
      <c r="BH1378" s="321" t="str">
        <f t="shared" si="51"/>
        <v/>
      </c>
    </row>
    <row r="1379" spans="2:60" ht="30" hidden="1" customHeight="1" x14ac:dyDescent="0.25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52"/>
        <v/>
      </c>
      <c r="BH1379" s="321" t="str">
        <f t="shared" si="51"/>
        <v/>
      </c>
    </row>
    <row r="1380" spans="2:60" ht="30" hidden="1" customHeight="1" x14ac:dyDescent="0.25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52"/>
        <v/>
      </c>
      <c r="BH1380" s="321" t="str">
        <f t="shared" si="51"/>
        <v/>
      </c>
    </row>
    <row r="1381" spans="2:60" ht="30" hidden="1" customHeight="1" x14ac:dyDescent="0.25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52"/>
        <v/>
      </c>
      <c r="BH1381" s="321" t="str">
        <f t="shared" si="51"/>
        <v/>
      </c>
    </row>
    <row r="1382" spans="2:60" ht="30" hidden="1" customHeight="1" x14ac:dyDescent="0.25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52"/>
        <v/>
      </c>
      <c r="BH1382" s="321" t="str">
        <f t="shared" si="51"/>
        <v/>
      </c>
    </row>
    <row r="1383" spans="2:60" ht="30" hidden="1" customHeight="1" x14ac:dyDescent="0.25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52"/>
        <v/>
      </c>
      <c r="BH1383" s="321" t="str">
        <f t="shared" si="51"/>
        <v/>
      </c>
    </row>
    <row r="1384" spans="2:60" ht="30" hidden="1" customHeight="1" x14ac:dyDescent="0.25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52"/>
        <v/>
      </c>
      <c r="BH1384" s="321" t="str">
        <f t="shared" si="51"/>
        <v/>
      </c>
    </row>
    <row r="1385" spans="2:60" ht="30" hidden="1" customHeight="1" x14ac:dyDescent="0.25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52"/>
        <v/>
      </c>
      <c r="BH1385" s="321" t="str">
        <f t="shared" si="51"/>
        <v/>
      </c>
    </row>
    <row r="1386" spans="2:60" ht="30" hidden="1" customHeight="1" x14ac:dyDescent="0.25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52"/>
        <v/>
      </c>
      <c r="BH1386" s="321" t="str">
        <f t="shared" si="51"/>
        <v/>
      </c>
    </row>
    <row r="1387" spans="2:60" ht="30" hidden="1" customHeight="1" x14ac:dyDescent="0.25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52"/>
        <v/>
      </c>
      <c r="BH1387" s="321" t="str">
        <f t="shared" si="51"/>
        <v/>
      </c>
    </row>
    <row r="1388" spans="2:60" ht="30" hidden="1" customHeight="1" x14ac:dyDescent="0.25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52"/>
        <v/>
      </c>
      <c r="BH1388" s="321" t="str">
        <f t="shared" si="51"/>
        <v/>
      </c>
    </row>
    <row r="1389" spans="2:60" ht="30" hidden="1" customHeight="1" x14ac:dyDescent="0.25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52"/>
        <v/>
      </c>
      <c r="BH1389" s="321" t="str">
        <f t="shared" ref="BH1389:BH1452" si="53">IF(BD1389-KI1389=0,"",BD1389-AK1389)</f>
        <v/>
      </c>
    </row>
    <row r="1390" spans="2:60" ht="30" hidden="1" customHeight="1" x14ac:dyDescent="0.25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52"/>
        <v/>
      </c>
      <c r="BH1390" s="321" t="str">
        <f t="shared" si="53"/>
        <v/>
      </c>
    </row>
    <row r="1391" spans="2:60" ht="30" hidden="1" customHeight="1" x14ac:dyDescent="0.25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52"/>
        <v/>
      </c>
      <c r="BH1391" s="321" t="str">
        <f t="shared" si="53"/>
        <v/>
      </c>
    </row>
    <row r="1392" spans="2:60" ht="30" hidden="1" customHeight="1" x14ac:dyDescent="0.25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52"/>
        <v/>
      </c>
      <c r="BH1392" s="321" t="str">
        <f t="shared" si="53"/>
        <v/>
      </c>
    </row>
    <row r="1393" spans="2:60" ht="30" hidden="1" customHeight="1" x14ac:dyDescent="0.25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52"/>
        <v/>
      </c>
      <c r="BH1393" s="321" t="str">
        <f t="shared" si="53"/>
        <v/>
      </c>
    </row>
    <row r="1394" spans="2:60" ht="30" hidden="1" customHeight="1" x14ac:dyDescent="0.25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52"/>
        <v/>
      </c>
      <c r="BH1394" s="321" t="str">
        <f t="shared" si="53"/>
        <v/>
      </c>
    </row>
    <row r="1395" spans="2:60" ht="30" hidden="1" customHeight="1" x14ac:dyDescent="0.25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52"/>
        <v/>
      </c>
      <c r="BH1395" s="321" t="str">
        <f t="shared" si="53"/>
        <v/>
      </c>
    </row>
    <row r="1396" spans="2:60" ht="30" hidden="1" customHeight="1" x14ac:dyDescent="0.25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52"/>
        <v/>
      </c>
      <c r="BH1396" s="321" t="str">
        <f t="shared" si="53"/>
        <v/>
      </c>
    </row>
    <row r="1397" spans="2:60" ht="30" hidden="1" customHeight="1" x14ac:dyDescent="0.25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52"/>
        <v/>
      </c>
      <c r="BH1397" s="321" t="str">
        <f t="shared" si="53"/>
        <v/>
      </c>
    </row>
    <row r="1398" spans="2:60" ht="30" hidden="1" customHeight="1" x14ac:dyDescent="0.25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52"/>
        <v/>
      </c>
      <c r="BH1398" s="321" t="str">
        <f t="shared" si="53"/>
        <v/>
      </c>
    </row>
    <row r="1399" spans="2:60" ht="30" hidden="1" customHeight="1" x14ac:dyDescent="0.25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52"/>
        <v/>
      </c>
      <c r="BH1399" s="321" t="str">
        <f t="shared" si="53"/>
        <v/>
      </c>
    </row>
    <row r="1400" spans="2:60" ht="30" hidden="1" customHeight="1" x14ac:dyDescent="0.25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52"/>
        <v/>
      </c>
      <c r="BH1400" s="321" t="str">
        <f t="shared" si="53"/>
        <v/>
      </c>
    </row>
    <row r="1401" spans="2:60" ht="30" hidden="1" customHeight="1" x14ac:dyDescent="0.25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52"/>
        <v/>
      </c>
      <c r="BH1401" s="321" t="str">
        <f t="shared" si="53"/>
        <v/>
      </c>
    </row>
    <row r="1402" spans="2:60" ht="30" hidden="1" customHeight="1" x14ac:dyDescent="0.25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52"/>
        <v/>
      </c>
      <c r="BH1402" s="321" t="str">
        <f t="shared" si="53"/>
        <v/>
      </c>
    </row>
    <row r="1403" spans="2:60" ht="30" hidden="1" customHeight="1" x14ac:dyDescent="0.25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52"/>
        <v/>
      </c>
      <c r="BH1403" s="321" t="str">
        <f t="shared" si="53"/>
        <v/>
      </c>
    </row>
    <row r="1404" spans="2:60" ht="30" hidden="1" customHeight="1" x14ac:dyDescent="0.25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52"/>
        <v/>
      </c>
      <c r="BH1404" s="321" t="str">
        <f t="shared" si="53"/>
        <v/>
      </c>
    </row>
    <row r="1405" spans="2:60" ht="30" hidden="1" customHeight="1" x14ac:dyDescent="0.25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52"/>
        <v/>
      </c>
      <c r="BH1405" s="321" t="str">
        <f t="shared" si="53"/>
        <v/>
      </c>
    </row>
    <row r="1406" spans="2:60" ht="30" hidden="1" customHeight="1" x14ac:dyDescent="0.25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52"/>
        <v/>
      </c>
      <c r="BH1406" s="321" t="str">
        <f t="shared" si="53"/>
        <v/>
      </c>
    </row>
    <row r="1407" spans="2:60" ht="30" hidden="1" customHeight="1" x14ac:dyDescent="0.25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54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53"/>
        <v/>
      </c>
    </row>
    <row r="1408" spans="2:60" ht="30" hidden="1" customHeight="1" x14ac:dyDescent="0.25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54"/>
        <v/>
      </c>
      <c r="BH1408" s="321" t="str">
        <f t="shared" si="53"/>
        <v/>
      </c>
    </row>
    <row r="1409" spans="2:60" ht="30" hidden="1" customHeight="1" x14ac:dyDescent="0.25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54"/>
        <v/>
      </c>
      <c r="BH1409" s="321" t="str">
        <f t="shared" si="53"/>
        <v/>
      </c>
    </row>
    <row r="1410" spans="2:60" ht="30" hidden="1" customHeight="1" x14ac:dyDescent="0.25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54"/>
        <v/>
      </c>
      <c r="BH1410" s="321" t="str">
        <f t="shared" si="53"/>
        <v/>
      </c>
    </row>
    <row r="1411" spans="2:60" ht="30" hidden="1" customHeight="1" x14ac:dyDescent="0.25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54"/>
        <v/>
      </c>
      <c r="BH1411" s="321" t="str">
        <f t="shared" si="53"/>
        <v/>
      </c>
    </row>
    <row r="1412" spans="2:60" ht="30" hidden="1" customHeight="1" x14ac:dyDescent="0.25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54"/>
        <v/>
      </c>
      <c r="BH1412" s="321" t="str">
        <f t="shared" si="53"/>
        <v/>
      </c>
    </row>
    <row r="1413" spans="2:60" ht="30" hidden="1" customHeight="1" x14ac:dyDescent="0.25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54"/>
        <v/>
      </c>
      <c r="BH1413" s="321" t="str">
        <f t="shared" si="53"/>
        <v/>
      </c>
    </row>
    <row r="1414" spans="2:60" ht="30" hidden="1" customHeight="1" x14ac:dyDescent="0.25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54"/>
        <v/>
      </c>
      <c r="BH1414" s="321" t="str">
        <f t="shared" si="53"/>
        <v/>
      </c>
    </row>
    <row r="1415" spans="2:60" ht="30" hidden="1" customHeight="1" x14ac:dyDescent="0.25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54"/>
        <v/>
      </c>
      <c r="BH1415" s="321" t="str">
        <f t="shared" si="53"/>
        <v/>
      </c>
    </row>
    <row r="1416" spans="2:60" ht="30" hidden="1" customHeight="1" x14ac:dyDescent="0.25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54"/>
        <v/>
      </c>
      <c r="BH1416" s="321" t="str">
        <f t="shared" si="53"/>
        <v/>
      </c>
    </row>
    <row r="1417" spans="2:60" ht="30" hidden="1" customHeight="1" x14ac:dyDescent="0.25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54"/>
        <v/>
      </c>
      <c r="BH1417" s="321" t="str">
        <f t="shared" si="53"/>
        <v/>
      </c>
    </row>
    <row r="1418" spans="2:60" ht="30" hidden="1" customHeight="1" x14ac:dyDescent="0.25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54"/>
        <v/>
      </c>
      <c r="BH1418" s="321" t="str">
        <f t="shared" si="53"/>
        <v/>
      </c>
    </row>
    <row r="1419" spans="2:60" ht="30" hidden="1" customHeight="1" x14ac:dyDescent="0.25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54"/>
        <v/>
      </c>
      <c r="BH1419" s="321" t="str">
        <f t="shared" si="53"/>
        <v/>
      </c>
    </row>
    <row r="1420" spans="2:60" ht="30" hidden="1" customHeight="1" x14ac:dyDescent="0.25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54"/>
        <v/>
      </c>
      <c r="BH1420" s="321" t="str">
        <f t="shared" si="53"/>
        <v/>
      </c>
    </row>
    <row r="1421" spans="2:60" ht="30" hidden="1" customHeight="1" x14ac:dyDescent="0.25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54"/>
        <v/>
      </c>
      <c r="BH1421" s="321" t="str">
        <f t="shared" si="53"/>
        <v/>
      </c>
    </row>
    <row r="1422" spans="2:60" ht="30" hidden="1" customHeight="1" x14ac:dyDescent="0.25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54"/>
        <v/>
      </c>
      <c r="BH1422" s="321" t="str">
        <f t="shared" si="53"/>
        <v/>
      </c>
    </row>
    <row r="1423" spans="2:60" ht="30" hidden="1" customHeight="1" x14ac:dyDescent="0.25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54"/>
        <v/>
      </c>
      <c r="BH1423" s="321" t="str">
        <f t="shared" si="53"/>
        <v/>
      </c>
    </row>
    <row r="1424" spans="2:60" ht="30" hidden="1" customHeight="1" x14ac:dyDescent="0.25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54"/>
        <v/>
      </c>
      <c r="BH1424" s="321" t="str">
        <f t="shared" si="53"/>
        <v/>
      </c>
    </row>
    <row r="1425" spans="2:60" ht="30" hidden="1" customHeight="1" x14ac:dyDescent="0.25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54"/>
        <v/>
      </c>
      <c r="BH1425" s="321" t="str">
        <f t="shared" si="53"/>
        <v/>
      </c>
    </row>
    <row r="1426" spans="2:60" ht="30" hidden="1" customHeight="1" x14ac:dyDescent="0.25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54"/>
        <v/>
      </c>
      <c r="BH1426" s="321" t="str">
        <f t="shared" si="53"/>
        <v/>
      </c>
    </row>
    <row r="1427" spans="2:60" ht="30" hidden="1" customHeight="1" x14ac:dyDescent="0.25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54"/>
        <v/>
      </c>
      <c r="BH1427" s="321" t="str">
        <f t="shared" si="53"/>
        <v/>
      </c>
    </row>
    <row r="1428" spans="2:60" ht="30" hidden="1" customHeight="1" x14ac:dyDescent="0.25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54"/>
        <v/>
      </c>
      <c r="BH1428" s="321" t="str">
        <f t="shared" si="53"/>
        <v/>
      </c>
    </row>
    <row r="1429" spans="2:60" ht="30" hidden="1" customHeight="1" x14ac:dyDescent="0.25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54"/>
        <v/>
      </c>
      <c r="BH1429" s="321" t="str">
        <f t="shared" si="53"/>
        <v/>
      </c>
    </row>
    <row r="1430" spans="2:60" ht="30" hidden="1" customHeight="1" x14ac:dyDescent="0.25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54"/>
        <v/>
      </c>
      <c r="BH1430" s="321" t="str">
        <f t="shared" si="53"/>
        <v/>
      </c>
    </row>
    <row r="1431" spans="2:60" ht="30" hidden="1" customHeight="1" x14ac:dyDescent="0.25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54"/>
        <v/>
      </c>
      <c r="BH1431" s="321" t="str">
        <f t="shared" si="53"/>
        <v/>
      </c>
    </row>
    <row r="1432" spans="2:60" ht="30" hidden="1" customHeight="1" x14ac:dyDescent="0.25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54"/>
        <v/>
      </c>
      <c r="BH1432" s="321" t="str">
        <f t="shared" si="53"/>
        <v/>
      </c>
    </row>
    <row r="1433" spans="2:60" ht="30" hidden="1" customHeight="1" x14ac:dyDescent="0.25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54"/>
        <v/>
      </c>
      <c r="BH1433" s="321" t="str">
        <f t="shared" si="53"/>
        <v/>
      </c>
    </row>
    <row r="1434" spans="2:60" ht="30" hidden="1" customHeight="1" x14ac:dyDescent="0.25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54"/>
        <v/>
      </c>
      <c r="BH1434" s="321" t="str">
        <f t="shared" si="53"/>
        <v/>
      </c>
    </row>
    <row r="1435" spans="2:60" ht="30" hidden="1" customHeight="1" x14ac:dyDescent="0.25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54"/>
        <v/>
      </c>
      <c r="BH1435" s="321" t="str">
        <f t="shared" si="53"/>
        <v/>
      </c>
    </row>
    <row r="1436" spans="2:60" ht="30" hidden="1" customHeight="1" x14ac:dyDescent="0.25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54"/>
        <v/>
      </c>
      <c r="BH1436" s="321" t="str">
        <f t="shared" si="53"/>
        <v/>
      </c>
    </row>
    <row r="1437" spans="2:60" ht="30" hidden="1" customHeight="1" x14ac:dyDescent="0.25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54"/>
        <v/>
      </c>
      <c r="BH1437" s="321" t="str">
        <f t="shared" si="53"/>
        <v/>
      </c>
    </row>
    <row r="1438" spans="2:60" ht="30" hidden="1" customHeight="1" x14ac:dyDescent="0.25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54"/>
        <v/>
      </c>
      <c r="BH1438" s="321" t="str">
        <f t="shared" si="53"/>
        <v/>
      </c>
    </row>
    <row r="1439" spans="2:60" ht="30" hidden="1" customHeight="1" x14ac:dyDescent="0.25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54"/>
        <v/>
      </c>
      <c r="BH1439" s="321" t="str">
        <f t="shared" si="53"/>
        <v/>
      </c>
    </row>
    <row r="1440" spans="2:60" ht="30" hidden="1" customHeight="1" x14ac:dyDescent="0.25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54"/>
        <v/>
      </c>
      <c r="BH1440" s="321" t="str">
        <f t="shared" si="53"/>
        <v/>
      </c>
    </row>
    <row r="1441" spans="2:60" ht="30" hidden="1" customHeight="1" x14ac:dyDescent="0.25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54"/>
        <v/>
      </c>
      <c r="BH1441" s="321" t="str">
        <f t="shared" si="53"/>
        <v/>
      </c>
    </row>
    <row r="1442" spans="2:60" ht="30" hidden="1" customHeight="1" x14ac:dyDescent="0.25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54"/>
        <v/>
      </c>
      <c r="BH1442" s="321" t="str">
        <f t="shared" si="53"/>
        <v/>
      </c>
    </row>
    <row r="1443" spans="2:60" ht="30" hidden="1" customHeight="1" x14ac:dyDescent="0.25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54"/>
        <v/>
      </c>
      <c r="BH1443" s="321" t="str">
        <f t="shared" si="53"/>
        <v/>
      </c>
    </row>
    <row r="1444" spans="2:60" ht="30" hidden="1" customHeight="1" x14ac:dyDescent="0.25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54"/>
        <v/>
      </c>
      <c r="BH1444" s="321" t="str">
        <f t="shared" si="53"/>
        <v/>
      </c>
    </row>
    <row r="1445" spans="2:60" ht="30" hidden="1" customHeight="1" x14ac:dyDescent="0.25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54"/>
        <v/>
      </c>
      <c r="BH1445" s="321" t="str">
        <f t="shared" si="53"/>
        <v/>
      </c>
    </row>
    <row r="1446" spans="2:60" ht="30" hidden="1" customHeight="1" x14ac:dyDescent="0.25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54"/>
        <v/>
      </c>
      <c r="BH1446" s="321" t="str">
        <f t="shared" si="53"/>
        <v/>
      </c>
    </row>
    <row r="1447" spans="2:60" ht="30" hidden="1" customHeight="1" x14ac:dyDescent="0.25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54"/>
        <v/>
      </c>
      <c r="BH1447" s="321" t="str">
        <f t="shared" si="53"/>
        <v/>
      </c>
    </row>
    <row r="1448" spans="2:60" ht="30" hidden="1" customHeight="1" x14ac:dyDescent="0.25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54"/>
        <v/>
      </c>
      <c r="BH1448" s="321" t="str">
        <f t="shared" si="53"/>
        <v/>
      </c>
    </row>
    <row r="1449" spans="2:60" ht="30" hidden="1" customHeight="1" x14ac:dyDescent="0.25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54"/>
        <v/>
      </c>
      <c r="BH1449" s="321" t="str">
        <f t="shared" si="53"/>
        <v/>
      </c>
    </row>
    <row r="1450" spans="2:60" ht="30" hidden="1" customHeight="1" x14ac:dyDescent="0.25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54"/>
        <v/>
      </c>
      <c r="BH1450" s="321" t="str">
        <f t="shared" si="53"/>
        <v/>
      </c>
    </row>
    <row r="1451" spans="2:60" ht="30" hidden="1" customHeight="1" x14ac:dyDescent="0.25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54"/>
        <v/>
      </c>
      <c r="BH1451" s="321" t="str">
        <f t="shared" si="53"/>
        <v/>
      </c>
    </row>
    <row r="1452" spans="2:60" ht="30" hidden="1" customHeight="1" x14ac:dyDescent="0.25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54"/>
        <v/>
      </c>
      <c r="BH1452" s="321" t="str">
        <f t="shared" si="53"/>
        <v/>
      </c>
    </row>
    <row r="1453" spans="2:60" ht="30" hidden="1" customHeight="1" x14ac:dyDescent="0.25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54"/>
        <v/>
      </c>
      <c r="BH1453" s="321" t="str">
        <f t="shared" ref="BH1453:BH1516" si="55">IF(BD1453-KI1453=0,"",BD1453-AK1453)</f>
        <v/>
      </c>
    </row>
    <row r="1454" spans="2:60" ht="30" hidden="1" customHeight="1" x14ac:dyDescent="0.25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54"/>
        <v/>
      </c>
      <c r="BH1454" s="321" t="str">
        <f t="shared" si="55"/>
        <v/>
      </c>
    </row>
    <row r="1455" spans="2:60" ht="30" hidden="1" customHeight="1" x14ac:dyDescent="0.25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54"/>
        <v/>
      </c>
      <c r="BH1455" s="321" t="str">
        <f t="shared" si="55"/>
        <v/>
      </c>
    </row>
    <row r="1456" spans="2:60" ht="30" hidden="1" customHeight="1" x14ac:dyDescent="0.25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54"/>
        <v/>
      </c>
      <c r="BH1456" s="321" t="str">
        <f t="shared" si="55"/>
        <v/>
      </c>
    </row>
    <row r="1457" spans="2:60" ht="30" hidden="1" customHeight="1" x14ac:dyDescent="0.25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54"/>
        <v/>
      </c>
      <c r="BH1457" s="321" t="str">
        <f t="shared" si="55"/>
        <v/>
      </c>
    </row>
    <row r="1458" spans="2:60" ht="30" hidden="1" customHeight="1" x14ac:dyDescent="0.25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54"/>
        <v/>
      </c>
      <c r="BH1458" s="321" t="str">
        <f t="shared" si="55"/>
        <v/>
      </c>
    </row>
    <row r="1459" spans="2:60" ht="30" hidden="1" customHeight="1" x14ac:dyDescent="0.25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54"/>
        <v/>
      </c>
      <c r="BH1459" s="321" t="str">
        <f t="shared" si="55"/>
        <v/>
      </c>
    </row>
    <row r="1460" spans="2:60" ht="30" hidden="1" customHeight="1" x14ac:dyDescent="0.25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54"/>
        <v/>
      </c>
      <c r="BH1460" s="321" t="str">
        <f t="shared" si="55"/>
        <v/>
      </c>
    </row>
    <row r="1461" spans="2:60" ht="30" hidden="1" customHeight="1" x14ac:dyDescent="0.25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54"/>
        <v/>
      </c>
      <c r="BH1461" s="321" t="str">
        <f t="shared" si="55"/>
        <v/>
      </c>
    </row>
    <row r="1462" spans="2:60" ht="30" hidden="1" customHeight="1" x14ac:dyDescent="0.25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54"/>
        <v/>
      </c>
      <c r="BH1462" s="321" t="str">
        <f t="shared" si="55"/>
        <v/>
      </c>
    </row>
    <row r="1463" spans="2:60" ht="30" hidden="1" customHeight="1" x14ac:dyDescent="0.25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54"/>
        <v/>
      </c>
      <c r="BH1463" s="321" t="str">
        <f t="shared" si="55"/>
        <v/>
      </c>
    </row>
    <row r="1464" spans="2:60" ht="30" hidden="1" customHeight="1" x14ac:dyDescent="0.25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54"/>
        <v/>
      </c>
      <c r="BH1464" s="321" t="str">
        <f t="shared" si="55"/>
        <v/>
      </c>
    </row>
    <row r="1465" spans="2:60" ht="30" hidden="1" customHeight="1" x14ac:dyDescent="0.25">
      <c r="AK1465" s="313"/>
      <c r="AL1465" s="313"/>
      <c r="AM1465" s="313"/>
      <c r="AN1465" s="313"/>
      <c r="AO1465" s="313"/>
      <c r="AP1465" s="313"/>
      <c r="AQ1465" s="314"/>
      <c r="AR1465" s="315" t="str">
        <f t="shared" si="54"/>
        <v/>
      </c>
      <c r="BH1465" s="321" t="str">
        <f t="shared" si="55"/>
        <v/>
      </c>
    </row>
    <row r="1466" spans="2:60" ht="30" hidden="1" customHeight="1" x14ac:dyDescent="0.25">
      <c r="AK1466" s="313"/>
      <c r="AL1466" s="313"/>
      <c r="AM1466" s="313"/>
      <c r="AN1466" s="313"/>
      <c r="AO1466" s="313"/>
      <c r="AP1466" s="313"/>
      <c r="AQ1466" s="314"/>
      <c r="AR1466" s="315" t="str">
        <f t="shared" si="54"/>
        <v/>
      </c>
      <c r="BH1466" s="321" t="str">
        <f t="shared" si="55"/>
        <v/>
      </c>
    </row>
    <row r="1467" spans="2:60" ht="30" hidden="1" customHeight="1" x14ac:dyDescent="0.25">
      <c r="AK1467" s="313"/>
      <c r="AL1467" s="313"/>
      <c r="AM1467" s="313"/>
      <c r="AN1467" s="313"/>
      <c r="AO1467" s="313"/>
      <c r="AP1467" s="313"/>
      <c r="AQ1467" s="314"/>
      <c r="AR1467" s="315" t="str">
        <f t="shared" si="54"/>
        <v/>
      </c>
      <c r="BH1467" s="321" t="str">
        <f t="shared" si="55"/>
        <v/>
      </c>
    </row>
    <row r="1468" spans="2:60" ht="30" hidden="1" customHeight="1" x14ac:dyDescent="0.25">
      <c r="AK1468" s="313"/>
      <c r="AL1468" s="313"/>
      <c r="AM1468" s="313"/>
      <c r="AN1468" s="313"/>
      <c r="AO1468" s="313"/>
      <c r="AP1468" s="313"/>
      <c r="AQ1468" s="314"/>
      <c r="AR1468" s="315" t="str">
        <f t="shared" si="54"/>
        <v/>
      </c>
      <c r="BH1468" s="321" t="str">
        <f t="shared" si="55"/>
        <v/>
      </c>
    </row>
    <row r="1469" spans="2:60" ht="30" hidden="1" customHeight="1" x14ac:dyDescent="0.25">
      <c r="AK1469" s="313"/>
      <c r="AL1469" s="313"/>
      <c r="AM1469" s="313"/>
      <c r="AN1469" s="313"/>
      <c r="AO1469" s="313"/>
      <c r="AP1469" s="313"/>
      <c r="AQ1469" s="314"/>
      <c r="AR1469" s="315" t="str">
        <f t="shared" si="54"/>
        <v/>
      </c>
      <c r="BH1469" s="321" t="str">
        <f t="shared" si="55"/>
        <v/>
      </c>
    </row>
    <row r="1470" spans="2:60" ht="30" hidden="1" customHeight="1" x14ac:dyDescent="0.25">
      <c r="AK1470" s="313"/>
      <c r="AL1470" s="313"/>
      <c r="AM1470" s="313"/>
      <c r="AN1470" s="313"/>
      <c r="AO1470" s="313"/>
      <c r="AP1470" s="313"/>
      <c r="AQ1470" s="314"/>
      <c r="AR1470" s="315" t="str">
        <f t="shared" si="54"/>
        <v/>
      </c>
      <c r="BH1470" s="321" t="str">
        <f t="shared" si="55"/>
        <v/>
      </c>
    </row>
    <row r="1471" spans="2:60" ht="30" hidden="1" customHeight="1" x14ac:dyDescent="0.25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56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55"/>
        <v/>
      </c>
    </row>
    <row r="1472" spans="2:60" ht="30" hidden="1" customHeight="1" x14ac:dyDescent="0.25">
      <c r="AK1472" s="313"/>
      <c r="AL1472" s="313"/>
      <c r="AM1472" s="313"/>
      <c r="AN1472" s="313"/>
      <c r="AO1472" s="313"/>
      <c r="AP1472" s="313"/>
      <c r="AQ1472" s="314"/>
      <c r="AR1472" s="315" t="str">
        <f t="shared" si="56"/>
        <v/>
      </c>
      <c r="BH1472" s="321" t="str">
        <f t="shared" si="55"/>
        <v/>
      </c>
    </row>
    <row r="1473" spans="37:60" ht="30" hidden="1" customHeight="1" x14ac:dyDescent="0.25">
      <c r="AK1473" s="313"/>
      <c r="AL1473" s="313"/>
      <c r="AM1473" s="313"/>
      <c r="AN1473" s="313"/>
      <c r="AO1473" s="313"/>
      <c r="AP1473" s="313"/>
      <c r="AQ1473" s="314"/>
      <c r="AR1473" s="315" t="str">
        <f t="shared" si="56"/>
        <v/>
      </c>
      <c r="BH1473" s="321" t="str">
        <f t="shared" si="55"/>
        <v/>
      </c>
    </row>
    <row r="1474" spans="37:60" ht="30" hidden="1" customHeight="1" x14ac:dyDescent="0.25">
      <c r="AK1474" s="313"/>
      <c r="AL1474" s="313"/>
      <c r="AM1474" s="313"/>
      <c r="AN1474" s="313"/>
      <c r="AO1474" s="313"/>
      <c r="AP1474" s="313"/>
      <c r="AQ1474" s="314"/>
      <c r="AR1474" s="315" t="str">
        <f t="shared" si="56"/>
        <v/>
      </c>
      <c r="BH1474" s="321" t="str">
        <f t="shared" si="55"/>
        <v/>
      </c>
    </row>
    <row r="1475" spans="37:60" ht="30" hidden="1" customHeight="1" x14ac:dyDescent="0.25">
      <c r="AK1475" s="313"/>
      <c r="AL1475" s="313"/>
      <c r="AM1475" s="313"/>
      <c r="AN1475" s="313"/>
      <c r="AO1475" s="313"/>
      <c r="AP1475" s="313"/>
      <c r="AQ1475" s="314"/>
      <c r="AR1475" s="315" t="str">
        <f t="shared" si="56"/>
        <v/>
      </c>
      <c r="BH1475" s="321" t="str">
        <f t="shared" si="55"/>
        <v/>
      </c>
    </row>
    <row r="1476" spans="37:60" ht="30" hidden="1" customHeight="1" x14ac:dyDescent="0.25">
      <c r="AK1476" s="313"/>
      <c r="AL1476" s="313"/>
      <c r="AM1476" s="313"/>
      <c r="AN1476" s="313"/>
      <c r="AO1476" s="313"/>
      <c r="AP1476" s="313"/>
      <c r="AQ1476" s="314"/>
      <c r="AR1476" s="315" t="str">
        <f t="shared" si="56"/>
        <v/>
      </c>
      <c r="BH1476" s="321" t="str">
        <f t="shared" si="55"/>
        <v/>
      </c>
    </row>
    <row r="1477" spans="37:60" ht="30" hidden="1" customHeight="1" x14ac:dyDescent="0.25">
      <c r="AK1477" s="313"/>
      <c r="AL1477" s="313"/>
      <c r="AM1477" s="313"/>
      <c r="AN1477" s="313"/>
      <c r="AO1477" s="313"/>
      <c r="AP1477" s="313"/>
      <c r="AQ1477" s="314"/>
      <c r="AR1477" s="315" t="str">
        <f t="shared" si="56"/>
        <v/>
      </c>
      <c r="BH1477" s="321" t="str">
        <f t="shared" si="55"/>
        <v/>
      </c>
    </row>
    <row r="1478" spans="37:60" ht="30" hidden="1" customHeight="1" x14ac:dyDescent="0.25">
      <c r="AK1478" s="313"/>
      <c r="AL1478" s="313"/>
      <c r="AM1478" s="313"/>
      <c r="AN1478" s="313"/>
      <c r="AO1478" s="313"/>
      <c r="AP1478" s="313"/>
      <c r="AQ1478" s="314"/>
      <c r="AR1478" s="315" t="str">
        <f t="shared" si="56"/>
        <v/>
      </c>
      <c r="BH1478" s="321" t="str">
        <f t="shared" si="55"/>
        <v/>
      </c>
    </row>
    <row r="1479" spans="37:60" ht="30" hidden="1" customHeight="1" x14ac:dyDescent="0.25">
      <c r="AK1479" s="313"/>
      <c r="AL1479" s="313"/>
      <c r="AM1479" s="313"/>
      <c r="AN1479" s="313"/>
      <c r="AO1479" s="313"/>
      <c r="AP1479" s="313"/>
      <c r="AQ1479" s="314"/>
      <c r="AR1479" s="315" t="str">
        <f t="shared" si="56"/>
        <v/>
      </c>
      <c r="BH1479" s="321" t="str">
        <f t="shared" si="55"/>
        <v/>
      </c>
    </row>
    <row r="1480" spans="37:60" ht="30" hidden="1" customHeight="1" x14ac:dyDescent="0.25">
      <c r="AK1480" s="313"/>
      <c r="AL1480" s="313"/>
      <c r="AM1480" s="313"/>
      <c r="AN1480" s="313"/>
      <c r="AO1480" s="313"/>
      <c r="AP1480" s="313"/>
      <c r="AQ1480" s="314"/>
      <c r="AR1480" s="315" t="str">
        <f t="shared" si="56"/>
        <v/>
      </c>
      <c r="BH1480" s="321" t="str">
        <f t="shared" si="55"/>
        <v/>
      </c>
    </row>
    <row r="1481" spans="37:60" ht="30" hidden="1" customHeight="1" x14ac:dyDescent="0.25">
      <c r="AK1481" s="313"/>
      <c r="AL1481" s="313"/>
      <c r="AM1481" s="313"/>
      <c r="AN1481" s="313"/>
      <c r="AO1481" s="313"/>
      <c r="AP1481" s="313"/>
      <c r="AQ1481" s="314"/>
      <c r="AR1481" s="315" t="str">
        <f t="shared" si="56"/>
        <v/>
      </c>
      <c r="BH1481" s="321" t="str">
        <f t="shared" si="55"/>
        <v/>
      </c>
    </row>
    <row r="1482" spans="37:60" ht="30" hidden="1" customHeight="1" x14ac:dyDescent="0.25">
      <c r="AK1482" s="313"/>
      <c r="AL1482" s="313"/>
      <c r="AM1482" s="313"/>
      <c r="AN1482" s="313"/>
      <c r="AO1482" s="313"/>
      <c r="AP1482" s="313"/>
      <c r="AQ1482" s="314"/>
      <c r="AR1482" s="315" t="str">
        <f t="shared" si="56"/>
        <v/>
      </c>
      <c r="BH1482" s="321" t="str">
        <f t="shared" si="55"/>
        <v/>
      </c>
    </row>
    <row r="1483" spans="37:60" ht="30" hidden="1" customHeight="1" x14ac:dyDescent="0.25">
      <c r="AK1483" s="313"/>
      <c r="AL1483" s="313"/>
      <c r="AM1483" s="313"/>
      <c r="AN1483" s="313"/>
      <c r="AO1483" s="313"/>
      <c r="AP1483" s="313"/>
      <c r="AQ1483" s="314"/>
      <c r="AR1483" s="315" t="str">
        <f t="shared" si="56"/>
        <v/>
      </c>
      <c r="BH1483" s="321" t="str">
        <f t="shared" si="55"/>
        <v/>
      </c>
    </row>
    <row r="1484" spans="37:60" ht="30" hidden="1" customHeight="1" x14ac:dyDescent="0.25">
      <c r="AK1484" s="313"/>
      <c r="AL1484" s="313"/>
      <c r="AM1484" s="313"/>
      <c r="AN1484" s="313"/>
      <c r="AO1484" s="313"/>
      <c r="AP1484" s="313"/>
      <c r="AQ1484" s="314"/>
      <c r="AR1484" s="315" t="str">
        <f t="shared" si="56"/>
        <v/>
      </c>
      <c r="BH1484" s="321" t="str">
        <f t="shared" si="55"/>
        <v/>
      </c>
    </row>
    <row r="1485" spans="37:60" ht="30" hidden="1" customHeight="1" x14ac:dyDescent="0.25">
      <c r="AK1485" s="313"/>
      <c r="AL1485" s="313"/>
      <c r="AM1485" s="313"/>
      <c r="AN1485" s="313"/>
      <c r="AO1485" s="313"/>
      <c r="AP1485" s="313"/>
      <c r="AQ1485" s="314"/>
      <c r="AR1485" s="315" t="str">
        <f t="shared" si="56"/>
        <v/>
      </c>
      <c r="BH1485" s="321" t="str">
        <f t="shared" si="55"/>
        <v/>
      </c>
    </row>
    <row r="1486" spans="37:60" ht="30" hidden="1" customHeight="1" x14ac:dyDescent="0.25">
      <c r="AK1486" s="313"/>
      <c r="AL1486" s="313"/>
      <c r="AM1486" s="313"/>
      <c r="AN1486" s="313"/>
      <c r="AO1486" s="313"/>
      <c r="AP1486" s="313"/>
      <c r="AQ1486" s="314"/>
      <c r="AR1486" s="315" t="str">
        <f t="shared" si="56"/>
        <v/>
      </c>
      <c r="BH1486" s="321" t="str">
        <f t="shared" si="55"/>
        <v/>
      </c>
    </row>
    <row r="1487" spans="37:60" ht="30" hidden="1" customHeight="1" x14ac:dyDescent="0.25">
      <c r="AK1487" s="313"/>
      <c r="AL1487" s="313"/>
      <c r="AM1487" s="313"/>
      <c r="AN1487" s="313"/>
      <c r="AO1487" s="313"/>
      <c r="AP1487" s="313"/>
      <c r="AQ1487" s="314"/>
      <c r="AR1487" s="315" t="str">
        <f t="shared" si="56"/>
        <v/>
      </c>
      <c r="BH1487" s="321" t="str">
        <f t="shared" si="55"/>
        <v/>
      </c>
    </row>
    <row r="1488" spans="37:60" ht="30" hidden="1" customHeight="1" x14ac:dyDescent="0.25">
      <c r="AK1488" s="313"/>
      <c r="AL1488" s="313"/>
      <c r="AM1488" s="313"/>
      <c r="AN1488" s="313"/>
      <c r="AO1488" s="313"/>
      <c r="AP1488" s="313"/>
      <c r="AQ1488" s="314"/>
      <c r="AR1488" s="315" t="str">
        <f t="shared" si="56"/>
        <v/>
      </c>
      <c r="BH1488" s="321" t="str">
        <f t="shared" si="55"/>
        <v/>
      </c>
    </row>
    <row r="1489" spans="37:60" ht="30" hidden="1" customHeight="1" x14ac:dyDescent="0.25">
      <c r="AK1489" s="313"/>
      <c r="AL1489" s="313"/>
      <c r="AM1489" s="313"/>
      <c r="AN1489" s="313"/>
      <c r="AO1489" s="313"/>
      <c r="AP1489" s="313"/>
      <c r="AQ1489" s="314"/>
      <c r="AR1489" s="315" t="str">
        <f t="shared" si="56"/>
        <v/>
      </c>
      <c r="BH1489" s="321" t="str">
        <f t="shared" si="55"/>
        <v/>
      </c>
    </row>
    <row r="1490" spans="37:60" ht="30" hidden="1" customHeight="1" x14ac:dyDescent="0.25">
      <c r="AK1490" s="313"/>
      <c r="AL1490" s="313"/>
      <c r="AM1490" s="313"/>
      <c r="AN1490" s="313"/>
      <c r="AO1490" s="313"/>
      <c r="AP1490" s="313"/>
      <c r="AQ1490" s="314"/>
      <c r="AR1490" s="315" t="str">
        <f t="shared" si="56"/>
        <v/>
      </c>
      <c r="BH1490" s="321" t="str">
        <f t="shared" si="55"/>
        <v/>
      </c>
    </row>
    <row r="1491" spans="37:60" ht="30" hidden="1" customHeight="1" x14ac:dyDescent="0.25">
      <c r="AK1491" s="313"/>
      <c r="AL1491" s="313"/>
      <c r="AM1491" s="313"/>
      <c r="AN1491" s="313"/>
      <c r="AO1491" s="313"/>
      <c r="AP1491" s="313"/>
      <c r="AQ1491" s="314"/>
      <c r="AR1491" s="315" t="str">
        <f t="shared" si="56"/>
        <v/>
      </c>
      <c r="BH1491" s="321" t="str">
        <f t="shared" si="55"/>
        <v/>
      </c>
    </row>
    <row r="1492" spans="37:60" ht="30" hidden="1" customHeight="1" x14ac:dyDescent="0.25">
      <c r="AK1492" s="313"/>
      <c r="AL1492" s="313"/>
      <c r="AM1492" s="313"/>
      <c r="AN1492" s="313"/>
      <c r="AO1492" s="313"/>
      <c r="AP1492" s="313"/>
      <c r="AQ1492" s="314"/>
      <c r="AR1492" s="315" t="str">
        <f t="shared" si="56"/>
        <v/>
      </c>
      <c r="BH1492" s="321" t="str">
        <f t="shared" si="55"/>
        <v/>
      </c>
    </row>
    <row r="1493" spans="37:60" ht="30" hidden="1" customHeight="1" x14ac:dyDescent="0.25">
      <c r="AK1493" s="313"/>
      <c r="AL1493" s="313"/>
      <c r="AM1493" s="313"/>
      <c r="AN1493" s="313"/>
      <c r="AO1493" s="313"/>
      <c r="AP1493" s="313"/>
      <c r="AQ1493" s="314"/>
      <c r="AR1493" s="315" t="str">
        <f t="shared" si="56"/>
        <v/>
      </c>
      <c r="BH1493" s="321" t="str">
        <f t="shared" si="55"/>
        <v/>
      </c>
    </row>
    <row r="1494" spans="37:60" ht="30" hidden="1" customHeight="1" x14ac:dyDescent="0.25">
      <c r="AK1494" s="313"/>
      <c r="AL1494" s="313"/>
      <c r="AM1494" s="313"/>
      <c r="AN1494" s="313"/>
      <c r="AO1494" s="313"/>
      <c r="AP1494" s="313"/>
      <c r="AQ1494" s="314"/>
      <c r="AR1494" s="315" t="str">
        <f t="shared" si="56"/>
        <v/>
      </c>
      <c r="BH1494" s="321" t="str">
        <f t="shared" si="55"/>
        <v/>
      </c>
    </row>
    <row r="1495" spans="37:60" ht="30" hidden="1" customHeight="1" x14ac:dyDescent="0.25">
      <c r="AK1495" s="313"/>
      <c r="AL1495" s="313"/>
      <c r="AM1495" s="313"/>
      <c r="AN1495" s="313"/>
      <c r="AO1495" s="313"/>
      <c r="AP1495" s="313"/>
      <c r="AQ1495" s="314"/>
      <c r="AR1495" s="315" t="str">
        <f t="shared" si="56"/>
        <v/>
      </c>
      <c r="BH1495" s="321" t="str">
        <f t="shared" si="55"/>
        <v/>
      </c>
    </row>
    <row r="1496" spans="37:60" ht="30" hidden="1" customHeight="1" x14ac:dyDescent="0.25">
      <c r="AK1496" s="313"/>
      <c r="AL1496" s="313"/>
      <c r="AM1496" s="313"/>
      <c r="AN1496" s="313"/>
      <c r="AO1496" s="313"/>
      <c r="AP1496" s="313"/>
      <c r="AQ1496" s="314"/>
      <c r="AR1496" s="315" t="str">
        <f t="shared" si="56"/>
        <v/>
      </c>
      <c r="BH1496" s="321" t="str">
        <f t="shared" si="55"/>
        <v/>
      </c>
    </row>
    <row r="1497" spans="37:60" ht="30" hidden="1" customHeight="1" x14ac:dyDescent="0.25">
      <c r="AK1497" s="313"/>
      <c r="AL1497" s="313"/>
      <c r="AM1497" s="313"/>
      <c r="AN1497" s="313"/>
      <c r="AO1497" s="313"/>
      <c r="AP1497" s="313"/>
      <c r="AQ1497" s="314"/>
      <c r="AR1497" s="315" t="str">
        <f t="shared" si="56"/>
        <v/>
      </c>
      <c r="BH1497" s="321" t="str">
        <f t="shared" si="55"/>
        <v/>
      </c>
    </row>
    <row r="1498" spans="37:60" ht="30" hidden="1" customHeight="1" x14ac:dyDescent="0.25">
      <c r="AK1498" s="313"/>
      <c r="AL1498" s="313"/>
      <c r="AM1498" s="313"/>
      <c r="AN1498" s="313"/>
      <c r="AO1498" s="313"/>
      <c r="AP1498" s="313"/>
      <c r="AQ1498" s="314"/>
      <c r="AR1498" s="315" t="str">
        <f t="shared" si="56"/>
        <v/>
      </c>
      <c r="BH1498" s="321" t="str">
        <f t="shared" si="55"/>
        <v/>
      </c>
    </row>
    <row r="1499" spans="37:60" ht="30" hidden="1" customHeight="1" x14ac:dyDescent="0.25">
      <c r="AK1499" s="313"/>
      <c r="AL1499" s="313"/>
      <c r="AM1499" s="313"/>
      <c r="AN1499" s="313"/>
      <c r="AO1499" s="313"/>
      <c r="AP1499" s="313"/>
      <c r="AQ1499" s="314"/>
      <c r="AR1499" s="315" t="str">
        <f t="shared" si="56"/>
        <v/>
      </c>
      <c r="BH1499" s="321" t="str">
        <f t="shared" si="55"/>
        <v/>
      </c>
    </row>
    <row r="1500" spans="37:60" ht="30" hidden="1" customHeight="1" x14ac:dyDescent="0.25">
      <c r="AK1500" s="313"/>
      <c r="AL1500" s="313"/>
      <c r="AM1500" s="313"/>
      <c r="AN1500" s="313"/>
      <c r="AO1500" s="313"/>
      <c r="AP1500" s="313"/>
      <c r="AQ1500" s="314"/>
      <c r="AR1500" s="315" t="str">
        <f t="shared" si="56"/>
        <v/>
      </c>
      <c r="BH1500" s="321" t="str">
        <f t="shared" si="55"/>
        <v/>
      </c>
    </row>
    <row r="1501" spans="37:60" ht="30" hidden="1" customHeight="1" x14ac:dyDescent="0.25">
      <c r="AK1501" s="313"/>
      <c r="AL1501" s="313"/>
      <c r="AM1501" s="313"/>
      <c r="AN1501" s="313"/>
      <c r="AO1501" s="313"/>
      <c r="AP1501" s="313"/>
      <c r="AQ1501" s="314"/>
      <c r="AR1501" s="315" t="str">
        <f t="shared" si="56"/>
        <v/>
      </c>
      <c r="BH1501" s="321" t="str">
        <f t="shared" si="55"/>
        <v/>
      </c>
    </row>
    <row r="1502" spans="37:60" ht="30" hidden="1" customHeight="1" x14ac:dyDescent="0.25">
      <c r="AK1502" s="313"/>
      <c r="AL1502" s="313"/>
      <c r="AM1502" s="313"/>
      <c r="AN1502" s="313"/>
      <c r="AO1502" s="313"/>
      <c r="AP1502" s="313"/>
      <c r="AQ1502" s="314"/>
      <c r="AR1502" s="315" t="str">
        <f t="shared" si="56"/>
        <v/>
      </c>
      <c r="BH1502" s="321" t="str">
        <f t="shared" si="55"/>
        <v/>
      </c>
    </row>
    <row r="1503" spans="37:60" ht="30" hidden="1" customHeight="1" x14ac:dyDescent="0.25">
      <c r="AK1503" s="313"/>
      <c r="AL1503" s="313"/>
      <c r="AM1503" s="313"/>
      <c r="AN1503" s="313"/>
      <c r="AO1503" s="313"/>
      <c r="AP1503" s="313"/>
      <c r="AQ1503" s="314"/>
      <c r="AR1503" s="315" t="str">
        <f t="shared" si="56"/>
        <v/>
      </c>
      <c r="BH1503" s="321" t="str">
        <f t="shared" si="55"/>
        <v/>
      </c>
    </row>
    <row r="1504" spans="37:60" ht="30" hidden="1" customHeight="1" x14ac:dyDescent="0.25">
      <c r="AK1504" s="313"/>
      <c r="AL1504" s="313"/>
      <c r="AM1504" s="313"/>
      <c r="AN1504" s="313"/>
      <c r="AO1504" s="313"/>
      <c r="AP1504" s="313"/>
      <c r="AQ1504" s="314"/>
      <c r="AR1504" s="315" t="str">
        <f t="shared" si="56"/>
        <v/>
      </c>
      <c r="BH1504" s="321" t="str">
        <f t="shared" si="55"/>
        <v/>
      </c>
    </row>
    <row r="1505" spans="37:60" ht="30" hidden="1" customHeight="1" x14ac:dyDescent="0.25">
      <c r="AK1505" s="313"/>
      <c r="AL1505" s="313"/>
      <c r="AM1505" s="313"/>
      <c r="AN1505" s="313"/>
      <c r="AO1505" s="313"/>
      <c r="AP1505" s="313"/>
      <c r="AQ1505" s="314"/>
      <c r="AR1505" s="315" t="str">
        <f t="shared" si="56"/>
        <v/>
      </c>
      <c r="BH1505" s="321" t="str">
        <f t="shared" si="55"/>
        <v/>
      </c>
    </row>
    <row r="1506" spans="37:60" ht="30" hidden="1" customHeight="1" x14ac:dyDescent="0.25">
      <c r="AK1506" s="313"/>
      <c r="AL1506" s="313"/>
      <c r="AM1506" s="313"/>
      <c r="AN1506" s="313"/>
      <c r="AO1506" s="313"/>
      <c r="AP1506" s="313"/>
      <c r="AQ1506" s="314"/>
      <c r="AR1506" s="315" t="str">
        <f t="shared" si="56"/>
        <v/>
      </c>
      <c r="BH1506" s="321" t="str">
        <f t="shared" si="55"/>
        <v/>
      </c>
    </row>
    <row r="1507" spans="37:60" ht="30" hidden="1" customHeight="1" x14ac:dyDescent="0.25">
      <c r="AK1507" s="313"/>
      <c r="AL1507" s="313"/>
      <c r="AM1507" s="313"/>
      <c r="AN1507" s="313"/>
      <c r="AO1507" s="313"/>
      <c r="AP1507" s="313"/>
      <c r="AQ1507" s="314"/>
      <c r="AR1507" s="315" t="str">
        <f t="shared" si="56"/>
        <v/>
      </c>
      <c r="BH1507" s="321" t="str">
        <f t="shared" si="55"/>
        <v/>
      </c>
    </row>
    <row r="1508" spans="37:60" ht="30" hidden="1" customHeight="1" x14ac:dyDescent="0.25">
      <c r="AK1508" s="313"/>
      <c r="AL1508" s="313"/>
      <c r="AM1508" s="313"/>
      <c r="AN1508" s="313"/>
      <c r="AO1508" s="313"/>
      <c r="AP1508" s="313"/>
      <c r="AQ1508" s="314"/>
      <c r="AR1508" s="315" t="str">
        <f t="shared" si="56"/>
        <v/>
      </c>
      <c r="BH1508" s="321" t="str">
        <f t="shared" si="55"/>
        <v/>
      </c>
    </row>
    <row r="1509" spans="37:60" ht="30" hidden="1" customHeight="1" x14ac:dyDescent="0.25">
      <c r="AK1509" s="313"/>
      <c r="AL1509" s="313"/>
      <c r="AM1509" s="313"/>
      <c r="AN1509" s="313"/>
      <c r="AO1509" s="313"/>
      <c r="AP1509" s="313"/>
      <c r="AQ1509" s="314"/>
      <c r="AR1509" s="315" t="str">
        <f t="shared" si="56"/>
        <v/>
      </c>
      <c r="BH1509" s="321" t="str">
        <f t="shared" si="55"/>
        <v/>
      </c>
    </row>
    <row r="1510" spans="37:60" ht="30" hidden="1" customHeight="1" x14ac:dyDescent="0.25">
      <c r="AK1510" s="313"/>
      <c r="AL1510" s="313"/>
      <c r="AM1510" s="313"/>
      <c r="AN1510" s="313"/>
      <c r="AO1510" s="313"/>
      <c r="AP1510" s="313"/>
      <c r="AQ1510" s="314"/>
      <c r="AR1510" s="315" t="str">
        <f t="shared" si="56"/>
        <v/>
      </c>
      <c r="BH1510" s="321" t="str">
        <f t="shared" si="55"/>
        <v/>
      </c>
    </row>
    <row r="1511" spans="37:60" ht="30" hidden="1" customHeight="1" x14ac:dyDescent="0.25">
      <c r="AK1511" s="313"/>
      <c r="AL1511" s="313"/>
      <c r="AM1511" s="313"/>
      <c r="AN1511" s="313"/>
      <c r="AO1511" s="313"/>
      <c r="AP1511" s="313"/>
      <c r="AQ1511" s="314"/>
      <c r="AR1511" s="315" t="str">
        <f t="shared" si="56"/>
        <v/>
      </c>
      <c r="BH1511" s="321" t="str">
        <f t="shared" si="55"/>
        <v/>
      </c>
    </row>
    <row r="1512" spans="37:60" ht="30" hidden="1" customHeight="1" x14ac:dyDescent="0.25">
      <c r="AK1512" s="313"/>
      <c r="AL1512" s="313"/>
      <c r="AM1512" s="313"/>
      <c r="AN1512" s="313"/>
      <c r="AO1512" s="313"/>
      <c r="AP1512" s="313"/>
      <c r="AQ1512" s="314"/>
      <c r="AR1512" s="315" t="str">
        <f t="shared" si="56"/>
        <v/>
      </c>
      <c r="BH1512" s="321" t="str">
        <f t="shared" si="55"/>
        <v/>
      </c>
    </row>
    <row r="1513" spans="37:60" ht="30" hidden="1" customHeight="1" x14ac:dyDescent="0.25">
      <c r="AK1513" s="313"/>
      <c r="AL1513" s="313"/>
      <c r="AM1513" s="313"/>
      <c r="AN1513" s="313"/>
      <c r="AO1513" s="313"/>
      <c r="AP1513" s="313"/>
      <c r="AQ1513" s="314"/>
      <c r="AR1513" s="315" t="str">
        <f t="shared" si="56"/>
        <v/>
      </c>
      <c r="BH1513" s="321" t="str">
        <f t="shared" si="55"/>
        <v/>
      </c>
    </row>
    <row r="1514" spans="37:60" ht="30" hidden="1" customHeight="1" x14ac:dyDescent="0.25">
      <c r="AK1514" s="313"/>
      <c r="AL1514" s="313"/>
      <c r="AM1514" s="313"/>
      <c r="AN1514" s="313"/>
      <c r="AO1514" s="313"/>
      <c r="AP1514" s="313"/>
      <c r="AQ1514" s="314"/>
      <c r="AR1514" s="315" t="str">
        <f t="shared" si="56"/>
        <v/>
      </c>
      <c r="BH1514" s="321" t="str">
        <f t="shared" si="55"/>
        <v/>
      </c>
    </row>
    <row r="1515" spans="37:60" ht="30" hidden="1" customHeight="1" x14ac:dyDescent="0.25">
      <c r="AK1515" s="313"/>
      <c r="AL1515" s="313"/>
      <c r="AM1515" s="313"/>
      <c r="AN1515" s="313"/>
      <c r="AO1515" s="313"/>
      <c r="AP1515" s="313"/>
      <c r="AQ1515" s="314"/>
      <c r="AR1515" s="315" t="str">
        <f t="shared" si="56"/>
        <v/>
      </c>
      <c r="BH1515" s="321" t="str">
        <f t="shared" si="55"/>
        <v/>
      </c>
    </row>
    <row r="1516" spans="37:60" ht="30" hidden="1" customHeight="1" x14ac:dyDescent="0.25">
      <c r="AK1516" s="313"/>
      <c r="AL1516" s="313"/>
      <c r="AM1516" s="313"/>
      <c r="AN1516" s="313"/>
      <c r="AO1516" s="313"/>
      <c r="AP1516" s="313"/>
      <c r="AQ1516" s="314"/>
      <c r="AR1516" s="315" t="str">
        <f t="shared" si="56"/>
        <v/>
      </c>
      <c r="BH1516" s="321" t="str">
        <f t="shared" si="55"/>
        <v/>
      </c>
    </row>
    <row r="1517" spans="37:60" ht="30" hidden="1" customHeight="1" x14ac:dyDescent="0.25">
      <c r="AK1517" s="313"/>
      <c r="AL1517" s="313"/>
      <c r="AM1517" s="313"/>
      <c r="AN1517" s="313"/>
      <c r="AO1517" s="313"/>
      <c r="AP1517" s="313"/>
      <c r="AQ1517" s="314"/>
      <c r="AR1517" s="315" t="str">
        <f t="shared" si="56"/>
        <v/>
      </c>
      <c r="BH1517" s="321" t="str">
        <f t="shared" ref="BH1517:BH1580" si="57">IF(BD1517-KI1517=0,"",BD1517-AK1517)</f>
        <v/>
      </c>
    </row>
    <row r="1518" spans="37:60" ht="30" hidden="1" customHeight="1" x14ac:dyDescent="0.25">
      <c r="AK1518" s="313"/>
      <c r="AL1518" s="313"/>
      <c r="AM1518" s="313"/>
      <c r="AN1518" s="313"/>
      <c r="AO1518" s="313"/>
      <c r="AP1518" s="313"/>
      <c r="AQ1518" s="314"/>
      <c r="AR1518" s="315" t="str">
        <f t="shared" si="56"/>
        <v/>
      </c>
      <c r="BH1518" s="321" t="str">
        <f t="shared" si="57"/>
        <v/>
      </c>
    </row>
    <row r="1519" spans="37:60" ht="30" hidden="1" customHeight="1" x14ac:dyDescent="0.25">
      <c r="AK1519" s="313"/>
      <c r="AL1519" s="313"/>
      <c r="AM1519" s="313"/>
      <c r="AN1519" s="313"/>
      <c r="AO1519" s="313"/>
      <c r="AP1519" s="313"/>
      <c r="AQ1519" s="314"/>
      <c r="AR1519" s="315" t="str">
        <f t="shared" si="56"/>
        <v/>
      </c>
      <c r="BH1519" s="321" t="str">
        <f t="shared" si="57"/>
        <v/>
      </c>
    </row>
    <row r="1520" spans="37:60" ht="30" hidden="1" customHeight="1" x14ac:dyDescent="0.25">
      <c r="AK1520" s="313"/>
      <c r="AL1520" s="313"/>
      <c r="AM1520" s="313"/>
      <c r="AN1520" s="313"/>
      <c r="AO1520" s="313"/>
      <c r="AP1520" s="313"/>
      <c r="AQ1520" s="314"/>
      <c r="AR1520" s="315" t="str">
        <f t="shared" si="56"/>
        <v/>
      </c>
      <c r="BH1520" s="321" t="str">
        <f t="shared" si="57"/>
        <v/>
      </c>
    </row>
    <row r="1521" spans="37:60" ht="30" hidden="1" customHeight="1" x14ac:dyDescent="0.25">
      <c r="AK1521" s="313"/>
      <c r="AL1521" s="313"/>
      <c r="AM1521" s="313"/>
      <c r="AN1521" s="313"/>
      <c r="AO1521" s="313"/>
      <c r="AP1521" s="313"/>
      <c r="AQ1521" s="314"/>
      <c r="AR1521" s="315" t="str">
        <f t="shared" si="56"/>
        <v/>
      </c>
      <c r="BH1521" s="321" t="str">
        <f t="shared" si="57"/>
        <v/>
      </c>
    </row>
    <row r="1522" spans="37:60" ht="30" hidden="1" customHeight="1" x14ac:dyDescent="0.25">
      <c r="AK1522" s="313"/>
      <c r="AL1522" s="313"/>
      <c r="AM1522" s="313"/>
      <c r="AN1522" s="313"/>
      <c r="AO1522" s="313"/>
      <c r="AP1522" s="313"/>
      <c r="AQ1522" s="314"/>
      <c r="AR1522" s="315" t="str">
        <f t="shared" si="56"/>
        <v/>
      </c>
      <c r="BH1522" s="321" t="str">
        <f t="shared" si="57"/>
        <v/>
      </c>
    </row>
    <row r="1523" spans="37:60" ht="30" hidden="1" customHeight="1" x14ac:dyDescent="0.25">
      <c r="AK1523" s="313"/>
      <c r="AL1523" s="313"/>
      <c r="AM1523" s="313"/>
      <c r="AN1523" s="313"/>
      <c r="AO1523" s="313"/>
      <c r="AP1523" s="313"/>
      <c r="AQ1523" s="314"/>
      <c r="AR1523" s="315" t="str">
        <f t="shared" si="56"/>
        <v/>
      </c>
      <c r="BH1523" s="321" t="str">
        <f t="shared" si="57"/>
        <v/>
      </c>
    </row>
    <row r="1524" spans="37:60" ht="30" hidden="1" customHeight="1" x14ac:dyDescent="0.25">
      <c r="AK1524" s="313"/>
      <c r="AL1524" s="313"/>
      <c r="AM1524" s="313"/>
      <c r="AN1524" s="313"/>
      <c r="AO1524" s="313"/>
      <c r="AP1524" s="313"/>
      <c r="AQ1524" s="314"/>
      <c r="AR1524" s="315" t="str">
        <f t="shared" si="56"/>
        <v/>
      </c>
      <c r="BH1524" s="321" t="str">
        <f t="shared" si="57"/>
        <v/>
      </c>
    </row>
    <row r="1525" spans="37:60" ht="30" hidden="1" customHeight="1" x14ac:dyDescent="0.25">
      <c r="AK1525" s="313"/>
      <c r="AL1525" s="313"/>
      <c r="AM1525" s="313"/>
      <c r="AN1525" s="313"/>
      <c r="AO1525" s="313"/>
      <c r="AP1525" s="313"/>
      <c r="AQ1525" s="314"/>
      <c r="AR1525" s="315" t="str">
        <f t="shared" si="56"/>
        <v/>
      </c>
      <c r="BH1525" s="321" t="str">
        <f t="shared" si="57"/>
        <v/>
      </c>
    </row>
    <row r="1526" spans="37:60" ht="30" hidden="1" customHeight="1" x14ac:dyDescent="0.25">
      <c r="AK1526" s="313"/>
      <c r="AL1526" s="313"/>
      <c r="AM1526" s="313"/>
      <c r="AN1526" s="313"/>
      <c r="AO1526" s="313"/>
      <c r="AP1526" s="313"/>
      <c r="AQ1526" s="314"/>
      <c r="AR1526" s="315" t="str">
        <f t="shared" si="56"/>
        <v/>
      </c>
      <c r="BH1526" s="321" t="str">
        <f t="shared" si="57"/>
        <v/>
      </c>
    </row>
    <row r="1527" spans="37:60" ht="30" hidden="1" customHeight="1" x14ac:dyDescent="0.25">
      <c r="AK1527" s="313"/>
      <c r="AL1527" s="313"/>
      <c r="AM1527" s="313"/>
      <c r="AN1527" s="313"/>
      <c r="AO1527" s="313"/>
      <c r="AP1527" s="313"/>
      <c r="AQ1527" s="314"/>
      <c r="AR1527" s="315" t="str">
        <f t="shared" si="56"/>
        <v/>
      </c>
      <c r="BH1527" s="321" t="str">
        <f t="shared" si="57"/>
        <v/>
      </c>
    </row>
    <row r="1528" spans="37:60" ht="30" hidden="1" customHeight="1" x14ac:dyDescent="0.25">
      <c r="AK1528" s="313"/>
      <c r="AL1528" s="313"/>
      <c r="AM1528" s="313"/>
      <c r="AN1528" s="313"/>
      <c r="AO1528" s="313"/>
      <c r="AP1528" s="313"/>
      <c r="AQ1528" s="314"/>
      <c r="AR1528" s="315" t="str">
        <f t="shared" si="56"/>
        <v/>
      </c>
      <c r="BH1528" s="321" t="str">
        <f t="shared" si="57"/>
        <v/>
      </c>
    </row>
    <row r="1529" spans="37:60" ht="30" hidden="1" customHeight="1" x14ac:dyDescent="0.25">
      <c r="AK1529" s="313"/>
      <c r="AL1529" s="313"/>
      <c r="AM1529" s="313"/>
      <c r="AN1529" s="313"/>
      <c r="AO1529" s="313"/>
      <c r="AP1529" s="313"/>
      <c r="AQ1529" s="314"/>
      <c r="AR1529" s="315" t="str">
        <f t="shared" si="56"/>
        <v/>
      </c>
      <c r="BH1529" s="321" t="str">
        <f t="shared" si="57"/>
        <v/>
      </c>
    </row>
    <row r="1530" spans="37:60" ht="30" hidden="1" customHeight="1" x14ac:dyDescent="0.25">
      <c r="AK1530" s="313"/>
      <c r="AL1530" s="313"/>
      <c r="AM1530" s="313"/>
      <c r="AN1530" s="313"/>
      <c r="AO1530" s="313"/>
      <c r="AP1530" s="313"/>
      <c r="AQ1530" s="314"/>
      <c r="AR1530" s="315" t="str">
        <f t="shared" si="56"/>
        <v/>
      </c>
      <c r="BH1530" s="321" t="str">
        <f t="shared" si="57"/>
        <v/>
      </c>
    </row>
    <row r="1531" spans="37:60" ht="30" hidden="1" customHeight="1" x14ac:dyDescent="0.25">
      <c r="AK1531" s="313"/>
      <c r="AL1531" s="313"/>
      <c r="AM1531" s="313"/>
      <c r="AN1531" s="313"/>
      <c r="AO1531" s="313"/>
      <c r="AP1531" s="313"/>
      <c r="AQ1531" s="314"/>
      <c r="AR1531" s="315" t="str">
        <f t="shared" si="56"/>
        <v/>
      </c>
      <c r="BH1531" s="321" t="str">
        <f t="shared" si="57"/>
        <v/>
      </c>
    </row>
    <row r="1532" spans="37:60" ht="30" hidden="1" customHeight="1" x14ac:dyDescent="0.25">
      <c r="AK1532" s="313"/>
      <c r="AL1532" s="313"/>
      <c r="AM1532" s="313"/>
      <c r="AN1532" s="313"/>
      <c r="AO1532" s="313"/>
      <c r="AP1532" s="313"/>
      <c r="AQ1532" s="314"/>
      <c r="AR1532" s="315" t="str">
        <f t="shared" si="56"/>
        <v/>
      </c>
      <c r="BH1532" s="321" t="str">
        <f t="shared" si="57"/>
        <v/>
      </c>
    </row>
    <row r="1533" spans="37:60" ht="30" hidden="1" customHeight="1" x14ac:dyDescent="0.25">
      <c r="AK1533" s="313"/>
      <c r="AL1533" s="313"/>
      <c r="AM1533" s="313"/>
      <c r="AN1533" s="313"/>
      <c r="AO1533" s="313"/>
      <c r="AP1533" s="313"/>
      <c r="AQ1533" s="314"/>
      <c r="AR1533" s="315" t="str">
        <f t="shared" si="56"/>
        <v/>
      </c>
      <c r="BH1533" s="321" t="str">
        <f t="shared" si="57"/>
        <v/>
      </c>
    </row>
    <row r="1534" spans="37:60" ht="30" hidden="1" customHeight="1" x14ac:dyDescent="0.25">
      <c r="AK1534" s="313"/>
      <c r="AL1534" s="313"/>
      <c r="AM1534" s="313"/>
      <c r="AN1534" s="313"/>
      <c r="AO1534" s="313"/>
      <c r="AP1534" s="313"/>
      <c r="AQ1534" s="314"/>
      <c r="AR1534" s="315" t="str">
        <f t="shared" si="56"/>
        <v/>
      </c>
      <c r="BH1534" s="321" t="str">
        <f t="shared" si="57"/>
        <v/>
      </c>
    </row>
    <row r="1535" spans="37:60" ht="30" hidden="1" customHeight="1" x14ac:dyDescent="0.25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58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57"/>
        <v/>
      </c>
    </row>
    <row r="1536" spans="37:60" ht="30" hidden="1" customHeight="1" x14ac:dyDescent="0.25">
      <c r="AK1536" s="313"/>
      <c r="AL1536" s="313"/>
      <c r="AM1536" s="313"/>
      <c r="AN1536" s="313"/>
      <c r="AO1536" s="313"/>
      <c r="AP1536" s="313"/>
      <c r="AQ1536" s="314"/>
      <c r="AR1536" s="315" t="str">
        <f t="shared" si="58"/>
        <v/>
      </c>
      <c r="BH1536" s="321" t="str">
        <f t="shared" si="57"/>
        <v/>
      </c>
    </row>
    <row r="1537" spans="37:60" ht="30" hidden="1" customHeight="1" x14ac:dyDescent="0.25">
      <c r="AK1537" s="313"/>
      <c r="AL1537" s="313"/>
      <c r="AM1537" s="313"/>
      <c r="AN1537" s="313"/>
      <c r="AO1537" s="313"/>
      <c r="AP1537" s="313"/>
      <c r="AQ1537" s="314"/>
      <c r="AR1537" s="315" t="str">
        <f t="shared" si="58"/>
        <v/>
      </c>
      <c r="BH1537" s="321" t="str">
        <f t="shared" si="57"/>
        <v/>
      </c>
    </row>
    <row r="1538" spans="37:60" ht="30" hidden="1" customHeight="1" x14ac:dyDescent="0.25">
      <c r="AK1538" s="313"/>
      <c r="AL1538" s="313"/>
      <c r="AM1538" s="313"/>
      <c r="AN1538" s="313"/>
      <c r="AO1538" s="313"/>
      <c r="AP1538" s="313"/>
      <c r="AQ1538" s="314"/>
      <c r="AR1538" s="315" t="str">
        <f t="shared" si="58"/>
        <v/>
      </c>
      <c r="BH1538" s="321" t="str">
        <f t="shared" si="57"/>
        <v/>
      </c>
    </row>
    <row r="1539" spans="37:60" ht="30" hidden="1" customHeight="1" x14ac:dyDescent="0.25">
      <c r="AK1539" s="313"/>
      <c r="AL1539" s="313"/>
      <c r="AM1539" s="313"/>
      <c r="AN1539" s="313"/>
      <c r="AO1539" s="313"/>
      <c r="AP1539" s="313"/>
      <c r="AQ1539" s="314"/>
      <c r="AR1539" s="315" t="str">
        <f t="shared" si="58"/>
        <v/>
      </c>
      <c r="BH1539" s="321" t="str">
        <f t="shared" si="57"/>
        <v/>
      </c>
    </row>
    <row r="1540" spans="37:60" ht="30" hidden="1" customHeight="1" x14ac:dyDescent="0.25">
      <c r="AK1540" s="313"/>
      <c r="AL1540" s="313"/>
      <c r="AM1540" s="313"/>
      <c r="AN1540" s="313"/>
      <c r="AO1540" s="313"/>
      <c r="AP1540" s="313"/>
      <c r="AQ1540" s="314"/>
      <c r="AR1540" s="315" t="str">
        <f t="shared" si="58"/>
        <v/>
      </c>
      <c r="BH1540" s="321" t="str">
        <f t="shared" si="57"/>
        <v/>
      </c>
    </row>
    <row r="1541" spans="37:60" ht="30" hidden="1" customHeight="1" x14ac:dyDescent="0.25">
      <c r="AK1541" s="313"/>
      <c r="AL1541" s="313"/>
      <c r="AM1541" s="313"/>
      <c r="AN1541" s="313"/>
      <c r="AO1541" s="313"/>
      <c r="AP1541" s="313"/>
      <c r="AQ1541" s="314"/>
      <c r="AR1541" s="315" t="str">
        <f t="shared" si="58"/>
        <v/>
      </c>
      <c r="BH1541" s="321" t="str">
        <f t="shared" si="57"/>
        <v/>
      </c>
    </row>
    <row r="1542" spans="37:60" ht="30" hidden="1" customHeight="1" x14ac:dyDescent="0.25">
      <c r="AK1542" s="313"/>
      <c r="AL1542" s="313"/>
      <c r="AM1542" s="313"/>
      <c r="AN1542" s="313"/>
      <c r="AO1542" s="313"/>
      <c r="AP1542" s="313"/>
      <c r="AQ1542" s="314"/>
      <c r="AR1542" s="315" t="str">
        <f t="shared" si="58"/>
        <v/>
      </c>
      <c r="BH1542" s="321" t="str">
        <f t="shared" si="57"/>
        <v/>
      </c>
    </row>
    <row r="1543" spans="37:60" ht="30" hidden="1" customHeight="1" x14ac:dyDescent="0.25">
      <c r="AK1543" s="313"/>
      <c r="AL1543" s="313"/>
      <c r="AM1543" s="313"/>
      <c r="AN1543" s="313"/>
      <c r="AO1543" s="313"/>
      <c r="AP1543" s="313"/>
      <c r="AQ1543" s="314"/>
      <c r="AR1543" s="315" t="str">
        <f t="shared" si="58"/>
        <v/>
      </c>
      <c r="BH1543" s="321" t="str">
        <f t="shared" si="57"/>
        <v/>
      </c>
    </row>
    <row r="1544" spans="37:60" ht="30" hidden="1" customHeight="1" x14ac:dyDescent="0.25">
      <c r="AK1544" s="313"/>
      <c r="AL1544" s="313"/>
      <c r="AM1544" s="313"/>
      <c r="AN1544" s="313"/>
      <c r="AO1544" s="313"/>
      <c r="AP1544" s="313"/>
      <c r="AQ1544" s="314"/>
      <c r="AR1544" s="315" t="str">
        <f t="shared" si="58"/>
        <v/>
      </c>
      <c r="BH1544" s="321" t="str">
        <f t="shared" si="57"/>
        <v/>
      </c>
    </row>
    <row r="1545" spans="37:60" ht="30" hidden="1" customHeight="1" x14ac:dyDescent="0.25">
      <c r="AK1545" s="313"/>
      <c r="AL1545" s="313"/>
      <c r="AM1545" s="313"/>
      <c r="AN1545" s="313"/>
      <c r="AO1545" s="313"/>
      <c r="AP1545" s="313"/>
      <c r="AQ1545" s="314"/>
      <c r="AR1545" s="315" t="str">
        <f t="shared" si="58"/>
        <v/>
      </c>
      <c r="BH1545" s="321" t="str">
        <f t="shared" si="57"/>
        <v/>
      </c>
    </row>
    <row r="1546" spans="37:60" ht="30" hidden="1" customHeight="1" x14ac:dyDescent="0.25">
      <c r="AK1546" s="313"/>
      <c r="AL1546" s="313"/>
      <c r="AM1546" s="313"/>
      <c r="AN1546" s="313"/>
      <c r="AO1546" s="313"/>
      <c r="AP1546" s="313"/>
      <c r="AQ1546" s="314"/>
      <c r="AR1546" s="315" t="str">
        <f t="shared" si="58"/>
        <v/>
      </c>
      <c r="BH1546" s="321" t="str">
        <f t="shared" si="57"/>
        <v/>
      </c>
    </row>
    <row r="1547" spans="37:60" ht="30" hidden="1" customHeight="1" x14ac:dyDescent="0.25">
      <c r="AK1547" s="313"/>
      <c r="AL1547" s="313"/>
      <c r="AM1547" s="313"/>
      <c r="AN1547" s="313"/>
      <c r="AO1547" s="313"/>
      <c r="AP1547" s="313"/>
      <c r="AQ1547" s="314"/>
      <c r="AR1547" s="315" t="str">
        <f t="shared" si="58"/>
        <v/>
      </c>
      <c r="BH1547" s="321" t="str">
        <f t="shared" si="57"/>
        <v/>
      </c>
    </row>
    <row r="1548" spans="37:60" ht="30" hidden="1" customHeight="1" x14ac:dyDescent="0.25">
      <c r="AK1548" s="313"/>
      <c r="AL1548" s="313"/>
      <c r="AM1548" s="313"/>
      <c r="AN1548" s="313"/>
      <c r="AO1548" s="313"/>
      <c r="AP1548" s="313"/>
      <c r="AQ1548" s="314"/>
      <c r="AR1548" s="315" t="str">
        <f t="shared" si="58"/>
        <v/>
      </c>
      <c r="BH1548" s="321" t="str">
        <f t="shared" si="57"/>
        <v/>
      </c>
    </row>
    <row r="1549" spans="37:60" ht="30" hidden="1" customHeight="1" x14ac:dyDescent="0.25">
      <c r="AK1549" s="313"/>
      <c r="AL1549" s="313"/>
      <c r="AM1549" s="313"/>
      <c r="AN1549" s="313"/>
      <c r="AO1549" s="313"/>
      <c r="AP1549" s="313"/>
      <c r="AQ1549" s="314"/>
      <c r="AR1549" s="315" t="str">
        <f t="shared" si="58"/>
        <v/>
      </c>
      <c r="BH1549" s="321" t="str">
        <f t="shared" si="57"/>
        <v/>
      </c>
    </row>
    <row r="1550" spans="37:60" ht="30" hidden="1" customHeight="1" x14ac:dyDescent="0.25">
      <c r="AK1550" s="313"/>
      <c r="AL1550" s="313"/>
      <c r="AM1550" s="313"/>
      <c r="AN1550" s="313"/>
      <c r="AO1550" s="313"/>
      <c r="AP1550" s="313"/>
      <c r="AQ1550" s="314"/>
      <c r="AR1550" s="315" t="str">
        <f t="shared" si="58"/>
        <v/>
      </c>
      <c r="BH1550" s="321" t="str">
        <f t="shared" si="57"/>
        <v/>
      </c>
    </row>
    <row r="1551" spans="37:60" ht="30" hidden="1" customHeight="1" x14ac:dyDescent="0.25">
      <c r="AK1551" s="313"/>
      <c r="AL1551" s="313"/>
      <c r="AM1551" s="313"/>
      <c r="AN1551" s="313"/>
      <c r="AO1551" s="313"/>
      <c r="AP1551" s="313"/>
      <c r="AQ1551" s="314"/>
      <c r="AR1551" s="315" t="str">
        <f t="shared" si="58"/>
        <v/>
      </c>
      <c r="BH1551" s="321" t="str">
        <f t="shared" si="57"/>
        <v/>
      </c>
    </row>
    <row r="1552" spans="37:60" ht="30" hidden="1" customHeight="1" x14ac:dyDescent="0.25">
      <c r="AK1552" s="313"/>
      <c r="AL1552" s="313"/>
      <c r="AM1552" s="313"/>
      <c r="AN1552" s="313"/>
      <c r="AO1552" s="313"/>
      <c r="AP1552" s="313"/>
      <c r="AQ1552" s="314"/>
      <c r="AR1552" s="315" t="str">
        <f t="shared" si="58"/>
        <v/>
      </c>
      <c r="BH1552" s="321" t="str">
        <f t="shared" si="57"/>
        <v/>
      </c>
    </row>
    <row r="1553" spans="37:60" ht="30" hidden="1" customHeight="1" x14ac:dyDescent="0.25">
      <c r="AK1553" s="313"/>
      <c r="AL1553" s="313"/>
      <c r="AM1553" s="313"/>
      <c r="AN1553" s="313"/>
      <c r="AO1553" s="313"/>
      <c r="AP1553" s="313"/>
      <c r="AQ1553" s="314"/>
      <c r="AR1553" s="315" t="str">
        <f t="shared" si="58"/>
        <v/>
      </c>
      <c r="BH1553" s="321" t="str">
        <f t="shared" si="57"/>
        <v/>
      </c>
    </row>
    <row r="1554" spans="37:60" ht="30" hidden="1" customHeight="1" x14ac:dyDescent="0.25">
      <c r="AK1554" s="313"/>
      <c r="AL1554" s="313"/>
      <c r="AM1554" s="313"/>
      <c r="AN1554" s="313"/>
      <c r="AO1554" s="313"/>
      <c r="AP1554" s="313"/>
      <c r="AQ1554" s="314"/>
      <c r="AR1554" s="315" t="str">
        <f t="shared" si="58"/>
        <v/>
      </c>
      <c r="BH1554" s="321" t="str">
        <f t="shared" si="57"/>
        <v/>
      </c>
    </row>
    <row r="1555" spans="37:60" ht="30" hidden="1" customHeight="1" x14ac:dyDescent="0.25">
      <c r="AK1555" s="313"/>
      <c r="AL1555" s="313"/>
      <c r="AM1555" s="313"/>
      <c r="AN1555" s="313"/>
      <c r="AO1555" s="313"/>
      <c r="AP1555" s="313"/>
      <c r="AQ1555" s="314"/>
      <c r="AR1555" s="315" t="str">
        <f t="shared" si="58"/>
        <v/>
      </c>
      <c r="BH1555" s="321" t="str">
        <f t="shared" si="57"/>
        <v/>
      </c>
    </row>
    <row r="1556" spans="37:60" ht="30" hidden="1" customHeight="1" x14ac:dyDescent="0.25">
      <c r="AK1556" s="313"/>
      <c r="AL1556" s="313"/>
      <c r="AM1556" s="313"/>
      <c r="AN1556" s="313"/>
      <c r="AO1556" s="313"/>
      <c r="AP1556" s="313"/>
      <c r="AQ1556" s="314"/>
      <c r="AR1556" s="315" t="str">
        <f t="shared" si="58"/>
        <v/>
      </c>
      <c r="BH1556" s="321" t="str">
        <f t="shared" si="57"/>
        <v/>
      </c>
    </row>
    <row r="1557" spans="37:60" ht="30" hidden="1" customHeight="1" x14ac:dyDescent="0.25">
      <c r="AK1557" s="313"/>
      <c r="AL1557" s="313"/>
      <c r="AM1557" s="313"/>
      <c r="AN1557" s="313"/>
      <c r="AO1557" s="313"/>
      <c r="AP1557" s="313"/>
      <c r="AQ1557" s="314"/>
      <c r="AR1557" s="315" t="str">
        <f t="shared" si="58"/>
        <v/>
      </c>
      <c r="BH1557" s="321" t="str">
        <f t="shared" si="57"/>
        <v/>
      </c>
    </row>
    <row r="1558" spans="37:60" ht="30" hidden="1" customHeight="1" x14ac:dyDescent="0.25">
      <c r="AK1558" s="313"/>
      <c r="AL1558" s="313"/>
      <c r="AM1558" s="313"/>
      <c r="AN1558" s="313"/>
      <c r="AO1558" s="313"/>
      <c r="AP1558" s="313"/>
      <c r="AQ1558" s="314"/>
      <c r="AR1558" s="315" t="str">
        <f t="shared" si="58"/>
        <v/>
      </c>
      <c r="BH1558" s="321" t="str">
        <f t="shared" si="57"/>
        <v/>
      </c>
    </row>
    <row r="1559" spans="37:60" ht="30" hidden="1" customHeight="1" x14ac:dyDescent="0.25">
      <c r="AK1559" s="313"/>
      <c r="AL1559" s="313"/>
      <c r="AM1559" s="313"/>
      <c r="AN1559" s="313"/>
      <c r="AO1559" s="313"/>
      <c r="AP1559" s="313"/>
      <c r="AQ1559" s="314"/>
      <c r="AR1559" s="315" t="str">
        <f t="shared" si="58"/>
        <v/>
      </c>
      <c r="BH1559" s="321" t="str">
        <f t="shared" si="57"/>
        <v/>
      </c>
    </row>
    <row r="1560" spans="37:60" ht="30" hidden="1" customHeight="1" x14ac:dyDescent="0.25">
      <c r="AK1560" s="313"/>
      <c r="AL1560" s="313"/>
      <c r="AM1560" s="313"/>
      <c r="AN1560" s="313"/>
      <c r="AO1560" s="313"/>
      <c r="AP1560" s="313"/>
      <c r="AQ1560" s="314"/>
      <c r="AR1560" s="315" t="str">
        <f t="shared" si="58"/>
        <v/>
      </c>
      <c r="BH1560" s="321" t="str">
        <f t="shared" si="57"/>
        <v/>
      </c>
    </row>
    <row r="1561" spans="37:60" ht="30" hidden="1" customHeight="1" x14ac:dyDescent="0.25">
      <c r="AK1561" s="313"/>
      <c r="AL1561" s="313"/>
      <c r="AM1561" s="313"/>
      <c r="AN1561" s="313"/>
      <c r="AO1561" s="313"/>
      <c r="AP1561" s="313"/>
      <c r="AQ1561" s="314"/>
      <c r="AR1561" s="315" t="str">
        <f t="shared" si="58"/>
        <v/>
      </c>
      <c r="BH1561" s="321" t="str">
        <f t="shared" si="57"/>
        <v/>
      </c>
    </row>
    <row r="1562" spans="37:60" ht="30" hidden="1" customHeight="1" x14ac:dyDescent="0.25">
      <c r="AK1562" s="313"/>
      <c r="AL1562" s="313"/>
      <c r="AM1562" s="313"/>
      <c r="AN1562" s="313"/>
      <c r="AO1562" s="313"/>
      <c r="AP1562" s="313"/>
      <c r="AQ1562" s="314"/>
      <c r="AR1562" s="315" t="str">
        <f t="shared" si="58"/>
        <v/>
      </c>
      <c r="BH1562" s="321" t="str">
        <f t="shared" si="57"/>
        <v/>
      </c>
    </row>
    <row r="1563" spans="37:60" ht="30" hidden="1" customHeight="1" x14ac:dyDescent="0.25">
      <c r="AK1563" s="313"/>
      <c r="AL1563" s="313"/>
      <c r="AM1563" s="313"/>
      <c r="AN1563" s="313"/>
      <c r="AO1563" s="313"/>
      <c r="AP1563" s="313"/>
      <c r="AQ1563" s="314"/>
      <c r="AR1563" s="315" t="str">
        <f t="shared" si="58"/>
        <v/>
      </c>
      <c r="BH1563" s="321" t="str">
        <f t="shared" si="57"/>
        <v/>
      </c>
    </row>
    <row r="1564" spans="37:60" ht="30" hidden="1" customHeight="1" x14ac:dyDescent="0.25">
      <c r="AK1564" s="313"/>
      <c r="AL1564" s="313"/>
      <c r="AM1564" s="313"/>
      <c r="AN1564" s="313"/>
      <c r="AO1564" s="313"/>
      <c r="AP1564" s="313"/>
      <c r="AQ1564" s="314"/>
      <c r="AR1564" s="315" t="str">
        <f t="shared" si="58"/>
        <v/>
      </c>
      <c r="BH1564" s="321" t="str">
        <f t="shared" si="57"/>
        <v/>
      </c>
    </row>
    <row r="1565" spans="37:60" ht="30" hidden="1" customHeight="1" x14ac:dyDescent="0.25">
      <c r="AK1565" s="313"/>
      <c r="AL1565" s="313"/>
      <c r="AM1565" s="313"/>
      <c r="AN1565" s="313"/>
      <c r="AO1565" s="313"/>
      <c r="AP1565" s="313"/>
      <c r="AQ1565" s="314"/>
      <c r="AR1565" s="315" t="str">
        <f t="shared" si="58"/>
        <v/>
      </c>
      <c r="BH1565" s="321" t="str">
        <f t="shared" si="57"/>
        <v/>
      </c>
    </row>
    <row r="1566" spans="37:60" ht="30" hidden="1" customHeight="1" x14ac:dyDescent="0.25">
      <c r="AK1566" s="313"/>
      <c r="AL1566" s="313"/>
      <c r="AM1566" s="313"/>
      <c r="AN1566" s="313"/>
      <c r="AO1566" s="313"/>
      <c r="AP1566" s="313"/>
      <c r="AQ1566" s="314"/>
      <c r="AR1566" s="315" t="str">
        <f t="shared" si="58"/>
        <v/>
      </c>
      <c r="BH1566" s="321" t="str">
        <f t="shared" si="57"/>
        <v/>
      </c>
    </row>
    <row r="1567" spans="37:60" ht="30" hidden="1" customHeight="1" x14ac:dyDescent="0.25">
      <c r="AK1567" s="313"/>
      <c r="AL1567" s="313"/>
      <c r="AM1567" s="313"/>
      <c r="AN1567" s="313"/>
      <c r="AO1567" s="313"/>
      <c r="AP1567" s="313"/>
      <c r="AQ1567" s="314"/>
      <c r="AR1567" s="315" t="str">
        <f t="shared" si="58"/>
        <v/>
      </c>
      <c r="BH1567" s="321" t="str">
        <f t="shared" si="57"/>
        <v/>
      </c>
    </row>
    <row r="1568" spans="37:60" ht="30" hidden="1" customHeight="1" x14ac:dyDescent="0.25">
      <c r="AK1568" s="313"/>
      <c r="AL1568" s="313"/>
      <c r="AM1568" s="313"/>
      <c r="AN1568" s="313"/>
      <c r="AO1568" s="313"/>
      <c r="AP1568" s="313"/>
      <c r="AQ1568" s="314"/>
      <c r="AR1568" s="315" t="str">
        <f t="shared" si="58"/>
        <v/>
      </c>
      <c r="BH1568" s="321" t="str">
        <f t="shared" si="57"/>
        <v/>
      </c>
    </row>
    <row r="1569" spans="37:60" ht="30" hidden="1" customHeight="1" x14ac:dyDescent="0.25">
      <c r="AK1569" s="313"/>
      <c r="AL1569" s="313"/>
      <c r="AM1569" s="313"/>
      <c r="AN1569" s="313"/>
      <c r="AO1569" s="313"/>
      <c r="AP1569" s="313"/>
      <c r="AQ1569" s="314"/>
      <c r="AR1569" s="315" t="str">
        <f t="shared" si="58"/>
        <v/>
      </c>
      <c r="BH1569" s="321" t="str">
        <f t="shared" si="57"/>
        <v/>
      </c>
    </row>
    <row r="1570" spans="37:60" ht="30" hidden="1" customHeight="1" x14ac:dyDescent="0.25">
      <c r="AK1570" s="313"/>
      <c r="AL1570" s="313"/>
      <c r="AM1570" s="313"/>
      <c r="AN1570" s="313"/>
      <c r="AO1570" s="313"/>
      <c r="AP1570" s="313"/>
      <c r="AQ1570" s="314"/>
      <c r="AR1570" s="315" t="str">
        <f t="shared" si="58"/>
        <v/>
      </c>
      <c r="BH1570" s="321" t="str">
        <f t="shared" si="57"/>
        <v/>
      </c>
    </row>
    <row r="1571" spans="37:60" ht="30" hidden="1" customHeight="1" x14ac:dyDescent="0.25">
      <c r="AK1571" s="313"/>
      <c r="AL1571" s="313"/>
      <c r="AM1571" s="313"/>
      <c r="AN1571" s="313"/>
      <c r="AO1571" s="313"/>
      <c r="AP1571" s="313"/>
      <c r="AQ1571" s="314"/>
      <c r="AR1571" s="315" t="str">
        <f t="shared" si="58"/>
        <v/>
      </c>
      <c r="BH1571" s="321" t="str">
        <f t="shared" si="57"/>
        <v/>
      </c>
    </row>
    <row r="1572" spans="37:60" ht="30" hidden="1" customHeight="1" x14ac:dyDescent="0.25">
      <c r="AK1572" s="313"/>
      <c r="AL1572" s="313"/>
      <c r="AM1572" s="313"/>
      <c r="AN1572" s="313"/>
      <c r="AO1572" s="313"/>
      <c r="AP1572" s="313"/>
      <c r="AQ1572" s="314"/>
      <c r="AR1572" s="315" t="str">
        <f t="shared" si="58"/>
        <v/>
      </c>
      <c r="BH1572" s="321" t="str">
        <f t="shared" si="57"/>
        <v/>
      </c>
    </row>
    <row r="1573" spans="37:60" ht="30" hidden="1" customHeight="1" x14ac:dyDescent="0.25">
      <c r="AK1573" s="313"/>
      <c r="AL1573" s="313"/>
      <c r="AM1573" s="313"/>
      <c r="AN1573" s="313"/>
      <c r="AO1573" s="313"/>
      <c r="AP1573" s="313"/>
      <c r="AQ1573" s="314"/>
      <c r="AR1573" s="315" t="str">
        <f t="shared" si="58"/>
        <v/>
      </c>
      <c r="BH1573" s="321" t="str">
        <f t="shared" si="57"/>
        <v/>
      </c>
    </row>
    <row r="1574" spans="37:60" ht="30" hidden="1" customHeight="1" x14ac:dyDescent="0.25">
      <c r="AK1574" s="313"/>
      <c r="AL1574" s="313"/>
      <c r="AM1574" s="313"/>
      <c r="AN1574" s="313"/>
      <c r="AO1574" s="313"/>
      <c r="AP1574" s="313"/>
      <c r="AQ1574" s="314"/>
      <c r="AR1574" s="315" t="str">
        <f t="shared" si="58"/>
        <v/>
      </c>
      <c r="BH1574" s="321" t="str">
        <f t="shared" si="57"/>
        <v/>
      </c>
    </row>
    <row r="1575" spans="37:60" ht="30" hidden="1" customHeight="1" x14ac:dyDescent="0.25">
      <c r="AK1575" s="313"/>
      <c r="AL1575" s="313"/>
      <c r="AM1575" s="313"/>
      <c r="AN1575" s="313"/>
      <c r="AO1575" s="313"/>
      <c r="AP1575" s="313"/>
      <c r="AQ1575" s="314"/>
      <c r="AR1575" s="315" t="str">
        <f t="shared" si="58"/>
        <v/>
      </c>
      <c r="BH1575" s="321" t="str">
        <f t="shared" si="57"/>
        <v/>
      </c>
    </row>
    <row r="1576" spans="37:60" ht="30" hidden="1" customHeight="1" x14ac:dyDescent="0.25">
      <c r="AK1576" s="313"/>
      <c r="AL1576" s="313"/>
      <c r="AM1576" s="313"/>
      <c r="AN1576" s="313"/>
      <c r="AO1576" s="313"/>
      <c r="AP1576" s="313"/>
      <c r="AQ1576" s="314"/>
      <c r="AR1576" s="315" t="str">
        <f t="shared" si="58"/>
        <v/>
      </c>
      <c r="BH1576" s="321" t="str">
        <f t="shared" si="57"/>
        <v/>
      </c>
    </row>
    <row r="1577" spans="37:60" ht="30" hidden="1" customHeight="1" x14ac:dyDescent="0.25">
      <c r="AK1577" s="313"/>
      <c r="AL1577" s="313"/>
      <c r="AM1577" s="313"/>
      <c r="AN1577" s="313"/>
      <c r="AO1577" s="313"/>
      <c r="AP1577" s="313"/>
      <c r="AQ1577" s="314"/>
      <c r="AR1577" s="315" t="str">
        <f t="shared" si="58"/>
        <v/>
      </c>
      <c r="BH1577" s="321" t="str">
        <f t="shared" si="57"/>
        <v/>
      </c>
    </row>
    <row r="1578" spans="37:60" ht="30" hidden="1" customHeight="1" x14ac:dyDescent="0.25">
      <c r="AK1578" s="313"/>
      <c r="AL1578" s="313"/>
      <c r="AM1578" s="313"/>
      <c r="AN1578" s="313"/>
      <c r="AO1578" s="313"/>
      <c r="AP1578" s="313"/>
      <c r="AQ1578" s="314"/>
      <c r="AR1578" s="315" t="str">
        <f t="shared" si="58"/>
        <v/>
      </c>
      <c r="BH1578" s="321" t="str">
        <f t="shared" si="57"/>
        <v/>
      </c>
    </row>
    <row r="1579" spans="37:60" ht="30" hidden="1" customHeight="1" x14ac:dyDescent="0.25">
      <c r="AK1579" s="313"/>
      <c r="AL1579" s="313"/>
      <c r="AM1579" s="313"/>
      <c r="AN1579" s="313"/>
      <c r="AO1579" s="313"/>
      <c r="AP1579" s="313"/>
      <c r="AQ1579" s="314"/>
      <c r="AR1579" s="315" t="str">
        <f t="shared" si="58"/>
        <v/>
      </c>
      <c r="BH1579" s="321" t="str">
        <f t="shared" si="57"/>
        <v/>
      </c>
    </row>
    <row r="1580" spans="37:60" ht="30" hidden="1" customHeight="1" x14ac:dyDescent="0.25">
      <c r="AK1580" s="313"/>
      <c r="AL1580" s="313"/>
      <c r="AM1580" s="313"/>
      <c r="AN1580" s="313"/>
      <c r="AO1580" s="313"/>
      <c r="AP1580" s="313"/>
      <c r="AQ1580" s="314"/>
      <c r="AR1580" s="315" t="str">
        <f t="shared" si="58"/>
        <v/>
      </c>
      <c r="BH1580" s="321" t="str">
        <f t="shared" si="57"/>
        <v/>
      </c>
    </row>
    <row r="1581" spans="37:60" ht="30" hidden="1" customHeight="1" x14ac:dyDescent="0.25">
      <c r="AK1581" s="313"/>
      <c r="AL1581" s="313"/>
      <c r="AM1581" s="313"/>
      <c r="AN1581" s="313"/>
      <c r="AO1581" s="313"/>
      <c r="AP1581" s="313"/>
      <c r="AQ1581" s="314"/>
      <c r="AR1581" s="315" t="str">
        <f t="shared" si="58"/>
        <v/>
      </c>
      <c r="BH1581" s="321" t="str">
        <f t="shared" ref="BH1581:BH1644" si="59">IF(BD1581-KI1581=0,"",BD1581-AK1581)</f>
        <v/>
      </c>
    </row>
    <row r="1582" spans="37:60" ht="30" hidden="1" customHeight="1" x14ac:dyDescent="0.25">
      <c r="AK1582" s="313"/>
      <c r="AL1582" s="313"/>
      <c r="AM1582" s="313"/>
      <c r="AN1582" s="313"/>
      <c r="AO1582" s="313"/>
      <c r="AP1582" s="313"/>
      <c r="AQ1582" s="314"/>
      <c r="AR1582" s="315" t="str">
        <f t="shared" si="58"/>
        <v/>
      </c>
      <c r="BH1582" s="321" t="str">
        <f t="shared" si="59"/>
        <v/>
      </c>
    </row>
    <row r="1583" spans="37:60" ht="30" hidden="1" customHeight="1" x14ac:dyDescent="0.25">
      <c r="AK1583" s="313"/>
      <c r="AL1583" s="313"/>
      <c r="AM1583" s="313"/>
      <c r="AN1583" s="313"/>
      <c r="AO1583" s="313"/>
      <c r="AP1583" s="313"/>
      <c r="AQ1583" s="314"/>
      <c r="AR1583" s="315" t="str">
        <f t="shared" si="58"/>
        <v/>
      </c>
      <c r="BH1583" s="321" t="str">
        <f t="shared" si="59"/>
        <v/>
      </c>
    </row>
    <row r="1584" spans="37:60" ht="30" hidden="1" customHeight="1" x14ac:dyDescent="0.25">
      <c r="AK1584" s="313"/>
      <c r="AL1584" s="313"/>
      <c r="AM1584" s="313"/>
      <c r="AN1584" s="313"/>
      <c r="AO1584" s="313"/>
      <c r="AP1584" s="313"/>
      <c r="AQ1584" s="314"/>
      <c r="AR1584" s="315" t="str">
        <f t="shared" si="58"/>
        <v/>
      </c>
      <c r="BH1584" s="321" t="str">
        <f t="shared" si="59"/>
        <v/>
      </c>
    </row>
    <row r="1585" spans="37:60" ht="30" hidden="1" customHeight="1" x14ac:dyDescent="0.25">
      <c r="AK1585" s="313"/>
      <c r="AL1585" s="313"/>
      <c r="AM1585" s="313"/>
      <c r="AN1585" s="313"/>
      <c r="AO1585" s="313"/>
      <c r="AP1585" s="313"/>
      <c r="AQ1585" s="314"/>
      <c r="AR1585" s="315" t="str">
        <f t="shared" si="58"/>
        <v/>
      </c>
      <c r="BH1585" s="321" t="str">
        <f t="shared" si="59"/>
        <v/>
      </c>
    </row>
    <row r="1586" spans="37:60" ht="30" hidden="1" customHeight="1" x14ac:dyDescent="0.25">
      <c r="AK1586" s="313"/>
      <c r="AL1586" s="313"/>
      <c r="AM1586" s="313"/>
      <c r="AN1586" s="313"/>
      <c r="AO1586" s="313"/>
      <c r="AP1586" s="313"/>
      <c r="AQ1586" s="314"/>
      <c r="AR1586" s="315" t="str">
        <f t="shared" si="58"/>
        <v/>
      </c>
      <c r="BH1586" s="321" t="str">
        <f t="shared" si="59"/>
        <v/>
      </c>
    </row>
    <row r="1587" spans="37:60" ht="30" hidden="1" customHeight="1" x14ac:dyDescent="0.25">
      <c r="AK1587" s="313"/>
      <c r="AL1587" s="313"/>
      <c r="AM1587" s="313"/>
      <c r="AN1587" s="313"/>
      <c r="AO1587" s="313"/>
      <c r="AP1587" s="313"/>
      <c r="AQ1587" s="314"/>
      <c r="AR1587" s="315" t="str">
        <f t="shared" si="58"/>
        <v/>
      </c>
      <c r="BH1587" s="321" t="str">
        <f t="shared" si="59"/>
        <v/>
      </c>
    </row>
    <row r="1588" spans="37:60" ht="30" hidden="1" customHeight="1" x14ac:dyDescent="0.25">
      <c r="AK1588" s="313"/>
      <c r="AL1588" s="313"/>
      <c r="AM1588" s="313"/>
      <c r="AN1588" s="313"/>
      <c r="AO1588" s="313"/>
      <c r="AP1588" s="313"/>
      <c r="AQ1588" s="314"/>
      <c r="AR1588" s="315" t="str">
        <f t="shared" si="58"/>
        <v/>
      </c>
      <c r="BH1588" s="321" t="str">
        <f t="shared" si="59"/>
        <v/>
      </c>
    </row>
    <row r="1589" spans="37:60" ht="30" hidden="1" customHeight="1" x14ac:dyDescent="0.25">
      <c r="AK1589" s="313"/>
      <c r="AL1589" s="313"/>
      <c r="AM1589" s="313"/>
      <c r="AN1589" s="313"/>
      <c r="AO1589" s="313"/>
      <c r="AP1589" s="313"/>
      <c r="AQ1589" s="314"/>
      <c r="AR1589" s="315" t="str">
        <f t="shared" si="58"/>
        <v/>
      </c>
      <c r="BH1589" s="321" t="str">
        <f t="shared" si="59"/>
        <v/>
      </c>
    </row>
    <row r="1590" spans="37:60" ht="30" hidden="1" customHeight="1" x14ac:dyDescent="0.25">
      <c r="AK1590" s="313"/>
      <c r="AL1590" s="313"/>
      <c r="AM1590" s="313"/>
      <c r="AN1590" s="313"/>
      <c r="AO1590" s="313"/>
      <c r="AP1590" s="313"/>
      <c r="AQ1590" s="314"/>
      <c r="AR1590" s="315" t="str">
        <f t="shared" si="58"/>
        <v/>
      </c>
      <c r="BH1590" s="321" t="str">
        <f t="shared" si="59"/>
        <v/>
      </c>
    </row>
    <row r="1591" spans="37:60" ht="30" hidden="1" customHeight="1" x14ac:dyDescent="0.25">
      <c r="AK1591" s="313"/>
      <c r="AL1591" s="313"/>
      <c r="AM1591" s="313"/>
      <c r="AN1591" s="313"/>
      <c r="AO1591" s="313"/>
      <c r="AP1591" s="313"/>
      <c r="AQ1591" s="314"/>
      <c r="AR1591" s="315" t="str">
        <f t="shared" si="58"/>
        <v/>
      </c>
      <c r="BH1591" s="321" t="str">
        <f t="shared" si="59"/>
        <v/>
      </c>
    </row>
    <row r="1592" spans="37:60" ht="30" hidden="1" customHeight="1" x14ac:dyDescent="0.25">
      <c r="AK1592" s="313"/>
      <c r="AL1592" s="313"/>
      <c r="AM1592" s="313"/>
      <c r="AN1592" s="313"/>
      <c r="AO1592" s="313"/>
      <c r="AP1592" s="313"/>
      <c r="AQ1592" s="314"/>
      <c r="AR1592" s="315" t="str">
        <f t="shared" si="58"/>
        <v/>
      </c>
      <c r="BH1592" s="321" t="str">
        <f t="shared" si="59"/>
        <v/>
      </c>
    </row>
    <row r="1593" spans="37:60" ht="30" hidden="1" customHeight="1" x14ac:dyDescent="0.25">
      <c r="AK1593" s="313"/>
      <c r="AL1593" s="313"/>
      <c r="AM1593" s="313"/>
      <c r="AN1593" s="313"/>
      <c r="AO1593" s="313"/>
      <c r="AP1593" s="313"/>
      <c r="AQ1593" s="314"/>
      <c r="AR1593" s="315" t="str">
        <f t="shared" si="58"/>
        <v/>
      </c>
      <c r="BH1593" s="321" t="str">
        <f t="shared" si="59"/>
        <v/>
      </c>
    </row>
    <row r="1594" spans="37:60" ht="30" hidden="1" customHeight="1" x14ac:dyDescent="0.25">
      <c r="AK1594" s="313"/>
      <c r="AL1594" s="313"/>
      <c r="AM1594" s="313"/>
      <c r="AN1594" s="313"/>
      <c r="AO1594" s="313"/>
      <c r="AP1594" s="313"/>
      <c r="AQ1594" s="314"/>
      <c r="AR1594" s="315" t="str">
        <f t="shared" si="58"/>
        <v/>
      </c>
      <c r="BH1594" s="321" t="str">
        <f t="shared" si="59"/>
        <v/>
      </c>
    </row>
    <row r="1595" spans="37:60" ht="30" hidden="1" customHeight="1" x14ac:dyDescent="0.25">
      <c r="AK1595" s="313"/>
      <c r="AL1595" s="313"/>
      <c r="AM1595" s="313"/>
      <c r="AN1595" s="313"/>
      <c r="AO1595" s="313"/>
      <c r="AP1595" s="313"/>
      <c r="AQ1595" s="314"/>
      <c r="AR1595" s="315" t="str">
        <f t="shared" si="58"/>
        <v/>
      </c>
      <c r="BH1595" s="321" t="str">
        <f t="shared" si="59"/>
        <v/>
      </c>
    </row>
    <row r="1596" spans="37:60" ht="30" hidden="1" customHeight="1" x14ac:dyDescent="0.25">
      <c r="AK1596" s="313"/>
      <c r="AL1596" s="313"/>
      <c r="AM1596" s="313"/>
      <c r="AN1596" s="313"/>
      <c r="AO1596" s="313"/>
      <c r="AP1596" s="313"/>
      <c r="AQ1596" s="314"/>
      <c r="AR1596" s="315" t="str">
        <f t="shared" si="58"/>
        <v/>
      </c>
      <c r="BH1596" s="321" t="str">
        <f t="shared" si="59"/>
        <v/>
      </c>
    </row>
    <row r="1597" spans="37:60" ht="30" hidden="1" customHeight="1" x14ac:dyDescent="0.25">
      <c r="AK1597" s="313"/>
      <c r="AL1597" s="313"/>
      <c r="AM1597" s="313"/>
      <c r="AN1597" s="313"/>
      <c r="AO1597" s="313"/>
      <c r="AP1597" s="313"/>
      <c r="AQ1597" s="314"/>
      <c r="AR1597" s="315" t="str">
        <f t="shared" si="58"/>
        <v/>
      </c>
      <c r="BH1597" s="321" t="str">
        <f t="shared" si="59"/>
        <v/>
      </c>
    </row>
    <row r="1598" spans="37:60" ht="30" hidden="1" customHeight="1" x14ac:dyDescent="0.25">
      <c r="AK1598" s="313"/>
      <c r="AL1598" s="313"/>
      <c r="AM1598" s="313"/>
      <c r="AN1598" s="313"/>
      <c r="AO1598" s="313"/>
      <c r="AP1598" s="313"/>
      <c r="AQ1598" s="314"/>
      <c r="AR1598" s="315" t="str">
        <f t="shared" si="58"/>
        <v/>
      </c>
      <c r="BH1598" s="321" t="str">
        <f t="shared" si="59"/>
        <v/>
      </c>
    </row>
    <row r="1599" spans="37:60" ht="30" hidden="1" customHeight="1" x14ac:dyDescent="0.25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60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59"/>
        <v/>
      </c>
    </row>
    <row r="1600" spans="37:60" ht="30" hidden="1" customHeight="1" x14ac:dyDescent="0.25">
      <c r="AK1600" s="313"/>
      <c r="AL1600" s="313"/>
      <c r="AM1600" s="313"/>
      <c r="AN1600" s="313"/>
      <c r="AO1600" s="313"/>
      <c r="AP1600" s="313"/>
      <c r="AQ1600" s="314"/>
      <c r="AR1600" s="315" t="str">
        <f t="shared" si="60"/>
        <v/>
      </c>
      <c r="BH1600" s="321" t="str">
        <f t="shared" si="59"/>
        <v/>
      </c>
    </row>
    <row r="1601" spans="37:60" ht="30" hidden="1" customHeight="1" x14ac:dyDescent="0.25">
      <c r="AK1601" s="313"/>
      <c r="AL1601" s="313"/>
      <c r="AM1601" s="313"/>
      <c r="AN1601" s="313"/>
      <c r="AO1601" s="313"/>
      <c r="AP1601" s="313"/>
      <c r="AQ1601" s="314"/>
      <c r="AR1601" s="315" t="str">
        <f t="shared" si="60"/>
        <v/>
      </c>
      <c r="BH1601" s="321" t="str">
        <f t="shared" si="59"/>
        <v/>
      </c>
    </row>
    <row r="1602" spans="37:60" ht="30" hidden="1" customHeight="1" x14ac:dyDescent="0.25">
      <c r="AK1602" s="313"/>
      <c r="AL1602" s="313"/>
      <c r="AM1602" s="313"/>
      <c r="AN1602" s="313"/>
      <c r="AO1602" s="313"/>
      <c r="AP1602" s="313"/>
      <c r="AQ1602" s="314"/>
      <c r="AR1602" s="315" t="str">
        <f t="shared" si="60"/>
        <v/>
      </c>
      <c r="BH1602" s="321" t="str">
        <f t="shared" si="59"/>
        <v/>
      </c>
    </row>
    <row r="1603" spans="37:60" ht="30" hidden="1" customHeight="1" x14ac:dyDescent="0.25">
      <c r="AK1603" s="313"/>
      <c r="AL1603" s="313"/>
      <c r="AM1603" s="313"/>
      <c r="AN1603" s="313"/>
      <c r="AO1603" s="313"/>
      <c r="AP1603" s="313"/>
      <c r="AQ1603" s="314"/>
      <c r="AR1603" s="315" t="str">
        <f t="shared" si="60"/>
        <v/>
      </c>
      <c r="BH1603" s="321" t="str">
        <f t="shared" si="59"/>
        <v/>
      </c>
    </row>
    <row r="1604" spans="37:60" ht="30" hidden="1" customHeight="1" x14ac:dyDescent="0.25">
      <c r="AK1604" s="313"/>
      <c r="AL1604" s="313"/>
      <c r="AM1604" s="313"/>
      <c r="AN1604" s="313"/>
      <c r="AO1604" s="313"/>
      <c r="AP1604" s="313"/>
      <c r="AQ1604" s="314"/>
      <c r="AR1604" s="315" t="str">
        <f t="shared" si="60"/>
        <v/>
      </c>
      <c r="BH1604" s="321" t="str">
        <f t="shared" si="59"/>
        <v/>
      </c>
    </row>
    <row r="1605" spans="37:60" ht="30" hidden="1" customHeight="1" x14ac:dyDescent="0.25">
      <c r="AK1605" s="313"/>
      <c r="AL1605" s="313"/>
      <c r="AM1605" s="313"/>
      <c r="AN1605" s="313"/>
      <c r="AO1605" s="313"/>
      <c r="AP1605" s="313"/>
      <c r="AQ1605" s="314"/>
      <c r="AR1605" s="315" t="str">
        <f t="shared" si="60"/>
        <v/>
      </c>
      <c r="BH1605" s="321" t="str">
        <f t="shared" si="59"/>
        <v/>
      </c>
    </row>
    <row r="1606" spans="37:60" ht="30" hidden="1" customHeight="1" x14ac:dyDescent="0.25">
      <c r="AK1606" s="313"/>
      <c r="AL1606" s="313"/>
      <c r="AM1606" s="313"/>
      <c r="AN1606" s="313"/>
      <c r="AO1606" s="313"/>
      <c r="AP1606" s="313"/>
      <c r="AQ1606" s="314"/>
      <c r="AR1606" s="315" t="str">
        <f t="shared" si="60"/>
        <v/>
      </c>
      <c r="BH1606" s="321" t="str">
        <f t="shared" si="59"/>
        <v/>
      </c>
    </row>
    <row r="1607" spans="37:60" ht="30" hidden="1" customHeight="1" x14ac:dyDescent="0.25">
      <c r="AK1607" s="313"/>
      <c r="AL1607" s="313"/>
      <c r="AM1607" s="313"/>
      <c r="AN1607" s="313"/>
      <c r="AO1607" s="313"/>
      <c r="AP1607" s="313"/>
      <c r="AQ1607" s="314"/>
      <c r="AR1607" s="315" t="str">
        <f t="shared" si="60"/>
        <v/>
      </c>
      <c r="BH1607" s="321" t="str">
        <f t="shared" si="59"/>
        <v/>
      </c>
    </row>
    <row r="1608" spans="37:60" ht="30" hidden="1" customHeight="1" x14ac:dyDescent="0.25">
      <c r="AK1608" s="313"/>
      <c r="AL1608" s="313"/>
      <c r="AM1608" s="313"/>
      <c r="AN1608" s="313"/>
      <c r="AO1608" s="313"/>
      <c r="AP1608" s="313"/>
      <c r="AQ1608" s="314"/>
      <c r="AR1608" s="315" t="str">
        <f t="shared" si="60"/>
        <v/>
      </c>
      <c r="BH1608" s="321" t="str">
        <f t="shared" si="59"/>
        <v/>
      </c>
    </row>
    <row r="1609" spans="37:60" ht="30" hidden="1" customHeight="1" x14ac:dyDescent="0.25">
      <c r="AK1609" s="313"/>
      <c r="AL1609" s="313"/>
      <c r="AM1609" s="313"/>
      <c r="AN1609" s="313"/>
      <c r="AO1609" s="313"/>
      <c r="AP1609" s="313"/>
      <c r="AQ1609" s="314"/>
      <c r="AR1609" s="315" t="str">
        <f t="shared" si="60"/>
        <v/>
      </c>
      <c r="BH1609" s="321" t="str">
        <f t="shared" si="59"/>
        <v/>
      </c>
    </row>
    <row r="1610" spans="37:60" ht="30" hidden="1" customHeight="1" x14ac:dyDescent="0.25">
      <c r="AK1610" s="313"/>
      <c r="AL1610" s="313"/>
      <c r="AM1610" s="313"/>
      <c r="AN1610" s="313"/>
      <c r="AO1610" s="313"/>
      <c r="AP1610" s="313"/>
      <c r="AQ1610" s="314"/>
      <c r="AR1610" s="315" t="str">
        <f t="shared" si="60"/>
        <v/>
      </c>
      <c r="BH1610" s="321" t="str">
        <f t="shared" si="59"/>
        <v/>
      </c>
    </row>
    <row r="1611" spans="37:60" ht="30" hidden="1" customHeight="1" x14ac:dyDescent="0.25">
      <c r="AK1611" s="313"/>
      <c r="AL1611" s="313"/>
      <c r="AM1611" s="313"/>
      <c r="AN1611" s="313"/>
      <c r="AO1611" s="313"/>
      <c r="AP1611" s="313"/>
      <c r="AQ1611" s="314"/>
      <c r="AR1611" s="315" t="str">
        <f t="shared" si="60"/>
        <v/>
      </c>
      <c r="BH1611" s="321" t="str">
        <f t="shared" si="59"/>
        <v/>
      </c>
    </row>
    <row r="1612" spans="37:60" ht="30" hidden="1" customHeight="1" x14ac:dyDescent="0.25">
      <c r="AK1612" s="313"/>
      <c r="AL1612" s="313"/>
      <c r="AM1612" s="313"/>
      <c r="AN1612" s="313"/>
      <c r="AO1612" s="313"/>
      <c r="AP1612" s="313"/>
      <c r="AQ1612" s="314"/>
      <c r="AR1612" s="315" t="str">
        <f t="shared" si="60"/>
        <v/>
      </c>
      <c r="BH1612" s="321" t="str">
        <f t="shared" si="59"/>
        <v/>
      </c>
    </row>
    <row r="1613" spans="37:60" ht="30" hidden="1" customHeight="1" x14ac:dyDescent="0.25">
      <c r="AK1613" s="313"/>
      <c r="AL1613" s="313"/>
      <c r="AM1613" s="313"/>
      <c r="AN1613" s="313"/>
      <c r="AO1613" s="313"/>
      <c r="AP1613" s="313"/>
      <c r="AQ1613" s="314"/>
      <c r="AR1613" s="315" t="str">
        <f t="shared" si="60"/>
        <v/>
      </c>
      <c r="BH1613" s="321" t="str">
        <f t="shared" si="59"/>
        <v/>
      </c>
    </row>
    <row r="1614" spans="37:60" ht="30" hidden="1" customHeight="1" x14ac:dyDescent="0.25">
      <c r="AK1614" s="313"/>
      <c r="AL1614" s="313"/>
      <c r="AM1614" s="313"/>
      <c r="AN1614" s="313"/>
      <c r="AO1614" s="313"/>
      <c r="AP1614" s="313"/>
      <c r="AQ1614" s="314"/>
      <c r="AR1614" s="315" t="str">
        <f t="shared" si="60"/>
        <v/>
      </c>
      <c r="BH1614" s="321" t="str">
        <f t="shared" si="59"/>
        <v/>
      </c>
    </row>
    <row r="1615" spans="37:60" ht="30" hidden="1" customHeight="1" x14ac:dyDescent="0.25">
      <c r="AK1615" s="313"/>
      <c r="AL1615" s="313"/>
      <c r="AM1615" s="313"/>
      <c r="AN1615" s="313"/>
      <c r="AO1615" s="313"/>
      <c r="AP1615" s="313"/>
      <c r="AQ1615" s="314"/>
      <c r="AR1615" s="315" t="str">
        <f t="shared" si="60"/>
        <v/>
      </c>
      <c r="BH1615" s="321" t="str">
        <f t="shared" si="59"/>
        <v/>
      </c>
    </row>
    <row r="1616" spans="37:60" ht="30" hidden="1" customHeight="1" x14ac:dyDescent="0.25">
      <c r="AK1616" s="313"/>
      <c r="AL1616" s="313"/>
      <c r="AM1616" s="313"/>
      <c r="AN1616" s="313"/>
      <c r="AO1616" s="313"/>
      <c r="AP1616" s="313"/>
      <c r="AQ1616" s="314"/>
      <c r="AR1616" s="315" t="str">
        <f t="shared" si="60"/>
        <v/>
      </c>
      <c r="BH1616" s="321" t="str">
        <f t="shared" si="59"/>
        <v/>
      </c>
    </row>
    <row r="1617" spans="37:60" ht="30" hidden="1" customHeight="1" x14ac:dyDescent="0.25">
      <c r="AK1617" s="313"/>
      <c r="AL1617" s="313"/>
      <c r="AM1617" s="313"/>
      <c r="AN1617" s="313"/>
      <c r="AO1617" s="313"/>
      <c r="AP1617" s="313"/>
      <c r="AQ1617" s="314"/>
      <c r="AR1617" s="315" t="str">
        <f t="shared" si="60"/>
        <v/>
      </c>
      <c r="BH1617" s="321" t="str">
        <f t="shared" si="59"/>
        <v/>
      </c>
    </row>
    <row r="1618" spans="37:60" ht="30" hidden="1" customHeight="1" x14ac:dyDescent="0.25">
      <c r="AK1618" s="313"/>
      <c r="AL1618" s="313"/>
      <c r="AM1618" s="313"/>
      <c r="AN1618" s="313"/>
      <c r="AO1618" s="313"/>
      <c r="AP1618" s="313"/>
      <c r="AQ1618" s="314"/>
      <c r="AR1618" s="315" t="str">
        <f t="shared" si="60"/>
        <v/>
      </c>
      <c r="BH1618" s="321" t="str">
        <f t="shared" si="59"/>
        <v/>
      </c>
    </row>
    <row r="1619" spans="37:60" ht="30" hidden="1" customHeight="1" x14ac:dyDescent="0.25">
      <c r="AK1619" s="313"/>
      <c r="AL1619" s="313"/>
      <c r="AM1619" s="313"/>
      <c r="AN1619" s="313"/>
      <c r="AO1619" s="313"/>
      <c r="AP1619" s="313"/>
      <c r="AQ1619" s="314"/>
      <c r="AR1619" s="315" t="str">
        <f t="shared" si="60"/>
        <v/>
      </c>
      <c r="BH1619" s="321" t="str">
        <f t="shared" si="59"/>
        <v/>
      </c>
    </row>
    <row r="1620" spans="37:60" ht="30" hidden="1" customHeight="1" x14ac:dyDescent="0.25">
      <c r="AK1620" s="313"/>
      <c r="AL1620" s="313"/>
      <c r="AM1620" s="313"/>
      <c r="AN1620" s="313"/>
      <c r="AO1620" s="313"/>
      <c r="AP1620" s="313"/>
      <c r="AQ1620" s="314"/>
      <c r="AR1620" s="315" t="str">
        <f t="shared" si="60"/>
        <v/>
      </c>
      <c r="BH1620" s="321" t="str">
        <f t="shared" si="59"/>
        <v/>
      </c>
    </row>
    <row r="1621" spans="37:60" ht="30" hidden="1" customHeight="1" x14ac:dyDescent="0.25">
      <c r="AK1621" s="313"/>
      <c r="AL1621" s="313"/>
      <c r="AM1621" s="313"/>
      <c r="AN1621" s="313"/>
      <c r="AO1621" s="313"/>
      <c r="AP1621" s="313"/>
      <c r="AQ1621" s="314"/>
      <c r="AR1621" s="315" t="str">
        <f t="shared" si="60"/>
        <v/>
      </c>
      <c r="BH1621" s="321" t="str">
        <f t="shared" si="59"/>
        <v/>
      </c>
    </row>
    <row r="1622" spans="37:60" ht="30" hidden="1" customHeight="1" x14ac:dyDescent="0.25">
      <c r="AK1622" s="313"/>
      <c r="AL1622" s="313"/>
      <c r="AM1622" s="313"/>
      <c r="AN1622" s="313"/>
      <c r="AO1622" s="313"/>
      <c r="AP1622" s="313"/>
      <c r="AQ1622" s="314"/>
      <c r="AR1622" s="315" t="str">
        <f t="shared" si="60"/>
        <v/>
      </c>
      <c r="BH1622" s="321" t="str">
        <f t="shared" si="59"/>
        <v/>
      </c>
    </row>
    <row r="1623" spans="37:60" ht="30" hidden="1" customHeight="1" x14ac:dyDescent="0.25">
      <c r="AK1623" s="313"/>
      <c r="AL1623" s="313"/>
      <c r="AM1623" s="313"/>
      <c r="AN1623" s="313"/>
      <c r="AO1623" s="313"/>
      <c r="AP1623" s="313"/>
      <c r="AQ1623" s="314"/>
      <c r="AR1623" s="315" t="str">
        <f t="shared" si="60"/>
        <v/>
      </c>
      <c r="BH1623" s="321" t="str">
        <f t="shared" si="59"/>
        <v/>
      </c>
    </row>
    <row r="1624" spans="37:60" ht="30" hidden="1" customHeight="1" x14ac:dyDescent="0.25">
      <c r="AK1624" s="313"/>
      <c r="AL1624" s="313"/>
      <c r="AM1624" s="313"/>
      <c r="AN1624" s="313"/>
      <c r="AO1624" s="313"/>
      <c r="AP1624" s="313"/>
      <c r="AQ1624" s="314"/>
      <c r="AR1624" s="315" t="str">
        <f t="shared" si="60"/>
        <v/>
      </c>
      <c r="BH1624" s="321" t="str">
        <f t="shared" si="59"/>
        <v/>
      </c>
    </row>
    <row r="1625" spans="37:60" ht="30" hidden="1" customHeight="1" x14ac:dyDescent="0.25">
      <c r="AK1625" s="313"/>
      <c r="AL1625" s="313"/>
      <c r="AM1625" s="313"/>
      <c r="AN1625" s="313"/>
      <c r="AO1625" s="313"/>
      <c r="AP1625" s="313"/>
      <c r="AQ1625" s="314"/>
      <c r="AR1625" s="315" t="str">
        <f t="shared" si="60"/>
        <v/>
      </c>
      <c r="BH1625" s="321" t="str">
        <f t="shared" si="59"/>
        <v/>
      </c>
    </row>
    <row r="1626" spans="37:60" ht="30" hidden="1" customHeight="1" x14ac:dyDescent="0.25">
      <c r="AK1626" s="313"/>
      <c r="AL1626" s="313"/>
      <c r="AM1626" s="313"/>
      <c r="AN1626" s="313"/>
      <c r="AO1626" s="313"/>
      <c r="AP1626" s="313"/>
      <c r="AQ1626" s="314"/>
      <c r="AR1626" s="315" t="str">
        <f t="shared" si="60"/>
        <v/>
      </c>
      <c r="BH1626" s="321" t="str">
        <f t="shared" si="59"/>
        <v/>
      </c>
    </row>
    <row r="1627" spans="37:60" ht="30" hidden="1" customHeight="1" x14ac:dyDescent="0.25">
      <c r="AK1627" s="313"/>
      <c r="AL1627" s="313"/>
      <c r="AM1627" s="313"/>
      <c r="AN1627" s="313"/>
      <c r="AO1627" s="313"/>
      <c r="AP1627" s="313"/>
      <c r="AQ1627" s="314"/>
      <c r="AR1627" s="315" t="str">
        <f t="shared" si="60"/>
        <v/>
      </c>
      <c r="BH1627" s="321" t="str">
        <f t="shared" si="59"/>
        <v/>
      </c>
    </row>
    <row r="1628" spans="37:60" ht="30" hidden="1" customHeight="1" x14ac:dyDescent="0.25">
      <c r="AK1628" s="313"/>
      <c r="AL1628" s="313"/>
      <c r="AM1628" s="313"/>
      <c r="AN1628" s="313"/>
      <c r="AO1628" s="313"/>
      <c r="AP1628" s="313"/>
      <c r="AQ1628" s="314"/>
      <c r="AR1628" s="315" t="str">
        <f t="shared" si="60"/>
        <v/>
      </c>
      <c r="BH1628" s="321" t="str">
        <f t="shared" si="59"/>
        <v/>
      </c>
    </row>
    <row r="1629" spans="37:60" ht="30" hidden="1" customHeight="1" x14ac:dyDescent="0.25">
      <c r="AK1629" s="313"/>
      <c r="AL1629" s="313"/>
      <c r="AM1629" s="313"/>
      <c r="AN1629" s="313"/>
      <c r="AO1629" s="313"/>
      <c r="AP1629" s="313"/>
      <c r="AQ1629" s="314"/>
      <c r="AR1629" s="315" t="str">
        <f t="shared" si="60"/>
        <v/>
      </c>
      <c r="BH1629" s="321" t="str">
        <f t="shared" si="59"/>
        <v/>
      </c>
    </row>
    <row r="1630" spans="37:60" ht="30" hidden="1" customHeight="1" x14ac:dyDescent="0.25">
      <c r="AK1630" s="313"/>
      <c r="AL1630" s="313"/>
      <c r="AM1630" s="313"/>
      <c r="AN1630" s="313"/>
      <c r="AO1630" s="313"/>
      <c r="AP1630" s="313"/>
      <c r="AQ1630" s="314"/>
      <c r="AR1630" s="315" t="str">
        <f t="shared" si="60"/>
        <v/>
      </c>
      <c r="BH1630" s="321" t="str">
        <f t="shared" si="59"/>
        <v/>
      </c>
    </row>
    <row r="1631" spans="37:60" ht="30" hidden="1" customHeight="1" x14ac:dyDescent="0.25">
      <c r="AK1631" s="313"/>
      <c r="AL1631" s="313"/>
      <c r="AM1631" s="313"/>
      <c r="AN1631" s="313"/>
      <c r="AO1631" s="313"/>
      <c r="AP1631" s="313"/>
      <c r="AQ1631" s="314"/>
      <c r="AR1631" s="315" t="str">
        <f t="shared" si="60"/>
        <v/>
      </c>
      <c r="BH1631" s="321" t="str">
        <f t="shared" si="59"/>
        <v/>
      </c>
    </row>
    <row r="1632" spans="37:60" ht="30" hidden="1" customHeight="1" x14ac:dyDescent="0.25">
      <c r="AK1632" s="313"/>
      <c r="AL1632" s="313"/>
      <c r="AM1632" s="313"/>
      <c r="AN1632" s="313"/>
      <c r="AO1632" s="313"/>
      <c r="AP1632" s="313"/>
      <c r="AQ1632" s="314"/>
      <c r="AR1632" s="315" t="str">
        <f t="shared" si="60"/>
        <v/>
      </c>
      <c r="BH1632" s="321" t="str">
        <f t="shared" si="59"/>
        <v/>
      </c>
    </row>
    <row r="1633" spans="37:60" ht="30" hidden="1" customHeight="1" x14ac:dyDescent="0.25">
      <c r="AK1633" s="313"/>
      <c r="AL1633" s="313"/>
      <c r="AM1633" s="313"/>
      <c r="AN1633" s="313"/>
      <c r="AO1633" s="313"/>
      <c r="AP1633" s="313"/>
      <c r="AQ1633" s="314"/>
      <c r="AR1633" s="315" t="str">
        <f t="shared" si="60"/>
        <v/>
      </c>
      <c r="BH1633" s="321" t="str">
        <f t="shared" si="59"/>
        <v/>
      </c>
    </row>
    <row r="1634" spans="37:60" ht="30" hidden="1" customHeight="1" x14ac:dyDescent="0.25">
      <c r="AK1634" s="313"/>
      <c r="AL1634" s="313"/>
      <c r="AM1634" s="313"/>
      <c r="AN1634" s="313"/>
      <c r="AO1634" s="313"/>
      <c r="AP1634" s="313"/>
      <c r="AQ1634" s="314"/>
      <c r="AR1634" s="315" t="str">
        <f t="shared" si="60"/>
        <v/>
      </c>
      <c r="BH1634" s="321" t="str">
        <f t="shared" si="59"/>
        <v/>
      </c>
    </row>
    <row r="1635" spans="37:60" ht="30" hidden="1" customHeight="1" x14ac:dyDescent="0.25">
      <c r="AK1635" s="313"/>
      <c r="AL1635" s="313"/>
      <c r="AM1635" s="313"/>
      <c r="AN1635" s="313"/>
      <c r="AO1635" s="313"/>
      <c r="AP1635" s="313"/>
      <c r="AQ1635" s="314"/>
      <c r="AR1635" s="315" t="str">
        <f t="shared" si="60"/>
        <v/>
      </c>
      <c r="BH1635" s="321" t="str">
        <f t="shared" si="59"/>
        <v/>
      </c>
    </row>
    <row r="1636" spans="37:60" ht="30" hidden="1" customHeight="1" x14ac:dyDescent="0.25">
      <c r="AK1636" s="313"/>
      <c r="AL1636" s="313"/>
      <c r="AM1636" s="313"/>
      <c r="AN1636" s="313"/>
      <c r="AO1636" s="313"/>
      <c r="AP1636" s="313"/>
      <c r="AQ1636" s="314"/>
      <c r="AR1636" s="315" t="str">
        <f t="shared" si="60"/>
        <v/>
      </c>
      <c r="BH1636" s="321" t="str">
        <f t="shared" si="59"/>
        <v/>
      </c>
    </row>
    <row r="1637" spans="37:60" ht="30" hidden="1" customHeight="1" x14ac:dyDescent="0.25">
      <c r="AK1637" s="313"/>
      <c r="AL1637" s="313"/>
      <c r="AM1637" s="313"/>
      <c r="AN1637" s="313"/>
      <c r="AO1637" s="313"/>
      <c r="AP1637" s="313"/>
      <c r="AQ1637" s="314"/>
      <c r="AR1637" s="315" t="str">
        <f t="shared" si="60"/>
        <v/>
      </c>
      <c r="BH1637" s="321" t="str">
        <f t="shared" si="59"/>
        <v/>
      </c>
    </row>
    <row r="1638" spans="37:60" ht="30" hidden="1" customHeight="1" x14ac:dyDescent="0.25">
      <c r="AK1638" s="313"/>
      <c r="AL1638" s="313"/>
      <c r="AM1638" s="313"/>
      <c r="AN1638" s="313"/>
      <c r="AO1638" s="313"/>
      <c r="AP1638" s="313"/>
      <c r="AQ1638" s="314"/>
      <c r="AR1638" s="315" t="str">
        <f t="shared" si="60"/>
        <v/>
      </c>
      <c r="BH1638" s="321" t="str">
        <f t="shared" si="59"/>
        <v/>
      </c>
    </row>
    <row r="1639" spans="37:60" ht="30" hidden="1" customHeight="1" x14ac:dyDescent="0.25">
      <c r="AK1639" s="313"/>
      <c r="AL1639" s="313"/>
      <c r="AM1639" s="313"/>
      <c r="AN1639" s="313"/>
      <c r="AO1639" s="313"/>
      <c r="AP1639" s="313"/>
      <c r="AQ1639" s="314"/>
      <c r="AR1639" s="315" t="str">
        <f t="shared" si="60"/>
        <v/>
      </c>
      <c r="BH1639" s="321" t="str">
        <f t="shared" si="59"/>
        <v/>
      </c>
    </row>
    <row r="1640" spans="37:60" ht="30" hidden="1" customHeight="1" x14ac:dyDescent="0.25">
      <c r="AK1640" s="313"/>
      <c r="AL1640" s="313"/>
      <c r="AM1640" s="313"/>
      <c r="AN1640" s="313"/>
      <c r="AO1640" s="313"/>
      <c r="AP1640" s="313"/>
      <c r="AQ1640" s="314"/>
      <c r="AR1640" s="315" t="str">
        <f t="shared" si="60"/>
        <v/>
      </c>
      <c r="BH1640" s="321" t="str">
        <f t="shared" si="59"/>
        <v/>
      </c>
    </row>
    <row r="1641" spans="37:60" ht="30" hidden="1" customHeight="1" x14ac:dyDescent="0.25">
      <c r="AK1641" s="313"/>
      <c r="AL1641" s="313"/>
      <c r="AM1641" s="313"/>
      <c r="AN1641" s="313"/>
      <c r="AO1641" s="313"/>
      <c r="AP1641" s="313"/>
      <c r="AQ1641" s="314"/>
      <c r="AR1641" s="315" t="str">
        <f t="shared" si="60"/>
        <v/>
      </c>
      <c r="BH1641" s="321" t="str">
        <f t="shared" si="59"/>
        <v/>
      </c>
    </row>
    <row r="1642" spans="37:60" ht="30" hidden="1" customHeight="1" x14ac:dyDescent="0.25">
      <c r="AK1642" s="313"/>
      <c r="AL1642" s="313"/>
      <c r="AM1642" s="313"/>
      <c r="AN1642" s="313"/>
      <c r="AO1642" s="313"/>
      <c r="AP1642" s="313"/>
      <c r="AQ1642" s="314"/>
      <c r="AR1642" s="315" t="str">
        <f t="shared" si="60"/>
        <v/>
      </c>
      <c r="BH1642" s="321" t="str">
        <f t="shared" si="59"/>
        <v/>
      </c>
    </row>
    <row r="1643" spans="37:60" ht="30" hidden="1" customHeight="1" x14ac:dyDescent="0.25">
      <c r="AK1643" s="313"/>
      <c r="AL1643" s="313"/>
      <c r="AM1643" s="313"/>
      <c r="AN1643" s="313"/>
      <c r="AO1643" s="313"/>
      <c r="AP1643" s="313"/>
      <c r="AQ1643" s="314"/>
      <c r="AR1643" s="315" t="str">
        <f t="shared" si="60"/>
        <v/>
      </c>
      <c r="BH1643" s="321" t="str">
        <f t="shared" si="59"/>
        <v/>
      </c>
    </row>
    <row r="1644" spans="37:60" ht="30" hidden="1" customHeight="1" x14ac:dyDescent="0.25">
      <c r="AK1644" s="313"/>
      <c r="AL1644" s="313"/>
      <c r="AM1644" s="313"/>
      <c r="AN1644" s="313"/>
      <c r="AO1644" s="313"/>
      <c r="AP1644" s="313"/>
      <c r="AQ1644" s="314"/>
      <c r="AR1644" s="315" t="str">
        <f t="shared" si="60"/>
        <v/>
      </c>
      <c r="BH1644" s="321" t="str">
        <f t="shared" si="59"/>
        <v/>
      </c>
    </row>
    <row r="1645" spans="37:60" ht="30" hidden="1" customHeight="1" x14ac:dyDescent="0.25">
      <c r="AK1645" s="313"/>
      <c r="AL1645" s="313"/>
      <c r="AM1645" s="313"/>
      <c r="AN1645" s="313"/>
      <c r="AO1645" s="313"/>
      <c r="AP1645" s="313"/>
      <c r="AQ1645" s="314"/>
      <c r="AR1645" s="315" t="str">
        <f t="shared" si="60"/>
        <v/>
      </c>
      <c r="BH1645" s="321" t="str">
        <f t="shared" ref="BH1645:BH1708" si="61">IF(BD1645-KI1645=0,"",BD1645-AK1645)</f>
        <v/>
      </c>
    </row>
    <row r="1646" spans="37:60" ht="30" hidden="1" customHeight="1" x14ac:dyDescent="0.25">
      <c r="AK1646" s="313"/>
      <c r="AL1646" s="313"/>
      <c r="AM1646" s="313"/>
      <c r="AN1646" s="313"/>
      <c r="AO1646" s="313"/>
      <c r="AP1646" s="313"/>
      <c r="AQ1646" s="314"/>
      <c r="AR1646" s="315" t="str">
        <f t="shared" si="60"/>
        <v/>
      </c>
      <c r="BH1646" s="321" t="str">
        <f t="shared" si="61"/>
        <v/>
      </c>
    </row>
    <row r="1647" spans="37:60" ht="30" hidden="1" customHeight="1" x14ac:dyDescent="0.25">
      <c r="AK1647" s="313"/>
      <c r="AL1647" s="313"/>
      <c r="AM1647" s="313"/>
      <c r="AN1647" s="313"/>
      <c r="AO1647" s="313"/>
      <c r="AP1647" s="313"/>
      <c r="AQ1647" s="314"/>
      <c r="AR1647" s="315" t="str">
        <f t="shared" si="60"/>
        <v/>
      </c>
      <c r="BH1647" s="321" t="str">
        <f t="shared" si="61"/>
        <v/>
      </c>
    </row>
    <row r="1648" spans="37:60" ht="30" hidden="1" customHeight="1" x14ac:dyDescent="0.25">
      <c r="AK1648" s="313"/>
      <c r="AL1648" s="313"/>
      <c r="AM1648" s="313"/>
      <c r="AN1648" s="313"/>
      <c r="AO1648" s="313"/>
      <c r="AP1648" s="313"/>
      <c r="AQ1648" s="314"/>
      <c r="AR1648" s="315" t="str">
        <f t="shared" si="60"/>
        <v/>
      </c>
      <c r="BH1648" s="321" t="str">
        <f t="shared" si="61"/>
        <v/>
      </c>
    </row>
    <row r="1649" spans="37:60" ht="30" hidden="1" customHeight="1" x14ac:dyDescent="0.25">
      <c r="AK1649" s="313"/>
      <c r="AL1649" s="313"/>
      <c r="AM1649" s="313"/>
      <c r="AN1649" s="313"/>
      <c r="AO1649" s="313"/>
      <c r="AP1649" s="313"/>
      <c r="AQ1649" s="314"/>
      <c r="AR1649" s="315" t="str">
        <f t="shared" si="60"/>
        <v/>
      </c>
      <c r="BH1649" s="321" t="str">
        <f t="shared" si="61"/>
        <v/>
      </c>
    </row>
    <row r="1650" spans="37:60" ht="30" hidden="1" customHeight="1" x14ac:dyDescent="0.25">
      <c r="AK1650" s="313"/>
      <c r="AL1650" s="313"/>
      <c r="AM1650" s="313"/>
      <c r="AN1650" s="313"/>
      <c r="AO1650" s="313"/>
      <c r="AP1650" s="313"/>
      <c r="AQ1650" s="314"/>
      <c r="AR1650" s="315" t="str">
        <f t="shared" si="60"/>
        <v/>
      </c>
      <c r="BH1650" s="321" t="str">
        <f t="shared" si="61"/>
        <v/>
      </c>
    </row>
    <row r="1651" spans="37:60" ht="30" hidden="1" customHeight="1" x14ac:dyDescent="0.25">
      <c r="AK1651" s="313"/>
      <c r="AL1651" s="313"/>
      <c r="AM1651" s="313"/>
      <c r="AN1651" s="313"/>
      <c r="AO1651" s="313"/>
      <c r="AP1651" s="313"/>
      <c r="AQ1651" s="314"/>
      <c r="AR1651" s="315" t="str">
        <f t="shared" si="60"/>
        <v/>
      </c>
      <c r="BH1651" s="321" t="str">
        <f t="shared" si="61"/>
        <v/>
      </c>
    </row>
    <row r="1652" spans="37:60" ht="30" hidden="1" customHeight="1" x14ac:dyDescent="0.25">
      <c r="AK1652" s="313"/>
      <c r="AL1652" s="313"/>
      <c r="AM1652" s="313"/>
      <c r="AN1652" s="313"/>
      <c r="AO1652" s="313"/>
      <c r="AP1652" s="313"/>
      <c r="AQ1652" s="314"/>
      <c r="AR1652" s="315" t="str">
        <f t="shared" si="60"/>
        <v/>
      </c>
      <c r="BH1652" s="321" t="str">
        <f t="shared" si="61"/>
        <v/>
      </c>
    </row>
    <row r="1653" spans="37:60" ht="30" hidden="1" customHeight="1" x14ac:dyDescent="0.25">
      <c r="AK1653" s="313"/>
      <c r="AL1653" s="313"/>
      <c r="AM1653" s="313"/>
      <c r="AN1653" s="313"/>
      <c r="AO1653" s="313"/>
      <c r="AP1653" s="313"/>
      <c r="AQ1653" s="314"/>
      <c r="AR1653" s="315" t="str">
        <f t="shared" si="60"/>
        <v/>
      </c>
      <c r="BH1653" s="321" t="str">
        <f t="shared" si="61"/>
        <v/>
      </c>
    </row>
    <row r="1654" spans="37:60" ht="30" hidden="1" customHeight="1" x14ac:dyDescent="0.25">
      <c r="AK1654" s="313"/>
      <c r="AL1654" s="313"/>
      <c r="AM1654" s="313"/>
      <c r="AN1654" s="313"/>
      <c r="AO1654" s="313"/>
      <c r="AP1654" s="313"/>
      <c r="AQ1654" s="314"/>
      <c r="AR1654" s="315" t="str">
        <f t="shared" si="60"/>
        <v/>
      </c>
      <c r="BH1654" s="321" t="str">
        <f t="shared" si="61"/>
        <v/>
      </c>
    </row>
    <row r="1655" spans="37:60" ht="30" hidden="1" customHeight="1" x14ac:dyDescent="0.25">
      <c r="AK1655" s="313"/>
      <c r="AL1655" s="313"/>
      <c r="AM1655" s="313"/>
      <c r="AN1655" s="313"/>
      <c r="AO1655" s="313"/>
      <c r="AP1655" s="313"/>
      <c r="AQ1655" s="314"/>
      <c r="AR1655" s="315" t="str">
        <f t="shared" si="60"/>
        <v/>
      </c>
      <c r="BH1655" s="321" t="str">
        <f t="shared" si="61"/>
        <v/>
      </c>
    </row>
    <row r="1656" spans="37:60" ht="30" hidden="1" customHeight="1" x14ac:dyDescent="0.25">
      <c r="AK1656" s="313"/>
      <c r="AL1656" s="313"/>
      <c r="AM1656" s="313"/>
      <c r="AN1656" s="313"/>
      <c r="AO1656" s="313"/>
      <c r="AP1656" s="313"/>
      <c r="AQ1656" s="314"/>
      <c r="AR1656" s="315" t="str">
        <f t="shared" si="60"/>
        <v/>
      </c>
      <c r="BH1656" s="321" t="str">
        <f t="shared" si="61"/>
        <v/>
      </c>
    </row>
    <row r="1657" spans="37:60" ht="30" hidden="1" customHeight="1" x14ac:dyDescent="0.25">
      <c r="AK1657" s="313"/>
      <c r="AL1657" s="313"/>
      <c r="AM1657" s="313"/>
      <c r="AN1657" s="313"/>
      <c r="AO1657" s="313"/>
      <c r="AP1657" s="313"/>
      <c r="AQ1657" s="314"/>
      <c r="AR1657" s="315" t="str">
        <f t="shared" si="60"/>
        <v/>
      </c>
      <c r="BH1657" s="321" t="str">
        <f t="shared" si="61"/>
        <v/>
      </c>
    </row>
    <row r="1658" spans="37:60" ht="30" hidden="1" customHeight="1" x14ac:dyDescent="0.25">
      <c r="AK1658" s="313"/>
      <c r="AL1658" s="313"/>
      <c r="AM1658" s="313"/>
      <c r="AN1658" s="313"/>
      <c r="AO1658" s="313"/>
      <c r="AP1658" s="313"/>
      <c r="AQ1658" s="314"/>
      <c r="AR1658" s="315" t="str">
        <f t="shared" si="60"/>
        <v/>
      </c>
      <c r="BH1658" s="321" t="str">
        <f t="shared" si="61"/>
        <v/>
      </c>
    </row>
    <row r="1659" spans="37:60" ht="30" hidden="1" customHeight="1" x14ac:dyDescent="0.25">
      <c r="AK1659" s="313"/>
      <c r="AL1659" s="313"/>
      <c r="AM1659" s="313"/>
      <c r="AN1659" s="313"/>
      <c r="AO1659" s="313"/>
      <c r="AP1659" s="313"/>
      <c r="AQ1659" s="314"/>
      <c r="AR1659" s="315" t="str">
        <f t="shared" si="60"/>
        <v/>
      </c>
      <c r="BH1659" s="321" t="str">
        <f t="shared" si="61"/>
        <v/>
      </c>
    </row>
    <row r="1660" spans="37:60" ht="30" hidden="1" customHeight="1" x14ac:dyDescent="0.25">
      <c r="AK1660" s="313"/>
      <c r="AL1660" s="313"/>
      <c r="AM1660" s="313"/>
      <c r="AN1660" s="313"/>
      <c r="AO1660" s="313"/>
      <c r="AP1660" s="313"/>
      <c r="AQ1660" s="314"/>
      <c r="AR1660" s="315" t="str">
        <f t="shared" si="60"/>
        <v/>
      </c>
      <c r="BH1660" s="321" t="str">
        <f t="shared" si="61"/>
        <v/>
      </c>
    </row>
    <row r="1661" spans="37:60" ht="30" hidden="1" customHeight="1" x14ac:dyDescent="0.25">
      <c r="AK1661" s="313"/>
      <c r="AL1661" s="313"/>
      <c r="AM1661" s="313"/>
      <c r="AN1661" s="313"/>
      <c r="AO1661" s="313"/>
      <c r="AP1661" s="313"/>
      <c r="AQ1661" s="314"/>
      <c r="AR1661" s="315" t="str">
        <f t="shared" si="60"/>
        <v/>
      </c>
      <c r="BH1661" s="321" t="str">
        <f t="shared" si="61"/>
        <v/>
      </c>
    </row>
    <row r="1662" spans="37:60" ht="30" hidden="1" customHeight="1" x14ac:dyDescent="0.25">
      <c r="AK1662" s="313"/>
      <c r="AL1662" s="313"/>
      <c r="AM1662" s="313"/>
      <c r="AN1662" s="313"/>
      <c r="AO1662" s="313"/>
      <c r="AP1662" s="313"/>
      <c r="AQ1662" s="314"/>
      <c r="AR1662" s="315" t="str">
        <f t="shared" si="60"/>
        <v/>
      </c>
      <c r="BH1662" s="321" t="str">
        <f t="shared" si="61"/>
        <v/>
      </c>
    </row>
    <row r="1663" spans="37:60" ht="30" hidden="1" customHeight="1" x14ac:dyDescent="0.25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62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61"/>
        <v/>
      </c>
    </row>
    <row r="1664" spans="37:60" ht="30" hidden="1" customHeight="1" x14ac:dyDescent="0.25">
      <c r="AK1664" s="313"/>
      <c r="AL1664" s="313"/>
      <c r="AM1664" s="313"/>
      <c r="AN1664" s="313"/>
      <c r="AO1664" s="313"/>
      <c r="AP1664" s="313"/>
      <c r="AQ1664" s="314"/>
      <c r="AR1664" s="315" t="str">
        <f t="shared" si="62"/>
        <v/>
      </c>
      <c r="BH1664" s="321" t="str">
        <f t="shared" si="61"/>
        <v/>
      </c>
    </row>
    <row r="1665" spans="37:60" ht="30" hidden="1" customHeight="1" x14ac:dyDescent="0.25">
      <c r="AK1665" s="313"/>
      <c r="AL1665" s="313"/>
      <c r="AM1665" s="313"/>
      <c r="AN1665" s="313"/>
      <c r="AO1665" s="313"/>
      <c r="AP1665" s="313"/>
      <c r="AQ1665" s="314"/>
      <c r="AR1665" s="315" t="str">
        <f t="shared" si="62"/>
        <v/>
      </c>
      <c r="BH1665" s="321" t="str">
        <f t="shared" si="61"/>
        <v/>
      </c>
    </row>
    <row r="1666" spans="37:60" ht="30" hidden="1" customHeight="1" x14ac:dyDescent="0.25">
      <c r="AK1666" s="313"/>
      <c r="AL1666" s="313"/>
      <c r="AM1666" s="313"/>
      <c r="AN1666" s="313"/>
      <c r="AO1666" s="313"/>
      <c r="AP1666" s="313"/>
      <c r="AQ1666" s="314"/>
      <c r="AR1666" s="315" t="str">
        <f t="shared" si="62"/>
        <v/>
      </c>
      <c r="BH1666" s="321" t="str">
        <f t="shared" si="61"/>
        <v/>
      </c>
    </row>
    <row r="1667" spans="37:60" ht="30" hidden="1" customHeight="1" x14ac:dyDescent="0.25">
      <c r="AK1667" s="313"/>
      <c r="AL1667" s="313"/>
      <c r="AM1667" s="313"/>
      <c r="AN1667" s="313"/>
      <c r="AO1667" s="313"/>
      <c r="AP1667" s="313"/>
      <c r="AQ1667" s="314"/>
      <c r="AR1667" s="315" t="str">
        <f t="shared" si="62"/>
        <v/>
      </c>
      <c r="BH1667" s="321" t="str">
        <f t="shared" si="61"/>
        <v/>
      </c>
    </row>
    <row r="1668" spans="37:60" ht="30" hidden="1" customHeight="1" x14ac:dyDescent="0.25">
      <c r="AK1668" s="313"/>
      <c r="AL1668" s="313"/>
      <c r="AM1668" s="313"/>
      <c r="AN1668" s="313"/>
      <c r="AO1668" s="313"/>
      <c r="AP1668" s="313"/>
      <c r="AQ1668" s="314"/>
      <c r="AR1668" s="315" t="str">
        <f t="shared" si="62"/>
        <v/>
      </c>
      <c r="BH1668" s="321" t="str">
        <f t="shared" si="61"/>
        <v/>
      </c>
    </row>
    <row r="1669" spans="37:60" ht="30" hidden="1" customHeight="1" x14ac:dyDescent="0.25">
      <c r="AK1669" s="313"/>
      <c r="AL1669" s="313"/>
      <c r="AM1669" s="313"/>
      <c r="AN1669" s="313"/>
      <c r="AO1669" s="313"/>
      <c r="AP1669" s="313"/>
      <c r="AQ1669" s="314"/>
      <c r="AR1669" s="315" t="str">
        <f t="shared" si="62"/>
        <v/>
      </c>
      <c r="BH1669" s="321" t="str">
        <f t="shared" si="61"/>
        <v/>
      </c>
    </row>
    <row r="1670" spans="37:60" ht="30" hidden="1" customHeight="1" x14ac:dyDescent="0.25">
      <c r="AK1670" s="313"/>
      <c r="AL1670" s="313"/>
      <c r="AM1670" s="313"/>
      <c r="AN1670" s="313"/>
      <c r="AO1670" s="313"/>
      <c r="AP1670" s="313"/>
      <c r="AQ1670" s="314"/>
      <c r="AR1670" s="315" t="str">
        <f t="shared" si="62"/>
        <v/>
      </c>
      <c r="BH1670" s="321" t="str">
        <f t="shared" si="61"/>
        <v/>
      </c>
    </row>
    <row r="1671" spans="37:60" ht="30" hidden="1" customHeight="1" x14ac:dyDescent="0.25">
      <c r="AK1671" s="313"/>
      <c r="AL1671" s="313"/>
      <c r="AM1671" s="313"/>
      <c r="AN1671" s="313"/>
      <c r="AO1671" s="313"/>
      <c r="AP1671" s="313"/>
      <c r="AQ1671" s="314"/>
      <c r="AR1671" s="315" t="str">
        <f t="shared" si="62"/>
        <v/>
      </c>
      <c r="BH1671" s="321" t="str">
        <f t="shared" si="61"/>
        <v/>
      </c>
    </row>
    <row r="1672" spans="37:60" ht="30" hidden="1" customHeight="1" x14ac:dyDescent="0.25">
      <c r="AK1672" s="313"/>
      <c r="AL1672" s="313"/>
      <c r="AM1672" s="313"/>
      <c r="AN1672" s="313"/>
      <c r="AO1672" s="313"/>
      <c r="AP1672" s="313"/>
      <c r="AQ1672" s="314"/>
      <c r="AR1672" s="315" t="str">
        <f t="shared" si="62"/>
        <v/>
      </c>
      <c r="BH1672" s="321" t="str">
        <f t="shared" si="61"/>
        <v/>
      </c>
    </row>
    <row r="1673" spans="37:60" ht="30" hidden="1" customHeight="1" x14ac:dyDescent="0.25">
      <c r="AK1673" s="313"/>
      <c r="AL1673" s="313"/>
      <c r="AM1673" s="313"/>
      <c r="AN1673" s="313"/>
      <c r="AO1673" s="313"/>
      <c r="AP1673" s="313"/>
      <c r="AQ1673" s="314"/>
      <c r="AR1673" s="315" t="str">
        <f t="shared" si="62"/>
        <v/>
      </c>
      <c r="BH1673" s="321" t="str">
        <f t="shared" si="61"/>
        <v/>
      </c>
    </row>
    <row r="1674" spans="37:60" ht="30" hidden="1" customHeight="1" x14ac:dyDescent="0.25">
      <c r="AK1674" s="313"/>
      <c r="AL1674" s="313"/>
      <c r="AM1674" s="313"/>
      <c r="AN1674" s="313"/>
      <c r="AO1674" s="313"/>
      <c r="AP1674" s="313"/>
      <c r="AQ1674" s="314"/>
      <c r="AR1674" s="315" t="str">
        <f t="shared" si="62"/>
        <v/>
      </c>
      <c r="BH1674" s="321" t="str">
        <f t="shared" si="61"/>
        <v/>
      </c>
    </row>
    <row r="1675" spans="37:60" ht="30" hidden="1" customHeight="1" x14ac:dyDescent="0.25">
      <c r="AK1675" s="313"/>
      <c r="AL1675" s="313"/>
      <c r="AM1675" s="313"/>
      <c r="AN1675" s="313"/>
      <c r="AO1675" s="313"/>
      <c r="AP1675" s="313"/>
      <c r="AQ1675" s="314"/>
      <c r="AR1675" s="315" t="str">
        <f t="shared" si="62"/>
        <v/>
      </c>
      <c r="BH1675" s="321" t="str">
        <f t="shared" si="61"/>
        <v/>
      </c>
    </row>
    <row r="1676" spans="37:60" ht="30" hidden="1" customHeight="1" x14ac:dyDescent="0.25">
      <c r="AK1676" s="313"/>
      <c r="AL1676" s="313"/>
      <c r="AM1676" s="313"/>
      <c r="AN1676" s="313"/>
      <c r="AO1676" s="313"/>
      <c r="AP1676" s="313"/>
      <c r="AQ1676" s="314"/>
      <c r="AR1676" s="315" t="str">
        <f t="shared" si="62"/>
        <v/>
      </c>
      <c r="BH1676" s="321" t="str">
        <f t="shared" si="61"/>
        <v/>
      </c>
    </row>
    <row r="1677" spans="37:60" ht="30" hidden="1" customHeight="1" x14ac:dyDescent="0.25">
      <c r="AK1677" s="313"/>
      <c r="AL1677" s="313"/>
      <c r="AM1677" s="313"/>
      <c r="AN1677" s="313"/>
      <c r="AO1677" s="313"/>
      <c r="AP1677" s="313"/>
      <c r="AQ1677" s="314"/>
      <c r="AR1677" s="315" t="str">
        <f t="shared" si="62"/>
        <v/>
      </c>
      <c r="BH1677" s="321" t="str">
        <f t="shared" si="61"/>
        <v/>
      </c>
    </row>
    <row r="1678" spans="37:60" ht="30" hidden="1" customHeight="1" x14ac:dyDescent="0.25">
      <c r="AK1678" s="313"/>
      <c r="AL1678" s="313"/>
      <c r="AM1678" s="313"/>
      <c r="AN1678" s="313"/>
      <c r="AO1678" s="313"/>
      <c r="AP1678" s="313"/>
      <c r="AQ1678" s="314"/>
      <c r="AR1678" s="315" t="str">
        <f t="shared" si="62"/>
        <v/>
      </c>
      <c r="BH1678" s="321" t="str">
        <f t="shared" si="61"/>
        <v/>
      </c>
    </row>
    <row r="1679" spans="37:60" ht="30" hidden="1" customHeight="1" x14ac:dyDescent="0.25">
      <c r="AK1679" s="313"/>
      <c r="AL1679" s="313"/>
      <c r="AM1679" s="313"/>
      <c r="AN1679" s="313"/>
      <c r="AO1679" s="313"/>
      <c r="AP1679" s="313"/>
      <c r="AQ1679" s="314"/>
      <c r="AR1679" s="315" t="str">
        <f t="shared" si="62"/>
        <v/>
      </c>
      <c r="BH1679" s="321" t="str">
        <f t="shared" si="61"/>
        <v/>
      </c>
    </row>
    <row r="1680" spans="37:60" ht="30" hidden="1" customHeight="1" x14ac:dyDescent="0.25">
      <c r="AK1680" s="313"/>
      <c r="AL1680" s="313"/>
      <c r="AM1680" s="313"/>
      <c r="AN1680" s="313"/>
      <c r="AO1680" s="313"/>
      <c r="AP1680" s="313"/>
      <c r="AQ1680" s="314"/>
      <c r="AR1680" s="315" t="str">
        <f t="shared" si="62"/>
        <v/>
      </c>
      <c r="BH1680" s="321" t="str">
        <f t="shared" si="61"/>
        <v/>
      </c>
    </row>
    <row r="1681" spans="37:60" ht="30" hidden="1" customHeight="1" x14ac:dyDescent="0.25">
      <c r="AK1681" s="313"/>
      <c r="AL1681" s="313"/>
      <c r="AM1681" s="313"/>
      <c r="AN1681" s="313"/>
      <c r="AO1681" s="313"/>
      <c r="AP1681" s="313"/>
      <c r="AQ1681" s="314"/>
      <c r="AR1681" s="315" t="str">
        <f t="shared" si="62"/>
        <v/>
      </c>
      <c r="BH1681" s="321" t="str">
        <f t="shared" si="61"/>
        <v/>
      </c>
    </row>
    <row r="1682" spans="37:60" ht="30" hidden="1" customHeight="1" x14ac:dyDescent="0.25">
      <c r="AK1682" s="313"/>
      <c r="AL1682" s="313"/>
      <c r="AM1682" s="313"/>
      <c r="AN1682" s="313"/>
      <c r="AO1682" s="313"/>
      <c r="AP1682" s="313"/>
      <c r="AQ1682" s="314"/>
      <c r="AR1682" s="315" t="str">
        <f t="shared" si="62"/>
        <v/>
      </c>
      <c r="BH1682" s="321" t="str">
        <f t="shared" si="61"/>
        <v/>
      </c>
    </row>
    <row r="1683" spans="37:60" ht="30" hidden="1" customHeight="1" x14ac:dyDescent="0.25">
      <c r="AK1683" s="313"/>
      <c r="AL1683" s="313"/>
      <c r="AM1683" s="313"/>
      <c r="AN1683" s="313"/>
      <c r="AO1683" s="313"/>
      <c r="AP1683" s="313"/>
      <c r="AQ1683" s="314"/>
      <c r="AR1683" s="315" t="str">
        <f t="shared" si="62"/>
        <v/>
      </c>
      <c r="BH1683" s="321" t="str">
        <f t="shared" si="61"/>
        <v/>
      </c>
    </row>
    <row r="1684" spans="37:60" ht="30" hidden="1" customHeight="1" x14ac:dyDescent="0.25">
      <c r="AK1684" s="313"/>
      <c r="AL1684" s="313"/>
      <c r="AM1684" s="313"/>
      <c r="AN1684" s="313"/>
      <c r="AO1684" s="313"/>
      <c r="AP1684" s="313"/>
      <c r="AQ1684" s="314"/>
      <c r="AR1684" s="315" t="str">
        <f t="shared" si="62"/>
        <v/>
      </c>
      <c r="BH1684" s="321" t="str">
        <f t="shared" si="61"/>
        <v/>
      </c>
    </row>
    <row r="1685" spans="37:60" ht="30" hidden="1" customHeight="1" x14ac:dyDescent="0.25">
      <c r="AK1685" s="313"/>
      <c r="AL1685" s="313"/>
      <c r="AM1685" s="313"/>
      <c r="AN1685" s="313"/>
      <c r="AO1685" s="313"/>
      <c r="AP1685" s="313"/>
      <c r="AQ1685" s="314"/>
      <c r="AR1685" s="315" t="str">
        <f t="shared" si="62"/>
        <v/>
      </c>
      <c r="BH1685" s="321" t="str">
        <f t="shared" si="61"/>
        <v/>
      </c>
    </row>
    <row r="1686" spans="37:60" ht="30" hidden="1" customHeight="1" x14ac:dyDescent="0.25">
      <c r="AK1686" s="313"/>
      <c r="AL1686" s="313"/>
      <c r="AM1686" s="313"/>
      <c r="AN1686" s="313"/>
      <c r="AO1686" s="313"/>
      <c r="AP1686" s="313"/>
      <c r="AQ1686" s="314"/>
      <c r="AR1686" s="315" t="str">
        <f t="shared" si="62"/>
        <v/>
      </c>
      <c r="BH1686" s="321" t="str">
        <f t="shared" si="61"/>
        <v/>
      </c>
    </row>
    <row r="1687" spans="37:60" ht="30" hidden="1" customHeight="1" x14ac:dyDescent="0.25">
      <c r="AK1687" s="313"/>
      <c r="AL1687" s="313"/>
      <c r="AM1687" s="313"/>
      <c r="AN1687" s="313"/>
      <c r="AO1687" s="313"/>
      <c r="AP1687" s="313"/>
      <c r="AQ1687" s="314"/>
      <c r="AR1687" s="315" t="str">
        <f t="shared" si="62"/>
        <v/>
      </c>
      <c r="BH1687" s="321" t="str">
        <f t="shared" si="61"/>
        <v/>
      </c>
    </row>
    <row r="1688" spans="37:60" ht="30" hidden="1" customHeight="1" x14ac:dyDescent="0.25">
      <c r="AK1688" s="313"/>
      <c r="AL1688" s="313"/>
      <c r="AM1688" s="313"/>
      <c r="AN1688" s="313"/>
      <c r="AO1688" s="313"/>
      <c r="AP1688" s="313"/>
      <c r="AQ1688" s="314"/>
      <c r="AR1688" s="315" t="str">
        <f t="shared" si="62"/>
        <v/>
      </c>
      <c r="BH1688" s="321" t="str">
        <f t="shared" si="61"/>
        <v/>
      </c>
    </row>
    <row r="1689" spans="37:60" ht="30" hidden="1" customHeight="1" x14ac:dyDescent="0.25">
      <c r="AK1689" s="313"/>
      <c r="AL1689" s="313"/>
      <c r="AM1689" s="313"/>
      <c r="AN1689" s="313"/>
      <c r="AO1689" s="313"/>
      <c r="AP1689" s="313"/>
      <c r="AQ1689" s="314"/>
      <c r="AR1689" s="315" t="str">
        <f t="shared" si="62"/>
        <v/>
      </c>
      <c r="BH1689" s="321" t="str">
        <f t="shared" si="61"/>
        <v/>
      </c>
    </row>
    <row r="1690" spans="37:60" ht="30" hidden="1" customHeight="1" x14ac:dyDescent="0.25">
      <c r="AK1690" s="313"/>
      <c r="AL1690" s="313"/>
      <c r="AM1690" s="313"/>
      <c r="AN1690" s="313"/>
      <c r="AO1690" s="313"/>
      <c r="AP1690" s="313"/>
      <c r="AQ1690" s="314"/>
      <c r="AR1690" s="315" t="str">
        <f t="shared" si="62"/>
        <v/>
      </c>
      <c r="BH1690" s="321" t="str">
        <f t="shared" si="61"/>
        <v/>
      </c>
    </row>
    <row r="1691" spans="37:60" ht="30" hidden="1" customHeight="1" x14ac:dyDescent="0.25">
      <c r="AK1691" s="313"/>
      <c r="AL1691" s="313"/>
      <c r="AM1691" s="313"/>
      <c r="AN1691" s="313"/>
      <c r="AO1691" s="313"/>
      <c r="AP1691" s="313"/>
      <c r="AQ1691" s="314"/>
      <c r="AR1691" s="315" t="str">
        <f t="shared" si="62"/>
        <v/>
      </c>
      <c r="BH1691" s="321" t="str">
        <f t="shared" si="61"/>
        <v/>
      </c>
    </row>
    <row r="1692" spans="37:60" ht="30" hidden="1" customHeight="1" x14ac:dyDescent="0.25">
      <c r="AK1692" s="313"/>
      <c r="AL1692" s="313"/>
      <c r="AM1692" s="313"/>
      <c r="AN1692" s="313"/>
      <c r="AO1692" s="313"/>
      <c r="AP1692" s="313"/>
      <c r="AQ1692" s="314"/>
      <c r="AR1692" s="315" t="str">
        <f t="shared" si="62"/>
        <v/>
      </c>
      <c r="BH1692" s="321" t="str">
        <f t="shared" si="61"/>
        <v/>
      </c>
    </row>
    <row r="1693" spans="37:60" ht="30" hidden="1" customHeight="1" x14ac:dyDescent="0.25">
      <c r="AK1693" s="313"/>
      <c r="AL1693" s="313"/>
      <c r="AM1693" s="313"/>
      <c r="AN1693" s="313"/>
      <c r="AO1693" s="313"/>
      <c r="AP1693" s="313"/>
      <c r="AQ1693" s="314"/>
      <c r="AR1693" s="315" t="str">
        <f t="shared" si="62"/>
        <v/>
      </c>
      <c r="BH1693" s="321" t="str">
        <f t="shared" si="61"/>
        <v/>
      </c>
    </row>
    <row r="1694" spans="37:60" ht="30" hidden="1" customHeight="1" x14ac:dyDescent="0.25">
      <c r="AK1694" s="313"/>
      <c r="AL1694" s="313"/>
      <c r="AM1694" s="313"/>
      <c r="AN1694" s="313"/>
      <c r="AO1694" s="313"/>
      <c r="AP1694" s="313"/>
      <c r="AQ1694" s="314"/>
      <c r="AR1694" s="315" t="str">
        <f t="shared" si="62"/>
        <v/>
      </c>
      <c r="BH1694" s="321" t="str">
        <f t="shared" si="61"/>
        <v/>
      </c>
    </row>
    <row r="1695" spans="37:60" ht="30" hidden="1" customHeight="1" x14ac:dyDescent="0.25">
      <c r="AK1695" s="313"/>
      <c r="AL1695" s="313"/>
      <c r="AM1695" s="313"/>
      <c r="AN1695" s="313"/>
      <c r="AO1695" s="313"/>
      <c r="AP1695" s="313"/>
      <c r="AQ1695" s="314"/>
      <c r="AR1695" s="315" t="str">
        <f t="shared" si="62"/>
        <v/>
      </c>
      <c r="BH1695" s="321" t="str">
        <f t="shared" si="61"/>
        <v/>
      </c>
    </row>
    <row r="1696" spans="37:60" ht="30" hidden="1" customHeight="1" x14ac:dyDescent="0.25">
      <c r="AK1696" s="313"/>
      <c r="AL1696" s="313"/>
      <c r="AM1696" s="313"/>
      <c r="AN1696" s="313"/>
      <c r="AO1696" s="313"/>
      <c r="AP1696" s="313"/>
      <c r="AQ1696" s="314"/>
      <c r="AR1696" s="315" t="str">
        <f t="shared" si="62"/>
        <v/>
      </c>
      <c r="BH1696" s="321" t="str">
        <f t="shared" si="61"/>
        <v/>
      </c>
    </row>
    <row r="1697" spans="37:60" ht="30" hidden="1" customHeight="1" x14ac:dyDescent="0.25">
      <c r="AK1697" s="313"/>
      <c r="AL1697" s="313"/>
      <c r="AM1697" s="313"/>
      <c r="AN1697" s="313"/>
      <c r="AO1697" s="313"/>
      <c r="AP1697" s="313"/>
      <c r="AQ1697" s="314"/>
      <c r="AR1697" s="315" t="str">
        <f t="shared" si="62"/>
        <v/>
      </c>
      <c r="BH1697" s="321" t="str">
        <f t="shared" si="61"/>
        <v/>
      </c>
    </row>
    <row r="1698" spans="37:60" ht="30" hidden="1" customHeight="1" x14ac:dyDescent="0.25">
      <c r="AK1698" s="313"/>
      <c r="AL1698" s="313"/>
      <c r="AM1698" s="313"/>
      <c r="AN1698" s="313"/>
      <c r="AO1698" s="313"/>
      <c r="AP1698" s="313"/>
      <c r="AQ1698" s="314"/>
      <c r="AR1698" s="315" t="str">
        <f t="shared" si="62"/>
        <v/>
      </c>
      <c r="BH1698" s="321" t="str">
        <f t="shared" si="61"/>
        <v/>
      </c>
    </row>
    <row r="1699" spans="37:60" ht="30" hidden="1" customHeight="1" x14ac:dyDescent="0.25">
      <c r="AK1699" s="313"/>
      <c r="AL1699" s="313"/>
      <c r="AM1699" s="313"/>
      <c r="AN1699" s="313"/>
      <c r="AO1699" s="313"/>
      <c r="AP1699" s="313"/>
      <c r="AQ1699" s="314"/>
      <c r="AR1699" s="315" t="str">
        <f t="shared" si="62"/>
        <v/>
      </c>
      <c r="BH1699" s="321" t="str">
        <f t="shared" si="61"/>
        <v/>
      </c>
    </row>
    <row r="1700" spans="37:60" ht="30" hidden="1" customHeight="1" x14ac:dyDescent="0.25">
      <c r="AK1700" s="313"/>
      <c r="AL1700" s="313"/>
      <c r="AM1700" s="313"/>
      <c r="AN1700" s="313"/>
      <c r="AO1700" s="313"/>
      <c r="AP1700" s="313"/>
      <c r="AQ1700" s="314"/>
      <c r="AR1700" s="315" t="str">
        <f t="shared" si="62"/>
        <v/>
      </c>
      <c r="BH1700" s="321" t="str">
        <f t="shared" si="61"/>
        <v/>
      </c>
    </row>
    <row r="1701" spans="37:60" ht="30" hidden="1" customHeight="1" x14ac:dyDescent="0.25">
      <c r="AK1701" s="313"/>
      <c r="AL1701" s="313"/>
      <c r="AM1701" s="313"/>
      <c r="AN1701" s="313"/>
      <c r="AO1701" s="313"/>
      <c r="AP1701" s="313"/>
      <c r="AQ1701" s="314"/>
      <c r="AR1701" s="315" t="str">
        <f t="shared" si="62"/>
        <v/>
      </c>
      <c r="BH1701" s="321" t="str">
        <f t="shared" si="61"/>
        <v/>
      </c>
    </row>
    <row r="1702" spans="37:60" ht="30" hidden="1" customHeight="1" x14ac:dyDescent="0.25">
      <c r="AK1702" s="313"/>
      <c r="AL1702" s="313"/>
      <c r="AM1702" s="313"/>
      <c r="AN1702" s="313"/>
      <c r="AO1702" s="313"/>
      <c r="AP1702" s="313"/>
      <c r="AQ1702" s="314"/>
      <c r="AR1702" s="315" t="str">
        <f t="shared" si="62"/>
        <v/>
      </c>
      <c r="BH1702" s="321" t="str">
        <f t="shared" si="61"/>
        <v/>
      </c>
    </row>
    <row r="1703" spans="37:60" ht="30" hidden="1" customHeight="1" x14ac:dyDescent="0.25">
      <c r="AK1703" s="313"/>
      <c r="AL1703" s="313"/>
      <c r="AM1703" s="313"/>
      <c r="AN1703" s="313"/>
      <c r="AO1703" s="313"/>
      <c r="AP1703" s="313"/>
      <c r="AQ1703" s="314"/>
      <c r="AR1703" s="315" t="str">
        <f t="shared" si="62"/>
        <v/>
      </c>
      <c r="BH1703" s="321" t="str">
        <f t="shared" si="61"/>
        <v/>
      </c>
    </row>
    <row r="1704" spans="37:60" ht="30" hidden="1" customHeight="1" x14ac:dyDescent="0.25">
      <c r="AK1704" s="313"/>
      <c r="AL1704" s="313"/>
      <c r="AM1704" s="313"/>
      <c r="AN1704" s="313"/>
      <c r="AO1704" s="313"/>
      <c r="AP1704" s="313"/>
      <c r="AQ1704" s="314"/>
      <c r="AR1704" s="315" t="str">
        <f t="shared" si="62"/>
        <v/>
      </c>
      <c r="BH1704" s="321" t="str">
        <f t="shared" si="61"/>
        <v/>
      </c>
    </row>
    <row r="1705" spans="37:60" ht="30" hidden="1" customHeight="1" x14ac:dyDescent="0.25">
      <c r="AK1705" s="313"/>
      <c r="AL1705" s="313"/>
      <c r="AM1705" s="313"/>
      <c r="AN1705" s="313"/>
      <c r="AO1705" s="313"/>
      <c r="AP1705" s="313"/>
      <c r="AQ1705" s="314"/>
      <c r="AR1705" s="315" t="str">
        <f t="shared" si="62"/>
        <v/>
      </c>
      <c r="BH1705" s="321" t="str">
        <f t="shared" si="61"/>
        <v/>
      </c>
    </row>
    <row r="1706" spans="37:60" ht="30" hidden="1" customHeight="1" x14ac:dyDescent="0.25">
      <c r="AK1706" s="313"/>
      <c r="AL1706" s="313"/>
      <c r="AM1706" s="313"/>
      <c r="AN1706" s="313"/>
      <c r="AO1706" s="313"/>
      <c r="AP1706" s="313"/>
      <c r="AQ1706" s="314"/>
      <c r="AR1706" s="315" t="str">
        <f t="shared" si="62"/>
        <v/>
      </c>
      <c r="BH1706" s="321" t="str">
        <f t="shared" si="61"/>
        <v/>
      </c>
    </row>
    <row r="1707" spans="37:60" ht="30" hidden="1" customHeight="1" x14ac:dyDescent="0.25">
      <c r="AK1707" s="313"/>
      <c r="AL1707" s="313"/>
      <c r="AM1707" s="313"/>
      <c r="AN1707" s="313"/>
      <c r="AO1707" s="313"/>
      <c r="AP1707" s="313"/>
      <c r="AQ1707" s="314"/>
      <c r="AR1707" s="315" t="str">
        <f t="shared" si="62"/>
        <v/>
      </c>
      <c r="BH1707" s="321" t="str">
        <f t="shared" si="61"/>
        <v/>
      </c>
    </row>
    <row r="1708" spans="37:60" ht="30" hidden="1" customHeight="1" x14ac:dyDescent="0.25">
      <c r="AK1708" s="313"/>
      <c r="AL1708" s="313"/>
      <c r="AM1708" s="313"/>
      <c r="AN1708" s="313"/>
      <c r="AO1708" s="313"/>
      <c r="AP1708" s="313"/>
      <c r="AQ1708" s="314"/>
      <c r="AR1708" s="315" t="str">
        <f t="shared" si="62"/>
        <v/>
      </c>
      <c r="BH1708" s="321" t="str">
        <f t="shared" si="61"/>
        <v/>
      </c>
    </row>
    <row r="1709" spans="37:60" ht="30" hidden="1" customHeight="1" x14ac:dyDescent="0.25">
      <c r="AK1709" s="313"/>
      <c r="AL1709" s="313"/>
      <c r="AM1709" s="313"/>
      <c r="AN1709" s="313"/>
      <c r="AO1709" s="313"/>
      <c r="AP1709" s="313"/>
      <c r="AQ1709" s="314"/>
      <c r="AR1709" s="315" t="str">
        <f t="shared" si="62"/>
        <v/>
      </c>
      <c r="BH1709" s="321" t="str">
        <f t="shared" ref="BH1709:BH1754" si="63">IF(BD1709-KI1709=0,"",BD1709-AK1709)</f>
        <v/>
      </c>
    </row>
    <row r="1710" spans="37:60" ht="30" hidden="1" customHeight="1" x14ac:dyDescent="0.25">
      <c r="AK1710" s="313"/>
      <c r="AL1710" s="313"/>
      <c r="AM1710" s="313"/>
      <c r="AN1710" s="313"/>
      <c r="AO1710" s="313"/>
      <c r="AP1710" s="313"/>
      <c r="AQ1710" s="314"/>
      <c r="AR1710" s="315" t="str">
        <f t="shared" si="62"/>
        <v/>
      </c>
      <c r="BH1710" s="321" t="str">
        <f t="shared" si="63"/>
        <v/>
      </c>
    </row>
    <row r="1711" spans="37:60" ht="30" hidden="1" customHeight="1" x14ac:dyDescent="0.25">
      <c r="AK1711" s="313"/>
      <c r="AL1711" s="313"/>
      <c r="AM1711" s="313"/>
      <c r="AN1711" s="313"/>
      <c r="AO1711" s="313"/>
      <c r="AP1711" s="313"/>
      <c r="AQ1711" s="314"/>
      <c r="AR1711" s="315" t="str">
        <f t="shared" si="62"/>
        <v/>
      </c>
      <c r="BH1711" s="321" t="str">
        <f t="shared" si="63"/>
        <v/>
      </c>
    </row>
    <row r="1712" spans="37:60" ht="30" hidden="1" customHeight="1" x14ac:dyDescent="0.25">
      <c r="AK1712" s="313"/>
      <c r="AL1712" s="313"/>
      <c r="AM1712" s="313"/>
      <c r="AN1712" s="313"/>
      <c r="AO1712" s="313"/>
      <c r="AP1712" s="313"/>
      <c r="AQ1712" s="314"/>
      <c r="AR1712" s="315" t="str">
        <f t="shared" si="62"/>
        <v/>
      </c>
      <c r="BH1712" s="321" t="str">
        <f t="shared" si="63"/>
        <v/>
      </c>
    </row>
    <row r="1713" spans="37:60" ht="30" hidden="1" customHeight="1" x14ac:dyDescent="0.25">
      <c r="AK1713" s="313"/>
      <c r="AL1713" s="313"/>
      <c r="AM1713" s="313"/>
      <c r="AN1713" s="313"/>
      <c r="AO1713" s="313"/>
      <c r="AP1713" s="313"/>
      <c r="AQ1713" s="314"/>
      <c r="AR1713" s="315" t="str">
        <f t="shared" si="62"/>
        <v/>
      </c>
      <c r="BH1713" s="321" t="str">
        <f t="shared" si="63"/>
        <v/>
      </c>
    </row>
    <row r="1714" spans="37:60" ht="30" hidden="1" customHeight="1" x14ac:dyDescent="0.25">
      <c r="AK1714" s="313"/>
      <c r="AL1714" s="313"/>
      <c r="AM1714" s="313"/>
      <c r="AN1714" s="313"/>
      <c r="AO1714" s="313"/>
      <c r="AP1714" s="313"/>
      <c r="AQ1714" s="314"/>
      <c r="AR1714" s="315" t="str">
        <f t="shared" si="62"/>
        <v/>
      </c>
      <c r="BH1714" s="321" t="str">
        <f t="shared" si="63"/>
        <v/>
      </c>
    </row>
    <row r="1715" spans="37:60" ht="30" hidden="1" customHeight="1" x14ac:dyDescent="0.25">
      <c r="AK1715" s="313"/>
      <c r="AL1715" s="313"/>
      <c r="AM1715" s="313"/>
      <c r="AN1715" s="313"/>
      <c r="AO1715" s="313"/>
      <c r="AP1715" s="313"/>
      <c r="AQ1715" s="314"/>
      <c r="AR1715" s="315" t="str">
        <f t="shared" si="62"/>
        <v/>
      </c>
      <c r="BH1715" s="321" t="str">
        <f t="shared" si="63"/>
        <v/>
      </c>
    </row>
    <row r="1716" spans="37:60" ht="30" hidden="1" customHeight="1" x14ac:dyDescent="0.25">
      <c r="AK1716" s="313"/>
      <c r="AL1716" s="313"/>
      <c r="AM1716" s="313"/>
      <c r="AN1716" s="313"/>
      <c r="AO1716" s="313"/>
      <c r="AP1716" s="313"/>
      <c r="AQ1716" s="314"/>
      <c r="AR1716" s="315" t="str">
        <f t="shared" si="62"/>
        <v/>
      </c>
      <c r="BH1716" s="321" t="str">
        <f t="shared" si="63"/>
        <v/>
      </c>
    </row>
    <row r="1717" spans="37:60" ht="30" hidden="1" customHeight="1" x14ac:dyDescent="0.25">
      <c r="AK1717" s="313"/>
      <c r="AL1717" s="313"/>
      <c r="AM1717" s="313"/>
      <c r="AN1717" s="313"/>
      <c r="AO1717" s="313"/>
      <c r="AP1717" s="313"/>
      <c r="AQ1717" s="314"/>
      <c r="AR1717" s="315" t="str">
        <f t="shared" si="62"/>
        <v/>
      </c>
      <c r="BH1717" s="321" t="str">
        <f t="shared" si="63"/>
        <v/>
      </c>
    </row>
    <row r="1718" spans="37:60" ht="30" hidden="1" customHeight="1" x14ac:dyDescent="0.25">
      <c r="AK1718" s="313"/>
      <c r="AL1718" s="313"/>
      <c r="AM1718" s="313"/>
      <c r="AN1718" s="313"/>
      <c r="AO1718" s="313"/>
      <c r="AP1718" s="313"/>
      <c r="AQ1718" s="314"/>
      <c r="AR1718" s="315" t="str">
        <f t="shared" si="62"/>
        <v/>
      </c>
      <c r="BH1718" s="321" t="str">
        <f t="shared" si="63"/>
        <v/>
      </c>
    </row>
    <row r="1719" spans="37:60" ht="30" hidden="1" customHeight="1" x14ac:dyDescent="0.25">
      <c r="AK1719" s="313"/>
      <c r="AL1719" s="313"/>
      <c r="AM1719" s="313"/>
      <c r="AN1719" s="313"/>
      <c r="AO1719" s="313"/>
      <c r="AP1719" s="313"/>
      <c r="AQ1719" s="314"/>
      <c r="AR1719" s="315" t="str">
        <f t="shared" si="62"/>
        <v/>
      </c>
      <c r="BH1719" s="321" t="str">
        <f t="shared" si="63"/>
        <v/>
      </c>
    </row>
    <row r="1720" spans="37:60" ht="30" hidden="1" customHeight="1" x14ac:dyDescent="0.25">
      <c r="AK1720" s="313"/>
      <c r="AL1720" s="313"/>
      <c r="AM1720" s="313"/>
      <c r="AN1720" s="313"/>
      <c r="AO1720" s="313"/>
      <c r="AP1720" s="313"/>
      <c r="AQ1720" s="314"/>
      <c r="AR1720" s="315" t="str">
        <f t="shared" si="62"/>
        <v/>
      </c>
      <c r="BH1720" s="321" t="str">
        <f t="shared" si="63"/>
        <v/>
      </c>
    </row>
    <row r="1721" spans="37:60" ht="30" hidden="1" customHeight="1" x14ac:dyDescent="0.25">
      <c r="AK1721" s="313"/>
      <c r="AL1721" s="313"/>
      <c r="AM1721" s="313"/>
      <c r="AN1721" s="313"/>
      <c r="AO1721" s="313"/>
      <c r="AP1721" s="313"/>
      <c r="AQ1721" s="314"/>
      <c r="AR1721" s="315" t="str">
        <f t="shared" si="62"/>
        <v/>
      </c>
      <c r="BH1721" s="321" t="str">
        <f t="shared" si="63"/>
        <v/>
      </c>
    </row>
    <row r="1722" spans="37:60" ht="30" hidden="1" customHeight="1" x14ac:dyDescent="0.25">
      <c r="AK1722" s="313"/>
      <c r="AL1722" s="313"/>
      <c r="AM1722" s="313"/>
      <c r="AN1722" s="313"/>
      <c r="AO1722" s="313"/>
      <c r="AP1722" s="313"/>
      <c r="AQ1722" s="314"/>
      <c r="AR1722" s="315" t="str">
        <f t="shared" si="62"/>
        <v/>
      </c>
      <c r="BH1722" s="321" t="str">
        <f t="shared" si="63"/>
        <v/>
      </c>
    </row>
    <row r="1723" spans="37:60" ht="30" hidden="1" customHeight="1" x14ac:dyDescent="0.25">
      <c r="AK1723" s="313"/>
      <c r="AL1723" s="313"/>
      <c r="AM1723" s="313"/>
      <c r="AN1723" s="313"/>
      <c r="AO1723" s="313"/>
      <c r="AP1723" s="313"/>
      <c r="AQ1723" s="314"/>
      <c r="AR1723" s="315" t="str">
        <f t="shared" si="62"/>
        <v/>
      </c>
      <c r="BH1723" s="321" t="str">
        <f t="shared" si="63"/>
        <v/>
      </c>
    </row>
    <row r="1724" spans="37:60" ht="30" hidden="1" customHeight="1" x14ac:dyDescent="0.25">
      <c r="AK1724" s="313"/>
      <c r="AL1724" s="313"/>
      <c r="AM1724" s="313"/>
      <c r="AN1724" s="313"/>
      <c r="AO1724" s="313"/>
      <c r="AP1724" s="313"/>
      <c r="AQ1724" s="314"/>
      <c r="AR1724" s="315" t="str">
        <f t="shared" si="62"/>
        <v/>
      </c>
      <c r="BH1724" s="321" t="str">
        <f t="shared" si="63"/>
        <v/>
      </c>
    </row>
    <row r="1725" spans="37:60" ht="30" hidden="1" customHeight="1" x14ac:dyDescent="0.25">
      <c r="AK1725" s="313"/>
      <c r="AL1725" s="313"/>
      <c r="AM1725" s="313"/>
      <c r="AN1725" s="313"/>
      <c r="AO1725" s="313"/>
      <c r="AP1725" s="313"/>
      <c r="AQ1725" s="314"/>
      <c r="AR1725" s="315" t="str">
        <f t="shared" si="62"/>
        <v/>
      </c>
      <c r="BH1725" s="321" t="str">
        <f t="shared" si="63"/>
        <v/>
      </c>
    </row>
    <row r="1726" spans="37:60" ht="30" hidden="1" customHeight="1" x14ac:dyDescent="0.25">
      <c r="AK1726" s="313"/>
      <c r="AL1726" s="313"/>
      <c r="AM1726" s="313"/>
      <c r="AN1726" s="313"/>
      <c r="AO1726" s="313"/>
      <c r="AP1726" s="313"/>
      <c r="AQ1726" s="314"/>
      <c r="AR1726" s="315" t="str">
        <f t="shared" si="62"/>
        <v/>
      </c>
      <c r="BH1726" s="321" t="str">
        <f t="shared" si="63"/>
        <v/>
      </c>
    </row>
    <row r="1727" spans="37:60" ht="30" hidden="1" customHeight="1" x14ac:dyDescent="0.25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64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63"/>
        <v/>
      </c>
    </row>
    <row r="1728" spans="37:60" ht="30" hidden="1" customHeight="1" x14ac:dyDescent="0.25">
      <c r="AK1728" s="313"/>
      <c r="AL1728" s="313"/>
      <c r="AM1728" s="313"/>
      <c r="AN1728" s="313"/>
      <c r="AO1728" s="313"/>
      <c r="AP1728" s="313"/>
      <c r="AQ1728" s="314"/>
      <c r="AR1728" s="315" t="str">
        <f t="shared" si="64"/>
        <v/>
      </c>
      <c r="BH1728" s="321" t="str">
        <f t="shared" si="63"/>
        <v/>
      </c>
    </row>
    <row r="1729" spans="37:60" ht="30" hidden="1" customHeight="1" x14ac:dyDescent="0.25">
      <c r="AK1729" s="313"/>
      <c r="AL1729" s="313"/>
      <c r="AM1729" s="313"/>
      <c r="AN1729" s="313"/>
      <c r="AO1729" s="313"/>
      <c r="AP1729" s="313"/>
      <c r="AQ1729" s="314"/>
      <c r="AR1729" s="315" t="str">
        <f t="shared" si="64"/>
        <v/>
      </c>
      <c r="BH1729" s="321" t="str">
        <f t="shared" si="63"/>
        <v/>
      </c>
    </row>
    <row r="1730" spans="37:60" ht="30" hidden="1" customHeight="1" x14ac:dyDescent="0.25">
      <c r="AK1730" s="313"/>
      <c r="AL1730" s="313"/>
      <c r="AM1730" s="313"/>
      <c r="AN1730" s="313"/>
      <c r="AO1730" s="313"/>
      <c r="AP1730" s="313"/>
      <c r="AQ1730" s="314"/>
      <c r="AR1730" s="315" t="str">
        <f t="shared" si="64"/>
        <v/>
      </c>
      <c r="BH1730" s="321" t="str">
        <f t="shared" si="63"/>
        <v/>
      </c>
    </row>
    <row r="1731" spans="37:60" ht="30" hidden="1" customHeight="1" x14ac:dyDescent="0.25">
      <c r="AK1731" s="313"/>
      <c r="AL1731" s="313"/>
      <c r="AM1731" s="313"/>
      <c r="AN1731" s="313"/>
      <c r="AO1731" s="313"/>
      <c r="AP1731" s="313"/>
      <c r="AQ1731" s="314"/>
      <c r="AR1731" s="315" t="str">
        <f t="shared" si="64"/>
        <v/>
      </c>
      <c r="BH1731" s="321" t="str">
        <f t="shared" si="63"/>
        <v/>
      </c>
    </row>
    <row r="1732" spans="37:60" ht="30" hidden="1" customHeight="1" x14ac:dyDescent="0.25">
      <c r="AK1732" s="313"/>
      <c r="AL1732" s="313"/>
      <c r="AM1732" s="313"/>
      <c r="AN1732" s="313"/>
      <c r="AO1732" s="313"/>
      <c r="AP1732" s="313"/>
      <c r="AQ1732" s="314"/>
      <c r="AR1732" s="315" t="str">
        <f t="shared" si="64"/>
        <v/>
      </c>
      <c r="BH1732" s="321" t="str">
        <f t="shared" si="63"/>
        <v/>
      </c>
    </row>
    <row r="1733" spans="37:60" ht="30" hidden="1" customHeight="1" x14ac:dyDescent="0.25">
      <c r="AK1733" s="313"/>
      <c r="AL1733" s="313"/>
      <c r="AM1733" s="313"/>
      <c r="AN1733" s="313"/>
      <c r="AO1733" s="313"/>
      <c r="AP1733" s="313"/>
      <c r="AQ1733" s="314"/>
      <c r="AR1733" s="315" t="str">
        <f t="shared" si="64"/>
        <v/>
      </c>
      <c r="BH1733" s="321" t="str">
        <f t="shared" si="63"/>
        <v/>
      </c>
    </row>
    <row r="1734" spans="37:60" ht="30" hidden="1" customHeight="1" x14ac:dyDescent="0.25">
      <c r="AK1734" s="313"/>
      <c r="AL1734" s="313"/>
      <c r="AM1734" s="313"/>
      <c r="AN1734" s="313"/>
      <c r="AO1734" s="313"/>
      <c r="AP1734" s="313"/>
      <c r="AQ1734" s="314"/>
      <c r="AR1734" s="315" t="str">
        <f t="shared" si="64"/>
        <v/>
      </c>
      <c r="BH1734" s="321" t="str">
        <f t="shared" si="63"/>
        <v/>
      </c>
    </row>
    <row r="1735" spans="37:60" ht="30" hidden="1" customHeight="1" x14ac:dyDescent="0.25">
      <c r="AK1735" s="313"/>
      <c r="AL1735" s="313"/>
      <c r="AM1735" s="313"/>
      <c r="AN1735" s="313"/>
      <c r="AO1735" s="313"/>
      <c r="AP1735" s="313"/>
      <c r="AQ1735" s="314"/>
      <c r="AR1735" s="315" t="str">
        <f t="shared" si="64"/>
        <v/>
      </c>
      <c r="BH1735" s="321" t="str">
        <f t="shared" si="63"/>
        <v/>
      </c>
    </row>
    <row r="1736" spans="37:60" ht="30" hidden="1" customHeight="1" x14ac:dyDescent="0.25">
      <c r="AK1736" s="313"/>
      <c r="AL1736" s="313"/>
      <c r="AM1736" s="313"/>
      <c r="AN1736" s="313"/>
      <c r="AO1736" s="313"/>
      <c r="AP1736" s="313"/>
      <c r="AQ1736" s="314"/>
      <c r="AR1736" s="315" t="str">
        <f t="shared" si="64"/>
        <v/>
      </c>
      <c r="BH1736" s="321" t="str">
        <f t="shared" si="63"/>
        <v/>
      </c>
    </row>
    <row r="1737" spans="37:60" ht="30" hidden="1" customHeight="1" x14ac:dyDescent="0.25">
      <c r="AK1737" s="313"/>
      <c r="AL1737" s="313"/>
      <c r="AM1737" s="313"/>
      <c r="AN1737" s="313"/>
      <c r="AO1737" s="313"/>
      <c r="AP1737" s="313"/>
      <c r="AQ1737" s="314"/>
      <c r="AR1737" s="315" t="str">
        <f t="shared" si="64"/>
        <v/>
      </c>
      <c r="BH1737" s="321" t="str">
        <f t="shared" si="63"/>
        <v/>
      </c>
    </row>
    <row r="1738" spans="37:60" ht="30" hidden="1" customHeight="1" x14ac:dyDescent="0.25">
      <c r="AK1738" s="313"/>
      <c r="AL1738" s="313"/>
      <c r="AM1738" s="313"/>
      <c r="AN1738" s="313"/>
      <c r="AO1738" s="313"/>
      <c r="AP1738" s="313"/>
      <c r="AQ1738" s="314"/>
      <c r="AR1738" s="315" t="str">
        <f t="shared" si="64"/>
        <v/>
      </c>
      <c r="BH1738" s="321" t="str">
        <f t="shared" si="63"/>
        <v/>
      </c>
    </row>
    <row r="1739" spans="37:60" ht="30" hidden="1" customHeight="1" x14ac:dyDescent="0.25">
      <c r="AK1739" s="313"/>
      <c r="AL1739" s="313"/>
      <c r="AM1739" s="313"/>
      <c r="AN1739" s="313"/>
      <c r="AO1739" s="313"/>
      <c r="AP1739" s="313"/>
      <c r="AQ1739" s="314"/>
      <c r="AR1739" s="315" t="str">
        <f t="shared" si="64"/>
        <v/>
      </c>
      <c r="BH1739" s="321" t="str">
        <f t="shared" si="63"/>
        <v/>
      </c>
    </row>
    <row r="1740" spans="37:60" ht="30" hidden="1" customHeight="1" x14ac:dyDescent="0.25">
      <c r="AK1740" s="313"/>
      <c r="AL1740" s="313"/>
      <c r="AM1740" s="313"/>
      <c r="AN1740" s="313"/>
      <c r="AO1740" s="313"/>
      <c r="AP1740" s="313"/>
      <c r="AQ1740" s="314"/>
      <c r="AR1740" s="315" t="str">
        <f t="shared" si="64"/>
        <v/>
      </c>
      <c r="BH1740" s="321" t="str">
        <f t="shared" si="63"/>
        <v/>
      </c>
    </row>
    <row r="1741" spans="37:60" ht="30" hidden="1" customHeight="1" x14ac:dyDescent="0.25">
      <c r="AK1741" s="313"/>
      <c r="AL1741" s="313"/>
      <c r="AM1741" s="313"/>
      <c r="AN1741" s="313"/>
      <c r="AO1741" s="313"/>
      <c r="AP1741" s="313"/>
      <c r="AQ1741" s="314"/>
      <c r="AR1741" s="315" t="str">
        <f t="shared" si="64"/>
        <v/>
      </c>
      <c r="BH1741" s="321" t="str">
        <f t="shared" si="63"/>
        <v/>
      </c>
    </row>
    <row r="1742" spans="37:60" ht="30" hidden="1" customHeight="1" x14ac:dyDescent="0.25">
      <c r="AK1742" s="313"/>
      <c r="AL1742" s="313"/>
      <c r="AM1742" s="313"/>
      <c r="AN1742" s="313"/>
      <c r="AO1742" s="313"/>
      <c r="AP1742" s="313"/>
      <c r="AQ1742" s="314"/>
      <c r="AR1742" s="315" t="str">
        <f t="shared" si="64"/>
        <v/>
      </c>
      <c r="BH1742" s="321" t="str">
        <f t="shared" si="63"/>
        <v/>
      </c>
    </row>
    <row r="1743" spans="37:60" ht="30" hidden="1" customHeight="1" x14ac:dyDescent="0.25">
      <c r="AK1743" s="313"/>
      <c r="AL1743" s="313"/>
      <c r="AM1743" s="313"/>
      <c r="AN1743" s="313"/>
      <c r="AO1743" s="313"/>
      <c r="AP1743" s="313"/>
      <c r="AQ1743" s="314"/>
      <c r="AR1743" s="315" t="str">
        <f t="shared" si="64"/>
        <v/>
      </c>
      <c r="BH1743" s="321" t="str">
        <f t="shared" si="63"/>
        <v/>
      </c>
    </row>
    <row r="1744" spans="37:60" ht="30" hidden="1" customHeight="1" x14ac:dyDescent="0.25">
      <c r="AK1744" s="313"/>
      <c r="AL1744" s="313"/>
      <c r="AM1744" s="313"/>
      <c r="AN1744" s="313"/>
      <c r="AO1744" s="313"/>
      <c r="AP1744" s="313"/>
      <c r="AQ1744" s="314"/>
      <c r="AR1744" s="315" t="str">
        <f t="shared" si="64"/>
        <v/>
      </c>
      <c r="BH1744" s="321" t="str">
        <f t="shared" si="63"/>
        <v/>
      </c>
    </row>
    <row r="1745" spans="37:60" ht="30" hidden="1" customHeight="1" x14ac:dyDescent="0.25">
      <c r="AK1745" s="313"/>
      <c r="AL1745" s="313"/>
      <c r="AM1745" s="313"/>
      <c r="AN1745" s="313"/>
      <c r="AO1745" s="313"/>
      <c r="AP1745" s="313"/>
      <c r="AQ1745" s="314"/>
      <c r="AR1745" s="315" t="str">
        <f t="shared" si="64"/>
        <v/>
      </c>
      <c r="BH1745" s="321" t="str">
        <f t="shared" si="63"/>
        <v/>
      </c>
    </row>
    <row r="1746" spans="37:60" ht="30" hidden="1" customHeight="1" x14ac:dyDescent="0.25">
      <c r="AK1746" s="313"/>
      <c r="AL1746" s="313"/>
      <c r="AM1746" s="313"/>
      <c r="AN1746" s="313"/>
      <c r="AO1746" s="313"/>
      <c r="AP1746" s="313"/>
      <c r="AQ1746" s="314"/>
      <c r="AR1746" s="315" t="str">
        <f t="shared" si="64"/>
        <v/>
      </c>
      <c r="BH1746" s="321" t="str">
        <f t="shared" si="63"/>
        <v/>
      </c>
    </row>
    <row r="1747" spans="37:60" ht="30" hidden="1" customHeight="1" x14ac:dyDescent="0.25">
      <c r="AK1747" s="313"/>
      <c r="AL1747" s="313"/>
      <c r="AM1747" s="313"/>
      <c r="AN1747" s="313"/>
      <c r="AO1747" s="313"/>
      <c r="AP1747" s="313"/>
      <c r="AQ1747" s="314"/>
      <c r="AR1747" s="315" t="str">
        <f t="shared" si="64"/>
        <v/>
      </c>
      <c r="BH1747" s="321" t="str">
        <f t="shared" si="63"/>
        <v/>
      </c>
    </row>
    <row r="1748" spans="37:60" ht="30" hidden="1" customHeight="1" x14ac:dyDescent="0.25">
      <c r="AK1748" s="313"/>
      <c r="AL1748" s="313"/>
      <c r="AM1748" s="313"/>
      <c r="AN1748" s="313"/>
      <c r="AO1748" s="313"/>
      <c r="AP1748" s="313"/>
      <c r="AQ1748" s="314"/>
      <c r="AR1748" s="315" t="str">
        <f t="shared" si="64"/>
        <v/>
      </c>
      <c r="BH1748" s="321" t="str">
        <f t="shared" si="63"/>
        <v/>
      </c>
    </row>
    <row r="1749" spans="37:60" ht="30" hidden="1" customHeight="1" x14ac:dyDescent="0.25">
      <c r="AK1749" s="313"/>
      <c r="AL1749" s="313"/>
      <c r="AM1749" s="313"/>
      <c r="AN1749" s="313"/>
      <c r="AO1749" s="313"/>
      <c r="AP1749" s="313"/>
      <c r="AQ1749" s="314"/>
      <c r="AR1749" s="315" t="str">
        <f t="shared" si="64"/>
        <v/>
      </c>
      <c r="BH1749" s="321" t="str">
        <f t="shared" si="63"/>
        <v/>
      </c>
    </row>
    <row r="1750" spans="37:60" ht="30" hidden="1" customHeight="1" x14ac:dyDescent="0.25">
      <c r="AK1750" s="313"/>
      <c r="AL1750" s="313"/>
      <c r="AM1750" s="313"/>
      <c r="AN1750" s="313"/>
      <c r="AO1750" s="313"/>
      <c r="AP1750" s="313"/>
      <c r="AQ1750" s="314"/>
      <c r="AR1750" s="315" t="str">
        <f t="shared" si="64"/>
        <v/>
      </c>
      <c r="BH1750" s="321" t="str">
        <f t="shared" si="63"/>
        <v/>
      </c>
    </row>
    <row r="1751" spans="37:60" ht="30" hidden="1" customHeight="1" x14ac:dyDescent="0.25">
      <c r="AK1751" s="313"/>
      <c r="AL1751" s="313"/>
      <c r="AM1751" s="313"/>
      <c r="AN1751" s="313"/>
      <c r="AO1751" s="313"/>
      <c r="AP1751" s="313"/>
      <c r="AQ1751" s="314"/>
      <c r="AR1751" s="315" t="str">
        <f t="shared" si="64"/>
        <v/>
      </c>
      <c r="BH1751" s="321" t="str">
        <f t="shared" si="63"/>
        <v/>
      </c>
    </row>
    <row r="1752" spans="37:60" ht="30" hidden="1" customHeight="1" x14ac:dyDescent="0.25">
      <c r="AK1752" s="313"/>
      <c r="AL1752" s="313"/>
      <c r="AM1752" s="313"/>
      <c r="AN1752" s="313"/>
      <c r="AO1752" s="313"/>
      <c r="AP1752" s="313"/>
      <c r="AQ1752" s="314"/>
      <c r="AR1752" s="315" t="str">
        <f t="shared" si="64"/>
        <v/>
      </c>
      <c r="BH1752" s="321" t="str">
        <f t="shared" si="63"/>
        <v/>
      </c>
    </row>
    <row r="1753" spans="37:60" ht="30" hidden="1" customHeight="1" x14ac:dyDescent="0.25">
      <c r="AK1753" s="313"/>
      <c r="AL1753" s="313"/>
      <c r="AM1753" s="313"/>
      <c r="AN1753" s="313"/>
      <c r="AO1753" s="313"/>
      <c r="AP1753" s="313"/>
      <c r="AQ1753" s="314"/>
      <c r="AR1753" s="315" t="str">
        <f t="shared" si="64"/>
        <v/>
      </c>
      <c r="BH1753" s="321" t="str">
        <f t="shared" si="63"/>
        <v/>
      </c>
    </row>
    <row r="1754" spans="37:60" ht="30" hidden="1" customHeight="1" x14ac:dyDescent="0.25">
      <c r="AK1754" s="313"/>
      <c r="AL1754" s="313"/>
      <c r="AM1754" s="313"/>
      <c r="AN1754" s="313"/>
      <c r="AO1754" s="313"/>
      <c r="AP1754" s="313"/>
      <c r="AQ1754" s="314"/>
      <c r="AR1754" s="315" t="str">
        <f t="shared" si="64"/>
        <v/>
      </c>
      <c r="BH1754" s="321" t="str">
        <f t="shared" si="63"/>
        <v/>
      </c>
    </row>
    <row r="1755" spans="37:60" ht="30" hidden="1" customHeight="1" x14ac:dyDescent="0.25">
      <c r="AK1755" s="313"/>
      <c r="AL1755" s="313"/>
      <c r="AM1755" s="313"/>
      <c r="AN1755" s="313"/>
      <c r="AO1755" s="313"/>
      <c r="AP1755" s="313"/>
      <c r="AQ1755" s="314"/>
      <c r="AR1755" s="315" t="str">
        <f t="shared" si="64"/>
        <v/>
      </c>
    </row>
    <row r="1756" spans="37:60" ht="30" hidden="1" customHeight="1" x14ac:dyDescent="0.25">
      <c r="AK1756" s="313"/>
      <c r="AL1756" s="313"/>
      <c r="AM1756" s="313"/>
      <c r="AN1756" s="313"/>
      <c r="AO1756" s="313"/>
      <c r="AP1756" s="313"/>
      <c r="AQ1756" s="314"/>
      <c r="AR1756" s="315" t="str">
        <f t="shared" si="64"/>
        <v/>
      </c>
    </row>
    <row r="1757" spans="37:60" ht="30" hidden="1" customHeight="1" x14ac:dyDescent="0.25">
      <c r="AK1757" s="313"/>
      <c r="AL1757" s="313"/>
      <c r="AM1757" s="313"/>
      <c r="AN1757" s="313"/>
      <c r="AO1757" s="313"/>
      <c r="AP1757" s="313"/>
      <c r="AQ1757" s="314"/>
      <c r="AR1757" s="315" t="str">
        <f t="shared" si="64"/>
        <v/>
      </c>
    </row>
    <row r="1758" spans="37:60" ht="30" hidden="1" customHeight="1" x14ac:dyDescent="0.25">
      <c r="AK1758" s="313"/>
      <c r="AL1758" s="313"/>
      <c r="AM1758" s="313"/>
      <c r="AN1758" s="313"/>
      <c r="AO1758" s="313"/>
      <c r="AP1758" s="313"/>
      <c r="AQ1758" s="314"/>
      <c r="AR1758" s="315" t="str">
        <f t="shared" si="64"/>
        <v/>
      </c>
    </row>
    <row r="1759" spans="37:60" ht="30" hidden="1" customHeight="1" x14ac:dyDescent="0.25">
      <c r="AK1759" s="313"/>
      <c r="AL1759" s="313"/>
      <c r="AM1759" s="313"/>
      <c r="AN1759" s="313"/>
      <c r="AO1759" s="313"/>
      <c r="AP1759" s="313"/>
      <c r="AQ1759" s="314"/>
      <c r="AR1759" s="315" t="str">
        <f t="shared" si="64"/>
        <v/>
      </c>
    </row>
    <row r="1760" spans="37:60" ht="30" hidden="1" customHeight="1" x14ac:dyDescent="0.25">
      <c r="AK1760" s="313"/>
      <c r="AL1760" s="313"/>
      <c r="AM1760" s="313"/>
      <c r="AN1760" s="313"/>
      <c r="AO1760" s="313"/>
      <c r="AP1760" s="313"/>
      <c r="AQ1760" s="314"/>
      <c r="AR1760" s="315" t="str">
        <f t="shared" si="64"/>
        <v/>
      </c>
    </row>
    <row r="1761" spans="37:44" ht="30" hidden="1" customHeight="1" x14ac:dyDescent="0.25">
      <c r="AK1761" s="313"/>
      <c r="AL1761" s="313"/>
      <c r="AM1761" s="313"/>
      <c r="AN1761" s="313"/>
      <c r="AO1761" s="313"/>
      <c r="AP1761" s="313"/>
      <c r="AQ1761" s="314"/>
      <c r="AR1761" s="315" t="str">
        <f t="shared" si="64"/>
        <v/>
      </c>
    </row>
    <row r="1762" spans="37:44" ht="30" hidden="1" customHeight="1" x14ac:dyDescent="0.25">
      <c r="AK1762" s="313"/>
      <c r="AL1762" s="313"/>
      <c r="AM1762" s="313"/>
      <c r="AN1762" s="313"/>
      <c r="AO1762" s="313"/>
      <c r="AP1762" s="313"/>
      <c r="AQ1762" s="314"/>
      <c r="AR1762" s="315" t="str">
        <f t="shared" si="64"/>
        <v/>
      </c>
    </row>
    <row r="1763" spans="37:44" ht="30" hidden="1" customHeight="1" x14ac:dyDescent="0.25">
      <c r="AK1763" s="313"/>
      <c r="AL1763" s="313"/>
      <c r="AM1763" s="313"/>
      <c r="AN1763" s="313"/>
      <c r="AO1763" s="313"/>
      <c r="AP1763" s="313"/>
      <c r="AQ1763" s="314"/>
      <c r="AR1763" s="315" t="str">
        <f t="shared" si="64"/>
        <v/>
      </c>
    </row>
    <row r="1764" spans="37:44" ht="30" hidden="1" customHeight="1" x14ac:dyDescent="0.25">
      <c r="AK1764" s="313"/>
      <c r="AL1764" s="313"/>
      <c r="AM1764" s="313"/>
      <c r="AN1764" s="313"/>
      <c r="AO1764" s="313"/>
      <c r="AP1764" s="313"/>
      <c r="AQ1764" s="314"/>
      <c r="AR1764" s="315" t="str">
        <f t="shared" si="64"/>
        <v/>
      </c>
    </row>
    <row r="1765" spans="37:44" ht="30" hidden="1" customHeight="1" x14ac:dyDescent="0.25">
      <c r="AK1765" s="313"/>
      <c r="AL1765" s="313"/>
      <c r="AM1765" s="313"/>
      <c r="AN1765" s="313"/>
      <c r="AO1765" s="313"/>
      <c r="AP1765" s="313"/>
      <c r="AQ1765" s="314"/>
      <c r="AR1765" s="315" t="str">
        <f t="shared" si="64"/>
        <v/>
      </c>
    </row>
    <row r="1766" spans="37:44" ht="30" hidden="1" customHeight="1" x14ac:dyDescent="0.25">
      <c r="AK1766" s="313"/>
      <c r="AL1766" s="313"/>
      <c r="AM1766" s="313"/>
      <c r="AN1766" s="313"/>
      <c r="AO1766" s="313"/>
      <c r="AP1766" s="313"/>
      <c r="AQ1766" s="314"/>
      <c r="AR1766" s="315" t="str">
        <f t="shared" si="64"/>
        <v/>
      </c>
    </row>
    <row r="1767" spans="37:44" ht="30" hidden="1" customHeight="1" x14ac:dyDescent="0.25">
      <c r="AK1767" s="313"/>
      <c r="AL1767" s="313"/>
      <c r="AM1767" s="313"/>
      <c r="AN1767" s="313"/>
      <c r="AO1767" s="313"/>
      <c r="AP1767" s="313"/>
      <c r="AQ1767" s="314"/>
      <c r="AR1767" s="315" t="str">
        <f t="shared" si="64"/>
        <v/>
      </c>
    </row>
    <row r="1768" spans="37:44" ht="30" hidden="1" customHeight="1" x14ac:dyDescent="0.25">
      <c r="AK1768" s="313"/>
      <c r="AL1768" s="313"/>
      <c r="AM1768" s="313"/>
      <c r="AN1768" s="313"/>
      <c r="AO1768" s="313"/>
      <c r="AP1768" s="313"/>
      <c r="AQ1768" s="314"/>
      <c r="AR1768" s="315" t="str">
        <f t="shared" si="64"/>
        <v/>
      </c>
    </row>
    <row r="1769" spans="37:44" ht="30" hidden="1" customHeight="1" x14ac:dyDescent="0.25">
      <c r="AK1769" s="313"/>
      <c r="AL1769" s="313"/>
      <c r="AM1769" s="313"/>
      <c r="AN1769" s="313"/>
      <c r="AO1769" s="313"/>
      <c r="AP1769" s="313"/>
      <c r="AQ1769" s="314"/>
      <c r="AR1769" s="315" t="str">
        <f t="shared" si="64"/>
        <v/>
      </c>
    </row>
    <row r="1770" spans="37:44" ht="30" hidden="1" customHeight="1" x14ac:dyDescent="0.25">
      <c r="AK1770" s="313"/>
      <c r="AL1770" s="313"/>
      <c r="AM1770" s="313"/>
      <c r="AN1770" s="313"/>
      <c r="AO1770" s="313"/>
      <c r="AP1770" s="313"/>
      <c r="AQ1770" s="314"/>
      <c r="AR1770" s="315" t="str">
        <f t="shared" si="64"/>
        <v/>
      </c>
    </row>
    <row r="1771" spans="37:44" ht="30" hidden="1" customHeight="1" x14ac:dyDescent="0.25">
      <c r="AK1771" s="313"/>
      <c r="AL1771" s="313"/>
      <c r="AM1771" s="313"/>
      <c r="AN1771" s="313"/>
      <c r="AO1771" s="313"/>
      <c r="AP1771" s="313"/>
      <c r="AQ1771" s="314"/>
      <c r="AR1771" s="315" t="str">
        <f t="shared" si="64"/>
        <v/>
      </c>
    </row>
    <row r="1772" spans="37:44" ht="30" hidden="1" customHeight="1" x14ac:dyDescent="0.25">
      <c r="AK1772" s="313"/>
      <c r="AL1772" s="313"/>
      <c r="AM1772" s="313"/>
      <c r="AN1772" s="313"/>
      <c r="AO1772" s="313"/>
      <c r="AP1772" s="313"/>
      <c r="AQ1772" s="314"/>
      <c r="AR1772" s="315" t="str">
        <f t="shared" si="64"/>
        <v/>
      </c>
    </row>
    <row r="1773" spans="37:44" ht="30" hidden="1" customHeight="1" x14ac:dyDescent="0.25">
      <c r="AK1773" s="313"/>
      <c r="AL1773" s="313"/>
      <c r="AM1773" s="313"/>
      <c r="AN1773" s="313"/>
      <c r="AO1773" s="313"/>
      <c r="AP1773" s="313"/>
      <c r="AQ1773" s="314"/>
      <c r="AR1773" s="315" t="str">
        <f t="shared" si="64"/>
        <v/>
      </c>
    </row>
    <row r="1774" spans="37:44" ht="30" hidden="1" customHeight="1" x14ac:dyDescent="0.25">
      <c r="AK1774" s="313"/>
      <c r="AL1774" s="313"/>
      <c r="AM1774" s="313"/>
      <c r="AN1774" s="313"/>
      <c r="AO1774" s="313"/>
      <c r="AP1774" s="313"/>
      <c r="AQ1774" s="314"/>
      <c r="AR1774" s="315" t="str">
        <f t="shared" si="64"/>
        <v/>
      </c>
    </row>
    <row r="1775" spans="37:44" ht="30" hidden="1" customHeight="1" x14ac:dyDescent="0.25">
      <c r="AK1775" s="313"/>
      <c r="AL1775" s="313"/>
      <c r="AM1775" s="313"/>
      <c r="AN1775" s="313"/>
      <c r="AO1775" s="313"/>
      <c r="AP1775" s="313"/>
      <c r="AQ1775" s="314"/>
      <c r="AR1775" s="315" t="str">
        <f t="shared" si="64"/>
        <v/>
      </c>
    </row>
    <row r="1776" spans="37:44" ht="30" hidden="1" customHeight="1" x14ac:dyDescent="0.25">
      <c r="AK1776" s="313"/>
      <c r="AL1776" s="313"/>
      <c r="AM1776" s="313"/>
      <c r="AN1776" s="313"/>
      <c r="AO1776" s="313"/>
      <c r="AP1776" s="313"/>
      <c r="AQ1776" s="314"/>
      <c r="AR1776" s="315" t="str">
        <f t="shared" si="64"/>
        <v/>
      </c>
    </row>
    <row r="1777" spans="37:44" ht="30" hidden="1" customHeight="1" x14ac:dyDescent="0.25">
      <c r="AK1777" s="313"/>
      <c r="AL1777" s="313"/>
      <c r="AM1777" s="313"/>
      <c r="AN1777" s="313"/>
      <c r="AO1777" s="313"/>
      <c r="AP1777" s="313"/>
      <c r="AQ1777" s="314"/>
      <c r="AR1777" s="315" t="str">
        <f t="shared" si="64"/>
        <v/>
      </c>
    </row>
    <row r="1778" spans="37:44" ht="30" hidden="1" customHeight="1" x14ac:dyDescent="0.25">
      <c r="AK1778" s="313"/>
      <c r="AL1778" s="313"/>
      <c r="AM1778" s="313"/>
      <c r="AN1778" s="313"/>
      <c r="AO1778" s="313"/>
      <c r="AP1778" s="313"/>
      <c r="AQ1778" s="314"/>
      <c r="AR1778" s="315" t="str">
        <f t="shared" si="64"/>
        <v/>
      </c>
    </row>
    <row r="1779" spans="37:44" ht="30" hidden="1" customHeight="1" x14ac:dyDescent="0.25">
      <c r="AK1779" s="313"/>
      <c r="AL1779" s="313"/>
      <c r="AM1779" s="313"/>
      <c r="AN1779" s="313"/>
      <c r="AO1779" s="313"/>
      <c r="AP1779" s="313"/>
      <c r="AQ1779" s="314"/>
      <c r="AR1779" s="315" t="str">
        <f t="shared" si="64"/>
        <v/>
      </c>
    </row>
    <row r="1780" spans="37:44" ht="30" hidden="1" customHeight="1" x14ac:dyDescent="0.25">
      <c r="AK1780" s="313"/>
      <c r="AL1780" s="313"/>
      <c r="AM1780" s="313"/>
      <c r="AN1780" s="313"/>
      <c r="AO1780" s="313"/>
      <c r="AP1780" s="313"/>
      <c r="AQ1780" s="314"/>
      <c r="AR1780" s="315" t="str">
        <f t="shared" si="64"/>
        <v/>
      </c>
    </row>
    <row r="1781" spans="37:44" ht="30" hidden="1" customHeight="1" x14ac:dyDescent="0.25">
      <c r="AK1781" s="313"/>
      <c r="AL1781" s="313"/>
      <c r="AM1781" s="313"/>
      <c r="AN1781" s="313"/>
      <c r="AO1781" s="313"/>
      <c r="AP1781" s="313"/>
      <c r="AQ1781" s="314"/>
      <c r="AR1781" s="315" t="str">
        <f t="shared" si="64"/>
        <v/>
      </c>
    </row>
    <row r="1782" spans="37:44" ht="30" hidden="1" customHeight="1" x14ac:dyDescent="0.25">
      <c r="AK1782" s="313"/>
      <c r="AL1782" s="313"/>
      <c r="AM1782" s="313"/>
      <c r="AN1782" s="313"/>
      <c r="AO1782" s="313"/>
      <c r="AP1782" s="313"/>
      <c r="AQ1782" s="314"/>
      <c r="AR1782" s="315" t="str">
        <f t="shared" si="64"/>
        <v/>
      </c>
    </row>
    <row r="1783" spans="37:44" ht="30" hidden="1" customHeight="1" x14ac:dyDescent="0.25">
      <c r="AK1783" s="313"/>
      <c r="AL1783" s="313"/>
      <c r="AM1783" s="313"/>
      <c r="AN1783" s="313"/>
      <c r="AO1783" s="313"/>
      <c r="AP1783" s="313"/>
      <c r="AQ1783" s="314"/>
      <c r="AR1783" s="315" t="str">
        <f t="shared" si="64"/>
        <v/>
      </c>
    </row>
    <row r="1784" spans="37:44" ht="30" hidden="1" customHeight="1" x14ac:dyDescent="0.25">
      <c r="AK1784" s="313"/>
      <c r="AL1784" s="313"/>
      <c r="AM1784" s="313"/>
      <c r="AN1784" s="313"/>
      <c r="AO1784" s="313"/>
      <c r="AP1784" s="313"/>
      <c r="AQ1784" s="314"/>
      <c r="AR1784" s="315" t="str">
        <f t="shared" si="64"/>
        <v/>
      </c>
    </row>
    <row r="1785" spans="37:44" ht="30" hidden="1" customHeight="1" x14ac:dyDescent="0.25">
      <c r="AK1785" s="313"/>
      <c r="AL1785" s="313"/>
      <c r="AM1785" s="313"/>
      <c r="AN1785" s="313"/>
      <c r="AO1785" s="313"/>
      <c r="AP1785" s="313"/>
      <c r="AQ1785" s="314"/>
      <c r="AR1785" s="315" t="str">
        <f t="shared" si="64"/>
        <v/>
      </c>
    </row>
    <row r="1786" spans="37:44" ht="30" hidden="1" customHeight="1" x14ac:dyDescent="0.25">
      <c r="AK1786" s="313"/>
      <c r="AL1786" s="313"/>
      <c r="AM1786" s="313"/>
      <c r="AN1786" s="313"/>
      <c r="AO1786" s="313"/>
      <c r="AP1786" s="313"/>
      <c r="AQ1786" s="314"/>
      <c r="AR1786" s="315" t="str">
        <f t="shared" si="64"/>
        <v/>
      </c>
    </row>
    <row r="1787" spans="37:44" ht="30" hidden="1" customHeight="1" x14ac:dyDescent="0.25">
      <c r="AK1787" s="313"/>
      <c r="AL1787" s="313"/>
      <c r="AM1787" s="313"/>
      <c r="AN1787" s="313"/>
      <c r="AO1787" s="313"/>
      <c r="AP1787" s="313"/>
      <c r="AQ1787" s="314"/>
      <c r="AR1787" s="315" t="str">
        <f t="shared" si="64"/>
        <v/>
      </c>
    </row>
    <row r="1788" spans="37:44" ht="30" hidden="1" customHeight="1" x14ac:dyDescent="0.25">
      <c r="AK1788" s="313"/>
      <c r="AL1788" s="313"/>
      <c r="AM1788" s="313"/>
      <c r="AN1788" s="313"/>
      <c r="AO1788" s="313"/>
      <c r="AP1788" s="313"/>
      <c r="AQ1788" s="314"/>
      <c r="AR1788" s="315" t="str">
        <f t="shared" si="64"/>
        <v/>
      </c>
    </row>
    <row r="1789" spans="37:44" ht="30" hidden="1" customHeight="1" x14ac:dyDescent="0.25">
      <c r="AK1789" s="313"/>
      <c r="AL1789" s="313"/>
      <c r="AM1789" s="313"/>
      <c r="AN1789" s="313"/>
      <c r="AO1789" s="313"/>
      <c r="AP1789" s="313"/>
      <c r="AQ1789" s="314"/>
      <c r="AR1789" s="315" t="str">
        <f t="shared" si="64"/>
        <v/>
      </c>
    </row>
    <row r="1790" spans="37:44" ht="30" hidden="1" customHeight="1" x14ac:dyDescent="0.25">
      <c r="AK1790" s="313"/>
      <c r="AL1790" s="313"/>
      <c r="AM1790" s="313"/>
      <c r="AN1790" s="313"/>
      <c r="AO1790" s="313"/>
      <c r="AP1790" s="313"/>
      <c r="AQ1790" s="314"/>
      <c r="AR1790" s="315" t="str">
        <f t="shared" si="64"/>
        <v/>
      </c>
    </row>
    <row r="1791" spans="37:44" ht="30" hidden="1" customHeight="1" x14ac:dyDescent="0.25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65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 x14ac:dyDescent="0.25">
      <c r="AK1792" s="313"/>
      <c r="AL1792" s="313"/>
      <c r="AM1792" s="313"/>
      <c r="AN1792" s="313"/>
      <c r="AO1792" s="313"/>
      <c r="AP1792" s="313"/>
      <c r="AQ1792" s="314"/>
      <c r="AR1792" s="315" t="str">
        <f t="shared" si="65"/>
        <v/>
      </c>
    </row>
    <row r="1793" spans="37:44" ht="30" hidden="1" customHeight="1" x14ac:dyDescent="0.25">
      <c r="AK1793" s="313"/>
      <c r="AL1793" s="313"/>
      <c r="AM1793" s="313"/>
      <c r="AN1793" s="313"/>
      <c r="AO1793" s="313"/>
      <c r="AP1793" s="313"/>
      <c r="AQ1793" s="314"/>
      <c r="AR1793" s="315" t="str">
        <f t="shared" si="65"/>
        <v/>
      </c>
    </row>
    <row r="1794" spans="37:44" ht="30" hidden="1" customHeight="1" x14ac:dyDescent="0.25">
      <c r="AK1794" s="313"/>
      <c r="AL1794" s="313"/>
      <c r="AM1794" s="313"/>
      <c r="AN1794" s="313"/>
      <c r="AO1794" s="313"/>
      <c r="AP1794" s="313"/>
      <c r="AQ1794" s="314"/>
      <c r="AR1794" s="315" t="str">
        <f t="shared" si="65"/>
        <v/>
      </c>
    </row>
    <row r="1795" spans="37:44" ht="30" hidden="1" customHeight="1" x14ac:dyDescent="0.25">
      <c r="AK1795" s="313"/>
      <c r="AL1795" s="313"/>
      <c r="AM1795" s="313"/>
      <c r="AN1795" s="313"/>
      <c r="AO1795" s="313"/>
      <c r="AP1795" s="313"/>
      <c r="AQ1795" s="314"/>
      <c r="AR1795" s="315" t="str">
        <f t="shared" si="65"/>
        <v/>
      </c>
    </row>
    <row r="1796" spans="37:44" ht="30" hidden="1" customHeight="1" x14ac:dyDescent="0.25">
      <c r="AK1796" s="313"/>
      <c r="AL1796" s="313"/>
      <c r="AM1796" s="313"/>
      <c r="AN1796" s="313"/>
      <c r="AO1796" s="313"/>
      <c r="AP1796" s="313"/>
      <c r="AQ1796" s="314"/>
      <c r="AR1796" s="315" t="str">
        <f t="shared" si="65"/>
        <v/>
      </c>
    </row>
    <row r="1797" spans="37:44" ht="30" hidden="1" customHeight="1" x14ac:dyDescent="0.25">
      <c r="AK1797" s="313"/>
      <c r="AL1797" s="313"/>
      <c r="AM1797" s="313"/>
      <c r="AN1797" s="313"/>
      <c r="AO1797" s="313"/>
      <c r="AP1797" s="313"/>
      <c r="AQ1797" s="314"/>
      <c r="AR1797" s="315" t="str">
        <f t="shared" si="65"/>
        <v/>
      </c>
    </row>
    <row r="1798" spans="37:44" ht="30" hidden="1" customHeight="1" x14ac:dyDescent="0.25">
      <c r="AK1798" s="313"/>
      <c r="AL1798" s="313"/>
      <c r="AM1798" s="313"/>
      <c r="AN1798" s="313"/>
      <c r="AO1798" s="313"/>
      <c r="AP1798" s="313"/>
      <c r="AQ1798" s="314"/>
      <c r="AR1798" s="315" t="str">
        <f t="shared" si="65"/>
        <v/>
      </c>
    </row>
    <row r="1799" spans="37:44" ht="30" hidden="1" customHeight="1" x14ac:dyDescent="0.25">
      <c r="AK1799" s="313"/>
      <c r="AL1799" s="313"/>
      <c r="AM1799" s="313"/>
      <c r="AN1799" s="313"/>
      <c r="AO1799" s="313"/>
      <c r="AP1799" s="313"/>
      <c r="AQ1799" s="314"/>
      <c r="AR1799" s="315" t="str">
        <f t="shared" si="65"/>
        <v/>
      </c>
    </row>
    <row r="1800" spans="37:44" ht="30" hidden="1" customHeight="1" x14ac:dyDescent="0.25">
      <c r="AK1800" s="313"/>
      <c r="AL1800" s="313"/>
      <c r="AM1800" s="313"/>
      <c r="AN1800" s="313"/>
      <c r="AO1800" s="313"/>
      <c r="AP1800" s="313"/>
      <c r="AQ1800" s="314"/>
      <c r="AR1800" s="315" t="str">
        <f t="shared" si="65"/>
        <v/>
      </c>
    </row>
    <row r="1801" spans="37:44" ht="30" hidden="1" customHeight="1" x14ac:dyDescent="0.25">
      <c r="AK1801" s="313"/>
      <c r="AL1801" s="313"/>
      <c r="AM1801" s="313"/>
      <c r="AN1801" s="313"/>
      <c r="AO1801" s="313"/>
      <c r="AP1801" s="313"/>
      <c r="AQ1801" s="314"/>
      <c r="AR1801" s="315" t="str">
        <f t="shared" si="65"/>
        <v/>
      </c>
    </row>
    <row r="1802" spans="37:44" ht="30" hidden="1" customHeight="1" x14ac:dyDescent="0.25">
      <c r="AK1802" s="313"/>
      <c r="AL1802" s="313"/>
      <c r="AM1802" s="313"/>
      <c r="AN1802" s="313"/>
      <c r="AO1802" s="313"/>
      <c r="AP1802" s="313"/>
      <c r="AQ1802" s="314"/>
      <c r="AR1802" s="315" t="str">
        <f t="shared" si="65"/>
        <v/>
      </c>
    </row>
    <row r="1803" spans="37:44" ht="30" hidden="1" customHeight="1" x14ac:dyDescent="0.25">
      <c r="AK1803" s="313"/>
      <c r="AL1803" s="313"/>
      <c r="AM1803" s="313"/>
      <c r="AN1803" s="313"/>
      <c r="AO1803" s="313"/>
      <c r="AP1803" s="313"/>
      <c r="AQ1803" s="314"/>
      <c r="AR1803" s="315" t="str">
        <f t="shared" si="65"/>
        <v/>
      </c>
    </row>
    <row r="1804" spans="37:44" ht="30" hidden="1" customHeight="1" x14ac:dyDescent="0.25">
      <c r="AK1804" s="313"/>
      <c r="AL1804" s="313"/>
      <c r="AM1804" s="313"/>
      <c r="AN1804" s="313"/>
      <c r="AO1804" s="313"/>
      <c r="AP1804" s="313"/>
      <c r="AQ1804" s="314"/>
      <c r="AR1804" s="315" t="str">
        <f t="shared" si="65"/>
        <v/>
      </c>
    </row>
    <row r="1805" spans="37:44" ht="30" hidden="1" customHeight="1" x14ac:dyDescent="0.25">
      <c r="AK1805" s="313"/>
      <c r="AL1805" s="313"/>
      <c r="AM1805" s="313"/>
      <c r="AN1805" s="313"/>
      <c r="AO1805" s="313"/>
      <c r="AP1805" s="313"/>
      <c r="AQ1805" s="314"/>
      <c r="AR1805" s="315" t="str">
        <f t="shared" si="65"/>
        <v/>
      </c>
    </row>
    <row r="1806" spans="37:44" ht="30" hidden="1" customHeight="1" x14ac:dyDescent="0.25">
      <c r="AK1806" s="313"/>
      <c r="AL1806" s="313"/>
      <c r="AM1806" s="313"/>
      <c r="AN1806" s="313"/>
      <c r="AO1806" s="313"/>
      <c r="AP1806" s="313"/>
      <c r="AQ1806" s="314"/>
      <c r="AR1806" s="315" t="str">
        <f t="shared" si="65"/>
        <v/>
      </c>
    </row>
    <row r="1807" spans="37:44" ht="30" hidden="1" customHeight="1" x14ac:dyDescent="0.25">
      <c r="AK1807" s="313"/>
      <c r="AL1807" s="313"/>
      <c r="AM1807" s="313"/>
      <c r="AN1807" s="313"/>
      <c r="AO1807" s="313"/>
      <c r="AP1807" s="313"/>
      <c r="AQ1807" s="314"/>
      <c r="AR1807" s="315" t="str">
        <f t="shared" si="65"/>
        <v/>
      </c>
    </row>
    <row r="1808" spans="37:44" ht="30" hidden="1" customHeight="1" x14ac:dyDescent="0.25">
      <c r="AK1808" s="313"/>
      <c r="AL1808" s="313"/>
      <c r="AM1808" s="313"/>
      <c r="AN1808" s="313"/>
      <c r="AO1808" s="313"/>
      <c r="AP1808" s="313"/>
      <c r="AQ1808" s="314"/>
      <c r="AR1808" s="315" t="str">
        <f t="shared" si="65"/>
        <v/>
      </c>
    </row>
    <row r="1809" spans="37:44" ht="30" hidden="1" customHeight="1" x14ac:dyDescent="0.25">
      <c r="AK1809" s="313"/>
      <c r="AL1809" s="313"/>
      <c r="AM1809" s="313"/>
      <c r="AN1809" s="313"/>
      <c r="AO1809" s="313"/>
      <c r="AP1809" s="313"/>
      <c r="AQ1809" s="314"/>
      <c r="AR1809" s="315" t="str">
        <f t="shared" si="65"/>
        <v/>
      </c>
    </row>
    <row r="1810" spans="37:44" ht="30" hidden="1" customHeight="1" x14ac:dyDescent="0.25">
      <c r="AK1810" s="313"/>
      <c r="AL1810" s="313"/>
      <c r="AM1810" s="313"/>
      <c r="AN1810" s="313"/>
      <c r="AO1810" s="313"/>
      <c r="AP1810" s="313"/>
      <c r="AQ1810" s="314"/>
      <c r="AR1810" s="315" t="str">
        <f t="shared" si="65"/>
        <v/>
      </c>
    </row>
    <row r="1811" spans="37:44" ht="30" hidden="1" customHeight="1" x14ac:dyDescent="0.25">
      <c r="AK1811" s="313"/>
      <c r="AL1811" s="313"/>
      <c r="AM1811" s="313"/>
      <c r="AN1811" s="313"/>
      <c r="AO1811" s="313"/>
      <c r="AP1811" s="313"/>
      <c r="AQ1811" s="314"/>
      <c r="AR1811" s="315" t="str">
        <f t="shared" si="65"/>
        <v/>
      </c>
    </row>
    <row r="1812" spans="37:44" ht="30" hidden="1" customHeight="1" x14ac:dyDescent="0.25">
      <c r="AK1812" s="313"/>
      <c r="AL1812" s="313"/>
      <c r="AM1812" s="313"/>
      <c r="AN1812" s="313"/>
      <c r="AO1812" s="313"/>
      <c r="AP1812" s="313"/>
      <c r="AQ1812" s="314"/>
      <c r="AR1812" s="315" t="str">
        <f t="shared" si="65"/>
        <v/>
      </c>
    </row>
    <row r="1813" spans="37:44" ht="30" hidden="1" customHeight="1" x14ac:dyDescent="0.25">
      <c r="AK1813" s="313"/>
      <c r="AL1813" s="313"/>
      <c r="AM1813" s="313"/>
      <c r="AN1813" s="313"/>
      <c r="AO1813" s="313"/>
      <c r="AP1813" s="313"/>
      <c r="AQ1813" s="314"/>
      <c r="AR1813" s="315" t="str">
        <f t="shared" si="65"/>
        <v/>
      </c>
    </row>
    <row r="1814" spans="37:44" ht="30" hidden="1" customHeight="1" x14ac:dyDescent="0.25">
      <c r="AK1814" s="313"/>
      <c r="AL1814" s="313"/>
      <c r="AM1814" s="313"/>
      <c r="AN1814" s="313"/>
      <c r="AO1814" s="313"/>
      <c r="AP1814" s="313"/>
      <c r="AQ1814" s="314"/>
      <c r="AR1814" s="315" t="str">
        <f t="shared" si="65"/>
        <v/>
      </c>
    </row>
    <row r="1815" spans="37:44" ht="30" hidden="1" customHeight="1" x14ac:dyDescent="0.25">
      <c r="AK1815" s="313"/>
      <c r="AL1815" s="313"/>
      <c r="AM1815" s="313"/>
      <c r="AN1815" s="313"/>
      <c r="AO1815" s="313"/>
      <c r="AP1815" s="313"/>
      <c r="AQ1815" s="314"/>
      <c r="AR1815" s="315" t="str">
        <f t="shared" si="65"/>
        <v/>
      </c>
    </row>
    <row r="1816" spans="37:44" ht="30" hidden="1" customHeight="1" x14ac:dyDescent="0.25">
      <c r="AK1816" s="313"/>
      <c r="AL1816" s="313"/>
      <c r="AM1816" s="313"/>
      <c r="AN1816" s="313"/>
      <c r="AO1816" s="313"/>
      <c r="AP1816" s="313"/>
      <c r="AQ1816" s="314"/>
      <c r="AR1816" s="315" t="str">
        <f t="shared" si="65"/>
        <v/>
      </c>
    </row>
    <row r="1817" spans="37:44" ht="30" hidden="1" customHeight="1" x14ac:dyDescent="0.25">
      <c r="AK1817" s="313"/>
      <c r="AL1817" s="313"/>
      <c r="AM1817" s="313"/>
      <c r="AN1817" s="313"/>
      <c r="AO1817" s="313"/>
      <c r="AP1817" s="313"/>
      <c r="AQ1817" s="314"/>
      <c r="AR1817" s="315" t="str">
        <f t="shared" si="65"/>
        <v/>
      </c>
    </row>
    <row r="1818" spans="37:44" ht="30" hidden="1" customHeight="1" x14ac:dyDescent="0.25">
      <c r="AK1818" s="313"/>
      <c r="AL1818" s="313"/>
      <c r="AM1818" s="313"/>
      <c r="AN1818" s="313"/>
      <c r="AO1818" s="313"/>
      <c r="AP1818" s="313"/>
      <c r="AQ1818" s="314"/>
      <c r="AR1818" s="315" t="str">
        <f t="shared" si="65"/>
        <v/>
      </c>
    </row>
    <row r="1819" spans="37:44" ht="30" hidden="1" customHeight="1" x14ac:dyDescent="0.25">
      <c r="AK1819" s="313"/>
      <c r="AL1819" s="313"/>
      <c r="AM1819" s="313"/>
      <c r="AN1819" s="313"/>
      <c r="AO1819" s="313"/>
      <c r="AP1819" s="313"/>
      <c r="AQ1819" s="314"/>
      <c r="AR1819" s="315" t="str">
        <f t="shared" si="65"/>
        <v/>
      </c>
    </row>
    <row r="1820" spans="37:44" ht="30" hidden="1" customHeight="1" x14ac:dyDescent="0.25">
      <c r="AK1820" s="313"/>
      <c r="AL1820" s="313"/>
      <c r="AM1820" s="313"/>
      <c r="AN1820" s="313"/>
      <c r="AO1820" s="313"/>
      <c r="AP1820" s="313"/>
      <c r="AQ1820" s="314"/>
      <c r="AR1820" s="315" t="str">
        <f t="shared" si="65"/>
        <v/>
      </c>
    </row>
    <row r="1821" spans="37:44" ht="30" hidden="1" customHeight="1" x14ac:dyDescent="0.25">
      <c r="AK1821" s="313"/>
      <c r="AL1821" s="313"/>
      <c r="AM1821" s="313"/>
      <c r="AN1821" s="313"/>
      <c r="AO1821" s="313"/>
      <c r="AP1821" s="313"/>
      <c r="AQ1821" s="314"/>
      <c r="AR1821" s="315" t="str">
        <f t="shared" si="65"/>
        <v/>
      </c>
    </row>
    <row r="1822" spans="37:44" ht="30" hidden="1" customHeight="1" x14ac:dyDescent="0.25">
      <c r="AK1822" s="313"/>
      <c r="AL1822" s="313"/>
      <c r="AM1822" s="313"/>
      <c r="AN1822" s="313"/>
      <c r="AO1822" s="313"/>
      <c r="AP1822" s="313"/>
      <c r="AQ1822" s="314"/>
      <c r="AR1822" s="315" t="str">
        <f t="shared" si="65"/>
        <v/>
      </c>
    </row>
    <row r="1823" spans="37:44" ht="30" hidden="1" customHeight="1" x14ac:dyDescent="0.25">
      <c r="AK1823" s="313"/>
      <c r="AL1823" s="313"/>
      <c r="AM1823" s="313"/>
      <c r="AN1823" s="313"/>
      <c r="AO1823" s="313"/>
      <c r="AP1823" s="313"/>
      <c r="AQ1823" s="314"/>
      <c r="AR1823" s="315" t="str">
        <f t="shared" si="65"/>
        <v/>
      </c>
    </row>
    <row r="1824" spans="37:44" ht="30" hidden="1" customHeight="1" x14ac:dyDescent="0.25">
      <c r="AK1824" s="313"/>
      <c r="AL1824" s="313"/>
      <c r="AM1824" s="313"/>
      <c r="AN1824" s="313"/>
      <c r="AO1824" s="313"/>
      <c r="AP1824" s="313"/>
      <c r="AQ1824" s="314"/>
      <c r="AR1824" s="315" t="str">
        <f t="shared" si="65"/>
        <v/>
      </c>
    </row>
    <row r="1825" spans="37:44" ht="30" hidden="1" customHeight="1" x14ac:dyDescent="0.25">
      <c r="AK1825" s="313"/>
      <c r="AL1825" s="313"/>
      <c r="AM1825" s="313"/>
      <c r="AN1825" s="313"/>
      <c r="AO1825" s="313"/>
      <c r="AP1825" s="313"/>
      <c r="AQ1825" s="314"/>
      <c r="AR1825" s="315" t="str">
        <f t="shared" si="65"/>
        <v/>
      </c>
    </row>
    <row r="1826" spans="37:44" ht="30" hidden="1" customHeight="1" x14ac:dyDescent="0.25">
      <c r="AK1826" s="313"/>
      <c r="AL1826" s="313"/>
      <c r="AM1826" s="313"/>
      <c r="AN1826" s="313"/>
      <c r="AO1826" s="313"/>
      <c r="AP1826" s="313"/>
      <c r="AQ1826" s="314"/>
      <c r="AR1826" s="315" t="str">
        <f t="shared" si="65"/>
        <v/>
      </c>
    </row>
    <row r="1827" spans="37:44" ht="30" hidden="1" customHeight="1" x14ac:dyDescent="0.25">
      <c r="AK1827" s="313"/>
      <c r="AL1827" s="313"/>
      <c r="AM1827" s="313"/>
      <c r="AN1827" s="313"/>
      <c r="AO1827" s="313"/>
      <c r="AP1827" s="313"/>
      <c r="AQ1827" s="314"/>
      <c r="AR1827" s="315" t="str">
        <f t="shared" si="65"/>
        <v/>
      </c>
    </row>
    <row r="1828" spans="37:44" ht="30" hidden="1" customHeight="1" x14ac:dyDescent="0.25">
      <c r="AK1828" s="313"/>
      <c r="AL1828" s="313"/>
      <c r="AM1828" s="313"/>
      <c r="AN1828" s="313"/>
      <c r="AO1828" s="313"/>
      <c r="AP1828" s="313"/>
      <c r="AQ1828" s="314"/>
      <c r="AR1828" s="315" t="str">
        <f t="shared" si="65"/>
        <v/>
      </c>
    </row>
    <row r="1829" spans="37:44" ht="30" hidden="1" customHeight="1" x14ac:dyDescent="0.25">
      <c r="AK1829" s="313"/>
      <c r="AL1829" s="313"/>
      <c r="AM1829" s="313"/>
      <c r="AN1829" s="313"/>
      <c r="AO1829" s="313"/>
      <c r="AP1829" s="313"/>
      <c r="AQ1829" s="314"/>
      <c r="AR1829" s="315" t="str">
        <f t="shared" si="65"/>
        <v/>
      </c>
    </row>
    <row r="1830" spans="37:44" ht="30" hidden="1" customHeight="1" x14ac:dyDescent="0.25">
      <c r="AK1830" s="313"/>
      <c r="AL1830" s="313"/>
      <c r="AM1830" s="313"/>
      <c r="AN1830" s="313"/>
      <c r="AO1830" s="313"/>
      <c r="AP1830" s="313"/>
      <c r="AQ1830" s="314"/>
      <c r="AR1830" s="315" t="str">
        <f t="shared" si="65"/>
        <v/>
      </c>
    </row>
    <row r="1831" spans="37:44" ht="30" hidden="1" customHeight="1" x14ac:dyDescent="0.25">
      <c r="AK1831" s="313"/>
      <c r="AL1831" s="313"/>
      <c r="AM1831" s="313"/>
      <c r="AN1831" s="313"/>
      <c r="AO1831" s="313"/>
      <c r="AP1831" s="313"/>
      <c r="AQ1831" s="314"/>
      <c r="AR1831" s="315" t="str">
        <f t="shared" si="65"/>
        <v/>
      </c>
    </row>
    <row r="1832" spans="37:44" ht="30" hidden="1" customHeight="1" x14ac:dyDescent="0.25">
      <c r="AK1832" s="313"/>
      <c r="AL1832" s="313"/>
      <c r="AM1832" s="313"/>
      <c r="AN1832" s="313"/>
      <c r="AO1832" s="313"/>
      <c r="AP1832" s="313"/>
      <c r="AQ1832" s="314"/>
      <c r="AR1832" s="315" t="str">
        <f t="shared" si="65"/>
        <v/>
      </c>
    </row>
    <row r="1833" spans="37:44" ht="30" hidden="1" customHeight="1" x14ac:dyDescent="0.25">
      <c r="AK1833" s="313"/>
      <c r="AL1833" s="313"/>
      <c r="AM1833" s="313"/>
      <c r="AN1833" s="313"/>
      <c r="AO1833" s="313"/>
      <c r="AP1833" s="313"/>
      <c r="AQ1833" s="314"/>
      <c r="AR1833" s="315" t="str">
        <f t="shared" si="65"/>
        <v/>
      </c>
    </row>
    <row r="1834" spans="37:44" ht="30" hidden="1" customHeight="1" x14ac:dyDescent="0.25">
      <c r="AK1834" s="313"/>
      <c r="AL1834" s="313"/>
      <c r="AM1834" s="313"/>
      <c r="AN1834" s="313"/>
      <c r="AO1834" s="313"/>
      <c r="AP1834" s="313"/>
      <c r="AQ1834" s="314"/>
      <c r="AR1834" s="315" t="str">
        <f t="shared" si="65"/>
        <v/>
      </c>
    </row>
    <row r="1835" spans="37:44" ht="30" hidden="1" customHeight="1" x14ac:dyDescent="0.25">
      <c r="AK1835" s="313"/>
      <c r="AL1835" s="313"/>
      <c r="AM1835" s="313"/>
      <c r="AN1835" s="313"/>
      <c r="AO1835" s="313"/>
      <c r="AP1835" s="313"/>
      <c r="AQ1835" s="314"/>
      <c r="AR1835" s="315" t="str">
        <f t="shared" si="65"/>
        <v/>
      </c>
    </row>
    <row r="1836" spans="37:44" ht="30" hidden="1" customHeight="1" x14ac:dyDescent="0.25">
      <c r="AK1836" s="313"/>
      <c r="AL1836" s="313"/>
      <c r="AM1836" s="313"/>
      <c r="AN1836" s="313"/>
      <c r="AO1836" s="313"/>
      <c r="AP1836" s="313"/>
      <c r="AQ1836" s="314"/>
      <c r="AR1836" s="315" t="str">
        <f t="shared" si="65"/>
        <v/>
      </c>
    </row>
    <row r="1837" spans="37:44" ht="30" hidden="1" customHeight="1" x14ac:dyDescent="0.25">
      <c r="AK1837" s="313"/>
      <c r="AL1837" s="313"/>
      <c r="AM1837" s="313"/>
      <c r="AN1837" s="313"/>
      <c r="AO1837" s="313"/>
      <c r="AP1837" s="313"/>
      <c r="AQ1837" s="314"/>
      <c r="AR1837" s="315" t="str">
        <f t="shared" si="65"/>
        <v/>
      </c>
    </row>
    <row r="1838" spans="37:44" ht="30" hidden="1" customHeight="1" x14ac:dyDescent="0.25">
      <c r="AK1838" s="313"/>
      <c r="AL1838" s="313"/>
      <c r="AM1838" s="313"/>
      <c r="AN1838" s="313"/>
      <c r="AO1838" s="313"/>
      <c r="AP1838" s="313"/>
      <c r="AQ1838" s="314"/>
      <c r="AR1838" s="315" t="str">
        <f t="shared" si="65"/>
        <v/>
      </c>
    </row>
    <row r="1839" spans="37:44" ht="30" hidden="1" customHeight="1" x14ac:dyDescent="0.25">
      <c r="AK1839" s="313"/>
      <c r="AL1839" s="313"/>
      <c r="AM1839" s="313"/>
      <c r="AN1839" s="313"/>
      <c r="AO1839" s="313"/>
      <c r="AP1839" s="313"/>
      <c r="AQ1839" s="314"/>
      <c r="AR1839" s="315" t="str">
        <f t="shared" si="65"/>
        <v/>
      </c>
    </row>
    <row r="1840" spans="37:44" ht="30" hidden="1" customHeight="1" x14ac:dyDescent="0.25">
      <c r="AK1840" s="313"/>
      <c r="AL1840" s="313"/>
      <c r="AM1840" s="313"/>
      <c r="AN1840" s="313"/>
      <c r="AO1840" s="313"/>
      <c r="AP1840" s="313"/>
      <c r="AQ1840" s="314"/>
      <c r="AR1840" s="315" t="str">
        <f t="shared" si="65"/>
        <v/>
      </c>
    </row>
    <row r="1841" spans="37:44" ht="30" hidden="1" customHeight="1" x14ac:dyDescent="0.25">
      <c r="AK1841" s="313"/>
      <c r="AL1841" s="313"/>
      <c r="AM1841" s="313"/>
      <c r="AN1841" s="313"/>
      <c r="AO1841" s="313"/>
      <c r="AP1841" s="313"/>
      <c r="AQ1841" s="314"/>
      <c r="AR1841" s="315" t="str">
        <f t="shared" si="65"/>
        <v/>
      </c>
    </row>
    <row r="1842" spans="37:44" ht="30" hidden="1" customHeight="1" x14ac:dyDescent="0.25">
      <c r="AK1842" s="313"/>
      <c r="AL1842" s="313"/>
      <c r="AM1842" s="313"/>
      <c r="AN1842" s="313"/>
      <c r="AO1842" s="313"/>
      <c r="AP1842" s="313"/>
      <c r="AQ1842" s="314"/>
      <c r="AR1842" s="315" t="str">
        <f t="shared" si="65"/>
        <v/>
      </c>
    </row>
    <row r="1843" spans="37:44" ht="30" hidden="1" customHeight="1" x14ac:dyDescent="0.25">
      <c r="AK1843" s="313"/>
      <c r="AL1843" s="313"/>
      <c r="AM1843" s="313"/>
      <c r="AN1843" s="313"/>
      <c r="AO1843" s="313"/>
      <c r="AP1843" s="313"/>
      <c r="AQ1843" s="314"/>
      <c r="AR1843" s="315" t="str">
        <f t="shared" si="65"/>
        <v/>
      </c>
    </row>
    <row r="1844" spans="37:44" ht="30" hidden="1" customHeight="1" x14ac:dyDescent="0.25">
      <c r="AK1844" s="313"/>
      <c r="AL1844" s="313"/>
      <c r="AM1844" s="313"/>
      <c r="AN1844" s="313"/>
      <c r="AO1844" s="313"/>
      <c r="AP1844" s="313"/>
      <c r="AQ1844" s="314"/>
      <c r="AR1844" s="315" t="str">
        <f t="shared" si="65"/>
        <v/>
      </c>
    </row>
    <row r="1845" spans="37:44" ht="30" hidden="1" customHeight="1" x14ac:dyDescent="0.25">
      <c r="AK1845" s="313"/>
      <c r="AL1845" s="313"/>
      <c r="AM1845" s="313"/>
      <c r="AN1845" s="313"/>
      <c r="AO1845" s="313"/>
      <c r="AP1845" s="313"/>
      <c r="AQ1845" s="314"/>
      <c r="AR1845" s="315" t="str">
        <f t="shared" si="65"/>
        <v/>
      </c>
    </row>
    <row r="1846" spans="37:44" ht="30" hidden="1" customHeight="1" x14ac:dyDescent="0.25">
      <c r="AK1846" s="313"/>
      <c r="AL1846" s="313"/>
      <c r="AM1846" s="313"/>
      <c r="AN1846" s="313"/>
      <c r="AO1846" s="313"/>
      <c r="AP1846" s="313"/>
      <c r="AQ1846" s="314"/>
      <c r="AR1846" s="315" t="str">
        <f t="shared" si="65"/>
        <v/>
      </c>
    </row>
    <row r="1847" spans="37:44" ht="30" hidden="1" customHeight="1" x14ac:dyDescent="0.25">
      <c r="AK1847" s="313"/>
      <c r="AL1847" s="313"/>
      <c r="AM1847" s="313"/>
      <c r="AN1847" s="313"/>
      <c r="AO1847" s="313"/>
      <c r="AP1847" s="313"/>
      <c r="AQ1847" s="314"/>
      <c r="AR1847" s="315" t="str">
        <f t="shared" si="65"/>
        <v/>
      </c>
    </row>
    <row r="1848" spans="37:44" ht="30" hidden="1" customHeight="1" x14ac:dyDescent="0.25">
      <c r="AK1848" s="313"/>
      <c r="AL1848" s="313"/>
      <c r="AM1848" s="313"/>
      <c r="AN1848" s="313"/>
      <c r="AO1848" s="313"/>
      <c r="AP1848" s="313"/>
      <c r="AQ1848" s="314"/>
      <c r="AR1848" s="315" t="str">
        <f t="shared" si="65"/>
        <v/>
      </c>
    </row>
    <row r="1849" spans="37:44" ht="30" hidden="1" customHeight="1" x14ac:dyDescent="0.25">
      <c r="AK1849" s="313"/>
      <c r="AL1849" s="313"/>
      <c r="AM1849" s="313"/>
      <c r="AN1849" s="313"/>
      <c r="AO1849" s="313"/>
      <c r="AP1849" s="313"/>
      <c r="AQ1849" s="314"/>
      <c r="AR1849" s="315" t="str">
        <f t="shared" si="65"/>
        <v/>
      </c>
    </row>
    <row r="1850" spans="37:44" ht="30" hidden="1" customHeight="1" x14ac:dyDescent="0.25">
      <c r="AK1850" s="313"/>
      <c r="AL1850" s="313"/>
      <c r="AM1850" s="313"/>
      <c r="AN1850" s="313"/>
      <c r="AO1850" s="313"/>
      <c r="AP1850" s="313"/>
      <c r="AQ1850" s="314"/>
      <c r="AR1850" s="315" t="str">
        <f t="shared" si="65"/>
        <v/>
      </c>
    </row>
    <row r="1851" spans="37:44" ht="30" hidden="1" customHeight="1" x14ac:dyDescent="0.25">
      <c r="AK1851" s="313"/>
      <c r="AL1851" s="313"/>
      <c r="AM1851" s="313"/>
      <c r="AN1851" s="313"/>
      <c r="AO1851" s="313"/>
      <c r="AP1851" s="313"/>
      <c r="AQ1851" s="314"/>
      <c r="AR1851" s="315" t="str">
        <f t="shared" si="65"/>
        <v/>
      </c>
    </row>
    <row r="1852" spans="37:44" ht="30" hidden="1" customHeight="1" x14ac:dyDescent="0.25">
      <c r="AK1852" s="313"/>
      <c r="AL1852" s="313"/>
      <c r="AM1852" s="313"/>
      <c r="AN1852" s="313"/>
      <c r="AO1852" s="313"/>
      <c r="AP1852" s="313"/>
      <c r="AQ1852" s="314"/>
      <c r="AR1852" s="315" t="str">
        <f t="shared" si="65"/>
        <v/>
      </c>
    </row>
    <row r="1853" spans="37:44" ht="30" hidden="1" customHeight="1" x14ac:dyDescent="0.25">
      <c r="AK1853" s="313"/>
      <c r="AL1853" s="313"/>
      <c r="AM1853" s="313"/>
      <c r="AN1853" s="313"/>
      <c r="AO1853" s="313"/>
      <c r="AP1853" s="313"/>
      <c r="AQ1853" s="314"/>
      <c r="AR1853" s="315" t="str">
        <f t="shared" si="65"/>
        <v/>
      </c>
    </row>
    <row r="1854" spans="37:44" ht="30" hidden="1" customHeight="1" x14ac:dyDescent="0.25">
      <c r="AK1854" s="313"/>
      <c r="AL1854" s="313"/>
      <c r="AM1854" s="313"/>
      <c r="AN1854" s="313"/>
      <c r="AO1854" s="313"/>
      <c r="AP1854" s="313"/>
      <c r="AQ1854" s="314"/>
      <c r="AR1854" s="315" t="str">
        <f t="shared" si="65"/>
        <v/>
      </c>
    </row>
    <row r="1855" spans="37:44" ht="30" hidden="1" customHeight="1" x14ac:dyDescent="0.25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66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 x14ac:dyDescent="0.25">
      <c r="AK1856" s="313"/>
      <c r="AL1856" s="313"/>
      <c r="AM1856" s="313"/>
      <c r="AN1856" s="313"/>
      <c r="AO1856" s="313"/>
      <c r="AP1856" s="313"/>
      <c r="AQ1856" s="314"/>
      <c r="AR1856" s="315" t="str">
        <f t="shared" si="66"/>
        <v/>
      </c>
    </row>
    <row r="1857" spans="37:44" ht="30" hidden="1" customHeight="1" x14ac:dyDescent="0.25">
      <c r="AK1857" s="313"/>
      <c r="AL1857" s="313"/>
      <c r="AM1857" s="313"/>
      <c r="AN1857" s="313"/>
      <c r="AO1857" s="313"/>
      <c r="AP1857" s="313"/>
      <c r="AQ1857" s="314"/>
      <c r="AR1857" s="315" t="str">
        <f t="shared" si="66"/>
        <v/>
      </c>
    </row>
    <row r="1858" spans="37:44" ht="30" hidden="1" customHeight="1" x14ac:dyDescent="0.25">
      <c r="AK1858" s="313"/>
      <c r="AL1858" s="313"/>
      <c r="AM1858" s="313"/>
      <c r="AN1858" s="313"/>
      <c r="AO1858" s="313"/>
      <c r="AP1858" s="313"/>
      <c r="AQ1858" s="314"/>
      <c r="AR1858" s="315" t="str">
        <f t="shared" si="66"/>
        <v/>
      </c>
    </row>
    <row r="1859" spans="37:44" ht="30" hidden="1" customHeight="1" x14ac:dyDescent="0.25">
      <c r="AK1859" s="313"/>
      <c r="AL1859" s="313"/>
      <c r="AM1859" s="313"/>
      <c r="AN1859" s="313"/>
      <c r="AO1859" s="313"/>
      <c r="AP1859" s="313"/>
      <c r="AQ1859" s="314"/>
      <c r="AR1859" s="315" t="str">
        <f t="shared" si="66"/>
        <v/>
      </c>
    </row>
    <row r="1860" spans="37:44" ht="30" hidden="1" customHeight="1" x14ac:dyDescent="0.25">
      <c r="AK1860" s="313"/>
      <c r="AL1860" s="313"/>
      <c r="AM1860" s="313"/>
      <c r="AN1860" s="313"/>
      <c r="AO1860" s="313"/>
      <c r="AP1860" s="313"/>
      <c r="AQ1860" s="314"/>
      <c r="AR1860" s="315" t="str">
        <f t="shared" si="66"/>
        <v/>
      </c>
    </row>
    <row r="1861" spans="37:44" ht="30" hidden="1" customHeight="1" x14ac:dyDescent="0.25">
      <c r="AK1861" s="313"/>
      <c r="AL1861" s="313"/>
      <c r="AM1861" s="313"/>
      <c r="AN1861" s="313"/>
      <c r="AO1861" s="313"/>
      <c r="AP1861" s="313"/>
      <c r="AQ1861" s="314"/>
      <c r="AR1861" s="315" t="str">
        <f t="shared" si="66"/>
        <v/>
      </c>
    </row>
    <row r="1862" spans="37:44" ht="30" hidden="1" customHeight="1" x14ac:dyDescent="0.25">
      <c r="AK1862" s="313"/>
      <c r="AL1862" s="313"/>
      <c r="AM1862" s="313"/>
      <c r="AN1862" s="313"/>
      <c r="AO1862" s="313"/>
      <c r="AP1862" s="313"/>
      <c r="AQ1862" s="314"/>
      <c r="AR1862" s="315" t="str">
        <f t="shared" si="66"/>
        <v/>
      </c>
    </row>
    <row r="1863" spans="37:44" ht="30" hidden="1" customHeight="1" x14ac:dyDescent="0.25">
      <c r="AK1863" s="313"/>
      <c r="AL1863" s="313"/>
      <c r="AM1863" s="313"/>
      <c r="AN1863" s="313"/>
      <c r="AO1863" s="313"/>
      <c r="AP1863" s="313"/>
      <c r="AQ1863" s="314"/>
      <c r="AR1863" s="315" t="str">
        <f t="shared" si="66"/>
        <v/>
      </c>
    </row>
    <row r="1864" spans="37:44" ht="30" hidden="1" customHeight="1" x14ac:dyDescent="0.25">
      <c r="AK1864" s="313"/>
      <c r="AL1864" s="313"/>
      <c r="AM1864" s="313"/>
      <c r="AN1864" s="313"/>
      <c r="AO1864" s="313"/>
      <c r="AP1864" s="313"/>
      <c r="AQ1864" s="314"/>
      <c r="AR1864" s="315" t="str">
        <f t="shared" si="66"/>
        <v/>
      </c>
    </row>
    <row r="1865" spans="37:44" ht="30" hidden="1" customHeight="1" x14ac:dyDescent="0.25">
      <c r="AK1865" s="313"/>
      <c r="AL1865" s="313"/>
      <c r="AM1865" s="313"/>
      <c r="AN1865" s="313"/>
      <c r="AO1865" s="313"/>
      <c r="AP1865" s="313"/>
      <c r="AQ1865" s="314"/>
      <c r="AR1865" s="315" t="str">
        <f t="shared" si="66"/>
        <v/>
      </c>
    </row>
    <row r="1866" spans="37:44" ht="30" hidden="1" customHeight="1" x14ac:dyDescent="0.25">
      <c r="AK1866" s="313"/>
      <c r="AL1866" s="313"/>
      <c r="AM1866" s="313"/>
      <c r="AN1866" s="313"/>
      <c r="AO1866" s="313"/>
      <c r="AP1866" s="313"/>
      <c r="AQ1866" s="314"/>
      <c r="AR1866" s="315" t="str">
        <f t="shared" si="66"/>
        <v/>
      </c>
    </row>
    <row r="1867" spans="37:44" ht="30" hidden="1" customHeight="1" x14ac:dyDescent="0.25">
      <c r="AK1867" s="313"/>
      <c r="AL1867" s="313"/>
      <c r="AM1867" s="313"/>
      <c r="AN1867" s="313"/>
      <c r="AO1867" s="313"/>
      <c r="AP1867" s="313"/>
      <c r="AQ1867" s="314"/>
      <c r="AR1867" s="315" t="str">
        <f t="shared" si="66"/>
        <v/>
      </c>
    </row>
    <row r="1868" spans="37:44" ht="30" hidden="1" customHeight="1" x14ac:dyDescent="0.25">
      <c r="AK1868" s="313"/>
      <c r="AL1868" s="313"/>
      <c r="AM1868" s="313"/>
      <c r="AN1868" s="313"/>
      <c r="AO1868" s="313"/>
      <c r="AP1868" s="313"/>
      <c r="AQ1868" s="314"/>
      <c r="AR1868" s="315" t="str">
        <f t="shared" si="66"/>
        <v/>
      </c>
    </row>
    <row r="1869" spans="37:44" ht="30" hidden="1" customHeight="1" x14ac:dyDescent="0.25">
      <c r="AK1869" s="313"/>
      <c r="AL1869" s="313"/>
      <c r="AM1869" s="313"/>
      <c r="AN1869" s="313"/>
      <c r="AO1869" s="313"/>
      <c r="AP1869" s="313"/>
      <c r="AQ1869" s="314"/>
      <c r="AR1869" s="315" t="str">
        <f t="shared" si="66"/>
        <v/>
      </c>
    </row>
    <row r="1870" spans="37:44" ht="30" hidden="1" customHeight="1" x14ac:dyDescent="0.25">
      <c r="AK1870" s="313"/>
      <c r="AL1870" s="313"/>
      <c r="AM1870" s="313"/>
      <c r="AN1870" s="313"/>
      <c r="AO1870" s="313"/>
      <c r="AP1870" s="313"/>
      <c r="AQ1870" s="314"/>
      <c r="AR1870" s="315" t="str">
        <f t="shared" si="66"/>
        <v/>
      </c>
    </row>
    <row r="1871" spans="37:44" ht="30" hidden="1" customHeight="1" x14ac:dyDescent="0.25">
      <c r="AK1871" s="313"/>
      <c r="AL1871" s="313"/>
      <c r="AM1871" s="313"/>
      <c r="AN1871" s="313"/>
      <c r="AO1871" s="313"/>
      <c r="AP1871" s="313"/>
      <c r="AQ1871" s="314"/>
      <c r="AR1871" s="315" t="str">
        <f t="shared" si="66"/>
        <v/>
      </c>
    </row>
    <row r="1872" spans="37:44" ht="30" hidden="1" customHeight="1" x14ac:dyDescent="0.25">
      <c r="AK1872" s="313"/>
      <c r="AL1872" s="313"/>
      <c r="AM1872" s="313"/>
      <c r="AN1872" s="313"/>
      <c r="AO1872" s="313"/>
      <c r="AP1872" s="313"/>
      <c r="AQ1872" s="314"/>
      <c r="AR1872" s="315" t="str">
        <f t="shared" si="66"/>
        <v/>
      </c>
    </row>
    <row r="1873" spans="37:44" ht="30" hidden="1" customHeight="1" x14ac:dyDescent="0.25">
      <c r="AK1873" s="313"/>
      <c r="AL1873" s="313"/>
      <c r="AM1873" s="313"/>
      <c r="AN1873" s="313"/>
      <c r="AO1873" s="313"/>
      <c r="AP1873" s="313"/>
      <c r="AQ1873" s="314"/>
      <c r="AR1873" s="315" t="str">
        <f t="shared" si="66"/>
        <v/>
      </c>
    </row>
    <row r="1874" spans="37:44" ht="30" hidden="1" customHeight="1" x14ac:dyDescent="0.25">
      <c r="AK1874" s="313"/>
      <c r="AL1874" s="313"/>
      <c r="AM1874" s="313"/>
      <c r="AN1874" s="313"/>
      <c r="AO1874" s="313"/>
      <c r="AP1874" s="313"/>
      <c r="AQ1874" s="314"/>
      <c r="AR1874" s="315" t="str">
        <f t="shared" si="66"/>
        <v/>
      </c>
    </row>
    <row r="1875" spans="37:44" ht="30" hidden="1" customHeight="1" x14ac:dyDescent="0.25">
      <c r="AK1875" s="313"/>
      <c r="AL1875" s="313"/>
      <c r="AM1875" s="313"/>
      <c r="AN1875" s="313"/>
      <c r="AO1875" s="313"/>
      <c r="AP1875" s="313"/>
      <c r="AQ1875" s="314"/>
      <c r="AR1875" s="315" t="str">
        <f t="shared" si="66"/>
        <v/>
      </c>
    </row>
    <row r="1876" spans="37:44" ht="30" hidden="1" customHeight="1" x14ac:dyDescent="0.25">
      <c r="AK1876" s="313"/>
      <c r="AL1876" s="313"/>
      <c r="AM1876" s="313"/>
      <c r="AN1876" s="313"/>
      <c r="AO1876" s="313"/>
      <c r="AP1876" s="313"/>
      <c r="AQ1876" s="314"/>
      <c r="AR1876" s="315" t="str">
        <f t="shared" si="66"/>
        <v/>
      </c>
    </row>
    <row r="1877" spans="37:44" ht="30" hidden="1" customHeight="1" x14ac:dyDescent="0.25">
      <c r="AK1877" s="313"/>
      <c r="AL1877" s="313"/>
      <c r="AM1877" s="313"/>
      <c r="AN1877" s="313"/>
      <c r="AO1877" s="313"/>
      <c r="AP1877" s="313"/>
      <c r="AQ1877" s="314"/>
      <c r="AR1877" s="315" t="str">
        <f t="shared" si="66"/>
        <v/>
      </c>
    </row>
    <row r="1878" spans="37:44" ht="30" hidden="1" customHeight="1" x14ac:dyDescent="0.25">
      <c r="AK1878" s="313"/>
      <c r="AL1878" s="313"/>
      <c r="AM1878" s="313"/>
      <c r="AN1878" s="313"/>
      <c r="AO1878" s="313"/>
      <c r="AP1878" s="313"/>
      <c r="AQ1878" s="314"/>
      <c r="AR1878" s="315" t="str">
        <f t="shared" si="66"/>
        <v/>
      </c>
    </row>
    <row r="1879" spans="37:44" ht="30" hidden="1" customHeight="1" x14ac:dyDescent="0.25">
      <c r="AK1879" s="313"/>
      <c r="AL1879" s="313"/>
      <c r="AM1879" s="313"/>
      <c r="AN1879" s="313"/>
      <c r="AO1879" s="313"/>
      <c r="AP1879" s="313"/>
      <c r="AQ1879" s="314"/>
      <c r="AR1879" s="315" t="str">
        <f t="shared" si="66"/>
        <v/>
      </c>
    </row>
    <row r="1880" spans="37:44" ht="30" hidden="1" customHeight="1" x14ac:dyDescent="0.25">
      <c r="AK1880" s="313"/>
      <c r="AL1880" s="313"/>
      <c r="AM1880" s="313"/>
      <c r="AN1880" s="313"/>
      <c r="AO1880" s="313"/>
      <c r="AP1880" s="313"/>
      <c r="AQ1880" s="314"/>
      <c r="AR1880" s="315" t="str">
        <f t="shared" si="66"/>
        <v/>
      </c>
    </row>
    <row r="1881" spans="37:44" ht="30" hidden="1" customHeight="1" x14ac:dyDescent="0.25">
      <c r="AK1881" s="313"/>
      <c r="AL1881" s="313"/>
      <c r="AM1881" s="313"/>
      <c r="AN1881" s="313"/>
      <c r="AO1881" s="313"/>
      <c r="AP1881" s="313"/>
      <c r="AQ1881" s="314"/>
      <c r="AR1881" s="315" t="str">
        <f t="shared" si="66"/>
        <v/>
      </c>
    </row>
    <row r="1882" spans="37:44" ht="30" hidden="1" customHeight="1" x14ac:dyDescent="0.25">
      <c r="AK1882" s="313"/>
      <c r="AL1882" s="313"/>
      <c r="AM1882" s="313"/>
      <c r="AN1882" s="313"/>
      <c r="AO1882" s="313"/>
      <c r="AP1882" s="313"/>
      <c r="AQ1882" s="314"/>
      <c r="AR1882" s="315" t="str">
        <f t="shared" si="66"/>
        <v/>
      </c>
    </row>
    <row r="1883" spans="37:44" ht="30" hidden="1" customHeight="1" x14ac:dyDescent="0.25">
      <c r="AK1883" s="313"/>
      <c r="AL1883" s="313"/>
      <c r="AM1883" s="313"/>
      <c r="AN1883" s="313"/>
      <c r="AO1883" s="313"/>
      <c r="AP1883" s="313"/>
      <c r="AQ1883" s="314"/>
      <c r="AR1883" s="315" t="str">
        <f t="shared" si="66"/>
        <v/>
      </c>
    </row>
    <row r="1884" spans="37:44" ht="30" hidden="1" customHeight="1" x14ac:dyDescent="0.25">
      <c r="AK1884" s="313"/>
      <c r="AL1884" s="313"/>
      <c r="AM1884" s="313"/>
      <c r="AN1884" s="313"/>
      <c r="AO1884" s="313"/>
      <c r="AP1884" s="313"/>
      <c r="AQ1884" s="314"/>
      <c r="AR1884" s="315" t="str">
        <f t="shared" si="66"/>
        <v/>
      </c>
    </row>
    <row r="1885" spans="37:44" ht="30" hidden="1" customHeight="1" x14ac:dyDescent="0.25">
      <c r="AK1885" s="313"/>
      <c r="AL1885" s="313"/>
      <c r="AM1885" s="313"/>
      <c r="AN1885" s="313"/>
      <c r="AO1885" s="313"/>
      <c r="AP1885" s="313"/>
      <c r="AQ1885" s="314"/>
      <c r="AR1885" s="315" t="str">
        <f t="shared" si="66"/>
        <v/>
      </c>
    </row>
    <row r="1886" spans="37:44" ht="30" hidden="1" customHeight="1" x14ac:dyDescent="0.25">
      <c r="AK1886" s="313"/>
      <c r="AL1886" s="313"/>
      <c r="AM1886" s="313"/>
      <c r="AN1886" s="313"/>
      <c r="AO1886" s="313"/>
      <c r="AP1886" s="313"/>
      <c r="AQ1886" s="314"/>
      <c r="AR1886" s="315" t="str">
        <f t="shared" si="66"/>
        <v/>
      </c>
    </row>
    <row r="1887" spans="37:44" ht="30" hidden="1" customHeight="1" x14ac:dyDescent="0.25">
      <c r="AK1887" s="313"/>
      <c r="AL1887" s="313"/>
      <c r="AM1887" s="313"/>
      <c r="AN1887" s="313"/>
      <c r="AO1887" s="313"/>
      <c r="AP1887" s="313"/>
      <c r="AQ1887" s="314"/>
      <c r="AR1887" s="315" t="str">
        <f t="shared" si="66"/>
        <v/>
      </c>
    </row>
    <row r="1888" spans="37:44" ht="30" hidden="1" customHeight="1" x14ac:dyDescent="0.25">
      <c r="AK1888" s="313"/>
      <c r="AL1888" s="313"/>
      <c r="AM1888" s="313"/>
      <c r="AN1888" s="313"/>
      <c r="AO1888" s="313"/>
      <c r="AP1888" s="313"/>
      <c r="AQ1888" s="314"/>
      <c r="AR1888" s="315" t="str">
        <f t="shared" si="66"/>
        <v/>
      </c>
    </row>
    <row r="1889" spans="37:44" ht="30" hidden="1" customHeight="1" x14ac:dyDescent="0.25">
      <c r="AK1889" s="313"/>
      <c r="AL1889" s="313"/>
      <c r="AM1889" s="313"/>
      <c r="AN1889" s="313"/>
      <c r="AO1889" s="313"/>
      <c r="AP1889" s="313"/>
      <c r="AQ1889" s="314"/>
      <c r="AR1889" s="315" t="str">
        <f t="shared" si="66"/>
        <v/>
      </c>
    </row>
    <row r="1890" spans="37:44" ht="30" hidden="1" customHeight="1" x14ac:dyDescent="0.25">
      <c r="AK1890" s="313"/>
      <c r="AL1890" s="313"/>
      <c r="AM1890" s="313"/>
      <c r="AN1890" s="313"/>
      <c r="AO1890" s="313"/>
      <c r="AP1890" s="313"/>
      <c r="AQ1890" s="314"/>
      <c r="AR1890" s="315" t="str">
        <f t="shared" si="66"/>
        <v/>
      </c>
    </row>
    <row r="1891" spans="37:44" ht="30" hidden="1" customHeight="1" x14ac:dyDescent="0.25">
      <c r="AK1891" s="313"/>
      <c r="AL1891" s="313"/>
      <c r="AM1891" s="313"/>
      <c r="AN1891" s="313"/>
      <c r="AO1891" s="313"/>
      <c r="AP1891" s="313"/>
      <c r="AQ1891" s="314"/>
      <c r="AR1891" s="315" t="str">
        <f t="shared" si="66"/>
        <v/>
      </c>
    </row>
    <row r="1892" spans="37:44" ht="30" hidden="1" customHeight="1" x14ac:dyDescent="0.25">
      <c r="AK1892" s="313"/>
      <c r="AL1892" s="313"/>
      <c r="AM1892" s="313"/>
      <c r="AN1892" s="313"/>
      <c r="AO1892" s="313"/>
      <c r="AP1892" s="313"/>
      <c r="AQ1892" s="314"/>
      <c r="AR1892" s="315" t="str">
        <f t="shared" si="66"/>
        <v/>
      </c>
    </row>
    <row r="1893" spans="37:44" ht="30" hidden="1" customHeight="1" x14ac:dyDescent="0.25">
      <c r="AK1893" s="313"/>
      <c r="AL1893" s="313"/>
      <c r="AM1893" s="313"/>
      <c r="AN1893" s="313"/>
      <c r="AO1893" s="313"/>
      <c r="AP1893" s="313"/>
      <c r="AQ1893" s="314"/>
      <c r="AR1893" s="315" t="str">
        <f t="shared" si="66"/>
        <v/>
      </c>
    </row>
    <row r="1894" spans="37:44" ht="30" hidden="1" customHeight="1" x14ac:dyDescent="0.25">
      <c r="AK1894" s="313"/>
      <c r="AL1894" s="313"/>
      <c r="AM1894" s="313"/>
      <c r="AN1894" s="313"/>
      <c r="AO1894" s="313"/>
      <c r="AP1894" s="313"/>
      <c r="AQ1894" s="314"/>
      <c r="AR1894" s="315" t="str">
        <f t="shared" si="66"/>
        <v/>
      </c>
    </row>
    <row r="1895" spans="37:44" ht="30" hidden="1" customHeight="1" x14ac:dyDescent="0.25">
      <c r="AK1895" s="313"/>
      <c r="AL1895" s="313"/>
      <c r="AM1895" s="313"/>
      <c r="AN1895" s="313"/>
      <c r="AO1895" s="313"/>
      <c r="AP1895" s="313"/>
      <c r="AQ1895" s="314"/>
      <c r="AR1895" s="315" t="str">
        <f t="shared" si="66"/>
        <v/>
      </c>
    </row>
    <row r="1896" spans="37:44" ht="30" hidden="1" customHeight="1" x14ac:dyDescent="0.25">
      <c r="AK1896" s="313"/>
      <c r="AL1896" s="313"/>
      <c r="AM1896" s="313"/>
      <c r="AN1896" s="313"/>
      <c r="AO1896" s="313"/>
      <c r="AP1896" s="313"/>
      <c r="AQ1896" s="314"/>
      <c r="AR1896" s="315" t="str">
        <f t="shared" si="66"/>
        <v/>
      </c>
    </row>
    <row r="1897" spans="37:44" ht="30" hidden="1" customHeight="1" x14ac:dyDescent="0.25">
      <c r="AK1897" s="313"/>
      <c r="AL1897" s="313"/>
      <c r="AM1897" s="313"/>
      <c r="AN1897" s="313"/>
      <c r="AO1897" s="313"/>
      <c r="AP1897" s="313"/>
      <c r="AQ1897" s="314"/>
      <c r="AR1897" s="315" t="str">
        <f t="shared" si="66"/>
        <v/>
      </c>
    </row>
    <row r="1898" spans="37:44" ht="30" hidden="1" customHeight="1" x14ac:dyDescent="0.25">
      <c r="AK1898" s="313"/>
      <c r="AL1898" s="313"/>
      <c r="AM1898" s="313"/>
      <c r="AN1898" s="313"/>
      <c r="AO1898" s="313"/>
      <c r="AP1898" s="313"/>
      <c r="AQ1898" s="314"/>
      <c r="AR1898" s="315" t="str">
        <f t="shared" si="66"/>
        <v/>
      </c>
    </row>
    <row r="1899" spans="37:44" ht="30" hidden="1" customHeight="1" x14ac:dyDescent="0.25">
      <c r="AK1899" s="313"/>
      <c r="AL1899" s="313"/>
      <c r="AM1899" s="313"/>
      <c r="AN1899" s="313"/>
      <c r="AO1899" s="313"/>
      <c r="AP1899" s="313"/>
      <c r="AQ1899" s="314"/>
      <c r="AR1899" s="315" t="str">
        <f t="shared" si="66"/>
        <v/>
      </c>
    </row>
    <row r="1900" spans="37:44" ht="30" hidden="1" customHeight="1" x14ac:dyDescent="0.25">
      <c r="AK1900" s="313"/>
      <c r="AL1900" s="313"/>
      <c r="AM1900" s="313"/>
      <c r="AN1900" s="313"/>
      <c r="AO1900" s="313"/>
      <c r="AP1900" s="313"/>
      <c r="AQ1900" s="314"/>
      <c r="AR1900" s="315" t="str">
        <f t="shared" si="66"/>
        <v/>
      </c>
    </row>
    <row r="1901" spans="37:44" ht="30" hidden="1" customHeight="1" x14ac:dyDescent="0.25">
      <c r="AK1901" s="313"/>
      <c r="AL1901" s="313"/>
      <c r="AM1901" s="313"/>
      <c r="AN1901" s="313"/>
      <c r="AO1901" s="313"/>
      <c r="AP1901" s="313"/>
      <c r="AQ1901" s="314"/>
      <c r="AR1901" s="315" t="str">
        <f t="shared" si="66"/>
        <v/>
      </c>
    </row>
    <row r="1902" spans="37:44" ht="30" hidden="1" customHeight="1" x14ac:dyDescent="0.25">
      <c r="AK1902" s="313"/>
      <c r="AL1902" s="313"/>
      <c r="AM1902" s="313"/>
      <c r="AN1902" s="313"/>
      <c r="AO1902" s="313"/>
      <c r="AP1902" s="313"/>
      <c r="AQ1902" s="314"/>
      <c r="AR1902" s="315" t="str">
        <f t="shared" si="66"/>
        <v/>
      </c>
    </row>
    <row r="1903" spans="37:44" ht="30" hidden="1" customHeight="1" x14ac:dyDescent="0.25">
      <c r="AK1903" s="313"/>
      <c r="AL1903" s="313"/>
      <c r="AM1903" s="313"/>
      <c r="AN1903" s="313"/>
      <c r="AO1903" s="313"/>
      <c r="AP1903" s="313"/>
      <c r="AQ1903" s="314"/>
      <c r="AR1903" s="315" t="str">
        <f t="shared" si="66"/>
        <v/>
      </c>
    </row>
    <row r="1904" spans="37:44" ht="30" hidden="1" customHeight="1" x14ac:dyDescent="0.25">
      <c r="AK1904" s="313"/>
      <c r="AL1904" s="313"/>
      <c r="AM1904" s="313"/>
      <c r="AN1904" s="313"/>
      <c r="AO1904" s="313"/>
      <c r="AP1904" s="313"/>
      <c r="AQ1904" s="314"/>
      <c r="AR1904" s="315" t="str">
        <f t="shared" si="66"/>
        <v/>
      </c>
    </row>
    <row r="1905" spans="37:44" ht="30" hidden="1" customHeight="1" x14ac:dyDescent="0.25">
      <c r="AK1905" s="313"/>
      <c r="AL1905" s="313"/>
      <c r="AM1905" s="313"/>
      <c r="AN1905" s="313"/>
      <c r="AO1905" s="313"/>
      <c r="AP1905" s="313"/>
      <c r="AQ1905" s="314"/>
      <c r="AR1905" s="315" t="str">
        <f t="shared" si="66"/>
        <v/>
      </c>
    </row>
    <row r="1906" spans="37:44" ht="30" hidden="1" customHeight="1" x14ac:dyDescent="0.25">
      <c r="AK1906" s="313"/>
      <c r="AL1906" s="313"/>
      <c r="AM1906" s="313"/>
      <c r="AN1906" s="313"/>
      <c r="AO1906" s="313"/>
      <c r="AP1906" s="313"/>
      <c r="AQ1906" s="314"/>
      <c r="AR1906" s="315" t="str">
        <f t="shared" si="66"/>
        <v/>
      </c>
    </row>
    <row r="1907" spans="37:44" ht="30" hidden="1" customHeight="1" x14ac:dyDescent="0.25">
      <c r="AK1907" s="313"/>
      <c r="AL1907" s="313"/>
      <c r="AM1907" s="313"/>
      <c r="AN1907" s="313"/>
      <c r="AO1907" s="313"/>
      <c r="AP1907" s="313"/>
      <c r="AQ1907" s="314"/>
      <c r="AR1907" s="315" t="str">
        <f t="shared" si="66"/>
        <v/>
      </c>
    </row>
    <row r="1908" spans="37:44" ht="30" hidden="1" customHeight="1" x14ac:dyDescent="0.25">
      <c r="AK1908" s="313"/>
      <c r="AL1908" s="313"/>
      <c r="AM1908" s="313"/>
      <c r="AN1908" s="313"/>
      <c r="AO1908" s="313"/>
      <c r="AP1908" s="313"/>
      <c r="AQ1908" s="314"/>
      <c r="AR1908" s="315" t="str">
        <f t="shared" si="66"/>
        <v/>
      </c>
    </row>
    <row r="1909" spans="37:44" ht="30" hidden="1" customHeight="1" x14ac:dyDescent="0.25">
      <c r="AK1909" s="313"/>
      <c r="AL1909" s="313"/>
      <c r="AM1909" s="313"/>
      <c r="AN1909" s="313"/>
      <c r="AO1909" s="313"/>
      <c r="AP1909" s="313"/>
      <c r="AQ1909" s="314"/>
      <c r="AR1909" s="315" t="str">
        <f t="shared" si="66"/>
        <v/>
      </c>
    </row>
    <row r="1910" spans="37:44" ht="30" hidden="1" customHeight="1" x14ac:dyDescent="0.25">
      <c r="AK1910" s="313"/>
      <c r="AL1910" s="313"/>
      <c r="AM1910" s="313"/>
      <c r="AN1910" s="313"/>
      <c r="AO1910" s="313"/>
      <c r="AP1910" s="313"/>
      <c r="AQ1910" s="314"/>
      <c r="AR1910" s="315" t="str">
        <f t="shared" si="66"/>
        <v/>
      </c>
    </row>
    <row r="1911" spans="37:44" ht="30" hidden="1" customHeight="1" x14ac:dyDescent="0.25">
      <c r="AK1911" s="313"/>
      <c r="AL1911" s="313"/>
      <c r="AM1911" s="313"/>
      <c r="AN1911" s="313"/>
      <c r="AO1911" s="313"/>
      <c r="AP1911" s="313"/>
      <c r="AQ1911" s="314"/>
      <c r="AR1911" s="315" t="str">
        <f t="shared" si="66"/>
        <v/>
      </c>
    </row>
    <row r="1912" spans="37:44" ht="30" hidden="1" customHeight="1" x14ac:dyDescent="0.25">
      <c r="AK1912" s="313"/>
      <c r="AL1912" s="313"/>
      <c r="AM1912" s="313"/>
      <c r="AN1912" s="313"/>
      <c r="AO1912" s="313"/>
      <c r="AP1912" s="313"/>
      <c r="AQ1912" s="314"/>
      <c r="AR1912" s="315" t="str">
        <f t="shared" si="66"/>
        <v/>
      </c>
    </row>
    <row r="1913" spans="37:44" ht="30" hidden="1" customHeight="1" x14ac:dyDescent="0.25">
      <c r="AK1913" s="313"/>
      <c r="AL1913" s="313"/>
      <c r="AM1913" s="313"/>
      <c r="AN1913" s="313"/>
      <c r="AO1913" s="313"/>
      <c r="AP1913" s="313"/>
      <c r="AQ1913" s="314"/>
      <c r="AR1913" s="315" t="str">
        <f t="shared" si="66"/>
        <v/>
      </c>
    </row>
    <row r="1914" spans="37:44" ht="30" hidden="1" customHeight="1" x14ac:dyDescent="0.25">
      <c r="AK1914" s="313"/>
      <c r="AL1914" s="313"/>
      <c r="AM1914" s="313"/>
      <c r="AN1914" s="313"/>
      <c r="AO1914" s="313"/>
      <c r="AP1914" s="313"/>
      <c r="AQ1914" s="314"/>
      <c r="AR1914" s="315" t="str">
        <f t="shared" si="66"/>
        <v/>
      </c>
    </row>
    <row r="1915" spans="37:44" ht="30" hidden="1" customHeight="1" x14ac:dyDescent="0.25">
      <c r="AK1915" s="313"/>
      <c r="AL1915" s="313"/>
      <c r="AM1915" s="313"/>
      <c r="AN1915" s="313"/>
      <c r="AO1915" s="313"/>
      <c r="AP1915" s="313"/>
      <c r="AQ1915" s="314"/>
      <c r="AR1915" s="315" t="str">
        <f t="shared" si="66"/>
        <v/>
      </c>
    </row>
    <row r="1916" spans="37:44" ht="30" hidden="1" customHeight="1" x14ac:dyDescent="0.25">
      <c r="AK1916" s="313"/>
      <c r="AL1916" s="313"/>
      <c r="AM1916" s="313"/>
      <c r="AN1916" s="313"/>
      <c r="AO1916" s="313"/>
      <c r="AP1916" s="313"/>
      <c r="AQ1916" s="314"/>
      <c r="AR1916" s="315" t="str">
        <f t="shared" si="66"/>
        <v/>
      </c>
    </row>
    <row r="1917" spans="37:44" ht="30" hidden="1" customHeight="1" x14ac:dyDescent="0.25">
      <c r="AK1917" s="313"/>
      <c r="AL1917" s="313"/>
      <c r="AM1917" s="313"/>
      <c r="AN1917" s="313"/>
      <c r="AO1917" s="313"/>
      <c r="AP1917" s="313"/>
      <c r="AQ1917" s="314"/>
      <c r="AR1917" s="315" t="str">
        <f t="shared" si="66"/>
        <v/>
      </c>
    </row>
    <row r="1918" spans="37:44" ht="30" hidden="1" customHeight="1" x14ac:dyDescent="0.25">
      <c r="AK1918" s="313"/>
      <c r="AL1918" s="313"/>
      <c r="AM1918" s="313"/>
      <c r="AN1918" s="313"/>
      <c r="AO1918" s="313"/>
      <c r="AP1918" s="313"/>
      <c r="AQ1918" s="314"/>
      <c r="AR1918" s="315" t="str">
        <f t="shared" si="66"/>
        <v/>
      </c>
    </row>
    <row r="1919" spans="37:44" ht="30" hidden="1" customHeight="1" x14ac:dyDescent="0.25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67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 x14ac:dyDescent="0.25">
      <c r="AK1920" s="313"/>
      <c r="AL1920" s="313"/>
      <c r="AM1920" s="313"/>
      <c r="AN1920" s="313"/>
      <c r="AO1920" s="313"/>
      <c r="AP1920" s="313"/>
      <c r="AQ1920" s="314"/>
      <c r="AR1920" s="315" t="str">
        <f t="shared" si="67"/>
        <v/>
      </c>
    </row>
    <row r="1921" spans="37:44" ht="30" hidden="1" customHeight="1" x14ac:dyDescent="0.25">
      <c r="AK1921" s="313"/>
      <c r="AL1921" s="313"/>
      <c r="AM1921" s="313"/>
      <c r="AN1921" s="313"/>
      <c r="AO1921" s="313"/>
      <c r="AP1921" s="313"/>
      <c r="AQ1921" s="314"/>
      <c r="AR1921" s="315" t="str">
        <f t="shared" si="67"/>
        <v/>
      </c>
    </row>
    <row r="1922" spans="37:44" ht="30" hidden="1" customHeight="1" x14ac:dyDescent="0.25">
      <c r="AK1922" s="313"/>
      <c r="AL1922" s="313"/>
      <c r="AM1922" s="313"/>
      <c r="AN1922" s="313"/>
      <c r="AO1922" s="313"/>
      <c r="AP1922" s="313"/>
      <c r="AQ1922" s="314"/>
      <c r="AR1922" s="315" t="str">
        <f t="shared" si="67"/>
        <v/>
      </c>
    </row>
    <row r="1923" spans="37:44" ht="30" hidden="1" customHeight="1" x14ac:dyDescent="0.25">
      <c r="AK1923" s="313"/>
      <c r="AL1923" s="313"/>
      <c r="AM1923" s="313"/>
      <c r="AN1923" s="313"/>
      <c r="AO1923" s="313"/>
      <c r="AP1923" s="313"/>
      <c r="AQ1923" s="314"/>
      <c r="AR1923" s="315" t="str">
        <f t="shared" si="67"/>
        <v/>
      </c>
    </row>
    <row r="1924" spans="37:44" ht="30" hidden="1" customHeight="1" x14ac:dyDescent="0.25">
      <c r="AK1924" s="313"/>
      <c r="AL1924" s="313"/>
      <c r="AM1924" s="313"/>
      <c r="AN1924" s="313"/>
      <c r="AO1924" s="313"/>
      <c r="AP1924" s="313"/>
      <c r="AQ1924" s="314"/>
      <c r="AR1924" s="315" t="str">
        <f t="shared" si="67"/>
        <v/>
      </c>
    </row>
    <row r="1925" spans="37:44" ht="30" hidden="1" customHeight="1" x14ac:dyDescent="0.25">
      <c r="AK1925" s="313"/>
      <c r="AL1925" s="313"/>
      <c r="AM1925" s="313"/>
      <c r="AN1925" s="313"/>
      <c r="AO1925" s="313"/>
      <c r="AP1925" s="313"/>
      <c r="AQ1925" s="314"/>
      <c r="AR1925" s="315" t="str">
        <f t="shared" si="67"/>
        <v/>
      </c>
    </row>
    <row r="1926" spans="37:44" ht="30" hidden="1" customHeight="1" x14ac:dyDescent="0.25">
      <c r="AK1926" s="313"/>
      <c r="AL1926" s="313"/>
      <c r="AM1926" s="313"/>
      <c r="AN1926" s="313"/>
      <c r="AO1926" s="313"/>
      <c r="AP1926" s="313"/>
      <c r="AQ1926" s="314"/>
      <c r="AR1926" s="315" t="str">
        <f t="shared" si="67"/>
        <v/>
      </c>
    </row>
    <row r="1927" spans="37:44" ht="30" hidden="1" customHeight="1" x14ac:dyDescent="0.25">
      <c r="AK1927" s="313"/>
      <c r="AL1927" s="313"/>
      <c r="AM1927" s="313"/>
      <c r="AN1927" s="313"/>
      <c r="AO1927" s="313"/>
      <c r="AP1927" s="313"/>
      <c r="AQ1927" s="314"/>
      <c r="AR1927" s="315" t="str">
        <f t="shared" si="67"/>
        <v/>
      </c>
    </row>
    <row r="1928" spans="37:44" ht="30" hidden="1" customHeight="1" x14ac:dyDescent="0.25">
      <c r="AK1928" s="313"/>
      <c r="AL1928" s="313"/>
      <c r="AM1928" s="313"/>
      <c r="AN1928" s="313"/>
      <c r="AO1928" s="313"/>
      <c r="AP1928" s="313"/>
      <c r="AQ1928" s="314"/>
      <c r="AR1928" s="315" t="str">
        <f t="shared" si="67"/>
        <v/>
      </c>
    </row>
    <row r="1929" spans="37:44" ht="30" hidden="1" customHeight="1" x14ac:dyDescent="0.25">
      <c r="AK1929" s="313"/>
      <c r="AL1929" s="313"/>
      <c r="AM1929" s="313"/>
      <c r="AN1929" s="313"/>
      <c r="AO1929" s="313"/>
      <c r="AP1929" s="313"/>
      <c r="AQ1929" s="314"/>
      <c r="AR1929" s="315" t="str">
        <f t="shared" si="67"/>
        <v/>
      </c>
    </row>
    <row r="1930" spans="37:44" ht="30" hidden="1" customHeight="1" x14ac:dyDescent="0.25">
      <c r="AK1930" s="313"/>
      <c r="AL1930" s="313"/>
      <c r="AM1930" s="313"/>
      <c r="AN1930" s="313"/>
      <c r="AO1930" s="313"/>
      <c r="AP1930" s="313"/>
      <c r="AQ1930" s="314"/>
      <c r="AR1930" s="315" t="str">
        <f t="shared" si="67"/>
        <v/>
      </c>
    </row>
    <row r="1931" spans="37:44" ht="30" hidden="1" customHeight="1" x14ac:dyDescent="0.25">
      <c r="AK1931" s="313"/>
      <c r="AL1931" s="313"/>
      <c r="AM1931" s="313"/>
      <c r="AN1931" s="313"/>
      <c r="AO1931" s="313"/>
      <c r="AP1931" s="313"/>
      <c r="AQ1931" s="314"/>
      <c r="AR1931" s="315" t="str">
        <f t="shared" si="67"/>
        <v/>
      </c>
    </row>
    <row r="1932" spans="37:44" ht="30" hidden="1" customHeight="1" x14ac:dyDescent="0.25">
      <c r="AK1932" s="313"/>
      <c r="AL1932" s="313"/>
      <c r="AM1932" s="313"/>
      <c r="AN1932" s="313"/>
      <c r="AO1932" s="313"/>
      <c r="AP1932" s="313"/>
      <c r="AQ1932" s="314"/>
      <c r="AR1932" s="315" t="str">
        <f t="shared" si="67"/>
        <v/>
      </c>
    </row>
    <row r="1933" spans="37:44" ht="30" hidden="1" customHeight="1" x14ac:dyDescent="0.25">
      <c r="AK1933" s="313"/>
      <c r="AL1933" s="313"/>
      <c r="AM1933" s="313"/>
      <c r="AN1933" s="313"/>
      <c r="AO1933" s="313"/>
      <c r="AP1933" s="313"/>
      <c r="AQ1933" s="314"/>
      <c r="AR1933" s="315" t="str">
        <f t="shared" si="67"/>
        <v/>
      </c>
    </row>
    <row r="1934" spans="37:44" ht="30" hidden="1" customHeight="1" x14ac:dyDescent="0.25">
      <c r="AK1934" s="313"/>
      <c r="AL1934" s="313"/>
      <c r="AM1934" s="313"/>
      <c r="AN1934" s="313"/>
      <c r="AO1934" s="313"/>
      <c r="AP1934" s="313"/>
      <c r="AQ1934" s="314"/>
      <c r="AR1934" s="315" t="str">
        <f t="shared" si="67"/>
        <v/>
      </c>
    </row>
    <row r="1935" spans="37:44" ht="30" hidden="1" customHeight="1" x14ac:dyDescent="0.25">
      <c r="AK1935" s="313"/>
      <c r="AL1935" s="313"/>
      <c r="AM1935" s="313"/>
      <c r="AN1935" s="313"/>
      <c r="AO1935" s="313"/>
      <c r="AP1935" s="313"/>
      <c r="AQ1935" s="314"/>
      <c r="AR1935" s="315" t="str">
        <f t="shared" si="67"/>
        <v/>
      </c>
    </row>
    <row r="1936" spans="37:44" ht="30" hidden="1" customHeight="1" x14ac:dyDescent="0.25">
      <c r="AK1936" s="313"/>
      <c r="AL1936" s="313"/>
      <c r="AM1936" s="313"/>
      <c r="AN1936" s="313"/>
      <c r="AO1936" s="313"/>
      <c r="AP1936" s="313"/>
      <c r="AQ1936" s="314"/>
      <c r="AR1936" s="315" t="str">
        <f t="shared" si="67"/>
        <v/>
      </c>
    </row>
    <row r="1937" spans="37:44" ht="30" hidden="1" customHeight="1" x14ac:dyDescent="0.25">
      <c r="AK1937" s="313"/>
      <c r="AL1937" s="313"/>
      <c r="AM1937" s="313"/>
      <c r="AN1937" s="313"/>
      <c r="AO1937" s="313"/>
      <c r="AP1937" s="313"/>
      <c r="AQ1937" s="314"/>
      <c r="AR1937" s="315" t="str">
        <f t="shared" si="67"/>
        <v/>
      </c>
    </row>
    <row r="1938" spans="37:44" ht="30" hidden="1" customHeight="1" x14ac:dyDescent="0.25">
      <c r="AK1938" s="313"/>
      <c r="AL1938" s="313"/>
      <c r="AM1938" s="313"/>
      <c r="AN1938" s="313"/>
      <c r="AO1938" s="313"/>
      <c r="AP1938" s="313"/>
      <c r="AQ1938" s="314"/>
      <c r="AR1938" s="315" t="str">
        <f t="shared" si="67"/>
        <v/>
      </c>
    </row>
    <row r="1939" spans="37:44" ht="30" hidden="1" customHeight="1" x14ac:dyDescent="0.25">
      <c r="AK1939" s="313"/>
      <c r="AL1939" s="313"/>
      <c r="AM1939" s="313"/>
      <c r="AN1939" s="313"/>
      <c r="AO1939" s="313"/>
      <c r="AP1939" s="313"/>
      <c r="AQ1939" s="314"/>
      <c r="AR1939" s="315" t="str">
        <f t="shared" si="67"/>
        <v/>
      </c>
    </row>
    <row r="1940" spans="37:44" ht="30" hidden="1" customHeight="1" x14ac:dyDescent="0.25">
      <c r="AK1940" s="313"/>
      <c r="AL1940" s="313"/>
      <c r="AM1940" s="313"/>
      <c r="AN1940" s="313"/>
      <c r="AO1940" s="313"/>
      <c r="AP1940" s="313"/>
      <c r="AQ1940" s="314"/>
      <c r="AR1940" s="315" t="str">
        <f t="shared" si="67"/>
        <v/>
      </c>
    </row>
    <row r="1941" spans="37:44" ht="30" hidden="1" customHeight="1" x14ac:dyDescent="0.25">
      <c r="AK1941" s="313"/>
      <c r="AL1941" s="313"/>
      <c r="AM1941" s="313"/>
      <c r="AN1941" s="313"/>
      <c r="AO1941" s="313"/>
      <c r="AP1941" s="313"/>
      <c r="AQ1941" s="314"/>
      <c r="AR1941" s="315" t="str">
        <f t="shared" si="67"/>
        <v/>
      </c>
    </row>
    <row r="1942" spans="37:44" ht="30" hidden="1" customHeight="1" x14ac:dyDescent="0.25">
      <c r="AK1942" s="313"/>
      <c r="AL1942" s="313"/>
      <c r="AM1942" s="313"/>
      <c r="AN1942" s="313"/>
      <c r="AO1942" s="313"/>
      <c r="AP1942" s="313"/>
      <c r="AQ1942" s="314"/>
      <c r="AR1942" s="315" t="str">
        <f t="shared" si="67"/>
        <v/>
      </c>
    </row>
    <row r="1943" spans="37:44" ht="30" hidden="1" customHeight="1" x14ac:dyDescent="0.25">
      <c r="AK1943" s="313"/>
      <c r="AL1943" s="313"/>
      <c r="AM1943" s="313"/>
      <c r="AN1943" s="313"/>
      <c r="AO1943" s="313"/>
      <c r="AP1943" s="313"/>
      <c r="AQ1943" s="314"/>
      <c r="AR1943" s="315" t="str">
        <f t="shared" si="67"/>
        <v/>
      </c>
    </row>
    <row r="1944" spans="37:44" ht="30" hidden="1" customHeight="1" x14ac:dyDescent="0.25">
      <c r="AK1944" s="313"/>
      <c r="AL1944" s="313"/>
      <c r="AM1944" s="313"/>
      <c r="AN1944" s="313"/>
      <c r="AO1944" s="313"/>
      <c r="AP1944" s="313"/>
      <c r="AQ1944" s="314"/>
      <c r="AR1944" s="315" t="str">
        <f t="shared" si="67"/>
        <v/>
      </c>
    </row>
    <row r="1945" spans="37:44" ht="30" hidden="1" customHeight="1" x14ac:dyDescent="0.25">
      <c r="AK1945" s="313"/>
      <c r="AL1945" s="313"/>
      <c r="AM1945" s="313"/>
      <c r="AN1945" s="313"/>
      <c r="AO1945" s="313"/>
      <c r="AP1945" s="313"/>
      <c r="AQ1945" s="314"/>
      <c r="AR1945" s="315" t="str">
        <f t="shared" si="67"/>
        <v/>
      </c>
    </row>
    <row r="1946" spans="37:44" ht="30" hidden="1" customHeight="1" x14ac:dyDescent="0.25">
      <c r="AK1946" s="313"/>
      <c r="AL1946" s="313"/>
      <c r="AM1946" s="313"/>
      <c r="AN1946" s="313"/>
      <c r="AO1946" s="313"/>
      <c r="AP1946" s="313"/>
      <c r="AQ1946" s="314"/>
      <c r="AR1946" s="315" t="str">
        <f t="shared" si="67"/>
        <v/>
      </c>
    </row>
    <row r="1947" spans="37:44" ht="30" hidden="1" customHeight="1" x14ac:dyDescent="0.25">
      <c r="AK1947" s="313"/>
      <c r="AL1947" s="313"/>
      <c r="AM1947" s="313"/>
      <c r="AN1947" s="313"/>
      <c r="AO1947" s="313"/>
      <c r="AP1947" s="313"/>
      <c r="AQ1947" s="314"/>
      <c r="AR1947" s="315" t="str">
        <f t="shared" si="67"/>
        <v/>
      </c>
    </row>
    <row r="1948" spans="37:44" ht="30" hidden="1" customHeight="1" x14ac:dyDescent="0.25">
      <c r="AK1948" s="313"/>
      <c r="AL1948" s="313"/>
      <c r="AM1948" s="313"/>
      <c r="AN1948" s="313"/>
      <c r="AO1948" s="313"/>
      <c r="AP1948" s="313"/>
      <c r="AQ1948" s="314"/>
      <c r="AR1948" s="315" t="str">
        <f t="shared" si="67"/>
        <v/>
      </c>
    </row>
    <row r="1949" spans="37:44" ht="30" hidden="1" customHeight="1" x14ac:dyDescent="0.25">
      <c r="AK1949" s="313"/>
      <c r="AL1949" s="313"/>
      <c r="AM1949" s="313"/>
      <c r="AN1949" s="313"/>
      <c r="AO1949" s="313"/>
      <c r="AP1949" s="313"/>
      <c r="AQ1949" s="314"/>
      <c r="AR1949" s="315" t="str">
        <f t="shared" si="67"/>
        <v/>
      </c>
    </row>
    <row r="1950" spans="37:44" ht="30" hidden="1" customHeight="1" x14ac:dyDescent="0.25">
      <c r="AK1950" s="313"/>
      <c r="AL1950" s="313"/>
      <c r="AM1950" s="313"/>
      <c r="AN1950" s="313"/>
      <c r="AO1950" s="313"/>
      <c r="AP1950" s="313"/>
      <c r="AQ1950" s="314"/>
      <c r="AR1950" s="315" t="str">
        <f t="shared" si="67"/>
        <v/>
      </c>
    </row>
    <row r="1951" spans="37:44" ht="30" hidden="1" customHeight="1" x14ac:dyDescent="0.25">
      <c r="AK1951" s="313"/>
      <c r="AL1951" s="313"/>
      <c r="AM1951" s="313"/>
      <c r="AN1951" s="313"/>
      <c r="AO1951" s="313"/>
      <c r="AP1951" s="313"/>
      <c r="AQ1951" s="314"/>
      <c r="AR1951" s="315" t="str">
        <f t="shared" si="67"/>
        <v/>
      </c>
    </row>
    <row r="1952" spans="37:44" ht="30" hidden="1" customHeight="1" x14ac:dyDescent="0.25">
      <c r="AK1952" s="313"/>
      <c r="AL1952" s="313"/>
      <c r="AM1952" s="313"/>
      <c r="AN1952" s="313"/>
      <c r="AO1952" s="313"/>
      <c r="AP1952" s="313"/>
      <c r="AQ1952" s="314"/>
      <c r="AR1952" s="315" t="str">
        <f t="shared" si="67"/>
        <v/>
      </c>
    </row>
    <row r="1953" spans="37:44" ht="30" hidden="1" customHeight="1" x14ac:dyDescent="0.25">
      <c r="AK1953" s="313"/>
      <c r="AL1953" s="313"/>
      <c r="AM1953" s="313"/>
      <c r="AN1953" s="313"/>
      <c r="AO1953" s="313"/>
      <c r="AP1953" s="313"/>
      <c r="AQ1953" s="314"/>
      <c r="AR1953" s="315" t="str">
        <f t="shared" si="67"/>
        <v/>
      </c>
    </row>
    <row r="1954" spans="37:44" ht="30" hidden="1" customHeight="1" x14ac:dyDescent="0.25">
      <c r="AK1954" s="313"/>
      <c r="AL1954" s="313"/>
      <c r="AM1954" s="313"/>
      <c r="AN1954" s="313"/>
      <c r="AO1954" s="313"/>
      <c r="AP1954" s="313"/>
      <c r="AQ1954" s="314"/>
      <c r="AR1954" s="315" t="str">
        <f t="shared" si="67"/>
        <v/>
      </c>
    </row>
    <row r="1955" spans="37:44" ht="30" hidden="1" customHeight="1" x14ac:dyDescent="0.25">
      <c r="AK1955" s="313"/>
      <c r="AL1955" s="313"/>
      <c r="AM1955" s="313"/>
      <c r="AN1955" s="313"/>
      <c r="AO1955" s="313"/>
      <c r="AP1955" s="313"/>
      <c r="AQ1955" s="314"/>
      <c r="AR1955" s="315" t="str">
        <f t="shared" si="67"/>
        <v/>
      </c>
    </row>
    <row r="1956" spans="37:44" ht="30" hidden="1" customHeight="1" x14ac:dyDescent="0.25">
      <c r="AK1956" s="313"/>
      <c r="AL1956" s="313"/>
      <c r="AM1956" s="313"/>
      <c r="AN1956" s="313"/>
      <c r="AO1956" s="313"/>
      <c r="AP1956" s="313"/>
      <c r="AQ1956" s="314"/>
      <c r="AR1956" s="315" t="str">
        <f t="shared" si="67"/>
        <v/>
      </c>
    </row>
    <row r="1957" spans="37:44" ht="30" hidden="1" customHeight="1" x14ac:dyDescent="0.25">
      <c r="AK1957" s="313"/>
      <c r="AL1957" s="313"/>
      <c r="AM1957" s="313"/>
      <c r="AN1957" s="313"/>
      <c r="AO1957" s="313"/>
      <c r="AP1957" s="313"/>
      <c r="AQ1957" s="314"/>
      <c r="AR1957" s="315" t="str">
        <f t="shared" si="67"/>
        <v/>
      </c>
    </row>
    <row r="1958" spans="37:44" ht="30" hidden="1" customHeight="1" x14ac:dyDescent="0.25">
      <c r="AK1958" s="313"/>
      <c r="AL1958" s="313"/>
      <c r="AM1958" s="313"/>
      <c r="AN1958" s="313"/>
      <c r="AO1958" s="313"/>
      <c r="AP1958" s="313"/>
      <c r="AQ1958" s="314"/>
      <c r="AR1958" s="315" t="str">
        <f t="shared" si="67"/>
        <v/>
      </c>
    </row>
    <row r="1959" spans="37:44" ht="30" hidden="1" customHeight="1" x14ac:dyDescent="0.25">
      <c r="AK1959" s="313"/>
      <c r="AL1959" s="313"/>
      <c r="AM1959" s="313"/>
      <c r="AN1959" s="313"/>
      <c r="AO1959" s="313"/>
      <c r="AP1959" s="313"/>
      <c r="AQ1959" s="314"/>
      <c r="AR1959" s="315" t="str">
        <f t="shared" si="67"/>
        <v/>
      </c>
    </row>
    <row r="1960" spans="37:44" ht="30" hidden="1" customHeight="1" x14ac:dyDescent="0.25">
      <c r="AK1960" s="313"/>
      <c r="AL1960" s="313"/>
      <c r="AM1960" s="313"/>
      <c r="AN1960" s="313"/>
      <c r="AO1960" s="313"/>
      <c r="AP1960" s="313"/>
      <c r="AQ1960" s="314"/>
      <c r="AR1960" s="315" t="str">
        <f t="shared" si="67"/>
        <v/>
      </c>
    </row>
    <row r="1961" spans="37:44" ht="30" hidden="1" customHeight="1" x14ac:dyDescent="0.25">
      <c r="AK1961" s="313"/>
      <c r="AL1961" s="313"/>
      <c r="AM1961" s="313"/>
      <c r="AN1961" s="313"/>
      <c r="AO1961" s="313"/>
      <c r="AP1961" s="313"/>
      <c r="AQ1961" s="314"/>
      <c r="AR1961" s="315" t="str">
        <f t="shared" si="67"/>
        <v/>
      </c>
    </row>
    <row r="1962" spans="37:44" ht="30" hidden="1" customHeight="1" x14ac:dyDescent="0.25">
      <c r="AK1962" s="313"/>
      <c r="AL1962" s="313"/>
      <c r="AM1962" s="313"/>
      <c r="AN1962" s="313"/>
      <c r="AO1962" s="313"/>
      <c r="AP1962" s="313"/>
      <c r="AQ1962" s="314"/>
      <c r="AR1962" s="315" t="str">
        <f t="shared" si="67"/>
        <v/>
      </c>
    </row>
    <row r="1963" spans="37:44" ht="30" hidden="1" customHeight="1" x14ac:dyDescent="0.25">
      <c r="AK1963" s="313"/>
      <c r="AL1963" s="313"/>
      <c r="AM1963" s="313"/>
      <c r="AN1963" s="313"/>
      <c r="AO1963" s="313"/>
      <c r="AP1963" s="313"/>
      <c r="AQ1963" s="314"/>
      <c r="AR1963" s="315" t="str">
        <f t="shared" si="67"/>
        <v/>
      </c>
    </row>
    <row r="1964" spans="37:44" ht="30" hidden="1" customHeight="1" x14ac:dyDescent="0.25">
      <c r="AK1964" s="313"/>
      <c r="AL1964" s="313"/>
      <c r="AM1964" s="313"/>
      <c r="AN1964" s="313"/>
      <c r="AO1964" s="313"/>
      <c r="AP1964" s="313"/>
      <c r="AQ1964" s="314"/>
      <c r="AR1964" s="315" t="str">
        <f t="shared" si="67"/>
        <v/>
      </c>
    </row>
    <row r="1965" spans="37:44" ht="30" hidden="1" customHeight="1" x14ac:dyDescent="0.25">
      <c r="AK1965" s="313"/>
      <c r="AL1965" s="313"/>
      <c r="AM1965" s="313"/>
      <c r="AN1965" s="313"/>
      <c r="AO1965" s="313"/>
      <c r="AP1965" s="313"/>
      <c r="AQ1965" s="314"/>
      <c r="AR1965" s="315" t="str">
        <f t="shared" si="67"/>
        <v/>
      </c>
    </row>
    <row r="1966" spans="37:44" ht="30" hidden="1" customHeight="1" x14ac:dyDescent="0.25">
      <c r="AK1966" s="313"/>
      <c r="AL1966" s="313"/>
      <c r="AM1966" s="313"/>
      <c r="AN1966" s="313"/>
      <c r="AO1966" s="313"/>
      <c r="AP1966" s="313"/>
      <c r="AQ1966" s="314"/>
      <c r="AR1966" s="315" t="str">
        <f t="shared" si="67"/>
        <v/>
      </c>
    </row>
    <row r="1967" spans="37:44" ht="30" hidden="1" customHeight="1" x14ac:dyDescent="0.25">
      <c r="AK1967" s="313"/>
      <c r="AL1967" s="313"/>
      <c r="AM1967" s="313"/>
      <c r="AN1967" s="313"/>
      <c r="AO1967" s="313"/>
      <c r="AP1967" s="313"/>
      <c r="AQ1967" s="314"/>
      <c r="AR1967" s="315" t="str">
        <f t="shared" si="67"/>
        <v/>
      </c>
    </row>
    <row r="1968" spans="37:44" ht="30" hidden="1" customHeight="1" x14ac:dyDescent="0.25">
      <c r="AK1968" s="313"/>
      <c r="AL1968" s="313"/>
      <c r="AM1968" s="313"/>
      <c r="AN1968" s="313"/>
      <c r="AO1968" s="313"/>
      <c r="AP1968" s="313"/>
      <c r="AQ1968" s="314"/>
      <c r="AR1968" s="315" t="str">
        <f t="shared" si="67"/>
        <v/>
      </c>
    </row>
    <row r="1969" spans="37:44" ht="30" hidden="1" customHeight="1" x14ac:dyDescent="0.25">
      <c r="AK1969" s="313"/>
      <c r="AL1969" s="313"/>
      <c r="AM1969" s="313"/>
      <c r="AN1969" s="313"/>
      <c r="AO1969" s="313"/>
      <c r="AP1969" s="313"/>
      <c r="AQ1969" s="314"/>
      <c r="AR1969" s="315" t="str">
        <f t="shared" si="67"/>
        <v/>
      </c>
    </row>
    <row r="1970" spans="37:44" ht="30" hidden="1" customHeight="1" x14ac:dyDescent="0.25">
      <c r="AK1970" s="313"/>
      <c r="AL1970" s="313"/>
      <c r="AM1970" s="313"/>
      <c r="AN1970" s="313"/>
      <c r="AO1970" s="313"/>
      <c r="AP1970" s="313"/>
      <c r="AQ1970" s="314"/>
      <c r="AR1970" s="315" t="str">
        <f t="shared" si="67"/>
        <v/>
      </c>
    </row>
    <row r="1971" spans="37:44" ht="30" hidden="1" customHeight="1" x14ac:dyDescent="0.25">
      <c r="AK1971" s="313"/>
      <c r="AL1971" s="313"/>
      <c r="AM1971" s="313"/>
      <c r="AN1971" s="313"/>
      <c r="AO1971" s="313"/>
      <c r="AP1971" s="313"/>
      <c r="AQ1971" s="314"/>
      <c r="AR1971" s="315" t="str">
        <f t="shared" si="67"/>
        <v/>
      </c>
    </row>
    <row r="1972" spans="37:44" ht="30" hidden="1" customHeight="1" x14ac:dyDescent="0.25">
      <c r="AK1972" s="313"/>
      <c r="AL1972" s="313"/>
      <c r="AM1972" s="313"/>
      <c r="AN1972" s="313"/>
      <c r="AO1972" s="313"/>
      <c r="AP1972" s="313"/>
      <c r="AQ1972" s="314"/>
      <c r="AR1972" s="315" t="str">
        <f t="shared" si="67"/>
        <v/>
      </c>
    </row>
    <row r="1973" spans="37:44" ht="30" hidden="1" customHeight="1" x14ac:dyDescent="0.25">
      <c r="AK1973" s="313"/>
      <c r="AL1973" s="313"/>
      <c r="AM1973" s="313"/>
      <c r="AN1973" s="313"/>
      <c r="AO1973" s="313"/>
      <c r="AP1973" s="313"/>
      <c r="AQ1973" s="314"/>
      <c r="AR1973" s="315" t="str">
        <f t="shared" si="67"/>
        <v/>
      </c>
    </row>
    <row r="1974" spans="37:44" ht="30" hidden="1" customHeight="1" x14ac:dyDescent="0.25">
      <c r="AK1974" s="313"/>
      <c r="AL1974" s="313"/>
      <c r="AM1974" s="313"/>
      <c r="AN1974" s="313"/>
      <c r="AO1974" s="313"/>
      <c r="AP1974" s="313"/>
      <c r="AQ1974" s="314"/>
      <c r="AR1974" s="315" t="str">
        <f t="shared" si="67"/>
        <v/>
      </c>
    </row>
    <row r="1975" spans="37:44" ht="30" hidden="1" customHeight="1" x14ac:dyDescent="0.25">
      <c r="AK1975" s="313"/>
      <c r="AL1975" s="313"/>
      <c r="AM1975" s="313"/>
      <c r="AN1975" s="313"/>
      <c r="AO1975" s="313"/>
      <c r="AP1975" s="313"/>
      <c r="AQ1975" s="314"/>
      <c r="AR1975" s="315" t="str">
        <f t="shared" si="67"/>
        <v/>
      </c>
    </row>
    <row r="1976" spans="37:44" ht="30" hidden="1" customHeight="1" x14ac:dyDescent="0.25">
      <c r="AK1976" s="313"/>
      <c r="AL1976" s="313"/>
      <c r="AM1976" s="313"/>
      <c r="AN1976" s="313"/>
      <c r="AO1976" s="313"/>
      <c r="AP1976" s="313"/>
      <c r="AQ1976" s="314"/>
      <c r="AR1976" s="315" t="str">
        <f t="shared" si="67"/>
        <v/>
      </c>
    </row>
    <row r="1977" spans="37:44" ht="30" hidden="1" customHeight="1" x14ac:dyDescent="0.25">
      <c r="AK1977" s="313"/>
      <c r="AL1977" s="313"/>
      <c r="AM1977" s="313"/>
      <c r="AN1977" s="313"/>
      <c r="AO1977" s="313"/>
      <c r="AP1977" s="313"/>
      <c r="AQ1977" s="314"/>
      <c r="AR1977" s="315" t="str">
        <f t="shared" si="67"/>
        <v/>
      </c>
    </row>
    <row r="1978" spans="37:44" ht="30" hidden="1" customHeight="1" x14ac:dyDescent="0.25">
      <c r="AK1978" s="313"/>
      <c r="AL1978" s="313"/>
      <c r="AM1978" s="313"/>
      <c r="AN1978" s="313"/>
      <c r="AO1978" s="313"/>
      <c r="AP1978" s="313"/>
      <c r="AQ1978" s="314"/>
      <c r="AR1978" s="315" t="str">
        <f t="shared" si="67"/>
        <v/>
      </c>
    </row>
    <row r="1979" spans="37:44" ht="30" hidden="1" customHeight="1" x14ac:dyDescent="0.25">
      <c r="AK1979" s="313"/>
      <c r="AL1979" s="313"/>
      <c r="AM1979" s="313"/>
      <c r="AN1979" s="313"/>
      <c r="AO1979" s="313"/>
      <c r="AP1979" s="313"/>
      <c r="AQ1979" s="314"/>
      <c r="AR1979" s="315" t="str">
        <f t="shared" si="67"/>
        <v/>
      </c>
    </row>
    <row r="1980" spans="37:44" ht="30" hidden="1" customHeight="1" x14ac:dyDescent="0.25">
      <c r="AK1980" s="313"/>
      <c r="AL1980" s="313"/>
      <c r="AM1980" s="313"/>
      <c r="AN1980" s="313"/>
      <c r="AO1980" s="313"/>
      <c r="AP1980" s="313"/>
      <c r="AQ1980" s="314"/>
      <c r="AR1980" s="315" t="str">
        <f t="shared" si="67"/>
        <v/>
      </c>
    </row>
    <row r="1981" spans="37:44" ht="30" hidden="1" customHeight="1" x14ac:dyDescent="0.25">
      <c r="AK1981" s="313"/>
      <c r="AL1981" s="313"/>
      <c r="AM1981" s="313"/>
      <c r="AN1981" s="313"/>
      <c r="AO1981" s="313"/>
      <c r="AP1981" s="313"/>
      <c r="AQ1981" s="314"/>
      <c r="AR1981" s="315" t="str">
        <f t="shared" si="67"/>
        <v/>
      </c>
    </row>
    <row r="1982" spans="37:44" ht="30" hidden="1" customHeight="1" x14ac:dyDescent="0.25">
      <c r="AK1982" s="313"/>
      <c r="AL1982" s="313"/>
      <c r="AM1982" s="313"/>
      <c r="AN1982" s="313"/>
      <c r="AO1982" s="313"/>
      <c r="AP1982" s="313"/>
      <c r="AQ1982" s="314"/>
      <c r="AR1982" s="315" t="str">
        <f t="shared" si="67"/>
        <v/>
      </c>
    </row>
    <row r="1983" spans="37:44" ht="30" hidden="1" customHeight="1" x14ac:dyDescent="0.25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68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 x14ac:dyDescent="0.25">
      <c r="AK1984" s="313"/>
      <c r="AL1984" s="313"/>
      <c r="AM1984" s="313"/>
      <c r="AN1984" s="313"/>
      <c r="AO1984" s="313"/>
      <c r="AP1984" s="313"/>
      <c r="AQ1984" s="314"/>
      <c r="AR1984" s="315" t="str">
        <f t="shared" si="68"/>
        <v/>
      </c>
    </row>
    <row r="1985" spans="37:44" ht="30" hidden="1" customHeight="1" x14ac:dyDescent="0.25">
      <c r="AK1985" s="313"/>
      <c r="AL1985" s="313"/>
      <c r="AM1985" s="313"/>
      <c r="AN1985" s="313"/>
      <c r="AO1985" s="313"/>
      <c r="AP1985" s="313"/>
      <c r="AQ1985" s="314"/>
      <c r="AR1985" s="315" t="str">
        <f t="shared" si="68"/>
        <v/>
      </c>
    </row>
    <row r="1986" spans="37:44" ht="30" hidden="1" customHeight="1" x14ac:dyDescent="0.25">
      <c r="AK1986" s="313"/>
      <c r="AL1986" s="313"/>
      <c r="AM1986" s="313"/>
      <c r="AN1986" s="313"/>
      <c r="AO1986" s="313"/>
      <c r="AP1986" s="313"/>
      <c r="AQ1986" s="314"/>
      <c r="AR1986" s="315" t="str">
        <f t="shared" si="68"/>
        <v/>
      </c>
    </row>
    <row r="1987" spans="37:44" ht="30" hidden="1" customHeight="1" x14ac:dyDescent="0.25">
      <c r="AK1987" s="313"/>
      <c r="AL1987" s="313"/>
      <c r="AM1987" s="313"/>
      <c r="AN1987" s="313"/>
      <c r="AO1987" s="313"/>
      <c r="AP1987" s="313"/>
      <c r="AQ1987" s="314"/>
      <c r="AR1987" s="315" t="str">
        <f t="shared" si="68"/>
        <v/>
      </c>
    </row>
    <row r="1988" spans="37:44" ht="30" hidden="1" customHeight="1" x14ac:dyDescent="0.25">
      <c r="AK1988" s="313"/>
      <c r="AL1988" s="313"/>
      <c r="AM1988" s="313"/>
      <c r="AN1988" s="313"/>
      <c r="AO1988" s="313"/>
      <c r="AP1988" s="313"/>
      <c r="AQ1988" s="314"/>
      <c r="AR1988" s="315" t="str">
        <f t="shared" si="68"/>
        <v/>
      </c>
    </row>
    <row r="1989" spans="37:44" ht="30" hidden="1" customHeight="1" x14ac:dyDescent="0.25">
      <c r="AK1989" s="313"/>
      <c r="AL1989" s="313"/>
      <c r="AM1989" s="313"/>
      <c r="AN1989" s="313"/>
      <c r="AO1989" s="313"/>
      <c r="AP1989" s="313"/>
      <c r="AQ1989" s="314"/>
      <c r="AR1989" s="315" t="str">
        <f t="shared" si="68"/>
        <v/>
      </c>
    </row>
    <row r="1990" spans="37:44" ht="30" hidden="1" customHeight="1" x14ac:dyDescent="0.25">
      <c r="AK1990" s="313"/>
      <c r="AL1990" s="313"/>
      <c r="AM1990" s="313"/>
      <c r="AN1990" s="313"/>
      <c r="AO1990" s="313"/>
      <c r="AP1990" s="313"/>
      <c r="AQ1990" s="314"/>
      <c r="AR1990" s="315" t="str">
        <f t="shared" si="68"/>
        <v/>
      </c>
    </row>
    <row r="1991" spans="37:44" ht="30" hidden="1" customHeight="1" x14ac:dyDescent="0.25">
      <c r="AK1991" s="313"/>
      <c r="AL1991" s="313"/>
      <c r="AM1991" s="313"/>
      <c r="AN1991" s="313"/>
      <c r="AO1991" s="313"/>
      <c r="AP1991" s="313"/>
      <c r="AQ1991" s="314"/>
      <c r="AR1991" s="315" t="str">
        <f t="shared" si="68"/>
        <v/>
      </c>
    </row>
    <row r="1992" spans="37:44" ht="30" hidden="1" customHeight="1" x14ac:dyDescent="0.25">
      <c r="AK1992" s="313"/>
      <c r="AL1992" s="313"/>
      <c r="AM1992" s="313"/>
      <c r="AN1992" s="313"/>
      <c r="AO1992" s="313"/>
      <c r="AP1992" s="313"/>
      <c r="AQ1992" s="314"/>
      <c r="AR1992" s="315" t="str">
        <f t="shared" si="68"/>
        <v/>
      </c>
    </row>
    <row r="1993" spans="37:44" ht="30" hidden="1" customHeight="1" x14ac:dyDescent="0.25">
      <c r="AK1993" s="313"/>
      <c r="AL1993" s="313"/>
      <c r="AM1993" s="313"/>
      <c r="AN1993" s="313"/>
      <c r="AO1993" s="313"/>
      <c r="AP1993" s="313"/>
      <c r="AQ1993" s="314"/>
      <c r="AR1993" s="315" t="str">
        <f t="shared" si="68"/>
        <v/>
      </c>
    </row>
    <row r="1994" spans="37:44" ht="30" hidden="1" customHeight="1" x14ac:dyDescent="0.25">
      <c r="AK1994" s="313"/>
      <c r="AL1994" s="313"/>
      <c r="AM1994" s="313"/>
      <c r="AN1994" s="313"/>
      <c r="AO1994" s="313"/>
      <c r="AP1994" s="313"/>
      <c r="AQ1994" s="314"/>
      <c r="AR1994" s="315" t="str">
        <f t="shared" si="68"/>
        <v/>
      </c>
    </row>
    <row r="1995" spans="37:44" ht="30" hidden="1" customHeight="1" x14ac:dyDescent="0.25">
      <c r="AK1995" s="313"/>
      <c r="AL1995" s="313"/>
      <c r="AM1995" s="313"/>
      <c r="AN1995" s="313"/>
      <c r="AO1995" s="313"/>
      <c r="AP1995" s="313"/>
      <c r="AQ1995" s="314"/>
      <c r="AR1995" s="315" t="str">
        <f t="shared" si="68"/>
        <v/>
      </c>
    </row>
    <row r="1996" spans="37:44" ht="30" hidden="1" customHeight="1" x14ac:dyDescent="0.25">
      <c r="AK1996" s="313"/>
      <c r="AL1996" s="313"/>
      <c r="AM1996" s="313"/>
      <c r="AN1996" s="313"/>
      <c r="AO1996" s="313"/>
      <c r="AP1996" s="313"/>
      <c r="AQ1996" s="314"/>
      <c r="AR1996" s="315" t="str">
        <f t="shared" si="68"/>
        <v/>
      </c>
    </row>
    <row r="1997" spans="37:44" ht="30" hidden="1" customHeight="1" x14ac:dyDescent="0.25">
      <c r="AK1997" s="313"/>
      <c r="AL1997" s="313"/>
      <c r="AM1997" s="313"/>
      <c r="AN1997" s="313"/>
      <c r="AO1997" s="313"/>
      <c r="AP1997" s="313"/>
      <c r="AQ1997" s="314"/>
      <c r="AR1997" s="315" t="str">
        <f t="shared" si="68"/>
        <v/>
      </c>
    </row>
    <row r="1998" spans="37:44" ht="30" hidden="1" customHeight="1" x14ac:dyDescent="0.25">
      <c r="AK1998" s="313"/>
      <c r="AL1998" s="313"/>
      <c r="AM1998" s="313"/>
      <c r="AN1998" s="313"/>
      <c r="AO1998" s="313"/>
      <c r="AP1998" s="313"/>
      <c r="AQ1998" s="314"/>
      <c r="AR1998" s="315" t="str">
        <f t="shared" si="68"/>
        <v/>
      </c>
    </row>
    <row r="1999" spans="37:44" ht="30" hidden="1" customHeight="1" x14ac:dyDescent="0.25">
      <c r="AK1999" s="313"/>
      <c r="AL1999" s="313"/>
      <c r="AM1999" s="313"/>
      <c r="AN1999" s="313"/>
      <c r="AO1999" s="313"/>
      <c r="AP1999" s="313"/>
      <c r="AQ1999" s="314"/>
      <c r="AR1999" s="315" t="str">
        <f t="shared" si="68"/>
        <v/>
      </c>
    </row>
    <row r="2000" spans="37:44" ht="30" hidden="1" customHeight="1" x14ac:dyDescent="0.25">
      <c r="AK2000" s="313"/>
      <c r="AL2000" s="313"/>
      <c r="AM2000" s="313"/>
      <c r="AN2000" s="313"/>
      <c r="AO2000" s="313"/>
      <c r="AP2000" s="313"/>
      <c r="AQ2000" s="314"/>
      <c r="AR2000" s="315" t="str">
        <f t="shared" si="68"/>
        <v/>
      </c>
    </row>
    <row r="2001" spans="37:44" ht="30" hidden="1" customHeight="1" x14ac:dyDescent="0.25">
      <c r="AK2001" s="313"/>
      <c r="AL2001" s="313"/>
      <c r="AM2001" s="313"/>
      <c r="AN2001" s="313"/>
      <c r="AO2001" s="313"/>
      <c r="AP2001" s="313"/>
      <c r="AQ2001" s="314"/>
      <c r="AR2001" s="315" t="str">
        <f t="shared" si="68"/>
        <v/>
      </c>
    </row>
    <row r="2002" spans="37:44" ht="30" hidden="1" customHeight="1" x14ac:dyDescent="0.25">
      <c r="AK2002" s="313"/>
      <c r="AL2002" s="313"/>
      <c r="AM2002" s="313"/>
      <c r="AN2002" s="313"/>
      <c r="AO2002" s="313"/>
      <c r="AP2002" s="313"/>
      <c r="AQ2002" s="314"/>
      <c r="AR2002" s="315" t="str">
        <f t="shared" si="68"/>
        <v/>
      </c>
    </row>
    <row r="2003" spans="37:44" ht="30" hidden="1" customHeight="1" x14ac:dyDescent="0.25">
      <c r="AK2003" s="313"/>
      <c r="AL2003" s="313"/>
      <c r="AM2003" s="313"/>
      <c r="AN2003" s="313"/>
      <c r="AO2003" s="313"/>
      <c r="AP2003" s="313"/>
      <c r="AQ2003" s="314"/>
      <c r="AR2003" s="315" t="str">
        <f t="shared" si="68"/>
        <v/>
      </c>
    </row>
    <row r="2004" spans="37:44" ht="30" hidden="1" customHeight="1" x14ac:dyDescent="0.25">
      <c r="AK2004" s="313"/>
      <c r="AL2004" s="313"/>
      <c r="AM2004" s="313"/>
      <c r="AN2004" s="313"/>
      <c r="AO2004" s="313"/>
      <c r="AP2004" s="313"/>
      <c r="AQ2004" s="314"/>
      <c r="AR2004" s="315" t="str">
        <f t="shared" si="68"/>
        <v/>
      </c>
    </row>
    <row r="2005" spans="37:44" ht="30" hidden="1" customHeight="1" x14ac:dyDescent="0.25">
      <c r="AK2005" s="313"/>
      <c r="AL2005" s="313"/>
      <c r="AM2005" s="313"/>
      <c r="AN2005" s="313"/>
      <c r="AO2005" s="313"/>
      <c r="AP2005" s="313"/>
      <c r="AQ2005" s="314"/>
      <c r="AR2005" s="315" t="str">
        <f t="shared" si="68"/>
        <v/>
      </c>
    </row>
    <row r="2006" spans="37:44" ht="30" hidden="1" customHeight="1" x14ac:dyDescent="0.25">
      <c r="AK2006" s="313"/>
      <c r="AL2006" s="313"/>
      <c r="AM2006" s="313"/>
      <c r="AN2006" s="313"/>
      <c r="AO2006" s="313"/>
      <c r="AP2006" s="313"/>
      <c r="AQ2006" s="314"/>
      <c r="AR2006" s="315" t="str">
        <f t="shared" si="68"/>
        <v/>
      </c>
    </row>
    <row r="2007" spans="37:44" ht="30" hidden="1" customHeight="1" x14ac:dyDescent="0.25">
      <c r="AK2007" s="313"/>
      <c r="AL2007" s="313"/>
      <c r="AM2007" s="313"/>
      <c r="AN2007" s="313"/>
      <c r="AO2007" s="313"/>
      <c r="AP2007" s="313"/>
      <c r="AQ2007" s="314"/>
      <c r="AR2007" s="315" t="str">
        <f t="shared" si="68"/>
        <v/>
      </c>
    </row>
    <row r="2008" spans="37:44" ht="30" hidden="1" customHeight="1" x14ac:dyDescent="0.25">
      <c r="AK2008" s="313"/>
      <c r="AL2008" s="313"/>
      <c r="AM2008" s="313"/>
      <c r="AN2008" s="313"/>
      <c r="AO2008" s="313"/>
      <c r="AP2008" s="313"/>
      <c r="AQ2008" s="314"/>
      <c r="AR2008" s="315" t="str">
        <f t="shared" si="68"/>
        <v/>
      </c>
    </row>
    <row r="2009" spans="37:44" ht="30" hidden="1" customHeight="1" x14ac:dyDescent="0.25">
      <c r="AK2009" s="313"/>
      <c r="AL2009" s="313"/>
      <c r="AM2009" s="313"/>
      <c r="AN2009" s="313"/>
      <c r="AO2009" s="313"/>
      <c r="AP2009" s="313"/>
      <c r="AQ2009" s="314"/>
      <c r="AR2009" s="315" t="str">
        <f t="shared" si="68"/>
        <v/>
      </c>
    </row>
    <row r="2010" spans="37:44" ht="30" hidden="1" customHeight="1" x14ac:dyDescent="0.25">
      <c r="AK2010" s="313"/>
      <c r="AL2010" s="313"/>
      <c r="AM2010" s="313"/>
      <c r="AN2010" s="313"/>
      <c r="AO2010" s="313"/>
      <c r="AP2010" s="313"/>
      <c r="AQ2010" s="314"/>
      <c r="AR2010" s="315" t="str">
        <f t="shared" si="68"/>
        <v/>
      </c>
    </row>
    <row r="2011" spans="37:44" ht="30" hidden="1" customHeight="1" x14ac:dyDescent="0.25">
      <c r="AK2011" s="313"/>
      <c r="AL2011" s="313"/>
      <c r="AM2011" s="313"/>
      <c r="AN2011" s="313"/>
      <c r="AO2011" s="313"/>
      <c r="AP2011" s="313"/>
      <c r="AQ2011" s="314"/>
      <c r="AR2011" s="315" t="str">
        <f t="shared" si="68"/>
        <v/>
      </c>
    </row>
    <row r="2012" spans="37:44" ht="30" hidden="1" customHeight="1" x14ac:dyDescent="0.25">
      <c r="AK2012" s="313"/>
      <c r="AL2012" s="313"/>
      <c r="AM2012" s="313"/>
      <c r="AN2012" s="313"/>
      <c r="AO2012" s="313"/>
      <c r="AP2012" s="313"/>
      <c r="AQ2012" s="314"/>
      <c r="AR2012" s="315" t="str">
        <f t="shared" si="68"/>
        <v/>
      </c>
    </row>
    <row r="2013" spans="37:44" ht="30" hidden="1" customHeight="1" x14ac:dyDescent="0.25">
      <c r="AK2013" s="313"/>
      <c r="AL2013" s="313"/>
      <c r="AM2013" s="313"/>
      <c r="AN2013" s="313"/>
      <c r="AO2013" s="313"/>
      <c r="AP2013" s="313"/>
      <c r="AQ2013" s="314"/>
      <c r="AR2013" s="315" t="str">
        <f t="shared" si="68"/>
        <v/>
      </c>
    </row>
    <row r="2014" spans="37:44" ht="30" hidden="1" customHeight="1" x14ac:dyDescent="0.25">
      <c r="AK2014" s="313"/>
      <c r="AL2014" s="313"/>
      <c r="AM2014" s="313"/>
      <c r="AN2014" s="313"/>
      <c r="AO2014" s="313"/>
      <c r="AP2014" s="313"/>
      <c r="AQ2014" s="314"/>
      <c r="AR2014" s="315" t="str">
        <f t="shared" si="68"/>
        <v/>
      </c>
    </row>
    <row r="2015" spans="37:44" ht="30" hidden="1" customHeight="1" x14ac:dyDescent="0.25">
      <c r="AK2015" s="313"/>
      <c r="AL2015" s="313"/>
      <c r="AM2015" s="313"/>
      <c r="AN2015" s="313"/>
      <c r="AO2015" s="313"/>
      <c r="AP2015" s="313"/>
      <c r="AQ2015" s="314"/>
      <c r="AR2015" s="315" t="str">
        <f t="shared" si="68"/>
        <v/>
      </c>
    </row>
    <row r="2016" spans="37:44" ht="30" hidden="1" customHeight="1" x14ac:dyDescent="0.25">
      <c r="AK2016" s="313"/>
      <c r="AL2016" s="313"/>
      <c r="AM2016" s="313"/>
      <c r="AN2016" s="313"/>
      <c r="AO2016" s="313"/>
      <c r="AP2016" s="313"/>
      <c r="AQ2016" s="314"/>
      <c r="AR2016" s="315" t="str">
        <f t="shared" si="68"/>
        <v/>
      </c>
    </row>
    <row r="2017" spans="37:44" ht="30" hidden="1" customHeight="1" x14ac:dyDescent="0.25">
      <c r="AK2017" s="313"/>
      <c r="AL2017" s="313"/>
      <c r="AM2017" s="313"/>
      <c r="AN2017" s="313"/>
      <c r="AO2017" s="313"/>
      <c r="AP2017" s="313"/>
      <c r="AQ2017" s="314"/>
      <c r="AR2017" s="315" t="str">
        <f t="shared" si="68"/>
        <v/>
      </c>
    </row>
    <row r="2018" spans="37:44" ht="30" hidden="1" customHeight="1" x14ac:dyDescent="0.25">
      <c r="AK2018" s="313"/>
      <c r="AL2018" s="313"/>
      <c r="AM2018" s="313"/>
      <c r="AN2018" s="313"/>
      <c r="AO2018" s="313"/>
      <c r="AP2018" s="313"/>
      <c r="AQ2018" s="314"/>
      <c r="AR2018" s="315" t="str">
        <f t="shared" si="68"/>
        <v/>
      </c>
    </row>
    <row r="2019" spans="37:44" ht="30" hidden="1" customHeight="1" x14ac:dyDescent="0.25">
      <c r="AK2019" s="313"/>
      <c r="AL2019" s="313"/>
      <c r="AM2019" s="313"/>
      <c r="AN2019" s="313"/>
      <c r="AO2019" s="313"/>
      <c r="AP2019" s="313"/>
      <c r="AQ2019" s="314"/>
      <c r="AR2019" s="315" t="str">
        <f t="shared" si="68"/>
        <v/>
      </c>
    </row>
    <row r="2020" spans="37:44" ht="30" hidden="1" customHeight="1" x14ac:dyDescent="0.25">
      <c r="AK2020" s="313"/>
      <c r="AL2020" s="313"/>
      <c r="AM2020" s="313"/>
      <c r="AN2020" s="313"/>
      <c r="AO2020" s="313"/>
      <c r="AP2020" s="313"/>
      <c r="AQ2020" s="314"/>
      <c r="AR2020" s="315" t="str">
        <f t="shared" si="68"/>
        <v/>
      </c>
    </row>
    <row r="2021" spans="37:44" ht="30" hidden="1" customHeight="1" x14ac:dyDescent="0.25">
      <c r="AK2021" s="313"/>
      <c r="AL2021" s="313"/>
      <c r="AM2021" s="313"/>
      <c r="AN2021" s="313"/>
      <c r="AO2021" s="313"/>
      <c r="AP2021" s="313"/>
      <c r="AQ2021" s="314"/>
      <c r="AR2021" s="315" t="str">
        <f t="shared" si="68"/>
        <v/>
      </c>
    </row>
    <row r="2022" spans="37:44" ht="30" hidden="1" customHeight="1" x14ac:dyDescent="0.25">
      <c r="AK2022" s="313"/>
      <c r="AL2022" s="313"/>
      <c r="AM2022" s="313"/>
      <c r="AN2022" s="313"/>
      <c r="AO2022" s="313"/>
      <c r="AP2022" s="313"/>
      <c r="AQ2022" s="314"/>
      <c r="AR2022" s="315" t="str">
        <f t="shared" si="68"/>
        <v/>
      </c>
    </row>
    <row r="2023" spans="37:44" ht="30" hidden="1" customHeight="1" x14ac:dyDescent="0.25">
      <c r="AK2023" s="313"/>
      <c r="AL2023" s="313"/>
      <c r="AM2023" s="313"/>
      <c r="AN2023" s="313"/>
      <c r="AO2023" s="313"/>
      <c r="AP2023" s="313"/>
      <c r="AQ2023" s="314"/>
      <c r="AR2023" s="315" t="str">
        <f t="shared" si="68"/>
        <v/>
      </c>
    </row>
    <row r="2024" spans="37:44" ht="30" hidden="1" customHeight="1" x14ac:dyDescent="0.25">
      <c r="AK2024" s="313"/>
      <c r="AL2024" s="313"/>
      <c r="AM2024" s="313"/>
      <c r="AN2024" s="313"/>
      <c r="AO2024" s="313"/>
      <c r="AP2024" s="313"/>
      <c r="AQ2024" s="314"/>
      <c r="AR2024" s="315" t="str">
        <f t="shared" si="68"/>
        <v/>
      </c>
    </row>
    <row r="2025" spans="37:44" ht="30" hidden="1" customHeight="1" x14ac:dyDescent="0.25">
      <c r="AK2025" s="313"/>
      <c r="AL2025" s="313"/>
      <c r="AM2025" s="313"/>
      <c r="AN2025" s="313"/>
      <c r="AO2025" s="313"/>
      <c r="AP2025" s="313"/>
      <c r="AQ2025" s="314"/>
      <c r="AR2025" s="315" t="str">
        <f t="shared" si="68"/>
        <v/>
      </c>
    </row>
    <row r="2026" spans="37:44" ht="30" hidden="1" customHeight="1" x14ac:dyDescent="0.25">
      <c r="AK2026" s="313"/>
      <c r="AL2026" s="313"/>
      <c r="AM2026" s="313"/>
      <c r="AN2026" s="313"/>
      <c r="AO2026" s="313"/>
      <c r="AP2026" s="313"/>
      <c r="AQ2026" s="314"/>
      <c r="AR2026" s="315" t="str">
        <f t="shared" si="68"/>
        <v/>
      </c>
    </row>
    <row r="2027" spans="37:44" ht="30" hidden="1" customHeight="1" x14ac:dyDescent="0.25">
      <c r="AK2027" s="313"/>
      <c r="AL2027" s="313"/>
      <c r="AM2027" s="313"/>
      <c r="AN2027" s="313"/>
      <c r="AO2027" s="313"/>
      <c r="AP2027" s="313"/>
      <c r="AQ2027" s="314"/>
      <c r="AR2027" s="315" t="str">
        <f t="shared" si="68"/>
        <v/>
      </c>
    </row>
    <row r="2028" spans="37:44" ht="30" hidden="1" customHeight="1" x14ac:dyDescent="0.25">
      <c r="AK2028" s="313"/>
      <c r="AL2028" s="313"/>
      <c r="AM2028" s="313"/>
      <c r="AN2028" s="313"/>
      <c r="AO2028" s="313"/>
      <c r="AP2028" s="313"/>
      <c r="AQ2028" s="314"/>
      <c r="AR2028" s="315" t="str">
        <f t="shared" si="68"/>
        <v/>
      </c>
    </row>
    <row r="2029" spans="37:44" ht="30" hidden="1" customHeight="1" x14ac:dyDescent="0.25">
      <c r="AK2029" s="313"/>
      <c r="AL2029" s="313"/>
      <c r="AM2029" s="313"/>
      <c r="AN2029" s="313"/>
      <c r="AO2029" s="313"/>
      <c r="AP2029" s="313"/>
      <c r="AQ2029" s="314"/>
      <c r="AR2029" s="315" t="str">
        <f t="shared" si="68"/>
        <v/>
      </c>
    </row>
    <row r="2030" spans="37:44" ht="30" hidden="1" customHeight="1" x14ac:dyDescent="0.25">
      <c r="AK2030" s="313"/>
      <c r="AL2030" s="313"/>
      <c r="AM2030" s="313"/>
      <c r="AN2030" s="313"/>
      <c r="AO2030" s="313"/>
      <c r="AP2030" s="313"/>
      <c r="AQ2030" s="314"/>
      <c r="AR2030" s="315" t="str">
        <f t="shared" si="68"/>
        <v/>
      </c>
    </row>
    <row r="2031" spans="37:44" ht="30" hidden="1" customHeight="1" x14ac:dyDescent="0.25">
      <c r="AK2031" s="313"/>
      <c r="AL2031" s="313"/>
      <c r="AM2031" s="313"/>
      <c r="AN2031" s="313"/>
      <c r="AO2031" s="313"/>
      <c r="AP2031" s="313"/>
      <c r="AQ2031" s="314"/>
      <c r="AR2031" s="315" t="str">
        <f t="shared" si="68"/>
        <v/>
      </c>
    </row>
    <row r="2032" spans="37:44" ht="30" hidden="1" customHeight="1" x14ac:dyDescent="0.25">
      <c r="AK2032" s="313"/>
      <c r="AL2032" s="313"/>
      <c r="AM2032" s="313"/>
      <c r="AN2032" s="313"/>
      <c r="AO2032" s="313"/>
      <c r="AP2032" s="313"/>
      <c r="AQ2032" s="314"/>
      <c r="AR2032" s="315" t="str">
        <f t="shared" si="68"/>
        <v/>
      </c>
    </row>
    <row r="2033" spans="37:44" ht="30" hidden="1" customHeight="1" x14ac:dyDescent="0.25">
      <c r="AK2033" s="313"/>
      <c r="AL2033" s="313"/>
      <c r="AM2033" s="313"/>
      <c r="AN2033" s="313"/>
      <c r="AO2033" s="313"/>
      <c r="AP2033" s="313"/>
      <c r="AQ2033" s="314"/>
      <c r="AR2033" s="315" t="str">
        <f t="shared" si="68"/>
        <v/>
      </c>
    </row>
    <row r="2034" spans="37:44" ht="30" hidden="1" customHeight="1" x14ac:dyDescent="0.25">
      <c r="AK2034" s="313"/>
      <c r="AL2034" s="313"/>
      <c r="AM2034" s="313"/>
      <c r="AN2034" s="313"/>
      <c r="AO2034" s="313"/>
      <c r="AP2034" s="313"/>
      <c r="AQ2034" s="314"/>
      <c r="AR2034" s="315" t="str">
        <f t="shared" si="68"/>
        <v/>
      </c>
    </row>
    <row r="2035" spans="37:44" ht="30" hidden="1" customHeight="1" x14ac:dyDescent="0.25">
      <c r="AK2035" s="313"/>
      <c r="AL2035" s="313"/>
      <c r="AM2035" s="313"/>
      <c r="AN2035" s="313"/>
      <c r="AO2035" s="313"/>
      <c r="AP2035" s="313"/>
      <c r="AQ2035" s="314"/>
      <c r="AR2035" s="315" t="str">
        <f t="shared" si="68"/>
        <v/>
      </c>
    </row>
    <row r="2036" spans="37:44" ht="30" hidden="1" customHeight="1" x14ac:dyDescent="0.25">
      <c r="AK2036" s="313"/>
      <c r="AL2036" s="313"/>
      <c r="AM2036" s="313"/>
      <c r="AN2036" s="313"/>
      <c r="AO2036" s="313"/>
      <c r="AP2036" s="313"/>
      <c r="AQ2036" s="314"/>
      <c r="AR2036" s="315" t="str">
        <f t="shared" si="68"/>
        <v/>
      </c>
    </row>
    <row r="2037" spans="37:44" ht="30" hidden="1" customHeight="1" x14ac:dyDescent="0.25">
      <c r="AK2037" s="313"/>
      <c r="AL2037" s="313"/>
      <c r="AM2037" s="313"/>
      <c r="AN2037" s="313"/>
      <c r="AO2037" s="313"/>
      <c r="AP2037" s="313"/>
      <c r="AQ2037" s="314"/>
      <c r="AR2037" s="315" t="str">
        <f t="shared" si="68"/>
        <v/>
      </c>
    </row>
    <row r="2038" spans="37:44" ht="30" hidden="1" customHeight="1" x14ac:dyDescent="0.25">
      <c r="AK2038" s="313"/>
      <c r="AL2038" s="313"/>
      <c r="AM2038" s="313"/>
      <c r="AN2038" s="313"/>
      <c r="AO2038" s="313"/>
      <c r="AP2038" s="313"/>
      <c r="AQ2038" s="314"/>
      <c r="AR2038" s="315" t="str">
        <f t="shared" si="68"/>
        <v/>
      </c>
    </row>
    <row r="2039" spans="37:44" ht="30" hidden="1" customHeight="1" x14ac:dyDescent="0.25">
      <c r="AK2039" s="313"/>
      <c r="AL2039" s="313"/>
      <c r="AM2039" s="313"/>
      <c r="AN2039" s="313"/>
      <c r="AO2039" s="313"/>
      <c r="AP2039" s="313"/>
      <c r="AQ2039" s="314"/>
      <c r="AR2039" s="315" t="str">
        <f t="shared" si="68"/>
        <v/>
      </c>
    </row>
    <row r="2040" spans="37:44" ht="30" hidden="1" customHeight="1" x14ac:dyDescent="0.25">
      <c r="AK2040" s="313"/>
      <c r="AL2040" s="313"/>
      <c r="AM2040" s="313"/>
      <c r="AN2040" s="313"/>
      <c r="AO2040" s="313"/>
      <c r="AP2040" s="313"/>
      <c r="AQ2040" s="314"/>
      <c r="AR2040" s="315" t="str">
        <f t="shared" si="68"/>
        <v/>
      </c>
    </row>
    <row r="2041" spans="37:44" ht="30" hidden="1" customHeight="1" x14ac:dyDescent="0.25">
      <c r="AK2041" s="313"/>
      <c r="AL2041" s="313"/>
      <c r="AM2041" s="313"/>
      <c r="AN2041" s="313"/>
      <c r="AO2041" s="313"/>
      <c r="AP2041" s="313"/>
      <c r="AQ2041" s="314"/>
      <c r="AR2041" s="315" t="str">
        <f t="shared" si="68"/>
        <v/>
      </c>
    </row>
    <row r="2042" spans="37:44" ht="30" hidden="1" customHeight="1" x14ac:dyDescent="0.25">
      <c r="AK2042" s="313"/>
      <c r="AL2042" s="313"/>
      <c r="AM2042" s="313"/>
      <c r="AN2042" s="313"/>
      <c r="AO2042" s="313"/>
      <c r="AP2042" s="313"/>
      <c r="AQ2042" s="314"/>
      <c r="AR2042" s="315" t="str">
        <f t="shared" si="68"/>
        <v/>
      </c>
    </row>
    <row r="2043" spans="37:44" ht="30" hidden="1" customHeight="1" x14ac:dyDescent="0.25">
      <c r="AK2043" s="313"/>
      <c r="AL2043" s="313"/>
      <c r="AM2043" s="313"/>
      <c r="AN2043" s="313"/>
      <c r="AO2043" s="313"/>
      <c r="AP2043" s="313"/>
      <c r="AQ2043" s="314"/>
      <c r="AR2043" s="315" t="str">
        <f t="shared" si="68"/>
        <v/>
      </c>
    </row>
    <row r="2044" spans="37:44" ht="30" hidden="1" customHeight="1" x14ac:dyDescent="0.25">
      <c r="AK2044" s="313"/>
      <c r="AL2044" s="313"/>
      <c r="AM2044" s="313"/>
      <c r="AN2044" s="313"/>
      <c r="AO2044" s="313"/>
      <c r="AP2044" s="313"/>
      <c r="AQ2044" s="314"/>
      <c r="AR2044" s="315" t="str">
        <f t="shared" si="68"/>
        <v/>
      </c>
    </row>
    <row r="2045" spans="37:44" ht="30" hidden="1" customHeight="1" x14ac:dyDescent="0.25">
      <c r="AK2045" s="313"/>
      <c r="AL2045" s="313"/>
      <c r="AM2045" s="313"/>
      <c r="AN2045" s="313"/>
      <c r="AO2045" s="313"/>
      <c r="AP2045" s="313"/>
      <c r="AQ2045" s="314"/>
      <c r="AR2045" s="315" t="str">
        <f t="shared" si="68"/>
        <v/>
      </c>
    </row>
    <row r="2046" spans="37:44" ht="30" hidden="1" customHeight="1" x14ac:dyDescent="0.25">
      <c r="AK2046" s="313"/>
      <c r="AL2046" s="313"/>
      <c r="AM2046" s="313"/>
      <c r="AN2046" s="313"/>
      <c r="AO2046" s="313"/>
      <c r="AP2046" s="313"/>
      <c r="AQ2046" s="314"/>
      <c r="AR2046" s="315" t="str">
        <f t="shared" si="68"/>
        <v/>
      </c>
    </row>
    <row r="2047" spans="37:44" ht="30" hidden="1" customHeight="1" x14ac:dyDescent="0.25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69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 x14ac:dyDescent="0.25">
      <c r="AK2048" s="313"/>
      <c r="AL2048" s="313"/>
      <c r="AM2048" s="313"/>
      <c r="AN2048" s="313"/>
      <c r="AO2048" s="313"/>
      <c r="AP2048" s="313"/>
      <c r="AQ2048" s="314"/>
      <c r="AR2048" s="315" t="str">
        <f t="shared" si="69"/>
        <v/>
      </c>
    </row>
    <row r="2049" spans="37:44" ht="30" hidden="1" customHeight="1" x14ac:dyDescent="0.25">
      <c r="AK2049" s="313"/>
      <c r="AL2049" s="313"/>
      <c r="AM2049" s="313"/>
      <c r="AN2049" s="313"/>
      <c r="AO2049" s="313"/>
      <c r="AP2049" s="313"/>
      <c r="AQ2049" s="314"/>
      <c r="AR2049" s="315" t="str">
        <f t="shared" si="69"/>
        <v/>
      </c>
    </row>
    <row r="2050" spans="37:44" ht="30" hidden="1" customHeight="1" x14ac:dyDescent="0.25">
      <c r="AK2050" s="313"/>
      <c r="AL2050" s="313"/>
      <c r="AM2050" s="313"/>
      <c r="AN2050" s="313"/>
      <c r="AO2050" s="313"/>
      <c r="AP2050" s="313"/>
      <c r="AQ2050" s="314"/>
      <c r="AR2050" s="315" t="str">
        <f t="shared" si="69"/>
        <v/>
      </c>
    </row>
    <row r="2051" spans="37:44" ht="30" hidden="1" customHeight="1" x14ac:dyDescent="0.25">
      <c r="AK2051" s="313"/>
      <c r="AL2051" s="313"/>
      <c r="AM2051" s="313"/>
      <c r="AN2051" s="313"/>
      <c r="AO2051" s="313"/>
      <c r="AP2051" s="313"/>
      <c r="AQ2051" s="314"/>
      <c r="AR2051" s="315" t="str">
        <f t="shared" si="69"/>
        <v/>
      </c>
    </row>
    <row r="2052" spans="37:44" ht="30" hidden="1" customHeight="1" x14ac:dyDescent="0.25">
      <c r="AK2052" s="313"/>
      <c r="AL2052" s="313"/>
      <c r="AM2052" s="313"/>
      <c r="AN2052" s="313"/>
      <c r="AO2052" s="313"/>
      <c r="AP2052" s="313"/>
      <c r="AQ2052" s="314"/>
      <c r="AR2052" s="315" t="str">
        <f t="shared" si="69"/>
        <v/>
      </c>
    </row>
    <row r="2053" spans="37:44" ht="30" hidden="1" customHeight="1" x14ac:dyDescent="0.25">
      <c r="AK2053" s="313"/>
      <c r="AL2053" s="313"/>
      <c r="AM2053" s="313"/>
      <c r="AN2053" s="313"/>
      <c r="AO2053" s="313"/>
      <c r="AP2053" s="313"/>
      <c r="AQ2053" s="314"/>
      <c r="AR2053" s="315" t="str">
        <f t="shared" si="69"/>
        <v/>
      </c>
    </row>
    <row r="2054" spans="37:44" ht="30" hidden="1" customHeight="1" x14ac:dyDescent="0.25">
      <c r="AK2054" s="313"/>
      <c r="AL2054" s="313"/>
      <c r="AM2054" s="313"/>
      <c r="AN2054" s="313"/>
      <c r="AO2054" s="313"/>
      <c r="AP2054" s="313"/>
      <c r="AQ2054" s="314"/>
      <c r="AR2054" s="315" t="str">
        <f t="shared" si="69"/>
        <v/>
      </c>
    </row>
    <row r="2055" spans="37:44" ht="30" hidden="1" customHeight="1" x14ac:dyDescent="0.25">
      <c r="AK2055" s="313"/>
      <c r="AL2055" s="313"/>
      <c r="AM2055" s="313"/>
      <c r="AN2055" s="313"/>
      <c r="AO2055" s="313"/>
      <c r="AP2055" s="313"/>
      <c r="AQ2055" s="314"/>
      <c r="AR2055" s="315" t="str">
        <f t="shared" si="69"/>
        <v/>
      </c>
    </row>
    <row r="2056" spans="37:44" ht="30" hidden="1" customHeight="1" x14ac:dyDescent="0.25">
      <c r="AK2056" s="313"/>
      <c r="AL2056" s="313"/>
      <c r="AM2056" s="313"/>
      <c r="AN2056" s="313"/>
      <c r="AO2056" s="313"/>
      <c r="AP2056" s="313"/>
      <c r="AQ2056" s="314"/>
      <c r="AR2056" s="315" t="str">
        <f t="shared" si="69"/>
        <v/>
      </c>
    </row>
    <row r="2057" spans="37:44" ht="30" hidden="1" customHeight="1" x14ac:dyDescent="0.25">
      <c r="AK2057" s="313"/>
      <c r="AL2057" s="313"/>
      <c r="AM2057" s="313"/>
      <c r="AN2057" s="313"/>
      <c r="AO2057" s="313"/>
      <c r="AP2057" s="313"/>
      <c r="AQ2057" s="314"/>
      <c r="AR2057" s="315" t="str">
        <f t="shared" si="69"/>
        <v/>
      </c>
    </row>
    <row r="2058" spans="37:44" ht="30" hidden="1" customHeight="1" x14ac:dyDescent="0.25">
      <c r="AK2058" s="313"/>
      <c r="AL2058" s="313"/>
      <c r="AM2058" s="313"/>
      <c r="AN2058" s="313"/>
      <c r="AO2058" s="313"/>
      <c r="AP2058" s="313"/>
      <c r="AQ2058" s="314"/>
      <c r="AR2058" s="315" t="str">
        <f t="shared" si="69"/>
        <v/>
      </c>
    </row>
    <row r="2059" spans="37:44" ht="30" hidden="1" customHeight="1" x14ac:dyDescent="0.25">
      <c r="AK2059" s="313"/>
      <c r="AL2059" s="313"/>
      <c r="AM2059" s="313"/>
      <c r="AN2059" s="313"/>
      <c r="AO2059" s="313"/>
      <c r="AP2059" s="313"/>
      <c r="AQ2059" s="314"/>
      <c r="AR2059" s="315" t="str">
        <f t="shared" si="69"/>
        <v/>
      </c>
    </row>
    <row r="2060" spans="37:44" ht="30" hidden="1" customHeight="1" x14ac:dyDescent="0.25">
      <c r="AK2060" s="313"/>
      <c r="AL2060" s="313"/>
      <c r="AM2060" s="313"/>
      <c r="AN2060" s="313"/>
      <c r="AO2060" s="313"/>
      <c r="AP2060" s="313"/>
      <c r="AQ2060" s="314"/>
      <c r="AR2060" s="315" t="str">
        <f t="shared" si="69"/>
        <v/>
      </c>
    </row>
    <row r="2061" spans="37:44" ht="30" hidden="1" customHeight="1" x14ac:dyDescent="0.25">
      <c r="AK2061" s="313"/>
      <c r="AL2061" s="313"/>
      <c r="AM2061" s="313"/>
      <c r="AN2061" s="313"/>
      <c r="AO2061" s="313"/>
      <c r="AP2061" s="313"/>
      <c r="AQ2061" s="314"/>
      <c r="AR2061" s="315" t="str">
        <f t="shared" si="69"/>
        <v/>
      </c>
    </row>
    <row r="2062" spans="37:44" ht="30" hidden="1" customHeight="1" x14ac:dyDescent="0.25">
      <c r="AK2062" s="313"/>
      <c r="AL2062" s="313"/>
      <c r="AM2062" s="313"/>
      <c r="AN2062" s="313"/>
      <c r="AO2062" s="313"/>
      <c r="AP2062" s="313"/>
      <c r="AQ2062" s="314"/>
      <c r="AR2062" s="315" t="str">
        <f t="shared" si="69"/>
        <v/>
      </c>
    </row>
    <row r="2063" spans="37:44" ht="30" hidden="1" customHeight="1" x14ac:dyDescent="0.25">
      <c r="AK2063" s="313"/>
      <c r="AL2063" s="313"/>
      <c r="AM2063" s="313"/>
      <c r="AN2063" s="313"/>
      <c r="AO2063" s="313"/>
      <c r="AP2063" s="313"/>
      <c r="AQ2063" s="314"/>
      <c r="AR2063" s="315" t="str">
        <f t="shared" si="69"/>
        <v/>
      </c>
    </row>
    <row r="2064" spans="37:44" ht="30" hidden="1" customHeight="1" x14ac:dyDescent="0.25">
      <c r="AK2064" s="313"/>
      <c r="AL2064" s="313"/>
      <c r="AM2064" s="313"/>
      <c r="AN2064" s="313"/>
      <c r="AO2064" s="313"/>
      <c r="AP2064" s="313"/>
      <c r="AQ2064" s="314"/>
      <c r="AR2064" s="315" t="str">
        <f t="shared" si="69"/>
        <v/>
      </c>
    </row>
    <row r="2065" spans="37:44" ht="30" hidden="1" customHeight="1" x14ac:dyDescent="0.25">
      <c r="AK2065" s="313"/>
      <c r="AL2065" s="313"/>
      <c r="AM2065" s="313"/>
      <c r="AN2065" s="313"/>
      <c r="AO2065" s="313"/>
      <c r="AP2065" s="313"/>
      <c r="AQ2065" s="314"/>
      <c r="AR2065" s="315" t="str">
        <f t="shared" si="69"/>
        <v/>
      </c>
    </row>
    <row r="2066" spans="37:44" ht="30" hidden="1" customHeight="1" x14ac:dyDescent="0.25">
      <c r="AK2066" s="313"/>
      <c r="AL2066" s="313"/>
      <c r="AM2066" s="313"/>
      <c r="AN2066" s="313"/>
      <c r="AO2066" s="313"/>
      <c r="AP2066" s="313"/>
      <c r="AQ2066" s="314"/>
      <c r="AR2066" s="315" t="str">
        <f t="shared" si="69"/>
        <v/>
      </c>
    </row>
    <row r="2067" spans="37:44" ht="30" hidden="1" customHeight="1" x14ac:dyDescent="0.25">
      <c r="AK2067" s="313"/>
      <c r="AL2067" s="313"/>
      <c r="AM2067" s="313"/>
      <c r="AN2067" s="313"/>
      <c r="AO2067" s="313"/>
      <c r="AP2067" s="313"/>
      <c r="AQ2067" s="314"/>
      <c r="AR2067" s="315" t="str">
        <f t="shared" si="69"/>
        <v/>
      </c>
    </row>
    <row r="2068" spans="37:44" ht="30" hidden="1" customHeight="1" x14ac:dyDescent="0.25">
      <c r="AK2068" s="313"/>
      <c r="AL2068" s="313"/>
      <c r="AM2068" s="313"/>
      <c r="AN2068" s="313"/>
      <c r="AO2068" s="313"/>
      <c r="AP2068" s="313"/>
      <c r="AQ2068" s="314"/>
      <c r="AR2068" s="315" t="str">
        <f t="shared" si="69"/>
        <v/>
      </c>
    </row>
    <row r="2069" spans="37:44" ht="30" hidden="1" customHeight="1" x14ac:dyDescent="0.25">
      <c r="AK2069" s="313"/>
      <c r="AL2069" s="313"/>
      <c r="AM2069" s="313"/>
      <c r="AN2069" s="313"/>
      <c r="AO2069" s="313"/>
      <c r="AP2069" s="313"/>
      <c r="AQ2069" s="314"/>
      <c r="AR2069" s="315" t="str">
        <f t="shared" si="69"/>
        <v/>
      </c>
    </row>
    <row r="2070" spans="37:44" ht="30" hidden="1" customHeight="1" x14ac:dyDescent="0.25">
      <c r="AK2070" s="313"/>
      <c r="AL2070" s="313"/>
      <c r="AM2070" s="313"/>
      <c r="AN2070" s="313"/>
      <c r="AO2070" s="313"/>
      <c r="AP2070" s="313"/>
      <c r="AQ2070" s="314"/>
      <c r="AR2070" s="315" t="str">
        <f t="shared" si="69"/>
        <v/>
      </c>
    </row>
    <row r="2071" spans="37:44" ht="30" hidden="1" customHeight="1" x14ac:dyDescent="0.25">
      <c r="AK2071" s="313"/>
      <c r="AL2071" s="313"/>
      <c r="AM2071" s="313"/>
      <c r="AN2071" s="313"/>
      <c r="AO2071" s="313"/>
      <c r="AP2071" s="313"/>
      <c r="AQ2071" s="314"/>
      <c r="AR2071" s="315" t="str">
        <f t="shared" si="69"/>
        <v/>
      </c>
    </row>
    <row r="2072" spans="37:44" ht="30" hidden="1" customHeight="1" x14ac:dyDescent="0.25">
      <c r="AK2072" s="313"/>
      <c r="AL2072" s="313"/>
      <c r="AM2072" s="313"/>
      <c r="AN2072" s="313"/>
      <c r="AO2072" s="313"/>
      <c r="AP2072" s="313"/>
      <c r="AQ2072" s="314"/>
      <c r="AR2072" s="315" t="str">
        <f t="shared" si="69"/>
        <v/>
      </c>
    </row>
    <row r="2073" spans="37:44" ht="30" hidden="1" customHeight="1" x14ac:dyDescent="0.25">
      <c r="AK2073" s="313"/>
      <c r="AL2073" s="313"/>
      <c r="AM2073" s="313"/>
      <c r="AN2073" s="313"/>
      <c r="AO2073" s="313"/>
      <c r="AP2073" s="313"/>
      <c r="AQ2073" s="314"/>
      <c r="AR2073" s="315" t="str">
        <f t="shared" si="69"/>
        <v/>
      </c>
    </row>
    <row r="2074" spans="37:44" ht="30" hidden="1" customHeight="1" x14ac:dyDescent="0.25">
      <c r="AK2074" s="313"/>
      <c r="AL2074" s="313"/>
      <c r="AM2074" s="313"/>
      <c r="AN2074" s="313"/>
      <c r="AO2074" s="313"/>
      <c r="AP2074" s="313"/>
      <c r="AQ2074" s="314"/>
      <c r="AR2074" s="315" t="str">
        <f t="shared" si="69"/>
        <v/>
      </c>
    </row>
    <row r="2075" spans="37:44" ht="30" hidden="1" customHeight="1" x14ac:dyDescent="0.25">
      <c r="AK2075" s="313"/>
      <c r="AL2075" s="313"/>
      <c r="AM2075" s="313"/>
      <c r="AN2075" s="313"/>
      <c r="AO2075" s="313"/>
      <c r="AP2075" s="313"/>
      <c r="AQ2075" s="314"/>
      <c r="AR2075" s="315" t="str">
        <f t="shared" si="69"/>
        <v/>
      </c>
    </row>
    <row r="2076" spans="37:44" ht="30" hidden="1" customHeight="1" x14ac:dyDescent="0.25">
      <c r="AK2076" s="313"/>
      <c r="AL2076" s="313"/>
      <c r="AM2076" s="313"/>
      <c r="AN2076" s="313"/>
      <c r="AO2076" s="313"/>
      <c r="AP2076" s="313"/>
      <c r="AQ2076" s="314"/>
      <c r="AR2076" s="315" t="str">
        <f t="shared" si="69"/>
        <v/>
      </c>
    </row>
    <row r="2077" spans="37:44" ht="30" hidden="1" customHeight="1" x14ac:dyDescent="0.25">
      <c r="AK2077" s="313"/>
      <c r="AL2077" s="313"/>
      <c r="AM2077" s="313"/>
      <c r="AN2077" s="313"/>
      <c r="AO2077" s="313"/>
      <c r="AP2077" s="313"/>
      <c r="AQ2077" s="314"/>
      <c r="AR2077" s="315" t="str">
        <f t="shared" si="69"/>
        <v/>
      </c>
    </row>
    <row r="2078" spans="37:44" ht="30" hidden="1" customHeight="1" x14ac:dyDescent="0.25">
      <c r="AK2078" s="313"/>
      <c r="AL2078" s="313"/>
      <c r="AM2078" s="313"/>
      <c r="AN2078" s="313"/>
      <c r="AO2078" s="313"/>
      <c r="AP2078" s="313"/>
      <c r="AQ2078" s="314"/>
      <c r="AR2078" s="315" t="str">
        <f t="shared" si="69"/>
        <v/>
      </c>
    </row>
    <row r="2079" spans="37:44" ht="30" hidden="1" customHeight="1" x14ac:dyDescent="0.25">
      <c r="AK2079" s="313"/>
      <c r="AL2079" s="313"/>
      <c r="AM2079" s="313"/>
      <c r="AN2079" s="313"/>
      <c r="AO2079" s="313"/>
      <c r="AP2079" s="313"/>
      <c r="AQ2079" s="314"/>
      <c r="AR2079" s="315" t="str">
        <f t="shared" si="69"/>
        <v/>
      </c>
    </row>
    <row r="2080" spans="37:44" ht="30" hidden="1" customHeight="1" x14ac:dyDescent="0.25">
      <c r="AK2080" s="313"/>
      <c r="AL2080" s="313"/>
      <c r="AM2080" s="313"/>
      <c r="AN2080" s="313"/>
      <c r="AO2080" s="313"/>
      <c r="AP2080" s="313"/>
      <c r="AQ2080" s="314"/>
      <c r="AR2080" s="315" t="str">
        <f t="shared" si="69"/>
        <v/>
      </c>
    </row>
    <row r="2081" spans="37:44" ht="30" hidden="1" customHeight="1" x14ac:dyDescent="0.25">
      <c r="AK2081" s="313"/>
      <c r="AL2081" s="313"/>
      <c r="AM2081" s="313"/>
      <c r="AN2081" s="313"/>
      <c r="AO2081" s="313"/>
      <c r="AP2081" s="313"/>
      <c r="AQ2081" s="314"/>
      <c r="AR2081" s="315" t="str">
        <f t="shared" si="69"/>
        <v/>
      </c>
    </row>
    <row r="2082" spans="37:44" ht="30" hidden="1" customHeight="1" x14ac:dyDescent="0.25">
      <c r="AK2082" s="313"/>
      <c r="AL2082" s="313"/>
      <c r="AM2082" s="313"/>
      <c r="AN2082" s="313"/>
      <c r="AO2082" s="313"/>
      <c r="AP2082" s="313"/>
      <c r="AQ2082" s="314"/>
      <c r="AR2082" s="315" t="str">
        <f t="shared" si="69"/>
        <v/>
      </c>
    </row>
    <row r="2083" spans="37:44" ht="30" hidden="1" customHeight="1" x14ac:dyDescent="0.25">
      <c r="AK2083" s="313"/>
      <c r="AL2083" s="313"/>
      <c r="AM2083" s="313"/>
      <c r="AN2083" s="313"/>
      <c r="AO2083" s="313"/>
      <c r="AP2083" s="313"/>
      <c r="AQ2083" s="314"/>
      <c r="AR2083" s="315" t="str">
        <f t="shared" si="69"/>
        <v/>
      </c>
    </row>
    <row r="2084" spans="37:44" ht="30" hidden="1" customHeight="1" x14ac:dyDescent="0.25">
      <c r="AK2084" s="313"/>
      <c r="AL2084" s="313"/>
      <c r="AM2084" s="313"/>
      <c r="AN2084" s="313"/>
      <c r="AO2084" s="313"/>
      <c r="AP2084" s="313"/>
      <c r="AQ2084" s="314"/>
      <c r="AR2084" s="315" t="str">
        <f t="shared" si="69"/>
        <v/>
      </c>
    </row>
    <row r="2085" spans="37:44" ht="30" hidden="1" customHeight="1" x14ac:dyDescent="0.25">
      <c r="AK2085" s="313"/>
      <c r="AL2085" s="313"/>
      <c r="AM2085" s="313"/>
      <c r="AN2085" s="313"/>
      <c r="AO2085" s="313"/>
      <c r="AP2085" s="313"/>
      <c r="AQ2085" s="314"/>
      <c r="AR2085" s="315" t="str">
        <f t="shared" si="69"/>
        <v/>
      </c>
    </row>
    <row r="2086" spans="37:44" ht="30" hidden="1" customHeight="1" x14ac:dyDescent="0.25">
      <c r="AK2086" s="313"/>
      <c r="AL2086" s="313"/>
      <c r="AM2086" s="313"/>
      <c r="AN2086" s="313"/>
      <c r="AO2086" s="313"/>
      <c r="AP2086" s="313"/>
      <c r="AQ2086" s="314"/>
      <c r="AR2086" s="315" t="str">
        <f t="shared" si="69"/>
        <v/>
      </c>
    </row>
    <row r="2087" spans="37:44" ht="30" hidden="1" customHeight="1" x14ac:dyDescent="0.25">
      <c r="AK2087" s="313"/>
      <c r="AL2087" s="313"/>
      <c r="AM2087" s="313"/>
      <c r="AN2087" s="313"/>
      <c r="AO2087" s="313"/>
      <c r="AP2087" s="313"/>
      <c r="AQ2087" s="314"/>
      <c r="AR2087" s="315" t="str">
        <f t="shared" si="69"/>
        <v/>
      </c>
    </row>
    <row r="2088" spans="37:44" ht="30" hidden="1" customHeight="1" x14ac:dyDescent="0.25">
      <c r="AK2088" s="313"/>
      <c r="AL2088" s="313"/>
      <c r="AM2088" s="313"/>
      <c r="AN2088" s="313"/>
      <c r="AO2088" s="313"/>
      <c r="AP2088" s="313"/>
      <c r="AQ2088" s="314"/>
      <c r="AR2088" s="315" t="str">
        <f t="shared" si="69"/>
        <v/>
      </c>
    </row>
    <row r="2089" spans="37:44" ht="30" hidden="1" customHeight="1" x14ac:dyDescent="0.25">
      <c r="AK2089" s="313"/>
      <c r="AL2089" s="313"/>
      <c r="AM2089" s="313"/>
      <c r="AN2089" s="313"/>
      <c r="AO2089" s="313"/>
      <c r="AP2089" s="313"/>
      <c r="AQ2089" s="314"/>
      <c r="AR2089" s="315" t="str">
        <f t="shared" si="69"/>
        <v/>
      </c>
    </row>
    <row r="2090" spans="37:44" ht="30" hidden="1" customHeight="1" x14ac:dyDescent="0.25">
      <c r="AK2090" s="313"/>
      <c r="AL2090" s="313"/>
      <c r="AM2090" s="313"/>
      <c r="AN2090" s="313"/>
      <c r="AO2090" s="313"/>
      <c r="AP2090" s="313"/>
      <c r="AQ2090" s="314"/>
      <c r="AR2090" s="315" t="str">
        <f t="shared" si="69"/>
        <v/>
      </c>
    </row>
    <row r="2091" spans="37:44" ht="30" hidden="1" customHeight="1" x14ac:dyDescent="0.25">
      <c r="AK2091" s="313"/>
      <c r="AL2091" s="313"/>
      <c r="AM2091" s="313"/>
      <c r="AN2091" s="313"/>
      <c r="AO2091" s="313"/>
      <c r="AP2091" s="313"/>
      <c r="AQ2091" s="314"/>
      <c r="AR2091" s="315" t="str">
        <f t="shared" si="69"/>
        <v/>
      </c>
    </row>
    <row r="2092" spans="37:44" ht="30" hidden="1" customHeight="1" x14ac:dyDescent="0.25">
      <c r="AK2092" s="313"/>
      <c r="AL2092" s="313"/>
      <c r="AM2092" s="313"/>
      <c r="AN2092" s="313"/>
      <c r="AO2092" s="313"/>
      <c r="AP2092" s="313"/>
      <c r="AQ2092" s="314"/>
      <c r="AR2092" s="315" t="str">
        <f t="shared" si="69"/>
        <v/>
      </c>
    </row>
    <row r="2093" spans="37:44" ht="30" hidden="1" customHeight="1" x14ac:dyDescent="0.25">
      <c r="AK2093" s="313"/>
      <c r="AL2093" s="313"/>
      <c r="AM2093" s="313"/>
      <c r="AN2093" s="313"/>
      <c r="AO2093" s="313"/>
      <c r="AP2093" s="313"/>
      <c r="AQ2093" s="314"/>
      <c r="AR2093" s="315" t="str">
        <f t="shared" si="69"/>
        <v/>
      </c>
    </row>
    <row r="2094" spans="37:44" ht="30" hidden="1" customHeight="1" x14ac:dyDescent="0.25">
      <c r="AK2094" s="313"/>
      <c r="AL2094" s="313"/>
      <c r="AM2094" s="313"/>
      <c r="AN2094" s="313"/>
      <c r="AO2094" s="313"/>
      <c r="AP2094" s="313"/>
      <c r="AQ2094" s="314"/>
      <c r="AR2094" s="315" t="str">
        <f t="shared" si="69"/>
        <v/>
      </c>
    </row>
    <row r="2095" spans="37:44" ht="30" hidden="1" customHeight="1" x14ac:dyDescent="0.25">
      <c r="AK2095" s="313"/>
      <c r="AL2095" s="313"/>
      <c r="AM2095" s="313"/>
      <c r="AN2095" s="313"/>
      <c r="AO2095" s="313"/>
      <c r="AP2095" s="313"/>
      <c r="AQ2095" s="314"/>
      <c r="AR2095" s="315" t="str">
        <f t="shared" si="69"/>
        <v/>
      </c>
    </row>
    <row r="2096" spans="37:44" ht="30" hidden="1" customHeight="1" x14ac:dyDescent="0.25">
      <c r="AK2096" s="313"/>
      <c r="AL2096" s="313"/>
      <c r="AM2096" s="313"/>
      <c r="AN2096" s="313"/>
      <c r="AO2096" s="313"/>
      <c r="AP2096" s="313"/>
      <c r="AQ2096" s="314"/>
      <c r="AR2096" s="315" t="str">
        <f t="shared" si="69"/>
        <v/>
      </c>
    </row>
    <row r="2097" spans="37:44" ht="30" hidden="1" customHeight="1" x14ac:dyDescent="0.25">
      <c r="AK2097" s="313"/>
      <c r="AL2097" s="313"/>
      <c r="AM2097" s="313"/>
      <c r="AN2097" s="313"/>
      <c r="AO2097" s="313"/>
      <c r="AP2097" s="313"/>
      <c r="AQ2097" s="314"/>
      <c r="AR2097" s="315" t="str">
        <f t="shared" si="69"/>
        <v/>
      </c>
    </row>
    <row r="2098" spans="37:44" ht="30" hidden="1" customHeight="1" x14ac:dyDescent="0.25">
      <c r="AK2098" s="313"/>
      <c r="AL2098" s="313"/>
      <c r="AM2098" s="313"/>
      <c r="AN2098" s="313"/>
      <c r="AO2098" s="313"/>
      <c r="AP2098" s="313"/>
      <c r="AQ2098" s="314"/>
      <c r="AR2098" s="315" t="str">
        <f t="shared" si="69"/>
        <v/>
      </c>
    </row>
    <row r="2099" spans="37:44" ht="30" hidden="1" customHeight="1" x14ac:dyDescent="0.25">
      <c r="AK2099" s="313"/>
      <c r="AL2099" s="313"/>
      <c r="AM2099" s="313"/>
      <c r="AN2099" s="313"/>
      <c r="AO2099" s="313"/>
      <c r="AP2099" s="313"/>
      <c r="AQ2099" s="314"/>
      <c r="AR2099" s="315" t="str">
        <f t="shared" si="69"/>
        <v/>
      </c>
    </row>
    <row r="2100" spans="37:44" ht="30" hidden="1" customHeight="1" x14ac:dyDescent="0.25">
      <c r="AK2100" s="313"/>
      <c r="AL2100" s="313"/>
      <c r="AM2100" s="313"/>
      <c r="AN2100" s="313"/>
      <c r="AO2100" s="313"/>
      <c r="AP2100" s="313"/>
      <c r="AQ2100" s="314"/>
      <c r="AR2100" s="315" t="str">
        <f t="shared" si="69"/>
        <v/>
      </c>
    </row>
    <row r="2101" spans="37:44" ht="30" hidden="1" customHeight="1" x14ac:dyDescent="0.25">
      <c r="AK2101" s="313"/>
      <c r="AL2101" s="313"/>
      <c r="AM2101" s="313"/>
      <c r="AN2101" s="313"/>
      <c r="AO2101" s="313"/>
      <c r="AP2101" s="313"/>
      <c r="AQ2101" s="314"/>
      <c r="AR2101" s="315" t="str">
        <f t="shared" si="69"/>
        <v/>
      </c>
    </row>
    <row r="2102" spans="37:44" ht="30" hidden="1" customHeight="1" x14ac:dyDescent="0.25">
      <c r="AK2102" s="313"/>
      <c r="AL2102" s="313"/>
      <c r="AM2102" s="313"/>
      <c r="AN2102" s="313"/>
      <c r="AO2102" s="313"/>
      <c r="AP2102" s="313"/>
      <c r="AQ2102" s="314"/>
      <c r="AR2102" s="315" t="str">
        <f t="shared" si="69"/>
        <v/>
      </c>
    </row>
    <row r="2103" spans="37:44" ht="30" hidden="1" customHeight="1" x14ac:dyDescent="0.25">
      <c r="AK2103" s="313"/>
      <c r="AL2103" s="313"/>
      <c r="AM2103" s="313"/>
      <c r="AN2103" s="313"/>
      <c r="AO2103" s="313"/>
      <c r="AP2103" s="313"/>
      <c r="AQ2103" s="314"/>
      <c r="AR2103" s="315" t="str">
        <f t="shared" si="69"/>
        <v/>
      </c>
    </row>
    <row r="2104" spans="37:44" ht="30" hidden="1" customHeight="1" x14ac:dyDescent="0.25">
      <c r="AK2104" s="313"/>
      <c r="AL2104" s="313"/>
      <c r="AM2104" s="313"/>
      <c r="AN2104" s="313"/>
      <c r="AO2104" s="313"/>
      <c r="AP2104" s="313"/>
      <c r="AQ2104" s="314"/>
      <c r="AR2104" s="315" t="str">
        <f t="shared" si="69"/>
        <v/>
      </c>
    </row>
    <row r="2105" spans="37:44" ht="30" hidden="1" customHeight="1" x14ac:dyDescent="0.25">
      <c r="AK2105" s="313"/>
      <c r="AL2105" s="313"/>
      <c r="AM2105" s="313"/>
      <c r="AN2105" s="313"/>
      <c r="AO2105" s="313"/>
      <c r="AP2105" s="313"/>
      <c r="AQ2105" s="314"/>
      <c r="AR2105" s="315" t="str">
        <f t="shared" si="69"/>
        <v/>
      </c>
    </row>
    <row r="2106" spans="37:44" ht="30" hidden="1" customHeight="1" x14ac:dyDescent="0.25">
      <c r="AK2106" s="313"/>
      <c r="AL2106" s="313"/>
      <c r="AM2106" s="313"/>
      <c r="AN2106" s="313"/>
      <c r="AO2106" s="313"/>
      <c r="AP2106" s="313"/>
      <c r="AQ2106" s="314"/>
      <c r="AR2106" s="315" t="str">
        <f t="shared" si="69"/>
        <v/>
      </c>
    </row>
    <row r="2107" spans="37:44" ht="30" hidden="1" customHeight="1" x14ac:dyDescent="0.25">
      <c r="AK2107" s="313"/>
      <c r="AL2107" s="313"/>
      <c r="AM2107" s="313"/>
      <c r="AN2107" s="313"/>
      <c r="AO2107" s="313"/>
      <c r="AP2107" s="313"/>
      <c r="AQ2107" s="314"/>
      <c r="AR2107" s="315" t="str">
        <f t="shared" si="69"/>
        <v/>
      </c>
    </row>
    <row r="2108" spans="37:44" ht="30" hidden="1" customHeight="1" x14ac:dyDescent="0.25">
      <c r="AK2108" s="313"/>
      <c r="AL2108" s="313"/>
      <c r="AM2108" s="313"/>
      <c r="AN2108" s="313"/>
      <c r="AO2108" s="313"/>
      <c r="AP2108" s="313"/>
      <c r="AQ2108" s="314"/>
      <c r="AR2108" s="315" t="str">
        <f t="shared" si="69"/>
        <v/>
      </c>
    </row>
    <row r="2109" spans="37:44" ht="30" hidden="1" customHeight="1" x14ac:dyDescent="0.25">
      <c r="AK2109" s="313"/>
      <c r="AL2109" s="313"/>
      <c r="AM2109" s="313"/>
      <c r="AN2109" s="313"/>
      <c r="AO2109" s="313"/>
      <c r="AP2109" s="313"/>
      <c r="AQ2109" s="314"/>
      <c r="AR2109" s="315" t="str">
        <f t="shared" si="69"/>
        <v/>
      </c>
    </row>
    <row r="2110" spans="37:44" ht="30" hidden="1" customHeight="1" x14ac:dyDescent="0.25">
      <c r="AK2110" s="313"/>
      <c r="AL2110" s="313"/>
      <c r="AM2110" s="313"/>
      <c r="AN2110" s="313"/>
      <c r="AO2110" s="313"/>
      <c r="AP2110" s="313"/>
      <c r="AQ2110" s="314"/>
      <c r="AR2110" s="315" t="str">
        <f t="shared" si="69"/>
        <v/>
      </c>
    </row>
    <row r="2111" spans="37:44" ht="30" hidden="1" customHeight="1" x14ac:dyDescent="0.25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70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 x14ac:dyDescent="0.25">
      <c r="AK2112" s="313"/>
      <c r="AL2112" s="313"/>
      <c r="AM2112" s="313"/>
      <c r="AN2112" s="313"/>
      <c r="AO2112" s="313"/>
      <c r="AP2112" s="313"/>
      <c r="AQ2112" s="314"/>
      <c r="AR2112" s="315" t="str">
        <f t="shared" si="70"/>
        <v/>
      </c>
    </row>
    <row r="2113" spans="37:44" ht="30" hidden="1" customHeight="1" x14ac:dyDescent="0.25">
      <c r="AK2113" s="313"/>
      <c r="AL2113" s="313"/>
      <c r="AM2113" s="313"/>
      <c r="AN2113" s="313"/>
      <c r="AO2113" s="313"/>
      <c r="AP2113" s="313"/>
      <c r="AQ2113" s="314"/>
      <c r="AR2113" s="315" t="str">
        <f t="shared" si="70"/>
        <v/>
      </c>
    </row>
    <row r="2114" spans="37:44" ht="30" hidden="1" customHeight="1" x14ac:dyDescent="0.25">
      <c r="AK2114" s="313"/>
      <c r="AL2114" s="313"/>
      <c r="AM2114" s="313"/>
      <c r="AN2114" s="313"/>
      <c r="AO2114" s="313"/>
      <c r="AP2114" s="313"/>
      <c r="AQ2114" s="314"/>
      <c r="AR2114" s="315" t="str">
        <f t="shared" si="70"/>
        <v/>
      </c>
    </row>
    <row r="2115" spans="37:44" ht="30" hidden="1" customHeight="1" x14ac:dyDescent="0.25">
      <c r="AK2115" s="313"/>
      <c r="AL2115" s="313"/>
      <c r="AM2115" s="313"/>
      <c r="AN2115" s="313"/>
      <c r="AO2115" s="313"/>
      <c r="AP2115" s="313"/>
      <c r="AQ2115" s="314"/>
      <c r="AR2115" s="315" t="str">
        <f t="shared" si="70"/>
        <v/>
      </c>
    </row>
    <row r="2116" spans="37:44" ht="30" hidden="1" customHeight="1" x14ac:dyDescent="0.25">
      <c r="AK2116" s="313"/>
      <c r="AL2116" s="313"/>
      <c r="AM2116" s="313"/>
      <c r="AN2116" s="313"/>
      <c r="AO2116" s="313"/>
      <c r="AP2116" s="313"/>
      <c r="AQ2116" s="314"/>
      <c r="AR2116" s="315" t="str">
        <f t="shared" si="70"/>
        <v/>
      </c>
    </row>
    <row r="2117" spans="37:44" ht="30" hidden="1" customHeight="1" x14ac:dyDescent="0.25">
      <c r="AK2117" s="313"/>
      <c r="AL2117" s="313"/>
      <c r="AM2117" s="313"/>
      <c r="AN2117" s="313"/>
      <c r="AO2117" s="313"/>
      <c r="AP2117" s="313"/>
      <c r="AQ2117" s="314"/>
      <c r="AR2117" s="315" t="str">
        <f t="shared" si="70"/>
        <v/>
      </c>
    </row>
    <row r="2118" spans="37:44" ht="30" hidden="1" customHeight="1" x14ac:dyDescent="0.25">
      <c r="AK2118" s="313"/>
      <c r="AL2118" s="313"/>
      <c r="AM2118" s="313"/>
      <c r="AN2118" s="313"/>
      <c r="AO2118" s="313"/>
      <c r="AP2118" s="313"/>
      <c r="AQ2118" s="314"/>
      <c r="AR2118" s="315" t="str">
        <f t="shared" si="70"/>
        <v/>
      </c>
    </row>
    <row r="2119" spans="37:44" ht="30" hidden="1" customHeight="1" x14ac:dyDescent="0.25">
      <c r="AK2119" s="313"/>
      <c r="AL2119" s="313"/>
      <c r="AM2119" s="313"/>
      <c r="AN2119" s="313"/>
      <c r="AO2119" s="313"/>
      <c r="AP2119" s="313"/>
      <c r="AQ2119" s="314"/>
      <c r="AR2119" s="315" t="str">
        <f t="shared" si="70"/>
        <v/>
      </c>
    </row>
    <row r="2120" spans="37:44" ht="30" hidden="1" customHeight="1" x14ac:dyDescent="0.25">
      <c r="AK2120" s="313"/>
      <c r="AL2120" s="313"/>
      <c r="AM2120" s="313"/>
      <c r="AN2120" s="313"/>
      <c r="AO2120" s="313"/>
      <c r="AP2120" s="313"/>
      <c r="AQ2120" s="314"/>
      <c r="AR2120" s="315" t="str">
        <f t="shared" si="70"/>
        <v/>
      </c>
    </row>
    <row r="2121" spans="37:44" ht="30" hidden="1" customHeight="1" x14ac:dyDescent="0.25">
      <c r="AK2121" s="313"/>
      <c r="AL2121" s="313"/>
      <c r="AM2121" s="313"/>
      <c r="AN2121" s="313"/>
      <c r="AO2121" s="313"/>
      <c r="AP2121" s="313"/>
      <c r="AQ2121" s="314"/>
      <c r="AR2121" s="315" t="str">
        <f t="shared" si="70"/>
        <v/>
      </c>
    </row>
    <row r="2122" spans="37:44" ht="30" hidden="1" customHeight="1" x14ac:dyDescent="0.25">
      <c r="AK2122" s="313"/>
      <c r="AL2122" s="313"/>
      <c r="AM2122" s="313"/>
      <c r="AN2122" s="313"/>
      <c r="AO2122" s="313"/>
      <c r="AP2122" s="313"/>
      <c r="AQ2122" s="314"/>
      <c r="AR2122" s="315" t="str">
        <f t="shared" si="70"/>
        <v/>
      </c>
    </row>
    <row r="2123" spans="37:44" ht="30" hidden="1" customHeight="1" x14ac:dyDescent="0.25">
      <c r="AK2123" s="313"/>
      <c r="AL2123" s="313"/>
      <c r="AM2123" s="313"/>
      <c r="AN2123" s="313"/>
      <c r="AO2123" s="313"/>
      <c r="AP2123" s="313"/>
      <c r="AQ2123" s="314"/>
      <c r="AR2123" s="315" t="str">
        <f t="shared" si="70"/>
        <v/>
      </c>
    </row>
    <row r="2124" spans="37:44" ht="30" hidden="1" customHeight="1" x14ac:dyDescent="0.25">
      <c r="AK2124" s="313"/>
      <c r="AL2124" s="313"/>
      <c r="AM2124" s="313"/>
      <c r="AN2124" s="313"/>
      <c r="AO2124" s="313"/>
      <c r="AP2124" s="313"/>
      <c r="AQ2124" s="314"/>
      <c r="AR2124" s="315" t="str">
        <f t="shared" si="70"/>
        <v/>
      </c>
    </row>
    <row r="2125" spans="37:44" ht="30" hidden="1" customHeight="1" x14ac:dyDescent="0.25">
      <c r="AK2125" s="313"/>
      <c r="AL2125" s="313"/>
      <c r="AM2125" s="313"/>
      <c r="AN2125" s="313"/>
      <c r="AO2125" s="313"/>
      <c r="AP2125" s="313"/>
      <c r="AQ2125" s="314"/>
      <c r="AR2125" s="315" t="str">
        <f t="shared" si="70"/>
        <v/>
      </c>
    </row>
    <row r="2126" spans="37:44" ht="30" hidden="1" customHeight="1" x14ac:dyDescent="0.25">
      <c r="AK2126" s="313"/>
      <c r="AL2126" s="313"/>
      <c r="AM2126" s="313"/>
      <c r="AN2126" s="313"/>
      <c r="AO2126" s="313"/>
      <c r="AP2126" s="313"/>
      <c r="AQ2126" s="314"/>
      <c r="AR2126" s="315" t="str">
        <f t="shared" si="70"/>
        <v/>
      </c>
    </row>
    <row r="2127" spans="37:44" ht="30" hidden="1" customHeight="1" x14ac:dyDescent="0.25">
      <c r="AK2127" s="313"/>
      <c r="AL2127" s="313"/>
      <c r="AM2127" s="313"/>
      <c r="AN2127" s="313"/>
      <c r="AO2127" s="313"/>
      <c r="AP2127" s="313"/>
      <c r="AQ2127" s="314"/>
      <c r="AR2127" s="315" t="str">
        <f t="shared" si="70"/>
        <v/>
      </c>
    </row>
    <row r="2128" spans="37:44" ht="30" hidden="1" customHeight="1" x14ac:dyDescent="0.25">
      <c r="AK2128" s="313"/>
      <c r="AL2128" s="313"/>
      <c r="AM2128" s="313"/>
      <c r="AN2128" s="313"/>
      <c r="AO2128" s="313"/>
      <c r="AP2128" s="313"/>
      <c r="AQ2128" s="314"/>
      <c r="AR2128" s="315" t="str">
        <f t="shared" si="70"/>
        <v/>
      </c>
    </row>
    <row r="2129" spans="37:44" ht="30" hidden="1" customHeight="1" x14ac:dyDescent="0.25">
      <c r="AK2129" s="313"/>
      <c r="AL2129" s="313"/>
      <c r="AM2129" s="313"/>
      <c r="AN2129" s="313"/>
      <c r="AO2129" s="313"/>
      <c r="AP2129" s="313"/>
      <c r="AQ2129" s="314"/>
      <c r="AR2129" s="315" t="str">
        <f t="shared" si="70"/>
        <v/>
      </c>
    </row>
    <row r="2130" spans="37:44" ht="30" hidden="1" customHeight="1" x14ac:dyDescent="0.25">
      <c r="AK2130" s="313"/>
      <c r="AL2130" s="313"/>
      <c r="AM2130" s="313"/>
      <c r="AN2130" s="313"/>
      <c r="AO2130" s="313"/>
      <c r="AP2130" s="313"/>
      <c r="AQ2130" s="314"/>
      <c r="AR2130" s="315" t="str">
        <f t="shared" si="70"/>
        <v/>
      </c>
    </row>
    <row r="2131" spans="37:44" ht="30" hidden="1" customHeight="1" x14ac:dyDescent="0.25">
      <c r="AK2131" s="313"/>
      <c r="AL2131" s="313"/>
      <c r="AM2131" s="313"/>
      <c r="AN2131" s="313"/>
      <c r="AO2131" s="313"/>
      <c r="AP2131" s="313"/>
      <c r="AQ2131" s="314"/>
      <c r="AR2131" s="315" t="str">
        <f t="shared" si="70"/>
        <v/>
      </c>
    </row>
    <row r="2132" spans="37:44" ht="30" hidden="1" customHeight="1" x14ac:dyDescent="0.25">
      <c r="AK2132" s="313"/>
      <c r="AL2132" s="313"/>
      <c r="AM2132" s="313"/>
      <c r="AN2132" s="313"/>
      <c r="AO2132" s="313"/>
      <c r="AP2132" s="313"/>
      <c r="AQ2132" s="314"/>
      <c r="AR2132" s="315" t="str">
        <f t="shared" si="70"/>
        <v/>
      </c>
    </row>
    <row r="2133" spans="37:44" ht="30" hidden="1" customHeight="1" x14ac:dyDescent="0.25">
      <c r="AK2133" s="313"/>
      <c r="AL2133" s="313"/>
      <c r="AM2133" s="313"/>
      <c r="AN2133" s="313"/>
      <c r="AO2133" s="313"/>
      <c r="AP2133" s="313"/>
      <c r="AQ2133" s="314"/>
      <c r="AR2133" s="315" t="str">
        <f t="shared" si="70"/>
        <v/>
      </c>
    </row>
    <row r="2134" spans="37:44" ht="30" hidden="1" customHeight="1" x14ac:dyDescent="0.25">
      <c r="AK2134" s="313"/>
      <c r="AL2134" s="313"/>
      <c r="AM2134" s="313"/>
      <c r="AN2134" s="313"/>
      <c r="AO2134" s="313"/>
      <c r="AP2134" s="313"/>
      <c r="AQ2134" s="314"/>
      <c r="AR2134" s="315" t="str">
        <f t="shared" si="70"/>
        <v/>
      </c>
    </row>
    <row r="2135" spans="37:44" ht="30" hidden="1" customHeight="1" x14ac:dyDescent="0.25">
      <c r="AK2135" s="313"/>
      <c r="AL2135" s="313"/>
      <c r="AM2135" s="313"/>
      <c r="AN2135" s="313"/>
      <c r="AO2135" s="313"/>
      <c r="AP2135" s="313"/>
      <c r="AQ2135" s="314"/>
      <c r="AR2135" s="315" t="str">
        <f t="shared" si="70"/>
        <v/>
      </c>
    </row>
    <row r="2136" spans="37:44" ht="30" hidden="1" customHeight="1" x14ac:dyDescent="0.25">
      <c r="AK2136" s="313"/>
      <c r="AL2136" s="313"/>
      <c r="AM2136" s="313"/>
      <c r="AN2136" s="313"/>
      <c r="AO2136" s="313"/>
      <c r="AP2136" s="313"/>
      <c r="AQ2136" s="314"/>
      <c r="AR2136" s="315" t="str">
        <f t="shared" si="70"/>
        <v/>
      </c>
    </row>
    <row r="2137" spans="37:44" ht="30" hidden="1" customHeight="1" x14ac:dyDescent="0.25">
      <c r="AK2137" s="313"/>
      <c r="AL2137" s="313"/>
      <c r="AM2137" s="313"/>
      <c r="AN2137" s="313"/>
      <c r="AO2137" s="313"/>
      <c r="AP2137" s="313"/>
      <c r="AQ2137" s="314"/>
      <c r="AR2137" s="315" t="str">
        <f t="shared" si="70"/>
        <v/>
      </c>
    </row>
    <row r="2138" spans="37:44" ht="30" hidden="1" customHeight="1" x14ac:dyDescent="0.25">
      <c r="AK2138" s="313"/>
      <c r="AL2138" s="313"/>
      <c r="AM2138" s="313"/>
      <c r="AN2138" s="313"/>
      <c r="AO2138" s="313"/>
      <c r="AP2138" s="313"/>
      <c r="AQ2138" s="314"/>
      <c r="AR2138" s="315" t="str">
        <f t="shared" si="70"/>
        <v/>
      </c>
    </row>
    <row r="2139" spans="37:44" ht="30" hidden="1" customHeight="1" x14ac:dyDescent="0.25">
      <c r="AK2139" s="313"/>
      <c r="AL2139" s="313"/>
      <c r="AM2139" s="313"/>
      <c r="AN2139" s="313"/>
      <c r="AO2139" s="313"/>
      <c r="AP2139" s="313"/>
      <c r="AQ2139" s="314"/>
      <c r="AR2139" s="315" t="str">
        <f t="shared" si="70"/>
        <v/>
      </c>
    </row>
    <row r="2140" spans="37:44" ht="30" hidden="1" customHeight="1" x14ac:dyDescent="0.25">
      <c r="AK2140" s="313"/>
      <c r="AL2140" s="313"/>
      <c r="AM2140" s="313"/>
      <c r="AN2140" s="313"/>
      <c r="AO2140" s="313"/>
      <c r="AP2140" s="313"/>
      <c r="AQ2140" s="314"/>
      <c r="AR2140" s="315" t="str">
        <f t="shared" si="70"/>
        <v/>
      </c>
    </row>
    <row r="2141" spans="37:44" ht="30" hidden="1" customHeight="1" x14ac:dyDescent="0.25">
      <c r="AK2141" s="313"/>
      <c r="AL2141" s="313"/>
      <c r="AM2141" s="313"/>
      <c r="AN2141" s="313"/>
      <c r="AO2141" s="313"/>
      <c r="AP2141" s="313"/>
      <c r="AQ2141" s="314"/>
      <c r="AR2141" s="315" t="str">
        <f t="shared" si="70"/>
        <v/>
      </c>
    </row>
    <row r="2142" spans="37:44" ht="30" hidden="1" customHeight="1" x14ac:dyDescent="0.25">
      <c r="AK2142" s="313"/>
      <c r="AL2142" s="313"/>
      <c r="AM2142" s="313"/>
      <c r="AN2142" s="313"/>
      <c r="AO2142" s="313"/>
      <c r="AP2142" s="313"/>
      <c r="AQ2142" s="314"/>
      <c r="AR2142" s="315" t="str">
        <f t="shared" si="70"/>
        <v/>
      </c>
    </row>
    <row r="2143" spans="37:44" ht="30" hidden="1" customHeight="1" x14ac:dyDescent="0.25">
      <c r="AK2143" s="313"/>
      <c r="AL2143" s="313"/>
      <c r="AM2143" s="313"/>
      <c r="AN2143" s="313"/>
      <c r="AO2143" s="313"/>
      <c r="AP2143" s="313"/>
      <c r="AQ2143" s="314"/>
      <c r="AR2143" s="315" t="str">
        <f t="shared" si="70"/>
        <v/>
      </c>
    </row>
    <row r="2144" spans="37:44" ht="30" hidden="1" customHeight="1" x14ac:dyDescent="0.25">
      <c r="AK2144" s="313"/>
      <c r="AL2144" s="313"/>
      <c r="AM2144" s="313"/>
      <c r="AN2144" s="313"/>
      <c r="AO2144" s="313"/>
      <c r="AP2144" s="313"/>
      <c r="AQ2144" s="314"/>
      <c r="AR2144" s="315" t="str">
        <f t="shared" si="70"/>
        <v/>
      </c>
    </row>
    <row r="2145" spans="37:44" ht="30" hidden="1" customHeight="1" x14ac:dyDescent="0.25">
      <c r="AK2145" s="313"/>
      <c r="AL2145" s="313"/>
      <c r="AM2145" s="313"/>
      <c r="AN2145" s="313"/>
      <c r="AO2145" s="313"/>
      <c r="AP2145" s="313"/>
      <c r="AQ2145" s="314"/>
      <c r="AR2145" s="315" t="str">
        <f t="shared" si="70"/>
        <v/>
      </c>
    </row>
    <row r="2146" spans="37:44" ht="30" hidden="1" customHeight="1" x14ac:dyDescent="0.25">
      <c r="AK2146" s="313"/>
      <c r="AL2146" s="313"/>
      <c r="AM2146" s="313"/>
      <c r="AN2146" s="313"/>
      <c r="AO2146" s="313"/>
      <c r="AP2146" s="313"/>
      <c r="AQ2146" s="314"/>
      <c r="AR2146" s="315" t="str">
        <f t="shared" si="70"/>
        <v/>
      </c>
    </row>
    <row r="2147" spans="37:44" ht="30" hidden="1" customHeight="1" x14ac:dyDescent="0.25">
      <c r="AK2147" s="313"/>
      <c r="AL2147" s="313"/>
      <c r="AM2147" s="313"/>
      <c r="AN2147" s="313"/>
      <c r="AO2147" s="313"/>
      <c r="AP2147" s="313"/>
      <c r="AQ2147" s="314"/>
      <c r="AR2147" s="315" t="str">
        <f t="shared" si="70"/>
        <v/>
      </c>
    </row>
    <row r="2148" spans="37:44" ht="30" hidden="1" customHeight="1" x14ac:dyDescent="0.25">
      <c r="AK2148" s="313"/>
      <c r="AL2148" s="313"/>
      <c r="AM2148" s="313"/>
      <c r="AN2148" s="313"/>
      <c r="AO2148" s="313"/>
      <c r="AP2148" s="313"/>
      <c r="AQ2148" s="314"/>
      <c r="AR2148" s="315" t="str">
        <f t="shared" si="70"/>
        <v/>
      </c>
    </row>
    <row r="2149" spans="37:44" ht="30" hidden="1" customHeight="1" x14ac:dyDescent="0.25">
      <c r="AK2149" s="313"/>
      <c r="AL2149" s="313"/>
      <c r="AM2149" s="313"/>
      <c r="AN2149" s="313"/>
      <c r="AO2149" s="313"/>
      <c r="AP2149" s="313"/>
      <c r="AQ2149" s="314"/>
      <c r="AR2149" s="315" t="str">
        <f t="shared" si="70"/>
        <v/>
      </c>
    </row>
    <row r="2150" spans="37:44" ht="30" hidden="1" customHeight="1" x14ac:dyDescent="0.25">
      <c r="AK2150" s="313"/>
      <c r="AL2150" s="313"/>
      <c r="AM2150" s="313"/>
      <c r="AN2150" s="313"/>
      <c r="AO2150" s="313"/>
      <c r="AP2150" s="313"/>
      <c r="AQ2150" s="314"/>
      <c r="AR2150" s="315" t="str">
        <f t="shared" si="70"/>
        <v/>
      </c>
    </row>
    <row r="2151" spans="37:44" ht="30" hidden="1" customHeight="1" x14ac:dyDescent="0.25">
      <c r="AK2151" s="313"/>
      <c r="AL2151" s="313"/>
      <c r="AM2151" s="313"/>
      <c r="AN2151" s="313"/>
      <c r="AO2151" s="313"/>
      <c r="AP2151" s="313"/>
      <c r="AQ2151" s="314"/>
      <c r="AR2151" s="315" t="str">
        <f t="shared" si="70"/>
        <v/>
      </c>
    </row>
    <row r="2152" spans="37:44" ht="30" hidden="1" customHeight="1" x14ac:dyDescent="0.25">
      <c r="AK2152" s="313"/>
      <c r="AL2152" s="313"/>
      <c r="AM2152" s="313"/>
      <c r="AN2152" s="313"/>
      <c r="AO2152" s="313"/>
      <c r="AP2152" s="313"/>
      <c r="AQ2152" s="314"/>
      <c r="AR2152" s="315" t="str">
        <f t="shared" si="70"/>
        <v/>
      </c>
    </row>
    <row r="2153" spans="37:44" ht="30" hidden="1" customHeight="1" x14ac:dyDescent="0.25">
      <c r="AK2153" s="313"/>
      <c r="AL2153" s="313"/>
      <c r="AM2153" s="313"/>
      <c r="AN2153" s="313"/>
      <c r="AO2153" s="313"/>
      <c r="AP2153" s="313"/>
      <c r="AQ2153" s="314"/>
      <c r="AR2153" s="315" t="str">
        <f t="shared" si="70"/>
        <v/>
      </c>
    </row>
    <row r="2154" spans="37:44" ht="30" hidden="1" customHeight="1" x14ac:dyDescent="0.25">
      <c r="AK2154" s="313"/>
      <c r="AL2154" s="313"/>
      <c r="AM2154" s="313"/>
      <c r="AN2154" s="313"/>
      <c r="AO2154" s="313"/>
      <c r="AP2154" s="313"/>
      <c r="AQ2154" s="314"/>
      <c r="AR2154" s="315" t="str">
        <f t="shared" si="70"/>
        <v/>
      </c>
    </row>
    <row r="2155" spans="37:44" ht="30" hidden="1" customHeight="1" x14ac:dyDescent="0.25">
      <c r="AK2155" s="313"/>
      <c r="AL2155" s="313"/>
      <c r="AM2155" s="313"/>
      <c r="AN2155" s="313"/>
      <c r="AO2155" s="313"/>
      <c r="AP2155" s="313"/>
      <c r="AQ2155" s="314"/>
      <c r="AR2155" s="315" t="str">
        <f t="shared" si="70"/>
        <v/>
      </c>
    </row>
    <row r="2156" spans="37:44" ht="30" hidden="1" customHeight="1" x14ac:dyDescent="0.25">
      <c r="AK2156" s="313"/>
      <c r="AL2156" s="313"/>
      <c r="AM2156" s="313"/>
      <c r="AN2156" s="313"/>
      <c r="AO2156" s="313"/>
      <c r="AP2156" s="313"/>
      <c r="AQ2156" s="314"/>
      <c r="AR2156" s="315" t="str">
        <f t="shared" si="70"/>
        <v/>
      </c>
    </row>
    <row r="2157" spans="37:44" ht="30" hidden="1" customHeight="1" x14ac:dyDescent="0.25">
      <c r="AK2157" s="313"/>
      <c r="AL2157" s="313"/>
      <c r="AM2157" s="313"/>
      <c r="AN2157" s="313"/>
      <c r="AO2157" s="313"/>
      <c r="AP2157" s="313"/>
      <c r="AQ2157" s="314"/>
      <c r="AR2157" s="315" t="str">
        <f t="shared" si="70"/>
        <v/>
      </c>
    </row>
    <row r="2158" spans="37:44" ht="30" hidden="1" customHeight="1" x14ac:dyDescent="0.25">
      <c r="AK2158" s="313"/>
      <c r="AL2158" s="313"/>
      <c r="AM2158" s="313"/>
      <c r="AN2158" s="313"/>
      <c r="AO2158" s="313"/>
      <c r="AP2158" s="313"/>
      <c r="AQ2158" s="314"/>
      <c r="AR2158" s="315" t="str">
        <f t="shared" si="70"/>
        <v/>
      </c>
    </row>
    <row r="2159" spans="37:44" ht="30" hidden="1" customHeight="1" x14ac:dyDescent="0.25">
      <c r="AK2159" s="313"/>
      <c r="AL2159" s="313"/>
      <c r="AM2159" s="313"/>
      <c r="AN2159" s="313"/>
      <c r="AO2159" s="313"/>
      <c r="AP2159" s="313"/>
      <c r="AQ2159" s="314"/>
      <c r="AR2159" s="315" t="str">
        <f t="shared" si="70"/>
        <v/>
      </c>
    </row>
    <row r="2160" spans="37:44" ht="30" hidden="1" customHeight="1" x14ac:dyDescent="0.25">
      <c r="AK2160" s="313"/>
      <c r="AL2160" s="313"/>
      <c r="AM2160" s="313"/>
      <c r="AN2160" s="313"/>
      <c r="AO2160" s="313"/>
      <c r="AP2160" s="313"/>
      <c r="AQ2160" s="314"/>
      <c r="AR2160" s="315" t="str">
        <f t="shared" si="70"/>
        <v/>
      </c>
    </row>
    <row r="2161" spans="37:44" ht="30" hidden="1" customHeight="1" x14ac:dyDescent="0.25">
      <c r="AK2161" s="313"/>
      <c r="AL2161" s="313"/>
      <c r="AM2161" s="313"/>
      <c r="AN2161" s="313"/>
      <c r="AO2161" s="313"/>
      <c r="AP2161" s="313"/>
      <c r="AQ2161" s="314"/>
      <c r="AR2161" s="315" t="str">
        <f t="shared" si="70"/>
        <v/>
      </c>
    </row>
    <row r="2162" spans="37:44" ht="30" hidden="1" customHeight="1" x14ac:dyDescent="0.25">
      <c r="AK2162" s="313"/>
      <c r="AL2162" s="313"/>
      <c r="AM2162" s="313"/>
      <c r="AN2162" s="313"/>
      <c r="AO2162" s="313"/>
      <c r="AP2162" s="313"/>
      <c r="AQ2162" s="314"/>
      <c r="AR2162" s="315" t="str">
        <f t="shared" si="70"/>
        <v/>
      </c>
    </row>
    <row r="2163" spans="37:44" ht="30" hidden="1" customHeight="1" x14ac:dyDescent="0.25">
      <c r="AK2163" s="313"/>
      <c r="AL2163" s="313"/>
      <c r="AM2163" s="313"/>
      <c r="AN2163" s="313"/>
      <c r="AO2163" s="313"/>
      <c r="AP2163" s="313"/>
      <c r="AQ2163" s="314"/>
      <c r="AR2163" s="315" t="str">
        <f t="shared" si="70"/>
        <v/>
      </c>
    </row>
    <row r="2164" spans="37:44" ht="30" hidden="1" customHeight="1" x14ac:dyDescent="0.25">
      <c r="AK2164" s="313"/>
      <c r="AL2164" s="313"/>
      <c r="AM2164" s="313"/>
      <c r="AN2164" s="313"/>
      <c r="AO2164" s="313"/>
      <c r="AP2164" s="313"/>
      <c r="AQ2164" s="314"/>
      <c r="AR2164" s="315" t="str">
        <f t="shared" si="70"/>
        <v/>
      </c>
    </row>
    <row r="2165" spans="37:44" ht="30" hidden="1" customHeight="1" x14ac:dyDescent="0.25">
      <c r="AK2165" s="313"/>
      <c r="AL2165" s="313"/>
      <c r="AM2165" s="313"/>
      <c r="AN2165" s="313"/>
      <c r="AO2165" s="313"/>
      <c r="AP2165" s="313"/>
      <c r="AQ2165" s="314"/>
      <c r="AR2165" s="315" t="str">
        <f t="shared" si="70"/>
        <v/>
      </c>
    </row>
    <row r="2166" spans="37:44" ht="30" hidden="1" customHeight="1" x14ac:dyDescent="0.25">
      <c r="AK2166" s="313"/>
      <c r="AL2166" s="313"/>
      <c r="AM2166" s="313"/>
      <c r="AN2166" s="313"/>
      <c r="AO2166" s="313"/>
      <c r="AP2166" s="313"/>
      <c r="AQ2166" s="314"/>
      <c r="AR2166" s="315" t="str">
        <f t="shared" si="70"/>
        <v/>
      </c>
    </row>
    <row r="2167" spans="37:44" ht="30" hidden="1" customHeight="1" x14ac:dyDescent="0.25">
      <c r="AK2167" s="313"/>
      <c r="AL2167" s="313"/>
      <c r="AM2167" s="313"/>
      <c r="AN2167" s="313"/>
      <c r="AO2167" s="313"/>
      <c r="AP2167" s="313"/>
      <c r="AQ2167" s="314"/>
      <c r="AR2167" s="315" t="str">
        <f t="shared" si="70"/>
        <v/>
      </c>
    </row>
    <row r="2168" spans="37:44" ht="30" hidden="1" customHeight="1" x14ac:dyDescent="0.25">
      <c r="AK2168" s="313"/>
      <c r="AL2168" s="313"/>
      <c r="AM2168" s="313"/>
      <c r="AN2168" s="313"/>
      <c r="AO2168" s="313"/>
      <c r="AP2168" s="313"/>
      <c r="AQ2168" s="314"/>
      <c r="AR2168" s="315" t="str">
        <f t="shared" si="70"/>
        <v/>
      </c>
    </row>
    <row r="2169" spans="37:44" ht="30" hidden="1" customHeight="1" x14ac:dyDescent="0.25">
      <c r="AK2169" s="313"/>
      <c r="AL2169" s="313"/>
      <c r="AM2169" s="313"/>
      <c r="AN2169" s="313"/>
      <c r="AO2169" s="313"/>
      <c r="AP2169" s="313"/>
      <c r="AQ2169" s="314"/>
      <c r="AR2169" s="315" t="str">
        <f t="shared" si="70"/>
        <v/>
      </c>
    </row>
    <row r="2170" spans="37:44" ht="30" hidden="1" customHeight="1" x14ac:dyDescent="0.25">
      <c r="AK2170" s="313"/>
      <c r="AL2170" s="313"/>
      <c r="AM2170" s="313"/>
      <c r="AN2170" s="313"/>
      <c r="AO2170" s="313"/>
      <c r="AP2170" s="313"/>
      <c r="AQ2170" s="314"/>
      <c r="AR2170" s="315" t="str">
        <f t="shared" si="70"/>
        <v/>
      </c>
    </row>
    <row r="2171" spans="37:44" ht="30" hidden="1" customHeight="1" x14ac:dyDescent="0.25">
      <c r="AK2171" s="313"/>
      <c r="AL2171" s="313"/>
      <c r="AM2171" s="313"/>
      <c r="AN2171" s="313"/>
      <c r="AO2171" s="313"/>
      <c r="AP2171" s="313"/>
      <c r="AQ2171" s="314"/>
      <c r="AR2171" s="315" t="str">
        <f t="shared" si="70"/>
        <v/>
      </c>
    </row>
    <row r="2172" spans="37:44" ht="30" hidden="1" customHeight="1" x14ac:dyDescent="0.25">
      <c r="AK2172" s="313"/>
      <c r="AL2172" s="313"/>
      <c r="AM2172" s="313"/>
      <c r="AN2172" s="313"/>
      <c r="AO2172" s="313"/>
      <c r="AP2172" s="313"/>
      <c r="AQ2172" s="314"/>
      <c r="AR2172" s="315" t="str">
        <f t="shared" si="70"/>
        <v/>
      </c>
    </row>
    <row r="2173" spans="37:44" ht="30" hidden="1" customHeight="1" x14ac:dyDescent="0.25">
      <c r="AK2173" s="313"/>
      <c r="AL2173" s="313"/>
      <c r="AM2173" s="313"/>
      <c r="AN2173" s="313"/>
      <c r="AO2173" s="313"/>
      <c r="AP2173" s="313"/>
      <c r="AQ2173" s="314"/>
      <c r="AR2173" s="315" t="str">
        <f t="shared" si="70"/>
        <v/>
      </c>
    </row>
    <row r="2174" spans="37:44" ht="30" hidden="1" customHeight="1" x14ac:dyDescent="0.25">
      <c r="AK2174" s="313"/>
      <c r="AL2174" s="313"/>
      <c r="AM2174" s="313"/>
      <c r="AN2174" s="313"/>
      <c r="AO2174" s="313"/>
      <c r="AP2174" s="313"/>
      <c r="AQ2174" s="314"/>
      <c r="AR2174" s="315" t="str">
        <f t="shared" si="70"/>
        <v/>
      </c>
    </row>
    <row r="2175" spans="37:44" ht="30" hidden="1" customHeight="1" x14ac:dyDescent="0.25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71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 x14ac:dyDescent="0.25">
      <c r="AK2176" s="313"/>
      <c r="AL2176" s="313"/>
      <c r="AM2176" s="313"/>
      <c r="AN2176" s="313"/>
      <c r="AO2176" s="313"/>
      <c r="AP2176" s="313"/>
      <c r="AQ2176" s="314"/>
      <c r="AR2176" s="315" t="str">
        <f t="shared" si="71"/>
        <v/>
      </c>
    </row>
    <row r="2177" spans="37:44" ht="30" hidden="1" customHeight="1" x14ac:dyDescent="0.25">
      <c r="AK2177" s="313"/>
      <c r="AL2177" s="313"/>
      <c r="AM2177" s="313"/>
      <c r="AN2177" s="313"/>
      <c r="AO2177" s="313"/>
      <c r="AP2177" s="313"/>
      <c r="AQ2177" s="314"/>
      <c r="AR2177" s="315" t="str">
        <f t="shared" si="71"/>
        <v/>
      </c>
    </row>
    <row r="2178" spans="37:44" ht="30" hidden="1" customHeight="1" x14ac:dyDescent="0.25">
      <c r="AK2178" s="313"/>
      <c r="AL2178" s="313"/>
      <c r="AM2178" s="313"/>
      <c r="AN2178" s="313"/>
      <c r="AO2178" s="313"/>
      <c r="AP2178" s="313"/>
      <c r="AQ2178" s="314"/>
      <c r="AR2178" s="315" t="str">
        <f t="shared" si="71"/>
        <v/>
      </c>
    </row>
    <row r="2179" spans="37:44" ht="30" hidden="1" customHeight="1" x14ac:dyDescent="0.25">
      <c r="AK2179" s="313"/>
      <c r="AL2179" s="313"/>
      <c r="AM2179" s="313"/>
      <c r="AN2179" s="313"/>
      <c r="AO2179" s="313"/>
      <c r="AP2179" s="313"/>
      <c r="AQ2179" s="314"/>
      <c r="AR2179" s="315" t="str">
        <f t="shared" si="71"/>
        <v/>
      </c>
    </row>
    <row r="2180" spans="37:44" ht="30" hidden="1" customHeight="1" x14ac:dyDescent="0.25">
      <c r="AK2180" s="313"/>
      <c r="AL2180" s="313"/>
      <c r="AM2180" s="313"/>
      <c r="AN2180" s="313"/>
      <c r="AO2180" s="313"/>
      <c r="AP2180" s="313"/>
      <c r="AQ2180" s="314"/>
      <c r="AR2180" s="315" t="str">
        <f t="shared" si="71"/>
        <v/>
      </c>
    </row>
    <row r="2181" spans="37:44" ht="30" hidden="1" customHeight="1" x14ac:dyDescent="0.25">
      <c r="AK2181" s="313"/>
      <c r="AL2181" s="313"/>
      <c r="AM2181" s="313"/>
      <c r="AN2181" s="313"/>
      <c r="AO2181" s="313"/>
      <c r="AP2181" s="313"/>
      <c r="AQ2181" s="314"/>
      <c r="AR2181" s="315" t="str">
        <f t="shared" si="71"/>
        <v/>
      </c>
    </row>
    <row r="2182" spans="37:44" ht="30" hidden="1" customHeight="1" x14ac:dyDescent="0.25">
      <c r="AK2182" s="313"/>
      <c r="AL2182" s="313"/>
      <c r="AM2182" s="313"/>
      <c r="AN2182" s="313"/>
      <c r="AO2182" s="313"/>
      <c r="AP2182" s="313"/>
      <c r="AQ2182" s="314"/>
      <c r="AR2182" s="315" t="str">
        <f t="shared" si="71"/>
        <v/>
      </c>
    </row>
    <row r="2183" spans="37:44" ht="30" hidden="1" customHeight="1" x14ac:dyDescent="0.25">
      <c r="AK2183" s="313"/>
      <c r="AL2183" s="313"/>
      <c r="AM2183" s="313"/>
      <c r="AN2183" s="313"/>
      <c r="AO2183" s="313"/>
      <c r="AP2183" s="313"/>
      <c r="AQ2183" s="314"/>
      <c r="AR2183" s="315" t="str">
        <f t="shared" si="71"/>
        <v/>
      </c>
    </row>
    <row r="2184" spans="37:44" ht="30" hidden="1" customHeight="1" x14ac:dyDescent="0.25">
      <c r="AK2184" s="313"/>
      <c r="AL2184" s="313"/>
      <c r="AM2184" s="313"/>
      <c r="AN2184" s="313"/>
      <c r="AO2184" s="313"/>
      <c r="AP2184" s="313"/>
      <c r="AQ2184" s="314"/>
      <c r="AR2184" s="315" t="str">
        <f t="shared" si="71"/>
        <v/>
      </c>
    </row>
    <row r="2185" spans="37:44" ht="30" hidden="1" customHeight="1" x14ac:dyDescent="0.25">
      <c r="AK2185" s="313"/>
      <c r="AL2185" s="313"/>
      <c r="AM2185" s="313"/>
      <c r="AN2185" s="313"/>
      <c r="AO2185" s="313"/>
      <c r="AP2185" s="313"/>
      <c r="AQ2185" s="314"/>
      <c r="AR2185" s="315" t="str">
        <f t="shared" si="71"/>
        <v/>
      </c>
    </row>
    <row r="2186" spans="37:44" ht="30" hidden="1" customHeight="1" x14ac:dyDescent="0.25">
      <c r="AK2186" s="313"/>
      <c r="AL2186" s="313"/>
      <c r="AM2186" s="313"/>
      <c r="AN2186" s="313"/>
      <c r="AO2186" s="313"/>
      <c r="AP2186" s="313"/>
      <c r="AQ2186" s="314"/>
      <c r="AR2186" s="315" t="str">
        <f t="shared" si="71"/>
        <v/>
      </c>
    </row>
    <row r="2187" spans="37:44" ht="30" hidden="1" customHeight="1" x14ac:dyDescent="0.25">
      <c r="AK2187" s="313"/>
      <c r="AL2187" s="313"/>
      <c r="AM2187" s="313"/>
      <c r="AN2187" s="313"/>
      <c r="AO2187" s="313"/>
      <c r="AP2187" s="313"/>
      <c r="AQ2187" s="314"/>
      <c r="AR2187" s="315" t="str">
        <f t="shared" si="71"/>
        <v/>
      </c>
    </row>
    <row r="2188" spans="37:44" ht="30" hidden="1" customHeight="1" x14ac:dyDescent="0.25">
      <c r="AK2188" s="313"/>
      <c r="AL2188" s="313"/>
      <c r="AM2188" s="313"/>
      <c r="AN2188" s="313"/>
      <c r="AO2188" s="313"/>
      <c r="AP2188" s="313"/>
      <c r="AQ2188" s="314"/>
      <c r="AR2188" s="315" t="str">
        <f t="shared" si="71"/>
        <v/>
      </c>
    </row>
    <row r="2189" spans="37:44" ht="30" hidden="1" customHeight="1" x14ac:dyDescent="0.25">
      <c r="AK2189" s="313"/>
      <c r="AL2189" s="313"/>
      <c r="AM2189" s="313"/>
      <c r="AN2189" s="313"/>
      <c r="AO2189" s="313"/>
      <c r="AP2189" s="313"/>
      <c r="AQ2189" s="314"/>
      <c r="AR2189" s="315" t="str">
        <f t="shared" si="71"/>
        <v/>
      </c>
    </row>
    <row r="2190" spans="37:44" ht="30" hidden="1" customHeight="1" x14ac:dyDescent="0.25">
      <c r="AK2190" s="313"/>
      <c r="AL2190" s="313"/>
      <c r="AM2190" s="313"/>
      <c r="AN2190" s="313"/>
      <c r="AO2190" s="313"/>
      <c r="AP2190" s="313"/>
      <c r="AQ2190" s="314"/>
      <c r="AR2190" s="315" t="str">
        <f t="shared" si="71"/>
        <v/>
      </c>
    </row>
    <row r="2191" spans="37:44" ht="30" hidden="1" customHeight="1" x14ac:dyDescent="0.25">
      <c r="AK2191" s="313"/>
      <c r="AL2191" s="313"/>
      <c r="AM2191" s="313"/>
      <c r="AN2191" s="313"/>
      <c r="AO2191" s="313"/>
      <c r="AP2191" s="313"/>
      <c r="AQ2191" s="314"/>
      <c r="AR2191" s="315" t="str">
        <f t="shared" si="71"/>
        <v/>
      </c>
    </row>
    <row r="2192" spans="37:44" ht="30" hidden="1" customHeight="1" x14ac:dyDescent="0.25">
      <c r="AK2192" s="313"/>
      <c r="AL2192" s="313"/>
      <c r="AM2192" s="313"/>
      <c r="AN2192" s="313"/>
      <c r="AO2192" s="313"/>
      <c r="AP2192" s="313"/>
      <c r="AQ2192" s="314"/>
      <c r="AR2192" s="315" t="str">
        <f t="shared" si="71"/>
        <v/>
      </c>
    </row>
    <row r="2193" spans="37:44" ht="30" hidden="1" customHeight="1" x14ac:dyDescent="0.25">
      <c r="AK2193" s="313"/>
      <c r="AL2193" s="313"/>
      <c r="AM2193" s="313"/>
      <c r="AN2193" s="313"/>
      <c r="AO2193" s="313"/>
      <c r="AP2193" s="313"/>
      <c r="AQ2193" s="314"/>
      <c r="AR2193" s="315" t="str">
        <f t="shared" si="71"/>
        <v/>
      </c>
    </row>
    <row r="2194" spans="37:44" ht="30" hidden="1" customHeight="1" x14ac:dyDescent="0.25">
      <c r="AK2194" s="313"/>
      <c r="AL2194" s="313"/>
      <c r="AM2194" s="313"/>
      <c r="AN2194" s="313"/>
      <c r="AO2194" s="313"/>
      <c r="AP2194" s="313"/>
      <c r="AQ2194" s="314"/>
      <c r="AR2194" s="315" t="str">
        <f t="shared" si="71"/>
        <v/>
      </c>
    </row>
    <row r="2195" spans="37:44" ht="30" hidden="1" customHeight="1" x14ac:dyDescent="0.25">
      <c r="AK2195" s="313"/>
      <c r="AL2195" s="313"/>
      <c r="AM2195" s="313"/>
      <c r="AN2195" s="313"/>
      <c r="AO2195" s="313"/>
      <c r="AP2195" s="313"/>
      <c r="AQ2195" s="314"/>
      <c r="AR2195" s="315" t="str">
        <f t="shared" si="71"/>
        <v/>
      </c>
    </row>
    <row r="2196" spans="37:44" ht="30" hidden="1" customHeight="1" x14ac:dyDescent="0.25">
      <c r="AK2196" s="313"/>
      <c r="AL2196" s="313"/>
      <c r="AM2196" s="313"/>
      <c r="AN2196" s="313"/>
      <c r="AO2196" s="313"/>
      <c r="AP2196" s="313"/>
      <c r="AQ2196" s="314"/>
      <c r="AR2196" s="315" t="str">
        <f t="shared" si="71"/>
        <v/>
      </c>
    </row>
    <row r="2197" spans="37:44" ht="30" hidden="1" customHeight="1" x14ac:dyDescent="0.25">
      <c r="AK2197" s="313"/>
      <c r="AL2197" s="313"/>
      <c r="AM2197" s="313"/>
      <c r="AN2197" s="313"/>
      <c r="AO2197" s="313"/>
      <c r="AP2197" s="313"/>
      <c r="AQ2197" s="314"/>
      <c r="AR2197" s="315" t="str">
        <f t="shared" si="71"/>
        <v/>
      </c>
    </row>
    <row r="2198" spans="37:44" ht="30" hidden="1" customHeight="1" x14ac:dyDescent="0.25">
      <c r="AK2198" s="313"/>
      <c r="AL2198" s="313"/>
      <c r="AM2198" s="313"/>
      <c r="AN2198" s="313"/>
      <c r="AO2198" s="313"/>
      <c r="AP2198" s="313"/>
      <c r="AQ2198" s="314"/>
      <c r="AR2198" s="315" t="str">
        <f t="shared" si="71"/>
        <v/>
      </c>
    </row>
    <row r="2199" spans="37:44" ht="30" hidden="1" customHeight="1" x14ac:dyDescent="0.25">
      <c r="AK2199" s="313"/>
      <c r="AL2199" s="313"/>
      <c r="AM2199" s="313"/>
      <c r="AN2199" s="313"/>
      <c r="AO2199" s="313"/>
      <c r="AP2199" s="313"/>
      <c r="AQ2199" s="314"/>
      <c r="AR2199" s="315" t="str">
        <f t="shared" si="71"/>
        <v/>
      </c>
    </row>
    <row r="2200" spans="37:44" ht="30" hidden="1" customHeight="1" x14ac:dyDescent="0.25">
      <c r="AK2200" s="313"/>
      <c r="AL2200" s="313"/>
      <c r="AM2200" s="313"/>
      <c r="AN2200" s="313"/>
      <c r="AO2200" s="313"/>
      <c r="AP2200" s="313"/>
      <c r="AQ2200" s="314"/>
      <c r="AR2200" s="315" t="str">
        <f t="shared" si="71"/>
        <v/>
      </c>
    </row>
    <row r="2201" spans="37:44" ht="30" hidden="1" customHeight="1" x14ac:dyDescent="0.25">
      <c r="AK2201" s="313"/>
      <c r="AL2201" s="313"/>
      <c r="AM2201" s="313"/>
      <c r="AN2201" s="313"/>
      <c r="AO2201" s="313"/>
      <c r="AP2201" s="313"/>
      <c r="AQ2201" s="314"/>
      <c r="AR2201" s="315" t="str">
        <f t="shared" si="71"/>
        <v/>
      </c>
    </row>
    <row r="2202" spans="37:44" ht="30" hidden="1" customHeight="1" x14ac:dyDescent="0.25">
      <c r="AK2202" s="313"/>
      <c r="AL2202" s="313"/>
      <c r="AM2202" s="313"/>
      <c r="AN2202" s="313"/>
      <c r="AO2202" s="313"/>
      <c r="AP2202" s="313"/>
      <c r="AQ2202" s="314"/>
      <c r="AR2202" s="315" t="str">
        <f t="shared" si="71"/>
        <v/>
      </c>
    </row>
    <row r="2203" spans="37:44" ht="30" hidden="1" customHeight="1" x14ac:dyDescent="0.25">
      <c r="AK2203" s="313"/>
      <c r="AL2203" s="313"/>
      <c r="AM2203" s="313"/>
      <c r="AN2203" s="313"/>
      <c r="AO2203" s="313"/>
      <c r="AP2203" s="313"/>
      <c r="AQ2203" s="314"/>
      <c r="AR2203" s="315" t="str">
        <f t="shared" si="71"/>
        <v/>
      </c>
    </row>
    <row r="2204" spans="37:44" ht="30" hidden="1" customHeight="1" x14ac:dyDescent="0.25">
      <c r="AK2204" s="313"/>
      <c r="AL2204" s="313"/>
      <c r="AM2204" s="313"/>
      <c r="AN2204" s="313"/>
      <c r="AO2204" s="313"/>
      <c r="AP2204" s="313"/>
      <c r="AQ2204" s="314"/>
      <c r="AR2204" s="315" t="str">
        <f t="shared" si="71"/>
        <v/>
      </c>
    </row>
    <row r="2205" spans="37:44" ht="30" hidden="1" customHeight="1" x14ac:dyDescent="0.25">
      <c r="AK2205" s="313"/>
      <c r="AL2205" s="313"/>
      <c r="AM2205" s="313"/>
      <c r="AN2205" s="313"/>
      <c r="AO2205" s="313"/>
      <c r="AP2205" s="313"/>
      <c r="AQ2205" s="314"/>
      <c r="AR2205" s="315" t="str">
        <f t="shared" si="71"/>
        <v/>
      </c>
    </row>
    <row r="2206" spans="37:44" ht="30" hidden="1" customHeight="1" x14ac:dyDescent="0.25">
      <c r="AK2206" s="313"/>
      <c r="AL2206" s="313"/>
      <c r="AM2206" s="313"/>
      <c r="AN2206" s="313"/>
      <c r="AO2206" s="313"/>
      <c r="AP2206" s="313"/>
      <c r="AQ2206" s="314"/>
      <c r="AR2206" s="315" t="str">
        <f t="shared" si="71"/>
        <v/>
      </c>
    </row>
    <row r="2207" spans="37:44" ht="30" hidden="1" customHeight="1" x14ac:dyDescent="0.25">
      <c r="AK2207" s="313"/>
      <c r="AL2207" s="313"/>
      <c r="AM2207" s="313"/>
      <c r="AN2207" s="313"/>
      <c r="AO2207" s="313"/>
      <c r="AP2207" s="313"/>
      <c r="AQ2207" s="314"/>
      <c r="AR2207" s="315" t="str">
        <f t="shared" si="71"/>
        <v/>
      </c>
    </row>
    <row r="2208" spans="37:44" ht="30" hidden="1" customHeight="1" x14ac:dyDescent="0.25">
      <c r="AK2208" s="313"/>
      <c r="AL2208" s="313"/>
      <c r="AM2208" s="313"/>
      <c r="AN2208" s="313"/>
      <c r="AO2208" s="313"/>
      <c r="AP2208" s="313"/>
      <c r="AQ2208" s="314"/>
      <c r="AR2208" s="315" t="str">
        <f t="shared" si="71"/>
        <v/>
      </c>
    </row>
    <row r="2209" spans="37:44" ht="30" hidden="1" customHeight="1" x14ac:dyDescent="0.25">
      <c r="AK2209" s="313"/>
      <c r="AL2209" s="313"/>
      <c r="AM2209" s="313"/>
      <c r="AN2209" s="313"/>
      <c r="AO2209" s="313"/>
      <c r="AP2209" s="313"/>
      <c r="AQ2209" s="314"/>
      <c r="AR2209" s="315" t="str">
        <f t="shared" si="71"/>
        <v/>
      </c>
    </row>
    <row r="2210" spans="37:44" ht="30" hidden="1" customHeight="1" x14ac:dyDescent="0.25">
      <c r="AK2210" s="313"/>
      <c r="AL2210" s="313"/>
      <c r="AM2210" s="313"/>
      <c r="AN2210" s="313"/>
      <c r="AO2210" s="313"/>
      <c r="AP2210" s="313"/>
      <c r="AQ2210" s="314"/>
      <c r="AR2210" s="315" t="str">
        <f t="shared" si="71"/>
        <v/>
      </c>
    </row>
    <row r="2211" spans="37:44" ht="30" hidden="1" customHeight="1" x14ac:dyDescent="0.25">
      <c r="AK2211" s="313"/>
      <c r="AL2211" s="313"/>
      <c r="AM2211" s="313"/>
      <c r="AN2211" s="313"/>
      <c r="AO2211" s="313"/>
      <c r="AP2211" s="313"/>
      <c r="AQ2211" s="314"/>
      <c r="AR2211" s="315" t="str">
        <f t="shared" si="71"/>
        <v/>
      </c>
    </row>
    <row r="2212" spans="37:44" ht="30" hidden="1" customHeight="1" x14ac:dyDescent="0.25">
      <c r="AK2212" s="313"/>
      <c r="AL2212" s="313"/>
      <c r="AM2212" s="313"/>
      <c r="AN2212" s="313"/>
      <c r="AO2212" s="313"/>
      <c r="AP2212" s="313"/>
      <c r="AQ2212" s="314"/>
      <c r="AR2212" s="315" t="str">
        <f t="shared" si="71"/>
        <v/>
      </c>
    </row>
    <row r="2213" spans="37:44" ht="30" hidden="1" customHeight="1" x14ac:dyDescent="0.25">
      <c r="AK2213" s="313"/>
      <c r="AL2213" s="313"/>
      <c r="AM2213" s="313"/>
      <c r="AN2213" s="313"/>
      <c r="AO2213" s="313"/>
      <c r="AP2213" s="313"/>
      <c r="AQ2213" s="314"/>
      <c r="AR2213" s="315" t="str">
        <f t="shared" si="71"/>
        <v/>
      </c>
    </row>
    <row r="2214" spans="37:44" ht="30" hidden="1" customHeight="1" x14ac:dyDescent="0.25">
      <c r="AK2214" s="313"/>
      <c r="AL2214" s="313"/>
      <c r="AM2214" s="313"/>
      <c r="AN2214" s="313"/>
      <c r="AO2214" s="313"/>
      <c r="AP2214" s="313"/>
      <c r="AQ2214" s="314"/>
      <c r="AR2214" s="315" t="str">
        <f t="shared" si="71"/>
        <v/>
      </c>
    </row>
    <row r="2215" spans="37:44" ht="30" hidden="1" customHeight="1" x14ac:dyDescent="0.25">
      <c r="AK2215" s="313"/>
      <c r="AL2215" s="313"/>
      <c r="AM2215" s="313"/>
      <c r="AN2215" s="313"/>
      <c r="AO2215" s="313"/>
      <c r="AP2215" s="313"/>
      <c r="AQ2215" s="314"/>
      <c r="AR2215" s="315" t="str">
        <f t="shared" si="71"/>
        <v/>
      </c>
    </row>
    <row r="2216" spans="37:44" ht="30" hidden="1" customHeight="1" x14ac:dyDescent="0.25">
      <c r="AK2216" s="313"/>
      <c r="AL2216" s="313"/>
      <c r="AM2216" s="313"/>
      <c r="AN2216" s="313"/>
      <c r="AO2216" s="313"/>
      <c r="AP2216" s="313"/>
      <c r="AQ2216" s="314"/>
      <c r="AR2216" s="315" t="str">
        <f t="shared" si="71"/>
        <v/>
      </c>
    </row>
    <row r="2217" spans="37:44" ht="30" hidden="1" customHeight="1" x14ac:dyDescent="0.25">
      <c r="AK2217" s="313"/>
      <c r="AL2217" s="313"/>
      <c r="AM2217" s="313"/>
      <c r="AN2217" s="313"/>
      <c r="AO2217" s="313"/>
      <c r="AP2217" s="313"/>
      <c r="AQ2217" s="314"/>
      <c r="AR2217" s="315" t="str">
        <f t="shared" si="71"/>
        <v/>
      </c>
    </row>
    <row r="2218" spans="37:44" ht="30" hidden="1" customHeight="1" x14ac:dyDescent="0.25">
      <c r="AK2218" s="313"/>
      <c r="AL2218" s="313"/>
      <c r="AM2218" s="313"/>
      <c r="AN2218" s="313"/>
      <c r="AO2218" s="313"/>
      <c r="AP2218" s="313"/>
      <c r="AQ2218" s="314"/>
      <c r="AR2218" s="315" t="str">
        <f t="shared" si="71"/>
        <v/>
      </c>
    </row>
    <row r="2219" spans="37:44" ht="30" hidden="1" customHeight="1" x14ac:dyDescent="0.25">
      <c r="AK2219" s="313"/>
      <c r="AL2219" s="313"/>
      <c r="AM2219" s="313"/>
      <c r="AN2219" s="313"/>
      <c r="AO2219" s="313"/>
      <c r="AP2219" s="313"/>
      <c r="AQ2219" s="314"/>
      <c r="AR2219" s="315" t="str">
        <f t="shared" si="71"/>
        <v/>
      </c>
    </row>
    <row r="2220" spans="37:44" ht="30" hidden="1" customHeight="1" x14ac:dyDescent="0.25">
      <c r="AK2220" s="313"/>
      <c r="AL2220" s="313"/>
      <c r="AM2220" s="313"/>
      <c r="AN2220" s="313"/>
      <c r="AO2220" s="313"/>
      <c r="AP2220" s="313"/>
      <c r="AQ2220" s="314"/>
      <c r="AR2220" s="315" t="str">
        <f t="shared" si="71"/>
        <v/>
      </c>
    </row>
    <row r="2221" spans="37:44" ht="30" hidden="1" customHeight="1" x14ac:dyDescent="0.25">
      <c r="AK2221" s="313"/>
      <c r="AL2221" s="313"/>
      <c r="AM2221" s="313"/>
      <c r="AN2221" s="313"/>
      <c r="AO2221" s="313"/>
      <c r="AP2221" s="313"/>
      <c r="AQ2221" s="314"/>
      <c r="AR2221" s="315" t="str">
        <f t="shared" si="71"/>
        <v/>
      </c>
    </row>
    <row r="2222" spans="37:44" ht="30" hidden="1" customHeight="1" x14ac:dyDescent="0.25">
      <c r="AK2222" s="313"/>
      <c r="AL2222" s="313"/>
      <c r="AM2222" s="313"/>
      <c r="AN2222" s="313"/>
      <c r="AO2222" s="313"/>
      <c r="AP2222" s="313"/>
      <c r="AQ2222" s="314"/>
      <c r="AR2222" s="315" t="str">
        <f t="shared" si="71"/>
        <v/>
      </c>
    </row>
    <row r="2223" spans="37:44" ht="30" hidden="1" customHeight="1" x14ac:dyDescent="0.25">
      <c r="AK2223" s="313"/>
      <c r="AL2223" s="313"/>
      <c r="AM2223" s="313"/>
      <c r="AN2223" s="313"/>
      <c r="AO2223" s="313"/>
      <c r="AP2223" s="313"/>
      <c r="AQ2223" s="314"/>
      <c r="AR2223" s="315" t="str">
        <f t="shared" si="71"/>
        <v/>
      </c>
    </row>
    <row r="2224" spans="37:44" ht="30" hidden="1" customHeight="1" x14ac:dyDescent="0.25">
      <c r="AK2224" s="313"/>
      <c r="AL2224" s="313"/>
      <c r="AM2224" s="313"/>
      <c r="AN2224" s="313"/>
      <c r="AO2224" s="313"/>
      <c r="AP2224" s="313"/>
      <c r="AQ2224" s="314"/>
      <c r="AR2224" s="315" t="str">
        <f t="shared" si="71"/>
        <v/>
      </c>
    </row>
    <row r="2225" spans="37:44" ht="30" hidden="1" customHeight="1" x14ac:dyDescent="0.25">
      <c r="AK2225" s="313"/>
      <c r="AL2225" s="313"/>
      <c r="AM2225" s="313"/>
      <c r="AN2225" s="313"/>
      <c r="AO2225" s="313"/>
      <c r="AP2225" s="313"/>
      <c r="AQ2225" s="314"/>
      <c r="AR2225" s="315" t="str">
        <f t="shared" si="71"/>
        <v/>
      </c>
    </row>
    <row r="2226" spans="37:44" ht="30" hidden="1" customHeight="1" x14ac:dyDescent="0.25">
      <c r="AK2226" s="313"/>
      <c r="AL2226" s="313"/>
      <c r="AM2226" s="313"/>
      <c r="AN2226" s="313"/>
      <c r="AO2226" s="313"/>
      <c r="AP2226" s="313"/>
      <c r="AQ2226" s="314"/>
      <c r="AR2226" s="315" t="str">
        <f t="shared" si="71"/>
        <v/>
      </c>
    </row>
    <row r="2227" spans="37:44" ht="30" hidden="1" customHeight="1" x14ac:dyDescent="0.25">
      <c r="AK2227" s="313"/>
      <c r="AL2227" s="313"/>
      <c r="AM2227" s="313"/>
      <c r="AN2227" s="313"/>
      <c r="AO2227" s="313"/>
      <c r="AP2227" s="313"/>
      <c r="AQ2227" s="314"/>
      <c r="AR2227" s="315" t="str">
        <f t="shared" si="71"/>
        <v/>
      </c>
    </row>
    <row r="2228" spans="37:44" ht="30" hidden="1" customHeight="1" x14ac:dyDescent="0.25">
      <c r="AK2228" s="313"/>
      <c r="AL2228" s="313"/>
      <c r="AM2228" s="313"/>
      <c r="AN2228" s="313"/>
      <c r="AO2228" s="313"/>
      <c r="AP2228" s="313"/>
      <c r="AQ2228" s="314"/>
      <c r="AR2228" s="315" t="str">
        <f t="shared" si="71"/>
        <v/>
      </c>
    </row>
    <row r="2229" spans="37:44" ht="30" hidden="1" customHeight="1" x14ac:dyDescent="0.25">
      <c r="AK2229" s="313"/>
      <c r="AL2229" s="313"/>
      <c r="AM2229" s="313"/>
      <c r="AN2229" s="313"/>
      <c r="AO2229" s="313"/>
      <c r="AP2229" s="313"/>
      <c r="AQ2229" s="314"/>
      <c r="AR2229" s="315" t="str">
        <f t="shared" si="71"/>
        <v/>
      </c>
    </row>
    <row r="2230" spans="37:44" ht="30" hidden="1" customHeight="1" x14ac:dyDescent="0.25">
      <c r="AK2230" s="313"/>
      <c r="AL2230" s="313"/>
      <c r="AM2230" s="313"/>
      <c r="AN2230" s="313"/>
      <c r="AO2230" s="313"/>
      <c r="AP2230" s="313"/>
      <c r="AQ2230" s="314"/>
      <c r="AR2230" s="315" t="str">
        <f t="shared" si="71"/>
        <v/>
      </c>
    </row>
    <row r="2231" spans="37:44" ht="30" hidden="1" customHeight="1" x14ac:dyDescent="0.25">
      <c r="AK2231" s="313"/>
      <c r="AL2231" s="313"/>
      <c r="AM2231" s="313"/>
      <c r="AN2231" s="313"/>
      <c r="AO2231" s="313"/>
      <c r="AP2231" s="313"/>
      <c r="AQ2231" s="314"/>
      <c r="AR2231" s="315" t="str">
        <f t="shared" si="71"/>
        <v/>
      </c>
    </row>
    <row r="2232" spans="37:44" ht="30" hidden="1" customHeight="1" x14ac:dyDescent="0.25">
      <c r="AK2232" s="313"/>
      <c r="AL2232" s="313"/>
      <c r="AM2232" s="313"/>
      <c r="AN2232" s="313"/>
      <c r="AO2232" s="313"/>
      <c r="AP2232" s="313"/>
      <c r="AQ2232" s="314"/>
      <c r="AR2232" s="315" t="str">
        <f t="shared" si="71"/>
        <v/>
      </c>
    </row>
    <row r="2233" spans="37:44" ht="30" hidden="1" customHeight="1" x14ac:dyDescent="0.25">
      <c r="AK2233" s="313"/>
      <c r="AL2233" s="313"/>
      <c r="AM2233" s="313"/>
      <c r="AN2233" s="313"/>
      <c r="AO2233" s="313"/>
      <c r="AP2233" s="313"/>
      <c r="AQ2233" s="314"/>
      <c r="AR2233" s="315" t="str">
        <f t="shared" si="71"/>
        <v/>
      </c>
    </row>
    <row r="2234" spans="37:44" ht="30" hidden="1" customHeight="1" x14ac:dyDescent="0.25">
      <c r="AK2234" s="313"/>
      <c r="AL2234" s="313"/>
      <c r="AM2234" s="313"/>
      <c r="AN2234" s="313"/>
      <c r="AO2234" s="313"/>
      <c r="AP2234" s="313"/>
      <c r="AQ2234" s="314"/>
      <c r="AR2234" s="315" t="str">
        <f t="shared" si="71"/>
        <v/>
      </c>
    </row>
    <row r="2235" spans="37:44" ht="30" hidden="1" customHeight="1" x14ac:dyDescent="0.25">
      <c r="AK2235" s="313"/>
      <c r="AL2235" s="313"/>
      <c r="AM2235" s="313"/>
      <c r="AN2235" s="313"/>
      <c r="AO2235" s="313"/>
      <c r="AP2235" s="313"/>
      <c r="AQ2235" s="314"/>
      <c r="AR2235" s="315" t="str">
        <f t="shared" si="71"/>
        <v/>
      </c>
    </row>
    <row r="2236" spans="37:44" ht="30" hidden="1" customHeight="1" x14ac:dyDescent="0.25">
      <c r="AK2236" s="313"/>
      <c r="AL2236" s="313"/>
      <c r="AM2236" s="313"/>
      <c r="AN2236" s="313"/>
      <c r="AO2236" s="313"/>
      <c r="AP2236" s="313"/>
      <c r="AQ2236" s="314"/>
      <c r="AR2236" s="315" t="str">
        <f t="shared" si="71"/>
        <v/>
      </c>
    </row>
    <row r="2237" spans="37:44" ht="30" hidden="1" customHeight="1" x14ac:dyDescent="0.25">
      <c r="AK2237" s="313"/>
      <c r="AL2237" s="313"/>
      <c r="AM2237" s="313"/>
      <c r="AN2237" s="313"/>
      <c r="AO2237" s="313"/>
      <c r="AP2237" s="313"/>
      <c r="AQ2237" s="314"/>
      <c r="AR2237" s="315" t="str">
        <f t="shared" si="71"/>
        <v/>
      </c>
    </row>
    <row r="2238" spans="37:44" ht="30" hidden="1" customHeight="1" x14ac:dyDescent="0.25">
      <c r="AK2238" s="313"/>
      <c r="AL2238" s="313"/>
      <c r="AM2238" s="313"/>
      <c r="AN2238" s="313"/>
      <c r="AO2238" s="313"/>
      <c r="AP2238" s="313"/>
      <c r="AQ2238" s="314"/>
      <c r="AR2238" s="315" t="str">
        <f t="shared" si="71"/>
        <v/>
      </c>
    </row>
    <row r="2239" spans="37:44" ht="30" hidden="1" customHeight="1" x14ac:dyDescent="0.25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72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 x14ac:dyDescent="0.25">
      <c r="AK2240" s="313"/>
      <c r="AL2240" s="313"/>
      <c r="AM2240" s="313"/>
      <c r="AN2240" s="313"/>
      <c r="AO2240" s="313"/>
      <c r="AP2240" s="313"/>
      <c r="AQ2240" s="314"/>
      <c r="AR2240" s="315" t="str">
        <f t="shared" si="72"/>
        <v/>
      </c>
    </row>
    <row r="2241" spans="37:44" ht="30" hidden="1" customHeight="1" x14ac:dyDescent="0.25">
      <c r="AK2241" s="313"/>
      <c r="AL2241" s="313"/>
      <c r="AM2241" s="313"/>
      <c r="AN2241" s="313"/>
      <c r="AO2241" s="313"/>
      <c r="AP2241" s="313"/>
      <c r="AQ2241" s="314"/>
      <c r="AR2241" s="315" t="str">
        <f t="shared" si="72"/>
        <v/>
      </c>
    </row>
    <row r="2242" spans="37:44" ht="30" hidden="1" customHeight="1" x14ac:dyDescent="0.25">
      <c r="AK2242" s="313"/>
      <c r="AL2242" s="313"/>
      <c r="AM2242" s="313"/>
      <c r="AN2242" s="313"/>
      <c r="AO2242" s="313"/>
      <c r="AP2242" s="313"/>
      <c r="AQ2242" s="314"/>
      <c r="AR2242" s="315" t="str">
        <f t="shared" si="72"/>
        <v/>
      </c>
    </row>
    <row r="2243" spans="37:44" ht="30" hidden="1" customHeight="1" x14ac:dyDescent="0.25">
      <c r="AK2243" s="313"/>
      <c r="AL2243" s="313"/>
      <c r="AM2243" s="313"/>
      <c r="AN2243" s="313"/>
      <c r="AO2243" s="313"/>
      <c r="AP2243" s="313"/>
      <c r="AQ2243" s="314"/>
      <c r="AR2243" s="315" t="str">
        <f t="shared" si="72"/>
        <v/>
      </c>
    </row>
    <row r="2244" spans="37:44" ht="30" hidden="1" customHeight="1" x14ac:dyDescent="0.25">
      <c r="AK2244" s="313"/>
      <c r="AL2244" s="313"/>
      <c r="AM2244" s="313"/>
      <c r="AN2244" s="313"/>
      <c r="AO2244" s="313"/>
      <c r="AP2244" s="313"/>
      <c r="AQ2244" s="314"/>
      <c r="AR2244" s="315" t="str">
        <f t="shared" si="72"/>
        <v/>
      </c>
    </row>
    <row r="2245" spans="37:44" ht="30" hidden="1" customHeight="1" x14ac:dyDescent="0.25">
      <c r="AK2245" s="313"/>
      <c r="AL2245" s="313"/>
      <c r="AM2245" s="313"/>
      <c r="AN2245" s="313"/>
      <c r="AO2245" s="313"/>
      <c r="AP2245" s="313"/>
      <c r="AQ2245" s="314"/>
      <c r="AR2245" s="315" t="str">
        <f t="shared" si="72"/>
        <v/>
      </c>
    </row>
    <row r="2246" spans="37:44" ht="30" hidden="1" customHeight="1" x14ac:dyDescent="0.25">
      <c r="AK2246" s="313"/>
      <c r="AL2246" s="313"/>
      <c r="AM2246" s="313"/>
      <c r="AN2246" s="313"/>
      <c r="AO2246" s="313"/>
      <c r="AP2246" s="313"/>
      <c r="AQ2246" s="314"/>
      <c r="AR2246" s="315" t="str">
        <f t="shared" si="72"/>
        <v/>
      </c>
    </row>
    <row r="2247" spans="37:44" ht="30" hidden="1" customHeight="1" x14ac:dyDescent="0.25">
      <c r="AK2247" s="313"/>
      <c r="AL2247" s="313"/>
      <c r="AM2247" s="313"/>
      <c r="AN2247" s="313"/>
      <c r="AO2247" s="313"/>
      <c r="AP2247" s="313"/>
      <c r="AQ2247" s="314"/>
      <c r="AR2247" s="315" t="str">
        <f t="shared" si="72"/>
        <v/>
      </c>
    </row>
    <row r="2248" spans="37:44" ht="30" hidden="1" customHeight="1" x14ac:dyDescent="0.25">
      <c r="AK2248" s="313"/>
      <c r="AL2248" s="313"/>
      <c r="AM2248" s="313"/>
      <c r="AN2248" s="313"/>
      <c r="AO2248" s="313"/>
      <c r="AP2248" s="313"/>
      <c r="AQ2248" s="314"/>
      <c r="AR2248" s="315" t="str">
        <f t="shared" si="72"/>
        <v/>
      </c>
    </row>
    <row r="2249" spans="37:44" ht="30" hidden="1" customHeight="1" x14ac:dyDescent="0.25">
      <c r="AK2249" s="313"/>
      <c r="AL2249" s="313"/>
      <c r="AM2249" s="313"/>
      <c r="AN2249" s="313"/>
      <c r="AO2249" s="313"/>
      <c r="AP2249" s="313"/>
      <c r="AQ2249" s="314"/>
      <c r="AR2249" s="315" t="str">
        <f t="shared" si="72"/>
        <v/>
      </c>
    </row>
    <row r="2250" spans="37:44" ht="30" hidden="1" customHeight="1" x14ac:dyDescent="0.25">
      <c r="AK2250" s="313"/>
      <c r="AL2250" s="313"/>
      <c r="AM2250" s="313"/>
      <c r="AN2250" s="313"/>
      <c r="AO2250" s="313"/>
      <c r="AP2250" s="313"/>
      <c r="AQ2250" s="314"/>
      <c r="AR2250" s="315" t="str">
        <f t="shared" si="72"/>
        <v/>
      </c>
    </row>
    <row r="2251" spans="37:44" ht="30" hidden="1" customHeight="1" x14ac:dyDescent="0.25">
      <c r="AK2251" s="313"/>
      <c r="AL2251" s="313"/>
      <c r="AM2251" s="313"/>
      <c r="AN2251" s="313"/>
      <c r="AO2251" s="313"/>
      <c r="AP2251" s="313"/>
      <c r="AQ2251" s="314"/>
      <c r="AR2251" s="315" t="str">
        <f t="shared" si="72"/>
        <v/>
      </c>
    </row>
    <row r="2252" spans="37:44" ht="30" hidden="1" customHeight="1" x14ac:dyDescent="0.25">
      <c r="AK2252" s="313"/>
      <c r="AL2252" s="313"/>
      <c r="AM2252" s="313"/>
      <c r="AN2252" s="313"/>
      <c r="AO2252" s="313"/>
      <c r="AP2252" s="313"/>
      <c r="AQ2252" s="314"/>
      <c r="AR2252" s="315" t="str">
        <f t="shared" si="72"/>
        <v/>
      </c>
    </row>
    <row r="2253" spans="37:44" ht="30" hidden="1" customHeight="1" x14ac:dyDescent="0.25">
      <c r="AK2253" s="313"/>
      <c r="AL2253" s="313"/>
      <c r="AM2253" s="313"/>
      <c r="AN2253" s="313"/>
      <c r="AO2253" s="313"/>
      <c r="AP2253" s="313"/>
      <c r="AQ2253" s="314"/>
      <c r="AR2253" s="315" t="str">
        <f t="shared" si="72"/>
        <v/>
      </c>
    </row>
    <row r="2254" spans="37:44" ht="30" hidden="1" customHeight="1" x14ac:dyDescent="0.25">
      <c r="AK2254" s="313"/>
      <c r="AL2254" s="313"/>
      <c r="AM2254" s="313"/>
      <c r="AN2254" s="313"/>
      <c r="AO2254" s="313"/>
      <c r="AP2254" s="313"/>
      <c r="AQ2254" s="314"/>
      <c r="AR2254" s="315" t="str">
        <f t="shared" si="72"/>
        <v/>
      </c>
    </row>
    <row r="2255" spans="37:44" ht="30" hidden="1" customHeight="1" x14ac:dyDescent="0.25">
      <c r="AK2255" s="313"/>
      <c r="AL2255" s="313"/>
      <c r="AM2255" s="313"/>
      <c r="AN2255" s="313"/>
      <c r="AO2255" s="313"/>
      <c r="AP2255" s="313"/>
      <c r="AQ2255" s="314"/>
      <c r="AR2255" s="315" t="str">
        <f t="shared" si="72"/>
        <v/>
      </c>
    </row>
    <row r="2256" spans="37:44" ht="30" hidden="1" customHeight="1" x14ac:dyDescent="0.25">
      <c r="AK2256" s="313"/>
      <c r="AL2256" s="313"/>
      <c r="AM2256" s="313"/>
      <c r="AN2256" s="313"/>
      <c r="AO2256" s="313"/>
      <c r="AP2256" s="313"/>
      <c r="AQ2256" s="314"/>
      <c r="AR2256" s="315" t="str">
        <f t="shared" si="72"/>
        <v/>
      </c>
    </row>
    <row r="2257" spans="37:44" ht="30" hidden="1" customHeight="1" x14ac:dyDescent="0.25">
      <c r="AK2257" s="313"/>
      <c r="AL2257" s="313"/>
      <c r="AM2257" s="313"/>
      <c r="AN2257" s="313"/>
      <c r="AO2257" s="313"/>
      <c r="AP2257" s="313"/>
      <c r="AQ2257" s="314"/>
      <c r="AR2257" s="315" t="str">
        <f t="shared" si="72"/>
        <v/>
      </c>
    </row>
    <row r="2258" spans="37:44" ht="30" hidden="1" customHeight="1" x14ac:dyDescent="0.25">
      <c r="AK2258" s="313"/>
      <c r="AL2258" s="313"/>
      <c r="AM2258" s="313"/>
      <c r="AN2258" s="313"/>
      <c r="AO2258" s="313"/>
      <c r="AP2258" s="313"/>
      <c r="AQ2258" s="314"/>
      <c r="AR2258" s="315" t="str">
        <f t="shared" si="72"/>
        <v/>
      </c>
    </row>
    <row r="2259" spans="37:44" ht="30" hidden="1" customHeight="1" x14ac:dyDescent="0.25">
      <c r="AK2259" s="313"/>
      <c r="AL2259" s="313"/>
      <c r="AM2259" s="313"/>
      <c r="AN2259" s="313"/>
      <c r="AO2259" s="313"/>
      <c r="AP2259" s="313"/>
      <c r="AQ2259" s="314"/>
      <c r="AR2259" s="315" t="str">
        <f t="shared" si="72"/>
        <v/>
      </c>
    </row>
    <row r="2260" spans="37:44" ht="30" hidden="1" customHeight="1" x14ac:dyDescent="0.25">
      <c r="AK2260" s="313"/>
      <c r="AL2260" s="313"/>
      <c r="AM2260" s="313"/>
      <c r="AN2260" s="313"/>
      <c r="AO2260" s="313"/>
      <c r="AP2260" s="313"/>
      <c r="AQ2260" s="314"/>
      <c r="AR2260" s="315" t="str">
        <f t="shared" si="72"/>
        <v/>
      </c>
    </row>
    <row r="2261" spans="37:44" ht="30" hidden="1" customHeight="1" x14ac:dyDescent="0.25">
      <c r="AK2261" s="313"/>
      <c r="AL2261" s="313"/>
      <c r="AM2261" s="313"/>
      <c r="AN2261" s="313"/>
      <c r="AO2261" s="313"/>
      <c r="AP2261" s="313"/>
      <c r="AQ2261" s="314"/>
      <c r="AR2261" s="315" t="str">
        <f t="shared" si="72"/>
        <v/>
      </c>
    </row>
    <row r="2262" spans="37:44" ht="30" hidden="1" customHeight="1" x14ac:dyDescent="0.25">
      <c r="AK2262" s="313"/>
      <c r="AL2262" s="313"/>
      <c r="AM2262" s="313"/>
      <c r="AN2262" s="313"/>
      <c r="AO2262" s="313"/>
      <c r="AP2262" s="313"/>
      <c r="AQ2262" s="314"/>
      <c r="AR2262" s="315" t="str">
        <f t="shared" si="72"/>
        <v/>
      </c>
    </row>
    <row r="2263" spans="37:44" ht="30" hidden="1" customHeight="1" x14ac:dyDescent="0.25">
      <c r="AK2263" s="313"/>
      <c r="AL2263" s="313"/>
      <c r="AM2263" s="313"/>
      <c r="AN2263" s="313"/>
      <c r="AO2263" s="313"/>
      <c r="AP2263" s="313"/>
      <c r="AQ2263" s="314"/>
      <c r="AR2263" s="315" t="str">
        <f t="shared" si="72"/>
        <v/>
      </c>
    </row>
    <row r="2264" spans="37:44" ht="30" hidden="1" customHeight="1" x14ac:dyDescent="0.25">
      <c r="AK2264" s="313"/>
      <c r="AL2264" s="313"/>
      <c r="AM2264" s="313"/>
      <c r="AN2264" s="313"/>
      <c r="AO2264" s="313"/>
      <c r="AP2264" s="313"/>
      <c r="AQ2264" s="314"/>
      <c r="AR2264" s="315" t="str">
        <f t="shared" si="72"/>
        <v/>
      </c>
    </row>
    <row r="2265" spans="37:44" ht="30" hidden="1" customHeight="1" x14ac:dyDescent="0.25">
      <c r="AK2265" s="313"/>
      <c r="AL2265" s="313"/>
      <c r="AM2265" s="313"/>
      <c r="AN2265" s="313"/>
      <c r="AO2265" s="313"/>
      <c r="AP2265" s="313"/>
      <c r="AQ2265" s="314"/>
      <c r="AR2265" s="315" t="str">
        <f t="shared" si="72"/>
        <v/>
      </c>
    </row>
    <row r="2266" spans="37:44" ht="30" hidden="1" customHeight="1" x14ac:dyDescent="0.25">
      <c r="AK2266" s="313"/>
      <c r="AL2266" s="313"/>
      <c r="AM2266" s="313"/>
      <c r="AN2266" s="313"/>
      <c r="AO2266" s="313"/>
      <c r="AP2266" s="313"/>
      <c r="AQ2266" s="314"/>
      <c r="AR2266" s="315" t="str">
        <f t="shared" si="72"/>
        <v/>
      </c>
    </row>
    <row r="2267" spans="37:44" ht="30" hidden="1" customHeight="1" x14ac:dyDescent="0.25">
      <c r="AK2267" s="313"/>
      <c r="AL2267" s="313"/>
      <c r="AM2267" s="313"/>
      <c r="AN2267" s="313"/>
      <c r="AO2267" s="313"/>
      <c r="AP2267" s="313"/>
      <c r="AQ2267" s="314"/>
      <c r="AR2267" s="315" t="str">
        <f t="shared" si="72"/>
        <v/>
      </c>
    </row>
    <row r="2268" spans="37:44" ht="30" hidden="1" customHeight="1" x14ac:dyDescent="0.25">
      <c r="AK2268" s="313"/>
      <c r="AL2268" s="313"/>
      <c r="AM2268" s="313"/>
      <c r="AN2268" s="313"/>
      <c r="AO2268" s="313"/>
      <c r="AP2268" s="313"/>
      <c r="AQ2268" s="314"/>
      <c r="AR2268" s="315" t="str">
        <f t="shared" si="72"/>
        <v/>
      </c>
    </row>
    <row r="2269" spans="37:44" ht="30" hidden="1" customHeight="1" x14ac:dyDescent="0.25">
      <c r="AK2269" s="313"/>
      <c r="AL2269" s="313"/>
      <c r="AM2269" s="313"/>
      <c r="AN2269" s="313"/>
      <c r="AO2269" s="313"/>
      <c r="AP2269" s="313"/>
      <c r="AQ2269" s="314"/>
      <c r="AR2269" s="315" t="str">
        <f t="shared" si="72"/>
        <v/>
      </c>
    </row>
    <row r="2270" spans="37:44" ht="30" hidden="1" customHeight="1" x14ac:dyDescent="0.25">
      <c r="AK2270" s="313"/>
      <c r="AL2270" s="313"/>
      <c r="AM2270" s="313"/>
      <c r="AN2270" s="313"/>
      <c r="AO2270" s="313"/>
      <c r="AP2270" s="313"/>
      <c r="AQ2270" s="314"/>
      <c r="AR2270" s="315" t="str">
        <f t="shared" si="72"/>
        <v/>
      </c>
    </row>
    <row r="2271" spans="37:44" ht="30" hidden="1" customHeight="1" x14ac:dyDescent="0.25">
      <c r="AK2271" s="313"/>
      <c r="AL2271" s="313"/>
      <c r="AM2271" s="313"/>
      <c r="AN2271" s="313"/>
      <c r="AO2271" s="313"/>
      <c r="AP2271" s="313"/>
      <c r="AQ2271" s="314"/>
      <c r="AR2271" s="315" t="str">
        <f t="shared" si="72"/>
        <v/>
      </c>
    </row>
    <row r="2272" spans="37:44" ht="30" hidden="1" customHeight="1" x14ac:dyDescent="0.25">
      <c r="AK2272" s="313"/>
      <c r="AL2272" s="313"/>
      <c r="AM2272" s="313"/>
      <c r="AN2272" s="313"/>
      <c r="AO2272" s="313"/>
      <c r="AP2272" s="313"/>
      <c r="AQ2272" s="314"/>
      <c r="AR2272" s="315" t="str">
        <f t="shared" si="72"/>
        <v/>
      </c>
    </row>
    <row r="2273" spans="37:44" ht="30" hidden="1" customHeight="1" x14ac:dyDescent="0.25">
      <c r="AK2273" s="313"/>
      <c r="AL2273" s="313"/>
      <c r="AM2273" s="313"/>
      <c r="AN2273" s="313"/>
      <c r="AO2273" s="313"/>
      <c r="AP2273" s="313"/>
      <c r="AQ2273" s="314"/>
      <c r="AR2273" s="315" t="str">
        <f t="shared" si="72"/>
        <v/>
      </c>
    </row>
    <row r="2274" spans="37:44" ht="30" hidden="1" customHeight="1" x14ac:dyDescent="0.25">
      <c r="AK2274" s="313"/>
      <c r="AL2274" s="313"/>
      <c r="AM2274" s="313"/>
      <c r="AN2274" s="313"/>
      <c r="AO2274" s="313"/>
      <c r="AP2274" s="313"/>
      <c r="AQ2274" s="314"/>
      <c r="AR2274" s="315" t="str">
        <f t="shared" si="72"/>
        <v/>
      </c>
    </row>
    <row r="2275" spans="37:44" ht="30" hidden="1" customHeight="1" x14ac:dyDescent="0.25">
      <c r="AK2275" s="313"/>
      <c r="AL2275" s="313"/>
      <c r="AM2275" s="313"/>
      <c r="AN2275" s="313"/>
      <c r="AO2275" s="313"/>
      <c r="AP2275" s="313"/>
      <c r="AQ2275" s="314"/>
      <c r="AR2275" s="315" t="str">
        <f t="shared" si="72"/>
        <v/>
      </c>
    </row>
    <row r="2276" spans="37:44" ht="30" hidden="1" customHeight="1" x14ac:dyDescent="0.25">
      <c r="AK2276" s="313"/>
      <c r="AL2276" s="313"/>
      <c r="AM2276" s="313"/>
      <c r="AN2276" s="313"/>
      <c r="AO2276" s="313"/>
      <c r="AP2276" s="313"/>
      <c r="AQ2276" s="314"/>
      <c r="AR2276" s="315" t="str">
        <f t="shared" si="72"/>
        <v/>
      </c>
    </row>
    <row r="2277" spans="37:44" ht="30" hidden="1" customHeight="1" x14ac:dyDescent="0.25">
      <c r="AK2277" s="313"/>
      <c r="AL2277" s="313"/>
      <c r="AM2277" s="313"/>
      <c r="AN2277" s="313"/>
      <c r="AO2277" s="313"/>
      <c r="AP2277" s="313"/>
      <c r="AQ2277" s="314"/>
      <c r="AR2277" s="315" t="str">
        <f t="shared" si="72"/>
        <v/>
      </c>
    </row>
    <row r="2278" spans="37:44" ht="30" hidden="1" customHeight="1" x14ac:dyDescent="0.25">
      <c r="AK2278" s="313"/>
      <c r="AL2278" s="313"/>
      <c r="AM2278" s="313"/>
      <c r="AN2278" s="313"/>
      <c r="AO2278" s="313"/>
      <c r="AP2278" s="313"/>
      <c r="AQ2278" s="314"/>
      <c r="AR2278" s="315" t="str">
        <f t="shared" si="72"/>
        <v/>
      </c>
    </row>
    <row r="2279" spans="37:44" ht="30" hidden="1" customHeight="1" x14ac:dyDescent="0.25">
      <c r="AK2279" s="313"/>
      <c r="AL2279" s="313"/>
      <c r="AM2279" s="313"/>
      <c r="AN2279" s="313"/>
      <c r="AO2279" s="313"/>
      <c r="AP2279" s="313"/>
      <c r="AQ2279" s="314"/>
      <c r="AR2279" s="315" t="str">
        <f t="shared" si="72"/>
        <v/>
      </c>
    </row>
    <row r="2280" spans="37:44" ht="30" hidden="1" customHeight="1" x14ac:dyDescent="0.25">
      <c r="AK2280" s="313"/>
      <c r="AL2280" s="313"/>
      <c r="AM2280" s="313"/>
      <c r="AN2280" s="313"/>
      <c r="AO2280" s="313"/>
      <c r="AP2280" s="313"/>
      <c r="AQ2280" s="314"/>
      <c r="AR2280" s="315" t="str">
        <f t="shared" si="72"/>
        <v/>
      </c>
    </row>
    <row r="2281" spans="37:44" ht="30" hidden="1" customHeight="1" x14ac:dyDescent="0.25">
      <c r="AK2281" s="313"/>
      <c r="AL2281" s="313"/>
      <c r="AM2281" s="313"/>
      <c r="AN2281" s="313"/>
      <c r="AO2281" s="313"/>
      <c r="AP2281" s="313"/>
      <c r="AQ2281" s="314"/>
      <c r="AR2281" s="315" t="str">
        <f t="shared" si="72"/>
        <v/>
      </c>
    </row>
    <row r="2282" spans="37:44" ht="30" hidden="1" customHeight="1" x14ac:dyDescent="0.25">
      <c r="AK2282" s="313"/>
      <c r="AL2282" s="313"/>
      <c r="AM2282" s="313"/>
      <c r="AN2282" s="313"/>
      <c r="AO2282" s="313"/>
      <c r="AP2282" s="313"/>
      <c r="AQ2282" s="314"/>
      <c r="AR2282" s="315" t="str">
        <f t="shared" si="72"/>
        <v/>
      </c>
    </row>
    <row r="2283" spans="37:44" ht="30" hidden="1" customHeight="1" x14ac:dyDescent="0.25">
      <c r="AK2283" s="313"/>
      <c r="AL2283" s="313"/>
      <c r="AM2283" s="313"/>
      <c r="AN2283" s="313"/>
      <c r="AO2283" s="313"/>
      <c r="AP2283" s="313"/>
      <c r="AQ2283" s="314"/>
      <c r="AR2283" s="315" t="str">
        <f t="shared" si="72"/>
        <v/>
      </c>
    </row>
    <row r="2284" spans="37:44" ht="30" hidden="1" customHeight="1" x14ac:dyDescent="0.25">
      <c r="AK2284" s="313"/>
      <c r="AL2284" s="313"/>
      <c r="AM2284" s="313"/>
      <c r="AN2284" s="313"/>
      <c r="AO2284" s="313"/>
      <c r="AP2284" s="313"/>
      <c r="AQ2284" s="314"/>
      <c r="AR2284" s="315" t="str">
        <f t="shared" si="72"/>
        <v/>
      </c>
    </row>
    <row r="2285" spans="37:44" ht="30" hidden="1" customHeight="1" x14ac:dyDescent="0.25">
      <c r="AK2285" s="313"/>
      <c r="AL2285" s="313"/>
      <c r="AM2285" s="313"/>
      <c r="AN2285" s="313"/>
      <c r="AO2285" s="313"/>
      <c r="AP2285" s="313"/>
      <c r="AQ2285" s="314"/>
      <c r="AR2285" s="315" t="str">
        <f t="shared" si="72"/>
        <v/>
      </c>
    </row>
    <row r="2286" spans="37:44" ht="30" hidden="1" customHeight="1" x14ac:dyDescent="0.25">
      <c r="AK2286" s="313"/>
      <c r="AL2286" s="313"/>
      <c r="AM2286" s="313"/>
      <c r="AN2286" s="313"/>
      <c r="AO2286" s="313"/>
      <c r="AP2286" s="313"/>
      <c r="AQ2286" s="314"/>
      <c r="AR2286" s="315" t="str">
        <f t="shared" si="72"/>
        <v/>
      </c>
    </row>
    <row r="2287" spans="37:44" ht="30" hidden="1" customHeight="1" x14ac:dyDescent="0.25">
      <c r="AK2287" s="313"/>
      <c r="AL2287" s="313"/>
      <c r="AM2287" s="313"/>
      <c r="AN2287" s="313"/>
      <c r="AO2287" s="313"/>
      <c r="AP2287" s="313"/>
      <c r="AQ2287" s="314"/>
      <c r="AR2287" s="315" t="str">
        <f t="shared" si="72"/>
        <v/>
      </c>
    </row>
    <row r="2288" spans="37:44" ht="30" hidden="1" customHeight="1" x14ac:dyDescent="0.25">
      <c r="AK2288" s="313"/>
      <c r="AL2288" s="313"/>
      <c r="AM2288" s="313"/>
      <c r="AN2288" s="313"/>
      <c r="AO2288" s="313"/>
      <c r="AP2288" s="313"/>
      <c r="AQ2288" s="314"/>
      <c r="AR2288" s="315" t="str">
        <f t="shared" si="72"/>
        <v/>
      </c>
    </row>
    <row r="2289" spans="37:44" ht="30" hidden="1" customHeight="1" x14ac:dyDescent="0.25">
      <c r="AK2289" s="313"/>
      <c r="AL2289" s="313"/>
      <c r="AM2289" s="313"/>
      <c r="AN2289" s="313"/>
      <c r="AO2289" s="313"/>
      <c r="AP2289" s="313"/>
      <c r="AQ2289" s="314"/>
      <c r="AR2289" s="315" t="str">
        <f t="shared" si="72"/>
        <v/>
      </c>
    </row>
    <row r="2290" spans="37:44" ht="30" hidden="1" customHeight="1" x14ac:dyDescent="0.25">
      <c r="AK2290" s="313"/>
      <c r="AL2290" s="313"/>
      <c r="AM2290" s="313"/>
      <c r="AN2290" s="313"/>
      <c r="AO2290" s="313"/>
      <c r="AP2290" s="313"/>
      <c r="AQ2290" s="314"/>
      <c r="AR2290" s="315" t="str">
        <f t="shared" si="72"/>
        <v/>
      </c>
    </row>
    <row r="2291" spans="37:44" ht="30" hidden="1" customHeight="1" x14ac:dyDescent="0.25">
      <c r="AK2291" s="313"/>
      <c r="AL2291" s="313"/>
      <c r="AM2291" s="313"/>
      <c r="AN2291" s="313"/>
      <c r="AO2291" s="313"/>
      <c r="AP2291" s="313"/>
      <c r="AQ2291" s="314"/>
      <c r="AR2291" s="315" t="str">
        <f t="shared" si="72"/>
        <v/>
      </c>
    </row>
    <row r="2292" spans="37:44" ht="30" hidden="1" customHeight="1" x14ac:dyDescent="0.25">
      <c r="AK2292" s="313"/>
      <c r="AL2292" s="313"/>
      <c r="AM2292" s="313"/>
      <c r="AN2292" s="313"/>
      <c r="AO2292" s="313"/>
      <c r="AP2292" s="313"/>
      <c r="AQ2292" s="314"/>
      <c r="AR2292" s="315" t="str">
        <f t="shared" si="72"/>
        <v/>
      </c>
    </row>
    <row r="2293" spans="37:44" ht="30" hidden="1" customHeight="1" x14ac:dyDescent="0.25">
      <c r="AK2293" s="313"/>
      <c r="AL2293" s="313"/>
      <c r="AM2293" s="313"/>
      <c r="AN2293" s="313"/>
      <c r="AO2293" s="313"/>
      <c r="AP2293" s="313"/>
      <c r="AQ2293" s="314"/>
      <c r="AR2293" s="315" t="str">
        <f t="shared" si="72"/>
        <v/>
      </c>
    </row>
    <row r="2294" spans="37:44" ht="30" hidden="1" customHeight="1" x14ac:dyDescent="0.25">
      <c r="AK2294" s="313"/>
      <c r="AL2294" s="313"/>
      <c r="AM2294" s="313"/>
      <c r="AN2294" s="313"/>
      <c r="AO2294" s="313"/>
      <c r="AP2294" s="313"/>
      <c r="AQ2294" s="314"/>
      <c r="AR2294" s="315" t="str">
        <f t="shared" si="72"/>
        <v/>
      </c>
    </row>
    <row r="2295" spans="37:44" ht="30" hidden="1" customHeight="1" x14ac:dyDescent="0.25">
      <c r="AK2295" s="313"/>
      <c r="AL2295" s="313"/>
      <c r="AM2295" s="313"/>
      <c r="AN2295" s="313"/>
      <c r="AO2295" s="313"/>
      <c r="AP2295" s="313"/>
      <c r="AQ2295" s="314"/>
      <c r="AR2295" s="315" t="str">
        <f t="shared" si="72"/>
        <v/>
      </c>
    </row>
    <row r="2296" spans="37:44" ht="30" hidden="1" customHeight="1" x14ac:dyDescent="0.25">
      <c r="AK2296" s="313"/>
      <c r="AL2296" s="313"/>
      <c r="AM2296" s="313"/>
      <c r="AN2296" s="313"/>
      <c r="AO2296" s="313"/>
      <c r="AP2296" s="313"/>
      <c r="AQ2296" s="314"/>
      <c r="AR2296" s="315" t="str">
        <f t="shared" si="72"/>
        <v/>
      </c>
    </row>
    <row r="2297" spans="37:44" ht="30" hidden="1" customHeight="1" x14ac:dyDescent="0.25">
      <c r="AK2297" s="313"/>
      <c r="AL2297" s="313"/>
      <c r="AM2297" s="313"/>
      <c r="AN2297" s="313"/>
      <c r="AO2297" s="313"/>
      <c r="AP2297" s="313"/>
      <c r="AQ2297" s="314"/>
      <c r="AR2297" s="315" t="str">
        <f t="shared" si="72"/>
        <v/>
      </c>
    </row>
    <row r="2298" spans="37:44" ht="30" hidden="1" customHeight="1" x14ac:dyDescent="0.25">
      <c r="AK2298" s="313"/>
      <c r="AL2298" s="313"/>
      <c r="AM2298" s="313"/>
      <c r="AN2298" s="313"/>
      <c r="AO2298" s="313"/>
      <c r="AP2298" s="313"/>
      <c r="AQ2298" s="314"/>
      <c r="AR2298" s="315" t="str">
        <f t="shared" si="72"/>
        <v/>
      </c>
    </row>
    <row r="2299" spans="37:44" ht="30" hidden="1" customHeight="1" x14ac:dyDescent="0.25">
      <c r="AK2299" s="313"/>
      <c r="AL2299" s="313"/>
      <c r="AM2299" s="313"/>
      <c r="AN2299" s="313"/>
      <c r="AO2299" s="313"/>
      <c r="AP2299" s="313"/>
      <c r="AQ2299" s="314"/>
      <c r="AR2299" s="315" t="str">
        <f t="shared" si="72"/>
        <v/>
      </c>
    </row>
    <row r="2300" spans="37:44" ht="30" hidden="1" customHeight="1" x14ac:dyDescent="0.25">
      <c r="AK2300" s="313"/>
      <c r="AL2300" s="313"/>
      <c r="AM2300" s="313"/>
      <c r="AN2300" s="313"/>
      <c r="AO2300" s="313"/>
      <c r="AP2300" s="313"/>
      <c r="AQ2300" s="314"/>
      <c r="AR2300" s="315" t="str">
        <f t="shared" si="72"/>
        <v/>
      </c>
    </row>
    <row r="2301" spans="37:44" ht="30" hidden="1" customHeight="1" x14ac:dyDescent="0.25">
      <c r="AK2301" s="313"/>
      <c r="AL2301" s="313"/>
      <c r="AM2301" s="313"/>
      <c r="AN2301" s="313"/>
      <c r="AO2301" s="313"/>
      <c r="AP2301" s="313"/>
      <c r="AQ2301" s="314"/>
      <c r="AR2301" s="315" t="str">
        <f t="shared" si="72"/>
        <v/>
      </c>
    </row>
    <row r="2302" spans="37:44" ht="30" hidden="1" customHeight="1" x14ac:dyDescent="0.25">
      <c r="AK2302" s="313"/>
      <c r="AL2302" s="313"/>
      <c r="AM2302" s="313"/>
      <c r="AN2302" s="313"/>
      <c r="AO2302" s="313"/>
      <c r="AP2302" s="313"/>
      <c r="AQ2302" s="314"/>
      <c r="AR2302" s="315" t="str">
        <f t="shared" si="72"/>
        <v/>
      </c>
    </row>
    <row r="2303" spans="37:44" ht="30" hidden="1" customHeight="1" x14ac:dyDescent="0.25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73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 x14ac:dyDescent="0.25">
      <c r="AK2304" s="313"/>
      <c r="AL2304" s="313"/>
      <c r="AM2304" s="313"/>
      <c r="AN2304" s="313"/>
      <c r="AO2304" s="313"/>
      <c r="AP2304" s="313"/>
      <c r="AQ2304" s="314"/>
      <c r="AR2304" s="315" t="str">
        <f t="shared" si="73"/>
        <v/>
      </c>
    </row>
    <row r="2305" spans="37:44" ht="30" hidden="1" customHeight="1" x14ac:dyDescent="0.25">
      <c r="AK2305" s="313"/>
      <c r="AL2305" s="313"/>
      <c r="AM2305" s="313"/>
      <c r="AN2305" s="313"/>
      <c r="AO2305" s="313"/>
      <c r="AP2305" s="313"/>
      <c r="AQ2305" s="314"/>
      <c r="AR2305" s="315" t="str">
        <f t="shared" si="73"/>
        <v/>
      </c>
    </row>
    <row r="2306" spans="37:44" ht="30" hidden="1" customHeight="1" x14ac:dyDescent="0.25">
      <c r="AK2306" s="313"/>
      <c r="AL2306" s="313"/>
      <c r="AM2306" s="313"/>
      <c r="AN2306" s="313"/>
      <c r="AO2306" s="313"/>
      <c r="AP2306" s="313"/>
      <c r="AQ2306" s="314"/>
      <c r="AR2306" s="315" t="str">
        <f t="shared" si="73"/>
        <v/>
      </c>
    </row>
    <row r="2307" spans="37:44" ht="30" hidden="1" customHeight="1" x14ac:dyDescent="0.25">
      <c r="AK2307" s="313"/>
      <c r="AL2307" s="313"/>
      <c r="AM2307" s="313"/>
      <c r="AN2307" s="313"/>
      <c r="AO2307" s="313"/>
      <c r="AP2307" s="313"/>
      <c r="AQ2307" s="314"/>
      <c r="AR2307" s="315" t="str">
        <f t="shared" si="73"/>
        <v/>
      </c>
    </row>
    <row r="2308" spans="37:44" ht="30" hidden="1" customHeight="1" x14ac:dyDescent="0.25">
      <c r="AK2308" s="313"/>
      <c r="AL2308" s="313"/>
      <c r="AM2308" s="313"/>
      <c r="AN2308" s="313"/>
      <c r="AO2308" s="313"/>
      <c r="AP2308" s="313"/>
      <c r="AQ2308" s="314"/>
      <c r="AR2308" s="315" t="str">
        <f t="shared" si="73"/>
        <v/>
      </c>
    </row>
    <row r="2309" spans="37:44" ht="30" hidden="1" customHeight="1" x14ac:dyDescent="0.25">
      <c r="AK2309" s="313"/>
      <c r="AL2309" s="313"/>
      <c r="AM2309" s="313"/>
      <c r="AN2309" s="313"/>
      <c r="AO2309" s="313"/>
      <c r="AP2309" s="313"/>
      <c r="AQ2309" s="314"/>
      <c r="AR2309" s="315" t="str">
        <f t="shared" si="73"/>
        <v/>
      </c>
    </row>
    <row r="2310" spans="37:44" ht="30" hidden="1" customHeight="1" x14ac:dyDescent="0.25">
      <c r="AK2310" s="313"/>
      <c r="AL2310" s="313"/>
      <c r="AM2310" s="313"/>
      <c r="AN2310" s="313"/>
      <c r="AO2310" s="313"/>
      <c r="AP2310" s="313"/>
      <c r="AQ2310" s="314"/>
      <c r="AR2310" s="315" t="str">
        <f t="shared" si="73"/>
        <v/>
      </c>
    </row>
    <row r="2311" spans="37:44" ht="30" hidden="1" customHeight="1" x14ac:dyDescent="0.25">
      <c r="AK2311" s="313"/>
      <c r="AL2311" s="313"/>
      <c r="AM2311" s="313"/>
      <c r="AN2311" s="313"/>
      <c r="AO2311" s="313"/>
      <c r="AP2311" s="313"/>
      <c r="AQ2311" s="314"/>
      <c r="AR2311" s="315" t="str">
        <f t="shared" si="73"/>
        <v/>
      </c>
    </row>
    <row r="2312" spans="37:44" ht="30" hidden="1" customHeight="1" x14ac:dyDescent="0.25">
      <c r="AK2312" s="313"/>
      <c r="AL2312" s="313"/>
      <c r="AM2312" s="313"/>
      <c r="AN2312" s="313"/>
      <c r="AO2312" s="313"/>
      <c r="AP2312" s="313"/>
      <c r="AQ2312" s="314"/>
      <c r="AR2312" s="315" t="str">
        <f t="shared" si="73"/>
        <v/>
      </c>
    </row>
    <row r="2313" spans="37:44" ht="30" hidden="1" customHeight="1" x14ac:dyDescent="0.25">
      <c r="AK2313" s="313"/>
      <c r="AL2313" s="313"/>
      <c r="AM2313" s="313"/>
      <c r="AN2313" s="313"/>
      <c r="AO2313" s="313"/>
      <c r="AP2313" s="313"/>
      <c r="AQ2313" s="314"/>
      <c r="AR2313" s="315" t="str">
        <f t="shared" si="73"/>
        <v/>
      </c>
    </row>
    <row r="2314" spans="37:44" ht="30" hidden="1" customHeight="1" x14ac:dyDescent="0.25">
      <c r="AK2314" s="313"/>
      <c r="AL2314" s="313"/>
      <c r="AM2314" s="313"/>
      <c r="AN2314" s="313"/>
      <c r="AO2314" s="313"/>
      <c r="AP2314" s="313"/>
      <c r="AQ2314" s="314"/>
      <c r="AR2314" s="315" t="str">
        <f t="shared" si="73"/>
        <v/>
      </c>
    </row>
    <row r="2315" spans="37:44" ht="30" hidden="1" customHeight="1" x14ac:dyDescent="0.25">
      <c r="AK2315" s="313"/>
      <c r="AL2315" s="313"/>
      <c r="AM2315" s="313"/>
      <c r="AN2315" s="313"/>
      <c r="AO2315" s="313"/>
      <c r="AP2315" s="313"/>
      <c r="AQ2315" s="314"/>
      <c r="AR2315" s="315" t="str">
        <f t="shared" si="73"/>
        <v/>
      </c>
    </row>
    <row r="2316" spans="37:44" ht="30" hidden="1" customHeight="1" x14ac:dyDescent="0.25">
      <c r="AK2316" s="313"/>
      <c r="AL2316" s="313"/>
      <c r="AM2316" s="313"/>
      <c r="AN2316" s="313"/>
      <c r="AO2316" s="313"/>
      <c r="AP2316" s="313"/>
      <c r="AQ2316" s="314"/>
      <c r="AR2316" s="315" t="str">
        <f t="shared" si="73"/>
        <v/>
      </c>
    </row>
    <row r="2317" spans="37:44" ht="30" hidden="1" customHeight="1" x14ac:dyDescent="0.25">
      <c r="AK2317" s="313"/>
      <c r="AL2317" s="313"/>
      <c r="AM2317" s="313"/>
      <c r="AN2317" s="313"/>
      <c r="AO2317" s="313"/>
      <c r="AP2317" s="313"/>
      <c r="AQ2317" s="314"/>
      <c r="AR2317" s="315" t="str">
        <f t="shared" si="73"/>
        <v/>
      </c>
    </row>
    <row r="2318" spans="37:44" ht="30" hidden="1" customHeight="1" x14ac:dyDescent="0.25">
      <c r="AK2318" s="313"/>
      <c r="AL2318" s="313"/>
      <c r="AM2318" s="313"/>
      <c r="AN2318" s="313"/>
      <c r="AO2318" s="313"/>
      <c r="AP2318" s="313"/>
      <c r="AQ2318" s="314"/>
      <c r="AR2318" s="315" t="str">
        <f t="shared" si="73"/>
        <v/>
      </c>
    </row>
    <row r="2319" spans="37:44" ht="30" hidden="1" customHeight="1" x14ac:dyDescent="0.25">
      <c r="AK2319" s="313"/>
      <c r="AL2319" s="313"/>
      <c r="AM2319" s="313"/>
      <c r="AN2319" s="313"/>
      <c r="AO2319" s="313"/>
      <c r="AP2319" s="313"/>
      <c r="AQ2319" s="314"/>
      <c r="AR2319" s="315" t="str">
        <f t="shared" si="73"/>
        <v/>
      </c>
    </row>
    <row r="2320" spans="37:44" ht="30" hidden="1" customHeight="1" x14ac:dyDescent="0.25">
      <c r="AK2320" s="313"/>
      <c r="AL2320" s="313"/>
      <c r="AM2320" s="313"/>
      <c r="AN2320" s="313"/>
      <c r="AO2320" s="313"/>
      <c r="AP2320" s="313"/>
      <c r="AQ2320" s="314"/>
      <c r="AR2320" s="315" t="str">
        <f t="shared" si="73"/>
        <v/>
      </c>
    </row>
    <row r="2321" spans="37:44" ht="30" hidden="1" customHeight="1" x14ac:dyDescent="0.25">
      <c r="AK2321" s="313"/>
      <c r="AL2321" s="313"/>
      <c r="AM2321" s="313"/>
      <c r="AN2321" s="313"/>
      <c r="AO2321" s="313"/>
      <c r="AP2321" s="313"/>
      <c r="AQ2321" s="314"/>
      <c r="AR2321" s="315" t="str">
        <f t="shared" si="73"/>
        <v/>
      </c>
    </row>
    <row r="2322" spans="37:44" ht="30" hidden="1" customHeight="1" x14ac:dyDescent="0.25">
      <c r="AK2322" s="313"/>
      <c r="AL2322" s="313"/>
      <c r="AM2322" s="313"/>
      <c r="AN2322" s="313"/>
      <c r="AO2322" s="313"/>
      <c r="AP2322" s="313"/>
      <c r="AQ2322" s="314"/>
      <c r="AR2322" s="315" t="str">
        <f t="shared" si="73"/>
        <v/>
      </c>
    </row>
    <row r="2323" spans="37:44" ht="30" hidden="1" customHeight="1" x14ac:dyDescent="0.25">
      <c r="AK2323" s="313"/>
      <c r="AL2323" s="313"/>
      <c r="AM2323" s="313"/>
      <c r="AN2323" s="313"/>
      <c r="AO2323" s="313"/>
      <c r="AP2323" s="313"/>
      <c r="AQ2323" s="314"/>
      <c r="AR2323" s="315" t="str">
        <f t="shared" si="73"/>
        <v/>
      </c>
    </row>
    <row r="2324" spans="37:44" ht="30" hidden="1" customHeight="1" x14ac:dyDescent="0.25">
      <c r="AK2324" s="313"/>
      <c r="AL2324" s="313"/>
      <c r="AM2324" s="313"/>
      <c r="AN2324" s="313"/>
      <c r="AO2324" s="313"/>
      <c r="AP2324" s="313"/>
      <c r="AQ2324" s="314"/>
      <c r="AR2324" s="315" t="str">
        <f t="shared" si="73"/>
        <v/>
      </c>
    </row>
    <row r="2325" spans="37:44" ht="30" hidden="1" customHeight="1" x14ac:dyDescent="0.25">
      <c r="AK2325" s="313"/>
      <c r="AL2325" s="313"/>
      <c r="AM2325" s="313"/>
      <c r="AN2325" s="313"/>
      <c r="AO2325" s="313"/>
      <c r="AP2325" s="313"/>
      <c r="AQ2325" s="314"/>
      <c r="AR2325" s="315" t="str">
        <f t="shared" si="73"/>
        <v/>
      </c>
    </row>
    <row r="2326" spans="37:44" ht="30" hidden="1" customHeight="1" x14ac:dyDescent="0.25">
      <c r="AK2326" s="313"/>
      <c r="AL2326" s="313"/>
      <c r="AM2326" s="313"/>
      <c r="AN2326" s="313"/>
      <c r="AO2326" s="313"/>
      <c r="AP2326" s="313"/>
      <c r="AQ2326" s="314"/>
      <c r="AR2326" s="315" t="str">
        <f t="shared" si="73"/>
        <v/>
      </c>
    </row>
    <row r="2327" spans="37:44" ht="30" hidden="1" customHeight="1" x14ac:dyDescent="0.25">
      <c r="AK2327" s="313"/>
      <c r="AL2327" s="313"/>
      <c r="AM2327" s="313"/>
      <c r="AN2327" s="313"/>
      <c r="AO2327" s="313"/>
      <c r="AP2327" s="313"/>
      <c r="AQ2327" s="314"/>
      <c r="AR2327" s="315" t="str">
        <f t="shared" si="73"/>
        <v/>
      </c>
    </row>
    <row r="2328" spans="37:44" ht="30" hidden="1" customHeight="1" x14ac:dyDescent="0.25">
      <c r="AK2328" s="313"/>
      <c r="AL2328" s="313"/>
      <c r="AM2328" s="313"/>
      <c r="AN2328" s="313"/>
      <c r="AO2328" s="313"/>
      <c r="AP2328" s="313"/>
      <c r="AQ2328" s="314"/>
      <c r="AR2328" s="315" t="str">
        <f t="shared" si="73"/>
        <v/>
      </c>
    </row>
    <row r="2329" spans="37:44" ht="30" hidden="1" customHeight="1" x14ac:dyDescent="0.25">
      <c r="AK2329" s="313"/>
      <c r="AL2329" s="313"/>
      <c r="AM2329" s="313"/>
      <c r="AN2329" s="313"/>
      <c r="AO2329" s="313"/>
      <c r="AP2329" s="313"/>
      <c r="AQ2329" s="314"/>
      <c r="AR2329" s="315" t="str">
        <f t="shared" si="73"/>
        <v/>
      </c>
    </row>
    <row r="2330" spans="37:44" ht="30" hidden="1" customHeight="1" x14ac:dyDescent="0.25">
      <c r="AK2330" s="313"/>
      <c r="AL2330" s="313"/>
      <c r="AM2330" s="313"/>
      <c r="AN2330" s="313"/>
      <c r="AO2330" s="313"/>
      <c r="AP2330" s="313"/>
      <c r="AQ2330" s="314"/>
      <c r="AR2330" s="315" t="str">
        <f t="shared" si="73"/>
        <v/>
      </c>
    </row>
    <row r="2331" spans="37:44" ht="30" hidden="1" customHeight="1" x14ac:dyDescent="0.25">
      <c r="AK2331" s="313"/>
      <c r="AL2331" s="313"/>
      <c r="AM2331" s="313"/>
      <c r="AN2331" s="313"/>
      <c r="AO2331" s="313"/>
      <c r="AP2331" s="313"/>
      <c r="AQ2331" s="314"/>
      <c r="AR2331" s="315" t="str">
        <f t="shared" si="73"/>
        <v/>
      </c>
    </row>
    <row r="2332" spans="37:44" ht="30" hidden="1" customHeight="1" x14ac:dyDescent="0.25">
      <c r="AK2332" s="313"/>
      <c r="AL2332" s="313"/>
      <c r="AM2332" s="313"/>
      <c r="AN2332" s="313"/>
      <c r="AO2332" s="313"/>
      <c r="AP2332" s="313"/>
      <c r="AQ2332" s="314"/>
      <c r="AR2332" s="315" t="str">
        <f t="shared" si="73"/>
        <v/>
      </c>
    </row>
    <row r="2333" spans="37:44" ht="30" hidden="1" customHeight="1" x14ac:dyDescent="0.25">
      <c r="AK2333" s="313"/>
      <c r="AL2333" s="313"/>
      <c r="AM2333" s="313"/>
      <c r="AN2333" s="313"/>
      <c r="AO2333" s="313"/>
      <c r="AP2333" s="313"/>
      <c r="AQ2333" s="314"/>
      <c r="AR2333" s="315" t="str">
        <f t="shared" si="73"/>
        <v/>
      </c>
    </row>
    <row r="2334" spans="37:44" ht="30" hidden="1" customHeight="1" x14ac:dyDescent="0.25">
      <c r="AK2334" s="313"/>
      <c r="AL2334" s="313"/>
      <c r="AM2334" s="313"/>
      <c r="AN2334" s="313"/>
      <c r="AO2334" s="313"/>
      <c r="AP2334" s="313"/>
      <c r="AQ2334" s="314"/>
      <c r="AR2334" s="315" t="str">
        <f t="shared" si="73"/>
        <v/>
      </c>
    </row>
    <row r="2335" spans="37:44" ht="30" hidden="1" customHeight="1" x14ac:dyDescent="0.25">
      <c r="AK2335" s="313"/>
      <c r="AL2335" s="313"/>
      <c r="AM2335" s="313"/>
      <c r="AN2335" s="313"/>
      <c r="AO2335" s="313"/>
      <c r="AP2335" s="313"/>
      <c r="AQ2335" s="314"/>
      <c r="AR2335" s="315" t="str">
        <f t="shared" si="73"/>
        <v/>
      </c>
    </row>
    <row r="2336" spans="37:44" ht="30" hidden="1" customHeight="1" x14ac:dyDescent="0.25">
      <c r="AK2336" s="313"/>
      <c r="AL2336" s="313"/>
      <c r="AM2336" s="313"/>
      <c r="AN2336" s="313"/>
      <c r="AO2336" s="313"/>
      <c r="AP2336" s="313"/>
      <c r="AQ2336" s="314"/>
      <c r="AR2336" s="315" t="str">
        <f t="shared" si="73"/>
        <v/>
      </c>
    </row>
    <row r="2337" spans="37:44" ht="30" hidden="1" customHeight="1" x14ac:dyDescent="0.25">
      <c r="AK2337" s="313"/>
      <c r="AL2337" s="313"/>
      <c r="AM2337" s="313"/>
      <c r="AN2337" s="313"/>
      <c r="AO2337" s="313"/>
      <c r="AP2337" s="313"/>
      <c r="AQ2337" s="314"/>
      <c r="AR2337" s="315" t="str">
        <f t="shared" si="73"/>
        <v/>
      </c>
    </row>
    <row r="2338" spans="37:44" ht="30" hidden="1" customHeight="1" x14ac:dyDescent="0.25">
      <c r="AK2338" s="313"/>
      <c r="AL2338" s="313"/>
      <c r="AM2338" s="313"/>
      <c r="AN2338" s="313"/>
      <c r="AO2338" s="313"/>
      <c r="AP2338" s="313"/>
      <c r="AQ2338" s="314"/>
      <c r="AR2338" s="315" t="str">
        <f t="shared" si="73"/>
        <v/>
      </c>
    </row>
    <row r="2339" spans="37:44" ht="30" hidden="1" customHeight="1" x14ac:dyDescent="0.25">
      <c r="AK2339" s="313"/>
      <c r="AL2339" s="313"/>
      <c r="AM2339" s="313"/>
      <c r="AN2339" s="313"/>
      <c r="AO2339" s="313"/>
      <c r="AP2339" s="313"/>
      <c r="AQ2339" s="314"/>
      <c r="AR2339" s="315" t="str">
        <f t="shared" si="73"/>
        <v/>
      </c>
    </row>
    <row r="2340" spans="37:44" ht="30" hidden="1" customHeight="1" x14ac:dyDescent="0.25">
      <c r="AK2340" s="313"/>
      <c r="AL2340" s="313"/>
      <c r="AM2340" s="313"/>
      <c r="AN2340" s="313"/>
      <c r="AO2340" s="313"/>
      <c r="AP2340" s="313"/>
      <c r="AQ2340" s="314"/>
      <c r="AR2340" s="315" t="str">
        <f t="shared" si="73"/>
        <v/>
      </c>
    </row>
    <row r="2341" spans="37:44" ht="30" hidden="1" customHeight="1" x14ac:dyDescent="0.25">
      <c r="AK2341" s="313"/>
      <c r="AL2341" s="313"/>
      <c r="AM2341" s="313"/>
      <c r="AN2341" s="313"/>
      <c r="AO2341" s="313"/>
      <c r="AP2341" s="313"/>
      <c r="AQ2341" s="314"/>
      <c r="AR2341" s="315" t="str">
        <f t="shared" si="73"/>
        <v/>
      </c>
    </row>
    <row r="2342" spans="37:44" ht="30" hidden="1" customHeight="1" x14ac:dyDescent="0.25">
      <c r="AK2342" s="313"/>
      <c r="AL2342" s="313"/>
      <c r="AM2342" s="313"/>
      <c r="AN2342" s="313"/>
      <c r="AO2342" s="313"/>
      <c r="AP2342" s="313"/>
      <c r="AQ2342" s="314"/>
      <c r="AR2342" s="315" t="str">
        <f t="shared" si="73"/>
        <v/>
      </c>
    </row>
    <row r="2343" spans="37:44" ht="30" hidden="1" customHeight="1" x14ac:dyDescent="0.25">
      <c r="AK2343" s="313"/>
      <c r="AL2343" s="313"/>
      <c r="AM2343" s="313"/>
      <c r="AN2343" s="313"/>
      <c r="AO2343" s="313"/>
      <c r="AP2343" s="313"/>
      <c r="AQ2343" s="314"/>
      <c r="AR2343" s="315" t="str">
        <f t="shared" si="73"/>
        <v/>
      </c>
    </row>
    <row r="2344" spans="37:44" ht="30" hidden="1" customHeight="1" x14ac:dyDescent="0.25">
      <c r="AK2344" s="313"/>
      <c r="AL2344" s="313"/>
      <c r="AM2344" s="313"/>
      <c r="AN2344" s="313"/>
      <c r="AO2344" s="313"/>
      <c r="AP2344" s="313"/>
      <c r="AQ2344" s="314"/>
      <c r="AR2344" s="315" t="str">
        <f t="shared" si="73"/>
        <v/>
      </c>
    </row>
    <row r="2345" spans="37:44" ht="30" hidden="1" customHeight="1" x14ac:dyDescent="0.25">
      <c r="AK2345" s="313"/>
      <c r="AL2345" s="313"/>
      <c r="AM2345" s="313"/>
      <c r="AN2345" s="313"/>
      <c r="AO2345" s="313"/>
      <c r="AP2345" s="313"/>
      <c r="AQ2345" s="314"/>
      <c r="AR2345" s="315" t="str">
        <f t="shared" si="73"/>
        <v/>
      </c>
    </row>
    <row r="2346" spans="37:44" ht="30" hidden="1" customHeight="1" x14ac:dyDescent="0.25">
      <c r="AK2346" s="313"/>
      <c r="AL2346" s="313"/>
      <c r="AM2346" s="313"/>
      <c r="AN2346" s="313"/>
      <c r="AO2346" s="313"/>
      <c r="AP2346" s="313"/>
      <c r="AQ2346" s="314"/>
      <c r="AR2346" s="315" t="str">
        <f t="shared" si="73"/>
        <v/>
      </c>
    </row>
    <row r="2347" spans="37:44" ht="30" hidden="1" customHeight="1" x14ac:dyDescent="0.25">
      <c r="AK2347" s="313"/>
      <c r="AL2347" s="313"/>
      <c r="AM2347" s="313"/>
      <c r="AN2347" s="313"/>
      <c r="AO2347" s="313"/>
      <c r="AP2347" s="313"/>
      <c r="AQ2347" s="314"/>
      <c r="AR2347" s="315" t="str">
        <f t="shared" si="73"/>
        <v/>
      </c>
    </row>
    <row r="2348" spans="37:44" ht="30" hidden="1" customHeight="1" x14ac:dyDescent="0.25">
      <c r="AK2348" s="313"/>
      <c r="AL2348" s="313"/>
      <c r="AM2348" s="313"/>
      <c r="AN2348" s="313"/>
      <c r="AO2348" s="313"/>
      <c r="AP2348" s="313"/>
      <c r="AQ2348" s="314"/>
      <c r="AR2348" s="315" t="str">
        <f t="shared" si="73"/>
        <v/>
      </c>
    </row>
    <row r="2349" spans="37:44" ht="30" hidden="1" customHeight="1" x14ac:dyDescent="0.25">
      <c r="AK2349" s="313"/>
      <c r="AL2349" s="313"/>
      <c r="AM2349" s="313"/>
      <c r="AN2349" s="313"/>
      <c r="AO2349" s="313"/>
      <c r="AP2349" s="313"/>
      <c r="AQ2349" s="314"/>
      <c r="AR2349" s="315" t="str">
        <f t="shared" si="73"/>
        <v/>
      </c>
    </row>
    <row r="2350" spans="37:44" ht="30" hidden="1" customHeight="1" x14ac:dyDescent="0.25">
      <c r="AK2350" s="313"/>
      <c r="AL2350" s="313"/>
      <c r="AM2350" s="313"/>
      <c r="AN2350" s="313"/>
      <c r="AO2350" s="313"/>
      <c r="AP2350" s="313"/>
      <c r="AQ2350" s="314"/>
      <c r="AR2350" s="315" t="str">
        <f t="shared" si="73"/>
        <v/>
      </c>
    </row>
    <row r="2351" spans="37:44" ht="30" hidden="1" customHeight="1" x14ac:dyDescent="0.25">
      <c r="AK2351" s="313"/>
      <c r="AL2351" s="313"/>
      <c r="AM2351" s="313"/>
      <c r="AN2351" s="313"/>
      <c r="AO2351" s="313"/>
      <c r="AP2351" s="313"/>
      <c r="AQ2351" s="314"/>
      <c r="AR2351" s="315" t="str">
        <f t="shared" si="73"/>
        <v/>
      </c>
    </row>
    <row r="2352" spans="37:44" ht="30" hidden="1" customHeight="1" x14ac:dyDescent="0.25">
      <c r="AK2352" s="313"/>
      <c r="AL2352" s="313"/>
      <c r="AM2352" s="313"/>
      <c r="AN2352" s="313"/>
      <c r="AO2352" s="313"/>
      <c r="AP2352" s="313"/>
      <c r="AQ2352" s="314"/>
      <c r="AR2352" s="315" t="str">
        <f t="shared" si="73"/>
        <v/>
      </c>
    </row>
    <row r="2353" spans="37:44" ht="30" hidden="1" customHeight="1" x14ac:dyDescent="0.25">
      <c r="AK2353" s="313"/>
      <c r="AL2353" s="313"/>
      <c r="AM2353" s="313"/>
      <c r="AN2353" s="313"/>
      <c r="AO2353" s="313"/>
      <c r="AP2353" s="313"/>
      <c r="AQ2353" s="314"/>
      <c r="AR2353" s="315" t="str">
        <f t="shared" si="73"/>
        <v/>
      </c>
    </row>
    <row r="2354" spans="37:44" ht="30" hidden="1" customHeight="1" x14ac:dyDescent="0.25">
      <c r="AK2354" s="313"/>
      <c r="AL2354" s="313"/>
      <c r="AM2354" s="313"/>
      <c r="AN2354" s="313"/>
      <c r="AO2354" s="313"/>
      <c r="AP2354" s="313"/>
      <c r="AQ2354" s="314"/>
      <c r="AR2354" s="315" t="str">
        <f t="shared" si="73"/>
        <v/>
      </c>
    </row>
    <row r="2355" spans="37:44" ht="30" hidden="1" customHeight="1" x14ac:dyDescent="0.25">
      <c r="AK2355" s="313"/>
      <c r="AL2355" s="313"/>
      <c r="AM2355" s="313"/>
      <c r="AN2355" s="313"/>
      <c r="AO2355" s="313"/>
      <c r="AP2355" s="313"/>
      <c r="AQ2355" s="314"/>
      <c r="AR2355" s="315" t="str">
        <f t="shared" si="73"/>
        <v/>
      </c>
    </row>
    <row r="2356" spans="37:44" ht="30" hidden="1" customHeight="1" x14ac:dyDescent="0.25">
      <c r="AK2356" s="313"/>
      <c r="AL2356" s="313"/>
      <c r="AM2356" s="313"/>
      <c r="AN2356" s="313"/>
      <c r="AO2356" s="313"/>
      <c r="AP2356" s="313"/>
      <c r="AQ2356" s="314"/>
      <c r="AR2356" s="315" t="str">
        <f t="shared" si="73"/>
        <v/>
      </c>
    </row>
    <row r="2357" spans="37:44" ht="30" hidden="1" customHeight="1" x14ac:dyDescent="0.25">
      <c r="AK2357" s="313"/>
      <c r="AL2357" s="313"/>
      <c r="AM2357" s="313"/>
      <c r="AN2357" s="313"/>
      <c r="AO2357" s="313"/>
      <c r="AP2357" s="313"/>
      <c r="AQ2357" s="314"/>
      <c r="AR2357" s="315" t="str">
        <f t="shared" si="73"/>
        <v/>
      </c>
    </row>
    <row r="2358" spans="37:44" ht="30" hidden="1" customHeight="1" x14ac:dyDescent="0.25">
      <c r="AK2358" s="313"/>
      <c r="AL2358" s="313"/>
      <c r="AM2358" s="313"/>
      <c r="AN2358" s="313"/>
      <c r="AO2358" s="313"/>
      <c r="AP2358" s="313"/>
      <c r="AQ2358" s="314"/>
      <c r="AR2358" s="315" t="str">
        <f t="shared" si="73"/>
        <v/>
      </c>
    </row>
    <row r="2359" spans="37:44" ht="30" hidden="1" customHeight="1" x14ac:dyDescent="0.25">
      <c r="AK2359" s="313"/>
      <c r="AL2359" s="313"/>
      <c r="AM2359" s="313"/>
      <c r="AN2359" s="313"/>
      <c r="AO2359" s="313"/>
      <c r="AP2359" s="313"/>
      <c r="AQ2359" s="314"/>
      <c r="AR2359" s="315" t="str">
        <f t="shared" si="73"/>
        <v/>
      </c>
    </row>
    <row r="2360" spans="37:44" ht="30" hidden="1" customHeight="1" x14ac:dyDescent="0.25">
      <c r="AK2360" s="313"/>
      <c r="AL2360" s="313"/>
      <c r="AM2360" s="313"/>
      <c r="AN2360" s="313"/>
      <c r="AO2360" s="313"/>
      <c r="AP2360" s="313"/>
      <c r="AQ2360" s="314"/>
      <c r="AR2360" s="315" t="str">
        <f t="shared" si="73"/>
        <v/>
      </c>
    </row>
    <row r="2361" spans="37:44" ht="30" hidden="1" customHeight="1" x14ac:dyDescent="0.25">
      <c r="AK2361" s="313"/>
      <c r="AL2361" s="313"/>
      <c r="AM2361" s="313"/>
      <c r="AN2361" s="313"/>
      <c r="AO2361" s="313"/>
      <c r="AP2361" s="313"/>
      <c r="AQ2361" s="314"/>
      <c r="AR2361" s="315" t="str">
        <f t="shared" si="73"/>
        <v/>
      </c>
    </row>
    <row r="2362" spans="37:44" ht="30" hidden="1" customHeight="1" x14ac:dyDescent="0.25">
      <c r="AK2362" s="313"/>
      <c r="AL2362" s="313"/>
      <c r="AM2362" s="313"/>
      <c r="AN2362" s="313"/>
      <c r="AO2362" s="313"/>
      <c r="AP2362" s="313"/>
      <c r="AQ2362" s="314"/>
      <c r="AR2362" s="315" t="str">
        <f t="shared" si="73"/>
        <v/>
      </c>
    </row>
    <row r="2363" spans="37:44" ht="30" hidden="1" customHeight="1" x14ac:dyDescent="0.25">
      <c r="AK2363" s="313"/>
      <c r="AL2363" s="313"/>
      <c r="AM2363" s="313"/>
      <c r="AN2363" s="313"/>
      <c r="AO2363" s="313"/>
      <c r="AP2363" s="313"/>
      <c r="AQ2363" s="314"/>
      <c r="AR2363" s="315" t="str">
        <f t="shared" si="73"/>
        <v/>
      </c>
    </row>
    <row r="2364" spans="37:44" ht="30" hidden="1" customHeight="1" x14ac:dyDescent="0.25">
      <c r="AK2364" s="313"/>
      <c r="AL2364" s="313"/>
      <c r="AM2364" s="313"/>
      <c r="AN2364" s="313"/>
      <c r="AO2364" s="313"/>
      <c r="AP2364" s="313"/>
      <c r="AQ2364" s="314"/>
      <c r="AR2364" s="315" t="str">
        <f t="shared" si="73"/>
        <v/>
      </c>
    </row>
    <row r="2365" spans="37:44" ht="30" hidden="1" customHeight="1" x14ac:dyDescent="0.25">
      <c r="AK2365" s="313"/>
      <c r="AL2365" s="313"/>
      <c r="AM2365" s="313"/>
      <c r="AN2365" s="313"/>
      <c r="AO2365" s="313"/>
      <c r="AP2365" s="313"/>
      <c r="AQ2365" s="314"/>
      <c r="AR2365" s="315" t="str">
        <f t="shared" si="73"/>
        <v/>
      </c>
    </row>
    <row r="2366" spans="37:44" ht="30" hidden="1" customHeight="1" x14ac:dyDescent="0.25">
      <c r="AK2366" s="313"/>
      <c r="AL2366" s="313"/>
      <c r="AM2366" s="313"/>
      <c r="AN2366" s="313"/>
      <c r="AO2366" s="313"/>
      <c r="AP2366" s="313"/>
      <c r="AQ2366" s="314"/>
      <c r="AR2366" s="315" t="str">
        <f t="shared" si="73"/>
        <v/>
      </c>
    </row>
    <row r="2367" spans="37:44" ht="30" hidden="1" customHeight="1" x14ac:dyDescent="0.25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74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 x14ac:dyDescent="0.25">
      <c r="AK2368" s="313"/>
      <c r="AL2368" s="313"/>
      <c r="AM2368" s="313"/>
      <c r="AN2368" s="313"/>
      <c r="AO2368" s="313"/>
      <c r="AP2368" s="313"/>
      <c r="AQ2368" s="314"/>
      <c r="AR2368" s="315" t="str">
        <f t="shared" si="74"/>
        <v/>
      </c>
    </row>
    <row r="2369" spans="37:44" ht="30" hidden="1" customHeight="1" x14ac:dyDescent="0.25">
      <c r="AK2369" s="313"/>
      <c r="AL2369" s="313"/>
      <c r="AM2369" s="313"/>
      <c r="AN2369" s="313"/>
      <c r="AO2369" s="313"/>
      <c r="AP2369" s="313"/>
      <c r="AQ2369" s="314"/>
      <c r="AR2369" s="315" t="str">
        <f t="shared" si="74"/>
        <v/>
      </c>
    </row>
    <row r="2370" spans="37:44" ht="30" hidden="1" customHeight="1" x14ac:dyDescent="0.25">
      <c r="AK2370" s="313"/>
      <c r="AL2370" s="313"/>
      <c r="AM2370" s="313"/>
      <c r="AN2370" s="313"/>
      <c r="AO2370" s="313"/>
      <c r="AP2370" s="313"/>
      <c r="AQ2370" s="314"/>
      <c r="AR2370" s="315" t="str">
        <f t="shared" si="74"/>
        <v/>
      </c>
    </row>
    <row r="2371" spans="37:44" ht="30" hidden="1" customHeight="1" x14ac:dyDescent="0.25">
      <c r="AK2371" s="313"/>
      <c r="AL2371" s="313"/>
      <c r="AM2371" s="313"/>
      <c r="AN2371" s="313"/>
      <c r="AO2371" s="313"/>
      <c r="AP2371" s="313"/>
      <c r="AQ2371" s="314"/>
      <c r="AR2371" s="315" t="str">
        <f t="shared" si="74"/>
        <v/>
      </c>
    </row>
    <row r="2372" spans="37:44" ht="30" hidden="1" customHeight="1" x14ac:dyDescent="0.25">
      <c r="AK2372" s="313"/>
      <c r="AL2372" s="313"/>
      <c r="AM2372" s="313"/>
      <c r="AN2372" s="313"/>
      <c r="AO2372" s="313"/>
      <c r="AP2372" s="313"/>
      <c r="AQ2372" s="314"/>
      <c r="AR2372" s="315" t="str">
        <f t="shared" si="74"/>
        <v/>
      </c>
    </row>
    <row r="2373" spans="37:44" ht="30" hidden="1" customHeight="1" x14ac:dyDescent="0.25">
      <c r="AK2373" s="313"/>
      <c r="AL2373" s="313"/>
      <c r="AM2373" s="313"/>
      <c r="AN2373" s="313"/>
      <c r="AO2373" s="313"/>
      <c r="AP2373" s="313"/>
      <c r="AQ2373" s="314"/>
      <c r="AR2373" s="315" t="str">
        <f t="shared" si="74"/>
        <v/>
      </c>
    </row>
    <row r="2374" spans="37:44" ht="30" hidden="1" customHeight="1" x14ac:dyDescent="0.25">
      <c r="AK2374" s="313"/>
      <c r="AL2374" s="313"/>
      <c r="AM2374" s="313"/>
      <c r="AN2374" s="313"/>
      <c r="AO2374" s="313"/>
      <c r="AP2374" s="313"/>
      <c r="AQ2374" s="314"/>
      <c r="AR2374" s="315" t="str">
        <f t="shared" si="74"/>
        <v/>
      </c>
    </row>
    <row r="2375" spans="37:44" ht="30" hidden="1" customHeight="1" x14ac:dyDescent="0.25">
      <c r="AK2375" s="313"/>
      <c r="AL2375" s="313"/>
      <c r="AM2375" s="313"/>
      <c r="AN2375" s="313"/>
      <c r="AO2375" s="313"/>
      <c r="AP2375" s="313"/>
      <c r="AQ2375" s="314"/>
      <c r="AR2375" s="315" t="str">
        <f t="shared" si="74"/>
        <v/>
      </c>
    </row>
    <row r="2376" spans="37:44" ht="30" hidden="1" customHeight="1" x14ac:dyDescent="0.25">
      <c r="AK2376" s="313"/>
      <c r="AL2376" s="313"/>
      <c r="AM2376" s="313"/>
      <c r="AN2376" s="313"/>
      <c r="AO2376" s="313"/>
      <c r="AP2376" s="313"/>
      <c r="AQ2376" s="314"/>
      <c r="AR2376" s="315" t="str">
        <f t="shared" si="74"/>
        <v/>
      </c>
    </row>
    <row r="2377" spans="37:44" ht="30" hidden="1" customHeight="1" x14ac:dyDescent="0.25">
      <c r="AK2377" s="313"/>
      <c r="AL2377" s="313"/>
      <c r="AM2377" s="313"/>
      <c r="AN2377" s="313"/>
      <c r="AO2377" s="313"/>
      <c r="AP2377" s="313"/>
      <c r="AQ2377" s="314"/>
      <c r="AR2377" s="315" t="str">
        <f t="shared" si="74"/>
        <v/>
      </c>
    </row>
    <row r="2378" spans="37:44" ht="30" hidden="1" customHeight="1" x14ac:dyDescent="0.25">
      <c r="AK2378" s="313"/>
      <c r="AL2378" s="313"/>
      <c r="AM2378" s="313"/>
      <c r="AN2378" s="313"/>
      <c r="AO2378" s="313"/>
      <c r="AP2378" s="313"/>
      <c r="AQ2378" s="314"/>
      <c r="AR2378" s="315" t="str">
        <f t="shared" si="74"/>
        <v/>
      </c>
    </row>
    <row r="2379" spans="37:44" ht="30" hidden="1" customHeight="1" x14ac:dyDescent="0.25">
      <c r="AK2379" s="313"/>
      <c r="AL2379" s="313"/>
      <c r="AM2379" s="313"/>
      <c r="AN2379" s="313"/>
      <c r="AO2379" s="313"/>
      <c r="AP2379" s="313"/>
      <c r="AQ2379" s="314"/>
      <c r="AR2379" s="315" t="str">
        <f t="shared" si="74"/>
        <v/>
      </c>
    </row>
    <row r="2380" spans="37:44" ht="30" hidden="1" customHeight="1" x14ac:dyDescent="0.25">
      <c r="AK2380" s="313"/>
      <c r="AL2380" s="313"/>
      <c r="AM2380" s="313"/>
      <c r="AN2380" s="313"/>
      <c r="AO2380" s="313"/>
      <c r="AP2380" s="313"/>
      <c r="AQ2380" s="314"/>
      <c r="AR2380" s="315" t="str">
        <f t="shared" si="74"/>
        <v/>
      </c>
    </row>
    <row r="2381" spans="37:44" ht="30" hidden="1" customHeight="1" x14ac:dyDescent="0.25">
      <c r="AK2381" s="313"/>
      <c r="AL2381" s="313"/>
      <c r="AM2381" s="313"/>
      <c r="AN2381" s="313"/>
      <c r="AO2381" s="313"/>
      <c r="AP2381" s="313"/>
      <c r="AQ2381" s="314"/>
      <c r="AR2381" s="315" t="str">
        <f t="shared" si="74"/>
        <v/>
      </c>
    </row>
    <row r="2382" spans="37:44" ht="30" hidden="1" customHeight="1" x14ac:dyDescent="0.25">
      <c r="AK2382" s="313"/>
      <c r="AL2382" s="313"/>
      <c r="AM2382" s="313"/>
      <c r="AN2382" s="313"/>
      <c r="AO2382" s="313"/>
      <c r="AP2382" s="313"/>
      <c r="AQ2382" s="314"/>
      <c r="AR2382" s="315" t="str">
        <f t="shared" si="74"/>
        <v/>
      </c>
    </row>
    <row r="2383" spans="37:44" ht="30" hidden="1" customHeight="1" x14ac:dyDescent="0.25">
      <c r="AK2383" s="313"/>
      <c r="AL2383" s="313"/>
      <c r="AM2383" s="313"/>
      <c r="AN2383" s="313"/>
      <c r="AO2383" s="313"/>
      <c r="AP2383" s="313"/>
      <c r="AQ2383" s="314"/>
      <c r="AR2383" s="315" t="str">
        <f t="shared" si="74"/>
        <v/>
      </c>
    </row>
    <row r="2384" spans="37:44" ht="30" hidden="1" customHeight="1" x14ac:dyDescent="0.25">
      <c r="AK2384" s="313"/>
      <c r="AL2384" s="313"/>
      <c r="AM2384" s="313"/>
      <c r="AN2384" s="313"/>
      <c r="AO2384" s="313"/>
      <c r="AP2384" s="313"/>
      <c r="AQ2384" s="314"/>
      <c r="AR2384" s="315" t="str">
        <f t="shared" si="74"/>
        <v/>
      </c>
    </row>
    <row r="2385" spans="37:44" ht="30" hidden="1" customHeight="1" x14ac:dyDescent="0.25">
      <c r="AK2385" s="313"/>
      <c r="AL2385" s="313"/>
      <c r="AM2385" s="313"/>
      <c r="AN2385" s="313"/>
      <c r="AO2385" s="313"/>
      <c r="AP2385" s="313"/>
      <c r="AQ2385" s="314"/>
      <c r="AR2385" s="315" t="str">
        <f t="shared" si="74"/>
        <v/>
      </c>
    </row>
    <row r="2386" spans="37:44" ht="30" hidden="1" customHeight="1" x14ac:dyDescent="0.25">
      <c r="AK2386" s="313"/>
      <c r="AL2386" s="313"/>
      <c r="AM2386" s="313"/>
      <c r="AN2386" s="313"/>
      <c r="AO2386" s="313"/>
      <c r="AP2386" s="313"/>
      <c r="AQ2386" s="314"/>
      <c r="AR2386" s="315" t="str">
        <f t="shared" si="74"/>
        <v/>
      </c>
    </row>
    <row r="2387" spans="37:44" ht="30" hidden="1" customHeight="1" x14ac:dyDescent="0.25">
      <c r="AK2387" s="313"/>
      <c r="AL2387" s="313"/>
      <c r="AM2387" s="313"/>
      <c r="AN2387" s="313"/>
      <c r="AO2387" s="313"/>
      <c r="AP2387" s="313"/>
      <c r="AQ2387" s="314"/>
      <c r="AR2387" s="315" t="str">
        <f t="shared" si="74"/>
        <v/>
      </c>
    </row>
    <row r="2388" spans="37:44" ht="30" hidden="1" customHeight="1" x14ac:dyDescent="0.25">
      <c r="AK2388" s="313"/>
      <c r="AL2388" s="313"/>
      <c r="AM2388" s="313"/>
      <c r="AN2388" s="313"/>
      <c r="AO2388" s="313"/>
      <c r="AP2388" s="313"/>
      <c r="AQ2388" s="314"/>
      <c r="AR2388" s="315" t="str">
        <f t="shared" si="74"/>
        <v/>
      </c>
    </row>
    <row r="2389" spans="37:44" ht="30" hidden="1" customHeight="1" x14ac:dyDescent="0.25">
      <c r="AK2389" s="313"/>
      <c r="AL2389" s="313"/>
      <c r="AM2389" s="313"/>
      <c r="AN2389" s="313"/>
      <c r="AO2389" s="313"/>
      <c r="AP2389" s="313"/>
      <c r="AQ2389" s="314"/>
      <c r="AR2389" s="315" t="str">
        <f t="shared" si="74"/>
        <v/>
      </c>
    </row>
    <row r="2390" spans="37:44" ht="30" hidden="1" customHeight="1" x14ac:dyDescent="0.25">
      <c r="AK2390" s="313"/>
      <c r="AL2390" s="313"/>
      <c r="AM2390" s="313"/>
      <c r="AN2390" s="313"/>
      <c r="AO2390" s="313"/>
      <c r="AP2390" s="313"/>
      <c r="AQ2390" s="314"/>
      <c r="AR2390" s="315" t="str">
        <f t="shared" si="74"/>
        <v/>
      </c>
    </row>
    <row r="2391" spans="37:44" ht="30" hidden="1" customHeight="1" x14ac:dyDescent="0.25">
      <c r="AK2391" s="313"/>
      <c r="AL2391" s="313"/>
      <c r="AM2391" s="313"/>
      <c r="AN2391" s="313"/>
      <c r="AO2391" s="313"/>
      <c r="AP2391" s="313"/>
      <c r="AQ2391" s="314"/>
      <c r="AR2391" s="315" t="str">
        <f t="shared" si="74"/>
        <v/>
      </c>
    </row>
    <row r="2392" spans="37:44" ht="30" hidden="1" customHeight="1" x14ac:dyDescent="0.25">
      <c r="AK2392" s="313"/>
      <c r="AL2392" s="313"/>
      <c r="AM2392" s="313"/>
      <c r="AN2392" s="313"/>
      <c r="AO2392" s="313"/>
      <c r="AP2392" s="313"/>
      <c r="AQ2392" s="314"/>
      <c r="AR2392" s="315" t="str">
        <f t="shared" si="74"/>
        <v/>
      </c>
    </row>
    <row r="2393" spans="37:44" ht="30" hidden="1" customHeight="1" x14ac:dyDescent="0.25">
      <c r="AK2393" s="313"/>
      <c r="AL2393" s="313"/>
      <c r="AM2393" s="313"/>
      <c r="AN2393" s="313"/>
      <c r="AO2393" s="313"/>
      <c r="AP2393" s="313"/>
      <c r="AQ2393" s="314"/>
      <c r="AR2393" s="315" t="str">
        <f t="shared" si="74"/>
        <v/>
      </c>
    </row>
    <row r="2394" spans="37:44" ht="30" hidden="1" customHeight="1" x14ac:dyDescent="0.25">
      <c r="AK2394" s="313"/>
      <c r="AL2394" s="313"/>
      <c r="AM2394" s="313"/>
      <c r="AN2394" s="313"/>
      <c r="AO2394" s="313"/>
      <c r="AP2394" s="313"/>
      <c r="AQ2394" s="314"/>
      <c r="AR2394" s="315" t="str">
        <f t="shared" si="74"/>
        <v/>
      </c>
    </row>
    <row r="2395" spans="37:44" ht="30" hidden="1" customHeight="1" x14ac:dyDescent="0.25">
      <c r="AK2395" s="313"/>
      <c r="AL2395" s="313"/>
      <c r="AM2395" s="313"/>
      <c r="AN2395" s="313"/>
      <c r="AO2395" s="313"/>
      <c r="AP2395" s="313"/>
      <c r="AQ2395" s="314"/>
      <c r="AR2395" s="315" t="str">
        <f t="shared" si="74"/>
        <v/>
      </c>
    </row>
    <row r="2396" spans="37:44" ht="30" hidden="1" customHeight="1" x14ac:dyDescent="0.25">
      <c r="AK2396" s="313"/>
      <c r="AL2396" s="313"/>
      <c r="AM2396" s="313"/>
      <c r="AN2396" s="313"/>
      <c r="AO2396" s="313"/>
      <c r="AP2396" s="313"/>
      <c r="AQ2396" s="314"/>
      <c r="AR2396" s="315" t="str">
        <f t="shared" si="74"/>
        <v/>
      </c>
    </row>
    <row r="2397" spans="37:44" ht="30" hidden="1" customHeight="1" x14ac:dyDescent="0.25">
      <c r="AK2397" s="313"/>
      <c r="AL2397" s="313"/>
      <c r="AM2397" s="313"/>
      <c r="AN2397" s="313"/>
      <c r="AO2397" s="313"/>
      <c r="AP2397" s="313"/>
      <c r="AQ2397" s="314"/>
      <c r="AR2397" s="315" t="str">
        <f t="shared" si="74"/>
        <v/>
      </c>
    </row>
    <row r="2398" spans="37:44" ht="30" hidden="1" customHeight="1" x14ac:dyDescent="0.25">
      <c r="AK2398" s="313"/>
      <c r="AL2398" s="313"/>
      <c r="AM2398" s="313"/>
      <c r="AN2398" s="313"/>
      <c r="AO2398" s="313"/>
      <c r="AP2398" s="313"/>
      <c r="AQ2398" s="314"/>
      <c r="AR2398" s="315" t="str">
        <f t="shared" si="74"/>
        <v/>
      </c>
    </row>
    <row r="2399" spans="37:44" ht="30" hidden="1" customHeight="1" x14ac:dyDescent="0.25">
      <c r="AK2399" s="313"/>
      <c r="AL2399" s="313"/>
      <c r="AM2399" s="313"/>
      <c r="AN2399" s="313"/>
      <c r="AO2399" s="313"/>
      <c r="AP2399" s="313"/>
      <c r="AQ2399" s="314"/>
      <c r="AR2399" s="315" t="str">
        <f t="shared" si="74"/>
        <v/>
      </c>
    </row>
    <row r="2400" spans="37:44" ht="30" hidden="1" customHeight="1" x14ac:dyDescent="0.25">
      <c r="AK2400" s="313"/>
      <c r="AL2400" s="313"/>
      <c r="AM2400" s="313"/>
      <c r="AN2400" s="313"/>
      <c r="AO2400" s="313"/>
      <c r="AP2400" s="313"/>
      <c r="AQ2400" s="314"/>
      <c r="AR2400" s="315" t="str">
        <f t="shared" si="74"/>
        <v/>
      </c>
    </row>
    <row r="2401" spans="37:44" ht="30" hidden="1" customHeight="1" x14ac:dyDescent="0.25">
      <c r="AK2401" s="313"/>
      <c r="AL2401" s="313"/>
      <c r="AM2401" s="313"/>
      <c r="AN2401" s="313"/>
      <c r="AO2401" s="313"/>
      <c r="AP2401" s="313"/>
      <c r="AQ2401" s="314"/>
      <c r="AR2401" s="315" t="str">
        <f t="shared" si="74"/>
        <v/>
      </c>
    </row>
    <row r="2402" spans="37:44" ht="30" hidden="1" customHeight="1" x14ac:dyDescent="0.25">
      <c r="AK2402" s="313"/>
      <c r="AL2402" s="313"/>
      <c r="AM2402" s="313"/>
      <c r="AN2402" s="313"/>
      <c r="AO2402" s="313"/>
      <c r="AP2402" s="313"/>
      <c r="AQ2402" s="314"/>
      <c r="AR2402" s="315" t="str">
        <f t="shared" si="74"/>
        <v/>
      </c>
    </row>
    <row r="2403" spans="37:44" ht="30" hidden="1" customHeight="1" x14ac:dyDescent="0.25">
      <c r="AK2403" s="313"/>
      <c r="AL2403" s="313"/>
      <c r="AM2403" s="313"/>
      <c r="AN2403" s="313"/>
      <c r="AO2403" s="313"/>
      <c r="AP2403" s="313"/>
      <c r="AQ2403" s="314"/>
      <c r="AR2403" s="315" t="str">
        <f t="shared" si="74"/>
        <v/>
      </c>
    </row>
    <row r="2404" spans="37:44" ht="30" hidden="1" customHeight="1" x14ac:dyDescent="0.25">
      <c r="AK2404" s="313"/>
      <c r="AL2404" s="313"/>
      <c r="AM2404" s="313"/>
      <c r="AN2404" s="313"/>
      <c r="AO2404" s="313"/>
      <c r="AP2404" s="313"/>
      <c r="AQ2404" s="314"/>
      <c r="AR2404" s="315" t="str">
        <f t="shared" si="74"/>
        <v/>
      </c>
    </row>
    <row r="2405" spans="37:44" ht="30" hidden="1" customHeight="1" x14ac:dyDescent="0.25">
      <c r="AK2405" s="313"/>
      <c r="AL2405" s="313"/>
      <c r="AM2405" s="313"/>
      <c r="AN2405" s="313"/>
      <c r="AO2405" s="313"/>
      <c r="AP2405" s="313"/>
      <c r="AQ2405" s="314"/>
      <c r="AR2405" s="315" t="str">
        <f t="shared" si="74"/>
        <v/>
      </c>
    </row>
    <row r="2406" spans="37:44" ht="30" hidden="1" customHeight="1" x14ac:dyDescent="0.25">
      <c r="AK2406" s="313"/>
      <c r="AL2406" s="313"/>
      <c r="AM2406" s="313"/>
      <c r="AN2406" s="313"/>
      <c r="AO2406" s="313"/>
      <c r="AP2406" s="313"/>
      <c r="AQ2406" s="314"/>
      <c r="AR2406" s="315" t="str">
        <f t="shared" si="74"/>
        <v/>
      </c>
    </row>
    <row r="2407" spans="37:44" ht="30" hidden="1" customHeight="1" x14ac:dyDescent="0.25">
      <c r="AK2407" s="313"/>
      <c r="AL2407" s="313"/>
      <c r="AM2407" s="313"/>
      <c r="AN2407" s="313"/>
      <c r="AO2407" s="313"/>
      <c r="AP2407" s="313"/>
      <c r="AQ2407" s="314"/>
      <c r="AR2407" s="315" t="str">
        <f t="shared" si="74"/>
        <v/>
      </c>
    </row>
    <row r="2408" spans="37:44" ht="30" hidden="1" customHeight="1" x14ac:dyDescent="0.25">
      <c r="AK2408" s="313"/>
      <c r="AL2408" s="313"/>
      <c r="AM2408" s="313"/>
      <c r="AN2408" s="313"/>
      <c r="AO2408" s="313"/>
      <c r="AP2408" s="313"/>
      <c r="AQ2408" s="314"/>
      <c r="AR2408" s="315" t="str">
        <f t="shared" si="74"/>
        <v/>
      </c>
    </row>
    <row r="2409" spans="37:44" ht="30" hidden="1" customHeight="1" x14ac:dyDescent="0.25">
      <c r="AK2409" s="313"/>
      <c r="AL2409" s="313"/>
      <c r="AM2409" s="313"/>
      <c r="AN2409" s="313"/>
      <c r="AO2409" s="313"/>
      <c r="AP2409" s="313"/>
      <c r="AQ2409" s="314"/>
      <c r="AR2409" s="315" t="str">
        <f t="shared" si="74"/>
        <v/>
      </c>
    </row>
    <row r="2410" spans="37:44" ht="30" hidden="1" customHeight="1" x14ac:dyDescent="0.25">
      <c r="AK2410" s="313"/>
      <c r="AL2410" s="313"/>
      <c r="AM2410" s="313"/>
      <c r="AN2410" s="313"/>
      <c r="AO2410" s="313"/>
      <c r="AP2410" s="313"/>
      <c r="AQ2410" s="314"/>
      <c r="AR2410" s="315" t="str">
        <f t="shared" si="74"/>
        <v/>
      </c>
    </row>
    <row r="2411" spans="37:44" ht="30" hidden="1" customHeight="1" x14ac:dyDescent="0.25">
      <c r="AK2411" s="313"/>
      <c r="AL2411" s="313"/>
      <c r="AM2411" s="313"/>
      <c r="AN2411" s="313"/>
      <c r="AO2411" s="313"/>
      <c r="AP2411" s="313"/>
      <c r="AQ2411" s="314"/>
      <c r="AR2411" s="315" t="str">
        <f t="shared" si="74"/>
        <v/>
      </c>
    </row>
    <row r="2412" spans="37:44" ht="30" hidden="1" customHeight="1" x14ac:dyDescent="0.25">
      <c r="AK2412" s="313"/>
      <c r="AL2412" s="313"/>
      <c r="AM2412" s="313"/>
      <c r="AN2412" s="313"/>
      <c r="AO2412" s="313"/>
      <c r="AP2412" s="313"/>
      <c r="AQ2412" s="314"/>
      <c r="AR2412" s="315" t="str">
        <f t="shared" si="74"/>
        <v/>
      </c>
    </row>
    <row r="2413" spans="37:44" ht="30" hidden="1" customHeight="1" x14ac:dyDescent="0.25">
      <c r="AK2413" s="313"/>
      <c r="AL2413" s="313"/>
      <c r="AM2413" s="313"/>
      <c r="AN2413" s="313"/>
      <c r="AO2413" s="313"/>
      <c r="AP2413" s="313"/>
      <c r="AQ2413" s="314"/>
      <c r="AR2413" s="315" t="str">
        <f t="shared" si="74"/>
        <v/>
      </c>
    </row>
    <row r="2414" spans="37:44" ht="30" hidden="1" customHeight="1" x14ac:dyDescent="0.25">
      <c r="AK2414" s="313"/>
      <c r="AL2414" s="313"/>
      <c r="AM2414" s="313"/>
      <c r="AN2414" s="313"/>
      <c r="AO2414" s="313"/>
      <c r="AP2414" s="313"/>
      <c r="AQ2414" s="314"/>
      <c r="AR2414" s="315" t="str">
        <f t="shared" si="74"/>
        <v/>
      </c>
    </row>
    <row r="2415" spans="37:44" ht="30" hidden="1" customHeight="1" x14ac:dyDescent="0.25">
      <c r="AK2415" s="313"/>
      <c r="AL2415" s="313"/>
      <c r="AM2415" s="313"/>
      <c r="AN2415" s="313"/>
      <c r="AO2415" s="313"/>
      <c r="AP2415" s="313"/>
      <c r="AQ2415" s="314"/>
      <c r="AR2415" s="315" t="str">
        <f t="shared" si="74"/>
        <v/>
      </c>
    </row>
    <row r="2416" spans="37:44" ht="30" hidden="1" customHeight="1" x14ac:dyDescent="0.25">
      <c r="AK2416" s="313"/>
      <c r="AL2416" s="313"/>
      <c r="AM2416" s="313"/>
      <c r="AN2416" s="313"/>
      <c r="AO2416" s="313"/>
      <c r="AP2416" s="313"/>
      <c r="AQ2416" s="314"/>
      <c r="AR2416" s="315" t="str">
        <f t="shared" si="74"/>
        <v/>
      </c>
    </row>
    <row r="2417" spans="37:44" ht="30" hidden="1" customHeight="1" x14ac:dyDescent="0.25">
      <c r="AK2417" s="313"/>
      <c r="AL2417" s="313"/>
      <c r="AM2417" s="313"/>
      <c r="AN2417" s="313"/>
      <c r="AO2417" s="313"/>
      <c r="AP2417" s="313"/>
      <c r="AQ2417" s="314"/>
      <c r="AR2417" s="315" t="str">
        <f t="shared" si="74"/>
        <v/>
      </c>
    </row>
    <row r="2418" spans="37:44" ht="30" hidden="1" customHeight="1" x14ac:dyDescent="0.25">
      <c r="AK2418" s="313"/>
      <c r="AL2418" s="313"/>
      <c r="AM2418" s="313"/>
      <c r="AN2418" s="313"/>
      <c r="AO2418" s="313"/>
      <c r="AP2418" s="313"/>
      <c r="AQ2418" s="314"/>
      <c r="AR2418" s="315" t="str">
        <f t="shared" si="74"/>
        <v/>
      </c>
    </row>
    <row r="2419" spans="37:44" ht="30" hidden="1" customHeight="1" x14ac:dyDescent="0.25">
      <c r="AK2419" s="313"/>
      <c r="AL2419" s="313"/>
      <c r="AM2419" s="313"/>
      <c r="AN2419" s="313"/>
      <c r="AO2419" s="313"/>
      <c r="AP2419" s="313"/>
      <c r="AQ2419" s="314"/>
      <c r="AR2419" s="315" t="str">
        <f t="shared" si="74"/>
        <v/>
      </c>
    </row>
    <row r="2420" spans="37:44" ht="30" hidden="1" customHeight="1" x14ac:dyDescent="0.25">
      <c r="AK2420" s="313"/>
      <c r="AL2420" s="313"/>
      <c r="AM2420" s="313"/>
      <c r="AN2420" s="313"/>
      <c r="AO2420" s="313"/>
      <c r="AP2420" s="313"/>
      <c r="AQ2420" s="314"/>
      <c r="AR2420" s="315" t="str">
        <f t="shared" si="74"/>
        <v/>
      </c>
    </row>
    <row r="2421" spans="37:44" ht="30" hidden="1" customHeight="1" x14ac:dyDescent="0.25">
      <c r="AK2421" s="313"/>
      <c r="AL2421" s="313"/>
      <c r="AM2421" s="313"/>
      <c r="AN2421" s="313"/>
      <c r="AO2421" s="313"/>
      <c r="AP2421" s="313"/>
      <c r="AQ2421" s="314"/>
      <c r="AR2421" s="315" t="str">
        <f t="shared" si="74"/>
        <v/>
      </c>
    </row>
    <row r="2422" spans="37:44" ht="30" hidden="1" customHeight="1" x14ac:dyDescent="0.25">
      <c r="AK2422" s="313"/>
      <c r="AL2422" s="313"/>
      <c r="AM2422" s="313"/>
      <c r="AN2422" s="313"/>
      <c r="AO2422" s="313"/>
      <c r="AP2422" s="313"/>
      <c r="AQ2422" s="314"/>
      <c r="AR2422" s="315" t="str">
        <f t="shared" si="74"/>
        <v/>
      </c>
    </row>
    <row r="2423" spans="37:44" ht="30" hidden="1" customHeight="1" x14ac:dyDescent="0.25">
      <c r="AK2423" s="313"/>
      <c r="AL2423" s="313"/>
      <c r="AM2423" s="313"/>
      <c r="AN2423" s="313"/>
      <c r="AO2423" s="313"/>
      <c r="AP2423" s="313"/>
      <c r="AQ2423" s="314"/>
      <c r="AR2423" s="315" t="str">
        <f t="shared" si="74"/>
        <v/>
      </c>
    </row>
    <row r="2424" spans="37:44" ht="30" hidden="1" customHeight="1" x14ac:dyDescent="0.25">
      <c r="AK2424" s="313"/>
      <c r="AL2424" s="313"/>
      <c r="AM2424" s="313"/>
      <c r="AN2424" s="313"/>
      <c r="AO2424" s="313"/>
      <c r="AP2424" s="313"/>
      <c r="AQ2424" s="314"/>
      <c r="AR2424" s="315" t="str">
        <f t="shared" si="74"/>
        <v/>
      </c>
    </row>
    <row r="2425" spans="37:44" ht="30" hidden="1" customHeight="1" x14ac:dyDescent="0.25">
      <c r="AK2425" s="313"/>
      <c r="AL2425" s="313"/>
      <c r="AM2425" s="313"/>
      <c r="AN2425" s="313"/>
      <c r="AO2425" s="313"/>
      <c r="AP2425" s="313"/>
      <c r="AQ2425" s="314"/>
      <c r="AR2425" s="315" t="str">
        <f t="shared" si="74"/>
        <v/>
      </c>
    </row>
    <row r="2426" spans="37:44" ht="30" hidden="1" customHeight="1" x14ac:dyDescent="0.25">
      <c r="AK2426" s="313"/>
      <c r="AL2426" s="313"/>
      <c r="AM2426" s="313"/>
      <c r="AN2426" s="313"/>
      <c r="AO2426" s="313"/>
      <c r="AP2426" s="313"/>
      <c r="AQ2426" s="314"/>
      <c r="AR2426" s="315" t="str">
        <f t="shared" si="74"/>
        <v/>
      </c>
    </row>
    <row r="2427" spans="37:44" ht="30" hidden="1" customHeight="1" x14ac:dyDescent="0.25">
      <c r="AK2427" s="313"/>
      <c r="AL2427" s="313"/>
      <c r="AM2427" s="313"/>
      <c r="AN2427" s="313"/>
      <c r="AO2427" s="313"/>
      <c r="AP2427" s="313"/>
      <c r="AQ2427" s="314"/>
      <c r="AR2427" s="315" t="str">
        <f t="shared" si="74"/>
        <v/>
      </c>
    </row>
    <row r="2428" spans="37:44" ht="30" hidden="1" customHeight="1" x14ac:dyDescent="0.25">
      <c r="AK2428" s="313"/>
      <c r="AL2428" s="313"/>
      <c r="AM2428" s="313"/>
      <c r="AN2428" s="313"/>
      <c r="AO2428" s="313"/>
      <c r="AP2428" s="313"/>
      <c r="AQ2428" s="314"/>
      <c r="AR2428" s="315" t="str">
        <f t="shared" si="74"/>
        <v/>
      </c>
    </row>
    <row r="2429" spans="37:44" ht="30" hidden="1" customHeight="1" x14ac:dyDescent="0.25">
      <c r="AK2429" s="313"/>
      <c r="AL2429" s="313"/>
      <c r="AM2429" s="313"/>
      <c r="AN2429" s="313"/>
      <c r="AO2429" s="313"/>
      <c r="AP2429" s="313"/>
      <c r="AQ2429" s="314"/>
      <c r="AR2429" s="315" t="str">
        <f t="shared" si="74"/>
        <v/>
      </c>
    </row>
    <row r="2430" spans="37:44" ht="30" hidden="1" customHeight="1" x14ac:dyDescent="0.25">
      <c r="AK2430" s="313"/>
      <c r="AL2430" s="313"/>
      <c r="AM2430" s="313"/>
      <c r="AN2430" s="313"/>
      <c r="AO2430" s="313"/>
      <c r="AP2430" s="313"/>
      <c r="AQ2430" s="314"/>
      <c r="AR2430" s="315" t="str">
        <f t="shared" si="74"/>
        <v/>
      </c>
    </row>
    <row r="2431" spans="37:44" ht="30" hidden="1" customHeight="1" x14ac:dyDescent="0.25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75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 x14ac:dyDescent="0.25">
      <c r="AK2432" s="313"/>
      <c r="AL2432" s="313"/>
      <c r="AM2432" s="313"/>
      <c r="AN2432" s="313"/>
      <c r="AO2432" s="313"/>
      <c r="AP2432" s="313"/>
      <c r="AQ2432" s="314"/>
      <c r="AR2432" s="315" t="str">
        <f t="shared" si="75"/>
        <v/>
      </c>
    </row>
    <row r="2433" spans="37:44" ht="30" hidden="1" customHeight="1" x14ac:dyDescent="0.25">
      <c r="AK2433" s="313"/>
      <c r="AL2433" s="313"/>
      <c r="AM2433" s="313"/>
      <c r="AN2433" s="313"/>
      <c r="AO2433" s="313"/>
      <c r="AP2433" s="313"/>
      <c r="AQ2433" s="314"/>
      <c r="AR2433" s="315" t="str">
        <f t="shared" si="75"/>
        <v/>
      </c>
    </row>
    <row r="2434" spans="37:44" ht="30" hidden="1" customHeight="1" x14ac:dyDescent="0.25">
      <c r="AK2434" s="313"/>
      <c r="AL2434" s="313"/>
      <c r="AM2434" s="313"/>
      <c r="AN2434" s="313"/>
      <c r="AO2434" s="313"/>
      <c r="AP2434" s="313"/>
      <c r="AQ2434" s="314"/>
      <c r="AR2434" s="315" t="str">
        <f t="shared" si="75"/>
        <v/>
      </c>
    </row>
    <row r="2435" spans="37:44" ht="30" hidden="1" customHeight="1" x14ac:dyDescent="0.25">
      <c r="AK2435" s="313"/>
      <c r="AL2435" s="313"/>
      <c r="AM2435" s="313"/>
      <c r="AN2435" s="313"/>
      <c r="AO2435" s="313"/>
      <c r="AP2435" s="313"/>
      <c r="AQ2435" s="314"/>
      <c r="AR2435" s="315" t="str">
        <f t="shared" si="75"/>
        <v/>
      </c>
    </row>
    <row r="2436" spans="37:44" ht="30" hidden="1" customHeight="1" x14ac:dyDescent="0.25">
      <c r="AK2436" s="313"/>
      <c r="AL2436" s="313"/>
      <c r="AM2436" s="313"/>
      <c r="AN2436" s="313"/>
      <c r="AO2436" s="313"/>
      <c r="AP2436" s="313"/>
      <c r="AQ2436" s="314"/>
      <c r="AR2436" s="315" t="str">
        <f t="shared" si="75"/>
        <v/>
      </c>
    </row>
    <row r="2437" spans="37:44" ht="30" hidden="1" customHeight="1" x14ac:dyDescent="0.25">
      <c r="AK2437" s="313"/>
      <c r="AL2437" s="313"/>
      <c r="AM2437" s="313"/>
      <c r="AN2437" s="313"/>
      <c r="AO2437" s="313"/>
      <c r="AP2437" s="313"/>
      <c r="AQ2437" s="314"/>
      <c r="AR2437" s="315" t="str">
        <f t="shared" si="75"/>
        <v/>
      </c>
    </row>
    <row r="2438" spans="37:44" ht="30" hidden="1" customHeight="1" x14ac:dyDescent="0.25">
      <c r="AK2438" s="313"/>
      <c r="AL2438" s="313"/>
      <c r="AM2438" s="313"/>
      <c r="AN2438" s="313"/>
      <c r="AO2438" s="313"/>
      <c r="AP2438" s="313"/>
      <c r="AQ2438" s="314"/>
      <c r="AR2438" s="315" t="str">
        <f t="shared" si="75"/>
        <v/>
      </c>
    </row>
    <row r="2439" spans="37:44" ht="30" hidden="1" customHeight="1" x14ac:dyDescent="0.25">
      <c r="AK2439" s="313"/>
      <c r="AL2439" s="313"/>
      <c r="AM2439" s="313"/>
      <c r="AN2439" s="313"/>
      <c r="AO2439" s="313"/>
      <c r="AP2439" s="313"/>
      <c r="AQ2439" s="314"/>
      <c r="AR2439" s="315" t="str">
        <f t="shared" si="75"/>
        <v/>
      </c>
    </row>
    <row r="2440" spans="37:44" ht="30" hidden="1" customHeight="1" x14ac:dyDescent="0.25">
      <c r="AK2440" s="313"/>
      <c r="AL2440" s="313"/>
      <c r="AM2440" s="313"/>
      <c r="AN2440" s="313"/>
      <c r="AO2440" s="313"/>
      <c r="AP2440" s="313"/>
      <c r="AQ2440" s="314"/>
      <c r="AR2440" s="315" t="str">
        <f t="shared" si="75"/>
        <v/>
      </c>
    </row>
    <row r="2441" spans="37:44" ht="30" hidden="1" customHeight="1" x14ac:dyDescent="0.25">
      <c r="AK2441" s="313"/>
      <c r="AL2441" s="313"/>
      <c r="AM2441" s="313"/>
      <c r="AN2441" s="313"/>
      <c r="AO2441" s="313"/>
      <c r="AP2441" s="313"/>
      <c r="AQ2441" s="314"/>
      <c r="AR2441" s="315" t="str">
        <f t="shared" si="75"/>
        <v/>
      </c>
    </row>
    <row r="2442" spans="37:44" ht="30" hidden="1" customHeight="1" x14ac:dyDescent="0.25">
      <c r="AK2442" s="313"/>
      <c r="AL2442" s="313"/>
      <c r="AM2442" s="313"/>
      <c r="AN2442" s="313"/>
      <c r="AO2442" s="313"/>
      <c r="AP2442" s="313"/>
      <c r="AQ2442" s="314"/>
      <c r="AR2442" s="315" t="str">
        <f t="shared" si="75"/>
        <v/>
      </c>
    </row>
    <row r="2443" spans="37:44" ht="30" hidden="1" customHeight="1" x14ac:dyDescent="0.25">
      <c r="AK2443" s="313"/>
      <c r="AL2443" s="313"/>
      <c r="AM2443" s="313"/>
      <c r="AN2443" s="313"/>
      <c r="AO2443" s="313"/>
      <c r="AP2443" s="313"/>
      <c r="AQ2443" s="314"/>
      <c r="AR2443" s="315" t="str">
        <f t="shared" si="75"/>
        <v/>
      </c>
    </row>
    <row r="2444" spans="37:44" ht="30" hidden="1" customHeight="1" x14ac:dyDescent="0.25">
      <c r="AK2444" s="313"/>
      <c r="AL2444" s="313"/>
      <c r="AM2444" s="313"/>
      <c r="AN2444" s="313"/>
      <c r="AO2444" s="313"/>
      <c r="AP2444" s="313"/>
      <c r="AQ2444" s="314"/>
      <c r="AR2444" s="315" t="str">
        <f t="shared" si="75"/>
        <v/>
      </c>
    </row>
    <row r="2445" spans="37:44" ht="30" hidden="1" customHeight="1" x14ac:dyDescent="0.25">
      <c r="AK2445" s="313"/>
      <c r="AL2445" s="313"/>
      <c r="AM2445" s="313"/>
      <c r="AN2445" s="313"/>
      <c r="AO2445" s="313"/>
      <c r="AP2445" s="313"/>
      <c r="AQ2445" s="314"/>
      <c r="AR2445" s="315" t="str">
        <f t="shared" si="75"/>
        <v/>
      </c>
    </row>
    <row r="2446" spans="37:44" ht="30" hidden="1" customHeight="1" x14ac:dyDescent="0.25">
      <c r="AK2446" s="313"/>
      <c r="AL2446" s="313"/>
      <c r="AM2446" s="313"/>
      <c r="AN2446" s="313"/>
      <c r="AO2446" s="313"/>
      <c r="AP2446" s="313"/>
      <c r="AQ2446" s="314"/>
      <c r="AR2446" s="315" t="str">
        <f t="shared" si="75"/>
        <v/>
      </c>
    </row>
    <row r="2447" spans="37:44" ht="30" hidden="1" customHeight="1" x14ac:dyDescent="0.25">
      <c r="AK2447" s="313"/>
      <c r="AL2447" s="313"/>
      <c r="AM2447" s="313"/>
      <c r="AN2447" s="313"/>
      <c r="AO2447" s="313"/>
      <c r="AP2447" s="313"/>
      <c r="AQ2447" s="314"/>
      <c r="AR2447" s="315" t="str">
        <f t="shared" si="75"/>
        <v/>
      </c>
    </row>
    <row r="2448" spans="37:44" ht="30" hidden="1" customHeight="1" x14ac:dyDescent="0.25">
      <c r="AK2448" s="313"/>
      <c r="AL2448" s="313"/>
      <c r="AM2448" s="313"/>
      <c r="AN2448" s="313"/>
      <c r="AO2448" s="313"/>
      <c r="AP2448" s="313"/>
      <c r="AQ2448" s="314"/>
      <c r="AR2448" s="315" t="str">
        <f t="shared" si="75"/>
        <v/>
      </c>
    </row>
    <row r="2449" spans="37:44" ht="30" hidden="1" customHeight="1" x14ac:dyDescent="0.25">
      <c r="AK2449" s="313"/>
      <c r="AL2449" s="313"/>
      <c r="AM2449" s="313"/>
      <c r="AN2449" s="313"/>
      <c r="AO2449" s="313"/>
      <c r="AP2449" s="313"/>
      <c r="AQ2449" s="314"/>
      <c r="AR2449" s="315" t="str">
        <f t="shared" si="75"/>
        <v/>
      </c>
    </row>
    <row r="2450" spans="37:44" ht="30" hidden="1" customHeight="1" x14ac:dyDescent="0.25">
      <c r="AK2450" s="313"/>
      <c r="AL2450" s="313"/>
      <c r="AM2450" s="313"/>
      <c r="AN2450" s="313"/>
      <c r="AO2450" s="313"/>
      <c r="AP2450" s="313"/>
      <c r="AQ2450" s="314"/>
      <c r="AR2450" s="315" t="str">
        <f t="shared" si="75"/>
        <v/>
      </c>
    </row>
    <row r="2451" spans="37:44" ht="30" hidden="1" customHeight="1" x14ac:dyDescent="0.25">
      <c r="AK2451" s="313"/>
      <c r="AL2451" s="313"/>
      <c r="AM2451" s="313"/>
      <c r="AN2451" s="313"/>
      <c r="AO2451" s="313"/>
      <c r="AP2451" s="313"/>
      <c r="AQ2451" s="314"/>
      <c r="AR2451" s="315" t="str">
        <f t="shared" si="75"/>
        <v/>
      </c>
    </row>
    <row r="2452" spans="37:44" ht="30" hidden="1" customHeight="1" x14ac:dyDescent="0.25">
      <c r="AK2452" s="313"/>
      <c r="AL2452" s="313"/>
      <c r="AM2452" s="313"/>
      <c r="AN2452" s="313"/>
      <c r="AO2452" s="313"/>
      <c r="AP2452" s="313"/>
      <c r="AQ2452" s="314"/>
      <c r="AR2452" s="315" t="str">
        <f t="shared" si="75"/>
        <v/>
      </c>
    </row>
    <row r="2453" spans="37:44" ht="30" hidden="1" customHeight="1" x14ac:dyDescent="0.25">
      <c r="AK2453" s="313"/>
      <c r="AL2453" s="313"/>
      <c r="AM2453" s="313"/>
      <c r="AN2453" s="313"/>
      <c r="AO2453" s="313"/>
      <c r="AP2453" s="313"/>
      <c r="AQ2453" s="314"/>
      <c r="AR2453" s="315" t="str">
        <f t="shared" si="75"/>
        <v/>
      </c>
    </row>
    <row r="2454" spans="37:44" ht="30" hidden="1" customHeight="1" x14ac:dyDescent="0.25">
      <c r="AK2454" s="313"/>
      <c r="AL2454" s="313"/>
      <c r="AM2454" s="313"/>
      <c r="AN2454" s="313"/>
      <c r="AO2454" s="313"/>
      <c r="AP2454" s="313"/>
      <c r="AQ2454" s="314"/>
      <c r="AR2454" s="315" t="str">
        <f t="shared" si="75"/>
        <v/>
      </c>
    </row>
    <row r="2455" spans="37:44" ht="30" hidden="1" customHeight="1" x14ac:dyDescent="0.25">
      <c r="AK2455" s="313"/>
      <c r="AL2455" s="313"/>
      <c r="AM2455" s="313"/>
      <c r="AN2455" s="313"/>
      <c r="AO2455" s="313"/>
      <c r="AP2455" s="313"/>
      <c r="AQ2455" s="314"/>
      <c r="AR2455" s="315" t="str">
        <f t="shared" si="75"/>
        <v/>
      </c>
    </row>
    <row r="2456" spans="37:44" ht="30" hidden="1" customHeight="1" x14ac:dyDescent="0.25">
      <c r="AK2456" s="313"/>
      <c r="AL2456" s="313"/>
      <c r="AM2456" s="313"/>
      <c r="AN2456" s="313"/>
      <c r="AO2456" s="313"/>
      <c r="AP2456" s="313"/>
      <c r="AQ2456" s="314"/>
      <c r="AR2456" s="315" t="str">
        <f t="shared" si="75"/>
        <v/>
      </c>
    </row>
    <row r="2457" spans="37:44" ht="30" hidden="1" customHeight="1" x14ac:dyDescent="0.25">
      <c r="AK2457" s="313"/>
      <c r="AL2457" s="313"/>
      <c r="AM2457" s="313"/>
      <c r="AN2457" s="313"/>
      <c r="AO2457" s="313"/>
      <c r="AP2457" s="313"/>
      <c r="AQ2457" s="314"/>
      <c r="AR2457" s="315" t="str">
        <f t="shared" si="75"/>
        <v/>
      </c>
    </row>
    <row r="2458" spans="37:44" ht="30" hidden="1" customHeight="1" x14ac:dyDescent="0.25">
      <c r="AK2458" s="313"/>
      <c r="AL2458" s="313"/>
      <c r="AM2458" s="313"/>
      <c r="AN2458" s="313"/>
      <c r="AO2458" s="313"/>
      <c r="AP2458" s="313"/>
      <c r="AQ2458" s="314"/>
      <c r="AR2458" s="315" t="str">
        <f t="shared" si="75"/>
        <v/>
      </c>
    </row>
    <row r="2459" spans="37:44" ht="30" hidden="1" customHeight="1" x14ac:dyDescent="0.25">
      <c r="AK2459" s="313"/>
      <c r="AL2459" s="313"/>
      <c r="AM2459" s="313"/>
      <c r="AN2459" s="313"/>
      <c r="AO2459" s="313"/>
      <c r="AP2459" s="313"/>
      <c r="AQ2459" s="314"/>
      <c r="AR2459" s="315" t="str">
        <f t="shared" si="75"/>
        <v/>
      </c>
    </row>
    <row r="2460" spans="37:44" ht="30" hidden="1" customHeight="1" x14ac:dyDescent="0.25">
      <c r="AK2460" s="313"/>
      <c r="AL2460" s="313"/>
      <c r="AM2460" s="313"/>
      <c r="AN2460" s="313"/>
      <c r="AO2460" s="313"/>
      <c r="AP2460" s="313"/>
      <c r="AQ2460" s="314"/>
      <c r="AR2460" s="315" t="str">
        <f t="shared" si="75"/>
        <v/>
      </c>
    </row>
    <row r="2461" spans="37:44" ht="30" hidden="1" customHeight="1" x14ac:dyDescent="0.25">
      <c r="AK2461" s="313"/>
      <c r="AL2461" s="313"/>
      <c r="AM2461" s="313"/>
      <c r="AN2461" s="313"/>
      <c r="AO2461" s="313"/>
      <c r="AP2461" s="313"/>
      <c r="AQ2461" s="314"/>
      <c r="AR2461" s="315" t="str">
        <f t="shared" si="75"/>
        <v/>
      </c>
    </row>
    <row r="2462" spans="37:44" ht="30" hidden="1" customHeight="1" x14ac:dyDescent="0.25">
      <c r="AK2462" s="313"/>
      <c r="AL2462" s="313"/>
      <c r="AM2462" s="313"/>
      <c r="AN2462" s="313"/>
      <c r="AO2462" s="313"/>
      <c r="AP2462" s="313"/>
      <c r="AQ2462" s="314"/>
      <c r="AR2462" s="315" t="str">
        <f t="shared" si="75"/>
        <v/>
      </c>
    </row>
    <row r="2463" spans="37:44" ht="30" hidden="1" customHeight="1" x14ac:dyDescent="0.25">
      <c r="AK2463" s="313"/>
      <c r="AL2463" s="313"/>
      <c r="AM2463" s="313"/>
      <c r="AN2463" s="313"/>
      <c r="AO2463" s="313"/>
      <c r="AP2463" s="313"/>
      <c r="AQ2463" s="314"/>
      <c r="AR2463" s="315" t="str">
        <f t="shared" si="75"/>
        <v/>
      </c>
    </row>
    <row r="2464" spans="37:44" ht="30" hidden="1" customHeight="1" x14ac:dyDescent="0.25">
      <c r="AK2464" s="313"/>
      <c r="AL2464" s="313"/>
      <c r="AM2464" s="313"/>
      <c r="AN2464" s="313"/>
      <c r="AO2464" s="313"/>
      <c r="AP2464" s="313"/>
      <c r="AQ2464" s="314"/>
      <c r="AR2464" s="315" t="str">
        <f t="shared" si="75"/>
        <v/>
      </c>
    </row>
    <row r="2465" spans="37:44" ht="30" hidden="1" customHeight="1" x14ac:dyDescent="0.25">
      <c r="AK2465" s="313"/>
      <c r="AL2465" s="313"/>
      <c r="AM2465" s="313"/>
      <c r="AN2465" s="313"/>
      <c r="AO2465" s="313"/>
      <c r="AP2465" s="313"/>
      <c r="AQ2465" s="314"/>
      <c r="AR2465" s="315" t="str">
        <f t="shared" si="75"/>
        <v/>
      </c>
    </row>
    <row r="2466" spans="37:44" ht="30" hidden="1" customHeight="1" x14ac:dyDescent="0.25">
      <c r="AK2466" s="313"/>
      <c r="AL2466" s="313"/>
      <c r="AM2466" s="313"/>
      <c r="AN2466" s="313"/>
      <c r="AO2466" s="313"/>
      <c r="AP2466" s="313"/>
      <c r="AQ2466" s="314"/>
      <c r="AR2466" s="315" t="str">
        <f t="shared" si="75"/>
        <v/>
      </c>
    </row>
    <row r="2467" spans="37:44" ht="30" hidden="1" customHeight="1" x14ac:dyDescent="0.25">
      <c r="AK2467" s="313"/>
      <c r="AL2467" s="313"/>
      <c r="AM2467" s="313"/>
      <c r="AN2467" s="313"/>
      <c r="AO2467" s="313"/>
      <c r="AP2467" s="313"/>
      <c r="AQ2467" s="314"/>
      <c r="AR2467" s="315" t="str">
        <f t="shared" si="75"/>
        <v/>
      </c>
    </row>
    <row r="2468" spans="37:44" ht="30" hidden="1" customHeight="1" x14ac:dyDescent="0.25">
      <c r="AK2468" s="313"/>
      <c r="AL2468" s="313"/>
      <c r="AM2468" s="313"/>
      <c r="AN2468" s="313"/>
      <c r="AO2468" s="313"/>
      <c r="AP2468" s="313"/>
      <c r="AQ2468" s="314"/>
      <c r="AR2468" s="315" t="str">
        <f t="shared" si="75"/>
        <v/>
      </c>
    </row>
    <row r="2469" spans="37:44" ht="30" hidden="1" customHeight="1" x14ac:dyDescent="0.25">
      <c r="AK2469" s="313"/>
      <c r="AL2469" s="313"/>
      <c r="AM2469" s="313"/>
      <c r="AN2469" s="313"/>
      <c r="AO2469" s="313"/>
      <c r="AP2469" s="313"/>
      <c r="AQ2469" s="314"/>
      <c r="AR2469" s="315" t="str">
        <f t="shared" si="75"/>
        <v/>
      </c>
    </row>
    <row r="2470" spans="37:44" ht="30" hidden="1" customHeight="1" x14ac:dyDescent="0.25">
      <c r="AK2470" s="313"/>
      <c r="AL2470" s="313"/>
      <c r="AM2470" s="313"/>
      <c r="AN2470" s="313"/>
      <c r="AO2470" s="313"/>
      <c r="AP2470" s="313"/>
      <c r="AQ2470" s="314"/>
      <c r="AR2470" s="315" t="str">
        <f t="shared" si="75"/>
        <v/>
      </c>
    </row>
    <row r="2471" spans="37:44" ht="30" hidden="1" customHeight="1" x14ac:dyDescent="0.25">
      <c r="AK2471" s="313"/>
      <c r="AL2471" s="313"/>
      <c r="AM2471" s="313"/>
      <c r="AN2471" s="313"/>
      <c r="AO2471" s="313"/>
      <c r="AP2471" s="313"/>
      <c r="AQ2471" s="314"/>
      <c r="AR2471" s="315" t="str">
        <f t="shared" si="75"/>
        <v/>
      </c>
    </row>
    <row r="2472" spans="37:44" ht="30" hidden="1" customHeight="1" x14ac:dyDescent="0.25">
      <c r="AK2472" s="313"/>
      <c r="AL2472" s="313"/>
      <c r="AM2472" s="313"/>
      <c r="AN2472" s="313"/>
      <c r="AO2472" s="313"/>
      <c r="AP2472" s="313"/>
      <c r="AQ2472" s="314"/>
      <c r="AR2472" s="315" t="str">
        <f t="shared" si="75"/>
        <v/>
      </c>
    </row>
    <row r="2473" spans="37:44" ht="30" hidden="1" customHeight="1" x14ac:dyDescent="0.25">
      <c r="AK2473" s="313"/>
      <c r="AL2473" s="313"/>
      <c r="AM2473" s="313"/>
      <c r="AN2473" s="313"/>
      <c r="AO2473" s="313"/>
      <c r="AP2473" s="313"/>
      <c r="AQ2473" s="314"/>
      <c r="AR2473" s="315" t="str">
        <f t="shared" si="75"/>
        <v/>
      </c>
    </row>
    <row r="2474" spans="37:44" ht="30" hidden="1" customHeight="1" x14ac:dyDescent="0.25">
      <c r="AK2474" s="313"/>
      <c r="AL2474" s="313"/>
      <c r="AM2474" s="313"/>
      <c r="AN2474" s="313"/>
      <c r="AO2474" s="313"/>
      <c r="AP2474" s="313"/>
      <c r="AQ2474" s="314"/>
      <c r="AR2474" s="315" t="str">
        <f t="shared" si="75"/>
        <v/>
      </c>
    </row>
    <row r="2475" spans="37:44" ht="30" hidden="1" customHeight="1" x14ac:dyDescent="0.25">
      <c r="AK2475" s="313"/>
      <c r="AL2475" s="313"/>
      <c r="AM2475" s="313"/>
      <c r="AN2475" s="313"/>
      <c r="AO2475" s="313"/>
      <c r="AP2475" s="313"/>
      <c r="AQ2475" s="314"/>
      <c r="AR2475" s="315" t="str">
        <f t="shared" si="75"/>
        <v/>
      </c>
    </row>
    <row r="2476" spans="37:44" ht="30" hidden="1" customHeight="1" x14ac:dyDescent="0.25">
      <c r="AK2476" s="313"/>
      <c r="AL2476" s="313"/>
      <c r="AM2476" s="313"/>
      <c r="AN2476" s="313"/>
      <c r="AO2476" s="313"/>
      <c r="AP2476" s="313"/>
      <c r="AQ2476" s="314"/>
      <c r="AR2476" s="315" t="str">
        <f t="shared" si="75"/>
        <v/>
      </c>
    </row>
    <row r="2477" spans="37:44" ht="30" hidden="1" customHeight="1" x14ac:dyDescent="0.25">
      <c r="AK2477" s="313"/>
      <c r="AL2477" s="313"/>
      <c r="AM2477" s="313"/>
      <c r="AN2477" s="313"/>
      <c r="AO2477" s="313"/>
      <c r="AP2477" s="313"/>
      <c r="AQ2477" s="314"/>
      <c r="AR2477" s="315" t="str">
        <f t="shared" si="75"/>
        <v/>
      </c>
    </row>
    <row r="2478" spans="37:44" ht="30" hidden="1" customHeight="1" x14ac:dyDescent="0.25">
      <c r="AK2478" s="313"/>
      <c r="AL2478" s="313"/>
      <c r="AM2478" s="313"/>
      <c r="AN2478" s="313"/>
      <c r="AO2478" s="313"/>
      <c r="AP2478" s="313"/>
      <c r="AQ2478" s="314"/>
      <c r="AR2478" s="315" t="str">
        <f t="shared" si="75"/>
        <v/>
      </c>
    </row>
    <row r="2479" spans="37:44" ht="30" hidden="1" customHeight="1" x14ac:dyDescent="0.25">
      <c r="AK2479" s="313"/>
      <c r="AL2479" s="313"/>
      <c r="AM2479" s="313"/>
      <c r="AN2479" s="313"/>
      <c r="AO2479" s="313"/>
      <c r="AP2479" s="313"/>
      <c r="AQ2479" s="314"/>
      <c r="AR2479" s="315" t="str">
        <f t="shared" si="75"/>
        <v/>
      </c>
    </row>
    <row r="2480" spans="37:44" ht="30" hidden="1" customHeight="1" x14ac:dyDescent="0.25">
      <c r="AK2480" s="313"/>
      <c r="AL2480" s="313"/>
      <c r="AM2480" s="313"/>
      <c r="AN2480" s="313"/>
      <c r="AO2480" s="313"/>
      <c r="AP2480" s="313"/>
      <c r="AQ2480" s="314"/>
      <c r="AR2480" s="315" t="str">
        <f t="shared" si="75"/>
        <v/>
      </c>
    </row>
    <row r="2481" spans="37:44" ht="30" hidden="1" customHeight="1" x14ac:dyDescent="0.25">
      <c r="AK2481" s="313"/>
      <c r="AL2481" s="313"/>
      <c r="AM2481" s="313"/>
      <c r="AN2481" s="313"/>
      <c r="AO2481" s="313"/>
      <c r="AP2481" s="313"/>
      <c r="AQ2481" s="314"/>
      <c r="AR2481" s="315" t="str">
        <f t="shared" si="75"/>
        <v/>
      </c>
    </row>
    <row r="2482" spans="37:44" ht="30" hidden="1" customHeight="1" x14ac:dyDescent="0.25">
      <c r="AK2482" s="313"/>
      <c r="AL2482" s="313"/>
      <c r="AM2482" s="313"/>
      <c r="AN2482" s="313"/>
      <c r="AO2482" s="313"/>
      <c r="AP2482" s="313"/>
      <c r="AQ2482" s="314"/>
      <c r="AR2482" s="315" t="str">
        <f t="shared" si="75"/>
        <v/>
      </c>
    </row>
    <row r="2483" spans="37:44" ht="30" hidden="1" customHeight="1" x14ac:dyDescent="0.25">
      <c r="AK2483" s="313"/>
      <c r="AL2483" s="313"/>
      <c r="AM2483" s="313"/>
      <c r="AN2483" s="313"/>
      <c r="AO2483" s="313"/>
      <c r="AP2483" s="313"/>
      <c r="AQ2483" s="314"/>
      <c r="AR2483" s="315" t="str">
        <f t="shared" si="75"/>
        <v/>
      </c>
    </row>
    <row r="2484" spans="37:44" ht="30" hidden="1" customHeight="1" x14ac:dyDescent="0.25">
      <c r="AK2484" s="313"/>
      <c r="AL2484" s="313"/>
      <c r="AM2484" s="313"/>
      <c r="AN2484" s="313"/>
      <c r="AO2484" s="313"/>
      <c r="AP2484" s="313"/>
      <c r="AQ2484" s="314"/>
      <c r="AR2484" s="315" t="str">
        <f t="shared" si="75"/>
        <v/>
      </c>
    </row>
    <row r="2485" spans="37:44" ht="30" hidden="1" customHeight="1" x14ac:dyDescent="0.25">
      <c r="AK2485" s="313"/>
      <c r="AL2485" s="313"/>
      <c r="AM2485" s="313"/>
      <c r="AN2485" s="313"/>
      <c r="AO2485" s="313"/>
      <c r="AP2485" s="313"/>
      <c r="AQ2485" s="314"/>
      <c r="AR2485" s="315" t="str">
        <f t="shared" si="75"/>
        <v/>
      </c>
    </row>
    <row r="2486" spans="37:44" ht="30" hidden="1" customHeight="1" x14ac:dyDescent="0.25">
      <c r="AK2486" s="313"/>
      <c r="AL2486" s="313"/>
      <c r="AM2486" s="313"/>
      <c r="AN2486" s="313"/>
      <c r="AO2486" s="313"/>
      <c r="AP2486" s="313"/>
      <c r="AQ2486" s="314"/>
      <c r="AR2486" s="315" t="str">
        <f t="shared" si="75"/>
        <v/>
      </c>
    </row>
    <row r="2487" spans="37:44" ht="30" hidden="1" customHeight="1" x14ac:dyDescent="0.25">
      <c r="AK2487" s="313"/>
      <c r="AL2487" s="313"/>
      <c r="AM2487" s="313"/>
      <c r="AN2487" s="313"/>
      <c r="AO2487" s="313"/>
      <c r="AP2487" s="313"/>
      <c r="AQ2487" s="314"/>
      <c r="AR2487" s="315" t="str">
        <f t="shared" si="75"/>
        <v/>
      </c>
    </row>
    <row r="2488" spans="37:44" ht="30" hidden="1" customHeight="1" x14ac:dyDescent="0.25">
      <c r="AK2488" s="313"/>
      <c r="AL2488" s="313"/>
      <c r="AM2488" s="313"/>
      <c r="AN2488" s="313"/>
      <c r="AO2488" s="313"/>
      <c r="AP2488" s="313"/>
      <c r="AQ2488" s="314"/>
      <c r="AR2488" s="315" t="str">
        <f t="shared" si="75"/>
        <v/>
      </c>
    </row>
    <row r="2489" spans="37:44" ht="30" hidden="1" customHeight="1" x14ac:dyDescent="0.25">
      <c r="AK2489" s="313"/>
      <c r="AL2489" s="313"/>
      <c r="AM2489" s="313"/>
      <c r="AN2489" s="313"/>
      <c r="AO2489" s="313"/>
      <c r="AP2489" s="313"/>
      <c r="AQ2489" s="314"/>
      <c r="AR2489" s="315" t="str">
        <f t="shared" si="75"/>
        <v/>
      </c>
    </row>
    <row r="2490" spans="37:44" ht="30" hidden="1" customHeight="1" x14ac:dyDescent="0.25">
      <c r="AK2490" s="313"/>
      <c r="AL2490" s="313"/>
      <c r="AM2490" s="313"/>
      <c r="AN2490" s="313"/>
      <c r="AO2490" s="313"/>
      <c r="AP2490" s="313"/>
      <c r="AQ2490" s="314"/>
      <c r="AR2490" s="315" t="str">
        <f t="shared" si="75"/>
        <v/>
      </c>
    </row>
    <row r="2491" spans="37:44" ht="30" hidden="1" customHeight="1" x14ac:dyDescent="0.25">
      <c r="AK2491" s="313"/>
      <c r="AL2491" s="313"/>
      <c r="AM2491" s="313"/>
      <c r="AN2491" s="313"/>
      <c r="AO2491" s="313"/>
      <c r="AP2491" s="313"/>
      <c r="AQ2491" s="314"/>
      <c r="AR2491" s="315" t="str">
        <f t="shared" si="75"/>
        <v/>
      </c>
    </row>
    <row r="2492" spans="37:44" ht="30" hidden="1" customHeight="1" x14ac:dyDescent="0.25">
      <c r="AK2492" s="313"/>
      <c r="AL2492" s="313"/>
      <c r="AM2492" s="313"/>
      <c r="AN2492" s="313"/>
      <c r="AO2492" s="313"/>
      <c r="AP2492" s="313"/>
      <c r="AQ2492" s="314"/>
      <c r="AR2492" s="315" t="str">
        <f t="shared" si="75"/>
        <v/>
      </c>
    </row>
    <row r="2493" spans="37:44" ht="30" hidden="1" customHeight="1" x14ac:dyDescent="0.25">
      <c r="AK2493" s="313"/>
      <c r="AL2493" s="313"/>
      <c r="AM2493" s="313"/>
      <c r="AN2493" s="313"/>
      <c r="AO2493" s="313"/>
      <c r="AP2493" s="313"/>
      <c r="AQ2493" s="314"/>
      <c r="AR2493" s="315" t="str">
        <f t="shared" si="75"/>
        <v/>
      </c>
    </row>
    <row r="2494" spans="37:44" ht="30" hidden="1" customHeight="1" x14ac:dyDescent="0.25">
      <c r="AK2494" s="313"/>
      <c r="AL2494" s="313"/>
      <c r="AM2494" s="313"/>
      <c r="AN2494" s="313"/>
      <c r="AO2494" s="313"/>
      <c r="AP2494" s="313"/>
      <c r="AQ2494" s="314"/>
      <c r="AR2494" s="315" t="str">
        <f t="shared" si="75"/>
        <v/>
      </c>
    </row>
    <row r="2495" spans="37:44" ht="30" hidden="1" customHeight="1" x14ac:dyDescent="0.25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76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 x14ac:dyDescent="0.25">
      <c r="AK2496" s="313"/>
      <c r="AL2496" s="313"/>
      <c r="AM2496" s="313"/>
      <c r="AN2496" s="313"/>
      <c r="AO2496" s="313"/>
      <c r="AP2496" s="313"/>
      <c r="AQ2496" s="314"/>
      <c r="AR2496" s="315" t="str">
        <f t="shared" si="76"/>
        <v/>
      </c>
    </row>
    <row r="2497" spans="37:44" ht="30" hidden="1" customHeight="1" x14ac:dyDescent="0.25">
      <c r="AK2497" s="313"/>
      <c r="AL2497" s="313"/>
      <c r="AM2497" s="313"/>
      <c r="AN2497" s="313"/>
      <c r="AO2497" s="313"/>
      <c r="AP2497" s="313"/>
      <c r="AQ2497" s="314"/>
      <c r="AR2497" s="315" t="str">
        <f t="shared" si="76"/>
        <v/>
      </c>
    </row>
    <row r="2498" spans="37:44" ht="30" hidden="1" customHeight="1" x14ac:dyDescent="0.25">
      <c r="AK2498" s="313"/>
      <c r="AL2498" s="313"/>
      <c r="AM2498" s="313"/>
      <c r="AN2498" s="313"/>
      <c r="AO2498" s="313"/>
      <c r="AP2498" s="313"/>
      <c r="AQ2498" s="314"/>
      <c r="AR2498" s="315" t="str">
        <f t="shared" si="76"/>
        <v/>
      </c>
    </row>
    <row r="2499" spans="37:44" ht="30" hidden="1" customHeight="1" x14ac:dyDescent="0.25">
      <c r="AK2499" s="313"/>
      <c r="AL2499" s="313"/>
      <c r="AM2499" s="313"/>
      <c r="AN2499" s="313"/>
      <c r="AO2499" s="313"/>
      <c r="AP2499" s="313"/>
      <c r="AQ2499" s="314"/>
      <c r="AR2499" s="315" t="str">
        <f t="shared" si="76"/>
        <v/>
      </c>
    </row>
    <row r="2500" spans="37:44" ht="30" hidden="1" customHeight="1" x14ac:dyDescent="0.25">
      <c r="AK2500" s="313"/>
      <c r="AL2500" s="313"/>
      <c r="AM2500" s="313"/>
      <c r="AN2500" s="313"/>
      <c r="AO2500" s="313"/>
      <c r="AP2500" s="313"/>
      <c r="AQ2500" s="314"/>
      <c r="AR2500" s="315" t="str">
        <f t="shared" si="76"/>
        <v/>
      </c>
    </row>
    <row r="2501" spans="37:44" ht="30" hidden="1" customHeight="1" x14ac:dyDescent="0.25">
      <c r="AK2501" s="313"/>
      <c r="AL2501" s="313"/>
      <c r="AM2501" s="313"/>
      <c r="AN2501" s="313"/>
      <c r="AO2501" s="313"/>
      <c r="AP2501" s="313"/>
      <c r="AQ2501" s="314"/>
      <c r="AR2501" s="315" t="str">
        <f t="shared" si="76"/>
        <v/>
      </c>
    </row>
    <row r="2502" spans="37:44" ht="30" hidden="1" customHeight="1" x14ac:dyDescent="0.25">
      <c r="AK2502" s="313"/>
      <c r="AL2502" s="313"/>
      <c r="AM2502" s="313"/>
      <c r="AN2502" s="313"/>
      <c r="AO2502" s="313"/>
      <c r="AP2502" s="313"/>
      <c r="AQ2502" s="314"/>
      <c r="AR2502" s="315" t="str">
        <f t="shared" si="76"/>
        <v/>
      </c>
    </row>
    <row r="2503" spans="37:44" ht="30" hidden="1" customHeight="1" x14ac:dyDescent="0.25">
      <c r="AK2503" s="313"/>
      <c r="AL2503" s="313"/>
      <c r="AM2503" s="313"/>
      <c r="AN2503" s="313"/>
      <c r="AO2503" s="313"/>
      <c r="AP2503" s="313"/>
      <c r="AQ2503" s="314"/>
      <c r="AR2503" s="315" t="str">
        <f t="shared" si="76"/>
        <v/>
      </c>
    </row>
    <row r="2504" spans="37:44" ht="30" hidden="1" customHeight="1" x14ac:dyDescent="0.25">
      <c r="AK2504" s="313"/>
      <c r="AL2504" s="313"/>
      <c r="AM2504" s="313"/>
      <c r="AN2504" s="313"/>
      <c r="AO2504" s="313"/>
      <c r="AP2504" s="313"/>
      <c r="AQ2504" s="314"/>
      <c r="AR2504" s="315" t="str">
        <f t="shared" si="76"/>
        <v/>
      </c>
    </row>
    <row r="2505" spans="37:44" ht="30" hidden="1" customHeight="1" x14ac:dyDescent="0.25">
      <c r="AK2505" s="313"/>
      <c r="AL2505" s="313"/>
      <c r="AM2505" s="313"/>
      <c r="AN2505" s="313"/>
      <c r="AO2505" s="313"/>
      <c r="AP2505" s="313"/>
      <c r="AQ2505" s="314"/>
      <c r="AR2505" s="315" t="str">
        <f t="shared" si="76"/>
        <v/>
      </c>
    </row>
    <row r="2506" spans="37:44" ht="30" hidden="1" customHeight="1" x14ac:dyDescent="0.25">
      <c r="AK2506" s="313"/>
      <c r="AL2506" s="313"/>
      <c r="AM2506" s="313"/>
      <c r="AN2506" s="313"/>
      <c r="AO2506" s="313"/>
      <c r="AP2506" s="313"/>
      <c r="AQ2506" s="314"/>
      <c r="AR2506" s="315" t="str">
        <f t="shared" si="76"/>
        <v/>
      </c>
    </row>
    <row r="2507" spans="37:44" ht="30" hidden="1" customHeight="1" x14ac:dyDescent="0.25">
      <c r="AK2507" s="313"/>
      <c r="AL2507" s="313"/>
      <c r="AM2507" s="313"/>
      <c r="AN2507" s="313"/>
      <c r="AO2507" s="313"/>
      <c r="AP2507" s="313"/>
      <c r="AQ2507" s="314"/>
      <c r="AR2507" s="315" t="str">
        <f t="shared" si="76"/>
        <v/>
      </c>
    </row>
    <row r="2508" spans="37:44" ht="30" hidden="1" customHeight="1" x14ac:dyDescent="0.25">
      <c r="AK2508" s="313"/>
      <c r="AL2508" s="313"/>
      <c r="AM2508" s="313"/>
      <c r="AN2508" s="313"/>
      <c r="AO2508" s="313"/>
      <c r="AP2508" s="313"/>
      <c r="AQ2508" s="314"/>
      <c r="AR2508" s="315" t="str">
        <f t="shared" si="76"/>
        <v/>
      </c>
    </row>
    <row r="2509" spans="37:44" ht="30" hidden="1" customHeight="1" x14ac:dyDescent="0.25">
      <c r="AK2509" s="313"/>
      <c r="AL2509" s="313"/>
      <c r="AM2509" s="313"/>
      <c r="AN2509" s="313"/>
      <c r="AO2509" s="313"/>
      <c r="AP2509" s="313"/>
      <c r="AQ2509" s="314"/>
      <c r="AR2509" s="315" t="str">
        <f t="shared" si="76"/>
        <v/>
      </c>
    </row>
    <row r="2510" spans="37:44" ht="30" hidden="1" customHeight="1" x14ac:dyDescent="0.25">
      <c r="AK2510" s="313"/>
      <c r="AL2510" s="313"/>
      <c r="AM2510" s="313"/>
      <c r="AN2510" s="313"/>
      <c r="AO2510" s="313"/>
      <c r="AP2510" s="313"/>
      <c r="AQ2510" s="314"/>
      <c r="AR2510" s="315" t="str">
        <f t="shared" si="76"/>
        <v/>
      </c>
    </row>
    <row r="2511" spans="37:44" ht="30" hidden="1" customHeight="1" x14ac:dyDescent="0.25">
      <c r="AK2511" s="313"/>
      <c r="AL2511" s="313"/>
      <c r="AM2511" s="313"/>
      <c r="AN2511" s="313"/>
      <c r="AO2511" s="313"/>
      <c r="AP2511" s="313"/>
      <c r="AQ2511" s="314"/>
      <c r="AR2511" s="315" t="str">
        <f t="shared" si="76"/>
        <v/>
      </c>
    </row>
    <row r="2512" spans="37:44" ht="30" hidden="1" customHeight="1" x14ac:dyDescent="0.25">
      <c r="AK2512" s="313"/>
      <c r="AL2512" s="313"/>
      <c r="AM2512" s="313"/>
      <c r="AN2512" s="313"/>
      <c r="AO2512" s="313"/>
      <c r="AP2512" s="313"/>
      <c r="AQ2512" s="314"/>
      <c r="AR2512" s="315" t="str">
        <f t="shared" si="76"/>
        <v/>
      </c>
    </row>
    <row r="2513" spans="37:44" ht="30" hidden="1" customHeight="1" x14ac:dyDescent="0.25">
      <c r="AK2513" s="313"/>
      <c r="AL2513" s="313"/>
      <c r="AM2513" s="313"/>
      <c r="AN2513" s="313"/>
      <c r="AO2513" s="313"/>
      <c r="AP2513" s="313"/>
      <c r="AQ2513" s="314"/>
      <c r="AR2513" s="315" t="str">
        <f t="shared" si="76"/>
        <v/>
      </c>
    </row>
    <row r="2514" spans="37:44" ht="30" hidden="1" customHeight="1" x14ac:dyDescent="0.25">
      <c r="AK2514" s="313"/>
      <c r="AL2514" s="313"/>
      <c r="AM2514" s="313"/>
      <c r="AN2514" s="313"/>
      <c r="AO2514" s="313"/>
      <c r="AP2514" s="313"/>
      <c r="AQ2514" s="314"/>
      <c r="AR2514" s="315" t="str">
        <f t="shared" si="76"/>
        <v/>
      </c>
    </row>
    <row r="2515" spans="37:44" ht="30" hidden="1" customHeight="1" x14ac:dyDescent="0.25">
      <c r="AK2515" s="313"/>
      <c r="AL2515" s="313"/>
      <c r="AM2515" s="313"/>
      <c r="AN2515" s="313"/>
      <c r="AO2515" s="313"/>
      <c r="AP2515" s="313"/>
      <c r="AQ2515" s="314"/>
      <c r="AR2515" s="315" t="str">
        <f t="shared" si="76"/>
        <v/>
      </c>
    </row>
    <row r="2516" spans="37:44" ht="30" hidden="1" customHeight="1" x14ac:dyDescent="0.25">
      <c r="AK2516" s="313"/>
      <c r="AL2516" s="313"/>
      <c r="AM2516" s="313"/>
      <c r="AN2516" s="313"/>
      <c r="AO2516" s="313"/>
      <c r="AP2516" s="313"/>
      <c r="AQ2516" s="314"/>
      <c r="AR2516" s="315" t="str">
        <f t="shared" si="76"/>
        <v/>
      </c>
    </row>
    <row r="2517" spans="37:44" ht="30" hidden="1" customHeight="1" x14ac:dyDescent="0.25">
      <c r="AK2517" s="313"/>
      <c r="AL2517" s="313"/>
      <c r="AM2517" s="313"/>
      <c r="AN2517" s="313"/>
      <c r="AO2517" s="313"/>
      <c r="AP2517" s="313"/>
      <c r="AQ2517" s="314"/>
      <c r="AR2517" s="315" t="str">
        <f t="shared" si="76"/>
        <v/>
      </c>
    </row>
    <row r="2518" spans="37:44" ht="30" hidden="1" customHeight="1" x14ac:dyDescent="0.25">
      <c r="AK2518" s="313"/>
      <c r="AL2518" s="313"/>
      <c r="AM2518" s="313"/>
      <c r="AN2518" s="313"/>
      <c r="AO2518" s="313"/>
      <c r="AP2518" s="313"/>
      <c r="AQ2518" s="314"/>
      <c r="AR2518" s="315" t="str">
        <f t="shared" si="76"/>
        <v/>
      </c>
    </row>
    <row r="2519" spans="37:44" ht="30" hidden="1" customHeight="1" x14ac:dyDescent="0.25">
      <c r="AK2519" s="313"/>
      <c r="AL2519" s="313"/>
      <c r="AM2519" s="313"/>
      <c r="AN2519" s="313"/>
      <c r="AO2519" s="313"/>
      <c r="AP2519" s="313"/>
      <c r="AQ2519" s="314"/>
      <c r="AR2519" s="315" t="str">
        <f t="shared" si="76"/>
        <v/>
      </c>
    </row>
    <row r="2520" spans="37:44" ht="30" hidden="1" customHeight="1" x14ac:dyDescent="0.25">
      <c r="AK2520" s="313"/>
      <c r="AL2520" s="313"/>
      <c r="AM2520" s="313"/>
      <c r="AN2520" s="313"/>
      <c r="AO2520" s="313"/>
      <c r="AP2520" s="313"/>
      <c r="AQ2520" s="314"/>
      <c r="AR2520" s="315" t="str">
        <f t="shared" si="76"/>
        <v/>
      </c>
    </row>
    <row r="2521" spans="37:44" ht="30" hidden="1" customHeight="1" x14ac:dyDescent="0.25">
      <c r="AK2521" s="313"/>
      <c r="AL2521" s="313"/>
      <c r="AM2521" s="313"/>
      <c r="AN2521" s="313"/>
      <c r="AO2521" s="313"/>
      <c r="AP2521" s="313"/>
      <c r="AQ2521" s="314"/>
      <c r="AR2521" s="315" t="str">
        <f t="shared" si="76"/>
        <v/>
      </c>
    </row>
    <row r="2522" spans="37:44" ht="30" hidden="1" customHeight="1" x14ac:dyDescent="0.25">
      <c r="AK2522" s="313"/>
      <c r="AL2522" s="313"/>
      <c r="AM2522" s="313"/>
      <c r="AN2522" s="313"/>
      <c r="AO2522" s="313"/>
      <c r="AP2522" s="313"/>
      <c r="AQ2522" s="314"/>
      <c r="AR2522" s="315" t="str">
        <f t="shared" si="76"/>
        <v/>
      </c>
    </row>
    <row r="2523" spans="37:44" ht="30" hidden="1" customHeight="1" x14ac:dyDescent="0.25">
      <c r="AK2523" s="313"/>
      <c r="AL2523" s="313"/>
      <c r="AM2523" s="313"/>
      <c r="AN2523" s="313"/>
      <c r="AO2523" s="313"/>
      <c r="AP2523" s="313"/>
      <c r="AQ2523" s="314"/>
      <c r="AR2523" s="315" t="str">
        <f t="shared" si="76"/>
        <v/>
      </c>
    </row>
    <row r="2524" spans="37:44" ht="30" hidden="1" customHeight="1" x14ac:dyDescent="0.25">
      <c r="AK2524" s="313"/>
      <c r="AL2524" s="313"/>
      <c r="AM2524" s="313"/>
      <c r="AN2524" s="313"/>
      <c r="AO2524" s="313"/>
      <c r="AP2524" s="313"/>
      <c r="AQ2524" s="314"/>
      <c r="AR2524" s="315" t="str">
        <f t="shared" si="76"/>
        <v/>
      </c>
    </row>
    <row r="2525" spans="37:44" ht="30" hidden="1" customHeight="1" x14ac:dyDescent="0.25">
      <c r="AK2525" s="313"/>
      <c r="AL2525" s="313"/>
      <c r="AM2525" s="313"/>
      <c r="AN2525" s="313"/>
      <c r="AO2525" s="313"/>
      <c r="AP2525" s="313"/>
      <c r="AQ2525" s="314"/>
      <c r="AR2525" s="315" t="str">
        <f t="shared" si="76"/>
        <v/>
      </c>
    </row>
    <row r="2526" spans="37:44" ht="30" hidden="1" customHeight="1" x14ac:dyDescent="0.25">
      <c r="AK2526" s="313"/>
      <c r="AL2526" s="313"/>
      <c r="AM2526" s="313"/>
      <c r="AN2526" s="313"/>
      <c r="AO2526" s="313"/>
      <c r="AP2526" s="313"/>
      <c r="AQ2526" s="314"/>
      <c r="AR2526" s="315" t="str">
        <f t="shared" si="76"/>
        <v/>
      </c>
    </row>
    <row r="2527" spans="37:44" ht="30" hidden="1" customHeight="1" x14ac:dyDescent="0.25">
      <c r="AK2527" s="313"/>
      <c r="AL2527" s="313"/>
      <c r="AM2527" s="313"/>
      <c r="AN2527" s="313"/>
      <c r="AO2527" s="313"/>
      <c r="AP2527" s="313"/>
      <c r="AQ2527" s="314"/>
      <c r="AR2527" s="315" t="str">
        <f t="shared" si="76"/>
        <v/>
      </c>
    </row>
    <row r="2528" spans="37:44" ht="30" hidden="1" customHeight="1" x14ac:dyDescent="0.25">
      <c r="AK2528" s="313"/>
      <c r="AL2528" s="313"/>
      <c r="AM2528" s="313"/>
      <c r="AN2528" s="313"/>
      <c r="AO2528" s="313"/>
      <c r="AP2528" s="313"/>
      <c r="AQ2528" s="314"/>
      <c r="AR2528" s="315" t="str">
        <f t="shared" si="76"/>
        <v/>
      </c>
    </row>
    <row r="2529" spans="37:44" ht="30" hidden="1" customHeight="1" x14ac:dyDescent="0.25">
      <c r="AK2529" s="313"/>
      <c r="AL2529" s="313"/>
      <c r="AM2529" s="313"/>
      <c r="AN2529" s="313"/>
      <c r="AO2529" s="313"/>
      <c r="AP2529" s="313"/>
      <c r="AQ2529" s="314"/>
      <c r="AR2529" s="315" t="str">
        <f t="shared" si="76"/>
        <v/>
      </c>
    </row>
    <row r="2530" spans="37:44" ht="30" hidden="1" customHeight="1" x14ac:dyDescent="0.25">
      <c r="AK2530" s="313"/>
      <c r="AL2530" s="313"/>
      <c r="AM2530" s="313"/>
      <c r="AN2530" s="313"/>
      <c r="AO2530" s="313"/>
      <c r="AP2530" s="313"/>
      <c r="AQ2530" s="314"/>
      <c r="AR2530" s="315" t="str">
        <f t="shared" si="76"/>
        <v/>
      </c>
    </row>
    <row r="2531" spans="37:44" ht="30" hidden="1" customHeight="1" x14ac:dyDescent="0.25">
      <c r="AK2531" s="313"/>
      <c r="AL2531" s="313"/>
      <c r="AM2531" s="313"/>
      <c r="AN2531" s="313"/>
      <c r="AO2531" s="313"/>
      <c r="AP2531" s="313"/>
      <c r="AQ2531" s="314"/>
      <c r="AR2531" s="315" t="str">
        <f t="shared" si="76"/>
        <v/>
      </c>
    </row>
    <row r="2532" spans="37:44" ht="30" hidden="1" customHeight="1" x14ac:dyDescent="0.25">
      <c r="AK2532" s="313"/>
      <c r="AL2532" s="313"/>
      <c r="AM2532" s="313"/>
      <c r="AN2532" s="313"/>
      <c r="AO2532" s="313"/>
      <c r="AP2532" s="313"/>
      <c r="AQ2532" s="314"/>
      <c r="AR2532" s="315" t="str">
        <f t="shared" si="76"/>
        <v/>
      </c>
    </row>
    <row r="2533" spans="37:44" ht="30" hidden="1" customHeight="1" x14ac:dyDescent="0.25">
      <c r="AK2533" s="313"/>
      <c r="AL2533" s="313"/>
      <c r="AM2533" s="313"/>
      <c r="AN2533" s="313"/>
      <c r="AO2533" s="313"/>
      <c r="AP2533" s="313"/>
      <c r="AQ2533" s="314"/>
      <c r="AR2533" s="315" t="str">
        <f t="shared" si="76"/>
        <v/>
      </c>
    </row>
    <row r="2534" spans="37:44" ht="30" hidden="1" customHeight="1" x14ac:dyDescent="0.25">
      <c r="AK2534" s="313"/>
      <c r="AL2534" s="313"/>
      <c r="AM2534" s="313"/>
      <c r="AN2534" s="313"/>
      <c r="AO2534" s="313"/>
      <c r="AP2534" s="313"/>
      <c r="AQ2534" s="314"/>
      <c r="AR2534" s="315" t="str">
        <f t="shared" si="76"/>
        <v/>
      </c>
    </row>
    <row r="2535" spans="37:44" ht="30" hidden="1" customHeight="1" x14ac:dyDescent="0.25">
      <c r="AK2535" s="313"/>
      <c r="AL2535" s="313"/>
      <c r="AM2535" s="313"/>
      <c r="AN2535" s="313"/>
      <c r="AO2535" s="313"/>
      <c r="AP2535" s="313"/>
      <c r="AQ2535" s="314"/>
      <c r="AR2535" s="315" t="str">
        <f t="shared" si="76"/>
        <v/>
      </c>
    </row>
    <row r="2536" spans="37:44" ht="30" hidden="1" customHeight="1" x14ac:dyDescent="0.25">
      <c r="AK2536" s="313"/>
      <c r="AL2536" s="313"/>
      <c r="AM2536" s="313"/>
      <c r="AN2536" s="313"/>
      <c r="AO2536" s="313"/>
      <c r="AP2536" s="313"/>
      <c r="AQ2536" s="314"/>
      <c r="AR2536" s="315" t="str">
        <f t="shared" si="76"/>
        <v/>
      </c>
    </row>
    <row r="2537" spans="37:44" ht="30" hidden="1" customHeight="1" x14ac:dyDescent="0.25">
      <c r="AK2537" s="313"/>
      <c r="AL2537" s="313"/>
      <c r="AM2537" s="313"/>
      <c r="AN2537" s="313"/>
      <c r="AO2537" s="313"/>
      <c r="AP2537" s="313"/>
      <c r="AQ2537" s="314"/>
      <c r="AR2537" s="315" t="str">
        <f t="shared" si="76"/>
        <v/>
      </c>
    </row>
    <row r="2538" spans="37:44" ht="30" hidden="1" customHeight="1" x14ac:dyDescent="0.25">
      <c r="AK2538" s="313"/>
      <c r="AL2538" s="313"/>
      <c r="AM2538" s="313"/>
      <c r="AN2538" s="313"/>
      <c r="AO2538" s="313"/>
      <c r="AP2538" s="313"/>
      <c r="AQ2538" s="314"/>
      <c r="AR2538" s="315" t="str">
        <f t="shared" si="76"/>
        <v/>
      </c>
    </row>
    <row r="2539" spans="37:44" ht="30" hidden="1" customHeight="1" x14ac:dyDescent="0.25">
      <c r="AK2539" s="313"/>
      <c r="AL2539" s="313"/>
      <c r="AM2539" s="313"/>
      <c r="AN2539" s="313"/>
      <c r="AO2539" s="313"/>
      <c r="AP2539" s="313"/>
      <c r="AQ2539" s="314"/>
      <c r="AR2539" s="315" t="str">
        <f t="shared" si="76"/>
        <v/>
      </c>
    </row>
    <row r="2540" spans="37:44" ht="30" hidden="1" customHeight="1" x14ac:dyDescent="0.25">
      <c r="AK2540" s="313"/>
      <c r="AL2540" s="313"/>
      <c r="AM2540" s="313"/>
      <c r="AN2540" s="313"/>
      <c r="AO2540" s="313"/>
      <c r="AP2540" s="313"/>
      <c r="AQ2540" s="314"/>
      <c r="AR2540" s="315" t="str">
        <f t="shared" si="76"/>
        <v/>
      </c>
    </row>
    <row r="2541" spans="37:44" ht="30" hidden="1" customHeight="1" x14ac:dyDescent="0.25">
      <c r="AK2541" s="313"/>
      <c r="AL2541" s="313"/>
      <c r="AM2541" s="313"/>
      <c r="AN2541" s="313"/>
      <c r="AO2541" s="313"/>
      <c r="AP2541" s="313"/>
      <c r="AQ2541" s="314"/>
      <c r="AR2541" s="315" t="str">
        <f t="shared" si="76"/>
        <v/>
      </c>
    </row>
    <row r="2542" spans="37:44" ht="30" hidden="1" customHeight="1" x14ac:dyDescent="0.25">
      <c r="AK2542" s="313"/>
      <c r="AL2542" s="313"/>
      <c r="AM2542" s="313"/>
      <c r="AN2542" s="313"/>
      <c r="AO2542" s="313"/>
      <c r="AP2542" s="313"/>
      <c r="AQ2542" s="314"/>
      <c r="AR2542" s="315" t="str">
        <f t="shared" si="76"/>
        <v/>
      </c>
    </row>
    <row r="2543" spans="37:44" ht="30" hidden="1" customHeight="1" x14ac:dyDescent="0.25">
      <c r="AK2543" s="313"/>
      <c r="AL2543" s="313"/>
      <c r="AM2543" s="313"/>
      <c r="AN2543" s="313"/>
      <c r="AO2543" s="313"/>
      <c r="AP2543" s="313"/>
      <c r="AQ2543" s="314"/>
      <c r="AR2543" s="315" t="str">
        <f t="shared" si="76"/>
        <v/>
      </c>
    </row>
    <row r="2544" spans="37:44" ht="30" hidden="1" customHeight="1" x14ac:dyDescent="0.25">
      <c r="AK2544" s="313"/>
      <c r="AL2544" s="313"/>
      <c r="AM2544" s="313"/>
      <c r="AN2544" s="313"/>
      <c r="AO2544" s="313"/>
      <c r="AP2544" s="313"/>
      <c r="AQ2544" s="314"/>
      <c r="AR2544" s="315" t="str">
        <f t="shared" si="76"/>
        <v/>
      </c>
    </row>
    <row r="2545" spans="37:44" ht="30" hidden="1" customHeight="1" x14ac:dyDescent="0.25">
      <c r="AK2545" s="313"/>
      <c r="AL2545" s="313"/>
      <c r="AM2545" s="313"/>
      <c r="AN2545" s="313"/>
      <c r="AO2545" s="313"/>
      <c r="AP2545" s="313"/>
      <c r="AQ2545" s="314"/>
      <c r="AR2545" s="315" t="str">
        <f t="shared" si="76"/>
        <v/>
      </c>
    </row>
    <row r="2546" spans="37:44" ht="30" hidden="1" customHeight="1" x14ac:dyDescent="0.25">
      <c r="AK2546" s="313"/>
      <c r="AL2546" s="313"/>
      <c r="AM2546" s="313"/>
      <c r="AN2546" s="313"/>
      <c r="AO2546" s="313"/>
      <c r="AP2546" s="313"/>
      <c r="AQ2546" s="314"/>
      <c r="AR2546" s="315" t="str">
        <f t="shared" si="76"/>
        <v/>
      </c>
    </row>
    <row r="2547" spans="37:44" ht="30" hidden="1" customHeight="1" x14ac:dyDescent="0.25">
      <c r="AK2547" s="313"/>
      <c r="AL2547" s="313"/>
      <c r="AM2547" s="313"/>
      <c r="AN2547" s="313"/>
      <c r="AO2547" s="313"/>
      <c r="AP2547" s="313"/>
      <c r="AQ2547" s="314"/>
      <c r="AR2547" s="315" t="str">
        <f t="shared" si="76"/>
        <v/>
      </c>
    </row>
    <row r="2548" spans="37:44" ht="30" hidden="1" customHeight="1" x14ac:dyDescent="0.25">
      <c r="AK2548" s="313"/>
      <c r="AL2548" s="313"/>
      <c r="AM2548" s="313"/>
      <c r="AN2548" s="313"/>
      <c r="AO2548" s="313"/>
      <c r="AP2548" s="313"/>
      <c r="AQ2548" s="314"/>
      <c r="AR2548" s="315" t="str">
        <f t="shared" si="76"/>
        <v/>
      </c>
    </row>
    <row r="2549" spans="37:44" ht="30" hidden="1" customHeight="1" x14ac:dyDescent="0.25">
      <c r="AK2549" s="313"/>
      <c r="AL2549" s="313"/>
      <c r="AM2549" s="313"/>
      <c r="AN2549" s="313"/>
      <c r="AO2549" s="313"/>
      <c r="AP2549" s="313"/>
      <c r="AQ2549" s="314"/>
      <c r="AR2549" s="315" t="str">
        <f t="shared" si="76"/>
        <v/>
      </c>
    </row>
    <row r="2550" spans="37:44" ht="30" hidden="1" customHeight="1" x14ac:dyDescent="0.25">
      <c r="AK2550" s="313"/>
      <c r="AL2550" s="313"/>
      <c r="AM2550" s="313"/>
      <c r="AN2550" s="313"/>
      <c r="AO2550" s="313"/>
      <c r="AP2550" s="313"/>
      <c r="AQ2550" s="314"/>
      <c r="AR2550" s="315" t="str">
        <f t="shared" si="76"/>
        <v/>
      </c>
    </row>
    <row r="2551" spans="37:44" ht="30" hidden="1" customHeight="1" x14ac:dyDescent="0.25">
      <c r="AK2551" s="313"/>
      <c r="AL2551" s="313"/>
      <c r="AM2551" s="313"/>
      <c r="AN2551" s="313"/>
      <c r="AO2551" s="313"/>
      <c r="AP2551" s="313"/>
      <c r="AQ2551" s="314"/>
      <c r="AR2551" s="315" t="str">
        <f t="shared" si="76"/>
        <v/>
      </c>
    </row>
    <row r="2552" spans="37:44" ht="30" hidden="1" customHeight="1" x14ac:dyDescent="0.25">
      <c r="AK2552" s="313"/>
      <c r="AL2552" s="313"/>
      <c r="AM2552" s="313"/>
      <c r="AN2552" s="313"/>
      <c r="AO2552" s="313"/>
      <c r="AP2552" s="313"/>
      <c r="AQ2552" s="314"/>
      <c r="AR2552" s="315" t="str">
        <f t="shared" si="76"/>
        <v/>
      </c>
    </row>
    <row r="2553" spans="37:44" ht="30" hidden="1" customHeight="1" x14ac:dyDescent="0.25">
      <c r="AK2553" s="313"/>
      <c r="AL2553" s="313"/>
      <c r="AM2553" s="313"/>
      <c r="AN2553" s="313"/>
      <c r="AO2553" s="313"/>
      <c r="AP2553" s="313"/>
      <c r="AQ2553" s="314"/>
      <c r="AR2553" s="315" t="str">
        <f t="shared" si="76"/>
        <v/>
      </c>
    </row>
    <row r="2554" spans="37:44" ht="30" hidden="1" customHeight="1" x14ac:dyDescent="0.25">
      <c r="AK2554" s="313"/>
      <c r="AL2554" s="313"/>
      <c r="AM2554" s="313"/>
      <c r="AN2554" s="313"/>
      <c r="AO2554" s="313"/>
      <c r="AP2554" s="313"/>
      <c r="AQ2554" s="314"/>
      <c r="AR2554" s="315" t="str">
        <f t="shared" si="76"/>
        <v/>
      </c>
    </row>
    <row r="2555" spans="37:44" ht="30" hidden="1" customHeight="1" x14ac:dyDescent="0.25">
      <c r="AK2555" s="313"/>
      <c r="AL2555" s="313"/>
      <c r="AM2555" s="313"/>
      <c r="AN2555" s="313"/>
      <c r="AO2555" s="313"/>
      <c r="AP2555" s="313"/>
      <c r="AQ2555" s="314"/>
      <c r="AR2555" s="315" t="str">
        <f t="shared" si="76"/>
        <v/>
      </c>
    </row>
    <row r="2556" spans="37:44" ht="30" hidden="1" customHeight="1" x14ac:dyDescent="0.25">
      <c r="AK2556" s="313"/>
      <c r="AL2556" s="313"/>
      <c r="AM2556" s="313"/>
      <c r="AN2556" s="313"/>
      <c r="AO2556" s="313"/>
      <c r="AP2556" s="313"/>
      <c r="AQ2556" s="314"/>
      <c r="AR2556" s="315" t="str">
        <f t="shared" si="76"/>
        <v/>
      </c>
    </row>
    <row r="2557" spans="37:44" ht="30" hidden="1" customHeight="1" x14ac:dyDescent="0.25">
      <c r="AK2557" s="313"/>
      <c r="AL2557" s="313"/>
      <c r="AM2557" s="313"/>
      <c r="AN2557" s="313"/>
      <c r="AO2557" s="313"/>
      <c r="AP2557" s="313"/>
      <c r="AQ2557" s="314"/>
      <c r="AR2557" s="315" t="str">
        <f t="shared" si="76"/>
        <v/>
      </c>
    </row>
    <row r="2558" spans="37:44" ht="30" hidden="1" customHeight="1" x14ac:dyDescent="0.25">
      <c r="AK2558" s="313"/>
      <c r="AL2558" s="313"/>
      <c r="AM2558" s="313"/>
      <c r="AN2558" s="313"/>
      <c r="AO2558" s="313"/>
      <c r="AP2558" s="313"/>
      <c r="AQ2558" s="314"/>
      <c r="AR2558" s="315" t="str">
        <f t="shared" si="76"/>
        <v/>
      </c>
    </row>
    <row r="2559" spans="37:44" ht="30" hidden="1" customHeight="1" x14ac:dyDescent="0.25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77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 x14ac:dyDescent="0.25">
      <c r="AK2560" s="313"/>
      <c r="AL2560" s="313"/>
      <c r="AM2560" s="313"/>
      <c r="AN2560" s="313"/>
      <c r="AO2560" s="313"/>
      <c r="AP2560" s="313"/>
      <c r="AQ2560" s="314"/>
      <c r="AR2560" s="315" t="str">
        <f t="shared" si="77"/>
        <v/>
      </c>
    </row>
    <row r="2561" spans="37:44" ht="30" hidden="1" customHeight="1" x14ac:dyDescent="0.25">
      <c r="AK2561" s="313"/>
      <c r="AL2561" s="313"/>
      <c r="AM2561" s="313"/>
      <c r="AN2561" s="313"/>
      <c r="AO2561" s="313"/>
      <c r="AP2561" s="313"/>
      <c r="AQ2561" s="314"/>
      <c r="AR2561" s="315" t="str">
        <f t="shared" si="77"/>
        <v/>
      </c>
    </row>
    <row r="2562" spans="37:44" ht="30" hidden="1" customHeight="1" x14ac:dyDescent="0.25">
      <c r="AK2562" s="313"/>
      <c r="AL2562" s="313"/>
      <c r="AM2562" s="313"/>
      <c r="AN2562" s="313"/>
      <c r="AO2562" s="313"/>
      <c r="AP2562" s="313"/>
      <c r="AQ2562" s="314"/>
      <c r="AR2562" s="315" t="str">
        <f t="shared" si="77"/>
        <v/>
      </c>
    </row>
    <row r="2563" spans="37:44" ht="30" hidden="1" customHeight="1" x14ac:dyDescent="0.25">
      <c r="AK2563" s="313"/>
      <c r="AL2563" s="313"/>
      <c r="AM2563" s="313"/>
      <c r="AN2563" s="313"/>
      <c r="AO2563" s="313"/>
      <c r="AP2563" s="313"/>
      <c r="AQ2563" s="314"/>
      <c r="AR2563" s="315" t="str">
        <f t="shared" si="77"/>
        <v/>
      </c>
    </row>
    <row r="2564" spans="37:44" ht="30" hidden="1" customHeight="1" x14ac:dyDescent="0.25">
      <c r="AK2564" s="313"/>
      <c r="AL2564" s="313"/>
      <c r="AM2564" s="313"/>
      <c r="AN2564" s="313"/>
      <c r="AO2564" s="313"/>
      <c r="AP2564" s="313"/>
      <c r="AQ2564" s="314"/>
      <c r="AR2564" s="315" t="str">
        <f t="shared" si="77"/>
        <v/>
      </c>
    </row>
    <row r="2565" spans="37:44" ht="30" hidden="1" customHeight="1" x14ac:dyDescent="0.25">
      <c r="AK2565" s="313"/>
      <c r="AL2565" s="313"/>
      <c r="AM2565" s="313"/>
      <c r="AN2565" s="313"/>
      <c r="AO2565" s="313"/>
      <c r="AP2565" s="313"/>
      <c r="AQ2565" s="314"/>
      <c r="AR2565" s="315" t="str">
        <f t="shared" si="77"/>
        <v/>
      </c>
    </row>
    <row r="2566" spans="37:44" ht="30" hidden="1" customHeight="1" x14ac:dyDescent="0.25">
      <c r="AK2566" s="313"/>
      <c r="AL2566" s="313"/>
      <c r="AM2566" s="313"/>
      <c r="AN2566" s="313"/>
      <c r="AO2566" s="313"/>
      <c r="AP2566" s="313"/>
      <c r="AQ2566" s="314"/>
      <c r="AR2566" s="315" t="str">
        <f t="shared" si="77"/>
        <v/>
      </c>
    </row>
    <row r="2567" spans="37:44" ht="30" hidden="1" customHeight="1" x14ac:dyDescent="0.25">
      <c r="AK2567" s="313"/>
      <c r="AL2567" s="313"/>
      <c r="AM2567" s="313"/>
      <c r="AN2567" s="313"/>
      <c r="AO2567" s="313"/>
      <c r="AP2567" s="313"/>
      <c r="AQ2567" s="314"/>
      <c r="AR2567" s="315" t="str">
        <f t="shared" si="77"/>
        <v/>
      </c>
    </row>
    <row r="2568" spans="37:44" ht="30" hidden="1" customHeight="1" x14ac:dyDescent="0.25">
      <c r="AK2568" s="313"/>
      <c r="AL2568" s="313"/>
      <c r="AM2568" s="313"/>
      <c r="AN2568" s="313"/>
      <c r="AO2568" s="313"/>
      <c r="AP2568" s="313"/>
      <c r="AQ2568" s="314"/>
      <c r="AR2568" s="315" t="str">
        <f t="shared" si="77"/>
        <v/>
      </c>
    </row>
    <row r="2569" spans="37:44" ht="30" hidden="1" customHeight="1" x14ac:dyDescent="0.25">
      <c r="AK2569" s="313"/>
      <c r="AL2569" s="313"/>
      <c r="AM2569" s="313"/>
      <c r="AN2569" s="313"/>
      <c r="AO2569" s="313"/>
      <c r="AP2569" s="313"/>
      <c r="AQ2569" s="314"/>
      <c r="AR2569" s="315" t="str">
        <f t="shared" si="77"/>
        <v/>
      </c>
    </row>
    <row r="2570" spans="37:44" ht="30" hidden="1" customHeight="1" x14ac:dyDescent="0.25">
      <c r="AK2570" s="313"/>
      <c r="AL2570" s="313"/>
      <c r="AM2570" s="313"/>
      <c r="AN2570" s="313"/>
      <c r="AO2570" s="313"/>
      <c r="AP2570" s="313"/>
      <c r="AQ2570" s="314"/>
      <c r="AR2570" s="315" t="str">
        <f t="shared" si="77"/>
        <v/>
      </c>
    </row>
    <row r="2571" spans="37:44" ht="30" hidden="1" customHeight="1" x14ac:dyDescent="0.25">
      <c r="AK2571" s="313"/>
      <c r="AL2571" s="313"/>
      <c r="AM2571" s="313"/>
      <c r="AN2571" s="313"/>
      <c r="AO2571" s="313"/>
      <c r="AP2571" s="313"/>
      <c r="AQ2571" s="314"/>
      <c r="AR2571" s="315" t="str">
        <f t="shared" si="77"/>
        <v/>
      </c>
    </row>
    <row r="2572" spans="37:44" ht="30" hidden="1" customHeight="1" x14ac:dyDescent="0.25">
      <c r="AK2572" s="313"/>
      <c r="AL2572" s="313"/>
      <c r="AM2572" s="313"/>
      <c r="AN2572" s="313"/>
      <c r="AO2572" s="313"/>
      <c r="AP2572" s="313"/>
      <c r="AQ2572" s="314"/>
      <c r="AR2572" s="315" t="str">
        <f t="shared" si="77"/>
        <v/>
      </c>
    </row>
    <row r="2573" spans="37:44" ht="30" hidden="1" customHeight="1" x14ac:dyDescent="0.25">
      <c r="AK2573" s="313"/>
      <c r="AL2573" s="313"/>
      <c r="AM2573" s="313"/>
      <c r="AN2573" s="313"/>
      <c r="AO2573" s="313"/>
      <c r="AP2573" s="313"/>
      <c r="AQ2573" s="314"/>
      <c r="AR2573" s="315" t="str">
        <f t="shared" si="77"/>
        <v/>
      </c>
    </row>
    <row r="2574" spans="37:44" ht="30" hidden="1" customHeight="1" x14ac:dyDescent="0.25">
      <c r="AK2574" s="313"/>
      <c r="AL2574" s="313"/>
      <c r="AM2574" s="313"/>
      <c r="AN2574" s="313"/>
      <c r="AO2574" s="313"/>
      <c r="AP2574" s="313"/>
      <c r="AQ2574" s="314"/>
      <c r="AR2574" s="315" t="str">
        <f t="shared" si="77"/>
        <v/>
      </c>
    </row>
    <row r="2575" spans="37:44" ht="30" hidden="1" customHeight="1" x14ac:dyDescent="0.25">
      <c r="AK2575" s="313"/>
      <c r="AL2575" s="313"/>
      <c r="AM2575" s="313"/>
      <c r="AN2575" s="313"/>
      <c r="AO2575" s="313"/>
      <c r="AP2575" s="313"/>
      <c r="AQ2575" s="314"/>
      <c r="AR2575" s="315" t="str">
        <f t="shared" si="77"/>
        <v/>
      </c>
    </row>
    <row r="2576" spans="37:44" ht="30" hidden="1" customHeight="1" x14ac:dyDescent="0.25">
      <c r="AK2576" s="313"/>
      <c r="AL2576" s="313"/>
      <c r="AM2576" s="313"/>
      <c r="AN2576" s="313"/>
      <c r="AO2576" s="313"/>
      <c r="AP2576" s="313"/>
      <c r="AQ2576" s="314"/>
      <c r="AR2576" s="315" t="str">
        <f t="shared" si="77"/>
        <v/>
      </c>
    </row>
    <row r="2577" spans="37:44" ht="30" hidden="1" customHeight="1" x14ac:dyDescent="0.25">
      <c r="AK2577" s="313"/>
      <c r="AL2577" s="313"/>
      <c r="AM2577" s="313"/>
      <c r="AN2577" s="313"/>
      <c r="AO2577" s="313"/>
      <c r="AP2577" s="313"/>
      <c r="AQ2577" s="314"/>
      <c r="AR2577" s="315" t="str">
        <f t="shared" si="77"/>
        <v/>
      </c>
    </row>
    <row r="2578" spans="37:44" ht="30" hidden="1" customHeight="1" x14ac:dyDescent="0.25">
      <c r="AK2578" s="313"/>
      <c r="AL2578" s="313"/>
      <c r="AM2578" s="313"/>
      <c r="AN2578" s="313"/>
      <c r="AO2578" s="313"/>
      <c r="AP2578" s="313"/>
      <c r="AQ2578" s="314"/>
      <c r="AR2578" s="315" t="str">
        <f t="shared" si="77"/>
        <v/>
      </c>
    </row>
    <row r="2579" spans="37:44" ht="30" hidden="1" customHeight="1" x14ac:dyDescent="0.25">
      <c r="AK2579" s="313"/>
      <c r="AL2579" s="313"/>
      <c r="AM2579" s="313"/>
      <c r="AN2579" s="313"/>
      <c r="AO2579" s="313"/>
      <c r="AP2579" s="313"/>
      <c r="AQ2579" s="314"/>
      <c r="AR2579" s="315" t="str">
        <f t="shared" si="77"/>
        <v/>
      </c>
    </row>
    <row r="2580" spans="37:44" ht="30" hidden="1" customHeight="1" x14ac:dyDescent="0.25">
      <c r="AK2580" s="313"/>
      <c r="AL2580" s="313"/>
      <c r="AM2580" s="313"/>
      <c r="AN2580" s="313"/>
      <c r="AO2580" s="313"/>
      <c r="AP2580" s="313"/>
      <c r="AQ2580" s="314"/>
      <c r="AR2580" s="315" t="str">
        <f t="shared" si="77"/>
        <v/>
      </c>
    </row>
    <row r="2581" spans="37:44" ht="30" hidden="1" customHeight="1" x14ac:dyDescent="0.25">
      <c r="AK2581" s="313"/>
      <c r="AL2581" s="313"/>
      <c r="AM2581" s="313"/>
      <c r="AN2581" s="313"/>
      <c r="AO2581" s="313"/>
      <c r="AP2581" s="313"/>
      <c r="AQ2581" s="314"/>
      <c r="AR2581" s="315" t="str">
        <f t="shared" si="77"/>
        <v/>
      </c>
    </row>
    <row r="2582" spans="37:44" ht="30" hidden="1" customHeight="1" x14ac:dyDescent="0.25">
      <c r="AK2582" s="313"/>
      <c r="AL2582" s="313"/>
      <c r="AM2582" s="313"/>
      <c r="AN2582" s="313"/>
      <c r="AO2582" s="313"/>
      <c r="AP2582" s="313"/>
      <c r="AQ2582" s="314"/>
      <c r="AR2582" s="315" t="str">
        <f t="shared" si="77"/>
        <v/>
      </c>
    </row>
    <row r="2583" spans="37:44" ht="30" hidden="1" customHeight="1" x14ac:dyDescent="0.25">
      <c r="AK2583" s="313"/>
      <c r="AL2583" s="313"/>
      <c r="AM2583" s="313"/>
      <c r="AN2583" s="313"/>
      <c r="AO2583" s="313"/>
      <c r="AP2583" s="313"/>
      <c r="AQ2583" s="314"/>
      <c r="AR2583" s="315" t="str">
        <f t="shared" si="77"/>
        <v/>
      </c>
    </row>
    <row r="2584" spans="37:44" ht="30" hidden="1" customHeight="1" x14ac:dyDescent="0.25">
      <c r="AK2584" s="313"/>
      <c r="AL2584" s="313"/>
      <c r="AM2584" s="313"/>
      <c r="AN2584" s="313"/>
      <c r="AO2584" s="313"/>
      <c r="AP2584" s="313"/>
      <c r="AQ2584" s="314"/>
      <c r="AR2584" s="315" t="str">
        <f t="shared" si="77"/>
        <v/>
      </c>
    </row>
    <row r="2585" spans="37:44" ht="30" hidden="1" customHeight="1" x14ac:dyDescent="0.25">
      <c r="AK2585" s="313"/>
      <c r="AL2585" s="313"/>
      <c r="AM2585" s="313"/>
      <c r="AN2585" s="313"/>
      <c r="AO2585" s="313"/>
      <c r="AP2585" s="313"/>
      <c r="AQ2585" s="314"/>
      <c r="AR2585" s="315" t="str">
        <f t="shared" si="77"/>
        <v/>
      </c>
    </row>
    <row r="2586" spans="37:44" ht="30" hidden="1" customHeight="1" x14ac:dyDescent="0.25">
      <c r="AK2586" s="313"/>
      <c r="AL2586" s="313"/>
      <c r="AM2586" s="313"/>
      <c r="AN2586" s="313"/>
      <c r="AO2586" s="313"/>
      <c r="AP2586" s="313"/>
      <c r="AQ2586" s="314"/>
      <c r="AR2586" s="315" t="str">
        <f t="shared" si="77"/>
        <v/>
      </c>
    </row>
    <row r="2587" spans="37:44" ht="30" hidden="1" customHeight="1" x14ac:dyDescent="0.25">
      <c r="AK2587" s="313"/>
      <c r="AL2587" s="313"/>
      <c r="AM2587" s="313"/>
      <c r="AN2587" s="313"/>
      <c r="AO2587" s="313"/>
      <c r="AP2587" s="313"/>
      <c r="AQ2587" s="314"/>
      <c r="AR2587" s="315" t="str">
        <f t="shared" si="77"/>
        <v/>
      </c>
    </row>
    <row r="2588" spans="37:44" ht="30" hidden="1" customHeight="1" x14ac:dyDescent="0.25">
      <c r="AK2588" s="313"/>
      <c r="AL2588" s="313"/>
      <c r="AM2588" s="313"/>
      <c r="AN2588" s="313"/>
      <c r="AO2588" s="313"/>
      <c r="AP2588" s="313"/>
      <c r="AQ2588" s="314"/>
      <c r="AR2588" s="315" t="str">
        <f t="shared" si="77"/>
        <v/>
      </c>
    </row>
    <row r="2589" spans="37:44" ht="30" hidden="1" customHeight="1" x14ac:dyDescent="0.25">
      <c r="AK2589" s="313"/>
      <c r="AL2589" s="313"/>
      <c r="AM2589" s="313"/>
      <c r="AN2589" s="313"/>
      <c r="AO2589" s="313"/>
      <c r="AP2589" s="313"/>
      <c r="AQ2589" s="314"/>
      <c r="AR2589" s="315" t="str">
        <f t="shared" si="77"/>
        <v/>
      </c>
    </row>
    <row r="2590" spans="37:44" ht="30" hidden="1" customHeight="1" x14ac:dyDescent="0.25">
      <c r="AK2590" s="313"/>
      <c r="AL2590" s="313"/>
      <c r="AM2590" s="313"/>
      <c r="AN2590" s="313"/>
      <c r="AO2590" s="313"/>
      <c r="AP2590" s="313"/>
      <c r="AQ2590" s="314"/>
      <c r="AR2590" s="315" t="str">
        <f t="shared" si="77"/>
        <v/>
      </c>
    </row>
    <row r="2591" spans="37:44" ht="30" hidden="1" customHeight="1" x14ac:dyDescent="0.25">
      <c r="AK2591" s="313"/>
      <c r="AL2591" s="313"/>
      <c r="AM2591" s="313"/>
      <c r="AN2591" s="313"/>
      <c r="AO2591" s="313"/>
      <c r="AP2591" s="313"/>
      <c r="AQ2591" s="314"/>
      <c r="AR2591" s="315" t="str">
        <f t="shared" si="77"/>
        <v/>
      </c>
    </row>
    <row r="2592" spans="37:44" ht="30" hidden="1" customHeight="1" x14ac:dyDescent="0.25">
      <c r="AK2592" s="313"/>
      <c r="AL2592" s="313"/>
      <c r="AM2592" s="313"/>
      <c r="AN2592" s="313"/>
      <c r="AO2592" s="313"/>
      <c r="AP2592" s="313"/>
      <c r="AQ2592" s="314"/>
      <c r="AR2592" s="315" t="str">
        <f t="shared" si="77"/>
        <v/>
      </c>
    </row>
    <row r="2593" spans="37:44" ht="30" hidden="1" customHeight="1" x14ac:dyDescent="0.25">
      <c r="AK2593" s="313"/>
      <c r="AL2593" s="313"/>
      <c r="AM2593" s="313"/>
      <c r="AN2593" s="313"/>
      <c r="AO2593" s="313"/>
      <c r="AP2593" s="313"/>
      <c r="AQ2593" s="314"/>
      <c r="AR2593" s="315" t="str">
        <f t="shared" si="77"/>
        <v/>
      </c>
    </row>
    <row r="2594" spans="37:44" ht="30" hidden="1" customHeight="1" x14ac:dyDescent="0.25">
      <c r="AK2594" s="313"/>
      <c r="AL2594" s="313"/>
      <c r="AM2594" s="313"/>
      <c r="AN2594" s="313"/>
      <c r="AO2594" s="313"/>
      <c r="AP2594" s="313"/>
      <c r="AQ2594" s="314"/>
      <c r="AR2594" s="315" t="str">
        <f t="shared" si="77"/>
        <v/>
      </c>
    </row>
    <row r="2595" spans="37:44" ht="30" hidden="1" customHeight="1" x14ac:dyDescent="0.25">
      <c r="AK2595" s="313"/>
      <c r="AL2595" s="313"/>
      <c r="AM2595" s="313"/>
      <c r="AN2595" s="313"/>
      <c r="AO2595" s="313"/>
      <c r="AP2595" s="313"/>
      <c r="AQ2595" s="314"/>
      <c r="AR2595" s="315" t="str">
        <f t="shared" si="77"/>
        <v/>
      </c>
    </row>
    <row r="2596" spans="37:44" ht="30" hidden="1" customHeight="1" x14ac:dyDescent="0.25">
      <c r="AK2596" s="313"/>
      <c r="AL2596" s="313"/>
      <c r="AM2596" s="313"/>
      <c r="AN2596" s="313"/>
      <c r="AO2596" s="313"/>
      <c r="AP2596" s="313"/>
      <c r="AQ2596" s="314"/>
      <c r="AR2596" s="315" t="str">
        <f t="shared" si="77"/>
        <v/>
      </c>
    </row>
    <row r="2597" spans="37:44" ht="30" hidden="1" customHeight="1" x14ac:dyDescent="0.25">
      <c r="AK2597" s="313"/>
      <c r="AL2597" s="313"/>
      <c r="AM2597" s="313"/>
      <c r="AN2597" s="313"/>
      <c r="AO2597" s="313"/>
      <c r="AP2597" s="313"/>
      <c r="AQ2597" s="314"/>
      <c r="AR2597" s="315" t="str">
        <f t="shared" si="77"/>
        <v/>
      </c>
    </row>
    <row r="2598" spans="37:44" ht="30" hidden="1" customHeight="1" x14ac:dyDescent="0.25">
      <c r="AK2598" s="313"/>
      <c r="AL2598" s="313"/>
      <c r="AM2598" s="313"/>
      <c r="AN2598" s="313"/>
      <c r="AO2598" s="313"/>
      <c r="AP2598" s="313"/>
      <c r="AQ2598" s="314"/>
      <c r="AR2598" s="315" t="str">
        <f t="shared" si="77"/>
        <v/>
      </c>
    </row>
    <row r="2599" spans="37:44" ht="30" hidden="1" customHeight="1" x14ac:dyDescent="0.25">
      <c r="AK2599" s="313"/>
      <c r="AL2599" s="313"/>
      <c r="AM2599" s="313"/>
      <c r="AN2599" s="313"/>
      <c r="AO2599" s="313"/>
      <c r="AP2599" s="313"/>
      <c r="AQ2599" s="314"/>
      <c r="AR2599" s="315" t="str">
        <f t="shared" si="77"/>
        <v/>
      </c>
    </row>
    <row r="2600" spans="37:44" ht="30" hidden="1" customHeight="1" x14ac:dyDescent="0.25">
      <c r="AK2600" s="313"/>
      <c r="AL2600" s="313"/>
      <c r="AM2600" s="313"/>
      <c r="AN2600" s="313"/>
      <c r="AO2600" s="313"/>
      <c r="AP2600" s="313"/>
      <c r="AQ2600" s="314"/>
      <c r="AR2600" s="315" t="str">
        <f t="shared" si="77"/>
        <v/>
      </c>
    </row>
    <row r="2601" spans="37:44" ht="30" hidden="1" customHeight="1" x14ac:dyDescent="0.25">
      <c r="AK2601" s="313"/>
      <c r="AL2601" s="313"/>
      <c r="AM2601" s="313"/>
      <c r="AN2601" s="313"/>
      <c r="AO2601" s="313"/>
      <c r="AP2601" s="313"/>
      <c r="AQ2601" s="314"/>
      <c r="AR2601" s="315" t="str">
        <f t="shared" si="77"/>
        <v/>
      </c>
    </row>
    <row r="2602" spans="37:44" ht="30" hidden="1" customHeight="1" x14ac:dyDescent="0.25">
      <c r="AK2602" s="313"/>
      <c r="AL2602" s="313"/>
      <c r="AM2602" s="313"/>
      <c r="AN2602" s="313"/>
      <c r="AO2602" s="313"/>
      <c r="AP2602" s="313"/>
      <c r="AQ2602" s="314"/>
      <c r="AR2602" s="315" t="str">
        <f t="shared" si="77"/>
        <v/>
      </c>
    </row>
    <row r="2603" spans="37:44" ht="30" hidden="1" customHeight="1" x14ac:dyDescent="0.25">
      <c r="AK2603" s="313"/>
      <c r="AL2603" s="313"/>
      <c r="AM2603" s="313"/>
      <c r="AN2603" s="313"/>
      <c r="AO2603" s="313"/>
      <c r="AP2603" s="313"/>
      <c r="AQ2603" s="314"/>
      <c r="AR2603" s="315" t="str">
        <f t="shared" si="77"/>
        <v/>
      </c>
    </row>
    <row r="2604" spans="37:44" ht="30" hidden="1" customHeight="1" x14ac:dyDescent="0.25">
      <c r="AK2604" s="313"/>
      <c r="AL2604" s="313"/>
      <c r="AM2604" s="313"/>
      <c r="AN2604" s="313"/>
      <c r="AO2604" s="313"/>
      <c r="AP2604" s="313"/>
      <c r="AQ2604" s="314"/>
      <c r="AR2604" s="315" t="str">
        <f t="shared" si="77"/>
        <v/>
      </c>
    </row>
    <row r="2605" spans="37:44" ht="30" hidden="1" customHeight="1" x14ac:dyDescent="0.25">
      <c r="AK2605" s="313"/>
      <c r="AL2605" s="313"/>
      <c r="AM2605" s="313"/>
      <c r="AN2605" s="313"/>
      <c r="AO2605" s="313"/>
      <c r="AP2605" s="313"/>
      <c r="AQ2605" s="314"/>
      <c r="AR2605" s="315" t="str">
        <f t="shared" si="77"/>
        <v/>
      </c>
    </row>
    <row r="2606" spans="37:44" ht="30" hidden="1" customHeight="1" x14ac:dyDescent="0.25">
      <c r="AK2606" s="313"/>
      <c r="AL2606" s="313"/>
      <c r="AM2606" s="313"/>
      <c r="AN2606" s="313"/>
      <c r="AO2606" s="313"/>
      <c r="AP2606" s="313"/>
      <c r="AQ2606" s="314"/>
      <c r="AR2606" s="315" t="str">
        <f t="shared" si="77"/>
        <v/>
      </c>
    </row>
    <row r="2607" spans="37:44" ht="30" hidden="1" customHeight="1" x14ac:dyDescent="0.25">
      <c r="AK2607" s="313"/>
      <c r="AL2607" s="313"/>
      <c r="AM2607" s="313"/>
      <c r="AN2607" s="313"/>
      <c r="AO2607" s="313"/>
      <c r="AP2607" s="313"/>
      <c r="AQ2607" s="314"/>
      <c r="AR2607" s="315" t="str">
        <f t="shared" si="77"/>
        <v/>
      </c>
    </row>
    <row r="2608" spans="37:44" ht="30" hidden="1" customHeight="1" x14ac:dyDescent="0.25">
      <c r="AK2608" s="313"/>
      <c r="AL2608" s="313"/>
      <c r="AM2608" s="313"/>
      <c r="AN2608" s="313"/>
      <c r="AO2608" s="313"/>
      <c r="AP2608" s="313"/>
      <c r="AQ2608" s="314"/>
      <c r="AR2608" s="315" t="str">
        <f t="shared" si="77"/>
        <v/>
      </c>
    </row>
    <row r="2609" spans="37:44" ht="30" hidden="1" customHeight="1" x14ac:dyDescent="0.25">
      <c r="AK2609" s="313"/>
      <c r="AL2609" s="313"/>
      <c r="AM2609" s="313"/>
      <c r="AN2609" s="313"/>
      <c r="AO2609" s="313"/>
      <c r="AP2609" s="313"/>
      <c r="AQ2609" s="314"/>
      <c r="AR2609" s="315" t="str">
        <f t="shared" si="77"/>
        <v/>
      </c>
    </row>
    <row r="2610" spans="37:44" ht="30" hidden="1" customHeight="1" x14ac:dyDescent="0.25">
      <c r="AK2610" s="313"/>
      <c r="AL2610" s="313"/>
      <c r="AM2610" s="313"/>
      <c r="AN2610" s="313"/>
      <c r="AO2610" s="313"/>
      <c r="AP2610" s="313"/>
      <c r="AQ2610" s="314"/>
      <c r="AR2610" s="315" t="str">
        <f t="shared" si="77"/>
        <v/>
      </c>
    </row>
    <row r="2611" spans="37:44" ht="30" hidden="1" customHeight="1" x14ac:dyDescent="0.25">
      <c r="AK2611" s="313"/>
      <c r="AL2611" s="313"/>
      <c r="AM2611" s="313"/>
      <c r="AN2611" s="313"/>
      <c r="AO2611" s="313"/>
      <c r="AP2611" s="313"/>
      <c r="AQ2611" s="314"/>
      <c r="AR2611" s="315" t="str">
        <f t="shared" si="77"/>
        <v/>
      </c>
    </row>
    <row r="2612" spans="37:44" ht="30" hidden="1" customHeight="1" x14ac:dyDescent="0.25">
      <c r="AK2612" s="313"/>
      <c r="AL2612" s="313"/>
      <c r="AM2612" s="313"/>
      <c r="AN2612" s="313"/>
      <c r="AO2612" s="313"/>
      <c r="AP2612" s="313"/>
      <c r="AQ2612" s="314"/>
      <c r="AR2612" s="315" t="str">
        <f t="shared" si="77"/>
        <v/>
      </c>
    </row>
    <row r="2613" spans="37:44" ht="30" hidden="1" customHeight="1" x14ac:dyDescent="0.25">
      <c r="AK2613" s="313"/>
      <c r="AL2613" s="313"/>
      <c r="AM2613" s="313"/>
      <c r="AN2613" s="313"/>
      <c r="AO2613" s="313"/>
      <c r="AP2613" s="313"/>
      <c r="AQ2613" s="314"/>
      <c r="AR2613" s="315" t="str">
        <f t="shared" si="77"/>
        <v/>
      </c>
    </row>
    <row r="2614" spans="37:44" ht="30" hidden="1" customHeight="1" x14ac:dyDescent="0.25">
      <c r="AK2614" s="313"/>
      <c r="AL2614" s="313"/>
      <c r="AM2614" s="313"/>
      <c r="AN2614" s="313"/>
      <c r="AO2614" s="313"/>
      <c r="AP2614" s="313"/>
      <c r="AQ2614" s="314"/>
      <c r="AR2614" s="315" t="str">
        <f t="shared" si="77"/>
        <v/>
      </c>
    </row>
    <row r="2615" spans="37:44" ht="30" hidden="1" customHeight="1" x14ac:dyDescent="0.25">
      <c r="AK2615" s="313"/>
      <c r="AL2615" s="313"/>
      <c r="AM2615" s="313"/>
      <c r="AN2615" s="313"/>
      <c r="AO2615" s="313"/>
      <c r="AP2615" s="313"/>
      <c r="AQ2615" s="314"/>
      <c r="AR2615" s="315" t="str">
        <f t="shared" si="77"/>
        <v/>
      </c>
    </row>
    <row r="2616" spans="37:44" ht="30" hidden="1" customHeight="1" x14ac:dyDescent="0.25">
      <c r="AK2616" s="313"/>
      <c r="AL2616" s="313"/>
      <c r="AM2616" s="313"/>
      <c r="AN2616" s="313"/>
      <c r="AO2616" s="313"/>
      <c r="AP2616" s="313"/>
      <c r="AQ2616" s="314"/>
      <c r="AR2616" s="315" t="str">
        <f t="shared" si="77"/>
        <v/>
      </c>
    </row>
    <row r="2617" spans="37:44" ht="30" hidden="1" customHeight="1" x14ac:dyDescent="0.25">
      <c r="AK2617" s="313"/>
      <c r="AL2617" s="313"/>
      <c r="AM2617" s="313"/>
      <c r="AN2617" s="313"/>
      <c r="AO2617" s="313"/>
      <c r="AP2617" s="313"/>
      <c r="AQ2617" s="314"/>
      <c r="AR2617" s="315" t="str">
        <f t="shared" si="77"/>
        <v/>
      </c>
    </row>
    <row r="2618" spans="37:44" ht="30" hidden="1" customHeight="1" x14ac:dyDescent="0.25">
      <c r="AK2618" s="313"/>
      <c r="AL2618" s="313"/>
      <c r="AM2618" s="313"/>
      <c r="AN2618" s="313"/>
      <c r="AO2618" s="313"/>
      <c r="AP2618" s="313"/>
      <c r="AQ2618" s="314"/>
      <c r="AR2618" s="315" t="str">
        <f t="shared" si="77"/>
        <v/>
      </c>
    </row>
    <row r="2619" spans="37:44" ht="30" hidden="1" customHeight="1" x14ac:dyDescent="0.25">
      <c r="AK2619" s="313"/>
      <c r="AL2619" s="313"/>
      <c r="AM2619" s="313"/>
      <c r="AN2619" s="313"/>
      <c r="AO2619" s="313"/>
      <c r="AP2619" s="313"/>
      <c r="AQ2619" s="314"/>
      <c r="AR2619" s="315" t="str">
        <f t="shared" si="77"/>
        <v/>
      </c>
    </row>
    <row r="2620" spans="37:44" ht="30" hidden="1" customHeight="1" x14ac:dyDescent="0.25">
      <c r="AK2620" s="313"/>
      <c r="AL2620" s="313"/>
      <c r="AM2620" s="313"/>
      <c r="AN2620" s="313"/>
      <c r="AO2620" s="313"/>
      <c r="AP2620" s="313"/>
      <c r="AQ2620" s="314"/>
      <c r="AR2620" s="315" t="str">
        <f t="shared" si="77"/>
        <v/>
      </c>
    </row>
    <row r="2621" spans="37:44" ht="30" hidden="1" customHeight="1" x14ac:dyDescent="0.25">
      <c r="AK2621" s="313"/>
      <c r="AL2621" s="313"/>
      <c r="AM2621" s="313"/>
      <c r="AN2621" s="313"/>
      <c r="AO2621" s="313"/>
      <c r="AP2621" s="313"/>
      <c r="AQ2621" s="314"/>
      <c r="AR2621" s="315" t="str">
        <f t="shared" si="77"/>
        <v/>
      </c>
    </row>
    <row r="2622" spans="37:44" ht="30" hidden="1" customHeight="1" x14ac:dyDescent="0.25">
      <c r="AK2622" s="313"/>
      <c r="AL2622" s="313"/>
      <c r="AM2622" s="313"/>
      <c r="AN2622" s="313"/>
      <c r="AO2622" s="313"/>
      <c r="AP2622" s="313"/>
      <c r="AQ2622" s="314"/>
      <c r="AR2622" s="315" t="str">
        <f t="shared" si="77"/>
        <v/>
      </c>
    </row>
    <row r="2623" spans="37:44" ht="30" hidden="1" customHeight="1" x14ac:dyDescent="0.25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78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 x14ac:dyDescent="0.25">
      <c r="AK2624" s="313"/>
      <c r="AL2624" s="313"/>
      <c r="AM2624" s="313"/>
      <c r="AN2624" s="313"/>
      <c r="AO2624" s="313"/>
      <c r="AP2624" s="313"/>
      <c r="AQ2624" s="314"/>
      <c r="AR2624" s="315" t="str">
        <f t="shared" si="78"/>
        <v/>
      </c>
    </row>
    <row r="2625" spans="37:44" ht="30" hidden="1" customHeight="1" x14ac:dyDescent="0.25">
      <c r="AK2625" s="313"/>
      <c r="AL2625" s="313"/>
      <c r="AM2625" s="313"/>
      <c r="AN2625" s="313"/>
      <c r="AO2625" s="313"/>
      <c r="AP2625" s="313"/>
      <c r="AQ2625" s="314"/>
      <c r="AR2625" s="315" t="str">
        <f t="shared" si="78"/>
        <v/>
      </c>
    </row>
    <row r="2626" spans="37:44" ht="30" hidden="1" customHeight="1" x14ac:dyDescent="0.25">
      <c r="AK2626" s="313"/>
      <c r="AL2626" s="313"/>
      <c r="AM2626" s="313"/>
      <c r="AN2626" s="313"/>
      <c r="AO2626" s="313"/>
      <c r="AP2626" s="313"/>
      <c r="AQ2626" s="314"/>
      <c r="AR2626" s="315" t="str">
        <f t="shared" si="78"/>
        <v/>
      </c>
    </row>
    <row r="2627" spans="37:44" ht="30" hidden="1" customHeight="1" x14ac:dyDescent="0.25">
      <c r="AK2627" s="313"/>
      <c r="AL2627" s="313"/>
      <c r="AM2627" s="313"/>
      <c r="AN2627" s="313"/>
      <c r="AO2627" s="313"/>
      <c r="AP2627" s="313"/>
      <c r="AQ2627" s="314"/>
      <c r="AR2627" s="315" t="str">
        <f t="shared" si="78"/>
        <v/>
      </c>
    </row>
    <row r="2628" spans="37:44" ht="30" hidden="1" customHeight="1" x14ac:dyDescent="0.25">
      <c r="AK2628" s="313"/>
      <c r="AL2628" s="313"/>
      <c r="AM2628" s="313"/>
      <c r="AN2628" s="313"/>
      <c r="AO2628" s="313"/>
      <c r="AP2628" s="313"/>
      <c r="AQ2628" s="314"/>
      <c r="AR2628" s="315" t="str">
        <f t="shared" si="78"/>
        <v/>
      </c>
    </row>
    <row r="2629" spans="37:44" ht="30" hidden="1" customHeight="1" x14ac:dyDescent="0.25">
      <c r="AK2629" s="313"/>
      <c r="AL2629" s="313"/>
      <c r="AM2629" s="313"/>
      <c r="AN2629" s="313"/>
      <c r="AO2629" s="313"/>
      <c r="AP2629" s="313"/>
      <c r="AQ2629" s="314"/>
      <c r="AR2629" s="315" t="str">
        <f t="shared" si="78"/>
        <v/>
      </c>
    </row>
    <row r="2630" spans="37:44" ht="30" hidden="1" customHeight="1" x14ac:dyDescent="0.25">
      <c r="AK2630" s="313"/>
      <c r="AL2630" s="313"/>
      <c r="AM2630" s="313"/>
      <c r="AN2630" s="313"/>
      <c r="AO2630" s="313"/>
      <c r="AP2630" s="313"/>
      <c r="AQ2630" s="314"/>
      <c r="AR2630" s="315" t="str">
        <f t="shared" si="78"/>
        <v/>
      </c>
    </row>
    <row r="2631" spans="37:44" ht="30" hidden="1" customHeight="1" x14ac:dyDescent="0.25">
      <c r="AK2631" s="313"/>
      <c r="AL2631" s="313"/>
      <c r="AM2631" s="313"/>
      <c r="AN2631" s="313"/>
      <c r="AO2631" s="313"/>
      <c r="AP2631" s="313"/>
      <c r="AQ2631" s="314"/>
      <c r="AR2631" s="315" t="str">
        <f t="shared" si="78"/>
        <v/>
      </c>
    </row>
    <row r="2632" spans="37:44" ht="30" hidden="1" customHeight="1" x14ac:dyDescent="0.25">
      <c r="AK2632" s="313"/>
      <c r="AL2632" s="313"/>
      <c r="AM2632" s="313"/>
      <c r="AN2632" s="313"/>
      <c r="AO2632" s="313"/>
      <c r="AP2632" s="313"/>
      <c r="AQ2632" s="314"/>
      <c r="AR2632" s="315" t="str">
        <f t="shared" si="78"/>
        <v/>
      </c>
    </row>
    <row r="2633" spans="37:44" ht="30" hidden="1" customHeight="1" x14ac:dyDescent="0.25">
      <c r="AK2633" s="313"/>
      <c r="AL2633" s="313"/>
      <c r="AM2633" s="313"/>
      <c r="AN2633" s="313"/>
      <c r="AO2633" s="313"/>
      <c r="AP2633" s="313"/>
      <c r="AQ2633" s="314"/>
      <c r="AR2633" s="315" t="str">
        <f t="shared" si="78"/>
        <v/>
      </c>
    </row>
    <row r="2634" spans="37:44" ht="30" hidden="1" customHeight="1" x14ac:dyDescent="0.25">
      <c r="AK2634" s="313"/>
      <c r="AL2634" s="313"/>
      <c r="AM2634" s="313"/>
      <c r="AN2634" s="313"/>
      <c r="AO2634" s="313"/>
      <c r="AP2634" s="313"/>
      <c r="AQ2634" s="314"/>
      <c r="AR2634" s="315" t="str">
        <f t="shared" si="78"/>
        <v/>
      </c>
    </row>
    <row r="2635" spans="37:44" ht="30" hidden="1" customHeight="1" x14ac:dyDescent="0.25">
      <c r="AK2635" s="313"/>
      <c r="AL2635" s="313"/>
      <c r="AM2635" s="313"/>
      <c r="AN2635" s="313"/>
      <c r="AO2635" s="313"/>
      <c r="AP2635" s="313"/>
      <c r="AQ2635" s="314"/>
      <c r="AR2635" s="315" t="str">
        <f t="shared" si="78"/>
        <v/>
      </c>
    </row>
    <row r="2636" spans="37:44" ht="30" hidden="1" customHeight="1" x14ac:dyDescent="0.25">
      <c r="AK2636" s="313"/>
      <c r="AL2636" s="313"/>
      <c r="AM2636" s="313"/>
      <c r="AN2636" s="313"/>
      <c r="AO2636" s="313"/>
      <c r="AP2636" s="313"/>
      <c r="AQ2636" s="314"/>
      <c r="AR2636" s="315" t="str">
        <f t="shared" si="78"/>
        <v/>
      </c>
    </row>
    <row r="2637" spans="37:44" ht="30" hidden="1" customHeight="1" x14ac:dyDescent="0.25">
      <c r="AK2637" s="313"/>
      <c r="AL2637" s="313"/>
      <c r="AM2637" s="313"/>
      <c r="AN2637" s="313"/>
      <c r="AO2637" s="313"/>
      <c r="AP2637" s="313"/>
      <c r="AQ2637" s="314"/>
      <c r="AR2637" s="315" t="str">
        <f t="shared" si="78"/>
        <v/>
      </c>
    </row>
    <row r="2638" spans="37:44" ht="30" hidden="1" customHeight="1" x14ac:dyDescent="0.25">
      <c r="AK2638" s="313"/>
      <c r="AL2638" s="313"/>
      <c r="AM2638" s="313"/>
      <c r="AN2638" s="313"/>
      <c r="AO2638" s="313"/>
      <c r="AP2638" s="313"/>
      <c r="AQ2638" s="314"/>
      <c r="AR2638" s="315" t="str">
        <f t="shared" si="78"/>
        <v/>
      </c>
    </row>
    <row r="2639" spans="37:44" ht="30" hidden="1" customHeight="1" x14ac:dyDescent="0.25">
      <c r="AK2639" s="313"/>
      <c r="AL2639" s="313"/>
      <c r="AM2639" s="313"/>
      <c r="AN2639" s="313"/>
      <c r="AO2639" s="313"/>
      <c r="AP2639" s="313"/>
      <c r="AQ2639" s="314"/>
      <c r="AR2639" s="315" t="str">
        <f t="shared" si="78"/>
        <v/>
      </c>
    </row>
    <row r="2640" spans="37:44" ht="30" hidden="1" customHeight="1" x14ac:dyDescent="0.25">
      <c r="AK2640" s="313"/>
      <c r="AL2640" s="313"/>
      <c r="AM2640" s="313"/>
      <c r="AN2640" s="313"/>
      <c r="AO2640" s="313"/>
      <c r="AP2640" s="313"/>
      <c r="AQ2640" s="314"/>
      <c r="AR2640" s="315" t="str">
        <f t="shared" si="78"/>
        <v/>
      </c>
    </row>
    <row r="2641" spans="37:44" ht="30" hidden="1" customHeight="1" x14ac:dyDescent="0.25">
      <c r="AK2641" s="313"/>
      <c r="AL2641" s="313"/>
      <c r="AM2641" s="313"/>
      <c r="AN2641" s="313"/>
      <c r="AO2641" s="313"/>
      <c r="AP2641" s="313"/>
      <c r="AQ2641" s="314"/>
      <c r="AR2641" s="315" t="str">
        <f t="shared" si="78"/>
        <v/>
      </c>
    </row>
    <row r="2642" spans="37:44" ht="30" hidden="1" customHeight="1" x14ac:dyDescent="0.25">
      <c r="AK2642" s="313"/>
      <c r="AL2642" s="313"/>
      <c r="AM2642" s="313"/>
      <c r="AN2642" s="313"/>
      <c r="AO2642" s="313"/>
      <c r="AP2642" s="313"/>
      <c r="AQ2642" s="314"/>
      <c r="AR2642" s="315" t="str">
        <f t="shared" si="78"/>
        <v/>
      </c>
    </row>
    <row r="2643" spans="37:44" ht="30" hidden="1" customHeight="1" x14ac:dyDescent="0.25">
      <c r="AK2643" s="313"/>
      <c r="AL2643" s="313"/>
      <c r="AM2643" s="313"/>
      <c r="AN2643" s="313"/>
      <c r="AO2643" s="313"/>
      <c r="AP2643" s="313"/>
      <c r="AQ2643" s="314"/>
      <c r="AR2643" s="315" t="str">
        <f t="shared" si="78"/>
        <v/>
      </c>
    </row>
    <row r="2644" spans="37:44" ht="30" hidden="1" customHeight="1" x14ac:dyDescent="0.25">
      <c r="AK2644" s="313"/>
      <c r="AL2644" s="313"/>
      <c r="AM2644" s="313"/>
      <c r="AN2644" s="313"/>
      <c r="AO2644" s="313"/>
      <c r="AP2644" s="313"/>
      <c r="AQ2644" s="314"/>
      <c r="AR2644" s="315" t="str">
        <f t="shared" si="78"/>
        <v/>
      </c>
    </row>
    <row r="2645" spans="37:44" ht="30" hidden="1" customHeight="1" x14ac:dyDescent="0.25">
      <c r="AK2645" s="313"/>
      <c r="AL2645" s="313"/>
      <c r="AM2645" s="313"/>
      <c r="AN2645" s="313"/>
      <c r="AO2645" s="313"/>
      <c r="AP2645" s="313"/>
      <c r="AQ2645" s="314"/>
      <c r="AR2645" s="315" t="str">
        <f t="shared" si="78"/>
        <v/>
      </c>
    </row>
    <row r="2646" spans="37:44" ht="30" hidden="1" customHeight="1" x14ac:dyDescent="0.25">
      <c r="AK2646" s="313"/>
      <c r="AL2646" s="313"/>
      <c r="AM2646" s="313"/>
      <c r="AN2646" s="313"/>
      <c r="AO2646" s="313"/>
      <c r="AP2646" s="313"/>
      <c r="AQ2646" s="314"/>
      <c r="AR2646" s="315" t="str">
        <f t="shared" si="78"/>
        <v/>
      </c>
    </row>
    <row r="2647" spans="37:44" ht="30" hidden="1" customHeight="1" x14ac:dyDescent="0.25">
      <c r="AK2647" s="313"/>
      <c r="AL2647" s="313"/>
      <c r="AM2647" s="313"/>
      <c r="AN2647" s="313"/>
      <c r="AO2647" s="313"/>
      <c r="AP2647" s="313"/>
      <c r="AQ2647" s="314"/>
      <c r="AR2647" s="315" t="str">
        <f t="shared" si="78"/>
        <v/>
      </c>
    </row>
    <row r="2648" spans="37:44" ht="30" hidden="1" customHeight="1" x14ac:dyDescent="0.25">
      <c r="AK2648" s="313"/>
      <c r="AL2648" s="313"/>
      <c r="AM2648" s="313"/>
      <c r="AN2648" s="313"/>
      <c r="AO2648" s="313"/>
      <c r="AP2648" s="313"/>
      <c r="AQ2648" s="314"/>
      <c r="AR2648" s="315" t="str">
        <f t="shared" si="78"/>
        <v/>
      </c>
    </row>
    <row r="2649" spans="37:44" ht="30" hidden="1" customHeight="1" x14ac:dyDescent="0.25">
      <c r="AK2649" s="313"/>
      <c r="AL2649" s="313"/>
      <c r="AM2649" s="313"/>
      <c r="AN2649" s="313"/>
      <c r="AO2649" s="313"/>
      <c r="AP2649" s="313"/>
      <c r="AQ2649" s="314"/>
      <c r="AR2649" s="315" t="str">
        <f t="shared" si="78"/>
        <v/>
      </c>
    </row>
    <row r="2650" spans="37:44" ht="30" hidden="1" customHeight="1" x14ac:dyDescent="0.25">
      <c r="AK2650" s="313"/>
      <c r="AL2650" s="313"/>
      <c r="AM2650" s="313"/>
      <c r="AN2650" s="313"/>
      <c r="AO2650" s="313"/>
      <c r="AP2650" s="313"/>
      <c r="AQ2650" s="314"/>
      <c r="AR2650" s="315" t="str">
        <f t="shared" si="78"/>
        <v/>
      </c>
    </row>
    <row r="2651" spans="37:44" ht="30" hidden="1" customHeight="1" x14ac:dyDescent="0.25">
      <c r="AK2651" s="313"/>
      <c r="AL2651" s="313"/>
      <c r="AM2651" s="313"/>
      <c r="AN2651" s="313"/>
      <c r="AO2651" s="313"/>
      <c r="AP2651" s="313"/>
      <c r="AQ2651" s="314"/>
      <c r="AR2651" s="315" t="str">
        <f t="shared" si="78"/>
        <v/>
      </c>
    </row>
    <row r="2652" spans="37:44" ht="30" hidden="1" customHeight="1" x14ac:dyDescent="0.25">
      <c r="AK2652" s="313"/>
      <c r="AL2652" s="313"/>
      <c r="AM2652" s="313"/>
      <c r="AN2652" s="313"/>
      <c r="AO2652" s="313"/>
      <c r="AP2652" s="313"/>
      <c r="AQ2652" s="314"/>
      <c r="AR2652" s="315" t="str">
        <f t="shared" si="78"/>
        <v/>
      </c>
    </row>
    <row r="2653" spans="37:44" ht="30" hidden="1" customHeight="1" x14ac:dyDescent="0.25">
      <c r="AK2653" s="313"/>
      <c r="AL2653" s="313"/>
      <c r="AM2653" s="313"/>
      <c r="AN2653" s="313"/>
      <c r="AO2653" s="313"/>
      <c r="AP2653" s="313"/>
      <c r="AQ2653" s="314"/>
      <c r="AR2653" s="315" t="str">
        <f t="shared" si="78"/>
        <v/>
      </c>
    </row>
    <row r="2654" spans="37:44" ht="30" hidden="1" customHeight="1" x14ac:dyDescent="0.25">
      <c r="AK2654" s="313"/>
      <c r="AL2654" s="313"/>
      <c r="AM2654" s="313"/>
      <c r="AN2654" s="313"/>
      <c r="AO2654" s="313"/>
      <c r="AP2654" s="313"/>
      <c r="AQ2654" s="314"/>
      <c r="AR2654" s="315" t="str">
        <f t="shared" si="78"/>
        <v/>
      </c>
    </row>
    <row r="2655" spans="37:44" ht="30" hidden="1" customHeight="1" x14ac:dyDescent="0.25">
      <c r="AK2655" s="313"/>
      <c r="AL2655" s="313"/>
      <c r="AM2655" s="313"/>
      <c r="AN2655" s="313"/>
      <c r="AO2655" s="313"/>
      <c r="AP2655" s="313"/>
      <c r="AQ2655" s="314"/>
      <c r="AR2655" s="315" t="str">
        <f t="shared" si="78"/>
        <v/>
      </c>
    </row>
    <row r="2656" spans="37:44" ht="30" hidden="1" customHeight="1" x14ac:dyDescent="0.25">
      <c r="AK2656" s="313"/>
      <c r="AL2656" s="313"/>
      <c r="AM2656" s="313"/>
      <c r="AN2656" s="313"/>
      <c r="AO2656" s="313"/>
      <c r="AP2656" s="313"/>
      <c r="AQ2656" s="314"/>
      <c r="AR2656" s="315" t="str">
        <f t="shared" si="78"/>
        <v/>
      </c>
    </row>
    <row r="2657" spans="37:44" ht="30" hidden="1" customHeight="1" x14ac:dyDescent="0.25">
      <c r="AK2657" s="313"/>
      <c r="AL2657" s="313"/>
      <c r="AM2657" s="313"/>
      <c r="AN2657" s="313"/>
      <c r="AO2657" s="313"/>
      <c r="AP2657" s="313"/>
      <c r="AQ2657" s="314"/>
      <c r="AR2657" s="315" t="str">
        <f t="shared" si="78"/>
        <v/>
      </c>
    </row>
    <row r="2658" spans="37:44" ht="30" hidden="1" customHeight="1" x14ac:dyDescent="0.25">
      <c r="AK2658" s="313"/>
      <c r="AL2658" s="313"/>
      <c r="AM2658" s="313"/>
      <c r="AN2658" s="313"/>
      <c r="AO2658" s="313"/>
      <c r="AP2658" s="313"/>
      <c r="AQ2658" s="314"/>
      <c r="AR2658" s="315" t="str">
        <f t="shared" si="78"/>
        <v/>
      </c>
    </row>
    <row r="2659" spans="37:44" ht="30" hidden="1" customHeight="1" x14ac:dyDescent="0.25">
      <c r="AK2659" s="313"/>
      <c r="AL2659" s="313"/>
      <c r="AM2659" s="313"/>
      <c r="AN2659" s="313"/>
      <c r="AO2659" s="313"/>
      <c r="AP2659" s="313"/>
      <c r="AQ2659" s="314"/>
      <c r="AR2659" s="315" t="str">
        <f t="shared" si="78"/>
        <v/>
      </c>
    </row>
    <row r="2660" spans="37:44" ht="30" hidden="1" customHeight="1" x14ac:dyDescent="0.25">
      <c r="AK2660" s="313"/>
      <c r="AL2660" s="313"/>
      <c r="AM2660" s="313"/>
      <c r="AN2660" s="313"/>
      <c r="AO2660" s="313"/>
      <c r="AP2660" s="313"/>
      <c r="AQ2660" s="314"/>
      <c r="AR2660" s="315" t="str">
        <f t="shared" si="78"/>
        <v/>
      </c>
    </row>
    <row r="2661" spans="37:44" ht="30" hidden="1" customHeight="1" x14ac:dyDescent="0.25">
      <c r="AK2661" s="313"/>
      <c r="AL2661" s="313"/>
      <c r="AM2661" s="313"/>
      <c r="AN2661" s="313"/>
      <c r="AO2661" s="313"/>
      <c r="AP2661" s="313"/>
      <c r="AQ2661" s="314"/>
      <c r="AR2661" s="315" t="str">
        <f t="shared" si="78"/>
        <v/>
      </c>
    </row>
    <row r="2662" spans="37:44" ht="30" hidden="1" customHeight="1" x14ac:dyDescent="0.25">
      <c r="AK2662" s="313"/>
      <c r="AL2662" s="313"/>
      <c r="AM2662" s="313"/>
      <c r="AN2662" s="313"/>
      <c r="AO2662" s="313"/>
      <c r="AP2662" s="313"/>
      <c r="AQ2662" s="314"/>
      <c r="AR2662" s="315" t="str">
        <f t="shared" si="78"/>
        <v/>
      </c>
    </row>
    <row r="2663" spans="37:44" ht="30" hidden="1" customHeight="1" x14ac:dyDescent="0.25">
      <c r="AK2663" s="313"/>
      <c r="AL2663" s="313"/>
      <c r="AM2663" s="313"/>
      <c r="AN2663" s="313"/>
      <c r="AO2663" s="313"/>
      <c r="AP2663" s="313"/>
      <c r="AQ2663" s="314"/>
      <c r="AR2663" s="315" t="str">
        <f t="shared" si="78"/>
        <v/>
      </c>
    </row>
    <row r="2664" spans="37:44" ht="30" hidden="1" customHeight="1" x14ac:dyDescent="0.25">
      <c r="AK2664" s="313"/>
      <c r="AL2664" s="313"/>
      <c r="AM2664" s="313"/>
      <c r="AN2664" s="313"/>
      <c r="AO2664" s="313"/>
      <c r="AP2664" s="313"/>
      <c r="AQ2664" s="314"/>
      <c r="AR2664" s="315" t="str">
        <f t="shared" si="78"/>
        <v/>
      </c>
    </row>
    <row r="2665" spans="37:44" ht="30" hidden="1" customHeight="1" x14ac:dyDescent="0.25">
      <c r="AK2665" s="313"/>
      <c r="AL2665" s="313"/>
      <c r="AM2665" s="313"/>
      <c r="AN2665" s="313"/>
      <c r="AO2665" s="313"/>
      <c r="AP2665" s="313"/>
      <c r="AQ2665" s="314"/>
      <c r="AR2665" s="315" t="str">
        <f t="shared" si="78"/>
        <v/>
      </c>
    </row>
    <row r="2666" spans="37:44" ht="30" hidden="1" customHeight="1" x14ac:dyDescent="0.25">
      <c r="AK2666" s="313"/>
      <c r="AL2666" s="313"/>
      <c r="AM2666" s="313"/>
      <c r="AN2666" s="313"/>
      <c r="AO2666" s="313"/>
      <c r="AP2666" s="313"/>
      <c r="AQ2666" s="314"/>
      <c r="AR2666" s="315" t="str">
        <f t="shared" si="78"/>
        <v/>
      </c>
    </row>
    <row r="2667" spans="37:44" ht="30" hidden="1" customHeight="1" x14ac:dyDescent="0.25">
      <c r="AK2667" s="313"/>
      <c r="AL2667" s="313"/>
      <c r="AM2667" s="313"/>
      <c r="AN2667" s="313"/>
      <c r="AO2667" s="313"/>
      <c r="AP2667" s="313"/>
      <c r="AQ2667" s="314"/>
      <c r="AR2667" s="315" t="str">
        <f t="shared" si="78"/>
        <v/>
      </c>
    </row>
    <row r="2668" spans="37:44" ht="30" hidden="1" customHeight="1" x14ac:dyDescent="0.25">
      <c r="AK2668" s="313"/>
      <c r="AL2668" s="313"/>
      <c r="AM2668" s="313"/>
      <c r="AN2668" s="313"/>
      <c r="AO2668" s="313"/>
      <c r="AP2668" s="313"/>
      <c r="AQ2668" s="314"/>
      <c r="AR2668" s="315" t="str">
        <f t="shared" si="78"/>
        <v/>
      </c>
    </row>
    <row r="2669" spans="37:44" ht="30" hidden="1" customHeight="1" x14ac:dyDescent="0.25">
      <c r="AK2669" s="313"/>
      <c r="AL2669" s="313"/>
      <c r="AM2669" s="313"/>
      <c r="AN2669" s="313"/>
      <c r="AO2669" s="313"/>
      <c r="AP2669" s="313"/>
      <c r="AQ2669" s="314"/>
      <c r="AR2669" s="315" t="str">
        <f t="shared" si="78"/>
        <v/>
      </c>
    </row>
    <row r="2670" spans="37:44" ht="30" hidden="1" customHeight="1" x14ac:dyDescent="0.25">
      <c r="AK2670" s="313"/>
      <c r="AL2670" s="313"/>
      <c r="AM2670" s="313"/>
      <c r="AN2670" s="313"/>
      <c r="AO2670" s="313"/>
      <c r="AP2670" s="313"/>
      <c r="AQ2670" s="314"/>
      <c r="AR2670" s="315" t="str">
        <f t="shared" si="78"/>
        <v/>
      </c>
    </row>
    <row r="2671" spans="37:44" ht="30" hidden="1" customHeight="1" x14ac:dyDescent="0.25">
      <c r="AK2671" s="313"/>
      <c r="AL2671" s="313"/>
      <c r="AM2671" s="313"/>
      <c r="AN2671" s="313"/>
      <c r="AO2671" s="313"/>
      <c r="AP2671" s="313"/>
      <c r="AQ2671" s="314"/>
      <c r="AR2671" s="315" t="str">
        <f t="shared" si="78"/>
        <v/>
      </c>
    </row>
    <row r="2672" spans="37:44" ht="30" hidden="1" customHeight="1" x14ac:dyDescent="0.25">
      <c r="AK2672" s="313"/>
      <c r="AL2672" s="313"/>
      <c r="AM2672" s="313"/>
      <c r="AN2672" s="313"/>
      <c r="AO2672" s="313"/>
      <c r="AP2672" s="313"/>
      <c r="AQ2672" s="314"/>
      <c r="AR2672" s="315" t="str">
        <f t="shared" si="78"/>
        <v/>
      </c>
    </row>
    <row r="2673" spans="37:44" ht="30" hidden="1" customHeight="1" x14ac:dyDescent="0.25">
      <c r="AK2673" s="313"/>
      <c r="AL2673" s="313"/>
      <c r="AM2673" s="313"/>
      <c r="AN2673" s="313"/>
      <c r="AO2673" s="313"/>
      <c r="AP2673" s="313"/>
      <c r="AQ2673" s="314"/>
      <c r="AR2673" s="315" t="str">
        <f t="shared" si="78"/>
        <v/>
      </c>
    </row>
    <row r="2674" spans="37:44" ht="30" hidden="1" customHeight="1" x14ac:dyDescent="0.25">
      <c r="AK2674" s="313"/>
      <c r="AL2674" s="313"/>
      <c r="AM2674" s="313"/>
      <c r="AN2674" s="313"/>
      <c r="AO2674" s="313"/>
      <c r="AP2674" s="313"/>
      <c r="AQ2674" s="314"/>
      <c r="AR2674" s="315" t="str">
        <f t="shared" si="78"/>
        <v/>
      </c>
    </row>
    <row r="2675" spans="37:44" ht="30" hidden="1" customHeight="1" x14ac:dyDescent="0.25">
      <c r="AK2675" s="313"/>
      <c r="AL2675" s="313"/>
      <c r="AM2675" s="313"/>
      <c r="AN2675" s="313"/>
      <c r="AO2675" s="313"/>
      <c r="AP2675" s="313"/>
      <c r="AQ2675" s="314"/>
      <c r="AR2675" s="315" t="str">
        <f t="shared" si="78"/>
        <v/>
      </c>
    </row>
    <row r="2676" spans="37:44" ht="30" hidden="1" customHeight="1" x14ac:dyDescent="0.25">
      <c r="AK2676" s="313"/>
      <c r="AL2676" s="313"/>
      <c r="AM2676" s="313"/>
      <c r="AN2676" s="313"/>
      <c r="AO2676" s="313"/>
      <c r="AP2676" s="313"/>
      <c r="AQ2676" s="314"/>
      <c r="AR2676" s="315" t="str">
        <f t="shared" si="78"/>
        <v/>
      </c>
    </row>
    <row r="2677" spans="37:44" ht="30" hidden="1" customHeight="1" x14ac:dyDescent="0.25">
      <c r="AK2677" s="313"/>
      <c r="AL2677" s="313"/>
      <c r="AM2677" s="313"/>
      <c r="AN2677" s="313"/>
      <c r="AO2677" s="313"/>
      <c r="AP2677" s="313"/>
      <c r="AQ2677" s="314"/>
      <c r="AR2677" s="315" t="str">
        <f t="shared" si="78"/>
        <v/>
      </c>
    </row>
    <row r="2678" spans="37:44" ht="30" hidden="1" customHeight="1" x14ac:dyDescent="0.25">
      <c r="AK2678" s="313"/>
      <c r="AL2678" s="313"/>
      <c r="AM2678" s="313"/>
      <c r="AN2678" s="313"/>
      <c r="AO2678" s="313"/>
      <c r="AP2678" s="313"/>
      <c r="AQ2678" s="314"/>
      <c r="AR2678" s="315" t="str">
        <f t="shared" si="78"/>
        <v/>
      </c>
    </row>
    <row r="2679" spans="37:44" ht="30" hidden="1" customHeight="1" x14ac:dyDescent="0.25">
      <c r="AK2679" s="313"/>
      <c r="AL2679" s="313"/>
      <c r="AM2679" s="313"/>
      <c r="AN2679" s="313"/>
      <c r="AO2679" s="313"/>
      <c r="AP2679" s="313"/>
      <c r="AQ2679" s="314"/>
      <c r="AR2679" s="315" t="str">
        <f t="shared" si="78"/>
        <v/>
      </c>
    </row>
    <row r="2680" spans="37:44" ht="30" hidden="1" customHeight="1" x14ac:dyDescent="0.25">
      <c r="AK2680" s="313"/>
      <c r="AL2680" s="313"/>
      <c r="AM2680" s="313"/>
      <c r="AN2680" s="313"/>
      <c r="AO2680" s="313"/>
      <c r="AP2680" s="313"/>
      <c r="AQ2680" s="314"/>
      <c r="AR2680" s="315" t="str">
        <f t="shared" si="78"/>
        <v/>
      </c>
    </row>
    <row r="2681" spans="37:44" ht="30" hidden="1" customHeight="1" x14ac:dyDescent="0.25">
      <c r="AK2681" s="313"/>
      <c r="AL2681" s="313"/>
      <c r="AM2681" s="313"/>
      <c r="AN2681" s="313"/>
      <c r="AO2681" s="313"/>
      <c r="AP2681" s="313"/>
      <c r="AQ2681" s="314"/>
      <c r="AR2681" s="315" t="str">
        <f t="shared" si="78"/>
        <v/>
      </c>
    </row>
    <row r="2682" spans="37:44" ht="30" hidden="1" customHeight="1" x14ac:dyDescent="0.25">
      <c r="AK2682" s="313"/>
      <c r="AL2682" s="313"/>
      <c r="AM2682" s="313"/>
      <c r="AN2682" s="313"/>
      <c r="AO2682" s="313"/>
      <c r="AP2682" s="313"/>
      <c r="AQ2682" s="314"/>
      <c r="AR2682" s="315" t="str">
        <f t="shared" si="78"/>
        <v/>
      </c>
    </row>
    <row r="2683" spans="37:44" ht="30" hidden="1" customHeight="1" x14ac:dyDescent="0.25">
      <c r="AK2683" s="313"/>
      <c r="AL2683" s="313"/>
      <c r="AM2683" s="313"/>
      <c r="AN2683" s="313"/>
      <c r="AO2683" s="313"/>
      <c r="AP2683" s="313"/>
      <c r="AQ2683" s="314"/>
      <c r="AR2683" s="315" t="str">
        <f t="shared" si="78"/>
        <v/>
      </c>
    </row>
    <row r="2684" spans="37:44" ht="30" hidden="1" customHeight="1" x14ac:dyDescent="0.25">
      <c r="AK2684" s="313"/>
      <c r="AL2684" s="313"/>
      <c r="AM2684" s="313"/>
      <c r="AN2684" s="313"/>
      <c r="AO2684" s="313"/>
      <c r="AP2684" s="313"/>
      <c r="AQ2684" s="314"/>
      <c r="AR2684" s="315" t="str">
        <f t="shared" si="78"/>
        <v/>
      </c>
    </row>
    <row r="2685" spans="37:44" ht="30" hidden="1" customHeight="1" x14ac:dyDescent="0.25">
      <c r="AK2685" s="313"/>
      <c r="AL2685" s="313"/>
      <c r="AM2685" s="313"/>
      <c r="AN2685" s="313"/>
      <c r="AO2685" s="313"/>
      <c r="AP2685" s="313"/>
      <c r="AQ2685" s="314"/>
      <c r="AR2685" s="315" t="str">
        <f t="shared" si="78"/>
        <v/>
      </c>
    </row>
    <row r="2686" spans="37:44" ht="30" hidden="1" customHeight="1" x14ac:dyDescent="0.25">
      <c r="AK2686" s="313"/>
      <c r="AL2686" s="313"/>
      <c r="AM2686" s="313"/>
      <c r="AN2686" s="313"/>
      <c r="AO2686" s="313"/>
      <c r="AP2686" s="313"/>
      <c r="AQ2686" s="314"/>
      <c r="AR2686" s="315" t="str">
        <f t="shared" si="78"/>
        <v/>
      </c>
    </row>
    <row r="2687" spans="37:44" ht="30" hidden="1" customHeight="1" x14ac:dyDescent="0.25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79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 x14ac:dyDescent="0.25">
      <c r="AK2688" s="313"/>
      <c r="AL2688" s="313"/>
      <c r="AM2688" s="313"/>
      <c r="AN2688" s="313"/>
      <c r="AO2688" s="313"/>
      <c r="AP2688" s="313"/>
      <c r="AQ2688" s="314"/>
      <c r="AR2688" s="315" t="str">
        <f t="shared" si="79"/>
        <v/>
      </c>
    </row>
    <row r="2689" spans="37:44" ht="30" hidden="1" customHeight="1" x14ac:dyDescent="0.25">
      <c r="AK2689" s="313"/>
      <c r="AL2689" s="313"/>
      <c r="AM2689" s="313"/>
      <c r="AN2689" s="313"/>
      <c r="AO2689" s="313"/>
      <c r="AP2689" s="313"/>
      <c r="AQ2689" s="314"/>
      <c r="AR2689" s="315" t="str">
        <f t="shared" si="79"/>
        <v/>
      </c>
    </row>
    <row r="2690" spans="37:44" ht="30" hidden="1" customHeight="1" x14ac:dyDescent="0.25">
      <c r="AK2690" s="313"/>
      <c r="AL2690" s="313"/>
      <c r="AM2690" s="313"/>
      <c r="AN2690" s="313"/>
      <c r="AO2690" s="313"/>
      <c r="AP2690" s="313"/>
      <c r="AQ2690" s="314"/>
      <c r="AR2690" s="315" t="str">
        <f t="shared" si="79"/>
        <v/>
      </c>
    </row>
    <row r="2691" spans="37:44" ht="30" hidden="1" customHeight="1" x14ac:dyDescent="0.25">
      <c r="AK2691" s="313"/>
      <c r="AL2691" s="313"/>
      <c r="AM2691" s="313"/>
      <c r="AN2691" s="313"/>
      <c r="AO2691" s="313"/>
      <c r="AP2691" s="313"/>
      <c r="AQ2691" s="314"/>
      <c r="AR2691" s="315" t="str">
        <f t="shared" si="79"/>
        <v/>
      </c>
    </row>
    <row r="2692" spans="37:44" ht="30" hidden="1" customHeight="1" x14ac:dyDescent="0.25">
      <c r="AK2692" s="313"/>
      <c r="AL2692" s="313"/>
      <c r="AM2692" s="313"/>
      <c r="AN2692" s="313"/>
      <c r="AO2692" s="313"/>
      <c r="AP2692" s="313"/>
      <c r="AQ2692" s="314"/>
      <c r="AR2692" s="315" t="str">
        <f t="shared" si="79"/>
        <v/>
      </c>
    </row>
    <row r="2693" spans="37:44" ht="30" hidden="1" customHeight="1" x14ac:dyDescent="0.25">
      <c r="AK2693" s="313"/>
      <c r="AL2693" s="313"/>
      <c r="AM2693" s="313"/>
      <c r="AN2693" s="313"/>
      <c r="AO2693" s="313"/>
      <c r="AP2693" s="313"/>
      <c r="AQ2693" s="314"/>
      <c r="AR2693" s="315" t="str">
        <f t="shared" si="79"/>
        <v/>
      </c>
    </row>
    <row r="2694" spans="37:44" ht="30" hidden="1" customHeight="1" x14ac:dyDescent="0.25">
      <c r="AK2694" s="313"/>
      <c r="AL2694" s="313"/>
      <c r="AM2694" s="313"/>
      <c r="AN2694" s="313"/>
      <c r="AO2694" s="313"/>
      <c r="AP2694" s="313"/>
      <c r="AQ2694" s="314"/>
      <c r="AR2694" s="315" t="str">
        <f t="shared" si="79"/>
        <v/>
      </c>
    </row>
    <row r="2695" spans="37:44" ht="30" hidden="1" customHeight="1" x14ac:dyDescent="0.25">
      <c r="AK2695" s="313"/>
      <c r="AL2695" s="313"/>
      <c r="AM2695" s="313"/>
      <c r="AN2695" s="313"/>
      <c r="AO2695" s="313"/>
      <c r="AP2695" s="313"/>
      <c r="AQ2695" s="314"/>
      <c r="AR2695" s="315" t="str">
        <f t="shared" si="79"/>
        <v/>
      </c>
    </row>
    <row r="2696" spans="37:44" ht="30" hidden="1" customHeight="1" x14ac:dyDescent="0.25">
      <c r="AK2696" s="313"/>
      <c r="AL2696" s="313"/>
      <c r="AM2696" s="313"/>
      <c r="AN2696" s="313"/>
      <c r="AO2696" s="313"/>
      <c r="AP2696" s="313"/>
      <c r="AQ2696" s="314"/>
      <c r="AR2696" s="315" t="str">
        <f t="shared" si="79"/>
        <v/>
      </c>
    </row>
    <row r="2697" spans="37:44" ht="30" hidden="1" customHeight="1" x14ac:dyDescent="0.25">
      <c r="AK2697" s="313"/>
      <c r="AL2697" s="313"/>
      <c r="AM2697" s="313"/>
      <c r="AN2697" s="313"/>
      <c r="AO2697" s="313"/>
      <c r="AP2697" s="313"/>
      <c r="AQ2697" s="314"/>
      <c r="AR2697" s="315" t="str">
        <f t="shared" si="79"/>
        <v/>
      </c>
    </row>
    <row r="2698" spans="37:44" ht="30" hidden="1" customHeight="1" x14ac:dyDescent="0.25">
      <c r="AK2698" s="313"/>
      <c r="AL2698" s="313"/>
      <c r="AM2698" s="313"/>
      <c r="AN2698" s="313"/>
      <c r="AO2698" s="313"/>
      <c r="AP2698" s="313"/>
      <c r="AQ2698" s="314"/>
      <c r="AR2698" s="315" t="str">
        <f t="shared" si="79"/>
        <v/>
      </c>
    </row>
    <row r="2699" spans="37:44" ht="30" hidden="1" customHeight="1" x14ac:dyDescent="0.25">
      <c r="AK2699" s="313"/>
      <c r="AL2699" s="313"/>
      <c r="AM2699" s="313"/>
      <c r="AN2699" s="313"/>
      <c r="AO2699" s="313"/>
      <c r="AP2699" s="313"/>
      <c r="AQ2699" s="314"/>
      <c r="AR2699" s="315" t="str">
        <f t="shared" si="79"/>
        <v/>
      </c>
    </row>
    <row r="2700" spans="37:44" ht="30" hidden="1" customHeight="1" x14ac:dyDescent="0.25">
      <c r="AK2700" s="313"/>
      <c r="AL2700" s="313"/>
      <c r="AM2700" s="313"/>
      <c r="AN2700" s="313"/>
      <c r="AO2700" s="313"/>
      <c r="AP2700" s="313"/>
      <c r="AQ2700" s="314"/>
      <c r="AR2700" s="315" t="str">
        <f t="shared" si="79"/>
        <v/>
      </c>
    </row>
    <row r="2701" spans="37:44" ht="30" hidden="1" customHeight="1" x14ac:dyDescent="0.25">
      <c r="AK2701" s="313"/>
      <c r="AL2701" s="313"/>
      <c r="AM2701" s="313"/>
      <c r="AN2701" s="313"/>
      <c r="AO2701" s="313"/>
      <c r="AP2701" s="313"/>
      <c r="AQ2701" s="314"/>
      <c r="AR2701" s="315" t="str">
        <f t="shared" si="79"/>
        <v/>
      </c>
    </row>
    <row r="2702" spans="37:44" ht="30" hidden="1" customHeight="1" x14ac:dyDescent="0.25">
      <c r="AK2702" s="313"/>
      <c r="AL2702" s="313"/>
      <c r="AM2702" s="313"/>
      <c r="AN2702" s="313"/>
      <c r="AO2702" s="313"/>
      <c r="AP2702" s="313"/>
      <c r="AQ2702" s="314"/>
      <c r="AR2702" s="315" t="str">
        <f t="shared" si="79"/>
        <v/>
      </c>
    </row>
    <row r="2703" spans="37:44" ht="30" hidden="1" customHeight="1" x14ac:dyDescent="0.25">
      <c r="AK2703" s="313"/>
      <c r="AL2703" s="313"/>
      <c r="AM2703" s="313"/>
      <c r="AN2703" s="313"/>
      <c r="AO2703" s="313"/>
      <c r="AP2703" s="313"/>
      <c r="AQ2703" s="314"/>
      <c r="AR2703" s="315" t="str">
        <f t="shared" si="79"/>
        <v/>
      </c>
    </row>
    <row r="2704" spans="37:44" ht="30" hidden="1" customHeight="1" x14ac:dyDescent="0.25">
      <c r="AK2704" s="313"/>
      <c r="AL2704" s="313"/>
      <c r="AM2704" s="313"/>
      <c r="AN2704" s="313"/>
      <c r="AO2704" s="313"/>
      <c r="AP2704" s="313"/>
      <c r="AQ2704" s="314"/>
      <c r="AR2704" s="315" t="str">
        <f t="shared" si="79"/>
        <v/>
      </c>
    </row>
    <row r="2705" spans="37:44" ht="30" hidden="1" customHeight="1" x14ac:dyDescent="0.25">
      <c r="AK2705" s="313"/>
      <c r="AL2705" s="313"/>
      <c r="AM2705" s="313"/>
      <c r="AN2705" s="313"/>
      <c r="AO2705" s="313"/>
      <c r="AP2705" s="313"/>
      <c r="AQ2705" s="314"/>
      <c r="AR2705" s="315" t="str">
        <f t="shared" si="79"/>
        <v/>
      </c>
    </row>
    <row r="2706" spans="37:44" ht="30" hidden="1" customHeight="1" x14ac:dyDescent="0.25">
      <c r="AK2706" s="313"/>
      <c r="AL2706" s="313"/>
      <c r="AM2706" s="313"/>
      <c r="AN2706" s="313"/>
      <c r="AO2706" s="313"/>
      <c r="AP2706" s="313"/>
      <c r="AQ2706" s="314"/>
      <c r="AR2706" s="315" t="str">
        <f t="shared" si="79"/>
        <v/>
      </c>
    </row>
    <row r="2707" spans="37:44" ht="30" hidden="1" customHeight="1" x14ac:dyDescent="0.25">
      <c r="AK2707" s="313"/>
      <c r="AL2707" s="313"/>
      <c r="AM2707" s="313"/>
      <c r="AN2707" s="313"/>
      <c r="AO2707" s="313"/>
      <c r="AP2707" s="313"/>
      <c r="AQ2707" s="314"/>
      <c r="AR2707" s="315" t="str">
        <f t="shared" si="79"/>
        <v/>
      </c>
    </row>
    <row r="2708" spans="37:44" ht="30" hidden="1" customHeight="1" x14ac:dyDescent="0.25">
      <c r="AK2708" s="313"/>
      <c r="AL2708" s="313"/>
      <c r="AM2708" s="313"/>
      <c r="AN2708" s="313"/>
      <c r="AO2708" s="313"/>
      <c r="AP2708" s="313"/>
      <c r="AQ2708" s="314"/>
      <c r="AR2708" s="315" t="str">
        <f t="shared" si="79"/>
        <v/>
      </c>
    </row>
    <row r="2709" spans="37:44" ht="30" hidden="1" customHeight="1" x14ac:dyDescent="0.25">
      <c r="AK2709" s="313"/>
      <c r="AL2709" s="313"/>
      <c r="AM2709" s="313"/>
      <c r="AN2709" s="313"/>
      <c r="AO2709" s="313"/>
      <c r="AP2709" s="313"/>
      <c r="AQ2709" s="314"/>
      <c r="AR2709" s="315" t="str">
        <f t="shared" si="79"/>
        <v/>
      </c>
    </row>
    <row r="2710" spans="37:44" ht="30" hidden="1" customHeight="1" x14ac:dyDescent="0.25">
      <c r="AK2710" s="313"/>
      <c r="AL2710" s="313"/>
      <c r="AM2710" s="313"/>
      <c r="AN2710" s="313"/>
      <c r="AO2710" s="313"/>
      <c r="AP2710" s="313"/>
      <c r="AQ2710" s="314"/>
      <c r="AR2710" s="315" t="str">
        <f t="shared" si="79"/>
        <v/>
      </c>
    </row>
    <row r="2711" spans="37:44" ht="30" hidden="1" customHeight="1" x14ac:dyDescent="0.25">
      <c r="AK2711" s="313"/>
      <c r="AL2711" s="313"/>
      <c r="AM2711" s="313"/>
      <c r="AN2711" s="313"/>
      <c r="AO2711" s="313"/>
      <c r="AP2711" s="313"/>
      <c r="AQ2711" s="314"/>
      <c r="AR2711" s="315" t="str">
        <f t="shared" si="79"/>
        <v/>
      </c>
    </row>
    <row r="2712" spans="37:44" ht="30" hidden="1" customHeight="1" x14ac:dyDescent="0.25">
      <c r="AK2712" s="313"/>
      <c r="AL2712" s="313"/>
      <c r="AM2712" s="313"/>
      <c r="AN2712" s="313"/>
      <c r="AO2712" s="313"/>
      <c r="AP2712" s="313"/>
      <c r="AQ2712" s="314"/>
      <c r="AR2712" s="315" t="str">
        <f t="shared" si="79"/>
        <v/>
      </c>
    </row>
    <row r="2713" spans="37:44" ht="30" hidden="1" customHeight="1" x14ac:dyDescent="0.25">
      <c r="AK2713" s="313"/>
      <c r="AL2713" s="313"/>
      <c r="AM2713" s="313"/>
      <c r="AN2713" s="313"/>
      <c r="AO2713" s="313"/>
      <c r="AP2713" s="313"/>
      <c r="AQ2713" s="314"/>
      <c r="AR2713" s="315" t="str">
        <f t="shared" si="79"/>
        <v/>
      </c>
    </row>
    <row r="2714" spans="37:44" ht="30" hidden="1" customHeight="1" x14ac:dyDescent="0.25">
      <c r="AK2714" s="313"/>
      <c r="AL2714" s="313"/>
      <c r="AM2714" s="313"/>
      <c r="AN2714" s="313"/>
      <c r="AO2714" s="313"/>
      <c r="AP2714" s="313"/>
      <c r="AQ2714" s="314"/>
      <c r="AR2714" s="315" t="str">
        <f t="shared" si="79"/>
        <v/>
      </c>
    </row>
    <row r="2715" spans="37:44" ht="30" hidden="1" customHeight="1" x14ac:dyDescent="0.25">
      <c r="AK2715" s="313"/>
      <c r="AL2715" s="313"/>
      <c r="AM2715" s="313"/>
      <c r="AN2715" s="313"/>
      <c r="AO2715" s="313"/>
      <c r="AP2715" s="313"/>
      <c r="AQ2715" s="314"/>
      <c r="AR2715" s="315" t="str">
        <f t="shared" si="79"/>
        <v/>
      </c>
    </row>
    <row r="2716" spans="37:44" ht="30" hidden="1" customHeight="1" x14ac:dyDescent="0.25">
      <c r="AK2716" s="313"/>
      <c r="AL2716" s="313"/>
      <c r="AM2716" s="313"/>
      <c r="AN2716" s="313"/>
      <c r="AO2716" s="313"/>
      <c r="AP2716" s="313"/>
      <c r="AQ2716" s="314"/>
      <c r="AR2716" s="315" t="str">
        <f t="shared" si="79"/>
        <v/>
      </c>
    </row>
    <row r="2717" spans="37:44" ht="30" hidden="1" customHeight="1" x14ac:dyDescent="0.25">
      <c r="AK2717" s="313"/>
      <c r="AL2717" s="313"/>
      <c r="AM2717" s="313"/>
      <c r="AN2717" s="313"/>
      <c r="AO2717" s="313"/>
      <c r="AP2717" s="313"/>
      <c r="AQ2717" s="314"/>
      <c r="AR2717" s="315" t="str">
        <f t="shared" si="79"/>
        <v/>
      </c>
    </row>
    <row r="2718" spans="37:44" ht="30" hidden="1" customHeight="1" x14ac:dyDescent="0.25">
      <c r="AK2718" s="313"/>
      <c r="AL2718" s="313"/>
      <c r="AM2718" s="313"/>
      <c r="AN2718" s="313"/>
      <c r="AO2718" s="313"/>
      <c r="AP2718" s="313"/>
      <c r="AQ2718" s="314"/>
      <c r="AR2718" s="315" t="str">
        <f t="shared" si="79"/>
        <v/>
      </c>
    </row>
    <row r="2719" spans="37:44" ht="30" hidden="1" customHeight="1" x14ac:dyDescent="0.25">
      <c r="AK2719" s="313"/>
      <c r="AL2719" s="313"/>
      <c r="AM2719" s="313"/>
      <c r="AN2719" s="313"/>
      <c r="AO2719" s="313"/>
      <c r="AP2719" s="313"/>
      <c r="AQ2719" s="314"/>
      <c r="AR2719" s="315" t="str">
        <f t="shared" si="79"/>
        <v/>
      </c>
    </row>
    <row r="2720" spans="37:44" ht="30" hidden="1" customHeight="1" x14ac:dyDescent="0.25">
      <c r="AK2720" s="313"/>
      <c r="AL2720" s="313"/>
      <c r="AM2720" s="313"/>
      <c r="AN2720" s="313"/>
      <c r="AO2720" s="313"/>
      <c r="AP2720" s="313"/>
      <c r="AQ2720" s="314"/>
      <c r="AR2720" s="315" t="str">
        <f t="shared" si="79"/>
        <v/>
      </c>
    </row>
    <row r="2721" spans="37:44" ht="30" hidden="1" customHeight="1" x14ac:dyDescent="0.25">
      <c r="AK2721" s="313"/>
      <c r="AL2721" s="313"/>
      <c r="AM2721" s="313"/>
      <c r="AN2721" s="313"/>
      <c r="AO2721" s="313"/>
      <c r="AP2721" s="313"/>
      <c r="AQ2721" s="314"/>
      <c r="AR2721" s="315" t="str">
        <f t="shared" si="79"/>
        <v/>
      </c>
    </row>
    <row r="2722" spans="37:44" ht="30" hidden="1" customHeight="1" x14ac:dyDescent="0.25">
      <c r="AK2722" s="313"/>
      <c r="AL2722" s="313"/>
      <c r="AM2722" s="313"/>
      <c r="AN2722" s="313"/>
      <c r="AO2722" s="313"/>
      <c r="AP2722" s="313"/>
      <c r="AQ2722" s="314"/>
      <c r="AR2722" s="315" t="str">
        <f t="shared" si="79"/>
        <v/>
      </c>
    </row>
    <row r="2723" spans="37:44" ht="30" hidden="1" customHeight="1" x14ac:dyDescent="0.25">
      <c r="AK2723" s="313"/>
      <c r="AL2723" s="313"/>
      <c r="AM2723" s="313"/>
      <c r="AN2723" s="313"/>
      <c r="AO2723" s="313"/>
      <c r="AP2723" s="313"/>
      <c r="AQ2723" s="314"/>
      <c r="AR2723" s="315" t="str">
        <f t="shared" si="79"/>
        <v/>
      </c>
    </row>
    <row r="2724" spans="37:44" ht="30" hidden="1" customHeight="1" x14ac:dyDescent="0.25">
      <c r="AK2724" s="313"/>
      <c r="AL2724" s="313"/>
      <c r="AM2724" s="313"/>
      <c r="AN2724" s="313"/>
      <c r="AO2724" s="313"/>
      <c r="AP2724" s="313"/>
      <c r="AQ2724" s="314"/>
      <c r="AR2724" s="315" t="str">
        <f t="shared" si="79"/>
        <v/>
      </c>
    </row>
    <row r="2725" spans="37:44" ht="30" hidden="1" customHeight="1" x14ac:dyDescent="0.25">
      <c r="AK2725" s="313"/>
      <c r="AL2725" s="313"/>
      <c r="AM2725" s="313"/>
      <c r="AN2725" s="313"/>
      <c r="AO2725" s="313"/>
      <c r="AP2725" s="313"/>
      <c r="AQ2725" s="314"/>
      <c r="AR2725" s="315" t="str">
        <f t="shared" si="79"/>
        <v/>
      </c>
    </row>
    <row r="2726" spans="37:44" ht="30" hidden="1" customHeight="1" x14ac:dyDescent="0.25">
      <c r="AK2726" s="313"/>
      <c r="AL2726" s="313"/>
      <c r="AM2726" s="313"/>
      <c r="AN2726" s="313"/>
      <c r="AO2726" s="313"/>
      <c r="AP2726" s="313"/>
      <c r="AQ2726" s="314"/>
      <c r="AR2726" s="315" t="str">
        <f t="shared" si="79"/>
        <v/>
      </c>
    </row>
    <row r="2727" spans="37:44" ht="30" hidden="1" customHeight="1" x14ac:dyDescent="0.25">
      <c r="AK2727" s="313"/>
      <c r="AL2727" s="313"/>
      <c r="AM2727" s="313"/>
      <c r="AN2727" s="313"/>
      <c r="AO2727" s="313"/>
      <c r="AP2727" s="313"/>
      <c r="AQ2727" s="314"/>
      <c r="AR2727" s="315" t="str">
        <f t="shared" si="79"/>
        <v/>
      </c>
    </row>
    <row r="2728" spans="37:44" ht="30" hidden="1" customHeight="1" x14ac:dyDescent="0.25">
      <c r="AK2728" s="313"/>
      <c r="AL2728" s="313"/>
      <c r="AM2728" s="313"/>
      <c r="AN2728" s="313"/>
      <c r="AO2728" s="313"/>
      <c r="AP2728" s="313"/>
      <c r="AQ2728" s="314"/>
      <c r="AR2728" s="315" t="str">
        <f t="shared" si="79"/>
        <v/>
      </c>
    </row>
    <row r="2729" spans="37:44" ht="30" hidden="1" customHeight="1" x14ac:dyDescent="0.25">
      <c r="AK2729" s="313"/>
      <c r="AL2729" s="313"/>
      <c r="AM2729" s="313"/>
      <c r="AN2729" s="313"/>
      <c r="AO2729" s="313"/>
      <c r="AP2729" s="313"/>
      <c r="AQ2729" s="314"/>
      <c r="AR2729" s="315" t="str">
        <f t="shared" si="79"/>
        <v/>
      </c>
    </row>
    <row r="2730" spans="37:44" ht="30" hidden="1" customHeight="1" x14ac:dyDescent="0.25">
      <c r="AK2730" s="313"/>
      <c r="AL2730" s="313"/>
      <c r="AM2730" s="313"/>
      <c r="AN2730" s="313"/>
      <c r="AO2730" s="313"/>
      <c r="AP2730" s="313"/>
      <c r="AQ2730" s="314"/>
      <c r="AR2730" s="315" t="str">
        <f t="shared" si="79"/>
        <v/>
      </c>
    </row>
    <row r="2731" spans="37:44" ht="30" hidden="1" customHeight="1" x14ac:dyDescent="0.25">
      <c r="AK2731" s="313"/>
      <c r="AL2731" s="313"/>
      <c r="AM2731" s="313"/>
      <c r="AN2731" s="313"/>
      <c r="AO2731" s="313"/>
      <c r="AP2731" s="313"/>
      <c r="AQ2731" s="314"/>
      <c r="AR2731" s="315" t="str">
        <f t="shared" si="79"/>
        <v/>
      </c>
    </row>
    <row r="2732" spans="37:44" ht="30" hidden="1" customHeight="1" x14ac:dyDescent="0.25">
      <c r="AK2732" s="313"/>
      <c r="AL2732" s="313"/>
      <c r="AM2732" s="313"/>
      <c r="AN2732" s="313"/>
      <c r="AO2732" s="313"/>
      <c r="AP2732" s="313"/>
      <c r="AQ2732" s="314"/>
      <c r="AR2732" s="315" t="str">
        <f t="shared" si="79"/>
        <v/>
      </c>
    </row>
    <row r="2733" spans="37:44" ht="30" hidden="1" customHeight="1" x14ac:dyDescent="0.25">
      <c r="AK2733" s="313"/>
      <c r="AL2733" s="313"/>
      <c r="AM2733" s="313"/>
      <c r="AN2733" s="313"/>
      <c r="AO2733" s="313"/>
      <c r="AP2733" s="313"/>
      <c r="AQ2733" s="314"/>
      <c r="AR2733" s="315" t="str">
        <f t="shared" si="79"/>
        <v/>
      </c>
    </row>
    <row r="2734" spans="37:44" ht="30" hidden="1" customHeight="1" x14ac:dyDescent="0.25">
      <c r="AK2734" s="313"/>
      <c r="AL2734" s="313"/>
      <c r="AM2734" s="313"/>
      <c r="AN2734" s="313"/>
      <c r="AO2734" s="313"/>
      <c r="AP2734" s="313"/>
      <c r="AQ2734" s="314"/>
      <c r="AR2734" s="315" t="str">
        <f t="shared" si="79"/>
        <v/>
      </c>
    </row>
    <row r="2735" spans="37:44" ht="30" hidden="1" customHeight="1" x14ac:dyDescent="0.25">
      <c r="AK2735" s="313"/>
      <c r="AL2735" s="313"/>
      <c r="AM2735" s="313"/>
      <c r="AN2735" s="313"/>
      <c r="AO2735" s="313"/>
      <c r="AP2735" s="313"/>
      <c r="AQ2735" s="314"/>
      <c r="AR2735" s="315" t="str">
        <f t="shared" si="79"/>
        <v/>
      </c>
    </row>
    <row r="2736" spans="37:44" ht="30" hidden="1" customHeight="1" x14ac:dyDescent="0.25">
      <c r="AK2736" s="313"/>
      <c r="AL2736" s="313"/>
      <c r="AM2736" s="313"/>
      <c r="AN2736" s="313"/>
      <c r="AO2736" s="313"/>
      <c r="AP2736" s="313"/>
      <c r="AQ2736" s="314"/>
      <c r="AR2736" s="315" t="str">
        <f t="shared" si="79"/>
        <v/>
      </c>
    </row>
    <row r="2737" spans="37:44" ht="30" hidden="1" customHeight="1" x14ac:dyDescent="0.25">
      <c r="AK2737" s="313"/>
      <c r="AL2737" s="313"/>
      <c r="AM2737" s="313"/>
      <c r="AN2737" s="313"/>
      <c r="AO2737" s="313"/>
      <c r="AP2737" s="313"/>
      <c r="AQ2737" s="314"/>
      <c r="AR2737" s="315" t="str">
        <f t="shared" si="79"/>
        <v/>
      </c>
    </row>
    <row r="2738" spans="37:44" ht="30" hidden="1" customHeight="1" x14ac:dyDescent="0.25">
      <c r="AK2738" s="313"/>
      <c r="AL2738" s="313"/>
      <c r="AM2738" s="313"/>
      <c r="AN2738" s="313"/>
      <c r="AO2738" s="313"/>
      <c r="AP2738" s="313"/>
      <c r="AQ2738" s="314"/>
      <c r="AR2738" s="315" t="str">
        <f t="shared" si="79"/>
        <v/>
      </c>
    </row>
    <row r="2739" spans="37:44" ht="30" hidden="1" customHeight="1" x14ac:dyDescent="0.25">
      <c r="AK2739" s="313"/>
      <c r="AL2739" s="313"/>
      <c r="AM2739" s="313"/>
      <c r="AN2739" s="313"/>
      <c r="AO2739" s="313"/>
      <c r="AP2739" s="313"/>
      <c r="AQ2739" s="314"/>
      <c r="AR2739" s="315" t="str">
        <f t="shared" si="79"/>
        <v/>
      </c>
    </row>
    <row r="2740" spans="37:44" ht="30" hidden="1" customHeight="1" x14ac:dyDescent="0.25">
      <c r="AK2740" s="313"/>
      <c r="AL2740" s="313"/>
      <c r="AM2740" s="313"/>
      <c r="AN2740" s="313"/>
      <c r="AO2740" s="313"/>
      <c r="AP2740" s="313"/>
      <c r="AQ2740" s="314"/>
      <c r="AR2740" s="315" t="str">
        <f t="shared" si="79"/>
        <v/>
      </c>
    </row>
    <row r="2741" spans="37:44" ht="30" hidden="1" customHeight="1" x14ac:dyDescent="0.25">
      <c r="AK2741" s="313"/>
      <c r="AL2741" s="313"/>
      <c r="AM2741" s="313"/>
      <c r="AN2741" s="313"/>
      <c r="AO2741" s="313"/>
      <c r="AP2741" s="313"/>
      <c r="AQ2741" s="314"/>
      <c r="AR2741" s="315" t="str">
        <f t="shared" si="79"/>
        <v/>
      </c>
    </row>
    <row r="2742" spans="37:44" ht="30" hidden="1" customHeight="1" x14ac:dyDescent="0.25">
      <c r="AK2742" s="313"/>
      <c r="AL2742" s="313"/>
      <c r="AM2742" s="313"/>
      <c r="AN2742" s="313"/>
      <c r="AO2742" s="313"/>
      <c r="AP2742" s="313"/>
      <c r="AQ2742" s="314"/>
      <c r="AR2742" s="315" t="str">
        <f t="shared" si="79"/>
        <v/>
      </c>
    </row>
    <row r="2743" spans="37:44" ht="30" hidden="1" customHeight="1" x14ac:dyDescent="0.25">
      <c r="AK2743" s="313"/>
      <c r="AL2743" s="313"/>
      <c r="AM2743" s="313"/>
      <c r="AN2743" s="313"/>
      <c r="AO2743" s="313"/>
      <c r="AP2743" s="313"/>
      <c r="AQ2743" s="314"/>
      <c r="AR2743" s="315" t="str">
        <f t="shared" si="79"/>
        <v/>
      </c>
    </row>
    <row r="2744" spans="37:44" ht="30" hidden="1" customHeight="1" x14ac:dyDescent="0.25">
      <c r="AK2744" s="313"/>
      <c r="AL2744" s="313"/>
      <c r="AM2744" s="313"/>
      <c r="AN2744" s="313"/>
      <c r="AO2744" s="313"/>
      <c r="AP2744" s="313"/>
      <c r="AQ2744" s="314"/>
      <c r="AR2744" s="315" t="str">
        <f t="shared" si="79"/>
        <v/>
      </c>
    </row>
    <row r="2745" spans="37:44" ht="30" hidden="1" customHeight="1" x14ac:dyDescent="0.25">
      <c r="AK2745" s="313"/>
      <c r="AL2745" s="313"/>
      <c r="AM2745" s="313"/>
      <c r="AN2745" s="313"/>
      <c r="AO2745" s="313"/>
      <c r="AP2745" s="313"/>
      <c r="AQ2745" s="314"/>
      <c r="AR2745" s="315" t="str">
        <f t="shared" si="79"/>
        <v/>
      </c>
    </row>
    <row r="2746" spans="37:44" ht="30" hidden="1" customHeight="1" x14ac:dyDescent="0.25">
      <c r="AK2746" s="313"/>
      <c r="AL2746" s="313"/>
      <c r="AM2746" s="313"/>
      <c r="AN2746" s="313"/>
      <c r="AO2746" s="313"/>
      <c r="AP2746" s="313"/>
      <c r="AQ2746" s="314"/>
      <c r="AR2746" s="315" t="str">
        <f t="shared" si="79"/>
        <v/>
      </c>
    </row>
    <row r="2747" spans="37:44" ht="30" hidden="1" customHeight="1" x14ac:dyDescent="0.25">
      <c r="AK2747" s="313"/>
      <c r="AL2747" s="313"/>
      <c r="AM2747" s="313"/>
      <c r="AN2747" s="313"/>
      <c r="AO2747" s="313"/>
      <c r="AP2747" s="313"/>
      <c r="AQ2747" s="314"/>
      <c r="AR2747" s="315" t="str">
        <f t="shared" si="79"/>
        <v/>
      </c>
    </row>
    <row r="2748" spans="37:44" ht="30" hidden="1" customHeight="1" x14ac:dyDescent="0.25">
      <c r="AK2748" s="313"/>
      <c r="AL2748" s="313"/>
      <c r="AM2748" s="313"/>
      <c r="AN2748" s="313"/>
      <c r="AO2748" s="313"/>
      <c r="AP2748" s="313"/>
      <c r="AQ2748" s="314"/>
      <c r="AR2748" s="315" t="str">
        <f t="shared" si="79"/>
        <v/>
      </c>
    </row>
    <row r="2749" spans="37:44" ht="30" hidden="1" customHeight="1" x14ac:dyDescent="0.25">
      <c r="AK2749" s="313"/>
      <c r="AL2749" s="313"/>
      <c r="AM2749" s="313"/>
      <c r="AN2749" s="313"/>
      <c r="AO2749" s="313"/>
      <c r="AP2749" s="313"/>
      <c r="AQ2749" s="314"/>
      <c r="AR2749" s="315" t="str">
        <f t="shared" si="79"/>
        <v/>
      </c>
    </row>
    <row r="2750" spans="37:44" ht="30" hidden="1" customHeight="1" x14ac:dyDescent="0.25">
      <c r="AK2750" s="313"/>
      <c r="AL2750" s="313"/>
      <c r="AM2750" s="313"/>
      <c r="AN2750" s="313"/>
      <c r="AO2750" s="313"/>
      <c r="AP2750" s="313"/>
      <c r="AQ2750" s="314"/>
      <c r="AR2750" s="315" t="str">
        <f t="shared" si="79"/>
        <v/>
      </c>
    </row>
    <row r="2751" spans="37:44" ht="30" hidden="1" customHeight="1" x14ac:dyDescent="0.25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80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 x14ac:dyDescent="0.25">
      <c r="AK2752" s="313"/>
      <c r="AL2752" s="313"/>
      <c r="AM2752" s="313"/>
      <c r="AN2752" s="313"/>
      <c r="AO2752" s="313"/>
      <c r="AP2752" s="313"/>
      <c r="AQ2752" s="314"/>
      <c r="AR2752" s="315" t="str">
        <f t="shared" si="80"/>
        <v/>
      </c>
    </row>
    <row r="2753" spans="37:44" ht="30" hidden="1" customHeight="1" x14ac:dyDescent="0.25">
      <c r="AK2753" s="313"/>
      <c r="AL2753" s="313"/>
      <c r="AM2753" s="313"/>
      <c r="AN2753" s="313"/>
      <c r="AO2753" s="313"/>
      <c r="AP2753" s="313"/>
      <c r="AQ2753" s="314"/>
      <c r="AR2753" s="315" t="str">
        <f t="shared" si="80"/>
        <v/>
      </c>
    </row>
    <row r="2754" spans="37:44" ht="30" hidden="1" customHeight="1" x14ac:dyDescent="0.25">
      <c r="AK2754" s="313"/>
      <c r="AL2754" s="313"/>
      <c r="AM2754" s="313"/>
      <c r="AN2754" s="313"/>
      <c r="AO2754" s="313"/>
      <c r="AP2754" s="313"/>
      <c r="AQ2754" s="314"/>
      <c r="AR2754" s="315" t="str">
        <f t="shared" si="80"/>
        <v/>
      </c>
    </row>
    <row r="2755" spans="37:44" ht="30" hidden="1" customHeight="1" x14ac:dyDescent="0.25">
      <c r="AK2755" s="313"/>
      <c r="AL2755" s="313"/>
      <c r="AM2755" s="313"/>
      <c r="AN2755" s="313"/>
      <c r="AO2755" s="313"/>
      <c r="AP2755" s="313"/>
      <c r="AQ2755" s="314"/>
      <c r="AR2755" s="315" t="str">
        <f t="shared" si="80"/>
        <v/>
      </c>
    </row>
    <row r="2756" spans="37:44" ht="30" hidden="1" customHeight="1" x14ac:dyDescent="0.25">
      <c r="AK2756" s="313"/>
      <c r="AL2756" s="313"/>
      <c r="AM2756" s="313"/>
      <c r="AN2756" s="313"/>
      <c r="AO2756" s="313"/>
      <c r="AP2756" s="313"/>
      <c r="AQ2756" s="314"/>
      <c r="AR2756" s="315" t="str">
        <f t="shared" si="80"/>
        <v/>
      </c>
    </row>
    <row r="2757" spans="37:44" ht="30" hidden="1" customHeight="1" x14ac:dyDescent="0.25">
      <c r="AK2757" s="313"/>
      <c r="AL2757" s="313"/>
      <c r="AM2757" s="313"/>
      <c r="AN2757" s="313"/>
      <c r="AO2757" s="313"/>
      <c r="AP2757" s="313"/>
      <c r="AQ2757" s="314"/>
      <c r="AR2757" s="315" t="str">
        <f t="shared" si="80"/>
        <v/>
      </c>
    </row>
    <row r="2758" spans="37:44" ht="30" hidden="1" customHeight="1" x14ac:dyDescent="0.25">
      <c r="AK2758" s="313"/>
      <c r="AL2758" s="313"/>
      <c r="AM2758" s="313"/>
      <c r="AN2758" s="313"/>
      <c r="AO2758" s="313"/>
      <c r="AP2758" s="313"/>
      <c r="AQ2758" s="314"/>
      <c r="AR2758" s="315" t="str">
        <f t="shared" si="80"/>
        <v/>
      </c>
    </row>
    <row r="2759" spans="37:44" ht="30" hidden="1" customHeight="1" x14ac:dyDescent="0.25">
      <c r="AK2759" s="313"/>
      <c r="AL2759" s="313"/>
      <c r="AM2759" s="313"/>
      <c r="AN2759" s="313"/>
      <c r="AO2759" s="313"/>
      <c r="AP2759" s="313"/>
      <c r="AQ2759" s="314"/>
      <c r="AR2759" s="315" t="str">
        <f t="shared" si="80"/>
        <v/>
      </c>
    </row>
    <row r="2760" spans="37:44" ht="30" hidden="1" customHeight="1" x14ac:dyDescent="0.25">
      <c r="AK2760" s="313"/>
      <c r="AL2760" s="313"/>
      <c r="AM2760" s="313"/>
      <c r="AN2760" s="313"/>
      <c r="AO2760" s="313"/>
      <c r="AP2760" s="313"/>
      <c r="AQ2760" s="314"/>
      <c r="AR2760" s="315" t="str">
        <f t="shared" si="80"/>
        <v/>
      </c>
    </row>
    <row r="2761" spans="37:44" ht="30" hidden="1" customHeight="1" x14ac:dyDescent="0.25">
      <c r="AK2761" s="313"/>
      <c r="AL2761" s="313"/>
      <c r="AM2761" s="313"/>
      <c r="AN2761" s="313"/>
      <c r="AO2761" s="313"/>
      <c r="AP2761" s="313"/>
      <c r="AQ2761" s="314"/>
      <c r="AR2761" s="315" t="str">
        <f t="shared" si="80"/>
        <v/>
      </c>
    </row>
    <row r="2762" spans="37:44" ht="30" hidden="1" customHeight="1" x14ac:dyDescent="0.25">
      <c r="AK2762" s="313"/>
      <c r="AL2762" s="313"/>
      <c r="AM2762" s="313"/>
      <c r="AN2762" s="313"/>
      <c r="AO2762" s="313"/>
      <c r="AP2762" s="313"/>
      <c r="AQ2762" s="314"/>
      <c r="AR2762" s="315" t="str">
        <f t="shared" si="80"/>
        <v/>
      </c>
    </row>
    <row r="2763" spans="37:44" ht="30" hidden="1" customHeight="1" x14ac:dyDescent="0.25">
      <c r="AK2763" s="313"/>
      <c r="AL2763" s="313"/>
      <c r="AM2763" s="313"/>
      <c r="AN2763" s="313"/>
      <c r="AO2763" s="313"/>
      <c r="AP2763" s="313"/>
      <c r="AQ2763" s="314"/>
      <c r="AR2763" s="315" t="str">
        <f t="shared" si="80"/>
        <v/>
      </c>
    </row>
    <row r="2764" spans="37:44" ht="30" hidden="1" customHeight="1" x14ac:dyDescent="0.25">
      <c r="AK2764" s="313"/>
      <c r="AL2764" s="313"/>
      <c r="AM2764" s="313"/>
      <c r="AN2764" s="313"/>
      <c r="AO2764" s="313"/>
      <c r="AP2764" s="313"/>
      <c r="AQ2764" s="314"/>
      <c r="AR2764" s="315" t="str">
        <f t="shared" si="80"/>
        <v/>
      </c>
    </row>
    <row r="2765" spans="37:44" ht="30" hidden="1" customHeight="1" x14ac:dyDescent="0.25">
      <c r="AK2765" s="313"/>
      <c r="AL2765" s="313"/>
      <c r="AM2765" s="313"/>
      <c r="AN2765" s="313"/>
      <c r="AO2765" s="313"/>
      <c r="AP2765" s="313"/>
      <c r="AQ2765" s="314"/>
      <c r="AR2765" s="315" t="str">
        <f t="shared" si="80"/>
        <v/>
      </c>
    </row>
    <row r="2766" spans="37:44" ht="30" hidden="1" customHeight="1" x14ac:dyDescent="0.25">
      <c r="AK2766" s="313"/>
      <c r="AL2766" s="313"/>
      <c r="AM2766" s="313"/>
      <c r="AN2766" s="313"/>
      <c r="AO2766" s="313"/>
      <c r="AP2766" s="313"/>
      <c r="AQ2766" s="314"/>
      <c r="AR2766" s="315" t="str">
        <f t="shared" si="80"/>
        <v/>
      </c>
    </row>
    <row r="2767" spans="37:44" ht="30" hidden="1" customHeight="1" x14ac:dyDescent="0.25">
      <c r="AK2767" s="313"/>
      <c r="AL2767" s="313"/>
      <c r="AM2767" s="313"/>
      <c r="AN2767" s="313"/>
      <c r="AO2767" s="313"/>
      <c r="AP2767" s="313"/>
      <c r="AQ2767" s="314"/>
      <c r="AR2767" s="315" t="str">
        <f t="shared" si="80"/>
        <v/>
      </c>
    </row>
    <row r="2768" spans="37:44" ht="30" hidden="1" customHeight="1" x14ac:dyDescent="0.25">
      <c r="AK2768" s="313"/>
      <c r="AL2768" s="313"/>
      <c r="AM2768" s="313"/>
      <c r="AN2768" s="313"/>
      <c r="AO2768" s="313"/>
      <c r="AP2768" s="313"/>
      <c r="AQ2768" s="314"/>
      <c r="AR2768" s="315" t="str">
        <f t="shared" si="80"/>
        <v/>
      </c>
    </row>
    <row r="2769" spans="37:44" ht="30" hidden="1" customHeight="1" x14ac:dyDescent="0.25">
      <c r="AK2769" s="313"/>
      <c r="AL2769" s="313"/>
      <c r="AM2769" s="313"/>
      <c r="AN2769" s="313"/>
      <c r="AO2769" s="313"/>
      <c r="AP2769" s="313"/>
      <c r="AQ2769" s="314"/>
      <c r="AR2769" s="315" t="str">
        <f t="shared" si="80"/>
        <v/>
      </c>
    </row>
    <row r="2770" spans="37:44" ht="30" hidden="1" customHeight="1" x14ac:dyDescent="0.25">
      <c r="AK2770" s="313"/>
      <c r="AL2770" s="313"/>
      <c r="AM2770" s="313"/>
      <c r="AN2770" s="313"/>
      <c r="AO2770" s="313"/>
      <c r="AP2770" s="313"/>
      <c r="AQ2770" s="314"/>
      <c r="AR2770" s="315" t="str">
        <f t="shared" si="80"/>
        <v/>
      </c>
    </row>
    <row r="2771" spans="37:44" ht="30" hidden="1" customHeight="1" x14ac:dyDescent="0.25">
      <c r="AK2771" s="313"/>
      <c r="AL2771" s="313"/>
      <c r="AM2771" s="313"/>
      <c r="AN2771" s="313"/>
      <c r="AO2771" s="313"/>
      <c r="AP2771" s="313"/>
      <c r="AQ2771" s="314"/>
      <c r="AR2771" s="315" t="str">
        <f t="shared" si="80"/>
        <v/>
      </c>
    </row>
    <row r="2772" spans="37:44" ht="30" hidden="1" customHeight="1" x14ac:dyDescent="0.25">
      <c r="AK2772" s="313"/>
      <c r="AL2772" s="313"/>
      <c r="AM2772" s="313"/>
      <c r="AN2772" s="313"/>
      <c r="AO2772" s="313"/>
      <c r="AP2772" s="313"/>
      <c r="AQ2772" s="314"/>
      <c r="AR2772" s="315" t="str">
        <f t="shared" si="80"/>
        <v/>
      </c>
    </row>
    <row r="2773" spans="37:44" ht="30" hidden="1" customHeight="1" x14ac:dyDescent="0.25">
      <c r="AK2773" s="313"/>
      <c r="AL2773" s="313"/>
      <c r="AM2773" s="313"/>
      <c r="AN2773" s="313"/>
      <c r="AO2773" s="313"/>
      <c r="AP2773" s="313"/>
      <c r="AQ2773" s="314"/>
      <c r="AR2773" s="315" t="str">
        <f t="shared" si="80"/>
        <v/>
      </c>
    </row>
    <row r="2774" spans="37:44" ht="30" hidden="1" customHeight="1" x14ac:dyDescent="0.25">
      <c r="AK2774" s="313"/>
      <c r="AL2774" s="313"/>
      <c r="AM2774" s="313"/>
      <c r="AN2774" s="313"/>
      <c r="AO2774" s="313"/>
      <c r="AP2774" s="313"/>
      <c r="AQ2774" s="314"/>
      <c r="AR2774" s="315" t="str">
        <f t="shared" si="80"/>
        <v/>
      </c>
    </row>
    <row r="2775" spans="37:44" ht="30" hidden="1" customHeight="1" x14ac:dyDescent="0.25">
      <c r="AK2775" s="313"/>
      <c r="AL2775" s="313"/>
      <c r="AM2775" s="313"/>
      <c r="AN2775" s="313"/>
      <c r="AO2775" s="313"/>
      <c r="AP2775" s="313"/>
      <c r="AQ2775" s="314"/>
      <c r="AR2775" s="315" t="str">
        <f t="shared" si="80"/>
        <v/>
      </c>
    </row>
    <row r="2776" spans="37:44" ht="30" hidden="1" customHeight="1" x14ac:dyDescent="0.25">
      <c r="AK2776" s="313"/>
      <c r="AL2776" s="313"/>
      <c r="AM2776" s="313"/>
      <c r="AN2776" s="313"/>
      <c r="AO2776" s="313"/>
      <c r="AP2776" s="313"/>
      <c r="AQ2776" s="314"/>
      <c r="AR2776" s="315" t="str">
        <f t="shared" si="80"/>
        <v/>
      </c>
    </row>
    <row r="2777" spans="37:44" ht="30" hidden="1" customHeight="1" x14ac:dyDescent="0.25">
      <c r="AK2777" s="313"/>
      <c r="AL2777" s="313"/>
      <c r="AM2777" s="313"/>
      <c r="AN2777" s="313"/>
      <c r="AO2777" s="313"/>
      <c r="AP2777" s="313"/>
      <c r="AQ2777" s="314"/>
      <c r="AR2777" s="315" t="str">
        <f t="shared" si="80"/>
        <v/>
      </c>
    </row>
    <row r="2778" spans="37:44" ht="30" hidden="1" customHeight="1" x14ac:dyDescent="0.25">
      <c r="AK2778" s="313"/>
      <c r="AL2778" s="313"/>
      <c r="AM2778" s="313"/>
      <c r="AN2778" s="313"/>
      <c r="AO2778" s="313"/>
      <c r="AP2778" s="313"/>
      <c r="AQ2778" s="314"/>
      <c r="AR2778" s="315" t="str">
        <f t="shared" si="80"/>
        <v/>
      </c>
    </row>
    <row r="2779" spans="37:44" ht="30" hidden="1" customHeight="1" x14ac:dyDescent="0.25">
      <c r="AK2779" s="313"/>
      <c r="AL2779" s="313"/>
      <c r="AM2779" s="313"/>
      <c r="AN2779" s="313"/>
      <c r="AO2779" s="313"/>
      <c r="AP2779" s="313"/>
      <c r="AQ2779" s="314"/>
      <c r="AR2779" s="315" t="str">
        <f t="shared" si="80"/>
        <v/>
      </c>
    </row>
    <row r="2780" spans="37:44" ht="30" hidden="1" customHeight="1" x14ac:dyDescent="0.25">
      <c r="AK2780" s="313"/>
      <c r="AL2780" s="313"/>
      <c r="AM2780" s="313"/>
      <c r="AN2780" s="313"/>
      <c r="AO2780" s="313"/>
      <c r="AP2780" s="313"/>
      <c r="AQ2780" s="314"/>
      <c r="AR2780" s="315" t="str">
        <f t="shared" si="80"/>
        <v/>
      </c>
    </row>
    <row r="2781" spans="37:44" ht="30" hidden="1" customHeight="1" x14ac:dyDescent="0.25">
      <c r="AK2781" s="313"/>
      <c r="AL2781" s="313"/>
      <c r="AM2781" s="313"/>
      <c r="AN2781" s="313"/>
      <c r="AO2781" s="313"/>
      <c r="AP2781" s="313"/>
      <c r="AQ2781" s="314"/>
      <c r="AR2781" s="315" t="str">
        <f t="shared" si="80"/>
        <v/>
      </c>
    </row>
    <row r="2782" spans="37:44" ht="30" hidden="1" customHeight="1" x14ac:dyDescent="0.25">
      <c r="AK2782" s="313"/>
      <c r="AL2782" s="313"/>
      <c r="AM2782" s="313"/>
      <c r="AN2782" s="313"/>
      <c r="AO2782" s="313"/>
      <c r="AP2782" s="313"/>
      <c r="AQ2782" s="314"/>
      <c r="AR2782" s="315" t="str">
        <f t="shared" si="80"/>
        <v/>
      </c>
    </row>
    <row r="2783" spans="37:44" ht="30" hidden="1" customHeight="1" x14ac:dyDescent="0.25">
      <c r="AK2783" s="313"/>
      <c r="AL2783" s="313"/>
      <c r="AM2783" s="313"/>
      <c r="AN2783" s="313"/>
      <c r="AO2783" s="313"/>
      <c r="AP2783" s="313"/>
      <c r="AQ2783" s="314"/>
      <c r="AR2783" s="315" t="str">
        <f t="shared" si="80"/>
        <v/>
      </c>
    </row>
    <row r="2784" spans="37:44" ht="30" hidden="1" customHeight="1" x14ac:dyDescent="0.25">
      <c r="AK2784" s="313"/>
      <c r="AL2784" s="313"/>
      <c r="AM2784" s="313"/>
      <c r="AN2784" s="313"/>
      <c r="AO2784" s="313"/>
      <c r="AP2784" s="313"/>
      <c r="AQ2784" s="314"/>
      <c r="AR2784" s="315" t="str">
        <f t="shared" si="80"/>
        <v/>
      </c>
    </row>
    <row r="2785" spans="37:44" ht="30" hidden="1" customHeight="1" x14ac:dyDescent="0.25">
      <c r="AK2785" s="313"/>
      <c r="AL2785" s="313"/>
      <c r="AM2785" s="313"/>
      <c r="AN2785" s="313"/>
      <c r="AO2785" s="313"/>
      <c r="AP2785" s="313"/>
      <c r="AQ2785" s="314"/>
      <c r="AR2785" s="315" t="str">
        <f t="shared" si="80"/>
        <v/>
      </c>
    </row>
    <row r="2786" spans="37:44" ht="30" hidden="1" customHeight="1" x14ac:dyDescent="0.25">
      <c r="AK2786" s="313"/>
      <c r="AL2786" s="313"/>
      <c r="AM2786" s="313"/>
      <c r="AN2786" s="313"/>
      <c r="AO2786" s="313"/>
      <c r="AP2786" s="313"/>
      <c r="AQ2786" s="314"/>
      <c r="AR2786" s="315" t="str">
        <f t="shared" si="80"/>
        <v/>
      </c>
    </row>
    <row r="2787" spans="37:44" ht="30" hidden="1" customHeight="1" x14ac:dyDescent="0.25">
      <c r="AK2787" s="313"/>
      <c r="AL2787" s="313"/>
      <c r="AM2787" s="313"/>
      <c r="AN2787" s="313"/>
      <c r="AO2787" s="313"/>
      <c r="AP2787" s="313"/>
      <c r="AQ2787" s="314"/>
      <c r="AR2787" s="315" t="str">
        <f t="shared" si="80"/>
        <v/>
      </c>
    </row>
    <row r="2788" spans="37:44" ht="30" hidden="1" customHeight="1" x14ac:dyDescent="0.25">
      <c r="AK2788" s="313"/>
      <c r="AL2788" s="313"/>
      <c r="AM2788" s="313"/>
      <c r="AN2788" s="313"/>
      <c r="AO2788" s="313"/>
      <c r="AP2788" s="313"/>
      <c r="AQ2788" s="314"/>
      <c r="AR2788" s="315" t="str">
        <f t="shared" si="80"/>
        <v/>
      </c>
    </row>
    <row r="2789" spans="37:44" ht="30" hidden="1" customHeight="1" x14ac:dyDescent="0.25">
      <c r="AK2789" s="313"/>
      <c r="AL2789" s="313"/>
      <c r="AM2789" s="313"/>
      <c r="AN2789" s="313"/>
      <c r="AO2789" s="313"/>
      <c r="AP2789" s="313"/>
      <c r="AQ2789" s="314"/>
      <c r="AR2789" s="315" t="str">
        <f t="shared" si="80"/>
        <v/>
      </c>
    </row>
    <row r="2790" spans="37:44" ht="30" hidden="1" customHeight="1" x14ac:dyDescent="0.25">
      <c r="AK2790" s="313"/>
      <c r="AL2790" s="313"/>
      <c r="AM2790" s="313"/>
      <c r="AN2790" s="313"/>
      <c r="AO2790" s="313"/>
      <c r="AP2790" s="313"/>
      <c r="AQ2790" s="314"/>
      <c r="AR2790" s="315" t="str">
        <f t="shared" si="80"/>
        <v/>
      </c>
    </row>
    <row r="2791" spans="37:44" ht="30" hidden="1" customHeight="1" x14ac:dyDescent="0.25">
      <c r="AK2791" s="313"/>
      <c r="AL2791" s="313"/>
      <c r="AM2791" s="313"/>
      <c r="AN2791" s="313"/>
      <c r="AO2791" s="313"/>
      <c r="AP2791" s="313"/>
      <c r="AQ2791" s="314"/>
      <c r="AR2791" s="315" t="str">
        <f t="shared" si="80"/>
        <v/>
      </c>
    </row>
    <row r="2792" spans="37:44" ht="30" hidden="1" customHeight="1" x14ac:dyDescent="0.25">
      <c r="AK2792" s="313"/>
      <c r="AL2792" s="313"/>
      <c r="AM2792" s="313"/>
      <c r="AN2792" s="313"/>
      <c r="AO2792" s="313"/>
      <c r="AP2792" s="313"/>
      <c r="AQ2792" s="314"/>
      <c r="AR2792" s="315" t="str">
        <f t="shared" si="80"/>
        <v/>
      </c>
    </row>
    <row r="2793" spans="37:44" ht="30" hidden="1" customHeight="1" x14ac:dyDescent="0.25">
      <c r="AK2793" s="313"/>
      <c r="AL2793" s="313"/>
      <c r="AM2793" s="313"/>
      <c r="AN2793" s="313"/>
      <c r="AO2793" s="313"/>
      <c r="AP2793" s="313"/>
      <c r="AQ2793" s="314"/>
      <c r="AR2793" s="315" t="str">
        <f t="shared" si="80"/>
        <v/>
      </c>
    </row>
    <row r="2794" spans="37:44" ht="30" hidden="1" customHeight="1" x14ac:dyDescent="0.25">
      <c r="AK2794" s="313"/>
      <c r="AL2794" s="313"/>
      <c r="AM2794" s="313"/>
      <c r="AN2794" s="313"/>
      <c r="AO2794" s="313"/>
      <c r="AP2794" s="313"/>
      <c r="AQ2794" s="314"/>
      <c r="AR2794" s="315" t="str">
        <f t="shared" si="80"/>
        <v/>
      </c>
    </row>
    <row r="2795" spans="37:44" ht="30" hidden="1" customHeight="1" x14ac:dyDescent="0.25">
      <c r="AK2795" s="313"/>
      <c r="AL2795" s="313"/>
      <c r="AM2795" s="313"/>
      <c r="AN2795" s="313"/>
      <c r="AO2795" s="313"/>
      <c r="AP2795" s="313"/>
      <c r="AQ2795" s="314"/>
      <c r="AR2795" s="315" t="str">
        <f t="shared" si="80"/>
        <v/>
      </c>
    </row>
    <row r="2796" spans="37:44" ht="30" hidden="1" customHeight="1" x14ac:dyDescent="0.25">
      <c r="AK2796" s="313"/>
      <c r="AL2796" s="313"/>
      <c r="AM2796" s="313"/>
      <c r="AN2796" s="313"/>
      <c r="AO2796" s="313"/>
      <c r="AP2796" s="313"/>
      <c r="AQ2796" s="314"/>
      <c r="AR2796" s="315" t="str">
        <f t="shared" si="80"/>
        <v/>
      </c>
    </row>
    <row r="2797" spans="37:44" ht="30" hidden="1" customHeight="1" x14ac:dyDescent="0.25">
      <c r="AK2797" s="313"/>
      <c r="AL2797" s="313"/>
      <c r="AM2797" s="313"/>
      <c r="AN2797" s="313"/>
      <c r="AO2797" s="313"/>
      <c r="AP2797" s="313"/>
      <c r="AQ2797" s="314"/>
      <c r="AR2797" s="315" t="str">
        <f t="shared" si="80"/>
        <v/>
      </c>
    </row>
    <row r="2798" spans="37:44" ht="30" hidden="1" customHeight="1" x14ac:dyDescent="0.25">
      <c r="AK2798" s="313"/>
      <c r="AL2798" s="313"/>
      <c r="AM2798" s="313"/>
      <c r="AN2798" s="313"/>
      <c r="AO2798" s="313"/>
      <c r="AP2798" s="313"/>
      <c r="AQ2798" s="314"/>
      <c r="AR2798" s="315" t="str">
        <f t="shared" si="80"/>
        <v/>
      </c>
    </row>
    <row r="2799" spans="37:44" ht="30" hidden="1" customHeight="1" x14ac:dyDescent="0.25">
      <c r="AK2799" s="313"/>
      <c r="AL2799" s="313"/>
      <c r="AM2799" s="313"/>
      <c r="AN2799" s="313"/>
      <c r="AO2799" s="313"/>
      <c r="AP2799" s="313"/>
      <c r="AQ2799" s="314"/>
      <c r="AR2799" s="315" t="str">
        <f t="shared" si="80"/>
        <v/>
      </c>
    </row>
    <row r="2800" spans="37:44" ht="30" hidden="1" customHeight="1" x14ac:dyDescent="0.25">
      <c r="AK2800" s="313"/>
      <c r="AL2800" s="313"/>
      <c r="AM2800" s="313"/>
      <c r="AN2800" s="313"/>
      <c r="AO2800" s="313"/>
      <c r="AP2800" s="313"/>
      <c r="AQ2800" s="314"/>
      <c r="AR2800" s="315" t="str">
        <f t="shared" si="80"/>
        <v/>
      </c>
    </row>
    <row r="2801" spans="37:44" ht="30" hidden="1" customHeight="1" x14ac:dyDescent="0.25">
      <c r="AK2801" s="313"/>
      <c r="AL2801" s="313"/>
      <c r="AM2801" s="313"/>
      <c r="AN2801" s="313"/>
      <c r="AO2801" s="313"/>
      <c r="AP2801" s="313"/>
      <c r="AQ2801" s="314"/>
      <c r="AR2801" s="315" t="str">
        <f t="shared" si="80"/>
        <v/>
      </c>
    </row>
    <row r="2802" spans="37:44" ht="30" hidden="1" customHeight="1" x14ac:dyDescent="0.25">
      <c r="AK2802" s="313"/>
      <c r="AL2802" s="313"/>
      <c r="AM2802" s="313"/>
      <c r="AN2802" s="313"/>
      <c r="AO2802" s="313"/>
      <c r="AP2802" s="313"/>
      <c r="AQ2802" s="314"/>
      <c r="AR2802" s="315" t="str">
        <f t="shared" si="80"/>
        <v/>
      </c>
    </row>
    <row r="2803" spans="37:44" ht="30" hidden="1" customHeight="1" x14ac:dyDescent="0.25">
      <c r="AK2803" s="313"/>
      <c r="AL2803" s="313"/>
      <c r="AM2803" s="313"/>
      <c r="AN2803" s="313"/>
      <c r="AO2803" s="313"/>
      <c r="AP2803" s="313"/>
      <c r="AQ2803" s="314"/>
      <c r="AR2803" s="315" t="str">
        <f t="shared" si="80"/>
        <v/>
      </c>
    </row>
    <row r="2804" spans="37:44" ht="30" hidden="1" customHeight="1" x14ac:dyDescent="0.25">
      <c r="AK2804" s="313"/>
      <c r="AL2804" s="313"/>
      <c r="AM2804" s="313"/>
      <c r="AN2804" s="313"/>
      <c r="AO2804" s="313"/>
      <c r="AP2804" s="313"/>
      <c r="AQ2804" s="314"/>
      <c r="AR2804" s="315" t="str">
        <f t="shared" si="80"/>
        <v/>
      </c>
    </row>
    <row r="2805" spans="37:44" ht="30" hidden="1" customHeight="1" x14ac:dyDescent="0.25">
      <c r="AK2805" s="313"/>
      <c r="AL2805" s="313"/>
      <c r="AM2805" s="313"/>
      <c r="AN2805" s="313"/>
      <c r="AO2805" s="313"/>
      <c r="AP2805" s="313"/>
      <c r="AQ2805" s="314"/>
      <c r="AR2805" s="315" t="str">
        <f t="shared" si="80"/>
        <v/>
      </c>
    </row>
    <row r="2806" spans="37:44" ht="30" hidden="1" customHeight="1" x14ac:dyDescent="0.25">
      <c r="AK2806" s="313"/>
      <c r="AL2806" s="313"/>
      <c r="AM2806" s="313"/>
      <c r="AN2806" s="313"/>
      <c r="AO2806" s="313"/>
      <c r="AP2806" s="313"/>
      <c r="AQ2806" s="314"/>
      <c r="AR2806" s="315" t="str">
        <f t="shared" si="80"/>
        <v/>
      </c>
    </row>
    <row r="2807" spans="37:44" ht="30" hidden="1" customHeight="1" x14ac:dyDescent="0.25">
      <c r="AK2807" s="313"/>
      <c r="AL2807" s="313"/>
      <c r="AM2807" s="313"/>
      <c r="AN2807" s="313"/>
      <c r="AO2807" s="313"/>
      <c r="AP2807" s="313"/>
      <c r="AQ2807" s="314"/>
      <c r="AR2807" s="315" t="str">
        <f t="shared" si="80"/>
        <v/>
      </c>
    </row>
    <row r="2808" spans="37:44" ht="30" hidden="1" customHeight="1" x14ac:dyDescent="0.25">
      <c r="AK2808" s="313"/>
      <c r="AL2808" s="313"/>
      <c r="AM2808" s="313"/>
      <c r="AN2808" s="313"/>
      <c r="AO2808" s="313"/>
      <c r="AP2808" s="313"/>
      <c r="AQ2808" s="314"/>
      <c r="AR2808" s="315" t="str">
        <f t="shared" si="80"/>
        <v/>
      </c>
    </row>
    <row r="2809" spans="37:44" ht="30" hidden="1" customHeight="1" x14ac:dyDescent="0.25">
      <c r="AK2809" s="313"/>
      <c r="AL2809" s="313"/>
      <c r="AM2809" s="313"/>
      <c r="AN2809" s="313"/>
      <c r="AO2809" s="313"/>
      <c r="AP2809" s="313"/>
      <c r="AQ2809" s="314"/>
      <c r="AR2809" s="315" t="str">
        <f t="shared" si="80"/>
        <v/>
      </c>
    </row>
    <row r="2810" spans="37:44" ht="30" hidden="1" customHeight="1" x14ac:dyDescent="0.25">
      <c r="AK2810" s="313"/>
      <c r="AL2810" s="313"/>
      <c r="AM2810" s="313"/>
      <c r="AN2810" s="313"/>
      <c r="AO2810" s="313"/>
      <c r="AP2810" s="313"/>
      <c r="AQ2810" s="314"/>
      <c r="AR2810" s="315" t="str">
        <f t="shared" si="80"/>
        <v/>
      </c>
    </row>
    <row r="2811" spans="37:44" ht="30" hidden="1" customHeight="1" x14ac:dyDescent="0.25">
      <c r="AK2811" s="313"/>
      <c r="AL2811" s="313"/>
      <c r="AM2811" s="313"/>
      <c r="AN2811" s="313"/>
      <c r="AO2811" s="313"/>
      <c r="AP2811" s="313"/>
      <c r="AQ2811" s="314"/>
      <c r="AR2811" s="315" t="str">
        <f t="shared" si="80"/>
        <v/>
      </c>
    </row>
    <row r="2812" spans="37:44" ht="30" hidden="1" customHeight="1" x14ac:dyDescent="0.25">
      <c r="AK2812" s="313"/>
      <c r="AL2812" s="313"/>
      <c r="AM2812" s="313"/>
      <c r="AN2812" s="313"/>
      <c r="AO2812" s="313"/>
      <c r="AP2812" s="313"/>
      <c r="AQ2812" s="314"/>
      <c r="AR2812" s="315" t="str">
        <f t="shared" si="80"/>
        <v/>
      </c>
    </row>
    <row r="2813" spans="37:44" ht="30" hidden="1" customHeight="1" x14ac:dyDescent="0.25">
      <c r="AK2813" s="313"/>
      <c r="AL2813" s="313"/>
      <c r="AM2813" s="313"/>
      <c r="AN2813" s="313"/>
      <c r="AO2813" s="313"/>
      <c r="AP2813" s="313"/>
      <c r="AQ2813" s="314"/>
      <c r="AR2813" s="315" t="str">
        <f t="shared" si="80"/>
        <v/>
      </c>
    </row>
    <row r="2814" spans="37:44" ht="30" hidden="1" customHeight="1" x14ac:dyDescent="0.25">
      <c r="AK2814" s="313"/>
      <c r="AL2814" s="313"/>
      <c r="AM2814" s="313"/>
      <c r="AN2814" s="313"/>
      <c r="AO2814" s="313"/>
      <c r="AP2814" s="313"/>
      <c r="AQ2814" s="314"/>
      <c r="AR2814" s="315" t="str">
        <f t="shared" si="80"/>
        <v/>
      </c>
    </row>
    <row r="2815" spans="37:44" ht="30" hidden="1" customHeight="1" x14ac:dyDescent="0.25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81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 x14ac:dyDescent="0.25">
      <c r="AK2816" s="313"/>
      <c r="AL2816" s="313"/>
      <c r="AM2816" s="313"/>
      <c r="AN2816" s="313"/>
      <c r="AO2816" s="313"/>
      <c r="AP2816" s="313"/>
      <c r="AQ2816" s="314"/>
      <c r="AR2816" s="315" t="str">
        <f t="shared" si="81"/>
        <v/>
      </c>
    </row>
    <row r="2817" spans="37:44" ht="30" hidden="1" customHeight="1" x14ac:dyDescent="0.25">
      <c r="AK2817" s="313"/>
      <c r="AL2817" s="313"/>
      <c r="AM2817" s="313"/>
      <c r="AN2817" s="313"/>
      <c r="AO2817" s="313"/>
      <c r="AP2817" s="313"/>
      <c r="AQ2817" s="314"/>
      <c r="AR2817" s="315" t="str">
        <f t="shared" si="81"/>
        <v/>
      </c>
    </row>
    <row r="2818" spans="37:44" ht="30" hidden="1" customHeight="1" x14ac:dyDescent="0.25">
      <c r="AK2818" s="313"/>
      <c r="AL2818" s="313"/>
      <c r="AM2818" s="313"/>
      <c r="AN2818" s="313"/>
      <c r="AO2818" s="313"/>
      <c r="AP2818" s="313"/>
      <c r="AQ2818" s="314"/>
      <c r="AR2818" s="315" t="str">
        <f t="shared" si="81"/>
        <v/>
      </c>
    </row>
    <row r="2819" spans="37:44" ht="30" hidden="1" customHeight="1" x14ac:dyDescent="0.25">
      <c r="AK2819" s="313"/>
      <c r="AL2819" s="313"/>
      <c r="AM2819" s="313"/>
      <c r="AN2819" s="313"/>
      <c r="AO2819" s="313"/>
      <c r="AP2819" s="313"/>
      <c r="AQ2819" s="314"/>
      <c r="AR2819" s="315" t="str">
        <f t="shared" si="81"/>
        <v/>
      </c>
    </row>
    <row r="2820" spans="37:44" ht="30" hidden="1" customHeight="1" x14ac:dyDescent="0.25">
      <c r="AK2820" s="313"/>
      <c r="AL2820" s="313"/>
      <c r="AM2820" s="313"/>
      <c r="AN2820" s="313"/>
      <c r="AO2820" s="313"/>
      <c r="AP2820" s="313"/>
      <c r="AQ2820" s="314"/>
      <c r="AR2820" s="315" t="str">
        <f t="shared" si="81"/>
        <v/>
      </c>
    </row>
    <row r="2821" spans="37:44" ht="30" hidden="1" customHeight="1" x14ac:dyDescent="0.25">
      <c r="AK2821" s="313"/>
      <c r="AL2821" s="313"/>
      <c r="AM2821" s="313"/>
      <c r="AN2821" s="313"/>
      <c r="AO2821" s="313"/>
      <c r="AP2821" s="313"/>
      <c r="AQ2821" s="314"/>
      <c r="AR2821" s="315" t="str">
        <f t="shared" si="81"/>
        <v/>
      </c>
    </row>
    <row r="2822" spans="37:44" ht="30" hidden="1" customHeight="1" x14ac:dyDescent="0.25">
      <c r="AK2822" s="313"/>
      <c r="AL2822" s="313"/>
      <c r="AM2822" s="313"/>
      <c r="AN2822" s="313"/>
      <c r="AO2822" s="313"/>
      <c r="AP2822" s="313"/>
      <c r="AQ2822" s="314"/>
      <c r="AR2822" s="315" t="str">
        <f t="shared" si="81"/>
        <v/>
      </c>
    </row>
    <row r="2823" spans="37:44" ht="30" hidden="1" customHeight="1" x14ac:dyDescent="0.25">
      <c r="AK2823" s="313"/>
      <c r="AL2823" s="313"/>
      <c r="AM2823" s="313"/>
      <c r="AN2823" s="313"/>
      <c r="AO2823" s="313"/>
      <c r="AP2823" s="313"/>
      <c r="AQ2823" s="314"/>
      <c r="AR2823" s="315" t="str">
        <f t="shared" si="81"/>
        <v/>
      </c>
    </row>
    <row r="2824" spans="37:44" ht="30" hidden="1" customHeight="1" x14ac:dyDescent="0.25">
      <c r="AK2824" s="313"/>
      <c r="AL2824" s="313"/>
      <c r="AM2824" s="313"/>
      <c r="AN2824" s="313"/>
      <c r="AO2824" s="313"/>
      <c r="AP2824" s="313"/>
      <c r="AQ2824" s="314"/>
      <c r="AR2824" s="315" t="str">
        <f t="shared" si="81"/>
        <v/>
      </c>
    </row>
    <row r="2825" spans="37:44" ht="30" hidden="1" customHeight="1" x14ac:dyDescent="0.25">
      <c r="AK2825" s="313"/>
      <c r="AL2825" s="313"/>
      <c r="AM2825" s="313"/>
      <c r="AN2825" s="313"/>
      <c r="AO2825" s="313"/>
      <c r="AP2825" s="313"/>
      <c r="AQ2825" s="314"/>
      <c r="AR2825" s="315" t="str">
        <f t="shared" si="81"/>
        <v/>
      </c>
    </row>
    <row r="2826" spans="37:44" ht="30" hidden="1" customHeight="1" x14ac:dyDescent="0.25">
      <c r="AK2826" s="313"/>
      <c r="AL2826" s="313"/>
      <c r="AM2826" s="313"/>
      <c r="AN2826" s="313"/>
      <c r="AO2826" s="313"/>
      <c r="AP2826" s="313"/>
      <c r="AQ2826" s="314"/>
      <c r="AR2826" s="315" t="str">
        <f t="shared" si="81"/>
        <v/>
      </c>
    </row>
    <row r="2827" spans="37:44" ht="30" hidden="1" customHeight="1" x14ac:dyDescent="0.25">
      <c r="AK2827" s="313"/>
      <c r="AL2827" s="313"/>
      <c r="AM2827" s="313"/>
      <c r="AN2827" s="313"/>
      <c r="AO2827" s="313"/>
      <c r="AP2827" s="313"/>
      <c r="AQ2827" s="314"/>
      <c r="AR2827" s="315" t="str">
        <f t="shared" si="81"/>
        <v/>
      </c>
    </row>
    <row r="2828" spans="37:44" ht="30" hidden="1" customHeight="1" x14ac:dyDescent="0.25">
      <c r="AK2828" s="313"/>
      <c r="AL2828" s="313"/>
      <c r="AM2828" s="313"/>
      <c r="AN2828" s="313"/>
      <c r="AO2828" s="313"/>
      <c r="AP2828" s="313"/>
      <c r="AQ2828" s="314"/>
      <c r="AR2828" s="315" t="str">
        <f t="shared" si="81"/>
        <v/>
      </c>
    </row>
    <row r="2829" spans="37:44" ht="30" hidden="1" customHeight="1" x14ac:dyDescent="0.25">
      <c r="AK2829" s="313"/>
      <c r="AL2829" s="313"/>
      <c r="AM2829" s="313"/>
      <c r="AN2829" s="313"/>
      <c r="AO2829" s="313"/>
      <c r="AP2829" s="313"/>
      <c r="AQ2829" s="314"/>
      <c r="AR2829" s="315" t="str">
        <f t="shared" si="81"/>
        <v/>
      </c>
    </row>
    <row r="2830" spans="37:44" ht="30" hidden="1" customHeight="1" x14ac:dyDescent="0.25">
      <c r="AK2830" s="313"/>
      <c r="AL2830" s="313"/>
      <c r="AM2830" s="313"/>
      <c r="AN2830" s="313"/>
      <c r="AO2830" s="313"/>
      <c r="AP2830" s="313"/>
      <c r="AQ2830" s="314"/>
      <c r="AR2830" s="315" t="str">
        <f t="shared" si="81"/>
        <v/>
      </c>
    </row>
    <row r="2831" spans="37:44" ht="30" hidden="1" customHeight="1" x14ac:dyDescent="0.25">
      <c r="AK2831" s="313"/>
      <c r="AL2831" s="313"/>
      <c r="AM2831" s="313"/>
      <c r="AN2831" s="313"/>
      <c r="AO2831" s="313"/>
      <c r="AP2831" s="313"/>
      <c r="AQ2831" s="314"/>
      <c r="AR2831" s="315" t="str">
        <f t="shared" si="81"/>
        <v/>
      </c>
    </row>
    <row r="2832" spans="37:44" ht="30" hidden="1" customHeight="1" x14ac:dyDescent="0.25">
      <c r="AK2832" s="313"/>
      <c r="AL2832" s="313"/>
      <c r="AM2832" s="313"/>
      <c r="AN2832" s="313"/>
      <c r="AO2832" s="313"/>
      <c r="AP2832" s="313"/>
      <c r="AQ2832" s="314"/>
      <c r="AR2832" s="315" t="str">
        <f t="shared" si="81"/>
        <v/>
      </c>
    </row>
    <row r="2833" spans="37:44" ht="30" hidden="1" customHeight="1" x14ac:dyDescent="0.25">
      <c r="AK2833" s="313"/>
      <c r="AL2833" s="313"/>
      <c r="AM2833" s="313"/>
      <c r="AN2833" s="313"/>
      <c r="AO2833" s="313"/>
      <c r="AP2833" s="313"/>
      <c r="AQ2833" s="314"/>
      <c r="AR2833" s="315" t="str">
        <f t="shared" si="81"/>
        <v/>
      </c>
    </row>
    <row r="2834" spans="37:44" ht="30" hidden="1" customHeight="1" x14ac:dyDescent="0.25">
      <c r="AK2834" s="313"/>
      <c r="AL2834" s="313"/>
      <c r="AM2834" s="313"/>
      <c r="AN2834" s="313"/>
      <c r="AO2834" s="313"/>
      <c r="AP2834" s="313"/>
      <c r="AQ2834" s="314"/>
      <c r="AR2834" s="315" t="str">
        <f t="shared" si="81"/>
        <v/>
      </c>
    </row>
    <row r="2835" spans="37:44" ht="30" hidden="1" customHeight="1" x14ac:dyDescent="0.25">
      <c r="AK2835" s="313"/>
      <c r="AL2835" s="313"/>
      <c r="AM2835" s="313"/>
      <c r="AN2835" s="313"/>
      <c r="AO2835" s="313"/>
      <c r="AP2835" s="313"/>
      <c r="AQ2835" s="314"/>
      <c r="AR2835" s="315" t="str">
        <f t="shared" si="81"/>
        <v/>
      </c>
    </row>
    <row r="2836" spans="37:44" ht="30" hidden="1" customHeight="1" x14ac:dyDescent="0.25">
      <c r="AK2836" s="313"/>
      <c r="AL2836" s="313"/>
      <c r="AM2836" s="313"/>
      <c r="AN2836" s="313"/>
      <c r="AO2836" s="313"/>
      <c r="AP2836" s="313"/>
      <c r="AQ2836" s="314"/>
      <c r="AR2836" s="315" t="str">
        <f t="shared" si="81"/>
        <v/>
      </c>
    </row>
    <row r="2837" spans="37:44" ht="30" hidden="1" customHeight="1" x14ac:dyDescent="0.25">
      <c r="AK2837" s="313"/>
      <c r="AL2837" s="313"/>
      <c r="AM2837" s="313"/>
      <c r="AN2837" s="313"/>
      <c r="AO2837" s="313"/>
      <c r="AP2837" s="313"/>
      <c r="AQ2837" s="314"/>
      <c r="AR2837" s="315" t="str">
        <f t="shared" si="81"/>
        <v/>
      </c>
    </row>
    <row r="2838" spans="37:44" ht="30" hidden="1" customHeight="1" x14ac:dyDescent="0.25">
      <c r="AK2838" s="313"/>
      <c r="AL2838" s="313"/>
      <c r="AM2838" s="313"/>
      <c r="AN2838" s="313"/>
      <c r="AO2838" s="313"/>
      <c r="AP2838" s="313"/>
      <c r="AQ2838" s="314"/>
      <c r="AR2838" s="315" t="str">
        <f t="shared" si="81"/>
        <v/>
      </c>
    </row>
    <row r="2839" spans="37:44" ht="30" hidden="1" customHeight="1" x14ac:dyDescent="0.25">
      <c r="AK2839" s="313"/>
      <c r="AL2839" s="313"/>
      <c r="AM2839" s="313"/>
      <c r="AN2839" s="313"/>
      <c r="AO2839" s="313"/>
      <c r="AP2839" s="313"/>
      <c r="AQ2839" s="314"/>
      <c r="AR2839" s="315" t="str">
        <f t="shared" si="81"/>
        <v/>
      </c>
    </row>
    <row r="2840" spans="37:44" ht="30" hidden="1" customHeight="1" x14ac:dyDescent="0.25">
      <c r="AK2840" s="313"/>
      <c r="AL2840" s="313"/>
      <c r="AM2840" s="313"/>
      <c r="AN2840" s="313"/>
      <c r="AO2840" s="313"/>
      <c r="AP2840" s="313"/>
      <c r="AQ2840" s="314"/>
      <c r="AR2840" s="315" t="str">
        <f t="shared" si="81"/>
        <v/>
      </c>
    </row>
    <row r="2841" spans="37:44" ht="30" hidden="1" customHeight="1" x14ac:dyDescent="0.25">
      <c r="AK2841" s="313"/>
      <c r="AL2841" s="313"/>
      <c r="AM2841" s="313"/>
      <c r="AN2841" s="313"/>
      <c r="AO2841" s="313"/>
      <c r="AP2841" s="313"/>
      <c r="AQ2841" s="314"/>
      <c r="AR2841" s="315" t="str">
        <f t="shared" si="81"/>
        <v/>
      </c>
    </row>
    <row r="2842" spans="37:44" ht="30" hidden="1" customHeight="1" x14ac:dyDescent="0.25">
      <c r="AK2842" s="313"/>
      <c r="AL2842" s="313"/>
      <c r="AM2842" s="313"/>
      <c r="AN2842" s="313"/>
      <c r="AO2842" s="313"/>
      <c r="AP2842" s="313"/>
      <c r="AQ2842" s="314"/>
      <c r="AR2842" s="315" t="str">
        <f t="shared" si="81"/>
        <v/>
      </c>
    </row>
    <row r="2843" spans="37:44" ht="30" hidden="1" customHeight="1" x14ac:dyDescent="0.25">
      <c r="AK2843" s="313"/>
      <c r="AL2843" s="313"/>
      <c r="AM2843" s="313"/>
      <c r="AN2843" s="313"/>
      <c r="AO2843" s="313"/>
      <c r="AP2843" s="313"/>
      <c r="AQ2843" s="314"/>
      <c r="AR2843" s="315" t="str">
        <f t="shared" si="81"/>
        <v/>
      </c>
    </row>
    <row r="2844" spans="37:44" ht="30" hidden="1" customHeight="1" x14ac:dyDescent="0.25">
      <c r="AK2844" s="313"/>
      <c r="AL2844" s="313"/>
      <c r="AM2844" s="313"/>
      <c r="AN2844" s="313"/>
      <c r="AO2844" s="313"/>
      <c r="AP2844" s="313"/>
      <c r="AQ2844" s="314"/>
      <c r="AR2844" s="315" t="str">
        <f t="shared" si="81"/>
        <v/>
      </c>
    </row>
    <row r="2845" spans="37:44" ht="30" hidden="1" customHeight="1" x14ac:dyDescent="0.25">
      <c r="AK2845" s="313"/>
      <c r="AL2845" s="313"/>
      <c r="AM2845" s="313"/>
      <c r="AN2845" s="313"/>
      <c r="AO2845" s="313"/>
      <c r="AP2845" s="313"/>
      <c r="AQ2845" s="314"/>
      <c r="AR2845" s="315" t="str">
        <f t="shared" si="81"/>
        <v/>
      </c>
    </row>
    <row r="2846" spans="37:44" ht="30" hidden="1" customHeight="1" x14ac:dyDescent="0.25">
      <c r="AK2846" s="313"/>
      <c r="AL2846" s="313"/>
      <c r="AM2846" s="313"/>
      <c r="AN2846" s="313"/>
      <c r="AO2846" s="313"/>
      <c r="AP2846" s="313"/>
      <c r="AQ2846" s="314"/>
      <c r="AR2846" s="315" t="str">
        <f t="shared" si="81"/>
        <v/>
      </c>
    </row>
    <row r="2847" spans="37:44" ht="30" hidden="1" customHeight="1" x14ac:dyDescent="0.25">
      <c r="AK2847" s="313"/>
      <c r="AL2847" s="313"/>
      <c r="AM2847" s="313"/>
      <c r="AN2847" s="313"/>
      <c r="AO2847" s="313"/>
      <c r="AP2847" s="313"/>
      <c r="AQ2847" s="314"/>
      <c r="AR2847" s="315" t="str">
        <f t="shared" si="81"/>
        <v/>
      </c>
    </row>
    <row r="2848" spans="37:44" ht="30" hidden="1" customHeight="1" x14ac:dyDescent="0.25">
      <c r="AK2848" s="313"/>
      <c r="AL2848" s="313"/>
      <c r="AM2848" s="313"/>
      <c r="AN2848" s="313"/>
      <c r="AO2848" s="313"/>
      <c r="AP2848" s="313"/>
      <c r="AQ2848" s="314"/>
      <c r="AR2848" s="315" t="str">
        <f t="shared" si="81"/>
        <v/>
      </c>
    </row>
    <row r="2849" spans="37:44" ht="30" hidden="1" customHeight="1" x14ac:dyDescent="0.25">
      <c r="AK2849" s="313"/>
      <c r="AL2849" s="313"/>
      <c r="AM2849" s="313"/>
      <c r="AN2849" s="313"/>
      <c r="AO2849" s="313"/>
      <c r="AP2849" s="313"/>
      <c r="AQ2849" s="314"/>
      <c r="AR2849" s="315" t="str">
        <f t="shared" si="81"/>
        <v/>
      </c>
    </row>
    <row r="2850" spans="37:44" ht="30" hidden="1" customHeight="1" x14ac:dyDescent="0.25">
      <c r="AK2850" s="313"/>
      <c r="AL2850" s="313"/>
      <c r="AM2850" s="313"/>
      <c r="AN2850" s="313"/>
      <c r="AO2850" s="313"/>
      <c r="AP2850" s="313"/>
      <c r="AQ2850" s="314"/>
      <c r="AR2850" s="315" t="str">
        <f t="shared" si="81"/>
        <v/>
      </c>
    </row>
    <row r="2851" spans="37:44" ht="30" hidden="1" customHeight="1" x14ac:dyDescent="0.25">
      <c r="AK2851" s="313"/>
      <c r="AL2851" s="313"/>
      <c r="AM2851" s="313"/>
      <c r="AN2851" s="313"/>
      <c r="AO2851" s="313"/>
      <c r="AP2851" s="313"/>
      <c r="AQ2851" s="314"/>
      <c r="AR2851" s="315" t="str">
        <f t="shared" si="81"/>
        <v/>
      </c>
    </row>
    <row r="2852" spans="37:44" ht="30" hidden="1" customHeight="1" x14ac:dyDescent="0.25">
      <c r="AK2852" s="313"/>
      <c r="AL2852" s="313"/>
      <c r="AM2852" s="313"/>
      <c r="AN2852" s="313"/>
      <c r="AO2852" s="313"/>
      <c r="AP2852" s="313"/>
      <c r="AQ2852" s="314"/>
      <c r="AR2852" s="315" t="str">
        <f t="shared" si="81"/>
        <v/>
      </c>
    </row>
    <row r="2853" spans="37:44" ht="30" hidden="1" customHeight="1" x14ac:dyDescent="0.25">
      <c r="AK2853" s="313"/>
      <c r="AL2853" s="313"/>
      <c r="AM2853" s="313"/>
      <c r="AN2853" s="313"/>
      <c r="AO2853" s="313"/>
      <c r="AP2853" s="313"/>
      <c r="AQ2853" s="314"/>
      <c r="AR2853" s="315" t="str">
        <f t="shared" si="81"/>
        <v/>
      </c>
    </row>
    <row r="2854" spans="37:44" ht="30" hidden="1" customHeight="1" x14ac:dyDescent="0.25">
      <c r="AK2854" s="313"/>
      <c r="AL2854" s="313"/>
      <c r="AM2854" s="313"/>
      <c r="AN2854" s="313"/>
      <c r="AO2854" s="313"/>
      <c r="AP2854" s="313"/>
      <c r="AQ2854" s="314"/>
      <c r="AR2854" s="315" t="str">
        <f t="shared" si="81"/>
        <v/>
      </c>
    </row>
    <row r="2855" spans="37:44" ht="30" hidden="1" customHeight="1" x14ac:dyDescent="0.25">
      <c r="AK2855" s="313"/>
      <c r="AL2855" s="313"/>
      <c r="AM2855" s="313"/>
      <c r="AN2855" s="313"/>
      <c r="AO2855" s="313"/>
      <c r="AP2855" s="313"/>
      <c r="AQ2855" s="314"/>
      <c r="AR2855" s="315" t="str">
        <f t="shared" si="81"/>
        <v/>
      </c>
    </row>
    <row r="2856" spans="37:44" ht="30" hidden="1" customHeight="1" x14ac:dyDescent="0.25">
      <c r="AK2856" s="313"/>
      <c r="AL2856" s="313"/>
      <c r="AM2856" s="313"/>
      <c r="AN2856" s="313"/>
      <c r="AO2856" s="313"/>
      <c r="AP2856" s="313"/>
      <c r="AQ2856" s="314"/>
      <c r="AR2856" s="315" t="str">
        <f t="shared" si="81"/>
        <v/>
      </c>
    </row>
    <row r="2857" spans="37:44" ht="30" hidden="1" customHeight="1" x14ac:dyDescent="0.25">
      <c r="AK2857" s="313"/>
      <c r="AL2857" s="313"/>
      <c r="AM2857" s="313"/>
      <c r="AN2857" s="313"/>
      <c r="AO2857" s="313"/>
      <c r="AP2857" s="313"/>
      <c r="AQ2857" s="314"/>
      <c r="AR2857" s="315" t="str">
        <f t="shared" si="81"/>
        <v/>
      </c>
    </row>
    <row r="2858" spans="37:44" ht="30" hidden="1" customHeight="1" x14ac:dyDescent="0.25">
      <c r="AK2858" s="313"/>
      <c r="AL2858" s="313"/>
      <c r="AM2858" s="313"/>
      <c r="AN2858" s="313"/>
      <c r="AO2858" s="313"/>
      <c r="AP2858" s="313"/>
      <c r="AQ2858" s="314"/>
      <c r="AR2858" s="315" t="str">
        <f t="shared" si="81"/>
        <v/>
      </c>
    </row>
    <row r="2859" spans="37:44" ht="30" hidden="1" customHeight="1" x14ac:dyDescent="0.25">
      <c r="AK2859" s="313"/>
      <c r="AL2859" s="313"/>
      <c r="AM2859" s="313"/>
      <c r="AN2859" s="313"/>
      <c r="AO2859" s="313"/>
      <c r="AP2859" s="313"/>
      <c r="AQ2859" s="314"/>
      <c r="AR2859" s="315" t="str">
        <f t="shared" si="81"/>
        <v/>
      </c>
    </row>
    <row r="2860" spans="37:44" ht="30" hidden="1" customHeight="1" x14ac:dyDescent="0.25">
      <c r="AK2860" s="313"/>
      <c r="AL2860" s="313"/>
      <c r="AM2860" s="313"/>
      <c r="AN2860" s="313"/>
      <c r="AO2860" s="313"/>
      <c r="AP2860" s="313"/>
      <c r="AQ2860" s="314"/>
      <c r="AR2860" s="315" t="str">
        <f t="shared" si="81"/>
        <v/>
      </c>
    </row>
    <row r="2861" spans="37:44" ht="30" hidden="1" customHeight="1" x14ac:dyDescent="0.25">
      <c r="AK2861" s="313"/>
      <c r="AL2861" s="313"/>
      <c r="AM2861" s="313"/>
      <c r="AN2861" s="313"/>
      <c r="AO2861" s="313"/>
      <c r="AP2861" s="313"/>
      <c r="AQ2861" s="314"/>
      <c r="AR2861" s="315" t="str">
        <f t="shared" si="81"/>
        <v/>
      </c>
    </row>
    <row r="2862" spans="37:44" ht="30" hidden="1" customHeight="1" x14ac:dyDescent="0.25">
      <c r="AK2862" s="313"/>
      <c r="AL2862" s="313"/>
      <c r="AM2862" s="313"/>
      <c r="AN2862" s="313"/>
      <c r="AO2862" s="313"/>
      <c r="AP2862" s="313"/>
      <c r="AQ2862" s="314"/>
      <c r="AR2862" s="315" t="str">
        <f t="shared" si="81"/>
        <v/>
      </c>
    </row>
    <row r="2863" spans="37:44" ht="30" hidden="1" customHeight="1" x14ac:dyDescent="0.25">
      <c r="AK2863" s="313"/>
      <c r="AL2863" s="313"/>
      <c r="AM2863" s="313"/>
      <c r="AN2863" s="313"/>
      <c r="AO2863" s="313"/>
      <c r="AP2863" s="313"/>
      <c r="AQ2863" s="314"/>
      <c r="AR2863" s="315" t="str">
        <f t="shared" si="81"/>
        <v/>
      </c>
    </row>
    <row r="2864" spans="37:44" ht="30" hidden="1" customHeight="1" x14ac:dyDescent="0.25">
      <c r="AK2864" s="313"/>
      <c r="AL2864" s="313"/>
      <c r="AM2864" s="313"/>
      <c r="AN2864" s="313"/>
      <c r="AO2864" s="313"/>
      <c r="AP2864" s="313"/>
      <c r="AQ2864" s="314"/>
      <c r="AR2864" s="315" t="str">
        <f t="shared" si="81"/>
        <v/>
      </c>
    </row>
    <row r="2865" spans="37:44" ht="30" hidden="1" customHeight="1" x14ac:dyDescent="0.25">
      <c r="AK2865" s="313"/>
      <c r="AL2865" s="313"/>
      <c r="AM2865" s="313"/>
      <c r="AN2865" s="313"/>
      <c r="AO2865" s="313"/>
      <c r="AP2865" s="313"/>
      <c r="AQ2865" s="314"/>
      <c r="AR2865" s="315" t="str">
        <f t="shared" si="81"/>
        <v/>
      </c>
    </row>
    <row r="2866" spans="37:44" ht="30" hidden="1" customHeight="1" x14ac:dyDescent="0.25">
      <c r="AK2866" s="313"/>
      <c r="AL2866" s="313"/>
      <c r="AM2866" s="313"/>
      <c r="AN2866" s="313"/>
      <c r="AO2866" s="313"/>
      <c r="AP2866" s="313"/>
      <c r="AQ2866" s="314"/>
      <c r="AR2866" s="315" t="str">
        <f t="shared" si="81"/>
        <v/>
      </c>
    </row>
    <row r="2867" spans="37:44" ht="30" hidden="1" customHeight="1" x14ac:dyDescent="0.25">
      <c r="AK2867" s="313"/>
      <c r="AL2867" s="313"/>
      <c r="AM2867" s="313"/>
      <c r="AN2867" s="313"/>
      <c r="AO2867" s="313"/>
      <c r="AP2867" s="313"/>
      <c r="AQ2867" s="314"/>
      <c r="AR2867" s="315" t="str">
        <f t="shared" si="81"/>
        <v/>
      </c>
    </row>
    <row r="2868" spans="37:44" ht="30" hidden="1" customHeight="1" x14ac:dyDescent="0.25">
      <c r="AK2868" s="313"/>
      <c r="AL2868" s="313"/>
      <c r="AM2868" s="313"/>
      <c r="AN2868" s="313"/>
      <c r="AO2868" s="313"/>
      <c r="AP2868" s="313"/>
      <c r="AQ2868" s="314"/>
      <c r="AR2868" s="315" t="str">
        <f t="shared" si="81"/>
        <v/>
      </c>
    </row>
    <row r="2869" spans="37:44" ht="30" hidden="1" customHeight="1" x14ac:dyDescent="0.25">
      <c r="AK2869" s="313"/>
      <c r="AL2869" s="313"/>
      <c r="AM2869" s="313"/>
      <c r="AN2869" s="313"/>
      <c r="AO2869" s="313"/>
      <c r="AP2869" s="313"/>
      <c r="AQ2869" s="314"/>
      <c r="AR2869" s="315" t="str">
        <f t="shared" si="81"/>
        <v/>
      </c>
    </row>
    <row r="2870" spans="37:44" ht="30" hidden="1" customHeight="1" x14ac:dyDescent="0.25">
      <c r="AK2870" s="313"/>
      <c r="AL2870" s="313"/>
      <c r="AM2870" s="313"/>
      <c r="AN2870" s="313"/>
      <c r="AO2870" s="313"/>
      <c r="AP2870" s="313"/>
      <c r="AQ2870" s="314"/>
      <c r="AR2870" s="315" t="str">
        <f t="shared" si="81"/>
        <v/>
      </c>
    </row>
    <row r="2871" spans="37:44" ht="30" hidden="1" customHeight="1" x14ac:dyDescent="0.25">
      <c r="AK2871" s="313"/>
      <c r="AL2871" s="313"/>
      <c r="AM2871" s="313"/>
      <c r="AN2871" s="313"/>
      <c r="AO2871" s="313"/>
      <c r="AP2871" s="313"/>
      <c r="AQ2871" s="314"/>
      <c r="AR2871" s="315" t="str">
        <f t="shared" si="81"/>
        <v/>
      </c>
    </row>
    <row r="2872" spans="37:44" ht="30" hidden="1" customHeight="1" x14ac:dyDescent="0.25">
      <c r="AK2872" s="313"/>
      <c r="AL2872" s="313"/>
      <c r="AM2872" s="313"/>
      <c r="AN2872" s="313"/>
      <c r="AO2872" s="313"/>
      <c r="AP2872" s="313"/>
      <c r="AQ2872" s="314"/>
      <c r="AR2872" s="315" t="str">
        <f t="shared" si="81"/>
        <v/>
      </c>
    </row>
    <row r="2873" spans="37:44" ht="30" hidden="1" customHeight="1" x14ac:dyDescent="0.25">
      <c r="AK2873" s="313"/>
      <c r="AL2873" s="313"/>
      <c r="AM2873" s="313"/>
      <c r="AN2873" s="313"/>
      <c r="AO2873" s="313"/>
      <c r="AP2873" s="313"/>
      <c r="AQ2873" s="314"/>
      <c r="AR2873" s="315" t="str">
        <f t="shared" si="81"/>
        <v/>
      </c>
    </row>
    <row r="2874" spans="37:44" ht="30" hidden="1" customHeight="1" x14ac:dyDescent="0.25">
      <c r="AK2874" s="313"/>
      <c r="AL2874" s="313"/>
      <c r="AM2874" s="313"/>
      <c r="AN2874" s="313"/>
      <c r="AO2874" s="313"/>
      <c r="AP2874" s="313"/>
      <c r="AQ2874" s="314"/>
      <c r="AR2874" s="315" t="str">
        <f t="shared" si="81"/>
        <v/>
      </c>
    </row>
    <row r="2875" spans="37:44" ht="30" hidden="1" customHeight="1" x14ac:dyDescent="0.25">
      <c r="AK2875" s="313"/>
      <c r="AL2875" s="313"/>
      <c r="AM2875" s="313"/>
      <c r="AN2875" s="313"/>
      <c r="AO2875" s="313"/>
      <c r="AP2875" s="313"/>
      <c r="AQ2875" s="314"/>
      <c r="AR2875" s="315" t="str">
        <f t="shared" si="81"/>
        <v/>
      </c>
    </row>
    <row r="2876" spans="37:44" ht="30" hidden="1" customHeight="1" x14ac:dyDescent="0.25">
      <c r="AK2876" s="313"/>
      <c r="AL2876" s="313"/>
      <c r="AM2876" s="313"/>
      <c r="AN2876" s="313"/>
      <c r="AO2876" s="313"/>
      <c r="AP2876" s="313"/>
      <c r="AQ2876" s="314"/>
      <c r="AR2876" s="315" t="str">
        <f t="shared" si="81"/>
        <v/>
      </c>
    </row>
    <row r="2877" spans="37:44" ht="30" hidden="1" customHeight="1" x14ac:dyDescent="0.25">
      <c r="AK2877" s="313"/>
      <c r="AL2877" s="313"/>
      <c r="AM2877" s="313"/>
      <c r="AN2877" s="313"/>
      <c r="AO2877" s="313"/>
      <c r="AP2877" s="313"/>
      <c r="AQ2877" s="314"/>
      <c r="AR2877" s="315" t="str">
        <f t="shared" si="81"/>
        <v/>
      </c>
    </row>
    <row r="2878" spans="37:44" ht="30" hidden="1" customHeight="1" x14ac:dyDescent="0.25">
      <c r="AK2878" s="313"/>
      <c r="AL2878" s="313"/>
      <c r="AM2878" s="313"/>
      <c r="AN2878" s="313"/>
      <c r="AO2878" s="313"/>
      <c r="AP2878" s="313"/>
      <c r="AQ2878" s="314"/>
      <c r="AR2878" s="315" t="str">
        <f t="shared" si="81"/>
        <v/>
      </c>
    </row>
    <row r="2879" spans="37:44" ht="30" hidden="1" customHeight="1" x14ac:dyDescent="0.25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82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 x14ac:dyDescent="0.25">
      <c r="AK2880" s="313"/>
      <c r="AL2880" s="313"/>
      <c r="AM2880" s="313"/>
      <c r="AN2880" s="313"/>
      <c r="AO2880" s="313"/>
      <c r="AP2880" s="313"/>
      <c r="AQ2880" s="314"/>
      <c r="AR2880" s="315" t="str">
        <f t="shared" si="82"/>
        <v/>
      </c>
    </row>
    <row r="2881" spans="37:44" ht="30" hidden="1" customHeight="1" x14ac:dyDescent="0.25">
      <c r="AK2881" s="313"/>
      <c r="AL2881" s="313"/>
      <c r="AM2881" s="313"/>
      <c r="AN2881" s="313"/>
      <c r="AO2881" s="313"/>
      <c r="AP2881" s="313"/>
      <c r="AQ2881" s="314"/>
      <c r="AR2881" s="315" t="str">
        <f t="shared" si="82"/>
        <v/>
      </c>
    </row>
    <row r="2882" spans="37:44" ht="30" hidden="1" customHeight="1" x14ac:dyDescent="0.25">
      <c r="AK2882" s="313"/>
      <c r="AL2882" s="313"/>
      <c r="AM2882" s="313"/>
      <c r="AN2882" s="313"/>
      <c r="AO2882" s="313"/>
      <c r="AP2882" s="313"/>
      <c r="AQ2882" s="314"/>
      <c r="AR2882" s="315" t="str">
        <f t="shared" si="82"/>
        <v/>
      </c>
    </row>
    <row r="2883" spans="37:44" ht="30" hidden="1" customHeight="1" x14ac:dyDescent="0.25">
      <c r="AK2883" s="313"/>
      <c r="AL2883" s="313"/>
      <c r="AM2883" s="313"/>
      <c r="AN2883" s="313"/>
      <c r="AO2883" s="313"/>
      <c r="AP2883" s="313"/>
      <c r="AQ2883" s="314"/>
      <c r="AR2883" s="315" t="str">
        <f t="shared" si="82"/>
        <v/>
      </c>
    </row>
    <row r="2884" spans="37:44" ht="30" hidden="1" customHeight="1" x14ac:dyDescent="0.25">
      <c r="AK2884" s="313"/>
      <c r="AL2884" s="313"/>
      <c r="AM2884" s="313"/>
      <c r="AN2884" s="313"/>
      <c r="AO2884" s="313"/>
      <c r="AP2884" s="313"/>
      <c r="AQ2884" s="314"/>
      <c r="AR2884" s="315" t="str">
        <f t="shared" si="82"/>
        <v/>
      </c>
    </row>
    <row r="2885" spans="37:44" ht="30" hidden="1" customHeight="1" x14ac:dyDescent="0.25">
      <c r="AK2885" s="313"/>
      <c r="AL2885" s="313"/>
      <c r="AM2885" s="313"/>
      <c r="AN2885" s="313"/>
      <c r="AO2885" s="313"/>
      <c r="AP2885" s="313"/>
      <c r="AQ2885" s="314"/>
      <c r="AR2885" s="315" t="str">
        <f t="shared" si="82"/>
        <v/>
      </c>
    </row>
    <row r="2886" spans="37:44" ht="30" hidden="1" customHeight="1" x14ac:dyDescent="0.25">
      <c r="AK2886" s="313"/>
      <c r="AL2886" s="313"/>
      <c r="AM2886" s="313"/>
      <c r="AN2886" s="313"/>
      <c r="AO2886" s="313"/>
      <c r="AP2886" s="313"/>
      <c r="AQ2886" s="314"/>
      <c r="AR2886" s="315" t="str">
        <f t="shared" si="82"/>
        <v/>
      </c>
    </row>
    <row r="2887" spans="37:44" ht="30" hidden="1" customHeight="1" x14ac:dyDescent="0.25">
      <c r="AK2887" s="313"/>
      <c r="AL2887" s="313"/>
      <c r="AM2887" s="313"/>
      <c r="AN2887" s="313"/>
      <c r="AO2887" s="313"/>
      <c r="AP2887" s="313"/>
      <c r="AQ2887" s="314"/>
      <c r="AR2887" s="315" t="str">
        <f t="shared" si="82"/>
        <v/>
      </c>
    </row>
    <row r="2888" spans="37:44" ht="30" hidden="1" customHeight="1" x14ac:dyDescent="0.25">
      <c r="AK2888" s="313"/>
      <c r="AL2888" s="313"/>
      <c r="AM2888" s="313"/>
      <c r="AN2888" s="313"/>
      <c r="AO2888" s="313"/>
      <c r="AP2888" s="313"/>
      <c r="AQ2888" s="314"/>
      <c r="AR2888" s="315" t="str">
        <f t="shared" si="82"/>
        <v/>
      </c>
    </row>
    <row r="2889" spans="37:44" ht="30" hidden="1" customHeight="1" x14ac:dyDescent="0.25">
      <c r="AK2889" s="313"/>
      <c r="AL2889" s="313"/>
      <c r="AM2889" s="313"/>
      <c r="AN2889" s="313"/>
      <c r="AO2889" s="313"/>
      <c r="AP2889" s="313"/>
      <c r="AQ2889" s="314"/>
      <c r="AR2889" s="315" t="str">
        <f t="shared" si="82"/>
        <v/>
      </c>
    </row>
    <row r="2890" spans="37:44" ht="30" hidden="1" customHeight="1" x14ac:dyDescent="0.25">
      <c r="AK2890" s="313"/>
      <c r="AL2890" s="313"/>
      <c r="AM2890" s="313"/>
      <c r="AN2890" s="313"/>
      <c r="AO2890" s="313"/>
      <c r="AP2890" s="313"/>
      <c r="AQ2890" s="314"/>
      <c r="AR2890" s="315" t="str">
        <f t="shared" si="82"/>
        <v/>
      </c>
    </row>
    <row r="2891" spans="37:44" ht="30" hidden="1" customHeight="1" x14ac:dyDescent="0.25">
      <c r="AK2891" s="313"/>
      <c r="AL2891" s="313"/>
      <c r="AM2891" s="313"/>
      <c r="AN2891" s="313"/>
      <c r="AO2891" s="313"/>
      <c r="AP2891" s="313"/>
      <c r="AQ2891" s="314"/>
      <c r="AR2891" s="315" t="str">
        <f t="shared" si="82"/>
        <v/>
      </c>
    </row>
    <row r="2892" spans="37:44" ht="30" hidden="1" customHeight="1" x14ac:dyDescent="0.25">
      <c r="AK2892" s="313"/>
      <c r="AL2892" s="313"/>
      <c r="AM2892" s="313"/>
      <c r="AN2892" s="313"/>
      <c r="AO2892" s="313"/>
      <c r="AP2892" s="313"/>
      <c r="AQ2892" s="314"/>
      <c r="AR2892" s="315" t="str">
        <f t="shared" si="82"/>
        <v/>
      </c>
    </row>
    <row r="2893" spans="37:44" ht="30" hidden="1" customHeight="1" x14ac:dyDescent="0.25">
      <c r="AK2893" s="313"/>
      <c r="AL2893" s="313"/>
      <c r="AM2893" s="313"/>
      <c r="AN2893" s="313"/>
      <c r="AO2893" s="313"/>
      <c r="AP2893" s="313"/>
      <c r="AQ2893" s="314"/>
      <c r="AR2893" s="315" t="str">
        <f t="shared" si="82"/>
        <v/>
      </c>
    </row>
    <row r="2894" spans="37:44" ht="30" hidden="1" customHeight="1" x14ac:dyDescent="0.25">
      <c r="AK2894" s="313"/>
      <c r="AL2894" s="313"/>
      <c r="AM2894" s="313"/>
      <c r="AN2894" s="313"/>
      <c r="AO2894" s="313"/>
      <c r="AP2894" s="313"/>
      <c r="AQ2894" s="314"/>
      <c r="AR2894" s="315" t="str">
        <f t="shared" si="82"/>
        <v/>
      </c>
    </row>
    <row r="2895" spans="37:44" ht="30" hidden="1" customHeight="1" x14ac:dyDescent="0.25">
      <c r="AK2895" s="313"/>
      <c r="AL2895" s="313"/>
      <c r="AM2895" s="313"/>
      <c r="AN2895" s="313"/>
      <c r="AO2895" s="313"/>
      <c r="AP2895" s="313"/>
      <c r="AQ2895" s="314"/>
      <c r="AR2895" s="315" t="str">
        <f t="shared" si="82"/>
        <v/>
      </c>
    </row>
    <row r="2896" spans="37:44" ht="30" hidden="1" customHeight="1" x14ac:dyDescent="0.25">
      <c r="AK2896" s="313"/>
      <c r="AL2896" s="313"/>
      <c r="AM2896" s="313"/>
      <c r="AN2896" s="313"/>
      <c r="AO2896" s="313"/>
      <c r="AP2896" s="313"/>
      <c r="AQ2896" s="314"/>
      <c r="AR2896" s="315" t="str">
        <f t="shared" si="82"/>
        <v/>
      </c>
    </row>
    <row r="2897" spans="37:44" ht="30" hidden="1" customHeight="1" x14ac:dyDescent="0.25">
      <c r="AK2897" s="313"/>
      <c r="AL2897" s="313"/>
      <c r="AM2897" s="313"/>
      <c r="AN2897" s="313"/>
      <c r="AO2897" s="313"/>
      <c r="AP2897" s="313"/>
      <c r="AQ2897" s="314"/>
      <c r="AR2897" s="315" t="str">
        <f t="shared" si="82"/>
        <v/>
      </c>
    </row>
    <row r="2898" spans="37:44" ht="30" hidden="1" customHeight="1" x14ac:dyDescent="0.25">
      <c r="AK2898" s="313"/>
      <c r="AL2898" s="313"/>
      <c r="AM2898" s="313"/>
      <c r="AN2898" s="313"/>
      <c r="AO2898" s="313"/>
      <c r="AP2898" s="313"/>
      <c r="AQ2898" s="314"/>
      <c r="AR2898" s="315" t="str">
        <f t="shared" si="82"/>
        <v/>
      </c>
    </row>
    <row r="2899" spans="37:44" ht="30" hidden="1" customHeight="1" x14ac:dyDescent="0.25">
      <c r="AK2899" s="313"/>
      <c r="AL2899" s="313"/>
      <c r="AM2899" s="313"/>
      <c r="AN2899" s="313"/>
      <c r="AO2899" s="313"/>
      <c r="AP2899" s="313"/>
      <c r="AQ2899" s="314"/>
      <c r="AR2899" s="315" t="str">
        <f t="shared" si="82"/>
        <v/>
      </c>
    </row>
    <row r="2900" spans="37:44" ht="30" hidden="1" customHeight="1" x14ac:dyDescent="0.25">
      <c r="AK2900" s="313"/>
      <c r="AL2900" s="313"/>
      <c r="AM2900" s="313"/>
      <c r="AN2900" s="313"/>
      <c r="AO2900" s="313"/>
      <c r="AP2900" s="313"/>
      <c r="AQ2900" s="314"/>
      <c r="AR2900" s="315" t="str">
        <f t="shared" si="82"/>
        <v/>
      </c>
    </row>
    <row r="2901" spans="37:44" ht="30" hidden="1" customHeight="1" x14ac:dyDescent="0.25">
      <c r="AK2901" s="313"/>
      <c r="AL2901" s="313"/>
      <c r="AM2901" s="313"/>
      <c r="AN2901" s="313"/>
      <c r="AO2901" s="313"/>
      <c r="AP2901" s="313"/>
      <c r="AQ2901" s="314"/>
      <c r="AR2901" s="315" t="str">
        <f t="shared" si="82"/>
        <v/>
      </c>
    </row>
    <row r="2902" spans="37:44" ht="30" hidden="1" customHeight="1" x14ac:dyDescent="0.25">
      <c r="AK2902" s="313"/>
      <c r="AL2902" s="313"/>
      <c r="AM2902" s="313"/>
      <c r="AN2902" s="313"/>
      <c r="AO2902" s="313"/>
      <c r="AP2902" s="313"/>
      <c r="AQ2902" s="314"/>
      <c r="AR2902" s="315" t="str">
        <f t="shared" si="82"/>
        <v/>
      </c>
    </row>
    <row r="2903" spans="37:44" ht="30" hidden="1" customHeight="1" x14ac:dyDescent="0.25">
      <c r="AK2903" s="313"/>
      <c r="AL2903" s="313"/>
      <c r="AM2903" s="313"/>
      <c r="AN2903" s="313"/>
      <c r="AO2903" s="313"/>
      <c r="AP2903" s="313"/>
      <c r="AQ2903" s="314"/>
      <c r="AR2903" s="315" t="str">
        <f t="shared" si="82"/>
        <v/>
      </c>
    </row>
    <row r="2904" spans="37:44" ht="30" hidden="1" customHeight="1" x14ac:dyDescent="0.25">
      <c r="AK2904" s="313"/>
      <c r="AL2904" s="313"/>
      <c r="AM2904" s="313"/>
      <c r="AN2904" s="313"/>
      <c r="AO2904" s="313"/>
      <c r="AP2904" s="313"/>
      <c r="AQ2904" s="314"/>
      <c r="AR2904" s="315" t="str">
        <f t="shared" si="82"/>
        <v/>
      </c>
    </row>
    <row r="2905" spans="37:44" ht="30" hidden="1" customHeight="1" x14ac:dyDescent="0.25">
      <c r="AK2905" s="313"/>
      <c r="AL2905" s="313"/>
      <c r="AM2905" s="313"/>
      <c r="AN2905" s="313"/>
      <c r="AO2905" s="313"/>
      <c r="AP2905" s="313"/>
      <c r="AQ2905" s="314"/>
      <c r="AR2905" s="315" t="str">
        <f t="shared" si="82"/>
        <v/>
      </c>
    </row>
    <row r="2906" spans="37:44" ht="30" hidden="1" customHeight="1" x14ac:dyDescent="0.25">
      <c r="AK2906" s="313"/>
      <c r="AL2906" s="313"/>
      <c r="AM2906" s="313"/>
      <c r="AN2906" s="313"/>
      <c r="AO2906" s="313"/>
      <c r="AP2906" s="313"/>
      <c r="AQ2906" s="314"/>
      <c r="AR2906" s="315" t="str">
        <f t="shared" si="82"/>
        <v/>
      </c>
    </row>
    <row r="2907" spans="37:44" ht="30" hidden="1" customHeight="1" x14ac:dyDescent="0.25">
      <c r="AK2907" s="313"/>
      <c r="AL2907" s="313"/>
      <c r="AM2907" s="313"/>
      <c r="AN2907" s="313"/>
      <c r="AO2907" s="313"/>
      <c r="AP2907" s="313"/>
      <c r="AQ2907" s="314"/>
      <c r="AR2907" s="315" t="str">
        <f t="shared" si="82"/>
        <v/>
      </c>
    </row>
    <row r="2908" spans="37:44" ht="30" hidden="1" customHeight="1" x14ac:dyDescent="0.25">
      <c r="AK2908" s="313"/>
      <c r="AL2908" s="313"/>
      <c r="AM2908" s="313"/>
      <c r="AN2908" s="313"/>
      <c r="AO2908" s="313"/>
      <c r="AP2908" s="313"/>
      <c r="AQ2908" s="314"/>
      <c r="AR2908" s="315" t="str">
        <f t="shared" si="82"/>
        <v/>
      </c>
    </row>
    <row r="2909" spans="37:44" ht="30" hidden="1" customHeight="1" x14ac:dyDescent="0.25">
      <c r="AK2909" s="313"/>
      <c r="AL2909" s="313"/>
      <c r="AM2909" s="313"/>
      <c r="AN2909" s="313"/>
      <c r="AO2909" s="313"/>
      <c r="AP2909" s="313"/>
      <c r="AQ2909" s="314"/>
      <c r="AR2909" s="315" t="str">
        <f t="shared" si="82"/>
        <v/>
      </c>
    </row>
    <row r="2910" spans="37:44" ht="30" hidden="1" customHeight="1" x14ac:dyDescent="0.25">
      <c r="AK2910" s="313"/>
      <c r="AL2910" s="313"/>
      <c r="AM2910" s="313"/>
      <c r="AN2910" s="313"/>
      <c r="AO2910" s="313"/>
      <c r="AP2910" s="313"/>
      <c r="AQ2910" s="314"/>
      <c r="AR2910" s="315" t="str">
        <f t="shared" si="82"/>
        <v/>
      </c>
    </row>
    <row r="2911" spans="37:44" ht="30" hidden="1" customHeight="1" x14ac:dyDescent="0.25">
      <c r="AK2911" s="313"/>
      <c r="AL2911" s="313"/>
      <c r="AM2911" s="313"/>
      <c r="AN2911" s="313"/>
      <c r="AO2911" s="313"/>
      <c r="AP2911" s="313"/>
      <c r="AQ2911" s="314"/>
      <c r="AR2911" s="315" t="str">
        <f t="shared" si="82"/>
        <v/>
      </c>
    </row>
    <row r="2912" spans="37:44" ht="30" hidden="1" customHeight="1" x14ac:dyDescent="0.25">
      <c r="AK2912" s="313"/>
      <c r="AL2912" s="313"/>
      <c r="AM2912" s="313"/>
      <c r="AN2912" s="313"/>
      <c r="AO2912" s="313"/>
      <c r="AP2912" s="313"/>
      <c r="AQ2912" s="314"/>
      <c r="AR2912" s="315" t="str">
        <f t="shared" si="82"/>
        <v/>
      </c>
    </row>
    <row r="2913" spans="37:44" ht="30" hidden="1" customHeight="1" x14ac:dyDescent="0.25">
      <c r="AK2913" s="313"/>
      <c r="AL2913" s="313"/>
      <c r="AM2913" s="313"/>
      <c r="AN2913" s="313"/>
      <c r="AO2913" s="313"/>
      <c r="AP2913" s="313"/>
      <c r="AQ2913" s="314"/>
      <c r="AR2913" s="315" t="str">
        <f t="shared" si="82"/>
        <v/>
      </c>
    </row>
    <row r="2914" spans="37:44" ht="30" hidden="1" customHeight="1" x14ac:dyDescent="0.25">
      <c r="AK2914" s="313"/>
      <c r="AL2914" s="313"/>
      <c r="AM2914" s="313"/>
      <c r="AN2914" s="313"/>
      <c r="AO2914" s="313"/>
      <c r="AP2914" s="313"/>
      <c r="AQ2914" s="314"/>
      <c r="AR2914" s="315" t="str">
        <f t="shared" si="82"/>
        <v/>
      </c>
    </row>
    <row r="2915" spans="37:44" ht="30" hidden="1" customHeight="1" x14ac:dyDescent="0.25">
      <c r="AK2915" s="313"/>
      <c r="AL2915" s="313"/>
      <c r="AM2915" s="313"/>
      <c r="AN2915" s="313"/>
      <c r="AO2915" s="313"/>
      <c r="AP2915" s="313"/>
      <c r="AQ2915" s="314"/>
      <c r="AR2915" s="315" t="str">
        <f t="shared" si="82"/>
        <v/>
      </c>
    </row>
    <row r="2916" spans="37:44" ht="30" hidden="1" customHeight="1" x14ac:dyDescent="0.25">
      <c r="AK2916" s="313"/>
      <c r="AL2916" s="313"/>
      <c r="AM2916" s="313"/>
      <c r="AN2916" s="313"/>
      <c r="AO2916" s="313"/>
      <c r="AP2916" s="313"/>
      <c r="AQ2916" s="314"/>
      <c r="AR2916" s="315" t="str">
        <f t="shared" si="82"/>
        <v/>
      </c>
    </row>
    <row r="2917" spans="37:44" ht="30" hidden="1" customHeight="1" x14ac:dyDescent="0.25">
      <c r="AK2917" s="313"/>
      <c r="AL2917" s="313"/>
      <c r="AM2917" s="313"/>
      <c r="AN2917" s="313"/>
      <c r="AO2917" s="313"/>
      <c r="AP2917" s="313"/>
      <c r="AQ2917" s="314"/>
      <c r="AR2917" s="315" t="str">
        <f t="shared" si="82"/>
        <v/>
      </c>
    </row>
    <row r="2918" spans="37:44" ht="30" hidden="1" customHeight="1" x14ac:dyDescent="0.25">
      <c r="AK2918" s="313"/>
      <c r="AL2918" s="313"/>
      <c r="AM2918" s="313"/>
      <c r="AN2918" s="313"/>
      <c r="AO2918" s="313"/>
      <c r="AP2918" s="313"/>
      <c r="AQ2918" s="314"/>
      <c r="AR2918" s="315" t="str">
        <f t="shared" si="82"/>
        <v/>
      </c>
    </row>
    <row r="2919" spans="37:44" ht="30" hidden="1" customHeight="1" x14ac:dyDescent="0.25">
      <c r="AK2919" s="313"/>
      <c r="AL2919" s="313"/>
      <c r="AM2919" s="313"/>
      <c r="AN2919" s="313"/>
      <c r="AO2919" s="313"/>
      <c r="AP2919" s="313"/>
      <c r="AQ2919" s="314"/>
      <c r="AR2919" s="315" t="str">
        <f t="shared" si="82"/>
        <v/>
      </c>
    </row>
    <row r="2920" spans="37:44" ht="30" hidden="1" customHeight="1" x14ac:dyDescent="0.25">
      <c r="AK2920" s="313"/>
      <c r="AL2920" s="313"/>
      <c r="AM2920" s="313"/>
      <c r="AN2920" s="313"/>
      <c r="AO2920" s="313"/>
      <c r="AP2920" s="313"/>
      <c r="AQ2920" s="314"/>
      <c r="AR2920" s="315" t="str">
        <f t="shared" si="82"/>
        <v/>
      </c>
    </row>
    <row r="2921" spans="37:44" ht="30" hidden="1" customHeight="1" x14ac:dyDescent="0.25">
      <c r="AK2921" s="313"/>
      <c r="AL2921" s="313"/>
      <c r="AM2921" s="313"/>
      <c r="AN2921" s="313"/>
      <c r="AO2921" s="313"/>
      <c r="AP2921" s="313"/>
      <c r="AQ2921" s="314"/>
      <c r="AR2921" s="315" t="str">
        <f t="shared" si="82"/>
        <v/>
      </c>
    </row>
    <row r="2922" spans="37:44" ht="30" hidden="1" customHeight="1" x14ac:dyDescent="0.25">
      <c r="AK2922" s="313"/>
      <c r="AL2922" s="313"/>
      <c r="AM2922" s="313"/>
      <c r="AN2922" s="313"/>
      <c r="AO2922" s="313"/>
      <c r="AP2922" s="313"/>
      <c r="AQ2922" s="314"/>
      <c r="AR2922" s="315" t="str">
        <f t="shared" si="82"/>
        <v/>
      </c>
    </row>
    <row r="2923" spans="37:44" ht="30" hidden="1" customHeight="1" x14ac:dyDescent="0.25">
      <c r="AK2923" s="313"/>
      <c r="AL2923" s="313"/>
      <c r="AM2923" s="313"/>
      <c r="AN2923" s="313"/>
      <c r="AO2923" s="313"/>
      <c r="AP2923" s="313"/>
      <c r="AQ2923" s="314"/>
      <c r="AR2923" s="315" t="str">
        <f t="shared" si="82"/>
        <v/>
      </c>
    </row>
    <row r="2924" spans="37:44" ht="30" hidden="1" customHeight="1" x14ac:dyDescent="0.25">
      <c r="AK2924" s="313"/>
      <c r="AL2924" s="313"/>
      <c r="AM2924" s="313"/>
      <c r="AN2924" s="313"/>
      <c r="AO2924" s="313"/>
      <c r="AP2924" s="313"/>
      <c r="AQ2924" s="314"/>
      <c r="AR2924" s="315" t="str">
        <f t="shared" si="82"/>
        <v/>
      </c>
    </row>
    <row r="2925" spans="37:44" ht="30" hidden="1" customHeight="1" x14ac:dyDescent="0.25">
      <c r="AK2925" s="313"/>
      <c r="AL2925" s="313"/>
      <c r="AM2925" s="313"/>
      <c r="AN2925" s="313"/>
      <c r="AO2925" s="313"/>
      <c r="AP2925" s="313"/>
      <c r="AQ2925" s="314"/>
      <c r="AR2925" s="315" t="str">
        <f t="shared" si="82"/>
        <v/>
      </c>
    </row>
    <row r="2926" spans="37:44" ht="30" hidden="1" customHeight="1" x14ac:dyDescent="0.25">
      <c r="AK2926" s="313"/>
      <c r="AL2926" s="313"/>
      <c r="AM2926" s="313"/>
      <c r="AN2926" s="313"/>
      <c r="AO2926" s="313"/>
      <c r="AP2926" s="313"/>
      <c r="AQ2926" s="314"/>
      <c r="AR2926" s="315" t="str">
        <f t="shared" si="82"/>
        <v/>
      </c>
    </row>
    <row r="2927" spans="37:44" ht="30" hidden="1" customHeight="1" x14ac:dyDescent="0.25">
      <c r="AK2927" s="313"/>
      <c r="AL2927" s="313"/>
      <c r="AM2927" s="313"/>
      <c r="AN2927" s="313"/>
      <c r="AO2927" s="313"/>
      <c r="AP2927" s="313"/>
      <c r="AQ2927" s="314"/>
      <c r="AR2927" s="315" t="str">
        <f t="shared" si="82"/>
        <v/>
      </c>
    </row>
    <row r="2928" spans="37:44" ht="30" hidden="1" customHeight="1" x14ac:dyDescent="0.25">
      <c r="AK2928" s="313"/>
      <c r="AL2928" s="313"/>
      <c r="AM2928" s="313"/>
      <c r="AN2928" s="313"/>
      <c r="AO2928" s="313"/>
      <c r="AP2928" s="313"/>
      <c r="AQ2928" s="314"/>
      <c r="AR2928" s="315" t="str">
        <f t="shared" si="82"/>
        <v/>
      </c>
    </row>
    <row r="2929" spans="37:44" ht="30" hidden="1" customHeight="1" x14ac:dyDescent="0.25">
      <c r="AK2929" s="313"/>
      <c r="AL2929" s="313"/>
      <c r="AM2929" s="313"/>
      <c r="AN2929" s="313"/>
      <c r="AO2929" s="313"/>
      <c r="AP2929" s="313"/>
      <c r="AQ2929" s="314"/>
      <c r="AR2929" s="315" t="str">
        <f t="shared" si="82"/>
        <v/>
      </c>
    </row>
    <row r="2930" spans="37:44" ht="30" hidden="1" customHeight="1" x14ac:dyDescent="0.25">
      <c r="AK2930" s="313"/>
      <c r="AL2930" s="313"/>
      <c r="AM2930" s="313"/>
      <c r="AN2930" s="313"/>
      <c r="AO2930" s="313"/>
      <c r="AP2930" s="313"/>
      <c r="AQ2930" s="314"/>
      <c r="AR2930" s="315" t="str">
        <f t="shared" si="82"/>
        <v/>
      </c>
    </row>
    <row r="2931" spans="37:44" ht="30" hidden="1" customHeight="1" x14ac:dyDescent="0.25">
      <c r="AK2931" s="313"/>
      <c r="AL2931" s="313"/>
      <c r="AM2931" s="313"/>
      <c r="AN2931" s="313"/>
      <c r="AO2931" s="313"/>
      <c r="AP2931" s="313"/>
      <c r="AQ2931" s="314"/>
      <c r="AR2931" s="315" t="str">
        <f t="shared" si="82"/>
        <v/>
      </c>
    </row>
    <row r="2932" spans="37:44" ht="30" hidden="1" customHeight="1" x14ac:dyDescent="0.25">
      <c r="AK2932" s="313"/>
      <c r="AL2932" s="313"/>
      <c r="AM2932" s="313"/>
      <c r="AN2932" s="313"/>
      <c r="AO2932" s="313"/>
      <c r="AP2932" s="313"/>
      <c r="AQ2932" s="314"/>
      <c r="AR2932" s="315" t="str">
        <f t="shared" si="82"/>
        <v/>
      </c>
    </row>
    <row r="2933" spans="37:44" ht="30" hidden="1" customHeight="1" x14ac:dyDescent="0.25">
      <c r="AK2933" s="313"/>
      <c r="AL2933" s="313"/>
      <c r="AM2933" s="313"/>
      <c r="AN2933" s="313"/>
      <c r="AO2933" s="313"/>
      <c r="AP2933" s="313"/>
      <c r="AQ2933" s="314"/>
      <c r="AR2933" s="315" t="str">
        <f t="shared" si="82"/>
        <v/>
      </c>
    </row>
    <row r="2934" spans="37:44" ht="30" hidden="1" customHeight="1" x14ac:dyDescent="0.25">
      <c r="AK2934" s="313"/>
      <c r="AL2934" s="313"/>
      <c r="AM2934" s="313"/>
      <c r="AN2934" s="313"/>
      <c r="AO2934" s="313"/>
      <c r="AP2934" s="313"/>
      <c r="AQ2934" s="314"/>
      <c r="AR2934" s="315" t="str">
        <f t="shared" si="82"/>
        <v/>
      </c>
    </row>
    <row r="2935" spans="37:44" ht="30" hidden="1" customHeight="1" x14ac:dyDescent="0.25">
      <c r="AK2935" s="313"/>
      <c r="AL2935" s="313"/>
      <c r="AM2935" s="313"/>
      <c r="AN2935" s="313"/>
      <c r="AO2935" s="313"/>
      <c r="AP2935" s="313"/>
      <c r="AQ2935" s="314"/>
      <c r="AR2935" s="315" t="str">
        <f t="shared" si="82"/>
        <v/>
      </c>
    </row>
    <row r="2936" spans="37:44" ht="30" hidden="1" customHeight="1" x14ac:dyDescent="0.25">
      <c r="AK2936" s="313"/>
      <c r="AL2936" s="313"/>
      <c r="AM2936" s="313"/>
      <c r="AN2936" s="313"/>
      <c r="AO2936" s="313"/>
      <c r="AP2936" s="313"/>
      <c r="AQ2936" s="314"/>
      <c r="AR2936" s="315" t="str">
        <f t="shared" si="82"/>
        <v/>
      </c>
    </row>
    <row r="2937" spans="37:44" ht="30" hidden="1" customHeight="1" x14ac:dyDescent="0.25">
      <c r="AK2937" s="313"/>
      <c r="AL2937" s="313"/>
      <c r="AM2937" s="313"/>
      <c r="AN2937" s="313"/>
      <c r="AO2937" s="313"/>
      <c r="AP2937" s="313"/>
      <c r="AQ2937" s="314"/>
      <c r="AR2937" s="315" t="str">
        <f t="shared" si="82"/>
        <v/>
      </c>
    </row>
    <row r="2938" spans="37:44" ht="30" hidden="1" customHeight="1" x14ac:dyDescent="0.25">
      <c r="AK2938" s="313"/>
      <c r="AL2938" s="313"/>
      <c r="AM2938" s="313"/>
      <c r="AN2938" s="313"/>
      <c r="AO2938" s="313"/>
      <c r="AP2938" s="313"/>
      <c r="AQ2938" s="314"/>
      <c r="AR2938" s="315" t="str">
        <f t="shared" si="82"/>
        <v/>
      </c>
    </row>
    <row r="2939" spans="37:44" ht="30" hidden="1" customHeight="1" x14ac:dyDescent="0.25">
      <c r="AK2939" s="313"/>
      <c r="AL2939" s="313"/>
      <c r="AM2939" s="313"/>
      <c r="AN2939" s="313"/>
      <c r="AO2939" s="313"/>
      <c r="AP2939" s="313"/>
      <c r="AQ2939" s="314"/>
      <c r="AR2939" s="315" t="str">
        <f t="shared" si="82"/>
        <v/>
      </c>
    </row>
    <row r="2940" spans="37:44" ht="30" hidden="1" customHeight="1" x14ac:dyDescent="0.25">
      <c r="AK2940" s="313"/>
      <c r="AL2940" s="313"/>
      <c r="AM2940" s="313"/>
      <c r="AN2940" s="313"/>
      <c r="AO2940" s="313"/>
      <c r="AP2940" s="313"/>
      <c r="AQ2940" s="314"/>
      <c r="AR2940" s="315" t="str">
        <f t="shared" si="82"/>
        <v/>
      </c>
    </row>
    <row r="2941" spans="37:44" ht="30" hidden="1" customHeight="1" x14ac:dyDescent="0.25">
      <c r="AK2941" s="313"/>
      <c r="AL2941" s="313"/>
      <c r="AM2941" s="313"/>
      <c r="AN2941" s="313"/>
      <c r="AO2941" s="313"/>
      <c r="AP2941" s="313"/>
      <c r="AQ2941" s="314"/>
      <c r="AR2941" s="315" t="str">
        <f t="shared" si="82"/>
        <v/>
      </c>
    </row>
    <row r="2942" spans="37:44" ht="30" hidden="1" customHeight="1" x14ac:dyDescent="0.25">
      <c r="AK2942" s="313"/>
      <c r="AL2942" s="313"/>
      <c r="AM2942" s="313"/>
      <c r="AN2942" s="313"/>
      <c r="AO2942" s="313"/>
      <c r="AP2942" s="313"/>
      <c r="AQ2942" s="314"/>
      <c r="AR2942" s="315" t="str">
        <f t="shared" si="82"/>
        <v/>
      </c>
    </row>
    <row r="2943" spans="37:44" ht="30" hidden="1" customHeight="1" x14ac:dyDescent="0.25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83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 x14ac:dyDescent="0.25">
      <c r="AK2944" s="313"/>
      <c r="AL2944" s="313"/>
      <c r="AM2944" s="313"/>
      <c r="AN2944" s="313"/>
      <c r="AO2944" s="313"/>
      <c r="AP2944" s="313"/>
      <c r="AQ2944" s="314"/>
      <c r="AR2944" s="315" t="str">
        <f t="shared" si="83"/>
        <v/>
      </c>
    </row>
    <row r="2945" spans="37:44" ht="30" hidden="1" customHeight="1" x14ac:dyDescent="0.25">
      <c r="AK2945" s="313"/>
      <c r="AL2945" s="313"/>
      <c r="AM2945" s="313"/>
      <c r="AN2945" s="313"/>
      <c r="AO2945" s="313"/>
      <c r="AP2945" s="313"/>
      <c r="AQ2945" s="314"/>
      <c r="AR2945" s="315" t="str">
        <f t="shared" si="83"/>
        <v/>
      </c>
    </row>
    <row r="2946" spans="37:44" ht="30" hidden="1" customHeight="1" x14ac:dyDescent="0.25">
      <c r="AK2946" s="313"/>
      <c r="AL2946" s="313"/>
      <c r="AM2946" s="313"/>
      <c r="AN2946" s="313"/>
      <c r="AO2946" s="313"/>
      <c r="AP2946" s="313"/>
      <c r="AQ2946" s="314"/>
      <c r="AR2946" s="315" t="str">
        <f t="shared" si="83"/>
        <v/>
      </c>
    </row>
    <row r="2947" spans="37:44" ht="30" hidden="1" customHeight="1" x14ac:dyDescent="0.25">
      <c r="AK2947" s="313"/>
      <c r="AL2947" s="313"/>
      <c r="AM2947" s="313"/>
      <c r="AN2947" s="313"/>
      <c r="AO2947" s="313"/>
      <c r="AP2947" s="313"/>
      <c r="AQ2947" s="314"/>
      <c r="AR2947" s="315" t="str">
        <f t="shared" si="83"/>
        <v/>
      </c>
    </row>
    <row r="2948" spans="37:44" ht="30" hidden="1" customHeight="1" x14ac:dyDescent="0.25">
      <c r="AK2948" s="313"/>
      <c r="AL2948" s="313"/>
      <c r="AM2948" s="313"/>
      <c r="AN2948" s="313"/>
      <c r="AO2948" s="313"/>
      <c r="AP2948" s="313"/>
      <c r="AQ2948" s="314"/>
      <c r="AR2948" s="315" t="str">
        <f t="shared" si="83"/>
        <v/>
      </c>
    </row>
    <row r="2949" spans="37:44" ht="30" hidden="1" customHeight="1" x14ac:dyDescent="0.25">
      <c r="AK2949" s="313"/>
      <c r="AL2949" s="313"/>
      <c r="AM2949" s="313"/>
      <c r="AN2949" s="313"/>
      <c r="AO2949" s="313"/>
      <c r="AP2949" s="313"/>
      <c r="AQ2949" s="314"/>
      <c r="AR2949" s="315" t="str">
        <f t="shared" si="83"/>
        <v/>
      </c>
    </row>
    <row r="2950" spans="37:44" ht="30" hidden="1" customHeight="1" x14ac:dyDescent="0.25">
      <c r="AK2950" s="313"/>
      <c r="AL2950" s="313"/>
      <c r="AM2950" s="313"/>
      <c r="AN2950" s="313"/>
      <c r="AO2950" s="313"/>
      <c r="AP2950" s="313"/>
      <c r="AQ2950" s="314"/>
      <c r="AR2950" s="315" t="str">
        <f t="shared" si="83"/>
        <v/>
      </c>
    </row>
    <row r="2951" spans="37:44" ht="30" hidden="1" customHeight="1" x14ac:dyDescent="0.25">
      <c r="AK2951" s="313"/>
      <c r="AL2951" s="313"/>
      <c r="AM2951" s="313"/>
      <c r="AN2951" s="313"/>
      <c r="AO2951" s="313"/>
      <c r="AP2951" s="313"/>
      <c r="AQ2951" s="314"/>
      <c r="AR2951" s="315" t="str">
        <f t="shared" si="83"/>
        <v/>
      </c>
    </row>
    <row r="2952" spans="37:44" ht="30" hidden="1" customHeight="1" x14ac:dyDescent="0.25">
      <c r="AK2952" s="313"/>
      <c r="AL2952" s="313"/>
      <c r="AM2952" s="313"/>
      <c r="AN2952" s="313"/>
      <c r="AO2952" s="313"/>
      <c r="AP2952" s="313"/>
      <c r="AQ2952" s="314"/>
      <c r="AR2952" s="315" t="str">
        <f t="shared" si="83"/>
        <v/>
      </c>
    </row>
    <row r="2953" spans="37:44" ht="30" hidden="1" customHeight="1" x14ac:dyDescent="0.25">
      <c r="AK2953" s="313"/>
      <c r="AL2953" s="313"/>
      <c r="AM2953" s="313"/>
      <c r="AN2953" s="313"/>
      <c r="AO2953" s="313"/>
      <c r="AP2953" s="313"/>
      <c r="AQ2953" s="314"/>
      <c r="AR2953" s="315" t="str">
        <f t="shared" si="83"/>
        <v/>
      </c>
    </row>
    <row r="2954" spans="37:44" ht="30" hidden="1" customHeight="1" x14ac:dyDescent="0.25">
      <c r="AK2954" s="313"/>
      <c r="AL2954" s="313"/>
      <c r="AM2954" s="313"/>
      <c r="AN2954" s="313"/>
      <c r="AO2954" s="313"/>
      <c r="AP2954" s="313"/>
      <c r="AQ2954" s="314"/>
      <c r="AR2954" s="315" t="str">
        <f t="shared" si="83"/>
        <v/>
      </c>
    </row>
    <row r="2955" spans="37:44" ht="30" hidden="1" customHeight="1" x14ac:dyDescent="0.25">
      <c r="AK2955" s="313"/>
      <c r="AL2955" s="313"/>
      <c r="AM2955" s="313"/>
      <c r="AN2955" s="313"/>
      <c r="AO2955" s="313"/>
      <c r="AP2955" s="313"/>
      <c r="AQ2955" s="314"/>
      <c r="AR2955" s="315" t="str">
        <f t="shared" si="83"/>
        <v/>
      </c>
    </row>
    <row r="2956" spans="37:44" ht="30" hidden="1" customHeight="1" x14ac:dyDescent="0.25">
      <c r="AK2956" s="313"/>
      <c r="AL2956" s="313"/>
      <c r="AM2956" s="313"/>
      <c r="AN2956" s="313"/>
      <c r="AO2956" s="313"/>
      <c r="AP2956" s="313"/>
      <c r="AQ2956" s="314"/>
      <c r="AR2956" s="315" t="str">
        <f t="shared" si="83"/>
        <v/>
      </c>
    </row>
    <row r="2957" spans="37:44" ht="30" hidden="1" customHeight="1" x14ac:dyDescent="0.25">
      <c r="AK2957" s="313"/>
      <c r="AL2957" s="313"/>
      <c r="AM2957" s="313"/>
      <c r="AN2957" s="313"/>
      <c r="AO2957" s="313"/>
      <c r="AP2957" s="313"/>
      <c r="AQ2957" s="314"/>
      <c r="AR2957" s="315" t="str">
        <f t="shared" si="83"/>
        <v/>
      </c>
    </row>
    <row r="2958" spans="37:44" ht="30" hidden="1" customHeight="1" x14ac:dyDescent="0.25">
      <c r="AK2958" s="313"/>
      <c r="AL2958" s="313"/>
      <c r="AM2958" s="313"/>
      <c r="AN2958" s="313"/>
      <c r="AO2958" s="313"/>
      <c r="AP2958" s="313"/>
      <c r="AQ2958" s="314"/>
      <c r="AR2958" s="315" t="str">
        <f t="shared" si="83"/>
        <v/>
      </c>
    </row>
    <row r="2959" spans="37:44" ht="30" hidden="1" customHeight="1" x14ac:dyDescent="0.25">
      <c r="AK2959" s="313"/>
      <c r="AL2959" s="313"/>
      <c r="AM2959" s="313"/>
      <c r="AN2959" s="313"/>
      <c r="AO2959" s="313"/>
      <c r="AP2959" s="313"/>
      <c r="AQ2959" s="314"/>
      <c r="AR2959" s="315" t="str">
        <f t="shared" si="83"/>
        <v/>
      </c>
    </row>
    <row r="2960" spans="37:44" ht="30" hidden="1" customHeight="1" x14ac:dyDescent="0.25">
      <c r="AK2960" s="313"/>
      <c r="AL2960" s="313"/>
      <c r="AM2960" s="313"/>
      <c r="AN2960" s="313"/>
      <c r="AO2960" s="313"/>
      <c r="AP2960" s="313"/>
      <c r="AQ2960" s="314"/>
      <c r="AR2960" s="315" t="str">
        <f t="shared" si="83"/>
        <v/>
      </c>
    </row>
    <row r="2961" spans="37:44" ht="30" hidden="1" customHeight="1" x14ac:dyDescent="0.25">
      <c r="AK2961" s="313"/>
      <c r="AL2961" s="313"/>
      <c r="AM2961" s="313"/>
      <c r="AN2961" s="313"/>
      <c r="AO2961" s="313"/>
      <c r="AP2961" s="313"/>
      <c r="AQ2961" s="314"/>
      <c r="AR2961" s="315" t="str">
        <f t="shared" si="83"/>
        <v/>
      </c>
    </row>
    <row r="2962" spans="37:44" ht="30" hidden="1" customHeight="1" x14ac:dyDescent="0.25">
      <c r="AK2962" s="313"/>
      <c r="AL2962" s="313"/>
      <c r="AM2962" s="313"/>
      <c r="AN2962" s="313"/>
      <c r="AO2962" s="313"/>
      <c r="AP2962" s="313"/>
      <c r="AQ2962" s="314"/>
      <c r="AR2962" s="315" t="str">
        <f t="shared" si="83"/>
        <v/>
      </c>
    </row>
    <row r="2963" spans="37:44" ht="30" hidden="1" customHeight="1" x14ac:dyDescent="0.25">
      <c r="AK2963" s="313"/>
      <c r="AL2963" s="313"/>
      <c r="AM2963" s="313"/>
      <c r="AN2963" s="313"/>
      <c r="AO2963" s="313"/>
      <c r="AP2963" s="313"/>
      <c r="AQ2963" s="314"/>
      <c r="AR2963" s="315" t="str">
        <f t="shared" si="83"/>
        <v/>
      </c>
    </row>
    <row r="2964" spans="37:44" ht="30" hidden="1" customHeight="1" x14ac:dyDescent="0.25">
      <c r="AK2964" s="313"/>
      <c r="AL2964" s="313"/>
      <c r="AM2964" s="313"/>
      <c r="AN2964" s="313"/>
      <c r="AO2964" s="313"/>
      <c r="AP2964" s="313"/>
      <c r="AQ2964" s="314"/>
      <c r="AR2964" s="315" t="str">
        <f t="shared" si="83"/>
        <v/>
      </c>
    </row>
    <row r="2965" spans="37:44" ht="30" hidden="1" customHeight="1" x14ac:dyDescent="0.25">
      <c r="AK2965" s="313"/>
      <c r="AL2965" s="313"/>
      <c r="AM2965" s="313"/>
      <c r="AN2965" s="313"/>
      <c r="AO2965" s="313"/>
      <c r="AP2965" s="313"/>
      <c r="AQ2965" s="314"/>
      <c r="AR2965" s="315" t="str">
        <f t="shared" si="83"/>
        <v/>
      </c>
    </row>
    <row r="2966" spans="37:44" ht="30" hidden="1" customHeight="1" x14ac:dyDescent="0.25">
      <c r="AK2966" s="313"/>
      <c r="AL2966" s="313"/>
      <c r="AM2966" s="313"/>
      <c r="AN2966" s="313"/>
      <c r="AO2966" s="313"/>
      <c r="AP2966" s="313"/>
      <c r="AQ2966" s="314"/>
      <c r="AR2966" s="315" t="str">
        <f t="shared" si="83"/>
        <v/>
      </c>
    </row>
    <row r="2967" spans="37:44" ht="30" hidden="1" customHeight="1" x14ac:dyDescent="0.25">
      <c r="AK2967" s="313"/>
      <c r="AL2967" s="313"/>
      <c r="AM2967" s="313"/>
      <c r="AN2967" s="313"/>
      <c r="AO2967" s="313"/>
      <c r="AP2967" s="313"/>
      <c r="AQ2967" s="314"/>
      <c r="AR2967" s="315" t="str">
        <f t="shared" si="83"/>
        <v/>
      </c>
    </row>
    <row r="2968" spans="37:44" ht="30" hidden="1" customHeight="1" x14ac:dyDescent="0.25">
      <c r="AK2968" s="313"/>
      <c r="AL2968" s="313"/>
      <c r="AM2968" s="313"/>
      <c r="AN2968" s="313"/>
      <c r="AO2968" s="313"/>
      <c r="AP2968" s="313"/>
      <c r="AQ2968" s="314"/>
      <c r="AR2968" s="315" t="str">
        <f t="shared" si="83"/>
        <v/>
      </c>
    </row>
    <row r="2969" spans="37:44" ht="30" hidden="1" customHeight="1" x14ac:dyDescent="0.25">
      <c r="AK2969" s="313"/>
      <c r="AL2969" s="313"/>
      <c r="AM2969" s="313"/>
      <c r="AN2969" s="313"/>
      <c r="AO2969" s="313"/>
      <c r="AP2969" s="313"/>
      <c r="AQ2969" s="314"/>
      <c r="AR2969" s="315" t="str">
        <f t="shared" si="83"/>
        <v/>
      </c>
    </row>
    <row r="2970" spans="37:44" ht="30" hidden="1" customHeight="1" x14ac:dyDescent="0.25">
      <c r="AK2970" s="313"/>
      <c r="AL2970" s="313"/>
      <c r="AM2970" s="313"/>
      <c r="AN2970" s="313"/>
      <c r="AO2970" s="313"/>
      <c r="AP2970" s="313"/>
      <c r="AQ2970" s="314"/>
      <c r="AR2970" s="315" t="str">
        <f t="shared" si="83"/>
        <v/>
      </c>
    </row>
    <row r="2971" spans="37:44" ht="30" hidden="1" customHeight="1" x14ac:dyDescent="0.25">
      <c r="AK2971" s="313"/>
      <c r="AL2971" s="313"/>
      <c r="AM2971" s="313"/>
      <c r="AN2971" s="313"/>
      <c r="AO2971" s="313"/>
      <c r="AP2971" s="313"/>
      <c r="AQ2971" s="314"/>
      <c r="AR2971" s="315" t="str">
        <f t="shared" si="83"/>
        <v/>
      </c>
    </row>
    <row r="2972" spans="37:44" ht="30" hidden="1" customHeight="1" x14ac:dyDescent="0.25">
      <c r="AK2972" s="313"/>
      <c r="AL2972" s="313"/>
      <c r="AM2972" s="313"/>
      <c r="AN2972" s="313"/>
      <c r="AO2972" s="313"/>
      <c r="AP2972" s="313"/>
      <c r="AQ2972" s="314"/>
      <c r="AR2972" s="315" t="str">
        <f t="shared" si="83"/>
        <v/>
      </c>
    </row>
    <row r="2973" spans="37:44" ht="30" hidden="1" customHeight="1" x14ac:dyDescent="0.25">
      <c r="AK2973" s="313"/>
      <c r="AL2973" s="313"/>
      <c r="AM2973" s="313"/>
      <c r="AN2973" s="313"/>
      <c r="AO2973" s="313"/>
      <c r="AP2973" s="313"/>
      <c r="AQ2973" s="314"/>
      <c r="AR2973" s="315" t="str">
        <f t="shared" si="83"/>
        <v/>
      </c>
    </row>
    <row r="2974" spans="37:44" ht="30" hidden="1" customHeight="1" x14ac:dyDescent="0.25">
      <c r="AK2974" s="313"/>
      <c r="AL2974" s="313"/>
      <c r="AM2974" s="313"/>
      <c r="AN2974" s="313"/>
      <c r="AO2974" s="313"/>
      <c r="AP2974" s="313"/>
      <c r="AQ2974" s="314"/>
      <c r="AR2974" s="315" t="str">
        <f t="shared" si="83"/>
        <v/>
      </c>
    </row>
    <row r="2975" spans="37:44" ht="30" hidden="1" customHeight="1" x14ac:dyDescent="0.25">
      <c r="AK2975" s="313"/>
      <c r="AL2975" s="313"/>
      <c r="AM2975" s="313"/>
      <c r="AN2975" s="313"/>
      <c r="AO2975" s="313"/>
      <c r="AP2975" s="313"/>
      <c r="AQ2975" s="314"/>
      <c r="AR2975" s="315" t="str">
        <f t="shared" si="83"/>
        <v/>
      </c>
    </row>
    <row r="2976" spans="37:44" ht="30" hidden="1" customHeight="1" x14ac:dyDescent="0.25">
      <c r="AK2976" s="313"/>
      <c r="AL2976" s="313"/>
      <c r="AM2976" s="313"/>
      <c r="AN2976" s="313"/>
      <c r="AO2976" s="313"/>
      <c r="AP2976" s="313"/>
      <c r="AQ2976" s="314"/>
      <c r="AR2976" s="315" t="str">
        <f t="shared" si="83"/>
        <v/>
      </c>
    </row>
    <row r="2977" spans="37:44" ht="30" hidden="1" customHeight="1" x14ac:dyDescent="0.25">
      <c r="AK2977" s="313"/>
      <c r="AL2977" s="313"/>
      <c r="AM2977" s="313"/>
      <c r="AN2977" s="313"/>
      <c r="AO2977" s="313"/>
      <c r="AP2977" s="313"/>
      <c r="AQ2977" s="314"/>
      <c r="AR2977" s="315" t="str">
        <f t="shared" si="83"/>
        <v/>
      </c>
    </row>
    <row r="2978" spans="37:44" ht="30" hidden="1" customHeight="1" x14ac:dyDescent="0.25">
      <c r="AK2978" s="313"/>
      <c r="AL2978" s="313"/>
      <c r="AM2978" s="313"/>
      <c r="AN2978" s="313"/>
      <c r="AO2978" s="313"/>
      <c r="AP2978" s="313"/>
      <c r="AQ2978" s="314"/>
      <c r="AR2978" s="315" t="str">
        <f t="shared" si="83"/>
        <v/>
      </c>
    </row>
    <row r="2979" spans="37:44" ht="30" hidden="1" customHeight="1" x14ac:dyDescent="0.25">
      <c r="AK2979" s="313"/>
      <c r="AL2979" s="313"/>
      <c r="AM2979" s="313"/>
      <c r="AN2979" s="313"/>
      <c r="AO2979" s="313"/>
      <c r="AP2979" s="313"/>
      <c r="AQ2979" s="314"/>
      <c r="AR2979" s="315" t="str">
        <f t="shared" si="83"/>
        <v/>
      </c>
    </row>
    <row r="2980" spans="37:44" ht="30" hidden="1" customHeight="1" x14ac:dyDescent="0.25">
      <c r="AK2980" s="313"/>
      <c r="AL2980" s="313"/>
      <c r="AM2980" s="313"/>
      <c r="AN2980" s="313"/>
      <c r="AO2980" s="313"/>
      <c r="AP2980" s="313"/>
      <c r="AQ2980" s="314"/>
      <c r="AR2980" s="315" t="str">
        <f t="shared" si="83"/>
        <v/>
      </c>
    </row>
    <row r="2981" spans="37:44" ht="30" hidden="1" customHeight="1" x14ac:dyDescent="0.25">
      <c r="AK2981" s="313"/>
      <c r="AL2981" s="313"/>
      <c r="AM2981" s="313"/>
      <c r="AN2981" s="313"/>
      <c r="AO2981" s="313"/>
      <c r="AP2981" s="313"/>
      <c r="AQ2981" s="314"/>
      <c r="AR2981" s="315" t="str">
        <f t="shared" si="83"/>
        <v/>
      </c>
    </row>
    <row r="2982" spans="37:44" ht="30" hidden="1" customHeight="1" x14ac:dyDescent="0.25">
      <c r="AK2982" s="313"/>
      <c r="AL2982" s="313"/>
      <c r="AM2982" s="313"/>
      <c r="AN2982" s="313"/>
      <c r="AO2982" s="313"/>
      <c r="AP2982" s="313"/>
      <c r="AQ2982" s="314"/>
      <c r="AR2982" s="315" t="str">
        <f t="shared" si="83"/>
        <v/>
      </c>
    </row>
    <row r="2983" spans="37:44" ht="30" hidden="1" customHeight="1" x14ac:dyDescent="0.25">
      <c r="AK2983" s="313"/>
      <c r="AL2983" s="313"/>
      <c r="AM2983" s="313"/>
      <c r="AN2983" s="313"/>
      <c r="AO2983" s="313"/>
      <c r="AP2983" s="313"/>
      <c r="AQ2983" s="314"/>
      <c r="AR2983" s="315" t="str">
        <f t="shared" si="83"/>
        <v/>
      </c>
    </row>
    <row r="2984" spans="37:44" ht="30" hidden="1" customHeight="1" x14ac:dyDescent="0.25">
      <c r="AK2984" s="313"/>
      <c r="AL2984" s="313"/>
      <c r="AM2984" s="313"/>
      <c r="AN2984" s="313"/>
      <c r="AO2984" s="313"/>
      <c r="AP2984" s="313"/>
      <c r="AQ2984" s="314"/>
      <c r="AR2984" s="315" t="str">
        <f t="shared" si="83"/>
        <v/>
      </c>
    </row>
    <row r="2985" spans="37:44" ht="30" hidden="1" customHeight="1" x14ac:dyDescent="0.25">
      <c r="AK2985" s="313"/>
      <c r="AL2985" s="313"/>
      <c r="AM2985" s="313"/>
      <c r="AN2985" s="313"/>
      <c r="AO2985" s="313"/>
      <c r="AP2985" s="313"/>
      <c r="AQ2985" s="314"/>
      <c r="AR2985" s="315" t="str">
        <f t="shared" si="83"/>
        <v/>
      </c>
    </row>
    <row r="2986" spans="37:44" ht="30" hidden="1" customHeight="1" x14ac:dyDescent="0.25">
      <c r="AK2986" s="313"/>
      <c r="AL2986" s="313"/>
      <c r="AM2986" s="313"/>
      <c r="AN2986" s="313"/>
      <c r="AO2986" s="313"/>
      <c r="AP2986" s="313"/>
      <c r="AQ2986" s="314"/>
      <c r="AR2986" s="315" t="str">
        <f t="shared" si="83"/>
        <v/>
      </c>
    </row>
    <row r="2987" spans="37:44" ht="30" hidden="1" customHeight="1" x14ac:dyDescent="0.25">
      <c r="AK2987" s="313"/>
      <c r="AL2987" s="313"/>
      <c r="AM2987" s="313"/>
      <c r="AN2987" s="313"/>
      <c r="AO2987" s="313"/>
      <c r="AP2987" s="313"/>
      <c r="AQ2987" s="314"/>
      <c r="AR2987" s="315" t="str">
        <f t="shared" si="83"/>
        <v/>
      </c>
    </row>
    <row r="2988" spans="37:44" ht="30" hidden="1" customHeight="1" x14ac:dyDescent="0.25">
      <c r="AK2988" s="313"/>
      <c r="AL2988" s="313"/>
      <c r="AM2988" s="313"/>
      <c r="AN2988" s="313"/>
      <c r="AO2988" s="313"/>
      <c r="AP2988" s="313"/>
      <c r="AQ2988" s="314"/>
      <c r="AR2988" s="315" t="str">
        <f t="shared" si="83"/>
        <v/>
      </c>
    </row>
    <row r="2989" spans="37:44" ht="30" hidden="1" customHeight="1" x14ac:dyDescent="0.25">
      <c r="AK2989" s="313"/>
      <c r="AL2989" s="313"/>
      <c r="AM2989" s="313"/>
      <c r="AN2989" s="313"/>
      <c r="AO2989" s="313"/>
      <c r="AP2989" s="313"/>
      <c r="AQ2989" s="314"/>
      <c r="AR2989" s="315" t="str">
        <f t="shared" si="83"/>
        <v/>
      </c>
    </row>
    <row r="2990" spans="37:44" ht="30" hidden="1" customHeight="1" x14ac:dyDescent="0.25">
      <c r="AK2990" s="313"/>
      <c r="AL2990" s="313"/>
      <c r="AM2990" s="313"/>
      <c r="AN2990" s="313"/>
      <c r="AO2990" s="313"/>
      <c r="AP2990" s="313"/>
      <c r="AQ2990" s="314"/>
      <c r="AR2990" s="315" t="str">
        <f t="shared" si="83"/>
        <v/>
      </c>
    </row>
    <row r="2991" spans="37:44" ht="30" hidden="1" customHeight="1" x14ac:dyDescent="0.25">
      <c r="AK2991" s="313"/>
      <c r="AL2991" s="313"/>
      <c r="AM2991" s="313"/>
      <c r="AN2991" s="313"/>
      <c r="AO2991" s="313"/>
      <c r="AP2991" s="313"/>
      <c r="AQ2991" s="314"/>
      <c r="AR2991" s="315" t="str">
        <f t="shared" si="83"/>
        <v/>
      </c>
    </row>
    <row r="2992" spans="37:44" ht="30" hidden="1" customHeight="1" x14ac:dyDescent="0.25">
      <c r="AK2992" s="313"/>
      <c r="AL2992" s="313"/>
      <c r="AM2992" s="313"/>
      <c r="AN2992" s="313"/>
      <c r="AO2992" s="313"/>
      <c r="AP2992" s="313"/>
      <c r="AQ2992" s="314"/>
      <c r="AR2992" s="315" t="str">
        <f t="shared" si="83"/>
        <v/>
      </c>
    </row>
    <row r="2993" spans="37:44" ht="30" hidden="1" customHeight="1" x14ac:dyDescent="0.25">
      <c r="AK2993" s="313"/>
      <c r="AL2993" s="313"/>
      <c r="AM2993" s="313"/>
      <c r="AN2993" s="313"/>
      <c r="AO2993" s="313"/>
      <c r="AP2993" s="313"/>
      <c r="AQ2993" s="314"/>
      <c r="AR2993" s="315" t="str">
        <f t="shared" si="83"/>
        <v/>
      </c>
    </row>
    <row r="2994" spans="37:44" ht="30" hidden="1" customHeight="1" x14ac:dyDescent="0.25">
      <c r="AK2994" s="313"/>
      <c r="AL2994" s="313"/>
      <c r="AM2994" s="313"/>
      <c r="AN2994" s="313"/>
      <c r="AO2994" s="313"/>
      <c r="AP2994" s="313"/>
      <c r="AQ2994" s="314"/>
      <c r="AR2994" s="315" t="str">
        <f t="shared" si="83"/>
        <v/>
      </c>
    </row>
    <row r="2995" spans="37:44" ht="30" hidden="1" customHeight="1" x14ac:dyDescent="0.25">
      <c r="AK2995" s="313"/>
      <c r="AL2995" s="313"/>
      <c r="AM2995" s="313"/>
      <c r="AN2995" s="313"/>
      <c r="AO2995" s="313"/>
      <c r="AP2995" s="313"/>
      <c r="AQ2995" s="314"/>
      <c r="AR2995" s="315" t="str">
        <f t="shared" si="83"/>
        <v/>
      </c>
    </row>
    <row r="2996" spans="37:44" ht="30" hidden="1" customHeight="1" x14ac:dyDescent="0.25">
      <c r="AK2996" s="313"/>
      <c r="AL2996" s="313"/>
      <c r="AM2996" s="313"/>
      <c r="AN2996" s="313"/>
      <c r="AO2996" s="313"/>
      <c r="AP2996" s="313"/>
      <c r="AQ2996" s="314"/>
      <c r="AR2996" s="315" t="str">
        <f t="shared" si="83"/>
        <v/>
      </c>
    </row>
    <row r="2997" spans="37:44" ht="30" hidden="1" customHeight="1" x14ac:dyDescent="0.25">
      <c r="AK2997" s="313"/>
      <c r="AL2997" s="313"/>
      <c r="AM2997" s="313"/>
      <c r="AN2997" s="313"/>
      <c r="AO2997" s="313"/>
      <c r="AP2997" s="313"/>
      <c r="AQ2997" s="314"/>
      <c r="AR2997" s="315" t="str">
        <f t="shared" si="83"/>
        <v/>
      </c>
    </row>
    <row r="2998" spans="37:44" ht="30" hidden="1" customHeight="1" x14ac:dyDescent="0.25">
      <c r="AK2998" s="313"/>
      <c r="AL2998" s="313"/>
      <c r="AM2998" s="313"/>
      <c r="AN2998" s="313"/>
      <c r="AO2998" s="313"/>
      <c r="AP2998" s="313"/>
      <c r="AQ2998" s="314"/>
      <c r="AR2998" s="315" t="str">
        <f t="shared" si="83"/>
        <v/>
      </c>
    </row>
    <row r="2999" spans="37:44" ht="30" hidden="1" customHeight="1" x14ac:dyDescent="0.25">
      <c r="AK2999" s="313"/>
      <c r="AL2999" s="313"/>
      <c r="AM2999" s="313"/>
      <c r="AN2999" s="313"/>
      <c r="AO2999" s="313"/>
      <c r="AP2999" s="313"/>
      <c r="AQ2999" s="314"/>
      <c r="AR2999" s="315" t="str">
        <f t="shared" si="83"/>
        <v/>
      </c>
    </row>
    <row r="3000" spans="37:44" ht="30" hidden="1" customHeight="1" x14ac:dyDescent="0.25">
      <c r="AK3000" s="313"/>
      <c r="AL3000" s="313"/>
      <c r="AM3000" s="313"/>
      <c r="AN3000" s="313"/>
      <c r="AO3000" s="313"/>
      <c r="AP3000" s="313"/>
      <c r="AQ3000" s="314"/>
      <c r="AR3000" s="315" t="str">
        <f t="shared" si="83"/>
        <v/>
      </c>
    </row>
    <row r="3001" spans="37:44" ht="30" hidden="1" customHeight="1" x14ac:dyDescent="0.25">
      <c r="AK3001" s="313"/>
      <c r="AL3001" s="313"/>
      <c r="AM3001" s="313"/>
      <c r="AN3001" s="313"/>
      <c r="AO3001" s="313"/>
      <c r="AP3001" s="313"/>
      <c r="AQ3001" s="314"/>
      <c r="AR3001" s="315" t="str">
        <f t="shared" si="83"/>
        <v/>
      </c>
    </row>
    <row r="3002" spans="37:44" ht="30" hidden="1" customHeight="1" x14ac:dyDescent="0.25">
      <c r="AK3002" s="313"/>
      <c r="AL3002" s="313"/>
      <c r="AM3002" s="313"/>
      <c r="AN3002" s="313"/>
      <c r="AO3002" s="313"/>
      <c r="AP3002" s="313"/>
      <c r="AQ3002" s="314"/>
      <c r="AR3002" s="315" t="str">
        <f t="shared" si="83"/>
        <v/>
      </c>
    </row>
    <row r="3003" spans="37:44" ht="30" hidden="1" customHeight="1" x14ac:dyDescent="0.25">
      <c r="AK3003" s="313"/>
      <c r="AL3003" s="313"/>
      <c r="AM3003" s="313"/>
      <c r="AN3003" s="313"/>
      <c r="AO3003" s="313"/>
      <c r="AP3003" s="313"/>
      <c r="AQ3003" s="314"/>
      <c r="AR3003" s="315" t="str">
        <f t="shared" si="83"/>
        <v/>
      </c>
    </row>
    <row r="3004" spans="37:44" ht="30" hidden="1" customHeight="1" x14ac:dyDescent="0.25">
      <c r="AK3004" s="313"/>
      <c r="AL3004" s="313"/>
      <c r="AM3004" s="313"/>
      <c r="AN3004" s="313"/>
      <c r="AO3004" s="313"/>
      <c r="AP3004" s="313"/>
      <c r="AQ3004" s="314"/>
      <c r="AR3004" s="315" t="str">
        <f t="shared" si="83"/>
        <v/>
      </c>
    </row>
    <row r="3005" spans="37:44" ht="30" hidden="1" customHeight="1" x14ac:dyDescent="0.25">
      <c r="AK3005" s="313"/>
      <c r="AL3005" s="313"/>
      <c r="AM3005" s="313"/>
      <c r="AN3005" s="313"/>
      <c r="AO3005" s="313"/>
      <c r="AP3005" s="313"/>
      <c r="AQ3005" s="314"/>
      <c r="AR3005" s="315" t="str">
        <f t="shared" si="83"/>
        <v/>
      </c>
    </row>
    <row r="3006" spans="37:44" ht="30" hidden="1" customHeight="1" x14ac:dyDescent="0.25">
      <c r="AK3006" s="313"/>
      <c r="AL3006" s="313"/>
      <c r="AM3006" s="313"/>
      <c r="AN3006" s="313"/>
      <c r="AO3006" s="313"/>
      <c r="AP3006" s="313"/>
      <c r="AQ3006" s="314"/>
      <c r="AR3006" s="315" t="str">
        <f t="shared" si="83"/>
        <v/>
      </c>
    </row>
    <row r="3007" spans="37:44" ht="30" hidden="1" customHeight="1" x14ac:dyDescent="0.25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84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 x14ac:dyDescent="0.25">
      <c r="AK3008" s="313"/>
      <c r="AL3008" s="313"/>
      <c r="AM3008" s="313"/>
      <c r="AN3008" s="313"/>
      <c r="AO3008" s="313"/>
      <c r="AP3008" s="313"/>
      <c r="AQ3008" s="314"/>
      <c r="AR3008" s="315" t="str">
        <f t="shared" si="84"/>
        <v/>
      </c>
    </row>
    <row r="3009" spans="37:44" ht="30" hidden="1" customHeight="1" x14ac:dyDescent="0.25">
      <c r="AK3009" s="313"/>
      <c r="AL3009" s="313"/>
      <c r="AM3009" s="313"/>
      <c r="AN3009" s="313"/>
      <c r="AO3009" s="313"/>
      <c r="AP3009" s="313"/>
      <c r="AQ3009" s="314"/>
      <c r="AR3009" s="315" t="str">
        <f t="shared" si="84"/>
        <v/>
      </c>
    </row>
    <row r="3010" spans="37:44" ht="30" hidden="1" customHeight="1" x14ac:dyDescent="0.25">
      <c r="AK3010" s="313"/>
      <c r="AL3010" s="313"/>
      <c r="AM3010" s="313"/>
      <c r="AN3010" s="313"/>
      <c r="AO3010" s="313"/>
      <c r="AP3010" s="313"/>
      <c r="AQ3010" s="314"/>
      <c r="AR3010" s="315" t="str">
        <f t="shared" si="84"/>
        <v/>
      </c>
    </row>
    <row r="3011" spans="37:44" ht="30" hidden="1" customHeight="1" x14ac:dyDescent="0.25">
      <c r="AK3011" s="313"/>
      <c r="AL3011" s="313"/>
      <c r="AM3011" s="313"/>
      <c r="AN3011" s="313"/>
      <c r="AO3011" s="313"/>
      <c r="AP3011" s="313"/>
      <c r="AQ3011" s="314"/>
      <c r="AR3011" s="315" t="str">
        <f t="shared" si="84"/>
        <v/>
      </c>
    </row>
    <row r="3012" spans="37:44" ht="30" hidden="1" customHeight="1" x14ac:dyDescent="0.25">
      <c r="AK3012" s="313"/>
      <c r="AL3012" s="313"/>
      <c r="AM3012" s="313"/>
      <c r="AN3012" s="313"/>
      <c r="AO3012" s="313"/>
      <c r="AP3012" s="313"/>
      <c r="AQ3012" s="314"/>
      <c r="AR3012" s="315" t="str">
        <f t="shared" si="84"/>
        <v/>
      </c>
    </row>
    <row r="3013" spans="37:44" ht="30" hidden="1" customHeight="1" x14ac:dyDescent="0.25">
      <c r="AK3013" s="313"/>
      <c r="AL3013" s="313"/>
      <c r="AM3013" s="313"/>
      <c r="AN3013" s="313"/>
      <c r="AO3013" s="313"/>
      <c r="AP3013" s="313"/>
      <c r="AQ3013" s="314"/>
      <c r="AR3013" s="315" t="str">
        <f t="shared" si="84"/>
        <v/>
      </c>
    </row>
    <row r="3014" spans="37:44" ht="30" hidden="1" customHeight="1" x14ac:dyDescent="0.25">
      <c r="AK3014" s="313"/>
      <c r="AL3014" s="313"/>
      <c r="AM3014" s="313"/>
      <c r="AN3014" s="313"/>
      <c r="AO3014" s="313"/>
      <c r="AP3014" s="313"/>
      <c r="AQ3014" s="314"/>
      <c r="AR3014" s="315" t="str">
        <f t="shared" si="84"/>
        <v/>
      </c>
    </row>
    <row r="3015" spans="37:44" ht="30" hidden="1" customHeight="1" x14ac:dyDescent="0.25">
      <c r="AK3015" s="313"/>
      <c r="AL3015" s="313"/>
      <c r="AM3015" s="313"/>
      <c r="AN3015" s="313"/>
      <c r="AO3015" s="313"/>
      <c r="AP3015" s="313"/>
      <c r="AQ3015" s="314"/>
      <c r="AR3015" s="315" t="str">
        <f t="shared" si="84"/>
        <v/>
      </c>
    </row>
    <row r="3016" spans="37:44" ht="30" hidden="1" customHeight="1" x14ac:dyDescent="0.25">
      <c r="AK3016" s="313"/>
      <c r="AL3016" s="313"/>
      <c r="AM3016" s="313"/>
      <c r="AN3016" s="313"/>
      <c r="AO3016" s="313"/>
      <c r="AP3016" s="313"/>
      <c r="AQ3016" s="314"/>
      <c r="AR3016" s="315" t="str">
        <f t="shared" si="84"/>
        <v/>
      </c>
    </row>
    <row r="3017" spans="37:44" ht="30" hidden="1" customHeight="1" x14ac:dyDescent="0.25">
      <c r="AK3017" s="313"/>
      <c r="AL3017" s="313"/>
      <c r="AM3017" s="313"/>
      <c r="AN3017" s="313"/>
      <c r="AO3017" s="313"/>
      <c r="AP3017" s="313"/>
      <c r="AQ3017" s="314"/>
      <c r="AR3017" s="315" t="str">
        <f t="shared" si="84"/>
        <v/>
      </c>
    </row>
    <row r="3018" spans="37:44" ht="30" hidden="1" customHeight="1" x14ac:dyDescent="0.25">
      <c r="AK3018" s="313"/>
      <c r="AL3018" s="313"/>
      <c r="AM3018" s="313"/>
      <c r="AN3018" s="313"/>
      <c r="AO3018" s="313"/>
      <c r="AP3018" s="313"/>
      <c r="AQ3018" s="314"/>
      <c r="AR3018" s="315" t="str">
        <f t="shared" si="84"/>
        <v/>
      </c>
    </row>
    <row r="3019" spans="37:44" ht="30" hidden="1" customHeight="1" x14ac:dyDescent="0.25">
      <c r="AK3019" s="313"/>
      <c r="AL3019" s="313"/>
      <c r="AM3019" s="313"/>
      <c r="AN3019" s="313"/>
      <c r="AO3019" s="313"/>
      <c r="AP3019" s="313"/>
      <c r="AQ3019" s="314"/>
      <c r="AR3019" s="315" t="str">
        <f t="shared" si="84"/>
        <v/>
      </c>
    </row>
    <row r="3020" spans="37:44" ht="30" hidden="1" customHeight="1" x14ac:dyDescent="0.25">
      <c r="AK3020" s="313"/>
      <c r="AL3020" s="313"/>
      <c r="AM3020" s="313"/>
      <c r="AN3020" s="313"/>
      <c r="AO3020" s="313"/>
      <c r="AP3020" s="313"/>
      <c r="AQ3020" s="314"/>
      <c r="AR3020" s="315" t="str">
        <f t="shared" si="84"/>
        <v/>
      </c>
    </row>
    <row r="3021" spans="37:44" ht="30" hidden="1" customHeight="1" x14ac:dyDescent="0.25">
      <c r="AK3021" s="313"/>
      <c r="AL3021" s="313"/>
      <c r="AM3021" s="313"/>
      <c r="AN3021" s="313"/>
      <c r="AO3021" s="313"/>
      <c r="AP3021" s="313"/>
      <c r="AQ3021" s="314"/>
      <c r="AR3021" s="315" t="str">
        <f t="shared" si="84"/>
        <v/>
      </c>
    </row>
    <row r="3022" spans="37:44" ht="30" hidden="1" customHeight="1" x14ac:dyDescent="0.25">
      <c r="AK3022" s="313"/>
      <c r="AL3022" s="313"/>
      <c r="AM3022" s="313"/>
      <c r="AN3022" s="313"/>
      <c r="AO3022" s="313"/>
      <c r="AP3022" s="313"/>
      <c r="AQ3022" s="314"/>
      <c r="AR3022" s="315" t="str">
        <f t="shared" si="84"/>
        <v/>
      </c>
    </row>
    <row r="3023" spans="37:44" ht="30" hidden="1" customHeight="1" x14ac:dyDescent="0.25">
      <c r="AK3023" s="313"/>
      <c r="AL3023" s="313"/>
      <c r="AM3023" s="313"/>
      <c r="AN3023" s="313"/>
      <c r="AO3023" s="313"/>
      <c r="AP3023" s="313"/>
      <c r="AQ3023" s="314"/>
      <c r="AR3023" s="315" t="str">
        <f t="shared" si="84"/>
        <v/>
      </c>
    </row>
    <row r="3024" spans="37:44" ht="30" hidden="1" customHeight="1" x14ac:dyDescent="0.25">
      <c r="AK3024" s="313"/>
      <c r="AL3024" s="313"/>
      <c r="AM3024" s="313"/>
      <c r="AN3024" s="313"/>
      <c r="AO3024" s="313"/>
      <c r="AP3024" s="313"/>
      <c r="AQ3024" s="314"/>
      <c r="AR3024" s="315" t="str">
        <f t="shared" si="84"/>
        <v/>
      </c>
    </row>
    <row r="3025" spans="37:44" ht="30" hidden="1" customHeight="1" x14ac:dyDescent="0.25">
      <c r="AK3025" s="313"/>
      <c r="AL3025" s="313"/>
      <c r="AM3025" s="313"/>
      <c r="AN3025" s="313"/>
      <c r="AO3025" s="313"/>
      <c r="AP3025" s="313"/>
      <c r="AQ3025" s="314"/>
      <c r="AR3025" s="315" t="str">
        <f t="shared" si="84"/>
        <v/>
      </c>
    </row>
    <row r="3026" spans="37:44" ht="30" hidden="1" customHeight="1" x14ac:dyDescent="0.25">
      <c r="AK3026" s="313"/>
      <c r="AL3026" s="313"/>
      <c r="AM3026" s="313"/>
      <c r="AN3026" s="313"/>
      <c r="AO3026" s="313"/>
      <c r="AP3026" s="313"/>
      <c r="AQ3026" s="314"/>
      <c r="AR3026" s="315" t="str">
        <f t="shared" si="84"/>
        <v/>
      </c>
    </row>
    <row r="3027" spans="37:44" ht="30" hidden="1" customHeight="1" x14ac:dyDescent="0.25">
      <c r="AK3027" s="313"/>
      <c r="AL3027" s="313"/>
      <c r="AM3027" s="313"/>
      <c r="AN3027" s="313"/>
      <c r="AO3027" s="313"/>
      <c r="AP3027" s="313"/>
      <c r="AQ3027" s="314"/>
      <c r="AR3027" s="315" t="str">
        <f t="shared" si="84"/>
        <v/>
      </c>
    </row>
    <row r="3028" spans="37:44" ht="30" hidden="1" customHeight="1" x14ac:dyDescent="0.25">
      <c r="AK3028" s="313"/>
      <c r="AL3028" s="313"/>
      <c r="AM3028" s="313"/>
      <c r="AN3028" s="313"/>
      <c r="AO3028" s="313"/>
      <c r="AP3028" s="313"/>
      <c r="AQ3028" s="314"/>
      <c r="AR3028" s="315" t="str">
        <f t="shared" si="84"/>
        <v/>
      </c>
    </row>
    <row r="3029" spans="37:44" ht="30" hidden="1" customHeight="1" x14ac:dyDescent="0.25">
      <c r="AK3029" s="313"/>
      <c r="AL3029" s="313"/>
      <c r="AM3029" s="313"/>
      <c r="AN3029" s="313"/>
      <c r="AO3029" s="313"/>
      <c r="AP3029" s="313"/>
      <c r="AQ3029" s="314"/>
      <c r="AR3029" s="315" t="str">
        <f t="shared" si="84"/>
        <v/>
      </c>
    </row>
    <row r="3030" spans="37:44" ht="30" hidden="1" customHeight="1" x14ac:dyDescent="0.25">
      <c r="AK3030" s="313"/>
      <c r="AL3030" s="313"/>
      <c r="AM3030" s="313"/>
      <c r="AN3030" s="313"/>
      <c r="AO3030" s="313"/>
      <c r="AP3030" s="313"/>
      <c r="AQ3030" s="314"/>
      <c r="AR3030" s="315" t="str">
        <f t="shared" si="84"/>
        <v/>
      </c>
    </row>
    <row r="3031" spans="37:44" ht="30" hidden="1" customHeight="1" x14ac:dyDescent="0.25">
      <c r="AK3031" s="313"/>
      <c r="AL3031" s="313"/>
      <c r="AM3031" s="313"/>
      <c r="AN3031" s="313"/>
      <c r="AO3031" s="313"/>
      <c r="AP3031" s="313"/>
      <c r="AQ3031" s="314"/>
      <c r="AR3031" s="315" t="str">
        <f t="shared" si="84"/>
        <v/>
      </c>
    </row>
    <row r="3032" spans="37:44" ht="30" hidden="1" customHeight="1" x14ac:dyDescent="0.25">
      <c r="AK3032" s="313"/>
      <c r="AL3032" s="313"/>
      <c r="AM3032" s="313"/>
      <c r="AN3032" s="313"/>
      <c r="AO3032" s="313"/>
      <c r="AP3032" s="313"/>
      <c r="AQ3032" s="314"/>
      <c r="AR3032" s="315" t="str">
        <f t="shared" si="84"/>
        <v/>
      </c>
    </row>
    <row r="3033" spans="37:44" ht="30" hidden="1" customHeight="1" x14ac:dyDescent="0.25">
      <c r="AK3033" s="313"/>
      <c r="AL3033" s="313"/>
      <c r="AM3033" s="313"/>
      <c r="AN3033" s="313"/>
      <c r="AO3033" s="313"/>
      <c r="AP3033" s="313"/>
      <c r="AQ3033" s="314"/>
      <c r="AR3033" s="315" t="str">
        <f t="shared" si="84"/>
        <v/>
      </c>
    </row>
    <row r="3034" spans="37:44" ht="30" hidden="1" customHeight="1" x14ac:dyDescent="0.25">
      <c r="AK3034" s="313"/>
      <c r="AL3034" s="313"/>
      <c r="AM3034" s="313"/>
      <c r="AN3034" s="313"/>
      <c r="AO3034" s="313"/>
      <c r="AP3034" s="313"/>
      <c r="AQ3034" s="314"/>
      <c r="AR3034" s="315" t="str">
        <f t="shared" si="84"/>
        <v/>
      </c>
    </row>
    <row r="3035" spans="37:44" ht="30" hidden="1" customHeight="1" x14ac:dyDescent="0.25">
      <c r="AK3035" s="313"/>
      <c r="AL3035" s="313"/>
      <c r="AM3035" s="313"/>
      <c r="AN3035" s="313"/>
      <c r="AO3035" s="313"/>
      <c r="AP3035" s="313"/>
      <c r="AQ3035" s="314"/>
      <c r="AR3035" s="315" t="str">
        <f t="shared" si="84"/>
        <v/>
      </c>
    </row>
    <row r="3036" spans="37:44" ht="30" hidden="1" customHeight="1" x14ac:dyDescent="0.25">
      <c r="AK3036" s="313"/>
      <c r="AL3036" s="313"/>
      <c r="AM3036" s="313"/>
      <c r="AN3036" s="313"/>
      <c r="AO3036" s="313"/>
      <c r="AP3036" s="313"/>
      <c r="AQ3036" s="314"/>
      <c r="AR3036" s="315" t="str">
        <f t="shared" si="84"/>
        <v/>
      </c>
    </row>
    <row r="3037" spans="37:44" ht="30" hidden="1" customHeight="1" x14ac:dyDescent="0.25">
      <c r="AK3037" s="313"/>
      <c r="AL3037" s="313"/>
      <c r="AM3037" s="313"/>
      <c r="AN3037" s="313"/>
      <c r="AO3037" s="313"/>
      <c r="AP3037" s="313"/>
      <c r="AQ3037" s="314"/>
      <c r="AR3037" s="315" t="str">
        <f t="shared" si="84"/>
        <v/>
      </c>
    </row>
    <row r="3038" spans="37:44" ht="30" hidden="1" customHeight="1" x14ac:dyDescent="0.25">
      <c r="AK3038" s="313"/>
      <c r="AL3038" s="313"/>
      <c r="AM3038" s="313"/>
      <c r="AN3038" s="313"/>
      <c r="AO3038" s="313"/>
      <c r="AP3038" s="313"/>
      <c r="AQ3038" s="314"/>
      <c r="AR3038" s="315" t="str">
        <f t="shared" si="84"/>
        <v/>
      </c>
    </row>
    <row r="3039" spans="37:44" ht="30" hidden="1" customHeight="1" x14ac:dyDescent="0.25">
      <c r="AK3039" s="313"/>
      <c r="AL3039" s="313"/>
      <c r="AM3039" s="313"/>
      <c r="AN3039" s="313"/>
      <c r="AO3039" s="313"/>
      <c r="AP3039" s="313"/>
      <c r="AQ3039" s="314"/>
      <c r="AR3039" s="315" t="str">
        <f t="shared" si="84"/>
        <v/>
      </c>
    </row>
    <row r="3040" spans="37:44" ht="30" hidden="1" customHeight="1" x14ac:dyDescent="0.25">
      <c r="AK3040" s="313"/>
      <c r="AL3040" s="313"/>
      <c r="AM3040" s="313"/>
      <c r="AN3040" s="313"/>
      <c r="AO3040" s="313"/>
      <c r="AP3040" s="313"/>
      <c r="AQ3040" s="314"/>
      <c r="AR3040" s="315" t="str">
        <f t="shared" si="84"/>
        <v/>
      </c>
    </row>
    <row r="3041" spans="37:44" ht="30" hidden="1" customHeight="1" x14ac:dyDescent="0.25">
      <c r="AK3041" s="313"/>
      <c r="AL3041" s="313"/>
      <c r="AM3041" s="313"/>
      <c r="AN3041" s="313"/>
      <c r="AO3041" s="313"/>
      <c r="AP3041" s="313"/>
      <c r="AQ3041" s="314"/>
      <c r="AR3041" s="315" t="str">
        <f t="shared" si="84"/>
        <v/>
      </c>
    </row>
    <row r="3042" spans="37:44" ht="30" hidden="1" customHeight="1" x14ac:dyDescent="0.25">
      <c r="AK3042" s="313"/>
      <c r="AL3042" s="313"/>
      <c r="AM3042" s="313"/>
      <c r="AN3042" s="313"/>
      <c r="AO3042" s="313"/>
      <c r="AP3042" s="313"/>
      <c r="AQ3042" s="314"/>
      <c r="AR3042" s="315" t="str">
        <f t="shared" si="84"/>
        <v/>
      </c>
    </row>
    <row r="3043" spans="37:44" ht="30" hidden="1" customHeight="1" x14ac:dyDescent="0.25">
      <c r="AK3043" s="313"/>
      <c r="AL3043" s="313"/>
      <c r="AM3043" s="313"/>
      <c r="AN3043" s="313"/>
      <c r="AO3043" s="313"/>
      <c r="AP3043" s="313"/>
      <c r="AQ3043" s="314"/>
      <c r="AR3043" s="315" t="str">
        <f t="shared" si="84"/>
        <v/>
      </c>
    </row>
    <row r="3044" spans="37:44" ht="30" hidden="1" customHeight="1" x14ac:dyDescent="0.25">
      <c r="AK3044" s="313"/>
      <c r="AL3044" s="313"/>
      <c r="AM3044" s="313"/>
      <c r="AN3044" s="313"/>
      <c r="AO3044" s="313"/>
      <c r="AP3044" s="313"/>
      <c r="AQ3044" s="314"/>
      <c r="AR3044" s="315" t="str">
        <f t="shared" si="84"/>
        <v/>
      </c>
    </row>
    <row r="3045" spans="37:44" ht="30" hidden="1" customHeight="1" x14ac:dyDescent="0.25">
      <c r="AK3045" s="313"/>
      <c r="AL3045" s="313"/>
      <c r="AM3045" s="313"/>
      <c r="AN3045" s="313"/>
      <c r="AO3045" s="313"/>
      <c r="AP3045" s="313"/>
      <c r="AQ3045" s="314"/>
      <c r="AR3045" s="315" t="str">
        <f t="shared" si="84"/>
        <v/>
      </c>
    </row>
    <row r="3046" spans="37:44" ht="30" hidden="1" customHeight="1" x14ac:dyDescent="0.25">
      <c r="AK3046" s="313"/>
      <c r="AL3046" s="313"/>
      <c r="AM3046" s="313"/>
      <c r="AN3046" s="313"/>
      <c r="AO3046" s="313"/>
      <c r="AP3046" s="313"/>
      <c r="AQ3046" s="314"/>
      <c r="AR3046" s="315" t="str">
        <f t="shared" si="84"/>
        <v/>
      </c>
    </row>
    <row r="3047" spans="37:44" ht="30" hidden="1" customHeight="1" x14ac:dyDescent="0.25">
      <c r="AK3047" s="313"/>
      <c r="AL3047" s="313"/>
      <c r="AM3047" s="313"/>
      <c r="AN3047" s="313"/>
      <c r="AO3047" s="313"/>
      <c r="AP3047" s="313"/>
      <c r="AQ3047" s="314"/>
      <c r="AR3047" s="315" t="str">
        <f t="shared" si="84"/>
        <v/>
      </c>
    </row>
    <row r="3048" spans="37:44" ht="30" hidden="1" customHeight="1" x14ac:dyDescent="0.25">
      <c r="AK3048" s="313"/>
      <c r="AL3048" s="313"/>
      <c r="AM3048" s="313"/>
      <c r="AN3048" s="313"/>
      <c r="AO3048" s="313"/>
      <c r="AP3048" s="313"/>
      <c r="AQ3048" s="314"/>
      <c r="AR3048" s="315" t="str">
        <f t="shared" si="84"/>
        <v/>
      </c>
    </row>
    <row r="3049" spans="37:44" ht="30" hidden="1" customHeight="1" x14ac:dyDescent="0.25">
      <c r="AK3049" s="313"/>
      <c r="AL3049" s="313"/>
      <c r="AM3049" s="313"/>
      <c r="AN3049" s="313"/>
      <c r="AO3049" s="313"/>
      <c r="AP3049" s="313"/>
      <c r="AQ3049" s="314"/>
      <c r="AR3049" s="315" t="str">
        <f t="shared" si="84"/>
        <v/>
      </c>
    </row>
    <row r="3050" spans="37:44" ht="30" hidden="1" customHeight="1" x14ac:dyDescent="0.25">
      <c r="AK3050" s="313"/>
      <c r="AL3050" s="313"/>
      <c r="AM3050" s="313"/>
      <c r="AN3050" s="313"/>
      <c r="AO3050" s="313"/>
      <c r="AP3050" s="313"/>
      <c r="AQ3050" s="314"/>
      <c r="AR3050" s="315" t="str">
        <f t="shared" si="84"/>
        <v/>
      </c>
    </row>
    <row r="3051" spans="37:44" ht="30" hidden="1" customHeight="1" x14ac:dyDescent="0.25">
      <c r="AK3051" s="313"/>
      <c r="AL3051" s="313"/>
      <c r="AM3051" s="313"/>
      <c r="AN3051" s="313"/>
      <c r="AO3051" s="313"/>
      <c r="AP3051" s="313"/>
      <c r="AQ3051" s="314"/>
      <c r="AR3051" s="315" t="str">
        <f t="shared" si="84"/>
        <v/>
      </c>
    </row>
    <row r="3052" spans="37:44" ht="30" hidden="1" customHeight="1" x14ac:dyDescent="0.25">
      <c r="AK3052" s="313"/>
      <c r="AL3052" s="313"/>
      <c r="AM3052" s="313"/>
      <c r="AN3052" s="313"/>
      <c r="AO3052" s="313"/>
      <c r="AP3052" s="313"/>
      <c r="AQ3052" s="314"/>
      <c r="AR3052" s="315" t="str">
        <f t="shared" si="84"/>
        <v/>
      </c>
    </row>
    <row r="3053" spans="37:44" ht="30" hidden="1" customHeight="1" x14ac:dyDescent="0.25">
      <c r="AK3053" s="313"/>
      <c r="AL3053" s="313"/>
      <c r="AM3053" s="313"/>
      <c r="AN3053" s="313"/>
      <c r="AO3053" s="313"/>
      <c r="AP3053" s="313"/>
      <c r="AQ3053" s="314"/>
      <c r="AR3053" s="315" t="str">
        <f t="shared" si="84"/>
        <v/>
      </c>
    </row>
    <row r="3054" spans="37:44" ht="30" hidden="1" customHeight="1" x14ac:dyDescent="0.25">
      <c r="AK3054" s="313"/>
      <c r="AL3054" s="313"/>
      <c r="AM3054" s="313"/>
      <c r="AN3054" s="313"/>
      <c r="AO3054" s="313"/>
      <c r="AP3054" s="313"/>
      <c r="AQ3054" s="314"/>
      <c r="AR3054" s="315" t="str">
        <f t="shared" si="84"/>
        <v/>
      </c>
    </row>
    <row r="3055" spans="37:44" ht="30" hidden="1" customHeight="1" x14ac:dyDescent="0.25">
      <c r="AK3055" s="313"/>
      <c r="AL3055" s="313"/>
      <c r="AM3055" s="313"/>
      <c r="AN3055" s="313"/>
      <c r="AO3055" s="313"/>
      <c r="AP3055" s="313"/>
      <c r="AQ3055" s="314"/>
      <c r="AR3055" s="315" t="str">
        <f t="shared" si="84"/>
        <v/>
      </c>
    </row>
    <row r="3056" spans="37:44" ht="30" hidden="1" customHeight="1" x14ac:dyDescent="0.25">
      <c r="AK3056" s="313"/>
      <c r="AL3056" s="313"/>
      <c r="AM3056" s="313"/>
      <c r="AN3056" s="313"/>
      <c r="AO3056" s="313"/>
      <c r="AP3056" s="313"/>
      <c r="AQ3056" s="314"/>
      <c r="AR3056" s="315" t="str">
        <f t="shared" si="84"/>
        <v/>
      </c>
    </row>
    <row r="3057" spans="37:44" ht="30" hidden="1" customHeight="1" x14ac:dyDescent="0.25">
      <c r="AK3057" s="313"/>
      <c r="AL3057" s="313"/>
      <c r="AM3057" s="313"/>
      <c r="AN3057" s="313"/>
      <c r="AO3057" s="313"/>
      <c r="AP3057" s="313"/>
      <c r="AQ3057" s="314"/>
      <c r="AR3057" s="315" t="str">
        <f t="shared" si="84"/>
        <v/>
      </c>
    </row>
    <row r="3058" spans="37:44" ht="30" hidden="1" customHeight="1" x14ac:dyDescent="0.25">
      <c r="AK3058" s="313"/>
      <c r="AL3058" s="313"/>
      <c r="AM3058" s="313"/>
      <c r="AN3058" s="313"/>
      <c r="AO3058" s="313"/>
      <c r="AP3058" s="313"/>
      <c r="AQ3058" s="314"/>
      <c r="AR3058" s="315" t="str">
        <f t="shared" si="84"/>
        <v/>
      </c>
    </row>
    <row r="3059" spans="37:44" ht="30" hidden="1" customHeight="1" x14ac:dyDescent="0.25">
      <c r="AK3059" s="313"/>
      <c r="AL3059" s="313"/>
      <c r="AM3059" s="313"/>
      <c r="AN3059" s="313"/>
      <c r="AO3059" s="313"/>
      <c r="AP3059" s="313"/>
      <c r="AQ3059" s="314"/>
      <c r="AR3059" s="315" t="str">
        <f t="shared" si="84"/>
        <v/>
      </c>
    </row>
    <row r="3060" spans="37:44" ht="30" hidden="1" customHeight="1" x14ac:dyDescent="0.25">
      <c r="AK3060" s="313"/>
      <c r="AL3060" s="313"/>
      <c r="AM3060" s="313"/>
      <c r="AN3060" s="313"/>
      <c r="AO3060" s="313"/>
      <c r="AP3060" s="313"/>
      <c r="AQ3060" s="314"/>
      <c r="AR3060" s="315" t="str">
        <f t="shared" si="84"/>
        <v/>
      </c>
    </row>
    <row r="3061" spans="37:44" ht="30" hidden="1" customHeight="1" x14ac:dyDescent="0.25">
      <c r="AK3061" s="313"/>
      <c r="AL3061" s="313"/>
      <c r="AM3061" s="313"/>
      <c r="AN3061" s="313"/>
      <c r="AO3061" s="313"/>
      <c r="AP3061" s="313"/>
      <c r="AQ3061" s="314"/>
      <c r="AR3061" s="315" t="str">
        <f t="shared" si="84"/>
        <v/>
      </c>
    </row>
    <row r="3062" spans="37:44" ht="30" hidden="1" customHeight="1" x14ac:dyDescent="0.25">
      <c r="AK3062" s="313"/>
      <c r="AL3062" s="313"/>
      <c r="AM3062" s="313"/>
      <c r="AN3062" s="313"/>
      <c r="AO3062" s="313"/>
      <c r="AP3062" s="313"/>
      <c r="AQ3062" s="314"/>
      <c r="AR3062" s="315" t="str">
        <f t="shared" si="84"/>
        <v/>
      </c>
    </row>
    <row r="3063" spans="37:44" ht="30" hidden="1" customHeight="1" x14ac:dyDescent="0.25">
      <c r="AK3063" s="313"/>
      <c r="AL3063" s="313"/>
      <c r="AM3063" s="313"/>
      <c r="AN3063" s="313"/>
      <c r="AO3063" s="313"/>
      <c r="AP3063" s="313"/>
      <c r="AQ3063" s="314"/>
      <c r="AR3063" s="315" t="str">
        <f t="shared" si="84"/>
        <v/>
      </c>
    </row>
    <row r="3064" spans="37:44" ht="30" hidden="1" customHeight="1" x14ac:dyDescent="0.25">
      <c r="AK3064" s="313"/>
      <c r="AL3064" s="313"/>
      <c r="AM3064" s="313"/>
      <c r="AN3064" s="313"/>
      <c r="AO3064" s="313"/>
      <c r="AP3064" s="313"/>
      <c r="AQ3064" s="314"/>
      <c r="AR3064" s="315" t="str">
        <f t="shared" si="84"/>
        <v/>
      </c>
    </row>
    <row r="3065" spans="37:44" ht="30" hidden="1" customHeight="1" x14ac:dyDescent="0.25">
      <c r="AK3065" s="313"/>
      <c r="AL3065" s="313"/>
      <c r="AM3065" s="313"/>
      <c r="AN3065" s="313"/>
      <c r="AO3065" s="313"/>
      <c r="AP3065" s="313"/>
      <c r="AQ3065" s="314"/>
      <c r="AR3065" s="315" t="str">
        <f t="shared" si="84"/>
        <v/>
      </c>
    </row>
    <row r="3066" spans="37:44" ht="30" hidden="1" customHeight="1" x14ac:dyDescent="0.25">
      <c r="AK3066" s="313"/>
      <c r="AL3066" s="313"/>
      <c r="AM3066" s="313"/>
      <c r="AN3066" s="313"/>
      <c r="AO3066" s="313"/>
      <c r="AP3066" s="313"/>
      <c r="AQ3066" s="314"/>
      <c r="AR3066" s="315" t="str">
        <f t="shared" si="84"/>
        <v/>
      </c>
    </row>
    <row r="3067" spans="37:44" ht="30" hidden="1" customHeight="1" x14ac:dyDescent="0.25">
      <c r="AK3067" s="313"/>
      <c r="AL3067" s="313"/>
      <c r="AM3067" s="313"/>
      <c r="AN3067" s="313"/>
      <c r="AO3067" s="313"/>
      <c r="AP3067" s="313"/>
      <c r="AQ3067" s="314"/>
      <c r="AR3067" s="315" t="str">
        <f t="shared" si="84"/>
        <v/>
      </c>
    </row>
    <row r="3068" spans="37:44" ht="30" hidden="1" customHeight="1" x14ac:dyDescent="0.25">
      <c r="AK3068" s="313"/>
      <c r="AL3068" s="313"/>
      <c r="AM3068" s="313"/>
      <c r="AN3068" s="313"/>
      <c r="AO3068" s="313"/>
      <c r="AP3068" s="313"/>
      <c r="AQ3068" s="314"/>
      <c r="AR3068" s="315" t="str">
        <f t="shared" si="84"/>
        <v/>
      </c>
    </row>
    <row r="3069" spans="37:44" ht="30" hidden="1" customHeight="1" x14ac:dyDescent="0.25">
      <c r="AK3069" s="313"/>
      <c r="AL3069" s="313"/>
      <c r="AM3069" s="313"/>
      <c r="AN3069" s="313"/>
      <c r="AO3069" s="313"/>
      <c r="AP3069" s="313"/>
      <c r="AQ3069" s="314"/>
      <c r="AR3069" s="315" t="str">
        <f t="shared" si="84"/>
        <v/>
      </c>
    </row>
    <row r="3070" spans="37:44" ht="30" hidden="1" customHeight="1" x14ac:dyDescent="0.25">
      <c r="AK3070" s="313"/>
      <c r="AL3070" s="313"/>
      <c r="AM3070" s="313"/>
      <c r="AN3070" s="313"/>
      <c r="AO3070" s="313"/>
      <c r="AP3070" s="313"/>
      <c r="AQ3070" s="314"/>
      <c r="AR3070" s="315" t="str">
        <f t="shared" si="84"/>
        <v/>
      </c>
    </row>
    <row r="3071" spans="37:44" ht="30" hidden="1" customHeight="1" x14ac:dyDescent="0.25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85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 x14ac:dyDescent="0.25">
      <c r="AK3072" s="313"/>
      <c r="AL3072" s="313"/>
      <c r="AM3072" s="313"/>
      <c r="AN3072" s="313"/>
      <c r="AO3072" s="313"/>
      <c r="AP3072" s="313"/>
      <c r="AQ3072" s="314"/>
      <c r="AR3072" s="315" t="str">
        <f t="shared" si="85"/>
        <v/>
      </c>
    </row>
    <row r="3073" spans="37:44" ht="30" hidden="1" customHeight="1" x14ac:dyDescent="0.25">
      <c r="AK3073" s="313"/>
      <c r="AL3073" s="313"/>
      <c r="AM3073" s="313"/>
      <c r="AN3073" s="313"/>
      <c r="AO3073" s="313"/>
      <c r="AP3073" s="313"/>
      <c r="AQ3073" s="314"/>
      <c r="AR3073" s="315" t="str">
        <f t="shared" si="85"/>
        <v/>
      </c>
    </row>
    <row r="3074" spans="37:44" ht="30" hidden="1" customHeight="1" x14ac:dyDescent="0.25">
      <c r="AK3074" s="313"/>
      <c r="AL3074" s="313"/>
      <c r="AM3074" s="313"/>
      <c r="AN3074" s="313"/>
      <c r="AO3074" s="313"/>
      <c r="AP3074" s="313"/>
      <c r="AQ3074" s="314"/>
      <c r="AR3074" s="315" t="str">
        <f t="shared" si="85"/>
        <v/>
      </c>
    </row>
    <row r="3075" spans="37:44" ht="30" hidden="1" customHeight="1" x14ac:dyDescent="0.25">
      <c r="AK3075" s="313"/>
      <c r="AL3075" s="313"/>
      <c r="AM3075" s="313"/>
      <c r="AN3075" s="313"/>
      <c r="AO3075" s="313"/>
      <c r="AP3075" s="313"/>
      <c r="AQ3075" s="314"/>
      <c r="AR3075" s="315" t="str">
        <f t="shared" si="85"/>
        <v/>
      </c>
    </row>
    <row r="3076" spans="37:44" ht="30" hidden="1" customHeight="1" x14ac:dyDescent="0.25">
      <c r="AK3076" s="313"/>
      <c r="AL3076" s="313"/>
      <c r="AM3076" s="313"/>
      <c r="AN3076" s="313"/>
      <c r="AO3076" s="313"/>
      <c r="AP3076" s="313"/>
      <c r="AQ3076" s="314"/>
      <c r="AR3076" s="315" t="str">
        <f t="shared" si="85"/>
        <v/>
      </c>
    </row>
    <row r="3077" spans="37:44" ht="30" hidden="1" customHeight="1" x14ac:dyDescent="0.25">
      <c r="AK3077" s="313"/>
      <c r="AL3077" s="313"/>
      <c r="AM3077" s="313"/>
      <c r="AN3077" s="313"/>
      <c r="AO3077" s="313"/>
      <c r="AP3077" s="313"/>
      <c r="AQ3077" s="314"/>
      <c r="AR3077" s="315" t="str">
        <f t="shared" si="85"/>
        <v/>
      </c>
    </row>
    <row r="3078" spans="37:44" ht="30" hidden="1" customHeight="1" x14ac:dyDescent="0.25">
      <c r="AK3078" s="313"/>
      <c r="AL3078" s="313"/>
      <c r="AM3078" s="313"/>
      <c r="AN3078" s="313"/>
      <c r="AO3078" s="313"/>
      <c r="AP3078" s="313"/>
      <c r="AQ3078" s="314"/>
      <c r="AR3078" s="315" t="str">
        <f t="shared" si="85"/>
        <v/>
      </c>
    </row>
    <row r="3079" spans="37:44" ht="30" hidden="1" customHeight="1" x14ac:dyDescent="0.25">
      <c r="AK3079" s="313"/>
      <c r="AL3079" s="313"/>
      <c r="AM3079" s="313"/>
      <c r="AN3079" s="313"/>
      <c r="AO3079" s="313"/>
      <c r="AP3079" s="313"/>
      <c r="AQ3079" s="314"/>
      <c r="AR3079" s="315" t="str">
        <f t="shared" si="85"/>
        <v/>
      </c>
    </row>
    <row r="3080" spans="37:44" ht="30" hidden="1" customHeight="1" x14ac:dyDescent="0.25">
      <c r="AK3080" s="313"/>
      <c r="AL3080" s="313"/>
      <c r="AM3080" s="313"/>
      <c r="AN3080" s="313"/>
      <c r="AO3080" s="313"/>
      <c r="AP3080" s="313"/>
      <c r="AQ3080" s="314"/>
      <c r="AR3080" s="315" t="str">
        <f t="shared" si="85"/>
        <v/>
      </c>
    </row>
    <row r="3081" spans="37:44" ht="30" hidden="1" customHeight="1" x14ac:dyDescent="0.25">
      <c r="AK3081" s="313"/>
      <c r="AL3081" s="313"/>
      <c r="AM3081" s="313"/>
      <c r="AN3081" s="313"/>
      <c r="AO3081" s="313"/>
      <c r="AP3081" s="313"/>
      <c r="AQ3081" s="314"/>
      <c r="AR3081" s="315" t="str">
        <f t="shared" si="85"/>
        <v/>
      </c>
    </row>
    <row r="3082" spans="37:44" ht="30" hidden="1" customHeight="1" x14ac:dyDescent="0.25">
      <c r="AK3082" s="313"/>
      <c r="AL3082" s="313"/>
      <c r="AM3082" s="313"/>
      <c r="AN3082" s="313"/>
      <c r="AO3082" s="313"/>
      <c r="AP3082" s="313"/>
      <c r="AQ3082" s="314"/>
      <c r="AR3082" s="315" t="str">
        <f t="shared" si="85"/>
        <v/>
      </c>
    </row>
    <row r="3083" spans="37:44" ht="30" hidden="1" customHeight="1" x14ac:dyDescent="0.25">
      <c r="AK3083" s="313"/>
      <c r="AL3083" s="313"/>
      <c r="AM3083" s="313"/>
      <c r="AN3083" s="313"/>
      <c r="AO3083" s="313"/>
      <c r="AP3083" s="313"/>
      <c r="AQ3083" s="314"/>
      <c r="AR3083" s="315" t="str">
        <f t="shared" si="85"/>
        <v/>
      </c>
    </row>
    <row r="3084" spans="37:44" ht="30" hidden="1" customHeight="1" x14ac:dyDescent="0.25">
      <c r="AK3084" s="313"/>
      <c r="AL3084" s="313"/>
      <c r="AM3084" s="313"/>
      <c r="AN3084" s="313"/>
      <c r="AO3084" s="313"/>
      <c r="AP3084" s="313"/>
      <c r="AQ3084" s="314"/>
      <c r="AR3084" s="315" t="str">
        <f t="shared" si="85"/>
        <v/>
      </c>
    </row>
    <row r="3085" spans="37:44" ht="30" hidden="1" customHeight="1" x14ac:dyDescent="0.25">
      <c r="AK3085" s="313"/>
      <c r="AL3085" s="313"/>
      <c r="AM3085" s="313"/>
      <c r="AN3085" s="313"/>
      <c r="AO3085" s="313"/>
      <c r="AP3085" s="313"/>
      <c r="AQ3085" s="314"/>
      <c r="AR3085" s="315" t="str">
        <f t="shared" si="85"/>
        <v/>
      </c>
    </row>
    <row r="3086" spans="37:44" ht="30" hidden="1" customHeight="1" x14ac:dyDescent="0.25">
      <c r="AK3086" s="313"/>
      <c r="AL3086" s="313"/>
      <c r="AM3086" s="313"/>
      <c r="AN3086" s="313"/>
      <c r="AO3086" s="313"/>
      <c r="AP3086" s="313"/>
      <c r="AQ3086" s="314"/>
      <c r="AR3086" s="315" t="str">
        <f t="shared" si="85"/>
        <v/>
      </c>
    </row>
    <row r="3087" spans="37:44" ht="30" hidden="1" customHeight="1" x14ac:dyDescent="0.25">
      <c r="AK3087" s="313"/>
      <c r="AL3087" s="313"/>
      <c r="AM3087" s="313"/>
      <c r="AN3087" s="313"/>
      <c r="AO3087" s="313"/>
      <c r="AP3087" s="313"/>
      <c r="AQ3087" s="314"/>
      <c r="AR3087" s="315" t="str">
        <f t="shared" si="85"/>
        <v/>
      </c>
    </row>
    <row r="3088" spans="37:44" ht="30" hidden="1" customHeight="1" x14ac:dyDescent="0.25">
      <c r="AK3088" s="313"/>
      <c r="AL3088" s="313"/>
      <c r="AM3088" s="313"/>
      <c r="AN3088" s="313"/>
      <c r="AO3088" s="313"/>
      <c r="AP3088" s="313"/>
      <c r="AQ3088" s="314"/>
      <c r="AR3088" s="315" t="str">
        <f t="shared" si="85"/>
        <v/>
      </c>
    </row>
    <row r="3089" spans="37:44" ht="30" hidden="1" customHeight="1" x14ac:dyDescent="0.25">
      <c r="AK3089" s="313"/>
      <c r="AL3089" s="313"/>
      <c r="AM3089" s="313"/>
      <c r="AN3089" s="313"/>
      <c r="AO3089" s="313"/>
      <c r="AP3089" s="313"/>
      <c r="AQ3089" s="314"/>
      <c r="AR3089" s="315" t="str">
        <f t="shared" si="85"/>
        <v/>
      </c>
    </row>
    <row r="3090" spans="37:44" ht="30" hidden="1" customHeight="1" x14ac:dyDescent="0.25">
      <c r="AK3090" s="313"/>
      <c r="AL3090" s="313"/>
      <c r="AM3090" s="313"/>
      <c r="AN3090" s="313"/>
      <c r="AO3090" s="313"/>
      <c r="AP3090" s="313"/>
      <c r="AQ3090" s="314"/>
      <c r="AR3090" s="315" t="str">
        <f t="shared" si="85"/>
        <v/>
      </c>
    </row>
    <row r="3091" spans="37:44" ht="30" hidden="1" customHeight="1" x14ac:dyDescent="0.25">
      <c r="AK3091" s="313"/>
      <c r="AL3091" s="313"/>
      <c r="AM3091" s="313"/>
      <c r="AN3091" s="313"/>
      <c r="AO3091" s="313"/>
      <c r="AP3091" s="313"/>
      <c r="AQ3091" s="314"/>
      <c r="AR3091" s="315" t="str">
        <f t="shared" si="85"/>
        <v/>
      </c>
    </row>
    <row r="3092" spans="37:44" ht="30" hidden="1" customHeight="1" x14ac:dyDescent="0.25">
      <c r="AK3092" s="313"/>
      <c r="AL3092" s="313"/>
      <c r="AM3092" s="313"/>
      <c r="AN3092" s="313"/>
      <c r="AO3092" s="313"/>
      <c r="AP3092" s="313"/>
      <c r="AQ3092" s="314"/>
      <c r="AR3092" s="315" t="str">
        <f t="shared" si="85"/>
        <v/>
      </c>
    </row>
    <row r="3093" spans="37:44" ht="30" hidden="1" customHeight="1" x14ac:dyDescent="0.25">
      <c r="AK3093" s="313"/>
      <c r="AL3093" s="313"/>
      <c r="AM3093" s="313"/>
      <c r="AN3093" s="313"/>
      <c r="AO3093" s="313"/>
      <c r="AP3093" s="313"/>
      <c r="AQ3093" s="314"/>
      <c r="AR3093" s="315" t="str">
        <f t="shared" si="85"/>
        <v/>
      </c>
    </row>
    <row r="3094" spans="37:44" ht="30" hidden="1" customHeight="1" x14ac:dyDescent="0.25">
      <c r="AK3094" s="313"/>
      <c r="AL3094" s="313"/>
      <c r="AM3094" s="313"/>
      <c r="AN3094" s="313"/>
      <c r="AO3094" s="313"/>
      <c r="AP3094" s="313"/>
      <c r="AQ3094" s="314"/>
      <c r="AR3094" s="315" t="str">
        <f t="shared" si="85"/>
        <v/>
      </c>
    </row>
    <row r="3095" spans="37:44" ht="30" hidden="1" customHeight="1" x14ac:dyDescent="0.25">
      <c r="AK3095" s="313"/>
      <c r="AL3095" s="313"/>
      <c r="AM3095" s="313"/>
      <c r="AN3095" s="313"/>
      <c r="AO3095" s="313"/>
      <c r="AP3095" s="313"/>
      <c r="AQ3095" s="314"/>
      <c r="AR3095" s="315" t="str">
        <f t="shared" si="85"/>
        <v/>
      </c>
    </row>
    <row r="3096" spans="37:44" ht="30" hidden="1" customHeight="1" x14ac:dyDescent="0.25">
      <c r="AK3096" s="313"/>
      <c r="AL3096" s="313"/>
      <c r="AM3096" s="313"/>
      <c r="AN3096" s="313"/>
      <c r="AO3096" s="313"/>
      <c r="AP3096" s="313"/>
      <c r="AQ3096" s="314"/>
      <c r="AR3096" s="315" t="str">
        <f t="shared" si="85"/>
        <v/>
      </c>
    </row>
    <row r="3097" spans="37:44" ht="30" hidden="1" customHeight="1" x14ac:dyDescent="0.25">
      <c r="AK3097" s="313"/>
      <c r="AL3097" s="313"/>
      <c r="AM3097" s="313"/>
      <c r="AN3097" s="313"/>
      <c r="AO3097" s="313"/>
      <c r="AP3097" s="313"/>
      <c r="AQ3097" s="314"/>
      <c r="AR3097" s="315" t="str">
        <f t="shared" si="85"/>
        <v/>
      </c>
    </row>
    <row r="3098" spans="37:44" ht="30" hidden="1" customHeight="1" x14ac:dyDescent="0.25">
      <c r="AK3098" s="313"/>
      <c r="AL3098" s="313"/>
      <c r="AM3098" s="313"/>
      <c r="AN3098" s="313"/>
      <c r="AO3098" s="313"/>
      <c r="AP3098" s="313"/>
      <c r="AQ3098" s="314"/>
      <c r="AR3098" s="315" t="str">
        <f t="shared" si="85"/>
        <v/>
      </c>
    </row>
    <row r="3099" spans="37:44" ht="30" hidden="1" customHeight="1" x14ac:dyDescent="0.25">
      <c r="AK3099" s="313"/>
      <c r="AL3099" s="313"/>
      <c r="AM3099" s="313"/>
      <c r="AN3099" s="313"/>
      <c r="AO3099" s="313"/>
      <c r="AP3099" s="313"/>
      <c r="AQ3099" s="314"/>
      <c r="AR3099" s="315" t="str">
        <f t="shared" si="85"/>
        <v/>
      </c>
    </row>
    <row r="3100" spans="37:44" ht="30" hidden="1" customHeight="1" x14ac:dyDescent="0.25">
      <c r="AK3100" s="313"/>
      <c r="AL3100" s="313"/>
      <c r="AM3100" s="313"/>
      <c r="AN3100" s="313"/>
      <c r="AO3100" s="313"/>
      <c r="AP3100" s="313"/>
      <c r="AQ3100" s="314"/>
      <c r="AR3100" s="315" t="str">
        <f t="shared" si="85"/>
        <v/>
      </c>
    </row>
    <row r="3101" spans="37:44" ht="30" hidden="1" customHeight="1" x14ac:dyDescent="0.25">
      <c r="AK3101" s="313"/>
      <c r="AL3101" s="313"/>
      <c r="AM3101" s="313"/>
      <c r="AN3101" s="313"/>
      <c r="AO3101" s="313"/>
      <c r="AP3101" s="313"/>
      <c r="AQ3101" s="314"/>
      <c r="AR3101" s="315" t="str">
        <f t="shared" si="85"/>
        <v/>
      </c>
    </row>
    <row r="3102" spans="37:44" ht="30" hidden="1" customHeight="1" x14ac:dyDescent="0.25">
      <c r="AK3102" s="313"/>
      <c r="AL3102" s="313"/>
      <c r="AM3102" s="313"/>
      <c r="AN3102" s="313"/>
      <c r="AO3102" s="313"/>
      <c r="AP3102" s="313"/>
      <c r="AQ3102" s="314"/>
      <c r="AR3102" s="315" t="str">
        <f t="shared" si="85"/>
        <v/>
      </c>
    </row>
    <row r="3103" spans="37:44" ht="30" hidden="1" customHeight="1" x14ac:dyDescent="0.25">
      <c r="AK3103" s="313"/>
      <c r="AL3103" s="313"/>
      <c r="AM3103" s="313"/>
      <c r="AN3103" s="313"/>
      <c r="AO3103" s="313"/>
      <c r="AP3103" s="313"/>
      <c r="AQ3103" s="314"/>
      <c r="AR3103" s="315" t="str">
        <f t="shared" si="85"/>
        <v/>
      </c>
    </row>
    <row r="3104" spans="37:44" ht="30" hidden="1" customHeight="1" x14ac:dyDescent="0.25">
      <c r="AK3104" s="313"/>
      <c r="AL3104" s="313"/>
      <c r="AM3104" s="313"/>
      <c r="AN3104" s="313"/>
      <c r="AO3104" s="313"/>
      <c r="AP3104" s="313"/>
      <c r="AQ3104" s="314"/>
      <c r="AR3104" s="315" t="str">
        <f t="shared" si="85"/>
        <v/>
      </c>
    </row>
    <row r="3105" spans="37:44" ht="30" hidden="1" customHeight="1" x14ac:dyDescent="0.25">
      <c r="AK3105" s="313"/>
      <c r="AL3105" s="313"/>
      <c r="AM3105" s="313"/>
      <c r="AN3105" s="313"/>
      <c r="AO3105" s="313"/>
      <c r="AP3105" s="313"/>
      <c r="AQ3105" s="314"/>
      <c r="AR3105" s="315" t="str">
        <f t="shared" si="85"/>
        <v/>
      </c>
    </row>
    <row r="3106" spans="37:44" ht="30" hidden="1" customHeight="1" x14ac:dyDescent="0.25">
      <c r="AK3106" s="313"/>
      <c r="AL3106" s="313"/>
      <c r="AM3106" s="313"/>
      <c r="AN3106" s="313"/>
      <c r="AO3106" s="313"/>
      <c r="AP3106" s="313"/>
      <c r="AQ3106" s="314"/>
      <c r="AR3106" s="315" t="str">
        <f t="shared" si="85"/>
        <v/>
      </c>
    </row>
    <row r="3107" spans="37:44" ht="30" hidden="1" customHeight="1" x14ac:dyDescent="0.25">
      <c r="AK3107" s="313"/>
      <c r="AL3107" s="313"/>
      <c r="AM3107" s="313"/>
      <c r="AN3107" s="313"/>
      <c r="AO3107" s="313"/>
      <c r="AP3107" s="313"/>
      <c r="AQ3107" s="314"/>
      <c r="AR3107" s="315" t="str">
        <f t="shared" si="85"/>
        <v/>
      </c>
    </row>
    <row r="3108" spans="37:44" ht="30" hidden="1" customHeight="1" x14ac:dyDescent="0.25">
      <c r="AK3108" s="313"/>
      <c r="AL3108" s="313"/>
      <c r="AM3108" s="313"/>
      <c r="AN3108" s="313"/>
      <c r="AO3108" s="313"/>
      <c r="AP3108" s="313"/>
      <c r="AQ3108" s="314"/>
      <c r="AR3108" s="315" t="str">
        <f t="shared" si="85"/>
        <v/>
      </c>
    </row>
    <row r="3109" spans="37:44" ht="30" hidden="1" customHeight="1" x14ac:dyDescent="0.25">
      <c r="AK3109" s="313"/>
      <c r="AL3109" s="313"/>
      <c r="AM3109" s="313"/>
      <c r="AN3109" s="313"/>
      <c r="AO3109" s="313"/>
      <c r="AP3109" s="313"/>
      <c r="AQ3109" s="314"/>
      <c r="AR3109" s="315" t="str">
        <f t="shared" si="85"/>
        <v/>
      </c>
    </row>
    <row r="3110" spans="37:44" ht="30" hidden="1" customHeight="1" x14ac:dyDescent="0.25">
      <c r="AK3110" s="313"/>
      <c r="AL3110" s="313"/>
      <c r="AM3110" s="313"/>
      <c r="AN3110" s="313"/>
      <c r="AO3110" s="313"/>
      <c r="AP3110" s="313"/>
      <c r="AQ3110" s="314"/>
      <c r="AR3110" s="315" t="str">
        <f t="shared" si="85"/>
        <v/>
      </c>
    </row>
    <row r="3111" spans="37:44" ht="30" hidden="1" customHeight="1" x14ac:dyDescent="0.25">
      <c r="AK3111" s="313"/>
      <c r="AL3111" s="313"/>
      <c r="AM3111" s="313"/>
      <c r="AN3111" s="313"/>
      <c r="AO3111" s="313"/>
      <c r="AP3111" s="313"/>
      <c r="AQ3111" s="314"/>
      <c r="AR3111" s="315" t="str">
        <f t="shared" si="85"/>
        <v/>
      </c>
    </row>
    <row r="3112" spans="37:44" ht="30" hidden="1" customHeight="1" x14ac:dyDescent="0.25">
      <c r="AK3112" s="313"/>
      <c r="AL3112" s="313"/>
      <c r="AM3112" s="313"/>
      <c r="AN3112" s="313"/>
      <c r="AO3112" s="313"/>
      <c r="AP3112" s="313"/>
      <c r="AQ3112" s="314"/>
      <c r="AR3112" s="315" t="str">
        <f t="shared" si="85"/>
        <v/>
      </c>
    </row>
    <row r="3113" spans="37:44" ht="30" hidden="1" customHeight="1" x14ac:dyDescent="0.25">
      <c r="AK3113" s="313"/>
      <c r="AL3113" s="313"/>
      <c r="AM3113" s="313"/>
      <c r="AN3113" s="313"/>
      <c r="AO3113" s="313"/>
      <c r="AP3113" s="313"/>
      <c r="AQ3113" s="314"/>
      <c r="AR3113" s="315" t="str">
        <f t="shared" si="85"/>
        <v/>
      </c>
    </row>
    <row r="3114" spans="37:44" ht="30" hidden="1" customHeight="1" x14ac:dyDescent="0.25">
      <c r="AK3114" s="313"/>
      <c r="AL3114" s="313"/>
      <c r="AM3114" s="313"/>
      <c r="AN3114" s="313"/>
      <c r="AO3114" s="313"/>
      <c r="AP3114" s="313"/>
      <c r="AQ3114" s="314"/>
      <c r="AR3114" s="315" t="str">
        <f t="shared" si="85"/>
        <v/>
      </c>
    </row>
    <row r="3115" spans="37:44" ht="30" hidden="1" customHeight="1" x14ac:dyDescent="0.25">
      <c r="AK3115" s="313"/>
      <c r="AL3115" s="313"/>
      <c r="AM3115" s="313"/>
      <c r="AN3115" s="313"/>
      <c r="AO3115" s="313"/>
      <c r="AP3115" s="313"/>
      <c r="AQ3115" s="314"/>
      <c r="AR3115" s="315" t="str">
        <f t="shared" si="85"/>
        <v/>
      </c>
    </row>
    <row r="3116" spans="37:44" ht="30" hidden="1" customHeight="1" x14ac:dyDescent="0.25">
      <c r="AK3116" s="313"/>
      <c r="AL3116" s="313"/>
      <c r="AM3116" s="313"/>
      <c r="AN3116" s="313"/>
      <c r="AO3116" s="313"/>
      <c r="AP3116" s="313"/>
      <c r="AQ3116" s="314"/>
      <c r="AR3116" s="315" t="str">
        <f t="shared" si="85"/>
        <v/>
      </c>
    </row>
    <row r="3117" spans="37:44" ht="30" hidden="1" customHeight="1" x14ac:dyDescent="0.25">
      <c r="AK3117" s="313"/>
      <c r="AL3117" s="313"/>
      <c r="AM3117" s="313"/>
      <c r="AN3117" s="313"/>
      <c r="AO3117" s="313"/>
      <c r="AP3117" s="313"/>
      <c r="AQ3117" s="314"/>
      <c r="AR3117" s="315" t="str">
        <f t="shared" si="85"/>
        <v/>
      </c>
    </row>
    <row r="3118" spans="37:44" ht="30" hidden="1" customHeight="1" x14ac:dyDescent="0.25">
      <c r="AK3118" s="313"/>
      <c r="AL3118" s="313"/>
      <c r="AM3118" s="313"/>
      <c r="AN3118" s="313"/>
      <c r="AO3118" s="313"/>
      <c r="AP3118" s="313"/>
      <c r="AQ3118" s="314"/>
      <c r="AR3118" s="315" t="str">
        <f t="shared" si="85"/>
        <v/>
      </c>
    </row>
    <row r="3119" spans="37:44" ht="30" hidden="1" customHeight="1" x14ac:dyDescent="0.25">
      <c r="AK3119" s="313"/>
      <c r="AL3119" s="313"/>
      <c r="AM3119" s="313"/>
      <c r="AN3119" s="313"/>
      <c r="AO3119" s="313"/>
      <c r="AP3119" s="313"/>
      <c r="AQ3119" s="314"/>
      <c r="AR3119" s="315" t="str">
        <f t="shared" si="85"/>
        <v/>
      </c>
    </row>
    <row r="3120" spans="37:44" ht="30" hidden="1" customHeight="1" x14ac:dyDescent="0.25">
      <c r="AK3120" s="313"/>
      <c r="AL3120" s="313"/>
      <c r="AM3120" s="313"/>
      <c r="AN3120" s="313"/>
      <c r="AO3120" s="313"/>
      <c r="AP3120" s="313"/>
      <c r="AQ3120" s="314"/>
      <c r="AR3120" s="315" t="str">
        <f t="shared" si="85"/>
        <v/>
      </c>
    </row>
    <row r="3121" spans="37:44" ht="30" hidden="1" customHeight="1" x14ac:dyDescent="0.25">
      <c r="AK3121" s="313"/>
      <c r="AL3121" s="313"/>
      <c r="AM3121" s="313"/>
      <c r="AN3121" s="313"/>
      <c r="AO3121" s="313"/>
      <c r="AP3121" s="313"/>
      <c r="AQ3121" s="314"/>
      <c r="AR3121" s="315" t="str">
        <f t="shared" si="85"/>
        <v/>
      </c>
    </row>
    <row r="3122" spans="37:44" ht="30" hidden="1" customHeight="1" x14ac:dyDescent="0.25">
      <c r="AK3122" s="313"/>
      <c r="AL3122" s="313"/>
      <c r="AM3122" s="313"/>
      <c r="AN3122" s="313"/>
      <c r="AO3122" s="313"/>
      <c r="AP3122" s="313"/>
      <c r="AQ3122" s="314"/>
      <c r="AR3122" s="315" t="str">
        <f t="shared" si="85"/>
        <v/>
      </c>
    </row>
    <row r="3123" spans="37:44" ht="30" hidden="1" customHeight="1" x14ac:dyDescent="0.25">
      <c r="AK3123" s="313"/>
      <c r="AL3123" s="313"/>
      <c r="AM3123" s="313"/>
      <c r="AN3123" s="313"/>
      <c r="AO3123" s="313"/>
      <c r="AP3123" s="313"/>
      <c r="AQ3123" s="314"/>
      <c r="AR3123" s="315" t="str">
        <f t="shared" si="85"/>
        <v/>
      </c>
    </row>
    <row r="3124" spans="37:44" ht="30" hidden="1" customHeight="1" x14ac:dyDescent="0.25">
      <c r="AK3124" s="313"/>
      <c r="AL3124" s="313"/>
      <c r="AM3124" s="313"/>
      <c r="AN3124" s="313"/>
      <c r="AO3124" s="313"/>
      <c r="AP3124" s="313"/>
      <c r="AQ3124" s="314"/>
      <c r="AR3124" s="315" t="str">
        <f t="shared" si="85"/>
        <v/>
      </c>
    </row>
    <row r="3125" spans="37:44" ht="30" hidden="1" customHeight="1" x14ac:dyDescent="0.25">
      <c r="AK3125" s="313"/>
      <c r="AL3125" s="313"/>
      <c r="AM3125" s="313"/>
      <c r="AN3125" s="313"/>
      <c r="AO3125" s="313"/>
      <c r="AP3125" s="313"/>
      <c r="AQ3125" s="314"/>
      <c r="AR3125" s="315" t="str">
        <f t="shared" si="85"/>
        <v/>
      </c>
    </row>
    <row r="3126" spans="37:44" ht="30" hidden="1" customHeight="1" x14ac:dyDescent="0.25">
      <c r="AK3126" s="313"/>
      <c r="AL3126" s="313"/>
      <c r="AM3126" s="313"/>
      <c r="AN3126" s="313"/>
      <c r="AO3126" s="313"/>
      <c r="AP3126" s="313"/>
      <c r="AQ3126" s="314"/>
      <c r="AR3126" s="315" t="str">
        <f t="shared" si="85"/>
        <v/>
      </c>
    </row>
    <row r="3127" spans="37:44" ht="30" hidden="1" customHeight="1" x14ac:dyDescent="0.25">
      <c r="AK3127" s="313"/>
      <c r="AL3127" s="313"/>
      <c r="AM3127" s="313"/>
      <c r="AN3127" s="313"/>
      <c r="AO3127" s="313"/>
      <c r="AP3127" s="313"/>
      <c r="AQ3127" s="314"/>
      <c r="AR3127" s="315" t="str">
        <f t="shared" si="85"/>
        <v/>
      </c>
    </row>
    <row r="3128" spans="37:44" ht="30" hidden="1" customHeight="1" x14ac:dyDescent="0.25">
      <c r="AK3128" s="313"/>
      <c r="AL3128" s="313"/>
      <c r="AM3128" s="313"/>
      <c r="AN3128" s="313"/>
      <c r="AO3128" s="313"/>
      <c r="AP3128" s="313"/>
      <c r="AQ3128" s="314"/>
      <c r="AR3128" s="315" t="str">
        <f t="shared" si="85"/>
        <v/>
      </c>
    </row>
    <row r="3129" spans="37:44" ht="30" hidden="1" customHeight="1" x14ac:dyDescent="0.25">
      <c r="AK3129" s="313"/>
      <c r="AL3129" s="313"/>
      <c r="AM3129" s="313"/>
      <c r="AN3129" s="313"/>
      <c r="AO3129" s="313"/>
      <c r="AP3129" s="313"/>
      <c r="AQ3129" s="314"/>
      <c r="AR3129" s="315" t="str">
        <f t="shared" si="85"/>
        <v/>
      </c>
    </row>
    <row r="3130" spans="37:44" ht="30" hidden="1" customHeight="1" x14ac:dyDescent="0.25">
      <c r="AK3130" s="313"/>
      <c r="AL3130" s="313"/>
      <c r="AM3130" s="313"/>
      <c r="AN3130" s="313"/>
      <c r="AO3130" s="313"/>
      <c r="AP3130" s="313"/>
      <c r="AQ3130" s="314"/>
      <c r="AR3130" s="315" t="str">
        <f t="shared" si="85"/>
        <v/>
      </c>
    </row>
    <row r="3131" spans="37:44" ht="30" hidden="1" customHeight="1" x14ac:dyDescent="0.25">
      <c r="AK3131" s="313"/>
      <c r="AL3131" s="313"/>
      <c r="AM3131" s="313"/>
      <c r="AN3131" s="313"/>
      <c r="AO3131" s="313"/>
      <c r="AP3131" s="313"/>
      <c r="AQ3131" s="314"/>
      <c r="AR3131" s="315" t="str">
        <f t="shared" si="85"/>
        <v/>
      </c>
    </row>
    <row r="3132" spans="37:44" ht="30" hidden="1" customHeight="1" x14ac:dyDescent="0.25">
      <c r="AK3132" s="313"/>
      <c r="AL3132" s="313"/>
      <c r="AM3132" s="313"/>
      <c r="AN3132" s="313"/>
      <c r="AO3132" s="313"/>
      <c r="AP3132" s="313"/>
      <c r="AQ3132" s="314"/>
      <c r="AR3132" s="315" t="str">
        <f t="shared" si="85"/>
        <v/>
      </c>
    </row>
    <row r="3133" spans="37:44" ht="30" hidden="1" customHeight="1" x14ac:dyDescent="0.25">
      <c r="AK3133" s="313"/>
      <c r="AL3133" s="313"/>
      <c r="AM3133" s="313"/>
      <c r="AN3133" s="313"/>
      <c r="AO3133" s="313"/>
      <c r="AP3133" s="313"/>
      <c r="AQ3133" s="314"/>
      <c r="AR3133" s="315" t="str">
        <f t="shared" si="85"/>
        <v/>
      </c>
    </row>
    <row r="3134" spans="37:44" ht="30" hidden="1" customHeight="1" x14ac:dyDescent="0.25">
      <c r="AK3134" s="313"/>
      <c r="AL3134" s="313"/>
      <c r="AM3134" s="313"/>
      <c r="AN3134" s="313"/>
      <c r="AO3134" s="313"/>
      <c r="AP3134" s="313"/>
      <c r="AQ3134" s="314"/>
      <c r="AR3134" s="315" t="str">
        <f t="shared" si="85"/>
        <v/>
      </c>
    </row>
    <row r="3135" spans="37:44" ht="30" hidden="1" customHeight="1" x14ac:dyDescent="0.25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86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 x14ac:dyDescent="0.25">
      <c r="AK3136" s="313"/>
      <c r="AL3136" s="313"/>
      <c r="AM3136" s="313"/>
      <c r="AN3136" s="313"/>
      <c r="AO3136" s="313"/>
      <c r="AP3136" s="313"/>
      <c r="AQ3136" s="314"/>
      <c r="AR3136" s="315" t="str">
        <f t="shared" si="86"/>
        <v/>
      </c>
    </row>
    <row r="3137" spans="37:44" ht="30" hidden="1" customHeight="1" x14ac:dyDescent="0.25">
      <c r="AK3137" s="313"/>
      <c r="AL3137" s="313"/>
      <c r="AM3137" s="313"/>
      <c r="AN3137" s="313"/>
      <c r="AO3137" s="313"/>
      <c r="AP3137" s="313"/>
      <c r="AQ3137" s="314"/>
      <c r="AR3137" s="315" t="str">
        <f t="shared" si="86"/>
        <v/>
      </c>
    </row>
    <row r="3138" spans="37:44" ht="30" hidden="1" customHeight="1" x14ac:dyDescent="0.25">
      <c r="AK3138" s="313"/>
      <c r="AL3138" s="313"/>
      <c r="AM3138" s="313"/>
      <c r="AN3138" s="313"/>
      <c r="AO3138" s="313"/>
      <c r="AP3138" s="313"/>
      <c r="AQ3138" s="314"/>
      <c r="AR3138" s="315" t="str">
        <f t="shared" si="86"/>
        <v/>
      </c>
    </row>
    <row r="3139" spans="37:44" ht="30" hidden="1" customHeight="1" x14ac:dyDescent="0.25">
      <c r="AK3139" s="313"/>
      <c r="AL3139" s="313"/>
      <c r="AM3139" s="313"/>
      <c r="AN3139" s="313"/>
      <c r="AO3139" s="313"/>
      <c r="AP3139" s="313"/>
      <c r="AQ3139" s="314"/>
      <c r="AR3139" s="315" t="str">
        <f t="shared" si="86"/>
        <v/>
      </c>
    </row>
    <row r="3140" spans="37:44" ht="30" hidden="1" customHeight="1" x14ac:dyDescent="0.25">
      <c r="AK3140" s="313"/>
      <c r="AL3140" s="313"/>
      <c r="AM3140" s="313"/>
      <c r="AN3140" s="313"/>
      <c r="AO3140" s="313"/>
      <c r="AP3140" s="313"/>
      <c r="AQ3140" s="314"/>
      <c r="AR3140" s="315" t="str">
        <f t="shared" si="86"/>
        <v/>
      </c>
    </row>
    <row r="3141" spans="37:44" ht="30" hidden="1" customHeight="1" x14ac:dyDescent="0.25">
      <c r="AK3141" s="313"/>
      <c r="AL3141" s="313"/>
      <c r="AM3141" s="313"/>
      <c r="AN3141" s="313"/>
      <c r="AO3141" s="313"/>
      <c r="AP3141" s="313"/>
      <c r="AQ3141" s="314"/>
      <c r="AR3141" s="315" t="str">
        <f t="shared" si="86"/>
        <v/>
      </c>
    </row>
    <row r="3142" spans="37:44" ht="30" hidden="1" customHeight="1" x14ac:dyDescent="0.25">
      <c r="AK3142" s="313"/>
      <c r="AL3142" s="313"/>
      <c r="AM3142" s="313"/>
      <c r="AN3142" s="313"/>
      <c r="AO3142" s="313"/>
      <c r="AP3142" s="313"/>
      <c r="AQ3142" s="314"/>
      <c r="AR3142" s="315" t="str">
        <f t="shared" si="86"/>
        <v/>
      </c>
    </row>
    <row r="3143" spans="37:44" ht="30" hidden="1" customHeight="1" x14ac:dyDescent="0.25">
      <c r="AK3143" s="313"/>
      <c r="AL3143" s="313"/>
      <c r="AM3143" s="313"/>
      <c r="AN3143" s="313"/>
      <c r="AO3143" s="313"/>
      <c r="AP3143" s="313"/>
      <c r="AQ3143" s="314"/>
      <c r="AR3143" s="315" t="str">
        <f t="shared" si="86"/>
        <v/>
      </c>
    </row>
    <row r="3144" spans="37:44" ht="30" hidden="1" customHeight="1" x14ac:dyDescent="0.25">
      <c r="AK3144" s="313"/>
      <c r="AL3144" s="313"/>
      <c r="AM3144" s="313"/>
      <c r="AN3144" s="313"/>
      <c r="AO3144" s="313"/>
      <c r="AP3144" s="313"/>
      <c r="AQ3144" s="314"/>
      <c r="AR3144" s="315" t="str">
        <f t="shared" si="86"/>
        <v/>
      </c>
    </row>
    <row r="3145" spans="37:44" ht="30" hidden="1" customHeight="1" x14ac:dyDescent="0.25">
      <c r="AK3145" s="313"/>
      <c r="AL3145" s="313"/>
      <c r="AM3145" s="313"/>
      <c r="AN3145" s="313"/>
      <c r="AO3145" s="313"/>
      <c r="AP3145" s="313"/>
      <c r="AQ3145" s="314"/>
      <c r="AR3145" s="315" t="str">
        <f t="shared" si="86"/>
        <v/>
      </c>
    </row>
    <row r="3146" spans="37:44" ht="30" hidden="1" customHeight="1" x14ac:dyDescent="0.25">
      <c r="AK3146" s="313"/>
      <c r="AL3146" s="313"/>
      <c r="AM3146" s="313"/>
      <c r="AN3146" s="313"/>
      <c r="AO3146" s="313"/>
      <c r="AP3146" s="313"/>
      <c r="AQ3146" s="314"/>
      <c r="AR3146" s="315" t="str">
        <f t="shared" si="86"/>
        <v/>
      </c>
    </row>
    <row r="3147" spans="37:44" ht="30" hidden="1" customHeight="1" x14ac:dyDescent="0.25">
      <c r="AK3147" s="313"/>
      <c r="AL3147" s="313"/>
      <c r="AM3147" s="313"/>
      <c r="AN3147" s="313"/>
      <c r="AO3147" s="313"/>
      <c r="AP3147" s="313"/>
      <c r="AQ3147" s="314"/>
      <c r="AR3147" s="315" t="str">
        <f t="shared" si="86"/>
        <v/>
      </c>
    </row>
    <row r="3148" spans="37:44" ht="30" hidden="1" customHeight="1" x14ac:dyDescent="0.25">
      <c r="AK3148" s="313"/>
      <c r="AL3148" s="313"/>
      <c r="AM3148" s="313"/>
      <c r="AN3148" s="313"/>
      <c r="AO3148" s="313"/>
      <c r="AP3148" s="313"/>
      <c r="AQ3148" s="314"/>
      <c r="AR3148" s="315" t="str">
        <f t="shared" si="86"/>
        <v/>
      </c>
    </row>
    <row r="3149" spans="37:44" ht="30" hidden="1" customHeight="1" x14ac:dyDescent="0.25">
      <c r="AK3149" s="313"/>
      <c r="AL3149" s="313"/>
      <c r="AM3149" s="313"/>
      <c r="AN3149" s="313"/>
      <c r="AO3149" s="313"/>
      <c r="AP3149" s="313"/>
      <c r="AQ3149" s="314"/>
      <c r="AR3149" s="315" t="str">
        <f t="shared" si="86"/>
        <v/>
      </c>
    </row>
    <row r="3150" spans="37:44" ht="30" hidden="1" customHeight="1" x14ac:dyDescent="0.25">
      <c r="AK3150" s="313"/>
      <c r="AL3150" s="313"/>
      <c r="AM3150" s="313"/>
      <c r="AN3150" s="313"/>
      <c r="AO3150" s="313"/>
      <c r="AP3150" s="313"/>
      <c r="AQ3150" s="314"/>
      <c r="AR3150" s="315" t="str">
        <f t="shared" si="86"/>
        <v/>
      </c>
    </row>
    <row r="3151" spans="37:44" ht="30" hidden="1" customHeight="1" x14ac:dyDescent="0.25">
      <c r="AK3151" s="313"/>
      <c r="AL3151" s="313"/>
      <c r="AM3151" s="313"/>
      <c r="AN3151" s="313"/>
      <c r="AO3151" s="313"/>
      <c r="AP3151" s="313"/>
      <c r="AQ3151" s="314"/>
      <c r="AR3151" s="315" t="str">
        <f t="shared" si="86"/>
        <v/>
      </c>
    </row>
    <row r="3152" spans="37:44" ht="30" hidden="1" customHeight="1" x14ac:dyDescent="0.25">
      <c r="AK3152" s="313"/>
      <c r="AL3152" s="313"/>
      <c r="AM3152" s="313"/>
      <c r="AN3152" s="313"/>
      <c r="AO3152" s="313"/>
      <c r="AP3152" s="313"/>
      <c r="AQ3152" s="314"/>
      <c r="AR3152" s="315" t="str">
        <f t="shared" si="86"/>
        <v/>
      </c>
    </row>
    <row r="3153" spans="37:44" ht="30" hidden="1" customHeight="1" x14ac:dyDescent="0.25">
      <c r="AK3153" s="313"/>
      <c r="AL3153" s="313"/>
      <c r="AM3153" s="313"/>
      <c r="AN3153" s="313"/>
      <c r="AO3153" s="313"/>
      <c r="AP3153" s="313"/>
      <c r="AQ3153" s="314"/>
      <c r="AR3153" s="315" t="str">
        <f t="shared" si="86"/>
        <v/>
      </c>
    </row>
    <row r="3154" spans="37:44" ht="30" hidden="1" customHeight="1" x14ac:dyDescent="0.25">
      <c r="AK3154" s="313"/>
      <c r="AL3154" s="313"/>
      <c r="AM3154" s="313"/>
      <c r="AN3154" s="313"/>
      <c r="AO3154" s="313"/>
      <c r="AP3154" s="313"/>
      <c r="AQ3154" s="314"/>
      <c r="AR3154" s="315" t="str">
        <f t="shared" si="86"/>
        <v/>
      </c>
    </row>
    <row r="3155" spans="37:44" ht="30" hidden="1" customHeight="1" x14ac:dyDescent="0.25">
      <c r="AK3155" s="313"/>
      <c r="AL3155" s="313"/>
      <c r="AM3155" s="313"/>
      <c r="AN3155" s="313"/>
      <c r="AO3155" s="313"/>
      <c r="AP3155" s="313"/>
      <c r="AQ3155" s="314"/>
      <c r="AR3155" s="315" t="str">
        <f t="shared" si="86"/>
        <v/>
      </c>
    </row>
    <row r="3156" spans="37:44" ht="30" hidden="1" customHeight="1" x14ac:dyDescent="0.25">
      <c r="AK3156" s="313"/>
      <c r="AL3156" s="313"/>
      <c r="AM3156" s="313"/>
      <c r="AN3156" s="313"/>
      <c r="AO3156" s="313"/>
      <c r="AP3156" s="313"/>
      <c r="AQ3156" s="314"/>
      <c r="AR3156" s="315" t="str">
        <f t="shared" si="86"/>
        <v/>
      </c>
    </row>
    <row r="3157" spans="37:44" ht="30" hidden="1" customHeight="1" x14ac:dyDescent="0.25">
      <c r="AK3157" s="313"/>
      <c r="AL3157" s="313"/>
      <c r="AM3157" s="313"/>
      <c r="AN3157" s="313"/>
      <c r="AO3157" s="313"/>
      <c r="AP3157" s="313"/>
      <c r="AQ3157" s="314"/>
      <c r="AR3157" s="315" t="str">
        <f t="shared" si="86"/>
        <v/>
      </c>
    </row>
    <row r="3158" spans="37:44" ht="30" hidden="1" customHeight="1" x14ac:dyDescent="0.25">
      <c r="AK3158" s="313"/>
      <c r="AL3158" s="313"/>
      <c r="AM3158" s="313"/>
      <c r="AN3158" s="313"/>
      <c r="AO3158" s="313"/>
      <c r="AP3158" s="313"/>
      <c r="AQ3158" s="314"/>
      <c r="AR3158" s="315" t="str">
        <f t="shared" si="86"/>
        <v/>
      </c>
    </row>
    <row r="3159" spans="37:44" ht="30" hidden="1" customHeight="1" x14ac:dyDescent="0.25">
      <c r="AK3159" s="313"/>
      <c r="AL3159" s="313"/>
      <c r="AM3159" s="313"/>
      <c r="AN3159" s="313"/>
      <c r="AO3159" s="313"/>
      <c r="AP3159" s="313"/>
      <c r="AQ3159" s="314"/>
      <c r="AR3159" s="315" t="str">
        <f t="shared" si="86"/>
        <v/>
      </c>
    </row>
    <row r="3160" spans="37:44" ht="30" hidden="1" customHeight="1" x14ac:dyDescent="0.25">
      <c r="AK3160" s="313"/>
      <c r="AL3160" s="313"/>
      <c r="AM3160" s="313"/>
      <c r="AN3160" s="313"/>
      <c r="AO3160" s="313"/>
      <c r="AP3160" s="313"/>
      <c r="AQ3160" s="314"/>
      <c r="AR3160" s="315" t="str">
        <f t="shared" si="86"/>
        <v/>
      </c>
    </row>
    <row r="3161" spans="37:44" ht="30" hidden="1" customHeight="1" x14ac:dyDescent="0.25">
      <c r="AK3161" s="313"/>
      <c r="AL3161" s="313"/>
      <c r="AM3161" s="313"/>
      <c r="AN3161" s="313"/>
      <c r="AO3161" s="313"/>
      <c r="AP3161" s="313"/>
      <c r="AQ3161" s="314"/>
      <c r="AR3161" s="315" t="str">
        <f t="shared" si="86"/>
        <v/>
      </c>
    </row>
    <row r="3162" spans="37:44" ht="30" hidden="1" customHeight="1" x14ac:dyDescent="0.25">
      <c r="AK3162" s="313"/>
      <c r="AL3162" s="313"/>
      <c r="AM3162" s="313"/>
      <c r="AN3162" s="313"/>
      <c r="AO3162" s="313"/>
      <c r="AP3162" s="313"/>
      <c r="AQ3162" s="314"/>
      <c r="AR3162" s="315" t="str">
        <f t="shared" si="86"/>
        <v/>
      </c>
    </row>
    <row r="3163" spans="37:44" ht="30" hidden="1" customHeight="1" x14ac:dyDescent="0.25">
      <c r="AK3163" s="313"/>
      <c r="AL3163" s="313"/>
      <c r="AM3163" s="313"/>
      <c r="AN3163" s="313"/>
      <c r="AO3163" s="313"/>
      <c r="AP3163" s="313"/>
      <c r="AQ3163" s="314"/>
      <c r="AR3163" s="315" t="str">
        <f t="shared" si="86"/>
        <v/>
      </c>
    </row>
    <row r="3164" spans="37:44" ht="30" hidden="1" customHeight="1" x14ac:dyDescent="0.25">
      <c r="AK3164" s="313"/>
      <c r="AL3164" s="313"/>
      <c r="AM3164" s="313"/>
      <c r="AN3164" s="313"/>
      <c r="AO3164" s="313"/>
      <c r="AP3164" s="313"/>
      <c r="AQ3164" s="314"/>
      <c r="AR3164" s="315" t="str">
        <f t="shared" si="86"/>
        <v/>
      </c>
    </row>
    <row r="3165" spans="37:44" ht="30" hidden="1" customHeight="1" x14ac:dyDescent="0.25">
      <c r="AK3165" s="313"/>
      <c r="AL3165" s="313"/>
      <c r="AM3165" s="313"/>
      <c r="AN3165" s="313"/>
      <c r="AO3165" s="313"/>
      <c r="AP3165" s="313"/>
      <c r="AQ3165" s="314"/>
      <c r="AR3165" s="315" t="str">
        <f t="shared" si="86"/>
        <v/>
      </c>
    </row>
    <row r="3166" spans="37:44" ht="30" hidden="1" customHeight="1" x14ac:dyDescent="0.25">
      <c r="AK3166" s="313"/>
      <c r="AL3166" s="313"/>
      <c r="AM3166" s="313"/>
      <c r="AN3166" s="313"/>
      <c r="AO3166" s="313"/>
      <c r="AP3166" s="313"/>
      <c r="AQ3166" s="314"/>
      <c r="AR3166" s="315" t="str">
        <f t="shared" si="86"/>
        <v/>
      </c>
    </row>
    <row r="3167" spans="37:44" ht="30" hidden="1" customHeight="1" x14ac:dyDescent="0.25">
      <c r="AK3167" s="313"/>
      <c r="AL3167" s="313"/>
      <c r="AM3167" s="313"/>
      <c r="AN3167" s="313"/>
      <c r="AO3167" s="313"/>
      <c r="AP3167" s="313"/>
      <c r="AQ3167" s="314"/>
      <c r="AR3167" s="315" t="str">
        <f t="shared" si="86"/>
        <v/>
      </c>
    </row>
    <row r="3168" spans="37:44" ht="30" hidden="1" customHeight="1" x14ac:dyDescent="0.25">
      <c r="AK3168" s="313"/>
      <c r="AL3168" s="313"/>
      <c r="AM3168" s="313"/>
      <c r="AN3168" s="313"/>
      <c r="AO3168" s="313"/>
      <c r="AP3168" s="313"/>
      <c r="AQ3168" s="314"/>
      <c r="AR3168" s="315" t="str">
        <f t="shared" si="86"/>
        <v/>
      </c>
    </row>
    <row r="3169" spans="37:44" ht="30" hidden="1" customHeight="1" x14ac:dyDescent="0.25">
      <c r="AK3169" s="313"/>
      <c r="AL3169" s="313"/>
      <c r="AM3169" s="313"/>
      <c r="AN3169" s="313"/>
      <c r="AO3169" s="313"/>
      <c r="AP3169" s="313"/>
      <c r="AQ3169" s="314"/>
      <c r="AR3169" s="315" t="str">
        <f t="shared" si="86"/>
        <v/>
      </c>
    </row>
    <row r="3170" spans="37:44" ht="30" hidden="1" customHeight="1" x14ac:dyDescent="0.25">
      <c r="AK3170" s="313"/>
      <c r="AL3170" s="313"/>
      <c r="AM3170" s="313"/>
      <c r="AN3170" s="313"/>
      <c r="AO3170" s="313"/>
      <c r="AP3170" s="313"/>
      <c r="AQ3170" s="314"/>
      <c r="AR3170" s="315" t="str">
        <f t="shared" si="86"/>
        <v/>
      </c>
    </row>
    <row r="3171" spans="37:44" ht="30" hidden="1" customHeight="1" x14ac:dyDescent="0.25">
      <c r="AK3171" s="313"/>
      <c r="AL3171" s="313"/>
      <c r="AM3171" s="313"/>
      <c r="AN3171" s="313"/>
      <c r="AO3171" s="313"/>
      <c r="AP3171" s="313"/>
      <c r="AQ3171" s="314"/>
      <c r="AR3171" s="315" t="str">
        <f t="shared" si="86"/>
        <v/>
      </c>
    </row>
    <row r="3172" spans="37:44" ht="30" hidden="1" customHeight="1" x14ac:dyDescent="0.25">
      <c r="AK3172" s="313"/>
      <c r="AL3172" s="313"/>
      <c r="AM3172" s="313"/>
      <c r="AN3172" s="313"/>
      <c r="AO3172" s="313"/>
      <c r="AP3172" s="313"/>
      <c r="AQ3172" s="314"/>
      <c r="AR3172" s="315" t="str">
        <f t="shared" si="86"/>
        <v/>
      </c>
    </row>
    <row r="3173" spans="37:44" ht="30" hidden="1" customHeight="1" x14ac:dyDescent="0.25">
      <c r="AK3173" s="313"/>
      <c r="AL3173" s="313"/>
      <c r="AM3173" s="313"/>
      <c r="AN3173" s="313"/>
      <c r="AO3173" s="313"/>
      <c r="AP3173" s="313"/>
      <c r="AQ3173" s="314"/>
      <c r="AR3173" s="315" t="str">
        <f t="shared" si="86"/>
        <v/>
      </c>
    </row>
    <row r="3174" spans="37:44" ht="30" hidden="1" customHeight="1" x14ac:dyDescent="0.25">
      <c r="AK3174" s="313"/>
      <c r="AL3174" s="313"/>
      <c r="AM3174" s="313"/>
      <c r="AN3174" s="313"/>
      <c r="AO3174" s="313"/>
      <c r="AP3174" s="313"/>
      <c r="AQ3174" s="314"/>
      <c r="AR3174" s="315" t="str">
        <f t="shared" si="86"/>
        <v/>
      </c>
    </row>
    <row r="3175" spans="37:44" ht="30" hidden="1" customHeight="1" x14ac:dyDescent="0.25">
      <c r="AK3175" s="313"/>
      <c r="AL3175" s="313"/>
      <c r="AM3175" s="313"/>
      <c r="AN3175" s="313"/>
      <c r="AO3175" s="313"/>
      <c r="AP3175" s="313"/>
      <c r="AQ3175" s="314"/>
      <c r="AR3175" s="315" t="str">
        <f t="shared" si="86"/>
        <v/>
      </c>
    </row>
    <row r="3176" spans="37:44" ht="30" hidden="1" customHeight="1" x14ac:dyDescent="0.25">
      <c r="AK3176" s="313"/>
      <c r="AL3176" s="313"/>
      <c r="AM3176" s="313"/>
      <c r="AN3176" s="313"/>
      <c r="AO3176" s="313"/>
      <c r="AP3176" s="313"/>
      <c r="AQ3176" s="314"/>
      <c r="AR3176" s="315" t="str">
        <f t="shared" si="86"/>
        <v/>
      </c>
    </row>
    <row r="3177" spans="37:44" ht="30" hidden="1" customHeight="1" x14ac:dyDescent="0.25">
      <c r="AK3177" s="313"/>
      <c r="AL3177" s="313"/>
      <c r="AM3177" s="313"/>
      <c r="AN3177" s="313"/>
      <c r="AO3177" s="313"/>
      <c r="AP3177" s="313"/>
      <c r="AQ3177" s="314"/>
      <c r="AR3177" s="315" t="str">
        <f t="shared" si="86"/>
        <v/>
      </c>
    </row>
    <row r="3178" spans="37:44" ht="30" hidden="1" customHeight="1" x14ac:dyDescent="0.25">
      <c r="AK3178" s="313"/>
      <c r="AL3178" s="313"/>
      <c r="AM3178" s="313"/>
      <c r="AN3178" s="313"/>
      <c r="AO3178" s="313"/>
      <c r="AP3178" s="313"/>
      <c r="AQ3178" s="314"/>
      <c r="AR3178" s="315" t="str">
        <f t="shared" si="86"/>
        <v/>
      </c>
    </row>
    <row r="3179" spans="37:44" ht="30" hidden="1" customHeight="1" x14ac:dyDescent="0.25">
      <c r="AK3179" s="313"/>
      <c r="AL3179" s="313"/>
      <c r="AM3179" s="313"/>
      <c r="AN3179" s="313"/>
      <c r="AO3179" s="313"/>
      <c r="AP3179" s="313"/>
      <c r="AQ3179" s="314"/>
      <c r="AR3179" s="315" t="str">
        <f t="shared" si="86"/>
        <v/>
      </c>
    </row>
    <row r="3180" spans="37:44" ht="30" hidden="1" customHeight="1" x14ac:dyDescent="0.25">
      <c r="AK3180" s="313"/>
      <c r="AL3180" s="313"/>
      <c r="AM3180" s="313"/>
      <c r="AN3180" s="313"/>
      <c r="AO3180" s="313"/>
      <c r="AP3180" s="313"/>
      <c r="AQ3180" s="314"/>
      <c r="AR3180" s="315" t="str">
        <f t="shared" si="86"/>
        <v/>
      </c>
    </row>
    <row r="3181" spans="37:44" ht="30" hidden="1" customHeight="1" x14ac:dyDescent="0.25">
      <c r="AK3181" s="313"/>
      <c r="AL3181" s="313"/>
      <c r="AM3181" s="313"/>
      <c r="AN3181" s="313"/>
      <c r="AO3181" s="313"/>
      <c r="AP3181" s="313"/>
      <c r="AQ3181" s="314"/>
      <c r="AR3181" s="315" t="str">
        <f t="shared" si="86"/>
        <v/>
      </c>
    </row>
    <row r="3182" spans="37:44" ht="30" hidden="1" customHeight="1" x14ac:dyDescent="0.25">
      <c r="AK3182" s="313"/>
      <c r="AL3182" s="313"/>
      <c r="AM3182" s="313"/>
      <c r="AN3182" s="313"/>
      <c r="AO3182" s="313"/>
      <c r="AP3182" s="313"/>
      <c r="AQ3182" s="314"/>
      <c r="AR3182" s="315" t="str">
        <f t="shared" si="86"/>
        <v/>
      </c>
    </row>
    <row r="3183" spans="37:44" ht="30" hidden="1" customHeight="1" x14ac:dyDescent="0.25">
      <c r="AK3183" s="313"/>
      <c r="AL3183" s="313"/>
      <c r="AM3183" s="313"/>
      <c r="AN3183" s="313"/>
      <c r="AO3183" s="313"/>
      <c r="AP3183" s="313"/>
      <c r="AQ3183" s="314"/>
      <c r="AR3183" s="315" t="str">
        <f t="shared" si="86"/>
        <v/>
      </c>
    </row>
    <row r="3184" spans="37:44" ht="30" hidden="1" customHeight="1" x14ac:dyDescent="0.25">
      <c r="AK3184" s="313"/>
      <c r="AL3184" s="313"/>
      <c r="AM3184" s="313"/>
      <c r="AN3184" s="313"/>
      <c r="AO3184" s="313"/>
      <c r="AP3184" s="313"/>
      <c r="AQ3184" s="314"/>
      <c r="AR3184" s="315" t="str">
        <f t="shared" si="86"/>
        <v/>
      </c>
    </row>
    <row r="3185" spans="37:44" ht="30" hidden="1" customHeight="1" x14ac:dyDescent="0.25">
      <c r="AK3185" s="313"/>
      <c r="AL3185" s="313"/>
      <c r="AM3185" s="313"/>
      <c r="AN3185" s="313"/>
      <c r="AO3185" s="313"/>
      <c r="AP3185" s="313"/>
      <c r="AQ3185" s="314"/>
      <c r="AR3185" s="315" t="str">
        <f t="shared" si="86"/>
        <v/>
      </c>
    </row>
    <row r="3186" spans="37:44" ht="30" hidden="1" customHeight="1" x14ac:dyDescent="0.25">
      <c r="AK3186" s="313"/>
      <c r="AL3186" s="313"/>
      <c r="AM3186" s="313"/>
      <c r="AN3186" s="313"/>
      <c r="AO3186" s="313"/>
      <c r="AP3186" s="313"/>
      <c r="AQ3186" s="314"/>
      <c r="AR3186" s="315" t="str">
        <f t="shared" si="86"/>
        <v/>
      </c>
    </row>
    <row r="3187" spans="37:44" ht="30" hidden="1" customHeight="1" x14ac:dyDescent="0.25">
      <c r="AK3187" s="313"/>
      <c r="AL3187" s="313"/>
      <c r="AM3187" s="313"/>
      <c r="AN3187" s="313"/>
      <c r="AO3187" s="313"/>
      <c r="AP3187" s="313"/>
      <c r="AQ3187" s="314"/>
      <c r="AR3187" s="315" t="str">
        <f t="shared" si="86"/>
        <v/>
      </c>
    </row>
    <row r="3188" spans="37:44" ht="30" hidden="1" customHeight="1" x14ac:dyDescent="0.25">
      <c r="AK3188" s="313"/>
      <c r="AL3188" s="313"/>
      <c r="AM3188" s="313"/>
      <c r="AN3188" s="313"/>
      <c r="AO3188" s="313"/>
      <c r="AP3188" s="313"/>
      <c r="AQ3188" s="314"/>
      <c r="AR3188" s="315" t="str">
        <f t="shared" si="86"/>
        <v/>
      </c>
    </row>
    <row r="3189" spans="37:44" ht="30" hidden="1" customHeight="1" x14ac:dyDescent="0.25">
      <c r="AK3189" s="313"/>
      <c r="AL3189" s="313"/>
      <c r="AM3189" s="313"/>
      <c r="AN3189" s="313"/>
      <c r="AO3189" s="313"/>
      <c r="AP3189" s="313"/>
      <c r="AQ3189" s="314"/>
      <c r="AR3189" s="315" t="str">
        <f t="shared" si="86"/>
        <v/>
      </c>
    </row>
    <row r="3190" spans="37:44" ht="30" hidden="1" customHeight="1" x14ac:dyDescent="0.25">
      <c r="AK3190" s="313"/>
      <c r="AL3190" s="313"/>
      <c r="AM3190" s="313"/>
      <c r="AN3190" s="313"/>
      <c r="AO3190" s="313"/>
      <c r="AP3190" s="313"/>
      <c r="AQ3190" s="314"/>
      <c r="AR3190" s="315" t="str">
        <f t="shared" si="86"/>
        <v/>
      </c>
    </row>
    <row r="3191" spans="37:44" ht="30" hidden="1" customHeight="1" x14ac:dyDescent="0.25">
      <c r="AK3191" s="313"/>
      <c r="AL3191" s="313"/>
      <c r="AM3191" s="313"/>
      <c r="AN3191" s="313"/>
      <c r="AO3191" s="313"/>
      <c r="AP3191" s="313"/>
      <c r="AQ3191" s="314"/>
      <c r="AR3191" s="315" t="str">
        <f t="shared" si="86"/>
        <v/>
      </c>
    </row>
    <row r="3192" spans="37:44" ht="30" hidden="1" customHeight="1" x14ac:dyDescent="0.25">
      <c r="AK3192" s="313"/>
      <c r="AL3192" s="313"/>
      <c r="AM3192" s="313"/>
      <c r="AN3192" s="313"/>
      <c r="AO3192" s="313"/>
      <c r="AP3192" s="313"/>
      <c r="AQ3192" s="314"/>
      <c r="AR3192" s="315" t="str">
        <f t="shared" si="86"/>
        <v/>
      </c>
    </row>
    <row r="3193" spans="37:44" ht="30" hidden="1" customHeight="1" x14ac:dyDescent="0.25">
      <c r="AK3193" s="313"/>
      <c r="AL3193" s="313"/>
      <c r="AM3193" s="313"/>
      <c r="AN3193" s="313"/>
      <c r="AO3193" s="313"/>
      <c r="AP3193" s="313"/>
      <c r="AQ3193" s="314"/>
      <c r="AR3193" s="315" t="str">
        <f t="shared" si="86"/>
        <v/>
      </c>
    </row>
    <row r="3194" spans="37:44" ht="30" hidden="1" customHeight="1" x14ac:dyDescent="0.25">
      <c r="AK3194" s="313"/>
      <c r="AL3194" s="313"/>
      <c r="AM3194" s="313"/>
      <c r="AN3194" s="313"/>
      <c r="AO3194" s="313"/>
      <c r="AP3194" s="313"/>
      <c r="AQ3194" s="314"/>
      <c r="AR3194" s="315" t="str">
        <f t="shared" si="86"/>
        <v/>
      </c>
    </row>
    <row r="3195" spans="37:44" ht="30" hidden="1" customHeight="1" x14ac:dyDescent="0.25">
      <c r="AK3195" s="313"/>
      <c r="AL3195" s="313"/>
      <c r="AM3195" s="313"/>
      <c r="AN3195" s="313"/>
      <c r="AO3195" s="313"/>
      <c r="AP3195" s="313"/>
      <c r="AQ3195" s="314"/>
      <c r="AR3195" s="315" t="str">
        <f t="shared" si="86"/>
        <v/>
      </c>
    </row>
    <row r="3196" spans="37:44" ht="30" hidden="1" customHeight="1" x14ac:dyDescent="0.25">
      <c r="AK3196" s="313"/>
      <c r="AL3196" s="313"/>
      <c r="AM3196" s="313"/>
      <c r="AN3196" s="313"/>
      <c r="AO3196" s="313"/>
      <c r="AP3196" s="313"/>
      <c r="AQ3196" s="314"/>
      <c r="AR3196" s="315" t="str">
        <f t="shared" si="86"/>
        <v/>
      </c>
    </row>
    <row r="3197" spans="37:44" ht="30" hidden="1" customHeight="1" x14ac:dyDescent="0.25">
      <c r="AK3197" s="313"/>
      <c r="AL3197" s="313"/>
      <c r="AM3197" s="313"/>
      <c r="AN3197" s="313"/>
      <c r="AO3197" s="313"/>
      <c r="AP3197" s="313"/>
      <c r="AQ3197" s="314"/>
      <c r="AR3197" s="315" t="str">
        <f t="shared" si="86"/>
        <v/>
      </c>
    </row>
    <row r="3198" spans="37:44" ht="30" hidden="1" customHeight="1" x14ac:dyDescent="0.25">
      <c r="AK3198" s="313"/>
      <c r="AL3198" s="313"/>
      <c r="AM3198" s="313"/>
      <c r="AN3198" s="313"/>
      <c r="AO3198" s="313"/>
      <c r="AP3198" s="313"/>
      <c r="AQ3198" s="314"/>
      <c r="AR3198" s="315" t="str">
        <f t="shared" si="86"/>
        <v/>
      </c>
    </row>
    <row r="3199" spans="37:44" ht="30" hidden="1" customHeight="1" x14ac:dyDescent="0.25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87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 x14ac:dyDescent="0.25">
      <c r="AK3200" s="313"/>
      <c r="AL3200" s="313"/>
      <c r="AM3200" s="313"/>
      <c r="AN3200" s="313"/>
      <c r="AO3200" s="313"/>
      <c r="AP3200" s="313"/>
      <c r="AQ3200" s="314"/>
      <c r="AR3200" s="315" t="str">
        <f t="shared" si="87"/>
        <v/>
      </c>
    </row>
    <row r="3201" spans="37:44" ht="30" hidden="1" customHeight="1" x14ac:dyDescent="0.25">
      <c r="AK3201" s="313"/>
      <c r="AL3201" s="313"/>
      <c r="AM3201" s="313"/>
      <c r="AN3201" s="313"/>
      <c r="AO3201" s="313"/>
      <c r="AP3201" s="313"/>
      <c r="AQ3201" s="314"/>
      <c r="AR3201" s="315" t="str">
        <f t="shared" si="87"/>
        <v/>
      </c>
    </row>
    <row r="3202" spans="37:44" ht="30" hidden="1" customHeight="1" x14ac:dyDescent="0.25">
      <c r="AK3202" s="313"/>
      <c r="AL3202" s="313"/>
      <c r="AM3202" s="313"/>
      <c r="AN3202" s="313"/>
      <c r="AO3202" s="313"/>
      <c r="AP3202" s="313"/>
      <c r="AQ3202" s="314"/>
      <c r="AR3202" s="315" t="str">
        <f t="shared" si="87"/>
        <v/>
      </c>
    </row>
    <row r="3203" spans="37:44" ht="30" hidden="1" customHeight="1" x14ac:dyDescent="0.25">
      <c r="AK3203" s="313"/>
      <c r="AL3203" s="313"/>
      <c r="AM3203" s="313"/>
      <c r="AN3203" s="313"/>
      <c r="AO3203" s="313"/>
      <c r="AP3203" s="313"/>
      <c r="AQ3203" s="314"/>
      <c r="AR3203" s="315" t="str">
        <f t="shared" si="87"/>
        <v/>
      </c>
    </row>
    <row r="3204" spans="37:44" ht="30" hidden="1" customHeight="1" x14ac:dyDescent="0.25">
      <c r="AK3204" s="313"/>
      <c r="AL3204" s="313"/>
      <c r="AM3204" s="313"/>
      <c r="AN3204" s="313"/>
      <c r="AO3204" s="313"/>
      <c r="AP3204" s="313"/>
      <c r="AQ3204" s="314"/>
      <c r="AR3204" s="315" t="str">
        <f t="shared" si="87"/>
        <v/>
      </c>
    </row>
    <row r="3205" spans="37:44" ht="30" hidden="1" customHeight="1" x14ac:dyDescent="0.25">
      <c r="AK3205" s="313"/>
      <c r="AL3205" s="313"/>
      <c r="AM3205" s="313"/>
      <c r="AN3205" s="313"/>
      <c r="AO3205" s="313"/>
      <c r="AP3205" s="313"/>
      <c r="AQ3205" s="314"/>
      <c r="AR3205" s="315" t="str">
        <f t="shared" si="87"/>
        <v/>
      </c>
    </row>
    <row r="3206" spans="37:44" ht="30" hidden="1" customHeight="1" x14ac:dyDescent="0.25">
      <c r="AK3206" s="313"/>
      <c r="AL3206" s="313"/>
      <c r="AM3206" s="313"/>
      <c r="AN3206" s="313"/>
      <c r="AO3206" s="313"/>
      <c r="AP3206" s="313"/>
      <c r="AQ3206" s="314"/>
      <c r="AR3206" s="315" t="str">
        <f t="shared" si="87"/>
        <v/>
      </c>
    </row>
    <row r="3207" spans="37:44" ht="30" hidden="1" customHeight="1" x14ac:dyDescent="0.25">
      <c r="AK3207" s="313"/>
      <c r="AL3207" s="313"/>
      <c r="AM3207" s="313"/>
      <c r="AN3207" s="313"/>
      <c r="AO3207" s="313"/>
      <c r="AP3207" s="313"/>
      <c r="AQ3207" s="314"/>
      <c r="AR3207" s="315" t="str">
        <f t="shared" si="87"/>
        <v/>
      </c>
    </row>
    <row r="3208" spans="37:44" ht="30" hidden="1" customHeight="1" x14ac:dyDescent="0.25">
      <c r="AK3208" s="313"/>
      <c r="AL3208" s="313"/>
      <c r="AM3208" s="313"/>
      <c r="AN3208" s="313"/>
      <c r="AO3208" s="313"/>
      <c r="AP3208" s="313"/>
      <c r="AQ3208" s="314"/>
      <c r="AR3208" s="315" t="str">
        <f t="shared" si="87"/>
        <v/>
      </c>
    </row>
    <row r="3209" spans="37:44" ht="30" hidden="1" customHeight="1" x14ac:dyDescent="0.25">
      <c r="AK3209" s="313"/>
      <c r="AL3209" s="313"/>
      <c r="AM3209" s="313"/>
      <c r="AN3209" s="313"/>
      <c r="AO3209" s="313"/>
      <c r="AP3209" s="313"/>
      <c r="AQ3209" s="314"/>
      <c r="AR3209" s="315" t="str">
        <f t="shared" si="87"/>
        <v/>
      </c>
    </row>
    <row r="3210" spans="37:44" ht="30" hidden="1" customHeight="1" x14ac:dyDescent="0.25">
      <c r="AK3210" s="313"/>
      <c r="AL3210" s="313"/>
      <c r="AM3210" s="313"/>
      <c r="AN3210" s="313"/>
      <c r="AO3210" s="313"/>
      <c r="AP3210" s="313"/>
      <c r="AQ3210" s="314"/>
      <c r="AR3210" s="315" t="str">
        <f t="shared" si="87"/>
        <v/>
      </c>
    </row>
    <row r="3211" spans="37:44" ht="30" hidden="1" customHeight="1" x14ac:dyDescent="0.25">
      <c r="AK3211" s="313"/>
      <c r="AL3211" s="313"/>
      <c r="AM3211" s="313"/>
      <c r="AN3211" s="313"/>
      <c r="AO3211" s="313"/>
      <c r="AP3211" s="313"/>
      <c r="AQ3211" s="314"/>
      <c r="AR3211" s="315" t="str">
        <f t="shared" si="87"/>
        <v/>
      </c>
    </row>
    <row r="3212" spans="37:44" ht="30" hidden="1" customHeight="1" x14ac:dyDescent="0.25">
      <c r="AK3212" s="313"/>
      <c r="AL3212" s="313"/>
      <c r="AM3212" s="313"/>
      <c r="AN3212" s="313"/>
      <c r="AO3212" s="313"/>
      <c r="AP3212" s="313"/>
      <c r="AQ3212" s="314"/>
      <c r="AR3212" s="315" t="str">
        <f t="shared" si="87"/>
        <v/>
      </c>
    </row>
    <row r="3213" spans="37:44" ht="30" hidden="1" customHeight="1" x14ac:dyDescent="0.25">
      <c r="AK3213" s="313"/>
      <c r="AL3213" s="313"/>
      <c r="AM3213" s="313"/>
      <c r="AN3213" s="313"/>
      <c r="AO3213" s="313"/>
      <c r="AP3213" s="313"/>
      <c r="AQ3213" s="314"/>
      <c r="AR3213" s="315" t="str">
        <f t="shared" si="87"/>
        <v/>
      </c>
    </row>
    <row r="3214" spans="37:44" ht="30" hidden="1" customHeight="1" x14ac:dyDescent="0.25">
      <c r="AK3214" s="313"/>
      <c r="AL3214" s="313"/>
      <c r="AM3214" s="313"/>
      <c r="AN3214" s="313"/>
      <c r="AO3214" s="313"/>
      <c r="AP3214" s="313"/>
      <c r="AQ3214" s="314"/>
      <c r="AR3214" s="315" t="str">
        <f t="shared" si="87"/>
        <v/>
      </c>
    </row>
    <row r="3215" spans="37:44" ht="30" hidden="1" customHeight="1" x14ac:dyDescent="0.25">
      <c r="AK3215" s="313"/>
      <c r="AL3215" s="313"/>
      <c r="AM3215" s="313"/>
      <c r="AN3215" s="313"/>
      <c r="AO3215" s="313"/>
      <c r="AP3215" s="313"/>
      <c r="AQ3215" s="314"/>
      <c r="AR3215" s="315" t="str">
        <f t="shared" si="87"/>
        <v/>
      </c>
    </row>
    <row r="3216" spans="37:44" ht="30" hidden="1" customHeight="1" x14ac:dyDescent="0.25">
      <c r="AK3216" s="313"/>
      <c r="AL3216" s="313"/>
      <c r="AM3216" s="313"/>
      <c r="AN3216" s="313"/>
      <c r="AO3216" s="313"/>
      <c r="AP3216" s="313"/>
      <c r="AQ3216" s="314"/>
      <c r="AR3216" s="315" t="str">
        <f t="shared" si="87"/>
        <v/>
      </c>
    </row>
    <row r="3217" spans="37:44" ht="30" hidden="1" customHeight="1" x14ac:dyDescent="0.25">
      <c r="AK3217" s="313"/>
      <c r="AL3217" s="313"/>
      <c r="AM3217" s="313"/>
      <c r="AN3217" s="313"/>
      <c r="AO3217" s="313"/>
      <c r="AP3217" s="313"/>
      <c r="AQ3217" s="314"/>
      <c r="AR3217" s="315" t="str">
        <f t="shared" si="87"/>
        <v/>
      </c>
    </row>
    <row r="3218" spans="37:44" ht="30" hidden="1" customHeight="1" x14ac:dyDescent="0.25">
      <c r="AK3218" s="313"/>
      <c r="AL3218" s="313"/>
      <c r="AM3218" s="313"/>
      <c r="AN3218" s="313"/>
      <c r="AO3218" s="313"/>
      <c r="AP3218" s="313"/>
      <c r="AQ3218" s="314"/>
      <c r="AR3218" s="315" t="str">
        <f t="shared" si="87"/>
        <v/>
      </c>
    </row>
    <row r="3219" spans="37:44" ht="30" hidden="1" customHeight="1" x14ac:dyDescent="0.25">
      <c r="AK3219" s="313"/>
      <c r="AL3219" s="313"/>
      <c r="AM3219" s="313"/>
      <c r="AN3219" s="313"/>
      <c r="AO3219" s="313"/>
      <c r="AP3219" s="313"/>
      <c r="AQ3219" s="314"/>
      <c r="AR3219" s="315" t="str">
        <f t="shared" si="87"/>
        <v/>
      </c>
    </row>
    <row r="3220" spans="37:44" ht="30" hidden="1" customHeight="1" x14ac:dyDescent="0.25">
      <c r="AK3220" s="313"/>
      <c r="AL3220" s="313"/>
      <c r="AM3220" s="313"/>
      <c r="AN3220" s="313"/>
      <c r="AO3220" s="313"/>
      <c r="AP3220" s="313"/>
      <c r="AQ3220" s="314"/>
      <c r="AR3220" s="315" t="str">
        <f t="shared" si="87"/>
        <v/>
      </c>
    </row>
    <row r="3221" spans="37:44" ht="30" hidden="1" customHeight="1" x14ac:dyDescent="0.25">
      <c r="AK3221" s="313"/>
      <c r="AL3221" s="313"/>
      <c r="AM3221" s="313"/>
      <c r="AN3221" s="313"/>
      <c r="AO3221" s="313"/>
      <c r="AP3221" s="313"/>
      <c r="AQ3221" s="314"/>
      <c r="AR3221" s="315" t="str">
        <f t="shared" si="87"/>
        <v/>
      </c>
    </row>
    <row r="3222" spans="37:44" ht="30" hidden="1" customHeight="1" x14ac:dyDescent="0.25">
      <c r="AK3222" s="313"/>
      <c r="AL3222" s="313"/>
      <c r="AM3222" s="313"/>
      <c r="AN3222" s="313"/>
      <c r="AO3222" s="313"/>
      <c r="AP3222" s="313"/>
      <c r="AQ3222" s="314"/>
      <c r="AR3222" s="315" t="str">
        <f t="shared" si="87"/>
        <v/>
      </c>
    </row>
    <row r="3223" spans="37:44" ht="30" hidden="1" customHeight="1" x14ac:dyDescent="0.25">
      <c r="AK3223" s="313"/>
      <c r="AL3223" s="313"/>
      <c r="AM3223" s="313"/>
      <c r="AN3223" s="313"/>
      <c r="AO3223" s="313"/>
      <c r="AP3223" s="313"/>
      <c r="AQ3223" s="314"/>
      <c r="AR3223" s="315" t="str">
        <f t="shared" si="87"/>
        <v/>
      </c>
    </row>
    <row r="3224" spans="37:44" ht="30" hidden="1" customHeight="1" x14ac:dyDescent="0.25">
      <c r="AK3224" s="313"/>
      <c r="AL3224" s="313"/>
      <c r="AM3224" s="313"/>
      <c r="AN3224" s="313"/>
      <c r="AO3224" s="313"/>
      <c r="AP3224" s="313"/>
      <c r="AQ3224" s="314"/>
      <c r="AR3224" s="315" t="str">
        <f t="shared" si="87"/>
        <v/>
      </c>
    </row>
    <row r="3225" spans="37:44" ht="30" hidden="1" customHeight="1" x14ac:dyDescent="0.25">
      <c r="AK3225" s="313"/>
      <c r="AL3225" s="313"/>
      <c r="AM3225" s="313"/>
      <c r="AN3225" s="313"/>
      <c r="AO3225" s="313"/>
      <c r="AP3225" s="313"/>
      <c r="AQ3225" s="314"/>
      <c r="AR3225" s="315" t="str">
        <f t="shared" si="87"/>
        <v/>
      </c>
    </row>
    <row r="3226" spans="37:44" ht="30" hidden="1" customHeight="1" x14ac:dyDescent="0.25">
      <c r="AK3226" s="313"/>
      <c r="AL3226" s="313"/>
      <c r="AM3226" s="313"/>
      <c r="AN3226" s="313"/>
      <c r="AO3226" s="313"/>
      <c r="AP3226" s="313"/>
      <c r="AQ3226" s="314"/>
      <c r="AR3226" s="315" t="str">
        <f t="shared" si="87"/>
        <v/>
      </c>
    </row>
    <row r="3227" spans="37:44" ht="30" hidden="1" customHeight="1" x14ac:dyDescent="0.25">
      <c r="AK3227" s="313"/>
      <c r="AL3227" s="313"/>
      <c r="AM3227" s="313"/>
      <c r="AN3227" s="313"/>
      <c r="AO3227" s="313"/>
      <c r="AP3227" s="313"/>
      <c r="AQ3227" s="314"/>
      <c r="AR3227" s="315" t="str">
        <f t="shared" si="87"/>
        <v/>
      </c>
    </row>
    <row r="3228" spans="37:44" ht="30" hidden="1" customHeight="1" x14ac:dyDescent="0.25">
      <c r="AK3228" s="313"/>
      <c r="AL3228" s="313"/>
      <c r="AM3228" s="313"/>
      <c r="AN3228" s="313"/>
      <c r="AO3228" s="313"/>
      <c r="AP3228" s="313"/>
      <c r="AQ3228" s="314"/>
      <c r="AR3228" s="315" t="str">
        <f t="shared" si="87"/>
        <v/>
      </c>
    </row>
    <row r="3229" spans="37:44" ht="30" hidden="1" customHeight="1" x14ac:dyDescent="0.25">
      <c r="AK3229" s="313"/>
      <c r="AL3229" s="313"/>
      <c r="AM3229" s="313"/>
      <c r="AN3229" s="313"/>
      <c r="AO3229" s="313"/>
      <c r="AP3229" s="313"/>
      <c r="AQ3229" s="314"/>
      <c r="AR3229" s="315" t="str">
        <f t="shared" si="87"/>
        <v/>
      </c>
    </row>
    <row r="3230" spans="37:44" ht="30" hidden="1" customHeight="1" x14ac:dyDescent="0.25">
      <c r="AK3230" s="313"/>
      <c r="AL3230" s="313"/>
      <c r="AM3230" s="313"/>
      <c r="AN3230" s="313"/>
      <c r="AO3230" s="313"/>
      <c r="AP3230" s="313"/>
      <c r="AQ3230" s="314"/>
      <c r="AR3230" s="315" t="str">
        <f t="shared" si="87"/>
        <v/>
      </c>
    </row>
    <row r="3231" spans="37:44" ht="30" hidden="1" customHeight="1" x14ac:dyDescent="0.25">
      <c r="AK3231" s="313"/>
      <c r="AL3231" s="313"/>
      <c r="AM3231" s="313"/>
      <c r="AN3231" s="313"/>
      <c r="AO3231" s="313"/>
      <c r="AP3231" s="313"/>
      <c r="AQ3231" s="314"/>
      <c r="AR3231" s="315" t="str">
        <f t="shared" si="87"/>
        <v/>
      </c>
    </row>
    <row r="3232" spans="37:44" ht="30" hidden="1" customHeight="1" x14ac:dyDescent="0.25">
      <c r="AK3232" s="313"/>
      <c r="AL3232" s="313"/>
      <c r="AM3232" s="313"/>
      <c r="AN3232" s="313"/>
      <c r="AO3232" s="313"/>
      <c r="AP3232" s="313"/>
      <c r="AQ3232" s="314"/>
      <c r="AR3232" s="315" t="str">
        <f t="shared" si="87"/>
        <v/>
      </c>
    </row>
    <row r="3233" spans="37:44" ht="30" hidden="1" customHeight="1" x14ac:dyDescent="0.25">
      <c r="AK3233" s="313"/>
      <c r="AL3233" s="313"/>
      <c r="AM3233" s="313"/>
      <c r="AN3233" s="313"/>
      <c r="AO3233" s="313"/>
      <c r="AP3233" s="313"/>
      <c r="AQ3233" s="314"/>
      <c r="AR3233" s="315" t="str">
        <f t="shared" si="87"/>
        <v/>
      </c>
    </row>
    <row r="3234" spans="37:44" ht="30" hidden="1" customHeight="1" x14ac:dyDescent="0.25">
      <c r="AK3234" s="313"/>
      <c r="AL3234" s="313"/>
      <c r="AM3234" s="313"/>
      <c r="AN3234" s="313"/>
      <c r="AO3234" s="313"/>
      <c r="AP3234" s="313"/>
      <c r="AQ3234" s="314"/>
      <c r="AR3234" s="315" t="str">
        <f t="shared" si="87"/>
        <v/>
      </c>
    </row>
    <row r="3235" spans="37:44" ht="30" hidden="1" customHeight="1" x14ac:dyDescent="0.25">
      <c r="AK3235" s="313"/>
      <c r="AL3235" s="313"/>
      <c r="AM3235" s="313"/>
      <c r="AN3235" s="313"/>
      <c r="AO3235" s="313"/>
      <c r="AP3235" s="313"/>
      <c r="AQ3235" s="314"/>
      <c r="AR3235" s="315" t="str">
        <f t="shared" si="87"/>
        <v/>
      </c>
    </row>
    <row r="3236" spans="37:44" ht="30" hidden="1" customHeight="1" x14ac:dyDescent="0.25">
      <c r="AK3236" s="313"/>
      <c r="AL3236" s="313"/>
      <c r="AM3236" s="313"/>
      <c r="AN3236" s="313"/>
      <c r="AO3236" s="313"/>
      <c r="AP3236" s="313"/>
      <c r="AQ3236" s="314"/>
      <c r="AR3236" s="315" t="str">
        <f t="shared" si="87"/>
        <v/>
      </c>
    </row>
    <row r="3237" spans="37:44" ht="30" hidden="1" customHeight="1" x14ac:dyDescent="0.25">
      <c r="AK3237" s="313"/>
      <c r="AL3237" s="313"/>
      <c r="AM3237" s="313"/>
      <c r="AN3237" s="313"/>
      <c r="AO3237" s="313"/>
      <c r="AP3237" s="313"/>
      <c r="AQ3237" s="314"/>
      <c r="AR3237" s="315" t="str">
        <f t="shared" si="87"/>
        <v/>
      </c>
    </row>
    <row r="3238" spans="37:44" ht="30" hidden="1" customHeight="1" x14ac:dyDescent="0.25">
      <c r="AK3238" s="313"/>
      <c r="AL3238" s="313"/>
      <c r="AM3238" s="313"/>
      <c r="AN3238" s="313"/>
      <c r="AO3238" s="313"/>
      <c r="AP3238" s="313"/>
      <c r="AQ3238" s="314"/>
      <c r="AR3238" s="315" t="str">
        <f t="shared" si="87"/>
        <v/>
      </c>
    </row>
    <row r="3239" spans="37:44" ht="30" hidden="1" customHeight="1" x14ac:dyDescent="0.25">
      <c r="AK3239" s="313"/>
      <c r="AL3239" s="313"/>
      <c r="AM3239" s="313"/>
      <c r="AN3239" s="313"/>
      <c r="AO3239" s="313"/>
      <c r="AP3239" s="313"/>
      <c r="AQ3239" s="314"/>
      <c r="AR3239" s="315" t="str">
        <f t="shared" si="87"/>
        <v/>
      </c>
    </row>
    <row r="3240" spans="37:44" ht="30" hidden="1" customHeight="1" x14ac:dyDescent="0.25">
      <c r="AK3240" s="313"/>
      <c r="AL3240" s="313"/>
      <c r="AM3240" s="313"/>
      <c r="AN3240" s="313"/>
      <c r="AO3240" s="313"/>
      <c r="AP3240" s="313"/>
      <c r="AQ3240" s="314"/>
      <c r="AR3240" s="315" t="str">
        <f t="shared" si="87"/>
        <v/>
      </c>
    </row>
    <row r="3241" spans="37:44" ht="30" hidden="1" customHeight="1" x14ac:dyDescent="0.25">
      <c r="AK3241" s="313"/>
      <c r="AL3241" s="313"/>
      <c r="AM3241" s="313"/>
      <c r="AN3241" s="313"/>
      <c r="AO3241" s="313"/>
      <c r="AP3241" s="313"/>
      <c r="AQ3241" s="314"/>
      <c r="AR3241" s="315" t="str">
        <f t="shared" si="87"/>
        <v/>
      </c>
    </row>
    <row r="3242" spans="37:44" ht="30" hidden="1" customHeight="1" x14ac:dyDescent="0.25">
      <c r="AK3242" s="313"/>
      <c r="AL3242" s="313"/>
      <c r="AM3242" s="313"/>
      <c r="AN3242" s="313"/>
      <c r="AO3242" s="313"/>
      <c r="AP3242" s="313"/>
      <c r="AQ3242" s="314"/>
      <c r="AR3242" s="315" t="str">
        <f t="shared" si="87"/>
        <v/>
      </c>
    </row>
    <row r="3243" spans="37:44" ht="30" hidden="1" customHeight="1" x14ac:dyDescent="0.25">
      <c r="AK3243" s="313"/>
      <c r="AL3243" s="313"/>
      <c r="AM3243" s="313"/>
      <c r="AN3243" s="313"/>
      <c r="AO3243" s="313"/>
      <c r="AP3243" s="313"/>
      <c r="AQ3243" s="314"/>
      <c r="AR3243" s="315" t="str">
        <f t="shared" si="87"/>
        <v/>
      </c>
    </row>
    <row r="3244" spans="37:44" ht="30" hidden="1" customHeight="1" x14ac:dyDescent="0.25">
      <c r="AK3244" s="313"/>
      <c r="AL3244" s="313"/>
      <c r="AM3244" s="313"/>
      <c r="AN3244" s="313"/>
      <c r="AO3244" s="313"/>
      <c r="AP3244" s="313"/>
      <c r="AQ3244" s="314"/>
      <c r="AR3244" s="315" t="str">
        <f t="shared" si="87"/>
        <v/>
      </c>
    </row>
    <row r="3245" spans="37:44" ht="30" hidden="1" customHeight="1" x14ac:dyDescent="0.25">
      <c r="AK3245" s="313"/>
      <c r="AL3245" s="313"/>
      <c r="AM3245" s="313"/>
      <c r="AN3245" s="313"/>
      <c r="AO3245" s="313"/>
      <c r="AP3245" s="313"/>
      <c r="AQ3245" s="314"/>
      <c r="AR3245" s="315" t="str">
        <f t="shared" si="87"/>
        <v/>
      </c>
    </row>
    <row r="3246" spans="37:44" ht="30" hidden="1" customHeight="1" x14ac:dyDescent="0.25">
      <c r="AK3246" s="313"/>
      <c r="AL3246" s="313"/>
      <c r="AM3246" s="313"/>
      <c r="AN3246" s="313"/>
      <c r="AO3246" s="313"/>
      <c r="AP3246" s="313"/>
      <c r="AQ3246" s="314"/>
      <c r="AR3246" s="315" t="str">
        <f t="shared" si="87"/>
        <v/>
      </c>
    </row>
    <row r="3247" spans="37:44" ht="30" hidden="1" customHeight="1" x14ac:dyDescent="0.25">
      <c r="AK3247" s="313"/>
      <c r="AL3247" s="313"/>
      <c r="AM3247" s="313"/>
      <c r="AN3247" s="313"/>
      <c r="AO3247" s="313"/>
      <c r="AP3247" s="313"/>
      <c r="AQ3247" s="314"/>
      <c r="AR3247" s="315" t="str">
        <f t="shared" si="87"/>
        <v/>
      </c>
    </row>
    <row r="3248" spans="37:44" ht="30" hidden="1" customHeight="1" x14ac:dyDescent="0.25">
      <c r="AK3248" s="313"/>
      <c r="AL3248" s="313"/>
      <c r="AM3248" s="313"/>
      <c r="AN3248" s="313"/>
      <c r="AO3248" s="313"/>
      <c r="AP3248" s="313"/>
      <c r="AQ3248" s="314"/>
      <c r="AR3248" s="315" t="str">
        <f t="shared" si="87"/>
        <v/>
      </c>
    </row>
    <row r="3249" spans="37:44" ht="30" hidden="1" customHeight="1" x14ac:dyDescent="0.25">
      <c r="AK3249" s="313"/>
      <c r="AL3249" s="313"/>
      <c r="AM3249" s="313"/>
      <c r="AN3249" s="313"/>
      <c r="AO3249" s="313"/>
      <c r="AP3249" s="313"/>
      <c r="AQ3249" s="314"/>
      <c r="AR3249" s="315" t="str">
        <f t="shared" si="87"/>
        <v/>
      </c>
    </row>
    <row r="3250" spans="37:44" ht="30" hidden="1" customHeight="1" x14ac:dyDescent="0.25">
      <c r="AK3250" s="313"/>
      <c r="AL3250" s="313"/>
      <c r="AM3250" s="313"/>
      <c r="AN3250" s="313"/>
      <c r="AO3250" s="313"/>
      <c r="AP3250" s="313"/>
      <c r="AQ3250" s="314"/>
      <c r="AR3250" s="315" t="str">
        <f t="shared" si="87"/>
        <v/>
      </c>
    </row>
    <row r="3251" spans="37:44" ht="30" hidden="1" customHeight="1" x14ac:dyDescent="0.25">
      <c r="AK3251" s="313"/>
      <c r="AL3251" s="313"/>
      <c r="AM3251" s="313"/>
      <c r="AN3251" s="313"/>
      <c r="AO3251" s="313"/>
      <c r="AP3251" s="313"/>
      <c r="AQ3251" s="314"/>
      <c r="AR3251" s="315" t="str">
        <f t="shared" si="87"/>
        <v/>
      </c>
    </row>
    <row r="3252" spans="37:44" ht="30" hidden="1" customHeight="1" x14ac:dyDescent="0.25">
      <c r="AK3252" s="313"/>
      <c r="AL3252" s="313"/>
      <c r="AM3252" s="313"/>
      <c r="AN3252" s="313"/>
      <c r="AO3252" s="313"/>
      <c r="AP3252" s="313"/>
      <c r="AQ3252" s="314"/>
      <c r="AR3252" s="315" t="str">
        <f t="shared" si="87"/>
        <v/>
      </c>
    </row>
    <row r="3253" spans="37:44" ht="30" hidden="1" customHeight="1" x14ac:dyDescent="0.25">
      <c r="AK3253" s="313"/>
      <c r="AL3253" s="313"/>
      <c r="AM3253" s="313"/>
      <c r="AN3253" s="313"/>
      <c r="AO3253" s="313"/>
      <c r="AP3253" s="313"/>
      <c r="AQ3253" s="314"/>
      <c r="AR3253" s="315" t="str">
        <f t="shared" si="87"/>
        <v/>
      </c>
    </row>
    <row r="3254" spans="37:44" ht="30" hidden="1" customHeight="1" x14ac:dyDescent="0.25">
      <c r="AK3254" s="313"/>
      <c r="AL3254" s="313"/>
      <c r="AM3254" s="313"/>
      <c r="AN3254" s="313"/>
      <c r="AO3254" s="313"/>
      <c r="AP3254" s="313"/>
      <c r="AQ3254" s="314"/>
      <c r="AR3254" s="315" t="str">
        <f t="shared" si="87"/>
        <v/>
      </c>
    </row>
    <row r="3255" spans="37:44" ht="30" hidden="1" customHeight="1" x14ac:dyDescent="0.25">
      <c r="AK3255" s="313"/>
      <c r="AL3255" s="313"/>
      <c r="AM3255" s="313"/>
      <c r="AN3255" s="313"/>
      <c r="AO3255" s="313"/>
      <c r="AP3255" s="313"/>
      <c r="AQ3255" s="314"/>
      <c r="AR3255" s="315" t="str">
        <f t="shared" si="87"/>
        <v/>
      </c>
    </row>
    <row r="3256" spans="37:44" ht="30" hidden="1" customHeight="1" x14ac:dyDescent="0.25">
      <c r="AK3256" s="313"/>
      <c r="AL3256" s="313"/>
      <c r="AM3256" s="313"/>
      <c r="AN3256" s="313"/>
      <c r="AO3256" s="313"/>
      <c r="AP3256" s="313"/>
      <c r="AQ3256" s="314"/>
      <c r="AR3256" s="315" t="str">
        <f t="shared" si="87"/>
        <v/>
      </c>
    </row>
    <row r="3257" spans="37:44" ht="30" hidden="1" customHeight="1" x14ac:dyDescent="0.25">
      <c r="AK3257" s="313"/>
      <c r="AL3257" s="313"/>
      <c r="AM3257" s="313"/>
      <c r="AN3257" s="313"/>
      <c r="AO3257" s="313"/>
      <c r="AP3257" s="313"/>
      <c r="AQ3257" s="314"/>
      <c r="AR3257" s="315" t="str">
        <f t="shared" si="87"/>
        <v/>
      </c>
    </row>
    <row r="3258" spans="37:44" ht="30" hidden="1" customHeight="1" x14ac:dyDescent="0.25">
      <c r="AK3258" s="313"/>
      <c r="AL3258" s="313"/>
      <c r="AM3258" s="313"/>
      <c r="AN3258" s="313"/>
      <c r="AO3258" s="313"/>
      <c r="AP3258" s="313"/>
      <c r="AQ3258" s="314"/>
      <c r="AR3258" s="315" t="str">
        <f t="shared" si="87"/>
        <v/>
      </c>
    </row>
    <row r="3259" spans="37:44" ht="30" hidden="1" customHeight="1" x14ac:dyDescent="0.25">
      <c r="AK3259" s="313"/>
      <c r="AL3259" s="313"/>
      <c r="AM3259" s="313"/>
      <c r="AN3259" s="313"/>
      <c r="AO3259" s="313"/>
      <c r="AP3259" s="313"/>
      <c r="AQ3259" s="314"/>
      <c r="AR3259" s="315" t="str">
        <f t="shared" si="87"/>
        <v/>
      </c>
    </row>
    <row r="3260" spans="37:44" ht="30" hidden="1" customHeight="1" x14ac:dyDescent="0.25">
      <c r="AK3260" s="313"/>
      <c r="AL3260" s="313"/>
      <c r="AM3260" s="313"/>
      <c r="AN3260" s="313"/>
      <c r="AO3260" s="313"/>
      <c r="AP3260" s="313"/>
      <c r="AQ3260" s="314"/>
      <c r="AR3260" s="315" t="str">
        <f t="shared" si="87"/>
        <v/>
      </c>
    </row>
    <row r="3261" spans="37:44" ht="30" hidden="1" customHeight="1" x14ac:dyDescent="0.25">
      <c r="AK3261" s="313"/>
      <c r="AL3261" s="313"/>
      <c r="AM3261" s="313"/>
      <c r="AN3261" s="313"/>
      <c r="AO3261" s="313"/>
      <c r="AP3261" s="313"/>
      <c r="AQ3261" s="314"/>
      <c r="AR3261" s="315" t="str">
        <f t="shared" si="87"/>
        <v/>
      </c>
    </row>
    <row r="3262" spans="37:44" ht="30" hidden="1" customHeight="1" x14ac:dyDescent="0.25">
      <c r="AK3262" s="313"/>
      <c r="AL3262" s="313"/>
      <c r="AM3262" s="313"/>
      <c r="AN3262" s="313"/>
      <c r="AO3262" s="313"/>
      <c r="AP3262" s="313"/>
      <c r="AQ3262" s="314"/>
      <c r="AR3262" s="315" t="str">
        <f t="shared" si="87"/>
        <v/>
      </c>
    </row>
    <row r="3263" spans="37:44" ht="30" hidden="1" customHeight="1" x14ac:dyDescent="0.25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88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 x14ac:dyDescent="0.25">
      <c r="AK3264" s="313"/>
      <c r="AL3264" s="313"/>
      <c r="AM3264" s="313"/>
      <c r="AN3264" s="313"/>
      <c r="AO3264" s="313"/>
      <c r="AP3264" s="313"/>
      <c r="AQ3264" s="314"/>
      <c r="AR3264" s="315" t="str">
        <f t="shared" si="88"/>
        <v/>
      </c>
    </row>
    <row r="3265" spans="37:44" ht="30" hidden="1" customHeight="1" x14ac:dyDescent="0.25">
      <c r="AK3265" s="313"/>
      <c r="AL3265" s="313"/>
      <c r="AM3265" s="313"/>
      <c r="AN3265" s="313"/>
      <c r="AO3265" s="313"/>
      <c r="AP3265" s="313"/>
      <c r="AQ3265" s="314"/>
      <c r="AR3265" s="315" t="str">
        <f t="shared" si="88"/>
        <v/>
      </c>
    </row>
    <row r="3266" spans="37:44" ht="30" hidden="1" customHeight="1" x14ac:dyDescent="0.25">
      <c r="AK3266" s="313"/>
      <c r="AL3266" s="313"/>
      <c r="AM3266" s="313"/>
      <c r="AN3266" s="313"/>
      <c r="AO3266" s="313"/>
      <c r="AP3266" s="313"/>
      <c r="AQ3266" s="314"/>
      <c r="AR3266" s="315" t="str">
        <f t="shared" si="88"/>
        <v/>
      </c>
    </row>
    <row r="3267" spans="37:44" ht="30" hidden="1" customHeight="1" x14ac:dyDescent="0.25">
      <c r="AK3267" s="313"/>
      <c r="AL3267" s="313"/>
      <c r="AM3267" s="313"/>
      <c r="AN3267" s="313"/>
      <c r="AO3267" s="313"/>
      <c r="AP3267" s="313"/>
      <c r="AQ3267" s="314"/>
      <c r="AR3267" s="315" t="str">
        <f t="shared" si="88"/>
        <v/>
      </c>
    </row>
    <row r="3268" spans="37:44" ht="30" hidden="1" customHeight="1" x14ac:dyDescent="0.25">
      <c r="AK3268" s="313"/>
      <c r="AL3268" s="313"/>
      <c r="AM3268" s="313"/>
      <c r="AN3268" s="313"/>
      <c r="AO3268" s="313"/>
      <c r="AP3268" s="313"/>
      <c r="AQ3268" s="314"/>
      <c r="AR3268" s="315" t="str">
        <f t="shared" si="88"/>
        <v/>
      </c>
    </row>
    <row r="3269" spans="37:44" ht="30" hidden="1" customHeight="1" x14ac:dyDescent="0.25">
      <c r="AK3269" s="313"/>
      <c r="AL3269" s="313"/>
      <c r="AM3269" s="313"/>
      <c r="AN3269" s="313"/>
      <c r="AO3269" s="313"/>
      <c r="AP3269" s="313"/>
      <c r="AQ3269" s="314"/>
      <c r="AR3269" s="315" t="str">
        <f t="shared" si="88"/>
        <v/>
      </c>
    </row>
    <row r="3270" spans="37:44" ht="30" hidden="1" customHeight="1" x14ac:dyDescent="0.25">
      <c r="AK3270" s="313"/>
      <c r="AL3270" s="313"/>
      <c r="AM3270" s="313"/>
      <c r="AN3270" s="313"/>
      <c r="AO3270" s="313"/>
      <c r="AP3270" s="313"/>
      <c r="AQ3270" s="314"/>
      <c r="AR3270" s="315" t="str">
        <f t="shared" si="88"/>
        <v/>
      </c>
    </row>
    <row r="3271" spans="37:44" ht="30" hidden="1" customHeight="1" x14ac:dyDescent="0.25">
      <c r="AK3271" s="313"/>
      <c r="AL3271" s="313"/>
      <c r="AM3271" s="313"/>
      <c r="AN3271" s="313"/>
      <c r="AO3271" s="313"/>
      <c r="AP3271" s="313"/>
      <c r="AQ3271" s="314"/>
      <c r="AR3271" s="315" t="str">
        <f t="shared" si="88"/>
        <v/>
      </c>
    </row>
    <row r="3272" spans="37:44" ht="30" hidden="1" customHeight="1" x14ac:dyDescent="0.25">
      <c r="AK3272" s="313"/>
      <c r="AL3272" s="313"/>
      <c r="AM3272" s="313"/>
      <c r="AN3272" s="313"/>
      <c r="AO3272" s="313"/>
      <c r="AP3272" s="313"/>
      <c r="AQ3272" s="314"/>
      <c r="AR3272" s="315" t="str">
        <f t="shared" si="88"/>
        <v/>
      </c>
    </row>
    <row r="3273" spans="37:44" ht="30" hidden="1" customHeight="1" x14ac:dyDescent="0.25">
      <c r="AK3273" s="313"/>
      <c r="AL3273" s="313"/>
      <c r="AM3273" s="313"/>
      <c r="AN3273" s="313"/>
      <c r="AO3273" s="313"/>
      <c r="AP3273" s="313"/>
      <c r="AQ3273" s="314"/>
      <c r="AR3273" s="315" t="str">
        <f t="shared" si="88"/>
        <v/>
      </c>
    </row>
    <row r="3274" spans="37:44" ht="30" hidden="1" customHeight="1" x14ac:dyDescent="0.25">
      <c r="AK3274" s="313"/>
      <c r="AL3274" s="313"/>
      <c r="AM3274" s="313"/>
      <c r="AN3274" s="313"/>
      <c r="AO3274" s="313"/>
      <c r="AP3274" s="313"/>
      <c r="AQ3274" s="314"/>
      <c r="AR3274" s="315" t="str">
        <f t="shared" si="88"/>
        <v/>
      </c>
    </row>
    <row r="3275" spans="37:44" ht="30" hidden="1" customHeight="1" x14ac:dyDescent="0.25">
      <c r="AK3275" s="313"/>
      <c r="AL3275" s="313"/>
      <c r="AM3275" s="313"/>
      <c r="AN3275" s="313"/>
      <c r="AO3275" s="313"/>
      <c r="AP3275" s="313"/>
      <c r="AQ3275" s="314"/>
      <c r="AR3275" s="315" t="str">
        <f t="shared" si="88"/>
        <v/>
      </c>
    </row>
    <row r="3276" spans="37:44" ht="30" hidden="1" customHeight="1" x14ac:dyDescent="0.25">
      <c r="AK3276" s="313"/>
      <c r="AL3276" s="313"/>
      <c r="AM3276" s="313"/>
      <c r="AN3276" s="313"/>
      <c r="AO3276" s="313"/>
      <c r="AP3276" s="313"/>
      <c r="AQ3276" s="314"/>
      <c r="AR3276" s="315" t="str">
        <f t="shared" si="88"/>
        <v/>
      </c>
    </row>
    <row r="3277" spans="37:44" ht="30" hidden="1" customHeight="1" x14ac:dyDescent="0.25">
      <c r="AK3277" s="313"/>
      <c r="AL3277" s="313"/>
      <c r="AM3277" s="313"/>
      <c r="AN3277" s="313"/>
      <c r="AO3277" s="313"/>
      <c r="AP3277" s="313"/>
      <c r="AQ3277" s="314"/>
      <c r="AR3277" s="315" t="str">
        <f t="shared" si="88"/>
        <v/>
      </c>
    </row>
    <row r="3278" spans="37:44" ht="30" hidden="1" customHeight="1" x14ac:dyDescent="0.25">
      <c r="AK3278" s="313"/>
      <c r="AL3278" s="313"/>
      <c r="AM3278" s="313"/>
      <c r="AN3278" s="313"/>
      <c r="AO3278" s="313"/>
      <c r="AP3278" s="313"/>
      <c r="AQ3278" s="314"/>
      <c r="AR3278" s="315" t="str">
        <f t="shared" si="88"/>
        <v/>
      </c>
    </row>
    <row r="3279" spans="37:44" ht="30" hidden="1" customHeight="1" x14ac:dyDescent="0.25">
      <c r="AK3279" s="313"/>
      <c r="AL3279" s="313"/>
      <c r="AM3279" s="313"/>
      <c r="AN3279" s="313"/>
      <c r="AO3279" s="313"/>
      <c r="AP3279" s="313"/>
      <c r="AQ3279" s="314"/>
      <c r="AR3279" s="315" t="str">
        <f t="shared" si="88"/>
        <v/>
      </c>
    </row>
    <row r="3280" spans="37:44" ht="30" hidden="1" customHeight="1" x14ac:dyDescent="0.25">
      <c r="AK3280" s="313"/>
      <c r="AL3280" s="313"/>
      <c r="AM3280" s="313"/>
      <c r="AN3280" s="313"/>
      <c r="AO3280" s="313"/>
      <c r="AP3280" s="313"/>
      <c r="AQ3280" s="314"/>
      <c r="AR3280" s="315" t="str">
        <f t="shared" si="88"/>
        <v/>
      </c>
    </row>
    <row r="3281" spans="37:44" ht="30" hidden="1" customHeight="1" x14ac:dyDescent="0.25">
      <c r="AK3281" s="313"/>
      <c r="AL3281" s="313"/>
      <c r="AM3281" s="313"/>
      <c r="AN3281" s="313"/>
      <c r="AO3281" s="313"/>
      <c r="AP3281" s="313"/>
      <c r="AQ3281" s="314"/>
      <c r="AR3281" s="315" t="str">
        <f t="shared" si="88"/>
        <v/>
      </c>
    </row>
    <row r="3282" spans="37:44" ht="30" hidden="1" customHeight="1" x14ac:dyDescent="0.25">
      <c r="AK3282" s="313"/>
      <c r="AL3282" s="313"/>
      <c r="AM3282" s="313"/>
      <c r="AN3282" s="313"/>
      <c r="AO3282" s="313"/>
      <c r="AP3282" s="313"/>
      <c r="AQ3282" s="314"/>
      <c r="AR3282" s="315" t="str">
        <f t="shared" si="88"/>
        <v/>
      </c>
    </row>
    <row r="3283" spans="37:44" ht="30" hidden="1" customHeight="1" x14ac:dyDescent="0.25">
      <c r="AK3283" s="313"/>
      <c r="AL3283" s="313"/>
      <c r="AM3283" s="313"/>
      <c r="AN3283" s="313"/>
      <c r="AO3283" s="313"/>
      <c r="AP3283" s="313"/>
      <c r="AQ3283" s="314"/>
      <c r="AR3283" s="315" t="str">
        <f t="shared" si="88"/>
        <v/>
      </c>
    </row>
    <row r="3284" spans="37:44" ht="30" hidden="1" customHeight="1" x14ac:dyDescent="0.25">
      <c r="AK3284" s="313"/>
      <c r="AL3284" s="313"/>
      <c r="AM3284" s="313"/>
      <c r="AN3284" s="313"/>
      <c r="AO3284" s="313"/>
      <c r="AP3284" s="313"/>
      <c r="AQ3284" s="314"/>
      <c r="AR3284" s="315" t="str">
        <f t="shared" si="88"/>
        <v/>
      </c>
    </row>
    <row r="3285" spans="37:44" ht="30" hidden="1" customHeight="1" x14ac:dyDescent="0.25">
      <c r="AK3285" s="313"/>
      <c r="AL3285" s="313"/>
      <c r="AM3285" s="313"/>
      <c r="AN3285" s="313"/>
      <c r="AO3285" s="313"/>
      <c r="AP3285" s="313"/>
      <c r="AQ3285" s="314"/>
      <c r="AR3285" s="315" t="str">
        <f t="shared" si="88"/>
        <v/>
      </c>
    </row>
    <row r="3286" spans="37:44" ht="30" hidden="1" customHeight="1" x14ac:dyDescent="0.25">
      <c r="AK3286" s="313"/>
      <c r="AL3286" s="313"/>
      <c r="AM3286" s="313"/>
      <c r="AN3286" s="313"/>
      <c r="AO3286" s="313"/>
      <c r="AP3286" s="313"/>
      <c r="AQ3286" s="314"/>
      <c r="AR3286" s="315" t="str">
        <f t="shared" si="88"/>
        <v/>
      </c>
    </row>
    <row r="3287" spans="37:44" ht="30" hidden="1" customHeight="1" x14ac:dyDescent="0.25">
      <c r="AK3287" s="313"/>
      <c r="AL3287" s="313"/>
      <c r="AM3287" s="313"/>
      <c r="AN3287" s="313"/>
      <c r="AO3287" s="313"/>
      <c r="AP3287" s="313"/>
      <c r="AQ3287" s="314"/>
      <c r="AR3287" s="315" t="str">
        <f t="shared" si="88"/>
        <v/>
      </c>
    </row>
    <row r="3288" spans="37:44" ht="30" hidden="1" customHeight="1" x14ac:dyDescent="0.25">
      <c r="AK3288" s="313"/>
      <c r="AL3288" s="313"/>
      <c r="AM3288" s="313"/>
      <c r="AN3288" s="313"/>
      <c r="AO3288" s="313"/>
      <c r="AP3288" s="313"/>
      <c r="AQ3288" s="314"/>
      <c r="AR3288" s="315" t="str">
        <f t="shared" si="88"/>
        <v/>
      </c>
    </row>
    <row r="3289" spans="37:44" ht="30" hidden="1" customHeight="1" x14ac:dyDescent="0.25">
      <c r="AK3289" s="313"/>
      <c r="AL3289" s="313"/>
      <c r="AM3289" s="313"/>
      <c r="AN3289" s="313"/>
      <c r="AO3289" s="313"/>
      <c r="AP3289" s="313"/>
      <c r="AQ3289" s="314"/>
      <c r="AR3289" s="315" t="str">
        <f t="shared" si="88"/>
        <v/>
      </c>
    </row>
    <row r="3290" spans="37:44" ht="30" hidden="1" customHeight="1" x14ac:dyDescent="0.25">
      <c r="AK3290" s="313"/>
      <c r="AL3290" s="313"/>
      <c r="AM3290" s="313"/>
      <c r="AN3290" s="313"/>
      <c r="AO3290" s="313"/>
      <c r="AP3290" s="313"/>
      <c r="AQ3290" s="314"/>
      <c r="AR3290" s="315" t="str">
        <f t="shared" si="88"/>
        <v/>
      </c>
    </row>
    <row r="3291" spans="37:44" ht="30" hidden="1" customHeight="1" x14ac:dyDescent="0.25">
      <c r="AK3291" s="313"/>
      <c r="AL3291" s="313"/>
      <c r="AM3291" s="313"/>
      <c r="AN3291" s="313"/>
      <c r="AO3291" s="313"/>
      <c r="AP3291" s="313"/>
      <c r="AQ3291" s="314"/>
      <c r="AR3291" s="315" t="str">
        <f t="shared" si="88"/>
        <v/>
      </c>
    </row>
    <row r="3292" spans="37:44" ht="30" hidden="1" customHeight="1" x14ac:dyDescent="0.25">
      <c r="AK3292" s="313"/>
      <c r="AL3292" s="313"/>
      <c r="AM3292" s="313"/>
      <c r="AN3292" s="313"/>
      <c r="AO3292" s="313"/>
      <c r="AP3292" s="313"/>
      <c r="AQ3292" s="314"/>
      <c r="AR3292" s="315" t="str">
        <f t="shared" si="88"/>
        <v/>
      </c>
    </row>
    <row r="3293" spans="37:44" ht="30" hidden="1" customHeight="1" x14ac:dyDescent="0.25">
      <c r="AK3293" s="313"/>
      <c r="AL3293" s="313"/>
      <c r="AM3293" s="313"/>
      <c r="AN3293" s="313"/>
      <c r="AO3293" s="313"/>
      <c r="AP3293" s="313"/>
      <c r="AQ3293" s="314"/>
      <c r="AR3293" s="315" t="str">
        <f t="shared" si="88"/>
        <v/>
      </c>
    </row>
    <row r="3294" spans="37:44" ht="30" hidden="1" customHeight="1" x14ac:dyDescent="0.25">
      <c r="AK3294" s="313"/>
      <c r="AL3294" s="313"/>
      <c r="AM3294" s="313"/>
      <c r="AN3294" s="313"/>
      <c r="AO3294" s="313"/>
      <c r="AP3294" s="313"/>
      <c r="AQ3294" s="314"/>
      <c r="AR3294" s="315" t="str">
        <f t="shared" si="88"/>
        <v/>
      </c>
    </row>
    <row r="3295" spans="37:44" ht="30" hidden="1" customHeight="1" x14ac:dyDescent="0.25">
      <c r="AK3295" s="313"/>
      <c r="AL3295" s="313"/>
      <c r="AM3295" s="313"/>
      <c r="AN3295" s="313"/>
      <c r="AO3295" s="313"/>
      <c r="AP3295" s="313"/>
      <c r="AQ3295" s="314"/>
      <c r="AR3295" s="315" t="str">
        <f t="shared" si="88"/>
        <v/>
      </c>
    </row>
    <row r="3296" spans="37:44" ht="30" hidden="1" customHeight="1" x14ac:dyDescent="0.25">
      <c r="AK3296" s="313"/>
      <c r="AL3296" s="313"/>
      <c r="AM3296" s="313"/>
      <c r="AN3296" s="313"/>
      <c r="AO3296" s="313"/>
      <c r="AP3296" s="313"/>
      <c r="AQ3296" s="314"/>
      <c r="AR3296" s="315" t="str">
        <f t="shared" si="88"/>
        <v/>
      </c>
    </row>
    <row r="3297" spans="37:44" ht="30" hidden="1" customHeight="1" x14ac:dyDescent="0.25">
      <c r="AK3297" s="313"/>
      <c r="AL3297" s="313"/>
      <c r="AM3297" s="313"/>
      <c r="AN3297" s="313"/>
      <c r="AO3297" s="313"/>
      <c r="AP3297" s="313"/>
      <c r="AQ3297" s="314"/>
      <c r="AR3297" s="315" t="str">
        <f t="shared" si="88"/>
        <v/>
      </c>
    </row>
    <row r="3298" spans="37:44" ht="30" hidden="1" customHeight="1" x14ac:dyDescent="0.25">
      <c r="AK3298" s="313"/>
      <c r="AL3298" s="313"/>
      <c r="AM3298" s="313"/>
      <c r="AN3298" s="313"/>
      <c r="AO3298" s="313"/>
      <c r="AP3298" s="313"/>
      <c r="AQ3298" s="314"/>
      <c r="AR3298" s="315" t="str">
        <f t="shared" si="88"/>
        <v/>
      </c>
    </row>
    <row r="3299" spans="37:44" ht="30" hidden="1" customHeight="1" x14ac:dyDescent="0.25">
      <c r="AK3299" s="313"/>
      <c r="AL3299" s="313"/>
      <c r="AM3299" s="313"/>
      <c r="AN3299" s="313"/>
      <c r="AO3299" s="313"/>
      <c r="AP3299" s="313"/>
      <c r="AQ3299" s="314"/>
      <c r="AR3299" s="315" t="str">
        <f t="shared" si="88"/>
        <v/>
      </c>
    </row>
    <row r="3300" spans="37:44" ht="30" hidden="1" customHeight="1" x14ac:dyDescent="0.25">
      <c r="AK3300" s="313"/>
      <c r="AL3300" s="313"/>
      <c r="AM3300" s="313"/>
      <c r="AN3300" s="313"/>
      <c r="AO3300" s="313"/>
      <c r="AP3300" s="313"/>
      <c r="AQ3300" s="314"/>
      <c r="AR3300" s="315" t="str">
        <f t="shared" si="88"/>
        <v/>
      </c>
    </row>
    <row r="3301" spans="37:44" ht="30" hidden="1" customHeight="1" x14ac:dyDescent="0.25">
      <c r="AK3301" s="313"/>
      <c r="AL3301" s="313"/>
      <c r="AM3301" s="313"/>
      <c r="AN3301" s="313"/>
      <c r="AO3301" s="313"/>
      <c r="AP3301" s="313"/>
      <c r="AQ3301" s="314"/>
      <c r="AR3301" s="315" t="str">
        <f t="shared" si="88"/>
        <v/>
      </c>
    </row>
    <row r="3302" spans="37:44" ht="30" hidden="1" customHeight="1" x14ac:dyDescent="0.25">
      <c r="AK3302" s="313"/>
      <c r="AL3302" s="313"/>
      <c r="AM3302" s="313"/>
      <c r="AN3302" s="313"/>
      <c r="AO3302" s="313"/>
      <c r="AP3302" s="313"/>
      <c r="AQ3302" s="314"/>
      <c r="AR3302" s="315" t="str">
        <f t="shared" si="88"/>
        <v/>
      </c>
    </row>
    <row r="3303" spans="37:44" ht="30" hidden="1" customHeight="1" x14ac:dyDescent="0.25">
      <c r="AK3303" s="313"/>
      <c r="AL3303" s="313"/>
      <c r="AM3303" s="313"/>
      <c r="AN3303" s="313"/>
      <c r="AO3303" s="313"/>
      <c r="AP3303" s="313"/>
      <c r="AQ3303" s="314"/>
      <c r="AR3303" s="315" t="str">
        <f t="shared" si="88"/>
        <v/>
      </c>
    </row>
    <row r="3304" spans="37:44" ht="30" hidden="1" customHeight="1" x14ac:dyDescent="0.25">
      <c r="AK3304" s="313"/>
      <c r="AL3304" s="313"/>
      <c r="AM3304" s="313"/>
      <c r="AN3304" s="313"/>
      <c r="AO3304" s="313"/>
      <c r="AP3304" s="313"/>
      <c r="AQ3304" s="314"/>
      <c r="AR3304" s="315" t="str">
        <f t="shared" si="88"/>
        <v/>
      </c>
    </row>
    <row r="3305" spans="37:44" ht="30" hidden="1" customHeight="1" x14ac:dyDescent="0.25">
      <c r="AK3305" s="313"/>
      <c r="AL3305" s="313"/>
      <c r="AM3305" s="313"/>
      <c r="AN3305" s="313"/>
      <c r="AO3305" s="313"/>
      <c r="AP3305" s="313"/>
      <c r="AQ3305" s="314"/>
      <c r="AR3305" s="315" t="str">
        <f t="shared" si="88"/>
        <v/>
      </c>
    </row>
    <row r="3306" spans="37:44" ht="30" hidden="1" customHeight="1" x14ac:dyDescent="0.25">
      <c r="AK3306" s="313"/>
      <c r="AL3306" s="313"/>
      <c r="AM3306" s="313"/>
      <c r="AN3306" s="313"/>
      <c r="AO3306" s="313"/>
      <c r="AP3306" s="313"/>
      <c r="AQ3306" s="314"/>
      <c r="AR3306" s="315" t="str">
        <f t="shared" si="88"/>
        <v/>
      </c>
    </row>
    <row r="3307" spans="37:44" ht="30" hidden="1" customHeight="1" x14ac:dyDescent="0.25">
      <c r="AK3307" s="313"/>
      <c r="AL3307" s="313"/>
      <c r="AM3307" s="313"/>
      <c r="AN3307" s="313"/>
      <c r="AO3307" s="313"/>
      <c r="AP3307" s="313"/>
      <c r="AQ3307" s="314"/>
      <c r="AR3307" s="315" t="str">
        <f t="shared" si="88"/>
        <v/>
      </c>
    </row>
    <row r="3308" spans="37:44" ht="30" hidden="1" customHeight="1" x14ac:dyDescent="0.25">
      <c r="AK3308" s="313"/>
      <c r="AL3308" s="313"/>
      <c r="AM3308" s="313"/>
      <c r="AN3308" s="313"/>
      <c r="AO3308" s="313"/>
      <c r="AP3308" s="313"/>
      <c r="AQ3308" s="314"/>
      <c r="AR3308" s="315" t="str">
        <f t="shared" si="88"/>
        <v/>
      </c>
    </row>
    <row r="3309" spans="37:44" ht="30" hidden="1" customHeight="1" x14ac:dyDescent="0.25">
      <c r="AK3309" s="313"/>
      <c r="AL3309" s="313"/>
      <c r="AM3309" s="313"/>
      <c r="AN3309" s="313"/>
      <c r="AO3309" s="313"/>
      <c r="AP3309" s="313"/>
      <c r="AQ3309" s="314"/>
      <c r="AR3309" s="315" t="str">
        <f t="shared" si="88"/>
        <v/>
      </c>
    </row>
    <row r="3310" spans="37:44" ht="30" hidden="1" customHeight="1" x14ac:dyDescent="0.25">
      <c r="AK3310" s="313"/>
      <c r="AL3310" s="313"/>
      <c r="AM3310" s="313"/>
      <c r="AN3310" s="313"/>
      <c r="AO3310" s="313"/>
      <c r="AP3310" s="313"/>
      <c r="AQ3310" s="314"/>
      <c r="AR3310" s="315" t="str">
        <f t="shared" si="88"/>
        <v/>
      </c>
    </row>
    <row r="3311" spans="37:44" ht="30" hidden="1" customHeight="1" x14ac:dyDescent="0.25">
      <c r="AK3311" s="313"/>
      <c r="AL3311" s="313"/>
      <c r="AM3311" s="313"/>
      <c r="AN3311" s="313"/>
      <c r="AO3311" s="313"/>
      <c r="AP3311" s="313"/>
      <c r="AQ3311" s="314"/>
      <c r="AR3311" s="315" t="str">
        <f t="shared" si="88"/>
        <v/>
      </c>
    </row>
    <row r="3312" spans="37:44" ht="30" hidden="1" customHeight="1" x14ac:dyDescent="0.25">
      <c r="AK3312" s="313"/>
      <c r="AL3312" s="313"/>
      <c r="AM3312" s="313"/>
      <c r="AN3312" s="313"/>
      <c r="AO3312" s="313"/>
      <c r="AP3312" s="313"/>
      <c r="AQ3312" s="314"/>
      <c r="AR3312" s="315" t="str">
        <f t="shared" si="88"/>
        <v/>
      </c>
    </row>
    <row r="3313" spans="37:44" ht="30" hidden="1" customHeight="1" x14ac:dyDescent="0.25">
      <c r="AK3313" s="313"/>
      <c r="AL3313" s="313"/>
      <c r="AM3313" s="313"/>
      <c r="AN3313" s="313"/>
      <c r="AO3313" s="313"/>
      <c r="AP3313" s="313"/>
      <c r="AQ3313" s="314"/>
      <c r="AR3313" s="315" t="str">
        <f t="shared" si="88"/>
        <v/>
      </c>
    </row>
    <row r="3314" spans="37:44" ht="30" hidden="1" customHeight="1" x14ac:dyDescent="0.25">
      <c r="AK3314" s="313"/>
      <c r="AL3314" s="313"/>
      <c r="AM3314" s="313"/>
      <c r="AN3314" s="313"/>
      <c r="AO3314" s="313"/>
      <c r="AP3314" s="313"/>
      <c r="AQ3314" s="314"/>
      <c r="AR3314" s="315" t="str">
        <f t="shared" si="88"/>
        <v/>
      </c>
    </row>
    <row r="3315" spans="37:44" ht="30" hidden="1" customHeight="1" x14ac:dyDescent="0.25">
      <c r="AK3315" s="313"/>
      <c r="AL3315" s="313"/>
      <c r="AM3315" s="313"/>
      <c r="AN3315" s="313"/>
      <c r="AO3315" s="313"/>
      <c r="AP3315" s="313"/>
      <c r="AQ3315" s="314"/>
      <c r="AR3315" s="315" t="str">
        <f t="shared" si="88"/>
        <v/>
      </c>
    </row>
    <row r="3316" spans="37:44" ht="30" hidden="1" customHeight="1" x14ac:dyDescent="0.25">
      <c r="AK3316" s="313"/>
      <c r="AL3316" s="313"/>
      <c r="AM3316" s="313"/>
      <c r="AN3316" s="313"/>
      <c r="AO3316" s="313"/>
      <c r="AP3316" s="313"/>
      <c r="AQ3316" s="314"/>
      <c r="AR3316" s="315" t="str">
        <f t="shared" si="88"/>
        <v/>
      </c>
    </row>
    <row r="3317" spans="37:44" ht="30" hidden="1" customHeight="1" x14ac:dyDescent="0.25">
      <c r="AK3317" s="313"/>
      <c r="AL3317" s="313"/>
      <c r="AM3317" s="313"/>
      <c r="AN3317" s="313"/>
      <c r="AO3317" s="313"/>
      <c r="AP3317" s="313"/>
      <c r="AQ3317" s="314"/>
      <c r="AR3317" s="315" t="str">
        <f t="shared" si="88"/>
        <v/>
      </c>
    </row>
    <row r="3318" spans="37:44" ht="30" hidden="1" customHeight="1" x14ac:dyDescent="0.25">
      <c r="AK3318" s="313"/>
      <c r="AL3318" s="313"/>
      <c r="AM3318" s="313"/>
      <c r="AN3318" s="313"/>
      <c r="AO3318" s="313"/>
      <c r="AP3318" s="313"/>
      <c r="AQ3318" s="314"/>
      <c r="AR3318" s="315" t="str">
        <f t="shared" si="88"/>
        <v/>
      </c>
    </row>
    <row r="3319" spans="37:44" ht="30" hidden="1" customHeight="1" x14ac:dyDescent="0.25">
      <c r="AK3319" s="313"/>
      <c r="AL3319" s="313"/>
      <c r="AM3319" s="313"/>
      <c r="AN3319" s="313"/>
      <c r="AO3319" s="313"/>
      <c r="AP3319" s="313"/>
      <c r="AQ3319" s="314"/>
      <c r="AR3319" s="315" t="str">
        <f t="shared" si="88"/>
        <v/>
      </c>
    </row>
    <row r="3320" spans="37:44" ht="30" hidden="1" customHeight="1" x14ac:dyDescent="0.25">
      <c r="AK3320" s="313"/>
      <c r="AL3320" s="313"/>
      <c r="AM3320" s="313"/>
      <c r="AN3320" s="313"/>
      <c r="AO3320" s="313"/>
      <c r="AP3320" s="313"/>
      <c r="AQ3320" s="314"/>
      <c r="AR3320" s="315" t="str">
        <f t="shared" si="88"/>
        <v/>
      </c>
    </row>
    <row r="3321" spans="37:44" ht="30" hidden="1" customHeight="1" x14ac:dyDescent="0.25">
      <c r="AK3321" s="313"/>
      <c r="AL3321" s="313"/>
      <c r="AM3321" s="313"/>
      <c r="AN3321" s="313"/>
      <c r="AO3321" s="313"/>
      <c r="AP3321" s="313"/>
      <c r="AQ3321" s="314"/>
      <c r="AR3321" s="315" t="str">
        <f t="shared" si="88"/>
        <v/>
      </c>
    </row>
    <row r="3322" spans="37:44" ht="30" hidden="1" customHeight="1" x14ac:dyDescent="0.25">
      <c r="AK3322" s="313"/>
      <c r="AL3322" s="313"/>
      <c r="AM3322" s="313"/>
      <c r="AN3322" s="313"/>
      <c r="AO3322" s="313"/>
      <c r="AP3322" s="313"/>
      <c r="AQ3322" s="314"/>
      <c r="AR3322" s="315" t="str">
        <f t="shared" si="88"/>
        <v/>
      </c>
    </row>
    <row r="3323" spans="37:44" ht="30" hidden="1" customHeight="1" x14ac:dyDescent="0.25">
      <c r="AK3323" s="313"/>
      <c r="AL3323" s="313"/>
      <c r="AM3323" s="313"/>
      <c r="AN3323" s="313"/>
      <c r="AO3323" s="313"/>
      <c r="AP3323" s="313"/>
      <c r="AQ3323" s="314"/>
      <c r="AR3323" s="315" t="str">
        <f t="shared" si="88"/>
        <v/>
      </c>
    </row>
    <row r="3324" spans="37:44" ht="30" hidden="1" customHeight="1" x14ac:dyDescent="0.25">
      <c r="AK3324" s="313"/>
      <c r="AL3324" s="313"/>
      <c r="AM3324" s="313"/>
      <c r="AN3324" s="313"/>
      <c r="AO3324" s="313"/>
      <c r="AP3324" s="313"/>
      <c r="AQ3324" s="314"/>
      <c r="AR3324" s="315" t="str">
        <f t="shared" si="88"/>
        <v/>
      </c>
    </row>
    <row r="3325" spans="37:44" ht="30" hidden="1" customHeight="1" x14ac:dyDescent="0.25">
      <c r="AK3325" s="313"/>
      <c r="AL3325" s="313"/>
      <c r="AM3325" s="313"/>
      <c r="AN3325" s="313"/>
      <c r="AO3325" s="313"/>
      <c r="AP3325" s="313"/>
      <c r="AQ3325" s="314"/>
      <c r="AR3325" s="315" t="str">
        <f t="shared" si="88"/>
        <v/>
      </c>
    </row>
    <row r="3326" spans="37:44" ht="30" hidden="1" customHeight="1" x14ac:dyDescent="0.25">
      <c r="AK3326" s="313"/>
      <c r="AL3326" s="313"/>
      <c r="AM3326" s="313"/>
      <c r="AN3326" s="313"/>
      <c r="AO3326" s="313"/>
      <c r="AP3326" s="313"/>
      <c r="AQ3326" s="314"/>
      <c r="AR3326" s="315" t="str">
        <f t="shared" si="88"/>
        <v/>
      </c>
    </row>
    <row r="3327" spans="37:44" ht="30" hidden="1" customHeight="1" x14ac:dyDescent="0.25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89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 x14ac:dyDescent="0.25">
      <c r="AK3328" s="313"/>
      <c r="AL3328" s="313"/>
      <c r="AM3328" s="313"/>
      <c r="AN3328" s="313"/>
      <c r="AO3328" s="313"/>
      <c r="AP3328" s="313"/>
      <c r="AQ3328" s="314"/>
      <c r="AR3328" s="315" t="str">
        <f t="shared" si="89"/>
        <v/>
      </c>
    </row>
    <row r="3329" spans="37:44" ht="30" hidden="1" customHeight="1" x14ac:dyDescent="0.25">
      <c r="AK3329" s="313"/>
      <c r="AL3329" s="313"/>
      <c r="AM3329" s="313"/>
      <c r="AN3329" s="313"/>
      <c r="AO3329" s="313"/>
      <c r="AP3329" s="313"/>
      <c r="AQ3329" s="314"/>
      <c r="AR3329" s="315" t="str">
        <f t="shared" si="89"/>
        <v/>
      </c>
    </row>
    <row r="3330" spans="37:44" ht="30" hidden="1" customHeight="1" x14ac:dyDescent="0.25">
      <c r="AK3330" s="313"/>
      <c r="AL3330" s="313"/>
      <c r="AM3330" s="313"/>
      <c r="AN3330" s="313"/>
      <c r="AO3330" s="313"/>
      <c r="AP3330" s="313"/>
      <c r="AQ3330" s="314"/>
      <c r="AR3330" s="315" t="str">
        <f t="shared" si="89"/>
        <v/>
      </c>
    </row>
    <row r="3331" spans="37:44" ht="30" hidden="1" customHeight="1" x14ac:dyDescent="0.25">
      <c r="AK3331" s="313"/>
      <c r="AL3331" s="313"/>
      <c r="AM3331" s="313"/>
      <c r="AN3331" s="313"/>
      <c r="AO3331" s="313"/>
      <c r="AP3331" s="313"/>
      <c r="AQ3331" s="314"/>
      <c r="AR3331" s="315" t="str">
        <f t="shared" si="89"/>
        <v/>
      </c>
    </row>
    <row r="3332" spans="37:44" ht="30" hidden="1" customHeight="1" x14ac:dyDescent="0.25">
      <c r="AK3332" s="313"/>
      <c r="AL3332" s="313"/>
      <c r="AM3332" s="313"/>
      <c r="AN3332" s="313"/>
      <c r="AO3332" s="313"/>
      <c r="AP3332" s="313"/>
      <c r="AQ3332" s="314"/>
      <c r="AR3332" s="315" t="str">
        <f t="shared" si="89"/>
        <v/>
      </c>
    </row>
    <row r="3333" spans="37:44" ht="30" hidden="1" customHeight="1" x14ac:dyDescent="0.25">
      <c r="AK3333" s="313"/>
      <c r="AL3333" s="313"/>
      <c r="AM3333" s="313"/>
      <c r="AN3333" s="313"/>
      <c r="AO3333" s="313"/>
      <c r="AP3333" s="313"/>
      <c r="AQ3333" s="314"/>
      <c r="AR3333" s="315" t="str">
        <f t="shared" si="89"/>
        <v/>
      </c>
    </row>
    <row r="3334" spans="37:44" ht="30" hidden="1" customHeight="1" x14ac:dyDescent="0.25">
      <c r="AK3334" s="313"/>
      <c r="AL3334" s="313"/>
      <c r="AM3334" s="313"/>
      <c r="AN3334" s="313"/>
      <c r="AO3334" s="313"/>
      <c r="AP3334" s="313"/>
      <c r="AQ3334" s="314"/>
      <c r="AR3334" s="315" t="str">
        <f t="shared" si="89"/>
        <v/>
      </c>
    </row>
    <row r="3335" spans="37:44" ht="30" hidden="1" customHeight="1" x14ac:dyDescent="0.25">
      <c r="AK3335" s="313"/>
      <c r="AL3335" s="313"/>
      <c r="AM3335" s="313"/>
      <c r="AN3335" s="313"/>
      <c r="AO3335" s="313"/>
      <c r="AP3335" s="313"/>
      <c r="AQ3335" s="314"/>
      <c r="AR3335" s="315" t="str">
        <f t="shared" si="89"/>
        <v/>
      </c>
    </row>
    <row r="3336" spans="37:44" ht="30" hidden="1" customHeight="1" x14ac:dyDescent="0.25">
      <c r="AK3336" s="313"/>
      <c r="AL3336" s="313"/>
      <c r="AM3336" s="313"/>
      <c r="AN3336" s="313"/>
      <c r="AO3336" s="313"/>
      <c r="AP3336" s="313"/>
      <c r="AQ3336" s="314"/>
      <c r="AR3336" s="315" t="str">
        <f t="shared" si="89"/>
        <v/>
      </c>
    </row>
    <row r="3337" spans="37:44" ht="30" hidden="1" customHeight="1" x14ac:dyDescent="0.25">
      <c r="AK3337" s="313"/>
      <c r="AL3337" s="313"/>
      <c r="AM3337" s="313"/>
      <c r="AN3337" s="313"/>
      <c r="AO3337" s="313"/>
      <c r="AP3337" s="313"/>
      <c r="AQ3337" s="314"/>
      <c r="AR3337" s="315" t="str">
        <f t="shared" si="89"/>
        <v/>
      </c>
    </row>
    <row r="3338" spans="37:44" ht="30" hidden="1" customHeight="1" x14ac:dyDescent="0.25">
      <c r="AK3338" s="313"/>
      <c r="AL3338" s="313"/>
      <c r="AM3338" s="313"/>
      <c r="AN3338" s="313"/>
      <c r="AO3338" s="313"/>
      <c r="AP3338" s="313"/>
      <c r="AQ3338" s="314"/>
      <c r="AR3338" s="315" t="str">
        <f t="shared" si="89"/>
        <v/>
      </c>
    </row>
    <row r="3339" spans="37:44" ht="30" hidden="1" customHeight="1" x14ac:dyDescent="0.25">
      <c r="AK3339" s="313"/>
      <c r="AL3339" s="313"/>
      <c r="AM3339" s="313"/>
      <c r="AN3339" s="313"/>
      <c r="AO3339" s="313"/>
      <c r="AP3339" s="313"/>
      <c r="AQ3339" s="314"/>
      <c r="AR3339" s="315" t="str">
        <f t="shared" si="89"/>
        <v/>
      </c>
    </row>
    <row r="3340" spans="37:44" ht="30" hidden="1" customHeight="1" x14ac:dyDescent="0.25">
      <c r="AK3340" s="313"/>
      <c r="AL3340" s="313"/>
      <c r="AM3340" s="313"/>
      <c r="AN3340" s="313"/>
      <c r="AO3340" s="313"/>
      <c r="AP3340" s="313"/>
      <c r="AQ3340" s="314"/>
      <c r="AR3340" s="315" t="str">
        <f t="shared" si="89"/>
        <v/>
      </c>
    </row>
    <row r="3341" spans="37:44" ht="30" hidden="1" customHeight="1" x14ac:dyDescent="0.25">
      <c r="AK3341" s="313"/>
      <c r="AL3341" s="313"/>
      <c r="AM3341" s="313"/>
      <c r="AN3341" s="313"/>
      <c r="AO3341" s="313"/>
      <c r="AP3341" s="313"/>
      <c r="AQ3341" s="314"/>
      <c r="AR3341" s="315" t="str">
        <f t="shared" si="89"/>
        <v/>
      </c>
    </row>
    <row r="3342" spans="37:44" ht="30" hidden="1" customHeight="1" x14ac:dyDescent="0.25">
      <c r="AK3342" s="313"/>
      <c r="AL3342" s="313"/>
      <c r="AM3342" s="313"/>
      <c r="AN3342" s="313"/>
      <c r="AO3342" s="313"/>
      <c r="AP3342" s="313"/>
      <c r="AQ3342" s="314"/>
      <c r="AR3342" s="315" t="str">
        <f t="shared" si="89"/>
        <v/>
      </c>
    </row>
    <row r="3343" spans="37:44" ht="30" hidden="1" customHeight="1" x14ac:dyDescent="0.25">
      <c r="AK3343" s="313"/>
      <c r="AL3343" s="313"/>
      <c r="AM3343" s="313"/>
      <c r="AN3343" s="313"/>
      <c r="AO3343" s="313"/>
      <c r="AP3343" s="313"/>
      <c r="AQ3343" s="314"/>
      <c r="AR3343" s="315" t="str">
        <f t="shared" si="89"/>
        <v/>
      </c>
    </row>
    <row r="3344" spans="37:44" ht="30" hidden="1" customHeight="1" x14ac:dyDescent="0.25">
      <c r="AK3344" s="313"/>
      <c r="AL3344" s="313"/>
      <c r="AM3344" s="313"/>
      <c r="AN3344" s="313"/>
      <c r="AO3344" s="313"/>
      <c r="AP3344" s="313"/>
      <c r="AQ3344" s="314"/>
      <c r="AR3344" s="315" t="str">
        <f t="shared" si="89"/>
        <v/>
      </c>
    </row>
    <row r="3345" spans="37:44" ht="30" hidden="1" customHeight="1" x14ac:dyDescent="0.25">
      <c r="AK3345" s="313"/>
      <c r="AL3345" s="313"/>
      <c r="AM3345" s="313"/>
      <c r="AN3345" s="313"/>
      <c r="AO3345" s="313"/>
      <c r="AP3345" s="313"/>
      <c r="AQ3345" s="314"/>
      <c r="AR3345" s="315" t="str">
        <f t="shared" si="89"/>
        <v/>
      </c>
    </row>
    <row r="3346" spans="37:44" ht="30" hidden="1" customHeight="1" x14ac:dyDescent="0.25">
      <c r="AK3346" s="313"/>
      <c r="AL3346" s="313"/>
      <c r="AM3346" s="313"/>
      <c r="AN3346" s="313"/>
      <c r="AO3346" s="313"/>
      <c r="AP3346" s="313"/>
      <c r="AQ3346" s="314"/>
      <c r="AR3346" s="315" t="str">
        <f t="shared" si="89"/>
        <v/>
      </c>
    </row>
    <row r="3347" spans="37:44" ht="30" hidden="1" customHeight="1" x14ac:dyDescent="0.25">
      <c r="AK3347" s="313"/>
      <c r="AL3347" s="313"/>
      <c r="AM3347" s="313"/>
      <c r="AN3347" s="313"/>
      <c r="AO3347" s="313"/>
      <c r="AP3347" s="313"/>
      <c r="AQ3347" s="314"/>
      <c r="AR3347" s="315" t="str">
        <f t="shared" si="89"/>
        <v/>
      </c>
    </row>
    <row r="3348" spans="37:44" ht="30" hidden="1" customHeight="1" x14ac:dyDescent="0.25">
      <c r="AK3348" s="313"/>
      <c r="AL3348" s="313"/>
      <c r="AM3348" s="313"/>
      <c r="AN3348" s="313"/>
      <c r="AO3348" s="313"/>
      <c r="AP3348" s="313"/>
      <c r="AQ3348" s="314"/>
      <c r="AR3348" s="315" t="str">
        <f t="shared" si="89"/>
        <v/>
      </c>
    </row>
    <row r="3349" spans="37:44" ht="30" hidden="1" customHeight="1" x14ac:dyDescent="0.25">
      <c r="AK3349" s="313"/>
      <c r="AL3349" s="313"/>
      <c r="AM3349" s="313"/>
      <c r="AN3349" s="313"/>
      <c r="AO3349" s="313"/>
      <c r="AP3349" s="313"/>
      <c r="AQ3349" s="314"/>
      <c r="AR3349" s="315" t="str">
        <f t="shared" si="89"/>
        <v/>
      </c>
    </row>
    <row r="3350" spans="37:44" ht="30" hidden="1" customHeight="1" x14ac:dyDescent="0.25">
      <c r="AK3350" s="313"/>
      <c r="AL3350" s="313"/>
      <c r="AM3350" s="313"/>
      <c r="AN3350" s="313"/>
      <c r="AO3350" s="313"/>
      <c r="AP3350" s="313"/>
      <c r="AQ3350" s="314"/>
      <c r="AR3350" s="315" t="str">
        <f t="shared" si="89"/>
        <v/>
      </c>
    </row>
    <row r="3351" spans="37:44" ht="30" hidden="1" customHeight="1" x14ac:dyDescent="0.25">
      <c r="AK3351" s="313"/>
      <c r="AL3351" s="313"/>
      <c r="AM3351" s="313"/>
      <c r="AN3351" s="313"/>
      <c r="AO3351" s="313"/>
      <c r="AP3351" s="313"/>
      <c r="AQ3351" s="314"/>
      <c r="AR3351" s="315" t="str">
        <f t="shared" si="89"/>
        <v/>
      </c>
    </row>
    <row r="3352" spans="37:44" ht="30" hidden="1" customHeight="1" x14ac:dyDescent="0.25">
      <c r="AK3352" s="313"/>
      <c r="AL3352" s="313"/>
      <c r="AM3352" s="313"/>
      <c r="AN3352" s="313"/>
      <c r="AO3352" s="313"/>
      <c r="AP3352" s="313"/>
      <c r="AQ3352" s="314"/>
      <c r="AR3352" s="315" t="str">
        <f t="shared" si="89"/>
        <v/>
      </c>
    </row>
    <row r="3353" spans="37:44" ht="30" hidden="1" customHeight="1" x14ac:dyDescent="0.25">
      <c r="AK3353" s="313"/>
      <c r="AL3353" s="313"/>
      <c r="AM3353" s="313"/>
      <c r="AN3353" s="313"/>
      <c r="AO3353" s="313"/>
      <c r="AP3353" s="313"/>
      <c r="AQ3353" s="314"/>
      <c r="AR3353" s="315" t="str">
        <f t="shared" si="89"/>
        <v/>
      </c>
    </row>
    <row r="3354" spans="37:44" ht="30" hidden="1" customHeight="1" x14ac:dyDescent="0.25">
      <c r="AK3354" s="313"/>
      <c r="AL3354" s="313"/>
      <c r="AM3354" s="313"/>
      <c r="AN3354" s="313"/>
      <c r="AO3354" s="313"/>
      <c r="AP3354" s="313"/>
      <c r="AQ3354" s="314"/>
      <c r="AR3354" s="315" t="str">
        <f t="shared" si="89"/>
        <v/>
      </c>
    </row>
    <row r="3355" spans="37:44" ht="30" hidden="1" customHeight="1" x14ac:dyDescent="0.25">
      <c r="AK3355" s="313"/>
      <c r="AL3355" s="313"/>
      <c r="AM3355" s="313"/>
      <c r="AN3355" s="313"/>
      <c r="AO3355" s="313"/>
      <c r="AP3355" s="313"/>
      <c r="AQ3355" s="314"/>
      <c r="AR3355" s="315" t="str">
        <f t="shared" si="89"/>
        <v/>
      </c>
    </row>
    <row r="3356" spans="37:44" ht="30" hidden="1" customHeight="1" x14ac:dyDescent="0.25">
      <c r="AK3356" s="313"/>
      <c r="AL3356" s="313"/>
      <c r="AM3356" s="313"/>
      <c r="AN3356" s="313"/>
      <c r="AO3356" s="313"/>
      <c r="AP3356" s="313"/>
      <c r="AQ3356" s="314"/>
      <c r="AR3356" s="315" t="str">
        <f t="shared" si="89"/>
        <v/>
      </c>
    </row>
    <row r="3357" spans="37:44" ht="30" hidden="1" customHeight="1" x14ac:dyDescent="0.25">
      <c r="AK3357" s="313"/>
      <c r="AL3357" s="313"/>
      <c r="AM3357" s="313"/>
      <c r="AN3357" s="313"/>
      <c r="AO3357" s="313"/>
      <c r="AP3357" s="313"/>
      <c r="AQ3357" s="314"/>
      <c r="AR3357" s="315" t="str">
        <f t="shared" si="89"/>
        <v/>
      </c>
    </row>
    <row r="3358" spans="37:44" ht="30" hidden="1" customHeight="1" x14ac:dyDescent="0.25">
      <c r="AK3358" s="313"/>
      <c r="AL3358" s="313"/>
      <c r="AM3358" s="313"/>
      <c r="AN3358" s="313"/>
      <c r="AO3358" s="313"/>
      <c r="AP3358" s="313"/>
      <c r="AQ3358" s="314"/>
      <c r="AR3358" s="315" t="str">
        <f t="shared" si="89"/>
        <v/>
      </c>
    </row>
    <row r="3359" spans="37:44" ht="30" hidden="1" customHeight="1" x14ac:dyDescent="0.25">
      <c r="AK3359" s="313"/>
      <c r="AL3359" s="313"/>
      <c r="AM3359" s="313"/>
      <c r="AN3359" s="313"/>
      <c r="AO3359" s="313"/>
      <c r="AP3359" s="313"/>
      <c r="AQ3359" s="314"/>
      <c r="AR3359" s="315" t="str">
        <f t="shared" si="89"/>
        <v/>
      </c>
    </row>
    <row r="3360" spans="37:44" ht="30" hidden="1" customHeight="1" x14ac:dyDescent="0.25">
      <c r="AK3360" s="313"/>
      <c r="AL3360" s="313"/>
      <c r="AM3360" s="313"/>
      <c r="AN3360" s="313"/>
      <c r="AO3360" s="313"/>
      <c r="AP3360" s="313"/>
      <c r="AQ3360" s="314"/>
      <c r="AR3360" s="315" t="str">
        <f t="shared" si="89"/>
        <v/>
      </c>
    </row>
    <row r="3361" spans="37:44" ht="30" hidden="1" customHeight="1" x14ac:dyDescent="0.25">
      <c r="AK3361" s="313"/>
      <c r="AL3361" s="313"/>
      <c r="AM3361" s="313"/>
      <c r="AN3361" s="313"/>
      <c r="AO3361" s="313"/>
      <c r="AP3361" s="313"/>
      <c r="AQ3361" s="314"/>
      <c r="AR3361" s="315" t="str">
        <f t="shared" si="89"/>
        <v/>
      </c>
    </row>
    <row r="3362" spans="37:44" ht="30" hidden="1" customHeight="1" x14ac:dyDescent="0.25">
      <c r="AK3362" s="313"/>
      <c r="AL3362" s="313"/>
      <c r="AM3362" s="313"/>
      <c r="AN3362" s="313"/>
      <c r="AO3362" s="313"/>
      <c r="AP3362" s="313"/>
      <c r="AQ3362" s="314"/>
      <c r="AR3362" s="315" t="str">
        <f t="shared" si="89"/>
        <v/>
      </c>
    </row>
    <row r="3363" spans="37:44" ht="30" hidden="1" customHeight="1" x14ac:dyDescent="0.25">
      <c r="AK3363" s="313"/>
      <c r="AL3363" s="313"/>
      <c r="AM3363" s="313"/>
      <c r="AN3363" s="313"/>
      <c r="AO3363" s="313"/>
      <c r="AP3363" s="313"/>
      <c r="AQ3363" s="314"/>
      <c r="AR3363" s="315" t="str">
        <f t="shared" si="89"/>
        <v/>
      </c>
    </row>
    <row r="3364" spans="37:44" ht="30" hidden="1" customHeight="1" x14ac:dyDescent="0.25">
      <c r="AK3364" s="313"/>
      <c r="AL3364" s="313"/>
      <c r="AM3364" s="313"/>
      <c r="AN3364" s="313"/>
      <c r="AO3364" s="313"/>
      <c r="AP3364" s="313"/>
      <c r="AQ3364" s="314"/>
      <c r="AR3364" s="315" t="str">
        <f t="shared" si="89"/>
        <v/>
      </c>
    </row>
    <row r="3365" spans="37:44" ht="30" hidden="1" customHeight="1" x14ac:dyDescent="0.25">
      <c r="AK3365" s="313"/>
      <c r="AL3365" s="313"/>
      <c r="AM3365" s="313"/>
      <c r="AN3365" s="313"/>
      <c r="AO3365" s="313"/>
      <c r="AP3365" s="313"/>
      <c r="AQ3365" s="314"/>
      <c r="AR3365" s="315" t="str">
        <f t="shared" si="89"/>
        <v/>
      </c>
    </row>
    <row r="3366" spans="37:44" ht="30" hidden="1" customHeight="1" x14ac:dyDescent="0.25">
      <c r="AK3366" s="313"/>
      <c r="AL3366" s="313"/>
      <c r="AM3366" s="313"/>
      <c r="AN3366" s="313"/>
      <c r="AO3366" s="313"/>
      <c r="AP3366" s="313"/>
      <c r="AQ3366" s="314"/>
      <c r="AR3366" s="315" t="str">
        <f t="shared" si="89"/>
        <v/>
      </c>
    </row>
    <row r="3367" spans="37:44" ht="30" hidden="1" customHeight="1" x14ac:dyDescent="0.25">
      <c r="AK3367" s="313"/>
      <c r="AL3367" s="313"/>
      <c r="AM3367" s="313"/>
      <c r="AN3367" s="313"/>
      <c r="AO3367" s="313"/>
      <c r="AP3367" s="313"/>
      <c r="AQ3367" s="314"/>
      <c r="AR3367" s="315" t="str">
        <f t="shared" si="89"/>
        <v/>
      </c>
    </row>
    <row r="3368" spans="37:44" ht="30" hidden="1" customHeight="1" x14ac:dyDescent="0.25">
      <c r="AK3368" s="313"/>
      <c r="AL3368" s="313"/>
      <c r="AM3368" s="313"/>
      <c r="AN3368" s="313"/>
      <c r="AO3368" s="313"/>
      <c r="AP3368" s="313"/>
      <c r="AQ3368" s="314"/>
      <c r="AR3368" s="315" t="str">
        <f t="shared" si="89"/>
        <v/>
      </c>
    </row>
    <row r="3369" spans="37:44" ht="30" hidden="1" customHeight="1" x14ac:dyDescent="0.25">
      <c r="AK3369" s="313"/>
      <c r="AL3369" s="313"/>
      <c r="AM3369" s="313"/>
      <c r="AN3369" s="313"/>
      <c r="AO3369" s="313"/>
      <c r="AP3369" s="313"/>
      <c r="AQ3369" s="314"/>
      <c r="AR3369" s="315" t="str">
        <f t="shared" si="89"/>
        <v/>
      </c>
    </row>
    <row r="3370" spans="37:44" ht="30" hidden="1" customHeight="1" x14ac:dyDescent="0.25">
      <c r="AK3370" s="313"/>
      <c r="AL3370" s="313"/>
      <c r="AM3370" s="313"/>
      <c r="AN3370" s="313"/>
      <c r="AO3370" s="313"/>
      <c r="AP3370" s="313"/>
      <c r="AQ3370" s="314"/>
      <c r="AR3370" s="315" t="str">
        <f t="shared" si="89"/>
        <v/>
      </c>
    </row>
    <row r="3371" spans="37:44" ht="30" hidden="1" customHeight="1" x14ac:dyDescent="0.25">
      <c r="AK3371" s="313"/>
      <c r="AL3371" s="313"/>
      <c r="AM3371" s="313"/>
      <c r="AN3371" s="313"/>
      <c r="AO3371" s="313"/>
      <c r="AP3371" s="313"/>
      <c r="AQ3371" s="314"/>
      <c r="AR3371" s="315" t="str">
        <f t="shared" si="89"/>
        <v/>
      </c>
    </row>
    <row r="3372" spans="37:44" ht="30" hidden="1" customHeight="1" x14ac:dyDescent="0.25">
      <c r="AK3372" s="313"/>
      <c r="AL3372" s="313"/>
      <c r="AM3372" s="313"/>
      <c r="AN3372" s="313"/>
      <c r="AO3372" s="313"/>
      <c r="AP3372" s="313"/>
      <c r="AQ3372" s="314"/>
      <c r="AR3372" s="315" t="str">
        <f t="shared" si="89"/>
        <v/>
      </c>
    </row>
    <row r="3373" spans="37:44" ht="30" hidden="1" customHeight="1" x14ac:dyDescent="0.25">
      <c r="AK3373" s="313"/>
      <c r="AL3373" s="313"/>
      <c r="AM3373" s="313"/>
      <c r="AN3373" s="313"/>
      <c r="AO3373" s="313"/>
      <c r="AP3373" s="313"/>
      <c r="AQ3373" s="314"/>
      <c r="AR3373" s="315" t="str">
        <f t="shared" si="89"/>
        <v/>
      </c>
    </row>
    <row r="3374" spans="37:44" ht="30" hidden="1" customHeight="1" x14ac:dyDescent="0.25">
      <c r="AK3374" s="313"/>
      <c r="AL3374" s="313"/>
      <c r="AM3374" s="313"/>
      <c r="AN3374" s="313"/>
      <c r="AO3374" s="313"/>
      <c r="AP3374" s="313"/>
      <c r="AQ3374" s="314"/>
      <c r="AR3374" s="315" t="str">
        <f t="shared" si="89"/>
        <v/>
      </c>
    </row>
    <row r="3375" spans="37:44" ht="30" hidden="1" customHeight="1" x14ac:dyDescent="0.25">
      <c r="AK3375" s="313"/>
      <c r="AL3375" s="313"/>
      <c r="AM3375" s="313"/>
      <c r="AN3375" s="313"/>
      <c r="AO3375" s="313"/>
      <c r="AP3375" s="313"/>
      <c r="AQ3375" s="314"/>
      <c r="AR3375" s="315" t="str">
        <f t="shared" si="89"/>
        <v/>
      </c>
    </row>
    <row r="3376" spans="37:44" ht="30" hidden="1" customHeight="1" x14ac:dyDescent="0.25">
      <c r="AK3376" s="313"/>
      <c r="AL3376" s="313"/>
      <c r="AM3376" s="313"/>
      <c r="AN3376" s="313"/>
      <c r="AO3376" s="313"/>
      <c r="AP3376" s="313"/>
      <c r="AQ3376" s="314"/>
      <c r="AR3376" s="315" t="str">
        <f t="shared" si="89"/>
        <v/>
      </c>
    </row>
    <row r="3377" spans="37:44" ht="30" hidden="1" customHeight="1" x14ac:dyDescent="0.25">
      <c r="AK3377" s="313"/>
      <c r="AL3377" s="313"/>
      <c r="AM3377" s="313"/>
      <c r="AN3377" s="313"/>
      <c r="AO3377" s="313"/>
      <c r="AP3377" s="313"/>
      <c r="AQ3377" s="314"/>
      <c r="AR3377" s="315" t="str">
        <f t="shared" si="89"/>
        <v/>
      </c>
    </row>
    <row r="3378" spans="37:44" ht="30" hidden="1" customHeight="1" x14ac:dyDescent="0.25">
      <c r="AK3378" s="313"/>
      <c r="AL3378" s="313"/>
      <c r="AM3378" s="313"/>
      <c r="AN3378" s="313"/>
      <c r="AO3378" s="313"/>
      <c r="AP3378" s="313"/>
      <c r="AQ3378" s="314"/>
      <c r="AR3378" s="315" t="str">
        <f t="shared" si="89"/>
        <v/>
      </c>
    </row>
    <row r="3379" spans="37:44" ht="30" hidden="1" customHeight="1" x14ac:dyDescent="0.25">
      <c r="AK3379" s="313"/>
      <c r="AL3379" s="313"/>
      <c r="AM3379" s="313"/>
      <c r="AN3379" s="313"/>
      <c r="AO3379" s="313"/>
      <c r="AP3379" s="313"/>
      <c r="AQ3379" s="314"/>
      <c r="AR3379" s="315" t="str">
        <f t="shared" si="89"/>
        <v/>
      </c>
    </row>
    <row r="3380" spans="37:44" ht="30" hidden="1" customHeight="1" x14ac:dyDescent="0.25">
      <c r="AK3380" s="313"/>
      <c r="AL3380" s="313"/>
      <c r="AM3380" s="313"/>
      <c r="AN3380" s="313"/>
      <c r="AO3380" s="313"/>
      <c r="AP3380" s="313"/>
      <c r="AQ3380" s="314"/>
      <c r="AR3380" s="315" t="str">
        <f t="shared" si="89"/>
        <v/>
      </c>
    </row>
    <row r="3381" spans="37:44" ht="30" hidden="1" customHeight="1" x14ac:dyDescent="0.25">
      <c r="AK3381" s="313"/>
      <c r="AL3381" s="313"/>
      <c r="AM3381" s="313"/>
      <c r="AN3381" s="313"/>
      <c r="AO3381" s="313"/>
      <c r="AP3381" s="313"/>
      <c r="AQ3381" s="314"/>
      <c r="AR3381" s="315" t="str">
        <f t="shared" si="89"/>
        <v/>
      </c>
    </row>
    <row r="3382" spans="37:44" ht="30" hidden="1" customHeight="1" x14ac:dyDescent="0.25">
      <c r="AK3382" s="313"/>
      <c r="AL3382" s="313"/>
      <c r="AM3382" s="313"/>
      <c r="AN3382" s="313"/>
      <c r="AO3382" s="313"/>
      <c r="AP3382" s="313"/>
      <c r="AQ3382" s="314"/>
      <c r="AR3382" s="315" t="str">
        <f t="shared" si="89"/>
        <v/>
      </c>
    </row>
    <row r="3383" spans="37:44" ht="30" hidden="1" customHeight="1" x14ac:dyDescent="0.25">
      <c r="AK3383" s="313"/>
      <c r="AL3383" s="313"/>
      <c r="AM3383" s="313"/>
      <c r="AN3383" s="313"/>
      <c r="AO3383" s="313"/>
      <c r="AP3383" s="313"/>
      <c r="AQ3383" s="314"/>
      <c r="AR3383" s="315" t="str">
        <f t="shared" si="89"/>
        <v/>
      </c>
    </row>
    <row r="3384" spans="37:44" ht="30" hidden="1" customHeight="1" x14ac:dyDescent="0.25">
      <c r="AK3384" s="313"/>
      <c r="AL3384" s="313"/>
      <c r="AM3384" s="313"/>
      <c r="AN3384" s="313"/>
      <c r="AO3384" s="313"/>
      <c r="AP3384" s="313"/>
      <c r="AQ3384" s="314"/>
      <c r="AR3384" s="315" t="str">
        <f t="shared" si="89"/>
        <v/>
      </c>
    </row>
    <row r="3385" spans="37:44" ht="30" hidden="1" customHeight="1" x14ac:dyDescent="0.25">
      <c r="AK3385" s="313"/>
      <c r="AL3385" s="313"/>
      <c r="AM3385" s="313"/>
      <c r="AN3385" s="313"/>
      <c r="AO3385" s="313"/>
      <c r="AP3385" s="313"/>
      <c r="AQ3385" s="314"/>
      <c r="AR3385" s="315" t="str">
        <f t="shared" si="89"/>
        <v/>
      </c>
    </row>
    <row r="3386" spans="37:44" ht="30" hidden="1" customHeight="1" x14ac:dyDescent="0.25">
      <c r="AK3386" s="313"/>
      <c r="AL3386" s="313"/>
      <c r="AM3386" s="313"/>
      <c r="AN3386" s="313"/>
      <c r="AO3386" s="313"/>
      <c r="AP3386" s="313"/>
      <c r="AQ3386" s="314"/>
      <c r="AR3386" s="315" t="str">
        <f t="shared" si="89"/>
        <v/>
      </c>
    </row>
    <row r="3387" spans="37:44" ht="30" hidden="1" customHeight="1" x14ac:dyDescent="0.25">
      <c r="AK3387" s="313"/>
      <c r="AL3387" s="313"/>
      <c r="AM3387" s="313"/>
      <c r="AN3387" s="313"/>
      <c r="AO3387" s="313"/>
      <c r="AP3387" s="313"/>
      <c r="AQ3387" s="314"/>
      <c r="AR3387" s="315" t="str">
        <f t="shared" si="89"/>
        <v/>
      </c>
    </row>
    <row r="3388" spans="37:44" ht="30" hidden="1" customHeight="1" x14ac:dyDescent="0.25">
      <c r="AK3388" s="313"/>
      <c r="AL3388" s="313"/>
      <c r="AM3388" s="313"/>
      <c r="AN3388" s="313"/>
      <c r="AO3388" s="313"/>
      <c r="AP3388" s="313"/>
      <c r="AQ3388" s="314"/>
      <c r="AR3388" s="315" t="str">
        <f t="shared" si="89"/>
        <v/>
      </c>
    </row>
    <row r="3389" spans="37:44" ht="30" hidden="1" customHeight="1" x14ac:dyDescent="0.25">
      <c r="AK3389" s="313"/>
      <c r="AL3389" s="313"/>
      <c r="AM3389" s="313"/>
      <c r="AN3389" s="313"/>
      <c r="AO3389" s="313"/>
      <c r="AP3389" s="313"/>
      <c r="AQ3389" s="314"/>
      <c r="AR3389" s="315" t="str">
        <f t="shared" si="89"/>
        <v/>
      </c>
    </row>
    <row r="3390" spans="37:44" ht="30" hidden="1" customHeight="1" x14ac:dyDescent="0.25">
      <c r="AK3390" s="313"/>
      <c r="AL3390" s="313"/>
      <c r="AM3390" s="313"/>
      <c r="AN3390" s="313"/>
      <c r="AO3390" s="313"/>
      <c r="AP3390" s="313"/>
      <c r="AQ3390" s="314"/>
      <c r="AR3390" s="315" t="str">
        <f t="shared" si="89"/>
        <v/>
      </c>
    </row>
    <row r="3391" spans="37:44" ht="30" hidden="1" customHeight="1" x14ac:dyDescent="0.25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90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 x14ac:dyDescent="0.25">
      <c r="AK3392" s="313"/>
      <c r="AL3392" s="313"/>
      <c r="AM3392" s="313"/>
      <c r="AN3392" s="313"/>
      <c r="AO3392" s="313"/>
      <c r="AP3392" s="313"/>
      <c r="AQ3392" s="314"/>
      <c r="AR3392" s="315" t="str">
        <f t="shared" si="90"/>
        <v/>
      </c>
    </row>
    <row r="3393" spans="37:44" ht="30" hidden="1" customHeight="1" x14ac:dyDescent="0.25">
      <c r="AK3393" s="313"/>
      <c r="AL3393" s="313"/>
      <c r="AM3393" s="313"/>
      <c r="AN3393" s="313"/>
      <c r="AO3393" s="313"/>
      <c r="AP3393" s="313"/>
      <c r="AQ3393" s="314"/>
      <c r="AR3393" s="315" t="str">
        <f t="shared" si="90"/>
        <v/>
      </c>
    </row>
    <row r="3394" spans="37:44" ht="30" hidden="1" customHeight="1" x14ac:dyDescent="0.25">
      <c r="AK3394" s="313"/>
      <c r="AL3394" s="313"/>
      <c r="AM3394" s="313"/>
      <c r="AN3394" s="313"/>
      <c r="AO3394" s="313"/>
      <c r="AP3394" s="313"/>
      <c r="AQ3394" s="314"/>
      <c r="AR3394" s="315" t="str">
        <f t="shared" si="90"/>
        <v/>
      </c>
    </row>
    <row r="3395" spans="37:44" ht="30" hidden="1" customHeight="1" x14ac:dyDescent="0.25">
      <c r="AK3395" s="313"/>
      <c r="AL3395" s="313"/>
      <c r="AM3395" s="313"/>
      <c r="AN3395" s="313"/>
      <c r="AO3395" s="313"/>
      <c r="AP3395" s="313"/>
      <c r="AQ3395" s="314"/>
      <c r="AR3395" s="315" t="str">
        <f t="shared" si="90"/>
        <v/>
      </c>
    </row>
    <row r="3396" spans="37:44" ht="30" hidden="1" customHeight="1" x14ac:dyDescent="0.25">
      <c r="AK3396" s="313"/>
      <c r="AL3396" s="313"/>
      <c r="AM3396" s="313"/>
      <c r="AN3396" s="313"/>
      <c r="AO3396" s="313"/>
      <c r="AP3396" s="313"/>
      <c r="AQ3396" s="314"/>
      <c r="AR3396" s="315" t="str">
        <f t="shared" si="90"/>
        <v/>
      </c>
    </row>
    <row r="3397" spans="37:44" ht="30" hidden="1" customHeight="1" x14ac:dyDescent="0.25">
      <c r="AK3397" s="313"/>
      <c r="AL3397" s="313"/>
      <c r="AM3397" s="313"/>
      <c r="AN3397" s="313"/>
      <c r="AO3397" s="313"/>
      <c r="AP3397" s="313"/>
      <c r="AQ3397" s="314"/>
      <c r="AR3397" s="315" t="str">
        <f t="shared" si="90"/>
        <v/>
      </c>
    </row>
    <row r="3398" spans="37:44" ht="30" hidden="1" customHeight="1" x14ac:dyDescent="0.25">
      <c r="AK3398" s="313"/>
      <c r="AL3398" s="313"/>
      <c r="AM3398" s="313"/>
      <c r="AN3398" s="313"/>
      <c r="AO3398" s="313"/>
      <c r="AP3398" s="313"/>
      <c r="AQ3398" s="314"/>
      <c r="AR3398" s="315" t="str">
        <f t="shared" si="90"/>
        <v/>
      </c>
    </row>
    <row r="3399" spans="37:44" ht="30" hidden="1" customHeight="1" x14ac:dyDescent="0.25">
      <c r="AK3399" s="313"/>
      <c r="AL3399" s="313"/>
      <c r="AM3399" s="313"/>
      <c r="AN3399" s="313"/>
      <c r="AO3399" s="313"/>
      <c r="AP3399" s="313"/>
      <c r="AQ3399" s="314"/>
      <c r="AR3399" s="315" t="str">
        <f t="shared" si="90"/>
        <v/>
      </c>
    </row>
    <row r="3400" spans="37:44" ht="30" hidden="1" customHeight="1" x14ac:dyDescent="0.25">
      <c r="AK3400" s="313"/>
      <c r="AL3400" s="313"/>
      <c r="AM3400" s="313"/>
      <c r="AN3400" s="313"/>
      <c r="AO3400" s="313"/>
      <c r="AP3400" s="313"/>
      <c r="AQ3400" s="314"/>
      <c r="AR3400" s="315" t="str">
        <f t="shared" si="90"/>
        <v/>
      </c>
    </row>
    <row r="3401" spans="37:44" ht="30" hidden="1" customHeight="1" x14ac:dyDescent="0.25">
      <c r="AK3401" s="313"/>
      <c r="AL3401" s="313"/>
      <c r="AM3401" s="313"/>
      <c r="AN3401" s="313"/>
      <c r="AO3401" s="313"/>
      <c r="AP3401" s="313"/>
      <c r="AQ3401" s="314"/>
      <c r="AR3401" s="315" t="str">
        <f t="shared" si="90"/>
        <v/>
      </c>
    </row>
    <row r="3402" spans="37:44" ht="30" hidden="1" customHeight="1" x14ac:dyDescent="0.25">
      <c r="AK3402" s="313"/>
      <c r="AL3402" s="313"/>
      <c r="AM3402" s="313"/>
      <c r="AN3402" s="313"/>
      <c r="AO3402" s="313"/>
      <c r="AP3402" s="313"/>
      <c r="AQ3402" s="314"/>
      <c r="AR3402" s="315" t="str">
        <f t="shared" si="90"/>
        <v/>
      </c>
    </row>
    <row r="3403" spans="37:44" ht="30" hidden="1" customHeight="1" x14ac:dyDescent="0.25">
      <c r="AK3403" s="313"/>
      <c r="AL3403" s="313"/>
      <c r="AM3403" s="313"/>
      <c r="AN3403" s="313"/>
      <c r="AO3403" s="313"/>
      <c r="AP3403" s="313"/>
      <c r="AQ3403" s="314"/>
      <c r="AR3403" s="315" t="str">
        <f t="shared" si="90"/>
        <v/>
      </c>
    </row>
    <row r="3404" spans="37:44" ht="30" hidden="1" customHeight="1" x14ac:dyDescent="0.25">
      <c r="AK3404" s="313"/>
      <c r="AL3404" s="313"/>
      <c r="AM3404" s="313"/>
      <c r="AN3404" s="313"/>
      <c r="AO3404" s="313"/>
      <c r="AP3404" s="313"/>
      <c r="AQ3404" s="314"/>
      <c r="AR3404" s="315" t="str">
        <f t="shared" si="90"/>
        <v/>
      </c>
    </row>
    <row r="3405" spans="37:44" ht="30" hidden="1" customHeight="1" x14ac:dyDescent="0.25">
      <c r="AK3405" s="313"/>
      <c r="AL3405" s="313"/>
      <c r="AM3405" s="313"/>
      <c r="AN3405" s="313"/>
      <c r="AO3405" s="313"/>
      <c r="AP3405" s="313"/>
      <c r="AQ3405" s="314"/>
      <c r="AR3405" s="315" t="str">
        <f t="shared" si="90"/>
        <v/>
      </c>
    </row>
    <row r="3406" spans="37:44" ht="30" hidden="1" customHeight="1" x14ac:dyDescent="0.25">
      <c r="AK3406" s="313"/>
      <c r="AL3406" s="313"/>
      <c r="AM3406" s="313"/>
      <c r="AN3406" s="313"/>
      <c r="AO3406" s="313"/>
      <c r="AP3406" s="313"/>
      <c r="AQ3406" s="314"/>
      <c r="AR3406" s="315" t="str">
        <f t="shared" si="90"/>
        <v/>
      </c>
    </row>
    <row r="3407" spans="37:44" ht="30" hidden="1" customHeight="1" x14ac:dyDescent="0.25">
      <c r="AK3407" s="313"/>
      <c r="AL3407" s="313"/>
      <c r="AM3407" s="313"/>
      <c r="AN3407" s="313"/>
      <c r="AO3407" s="313"/>
      <c r="AP3407" s="313"/>
      <c r="AQ3407" s="314"/>
      <c r="AR3407" s="315" t="str">
        <f t="shared" si="90"/>
        <v/>
      </c>
    </row>
    <row r="3408" spans="37:44" ht="30" hidden="1" customHeight="1" x14ac:dyDescent="0.25">
      <c r="AK3408" s="313"/>
      <c r="AL3408" s="313"/>
      <c r="AM3408" s="313"/>
      <c r="AN3408" s="313"/>
      <c r="AO3408" s="313"/>
      <c r="AP3408" s="313"/>
      <c r="AQ3408" s="314"/>
      <c r="AR3408" s="315" t="str">
        <f t="shared" si="90"/>
        <v/>
      </c>
    </row>
    <row r="3409" spans="37:44" ht="30" hidden="1" customHeight="1" x14ac:dyDescent="0.25">
      <c r="AK3409" s="313"/>
      <c r="AL3409" s="313"/>
      <c r="AM3409" s="313"/>
      <c r="AN3409" s="313"/>
      <c r="AO3409" s="313"/>
      <c r="AP3409" s="313"/>
      <c r="AQ3409" s="314"/>
      <c r="AR3409" s="315" t="str">
        <f t="shared" si="90"/>
        <v/>
      </c>
    </row>
    <row r="3410" spans="37:44" ht="30" hidden="1" customHeight="1" x14ac:dyDescent="0.25">
      <c r="AK3410" s="313"/>
      <c r="AL3410" s="313"/>
      <c r="AM3410" s="313"/>
      <c r="AN3410" s="313"/>
      <c r="AO3410" s="313"/>
      <c r="AP3410" s="313"/>
      <c r="AQ3410" s="314"/>
      <c r="AR3410" s="315" t="str">
        <f t="shared" si="90"/>
        <v/>
      </c>
    </row>
    <row r="3411" spans="37:44" ht="30" hidden="1" customHeight="1" x14ac:dyDescent="0.25">
      <c r="AK3411" s="313"/>
      <c r="AL3411" s="313"/>
      <c r="AM3411" s="313"/>
      <c r="AN3411" s="313"/>
      <c r="AO3411" s="313"/>
      <c r="AP3411" s="313"/>
      <c r="AQ3411" s="314"/>
      <c r="AR3411" s="315" t="str">
        <f t="shared" si="90"/>
        <v/>
      </c>
    </row>
    <row r="3412" spans="37:44" ht="30" hidden="1" customHeight="1" x14ac:dyDescent="0.25">
      <c r="AK3412" s="313"/>
      <c r="AL3412" s="313"/>
      <c r="AM3412" s="313"/>
      <c r="AN3412" s="313"/>
      <c r="AO3412" s="313"/>
      <c r="AP3412" s="313"/>
      <c r="AQ3412" s="314"/>
      <c r="AR3412" s="315" t="str">
        <f t="shared" si="90"/>
        <v/>
      </c>
    </row>
    <row r="3413" spans="37:44" ht="30" hidden="1" customHeight="1" x14ac:dyDescent="0.25">
      <c r="AK3413" s="313"/>
      <c r="AL3413" s="313"/>
      <c r="AM3413" s="313"/>
      <c r="AN3413" s="313"/>
      <c r="AO3413" s="313"/>
      <c r="AP3413" s="313"/>
      <c r="AQ3413" s="314"/>
      <c r="AR3413" s="315" t="str">
        <f t="shared" si="90"/>
        <v/>
      </c>
    </row>
    <row r="3414" spans="37:44" ht="30" hidden="1" customHeight="1" x14ac:dyDescent="0.25">
      <c r="AK3414" s="313"/>
      <c r="AL3414" s="313"/>
      <c r="AM3414" s="313"/>
      <c r="AN3414" s="313"/>
      <c r="AO3414" s="313"/>
      <c r="AP3414" s="313"/>
      <c r="AQ3414" s="314"/>
      <c r="AR3414" s="315" t="str">
        <f t="shared" si="90"/>
        <v/>
      </c>
    </row>
    <row r="3415" spans="37:44" ht="30" hidden="1" customHeight="1" x14ac:dyDescent="0.25">
      <c r="AK3415" s="313"/>
      <c r="AL3415" s="313"/>
      <c r="AM3415" s="313"/>
      <c r="AN3415" s="313"/>
      <c r="AO3415" s="313"/>
      <c r="AP3415" s="313"/>
      <c r="AQ3415" s="314"/>
      <c r="AR3415" s="315" t="str">
        <f t="shared" si="90"/>
        <v/>
      </c>
    </row>
    <row r="3416" spans="37:44" ht="30" hidden="1" customHeight="1" x14ac:dyDescent="0.25">
      <c r="AK3416" s="313"/>
      <c r="AL3416" s="313"/>
      <c r="AM3416" s="313"/>
      <c r="AN3416" s="313"/>
      <c r="AO3416" s="313"/>
      <c r="AP3416" s="313"/>
      <c r="AQ3416" s="314"/>
      <c r="AR3416" s="315" t="str">
        <f t="shared" si="90"/>
        <v/>
      </c>
    </row>
    <row r="3417" spans="37:44" ht="30" hidden="1" customHeight="1" x14ac:dyDescent="0.25">
      <c r="AK3417" s="313"/>
      <c r="AL3417" s="313"/>
      <c r="AM3417" s="313"/>
      <c r="AN3417" s="313"/>
      <c r="AO3417" s="313"/>
      <c r="AP3417" s="313"/>
      <c r="AQ3417" s="314"/>
      <c r="AR3417" s="315" t="str">
        <f t="shared" si="90"/>
        <v/>
      </c>
    </row>
    <row r="3418" spans="37:44" ht="30" hidden="1" customHeight="1" x14ac:dyDescent="0.25">
      <c r="AK3418" s="313"/>
      <c r="AL3418" s="313"/>
      <c r="AM3418" s="313"/>
      <c r="AN3418" s="313"/>
      <c r="AO3418" s="313"/>
      <c r="AP3418" s="313"/>
      <c r="AQ3418" s="314"/>
      <c r="AR3418" s="315" t="str">
        <f t="shared" si="90"/>
        <v/>
      </c>
    </row>
    <row r="3419" spans="37:44" ht="30" hidden="1" customHeight="1" x14ac:dyDescent="0.25">
      <c r="AK3419" s="313"/>
      <c r="AL3419" s="313"/>
      <c r="AM3419" s="313"/>
      <c r="AN3419" s="313"/>
      <c r="AO3419" s="313"/>
      <c r="AP3419" s="313"/>
      <c r="AQ3419" s="314"/>
      <c r="AR3419" s="315" t="str">
        <f t="shared" si="90"/>
        <v/>
      </c>
    </row>
    <row r="3420" spans="37:44" ht="30" hidden="1" customHeight="1" x14ac:dyDescent="0.25">
      <c r="AK3420" s="313"/>
      <c r="AL3420" s="313"/>
      <c r="AM3420" s="313"/>
      <c r="AN3420" s="313"/>
      <c r="AO3420" s="313"/>
      <c r="AP3420" s="313"/>
      <c r="AQ3420" s="314"/>
      <c r="AR3420" s="315" t="str">
        <f t="shared" si="90"/>
        <v/>
      </c>
    </row>
    <row r="3421" spans="37:44" ht="30" hidden="1" customHeight="1" x14ac:dyDescent="0.25">
      <c r="AK3421" s="313"/>
      <c r="AL3421" s="313"/>
      <c r="AM3421" s="313"/>
      <c r="AN3421" s="313"/>
      <c r="AO3421" s="313"/>
      <c r="AP3421" s="313"/>
      <c r="AQ3421" s="314"/>
      <c r="AR3421" s="315" t="str">
        <f t="shared" si="90"/>
        <v/>
      </c>
    </row>
    <row r="3422" spans="37:44" ht="30" hidden="1" customHeight="1" x14ac:dyDescent="0.25">
      <c r="AK3422" s="313"/>
      <c r="AL3422" s="313"/>
      <c r="AM3422" s="313"/>
      <c r="AN3422" s="313"/>
      <c r="AO3422" s="313"/>
      <c r="AP3422" s="313"/>
      <c r="AQ3422" s="314"/>
      <c r="AR3422" s="315" t="str">
        <f t="shared" si="90"/>
        <v/>
      </c>
    </row>
    <row r="3423" spans="37:44" ht="30" hidden="1" customHeight="1" x14ac:dyDescent="0.25">
      <c r="AK3423" s="313"/>
      <c r="AL3423" s="313"/>
      <c r="AM3423" s="313"/>
      <c r="AN3423" s="313"/>
      <c r="AO3423" s="313"/>
      <c r="AP3423" s="313"/>
      <c r="AQ3423" s="314"/>
      <c r="AR3423" s="315" t="str">
        <f t="shared" si="90"/>
        <v/>
      </c>
    </row>
    <row r="3424" spans="37:44" ht="30" hidden="1" customHeight="1" x14ac:dyDescent="0.25">
      <c r="AK3424" s="313"/>
      <c r="AL3424" s="313"/>
      <c r="AM3424" s="313"/>
      <c r="AN3424" s="313"/>
      <c r="AO3424" s="313"/>
      <c r="AP3424" s="313"/>
      <c r="AQ3424" s="314"/>
      <c r="AR3424" s="315" t="str">
        <f t="shared" si="90"/>
        <v/>
      </c>
    </row>
    <row r="3425" spans="37:44" ht="30" hidden="1" customHeight="1" x14ac:dyDescent="0.25">
      <c r="AK3425" s="313"/>
      <c r="AL3425" s="313"/>
      <c r="AM3425" s="313"/>
      <c r="AN3425" s="313"/>
      <c r="AO3425" s="313"/>
      <c r="AP3425" s="313"/>
      <c r="AQ3425" s="314"/>
      <c r="AR3425" s="315" t="str">
        <f t="shared" si="90"/>
        <v/>
      </c>
    </row>
    <row r="3426" spans="37:44" ht="30" hidden="1" customHeight="1" x14ac:dyDescent="0.25">
      <c r="AK3426" s="313"/>
      <c r="AL3426" s="313"/>
      <c r="AM3426" s="313"/>
      <c r="AN3426" s="313"/>
      <c r="AO3426" s="313"/>
      <c r="AP3426" s="313"/>
      <c r="AQ3426" s="314"/>
      <c r="AR3426" s="315" t="str">
        <f t="shared" si="90"/>
        <v/>
      </c>
    </row>
    <row r="3427" spans="37:44" ht="30" hidden="1" customHeight="1" x14ac:dyDescent="0.25">
      <c r="AK3427" s="313"/>
      <c r="AL3427" s="313"/>
      <c r="AM3427" s="313"/>
      <c r="AN3427" s="313"/>
      <c r="AO3427" s="313"/>
      <c r="AP3427" s="313"/>
      <c r="AQ3427" s="314"/>
      <c r="AR3427" s="315" t="str">
        <f t="shared" si="90"/>
        <v/>
      </c>
    </row>
    <row r="3428" spans="37:44" ht="30" hidden="1" customHeight="1" x14ac:dyDescent="0.25">
      <c r="AK3428" s="313"/>
      <c r="AL3428" s="313"/>
      <c r="AM3428" s="313"/>
      <c r="AN3428" s="313"/>
      <c r="AO3428" s="313"/>
      <c r="AP3428" s="313"/>
      <c r="AQ3428" s="314"/>
      <c r="AR3428" s="315" t="str">
        <f t="shared" si="90"/>
        <v/>
      </c>
    </row>
    <row r="3429" spans="37:44" ht="30" hidden="1" customHeight="1" x14ac:dyDescent="0.25">
      <c r="AK3429" s="313"/>
      <c r="AL3429" s="313"/>
      <c r="AM3429" s="313"/>
      <c r="AN3429" s="313"/>
      <c r="AO3429" s="313"/>
      <c r="AP3429" s="313"/>
      <c r="AQ3429" s="314"/>
      <c r="AR3429" s="315" t="str">
        <f t="shared" si="90"/>
        <v/>
      </c>
    </row>
    <row r="3430" spans="37:44" ht="30" hidden="1" customHeight="1" x14ac:dyDescent="0.25">
      <c r="AK3430" s="313"/>
      <c r="AL3430" s="313"/>
      <c r="AM3430" s="313"/>
      <c r="AN3430" s="313"/>
      <c r="AO3430" s="313"/>
      <c r="AP3430" s="313"/>
      <c r="AQ3430" s="314"/>
      <c r="AR3430" s="315" t="str">
        <f t="shared" si="90"/>
        <v/>
      </c>
    </row>
    <row r="3431" spans="37:44" ht="30" hidden="1" customHeight="1" x14ac:dyDescent="0.25">
      <c r="AK3431" s="313"/>
      <c r="AL3431" s="313"/>
      <c r="AM3431" s="313"/>
      <c r="AN3431" s="313"/>
      <c r="AO3431" s="313"/>
      <c r="AP3431" s="313"/>
      <c r="AQ3431" s="314"/>
      <c r="AR3431" s="315" t="str">
        <f t="shared" si="90"/>
        <v/>
      </c>
    </row>
    <row r="3432" spans="37:44" ht="30" hidden="1" customHeight="1" x14ac:dyDescent="0.25">
      <c r="AK3432" s="313"/>
      <c r="AL3432" s="313"/>
      <c r="AM3432" s="313"/>
      <c r="AN3432" s="313"/>
      <c r="AO3432" s="313"/>
      <c r="AP3432" s="313"/>
      <c r="AQ3432" s="314"/>
      <c r="AR3432" s="315" t="str">
        <f t="shared" si="90"/>
        <v/>
      </c>
    </row>
    <row r="3433" spans="37:44" ht="30" hidden="1" customHeight="1" x14ac:dyDescent="0.25">
      <c r="AK3433" s="313"/>
      <c r="AL3433" s="313"/>
      <c r="AM3433" s="313"/>
      <c r="AN3433" s="313"/>
      <c r="AO3433" s="313"/>
      <c r="AP3433" s="313"/>
      <c r="AQ3433" s="314"/>
      <c r="AR3433" s="315" t="str">
        <f t="shared" si="90"/>
        <v/>
      </c>
    </row>
    <row r="3434" spans="37:44" ht="30" hidden="1" customHeight="1" x14ac:dyDescent="0.25">
      <c r="AK3434" s="313"/>
      <c r="AL3434" s="313"/>
      <c r="AM3434" s="313"/>
      <c r="AN3434" s="313"/>
      <c r="AO3434" s="313"/>
      <c r="AP3434" s="313"/>
      <c r="AQ3434" s="314"/>
      <c r="AR3434" s="315" t="str">
        <f t="shared" si="90"/>
        <v/>
      </c>
    </row>
    <row r="3435" spans="37:44" ht="30" hidden="1" customHeight="1" x14ac:dyDescent="0.25">
      <c r="AK3435" s="313"/>
      <c r="AL3435" s="313"/>
      <c r="AM3435" s="313"/>
      <c r="AN3435" s="313"/>
      <c r="AO3435" s="313"/>
      <c r="AP3435" s="313"/>
      <c r="AQ3435" s="314"/>
      <c r="AR3435" s="315" t="str">
        <f t="shared" si="90"/>
        <v/>
      </c>
    </row>
    <row r="3436" spans="37:44" ht="30" hidden="1" customHeight="1" x14ac:dyDescent="0.25">
      <c r="AK3436" s="313"/>
      <c r="AL3436" s="313"/>
      <c r="AM3436" s="313"/>
      <c r="AN3436" s="313"/>
      <c r="AO3436" s="313"/>
      <c r="AP3436" s="313"/>
      <c r="AQ3436" s="314"/>
      <c r="AR3436" s="315" t="str">
        <f t="shared" si="90"/>
        <v/>
      </c>
    </row>
    <row r="3437" spans="37:44" ht="30" hidden="1" customHeight="1" x14ac:dyDescent="0.25">
      <c r="AK3437" s="313"/>
      <c r="AL3437" s="313"/>
      <c r="AM3437" s="313"/>
      <c r="AN3437" s="313"/>
      <c r="AO3437" s="313"/>
      <c r="AP3437" s="313"/>
      <c r="AQ3437" s="314"/>
      <c r="AR3437" s="315" t="str">
        <f t="shared" si="90"/>
        <v/>
      </c>
    </row>
    <row r="3438" spans="37:44" ht="30" hidden="1" customHeight="1" x14ac:dyDescent="0.25">
      <c r="AK3438" s="313"/>
      <c r="AL3438" s="313"/>
      <c r="AM3438" s="313"/>
      <c r="AN3438" s="313"/>
      <c r="AO3438" s="313"/>
      <c r="AP3438" s="313"/>
      <c r="AQ3438" s="314"/>
      <c r="AR3438" s="315" t="str">
        <f t="shared" si="90"/>
        <v/>
      </c>
    </row>
    <row r="3439" spans="37:44" ht="30" hidden="1" customHeight="1" x14ac:dyDescent="0.25">
      <c r="AK3439" s="313"/>
      <c r="AL3439" s="313"/>
      <c r="AM3439" s="313"/>
      <c r="AN3439" s="313"/>
      <c r="AO3439" s="313"/>
      <c r="AP3439" s="313"/>
      <c r="AQ3439" s="314"/>
      <c r="AR3439" s="315" t="str">
        <f t="shared" si="90"/>
        <v/>
      </c>
    </row>
    <row r="3440" spans="37:44" ht="30" hidden="1" customHeight="1" x14ac:dyDescent="0.25">
      <c r="AK3440" s="313"/>
      <c r="AL3440" s="313"/>
      <c r="AM3440" s="313"/>
      <c r="AN3440" s="313"/>
      <c r="AO3440" s="313"/>
      <c r="AP3440" s="313"/>
      <c r="AQ3440" s="314"/>
      <c r="AR3440" s="315" t="str">
        <f t="shared" si="90"/>
        <v/>
      </c>
    </row>
    <row r="3441" spans="37:44" ht="30" hidden="1" customHeight="1" x14ac:dyDescent="0.25">
      <c r="AK3441" s="313"/>
      <c r="AL3441" s="313"/>
      <c r="AM3441" s="313"/>
      <c r="AN3441" s="313"/>
      <c r="AO3441" s="313"/>
      <c r="AP3441" s="313"/>
      <c r="AQ3441" s="314"/>
      <c r="AR3441" s="315" t="str">
        <f t="shared" si="90"/>
        <v/>
      </c>
    </row>
    <row r="3442" spans="37:44" ht="30" hidden="1" customHeight="1" x14ac:dyDescent="0.25">
      <c r="AK3442" s="313"/>
      <c r="AL3442" s="313"/>
      <c r="AM3442" s="313"/>
      <c r="AN3442" s="313"/>
      <c r="AO3442" s="313"/>
      <c r="AP3442" s="313"/>
      <c r="AQ3442" s="314"/>
      <c r="AR3442" s="315" t="str">
        <f t="shared" si="90"/>
        <v/>
      </c>
    </row>
    <row r="3443" spans="37:44" ht="30" hidden="1" customHeight="1" x14ac:dyDescent="0.25">
      <c r="AK3443" s="313"/>
      <c r="AL3443" s="313"/>
      <c r="AM3443" s="313"/>
      <c r="AN3443" s="313"/>
      <c r="AO3443" s="313"/>
      <c r="AP3443" s="313"/>
      <c r="AQ3443" s="314"/>
      <c r="AR3443" s="315" t="str">
        <f t="shared" si="90"/>
        <v/>
      </c>
    </row>
    <row r="3444" spans="37:44" ht="30" hidden="1" customHeight="1" x14ac:dyDescent="0.25">
      <c r="AK3444" s="313"/>
      <c r="AL3444" s="313"/>
      <c r="AM3444" s="313"/>
      <c r="AN3444" s="313"/>
      <c r="AO3444" s="313"/>
      <c r="AP3444" s="313"/>
      <c r="AQ3444" s="314"/>
      <c r="AR3444" s="315" t="str">
        <f t="shared" si="90"/>
        <v/>
      </c>
    </row>
    <row r="3445" spans="37:44" ht="30" hidden="1" customHeight="1" x14ac:dyDescent="0.25">
      <c r="AK3445" s="313"/>
      <c r="AL3445" s="313"/>
      <c r="AM3445" s="313"/>
      <c r="AN3445" s="313"/>
      <c r="AO3445" s="313"/>
      <c r="AP3445" s="313"/>
      <c r="AQ3445" s="314"/>
      <c r="AR3445" s="315" t="str">
        <f t="shared" si="90"/>
        <v/>
      </c>
    </row>
    <row r="3446" spans="37:44" ht="30" hidden="1" customHeight="1" x14ac:dyDescent="0.25">
      <c r="AK3446" s="313"/>
      <c r="AL3446" s="313"/>
      <c r="AM3446" s="313"/>
      <c r="AN3446" s="313"/>
      <c r="AO3446" s="313"/>
      <c r="AP3446" s="313"/>
      <c r="AQ3446" s="314"/>
      <c r="AR3446" s="315" t="str">
        <f t="shared" si="90"/>
        <v/>
      </c>
    </row>
    <row r="3447" spans="37:44" ht="30" hidden="1" customHeight="1" x14ac:dyDescent="0.25">
      <c r="AK3447" s="313"/>
      <c r="AL3447" s="313"/>
      <c r="AM3447" s="313"/>
      <c r="AN3447" s="313"/>
      <c r="AO3447" s="313"/>
      <c r="AP3447" s="313"/>
      <c r="AQ3447" s="314"/>
      <c r="AR3447" s="315" t="str">
        <f t="shared" si="90"/>
        <v/>
      </c>
    </row>
    <row r="3448" spans="37:44" ht="30" hidden="1" customHeight="1" x14ac:dyDescent="0.25">
      <c r="AK3448" s="313"/>
      <c r="AL3448" s="313"/>
      <c r="AM3448" s="313"/>
      <c r="AN3448" s="313"/>
      <c r="AO3448" s="313"/>
      <c r="AP3448" s="313"/>
      <c r="AQ3448" s="314"/>
      <c r="AR3448" s="315" t="str">
        <f t="shared" si="90"/>
        <v/>
      </c>
    </row>
    <row r="3449" spans="37:44" ht="30" hidden="1" customHeight="1" x14ac:dyDescent="0.25">
      <c r="AK3449" s="313"/>
      <c r="AL3449" s="313"/>
      <c r="AM3449" s="313"/>
      <c r="AN3449" s="313"/>
      <c r="AO3449" s="313"/>
      <c r="AP3449" s="313"/>
      <c r="AQ3449" s="314"/>
      <c r="AR3449" s="315" t="str">
        <f t="shared" si="90"/>
        <v/>
      </c>
    </row>
    <row r="3450" spans="37:44" ht="30" hidden="1" customHeight="1" x14ac:dyDescent="0.25">
      <c r="AK3450" s="313"/>
      <c r="AL3450" s="313"/>
      <c r="AM3450" s="313"/>
      <c r="AN3450" s="313"/>
      <c r="AO3450" s="313"/>
      <c r="AP3450" s="313"/>
      <c r="AQ3450" s="314"/>
      <c r="AR3450" s="315" t="str">
        <f t="shared" si="90"/>
        <v/>
      </c>
    </row>
    <row r="3451" spans="37:44" ht="30" hidden="1" customHeight="1" x14ac:dyDescent="0.25">
      <c r="AK3451" s="313"/>
      <c r="AL3451" s="313"/>
      <c r="AM3451" s="313"/>
      <c r="AN3451" s="313"/>
      <c r="AO3451" s="313"/>
      <c r="AP3451" s="313"/>
      <c r="AQ3451" s="314"/>
      <c r="AR3451" s="315" t="str">
        <f t="shared" si="90"/>
        <v/>
      </c>
    </row>
    <row r="3452" spans="37:44" ht="30" hidden="1" customHeight="1" x14ac:dyDescent="0.25">
      <c r="AK3452" s="313"/>
      <c r="AL3452" s="313"/>
      <c r="AM3452" s="313"/>
      <c r="AN3452" s="313"/>
      <c r="AO3452" s="313"/>
      <c r="AP3452" s="313"/>
      <c r="AQ3452" s="314"/>
      <c r="AR3452" s="315" t="str">
        <f t="shared" si="90"/>
        <v/>
      </c>
    </row>
    <row r="3453" spans="37:44" ht="30" hidden="1" customHeight="1" x14ac:dyDescent="0.25">
      <c r="AK3453" s="313"/>
      <c r="AL3453" s="313"/>
      <c r="AM3453" s="313"/>
      <c r="AN3453" s="313"/>
      <c r="AO3453" s="313"/>
      <c r="AP3453" s="313"/>
      <c r="AQ3453" s="314"/>
      <c r="AR3453" s="315" t="str">
        <f t="shared" si="90"/>
        <v/>
      </c>
    </row>
    <row r="3454" spans="37:44" ht="30" hidden="1" customHeight="1" x14ac:dyDescent="0.25">
      <c r="AK3454" s="313"/>
      <c r="AL3454" s="313"/>
      <c r="AM3454" s="313"/>
      <c r="AN3454" s="313"/>
      <c r="AO3454" s="313"/>
      <c r="AP3454" s="313"/>
      <c r="AQ3454" s="314"/>
      <c r="AR3454" s="315" t="str">
        <f t="shared" si="90"/>
        <v/>
      </c>
    </row>
    <row r="3455" spans="37:44" ht="30" hidden="1" customHeight="1" x14ac:dyDescent="0.25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91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 x14ac:dyDescent="0.25">
      <c r="AK3456" s="313"/>
      <c r="AL3456" s="313"/>
      <c r="AM3456" s="313"/>
      <c r="AN3456" s="313"/>
      <c r="AO3456" s="313"/>
      <c r="AP3456" s="313"/>
      <c r="AQ3456" s="314"/>
      <c r="AR3456" s="315" t="str">
        <f t="shared" si="91"/>
        <v/>
      </c>
    </row>
    <row r="3457" spans="37:44" ht="30" hidden="1" customHeight="1" x14ac:dyDescent="0.25">
      <c r="AK3457" s="313"/>
      <c r="AL3457" s="313"/>
      <c r="AM3457" s="313"/>
      <c r="AN3457" s="313"/>
      <c r="AO3457" s="313"/>
      <c r="AP3457" s="313"/>
      <c r="AQ3457" s="314"/>
      <c r="AR3457" s="315" t="str">
        <f t="shared" si="91"/>
        <v/>
      </c>
    </row>
    <row r="3458" spans="37:44" ht="30" hidden="1" customHeight="1" x14ac:dyDescent="0.25">
      <c r="AK3458" s="313"/>
      <c r="AL3458" s="313"/>
      <c r="AM3458" s="313"/>
      <c r="AN3458" s="313"/>
      <c r="AO3458" s="313"/>
      <c r="AP3458" s="313"/>
      <c r="AQ3458" s="314"/>
      <c r="AR3458" s="315" t="str">
        <f t="shared" si="91"/>
        <v/>
      </c>
    </row>
    <row r="3459" spans="37:44" ht="30" hidden="1" customHeight="1" x14ac:dyDescent="0.25">
      <c r="AK3459" s="313"/>
      <c r="AL3459" s="313"/>
      <c r="AM3459" s="313"/>
      <c r="AN3459" s="313"/>
      <c r="AO3459" s="313"/>
      <c r="AP3459" s="313"/>
      <c r="AQ3459" s="314"/>
      <c r="AR3459" s="315" t="str">
        <f t="shared" si="91"/>
        <v/>
      </c>
    </row>
    <row r="3460" spans="37:44" ht="30" hidden="1" customHeight="1" x14ac:dyDescent="0.25">
      <c r="AK3460" s="313"/>
      <c r="AL3460" s="313"/>
      <c r="AM3460" s="313"/>
      <c r="AN3460" s="313"/>
      <c r="AO3460" s="313"/>
      <c r="AP3460" s="313"/>
      <c r="AQ3460" s="314"/>
      <c r="AR3460" s="315" t="str">
        <f t="shared" si="91"/>
        <v/>
      </c>
    </row>
    <row r="3461" spans="37:44" ht="30" hidden="1" customHeight="1" x14ac:dyDescent="0.25">
      <c r="AK3461" s="313"/>
      <c r="AL3461" s="313"/>
      <c r="AM3461" s="313"/>
      <c r="AN3461" s="313"/>
      <c r="AO3461" s="313"/>
      <c r="AP3461" s="313"/>
      <c r="AQ3461" s="314"/>
      <c r="AR3461" s="315" t="str">
        <f t="shared" si="91"/>
        <v/>
      </c>
    </row>
    <row r="3462" spans="37:44" ht="30" hidden="1" customHeight="1" x14ac:dyDescent="0.25">
      <c r="AK3462" s="313"/>
      <c r="AL3462" s="313"/>
      <c r="AM3462" s="313"/>
      <c r="AN3462" s="313"/>
      <c r="AO3462" s="313"/>
      <c r="AP3462" s="313"/>
      <c r="AQ3462" s="314"/>
      <c r="AR3462" s="315" t="str">
        <f t="shared" si="91"/>
        <v/>
      </c>
    </row>
    <row r="3463" spans="37:44" ht="30" hidden="1" customHeight="1" x14ac:dyDescent="0.25">
      <c r="AK3463" s="313"/>
      <c r="AL3463" s="313"/>
      <c r="AM3463" s="313"/>
      <c r="AN3463" s="313"/>
      <c r="AO3463" s="313"/>
      <c r="AP3463" s="313"/>
      <c r="AQ3463" s="314"/>
      <c r="AR3463" s="315" t="str">
        <f t="shared" si="91"/>
        <v/>
      </c>
    </row>
    <row r="3464" spans="37:44" ht="30" hidden="1" customHeight="1" x14ac:dyDescent="0.25">
      <c r="AK3464" s="313"/>
      <c r="AL3464" s="313"/>
      <c r="AM3464" s="313"/>
      <c r="AN3464" s="313"/>
      <c r="AO3464" s="313"/>
      <c r="AP3464" s="313"/>
      <c r="AQ3464" s="314"/>
      <c r="AR3464" s="315" t="str">
        <f t="shared" si="91"/>
        <v/>
      </c>
    </row>
    <row r="3465" spans="37:44" ht="30" hidden="1" customHeight="1" x14ac:dyDescent="0.25">
      <c r="AK3465" s="313"/>
      <c r="AL3465" s="313"/>
      <c r="AM3465" s="313"/>
      <c r="AN3465" s="313"/>
      <c r="AO3465" s="313"/>
      <c r="AP3465" s="313"/>
      <c r="AQ3465" s="314"/>
      <c r="AR3465" s="315" t="str">
        <f t="shared" si="91"/>
        <v/>
      </c>
    </row>
    <row r="3466" spans="37:44" ht="30" hidden="1" customHeight="1" x14ac:dyDescent="0.25">
      <c r="AK3466" s="313"/>
      <c r="AL3466" s="313"/>
      <c r="AM3466" s="313"/>
      <c r="AN3466" s="313"/>
      <c r="AO3466" s="313"/>
      <c r="AP3466" s="313"/>
      <c r="AQ3466" s="314"/>
      <c r="AR3466" s="315" t="str">
        <f t="shared" si="91"/>
        <v/>
      </c>
    </row>
    <row r="3467" spans="37:44" ht="30" hidden="1" customHeight="1" x14ac:dyDescent="0.25">
      <c r="AK3467" s="313"/>
      <c r="AL3467" s="313"/>
      <c r="AM3467" s="313"/>
      <c r="AN3467" s="313"/>
      <c r="AO3467" s="313"/>
      <c r="AP3467" s="313"/>
      <c r="AQ3467" s="314"/>
      <c r="AR3467" s="315" t="str">
        <f t="shared" si="91"/>
        <v/>
      </c>
    </row>
    <row r="3468" spans="37:44" ht="30" hidden="1" customHeight="1" x14ac:dyDescent="0.25">
      <c r="AK3468" s="313"/>
      <c r="AL3468" s="313"/>
      <c r="AM3468" s="313"/>
      <c r="AN3468" s="313"/>
      <c r="AO3468" s="313"/>
      <c r="AP3468" s="313"/>
      <c r="AQ3468" s="314"/>
      <c r="AR3468" s="315" t="str">
        <f t="shared" si="91"/>
        <v/>
      </c>
    </row>
    <row r="3469" spans="37:44" ht="30" hidden="1" customHeight="1" x14ac:dyDescent="0.25">
      <c r="AK3469" s="313"/>
      <c r="AL3469" s="313"/>
      <c r="AM3469" s="313"/>
      <c r="AN3469" s="313"/>
      <c r="AO3469" s="313"/>
      <c r="AP3469" s="313"/>
      <c r="AQ3469" s="314"/>
      <c r="AR3469" s="315" t="str">
        <f t="shared" si="91"/>
        <v/>
      </c>
    </row>
    <row r="3470" spans="37:44" ht="30" hidden="1" customHeight="1" x14ac:dyDescent="0.25">
      <c r="AK3470" s="313"/>
      <c r="AL3470" s="313"/>
      <c r="AM3470" s="313"/>
      <c r="AN3470" s="313"/>
      <c r="AO3470" s="313"/>
      <c r="AP3470" s="313"/>
      <c r="AQ3470" s="314"/>
      <c r="AR3470" s="315" t="str">
        <f t="shared" si="91"/>
        <v/>
      </c>
    </row>
    <row r="3471" spans="37:44" ht="30" hidden="1" customHeight="1" x14ac:dyDescent="0.25">
      <c r="AK3471" s="313"/>
      <c r="AL3471" s="313"/>
      <c r="AM3471" s="313"/>
      <c r="AN3471" s="313"/>
      <c r="AO3471" s="313"/>
      <c r="AP3471" s="313"/>
      <c r="AQ3471" s="314"/>
      <c r="AR3471" s="315" t="str">
        <f t="shared" si="91"/>
        <v/>
      </c>
    </row>
    <row r="3472" spans="37:44" ht="30" hidden="1" customHeight="1" x14ac:dyDescent="0.25">
      <c r="AK3472" s="313"/>
      <c r="AL3472" s="313"/>
      <c r="AM3472" s="313"/>
      <c r="AN3472" s="313"/>
      <c r="AO3472" s="313"/>
      <c r="AP3472" s="313"/>
      <c r="AQ3472" s="314"/>
      <c r="AR3472" s="315" t="str">
        <f t="shared" si="91"/>
        <v/>
      </c>
    </row>
    <row r="3473" spans="37:44" ht="30" hidden="1" customHeight="1" x14ac:dyDescent="0.25">
      <c r="AK3473" s="313"/>
      <c r="AL3473" s="313"/>
      <c r="AM3473" s="313"/>
      <c r="AN3473" s="313"/>
      <c r="AO3473" s="313"/>
      <c r="AP3473" s="313"/>
      <c r="AQ3473" s="314"/>
      <c r="AR3473" s="315" t="str">
        <f t="shared" si="91"/>
        <v/>
      </c>
    </row>
    <row r="3474" spans="37:44" ht="30" hidden="1" customHeight="1" x14ac:dyDescent="0.25">
      <c r="AK3474" s="313"/>
      <c r="AL3474" s="313"/>
      <c r="AM3474" s="313"/>
      <c r="AN3474" s="313"/>
      <c r="AO3474" s="313"/>
      <c r="AP3474" s="313"/>
      <c r="AQ3474" s="314"/>
      <c r="AR3474" s="315" t="str">
        <f t="shared" si="91"/>
        <v/>
      </c>
    </row>
    <row r="3475" spans="37:44" ht="30" hidden="1" customHeight="1" x14ac:dyDescent="0.25">
      <c r="AK3475" s="313"/>
      <c r="AL3475" s="313"/>
      <c r="AM3475" s="313"/>
      <c r="AN3475" s="313"/>
      <c r="AO3475" s="313"/>
      <c r="AP3475" s="313"/>
      <c r="AQ3475" s="314"/>
      <c r="AR3475" s="315" t="str">
        <f t="shared" si="91"/>
        <v/>
      </c>
    </row>
    <row r="3476" spans="37:44" ht="30" hidden="1" customHeight="1" x14ac:dyDescent="0.25">
      <c r="AK3476" s="313"/>
      <c r="AL3476" s="313"/>
      <c r="AM3476" s="313"/>
      <c r="AN3476" s="313"/>
      <c r="AO3476" s="313"/>
      <c r="AP3476" s="313"/>
      <c r="AQ3476" s="314"/>
      <c r="AR3476" s="315" t="str">
        <f t="shared" si="91"/>
        <v/>
      </c>
    </row>
    <row r="3477" spans="37:44" ht="30" hidden="1" customHeight="1" x14ac:dyDescent="0.25">
      <c r="AK3477" s="313"/>
      <c r="AL3477" s="313"/>
      <c r="AM3477" s="313"/>
      <c r="AN3477" s="313"/>
      <c r="AO3477" s="313"/>
      <c r="AP3477" s="313"/>
      <c r="AQ3477" s="314"/>
      <c r="AR3477" s="315" t="str">
        <f t="shared" si="91"/>
        <v/>
      </c>
    </row>
    <row r="3478" spans="37:44" ht="30" hidden="1" customHeight="1" x14ac:dyDescent="0.25">
      <c r="AK3478" s="313"/>
      <c r="AL3478" s="313"/>
      <c r="AM3478" s="313"/>
      <c r="AN3478" s="313"/>
      <c r="AO3478" s="313"/>
      <c r="AP3478" s="313"/>
      <c r="AQ3478" s="314"/>
      <c r="AR3478" s="315" t="str">
        <f t="shared" si="91"/>
        <v/>
      </c>
    </row>
    <row r="3479" spans="37:44" ht="30" hidden="1" customHeight="1" x14ac:dyDescent="0.25">
      <c r="AK3479" s="313"/>
      <c r="AL3479" s="313"/>
      <c r="AM3479" s="313"/>
      <c r="AN3479" s="313"/>
      <c r="AO3479" s="313"/>
      <c r="AP3479" s="313"/>
      <c r="AQ3479" s="314"/>
      <c r="AR3479" s="315" t="str">
        <f t="shared" si="91"/>
        <v/>
      </c>
    </row>
    <row r="3480" spans="37:44" ht="30" hidden="1" customHeight="1" x14ac:dyDescent="0.25">
      <c r="AK3480" s="313"/>
      <c r="AL3480" s="313"/>
      <c r="AM3480" s="313"/>
      <c r="AN3480" s="313"/>
      <c r="AO3480" s="313"/>
      <c r="AP3480" s="313"/>
      <c r="AQ3480" s="314"/>
      <c r="AR3480" s="315" t="str">
        <f t="shared" si="91"/>
        <v/>
      </c>
    </row>
    <row r="3481" spans="37:44" ht="30" hidden="1" customHeight="1" x14ac:dyDescent="0.25">
      <c r="AK3481" s="313"/>
      <c r="AL3481" s="313"/>
      <c r="AM3481" s="313"/>
      <c r="AN3481" s="313"/>
      <c r="AO3481" s="313"/>
      <c r="AP3481" s="313"/>
      <c r="AQ3481" s="314"/>
      <c r="AR3481" s="315" t="str">
        <f t="shared" si="91"/>
        <v/>
      </c>
    </row>
    <row r="3482" spans="37:44" ht="30" hidden="1" customHeight="1" x14ac:dyDescent="0.25">
      <c r="AK3482" s="313"/>
      <c r="AL3482" s="313"/>
      <c r="AM3482" s="313"/>
      <c r="AN3482" s="313"/>
      <c r="AO3482" s="313"/>
      <c r="AP3482" s="313"/>
      <c r="AQ3482" s="314"/>
      <c r="AR3482" s="315" t="str">
        <f t="shared" si="91"/>
        <v/>
      </c>
    </row>
    <row r="3483" spans="37:44" ht="30" hidden="1" customHeight="1" x14ac:dyDescent="0.25">
      <c r="AK3483" s="313"/>
      <c r="AL3483" s="313"/>
      <c r="AM3483" s="313"/>
      <c r="AN3483" s="313"/>
      <c r="AO3483" s="313"/>
      <c r="AP3483" s="313"/>
      <c r="AQ3483" s="314"/>
      <c r="AR3483" s="315" t="str">
        <f t="shared" si="91"/>
        <v/>
      </c>
    </row>
    <row r="3484" spans="37:44" ht="30" hidden="1" customHeight="1" x14ac:dyDescent="0.25">
      <c r="AK3484" s="313"/>
      <c r="AL3484" s="313"/>
      <c r="AM3484" s="313"/>
      <c r="AN3484" s="313"/>
      <c r="AO3484" s="313"/>
      <c r="AP3484" s="313"/>
      <c r="AQ3484" s="314"/>
      <c r="AR3484" s="315" t="str">
        <f t="shared" si="91"/>
        <v/>
      </c>
    </row>
    <row r="3485" spans="37:44" ht="30" hidden="1" customHeight="1" x14ac:dyDescent="0.25">
      <c r="AK3485" s="313"/>
      <c r="AL3485" s="313"/>
      <c r="AM3485" s="313"/>
      <c r="AN3485" s="313"/>
      <c r="AO3485" s="313"/>
      <c r="AP3485" s="313"/>
      <c r="AQ3485" s="314"/>
      <c r="AR3485" s="315" t="str">
        <f t="shared" si="91"/>
        <v/>
      </c>
    </row>
    <row r="3486" spans="37:44" ht="30" hidden="1" customHeight="1" x14ac:dyDescent="0.25">
      <c r="AK3486" s="313"/>
      <c r="AL3486" s="313"/>
      <c r="AM3486" s="313"/>
      <c r="AN3486" s="313"/>
      <c r="AO3486" s="313"/>
      <c r="AP3486" s="313"/>
      <c r="AQ3486" s="314"/>
      <c r="AR3486" s="315" t="str">
        <f t="shared" si="91"/>
        <v/>
      </c>
    </row>
    <row r="3487" spans="37:44" ht="30" hidden="1" customHeight="1" x14ac:dyDescent="0.25">
      <c r="AK3487" s="313"/>
      <c r="AL3487" s="313"/>
      <c r="AM3487" s="313"/>
      <c r="AN3487" s="313"/>
      <c r="AO3487" s="313"/>
      <c r="AP3487" s="313"/>
      <c r="AQ3487" s="314"/>
      <c r="AR3487" s="315" t="str">
        <f t="shared" si="91"/>
        <v/>
      </c>
    </row>
    <row r="3488" spans="37:44" ht="30" hidden="1" customHeight="1" x14ac:dyDescent="0.25">
      <c r="AK3488" s="313"/>
      <c r="AL3488" s="313"/>
      <c r="AM3488" s="313"/>
      <c r="AN3488" s="313"/>
      <c r="AO3488" s="313"/>
      <c r="AP3488" s="313"/>
      <c r="AQ3488" s="314"/>
      <c r="AR3488" s="315" t="str">
        <f t="shared" si="91"/>
        <v/>
      </c>
    </row>
    <row r="3489" spans="37:44" ht="30" hidden="1" customHeight="1" x14ac:dyDescent="0.25">
      <c r="AK3489" s="313"/>
      <c r="AL3489" s="313"/>
      <c r="AM3489" s="313"/>
      <c r="AN3489" s="313"/>
      <c r="AO3489" s="313"/>
      <c r="AP3489" s="313"/>
      <c r="AQ3489" s="314"/>
      <c r="AR3489" s="315" t="str">
        <f t="shared" si="91"/>
        <v/>
      </c>
    </row>
    <row r="3490" spans="37:44" ht="30" hidden="1" customHeight="1" x14ac:dyDescent="0.25">
      <c r="AK3490" s="313"/>
      <c r="AL3490" s="313"/>
      <c r="AM3490" s="313"/>
      <c r="AN3490" s="313"/>
      <c r="AO3490" s="313"/>
      <c r="AP3490" s="313"/>
      <c r="AQ3490" s="314"/>
      <c r="AR3490" s="315" t="str">
        <f t="shared" si="91"/>
        <v/>
      </c>
    </row>
    <row r="3491" spans="37:44" ht="30" hidden="1" customHeight="1" x14ac:dyDescent="0.25">
      <c r="AK3491" s="313"/>
      <c r="AL3491" s="313"/>
      <c r="AM3491" s="313"/>
      <c r="AN3491" s="313"/>
      <c r="AO3491" s="313"/>
      <c r="AP3491" s="313"/>
      <c r="AQ3491" s="314"/>
      <c r="AR3491" s="315" t="str">
        <f t="shared" si="91"/>
        <v/>
      </c>
    </row>
    <row r="3492" spans="37:44" ht="30" hidden="1" customHeight="1" x14ac:dyDescent="0.25">
      <c r="AK3492" s="313"/>
      <c r="AL3492" s="313"/>
      <c r="AM3492" s="313"/>
      <c r="AN3492" s="313"/>
      <c r="AO3492" s="313"/>
      <c r="AP3492" s="313"/>
      <c r="AQ3492" s="314"/>
      <c r="AR3492" s="315" t="str">
        <f t="shared" si="91"/>
        <v/>
      </c>
    </row>
    <row r="3493" spans="37:44" ht="30" hidden="1" customHeight="1" x14ac:dyDescent="0.25">
      <c r="AK3493" s="313"/>
      <c r="AL3493" s="313"/>
      <c r="AM3493" s="313"/>
      <c r="AN3493" s="313"/>
      <c r="AO3493" s="313"/>
      <c r="AP3493" s="313"/>
      <c r="AQ3493" s="314"/>
      <c r="AR3493" s="315" t="str">
        <f t="shared" si="91"/>
        <v/>
      </c>
    </row>
    <row r="3494" spans="37:44" ht="30" hidden="1" customHeight="1" x14ac:dyDescent="0.25">
      <c r="AK3494" s="313"/>
      <c r="AL3494" s="313"/>
      <c r="AM3494" s="313"/>
      <c r="AN3494" s="313"/>
      <c r="AO3494" s="313"/>
      <c r="AP3494" s="313"/>
      <c r="AQ3494" s="314"/>
      <c r="AR3494" s="315" t="str">
        <f t="shared" si="91"/>
        <v/>
      </c>
    </row>
    <row r="3495" spans="37:44" ht="30" hidden="1" customHeight="1" x14ac:dyDescent="0.25">
      <c r="AK3495" s="313"/>
      <c r="AL3495" s="313"/>
      <c r="AM3495" s="313"/>
      <c r="AN3495" s="313"/>
      <c r="AO3495" s="313"/>
      <c r="AP3495" s="313"/>
      <c r="AQ3495" s="314"/>
      <c r="AR3495" s="315" t="str">
        <f t="shared" si="91"/>
        <v/>
      </c>
    </row>
    <row r="3496" spans="37:44" ht="30" hidden="1" customHeight="1" x14ac:dyDescent="0.25">
      <c r="AK3496" s="313"/>
      <c r="AL3496" s="313"/>
      <c r="AM3496" s="313"/>
      <c r="AN3496" s="313"/>
      <c r="AO3496" s="313"/>
      <c r="AP3496" s="313"/>
      <c r="AQ3496" s="314"/>
      <c r="AR3496" s="315" t="str">
        <f t="shared" si="91"/>
        <v/>
      </c>
    </row>
    <row r="3497" spans="37:44" ht="30" hidden="1" customHeight="1" x14ac:dyDescent="0.25">
      <c r="AK3497" s="313"/>
      <c r="AL3497" s="313"/>
      <c r="AM3497" s="313"/>
      <c r="AN3497" s="313"/>
      <c r="AO3497" s="313"/>
      <c r="AP3497" s="313"/>
      <c r="AQ3497" s="314"/>
      <c r="AR3497" s="315" t="str">
        <f t="shared" si="91"/>
        <v/>
      </c>
    </row>
    <row r="3498" spans="37:44" ht="30" hidden="1" customHeight="1" x14ac:dyDescent="0.25">
      <c r="AK3498" s="313"/>
      <c r="AL3498" s="313"/>
      <c r="AM3498" s="313"/>
      <c r="AN3498" s="313"/>
      <c r="AO3498" s="313"/>
      <c r="AP3498" s="313"/>
      <c r="AQ3498" s="314"/>
      <c r="AR3498" s="315" t="str">
        <f t="shared" si="91"/>
        <v/>
      </c>
    </row>
    <row r="3499" spans="37:44" ht="30" hidden="1" customHeight="1" x14ac:dyDescent="0.25">
      <c r="AK3499" s="313"/>
      <c r="AL3499" s="313"/>
      <c r="AM3499" s="313"/>
      <c r="AN3499" s="313"/>
      <c r="AO3499" s="313"/>
      <c r="AP3499" s="313"/>
      <c r="AQ3499" s="314"/>
      <c r="AR3499" s="315" t="str">
        <f t="shared" si="91"/>
        <v/>
      </c>
    </row>
    <row r="3500" spans="37:44" ht="30" hidden="1" customHeight="1" x14ac:dyDescent="0.25">
      <c r="AK3500" s="313"/>
      <c r="AL3500" s="313"/>
      <c r="AM3500" s="313"/>
      <c r="AN3500" s="313"/>
      <c r="AO3500" s="313"/>
      <c r="AP3500" s="313"/>
      <c r="AQ3500" s="314"/>
      <c r="AR3500" s="315" t="str">
        <f t="shared" si="91"/>
        <v/>
      </c>
    </row>
    <row r="3501" spans="37:44" ht="30" hidden="1" customHeight="1" x14ac:dyDescent="0.25">
      <c r="AK3501" s="313"/>
      <c r="AL3501" s="313"/>
      <c r="AM3501" s="313"/>
      <c r="AN3501" s="313"/>
      <c r="AO3501" s="313"/>
      <c r="AP3501" s="313"/>
      <c r="AQ3501" s="314"/>
      <c r="AR3501" s="315" t="str">
        <f t="shared" si="91"/>
        <v/>
      </c>
    </row>
    <row r="3502" spans="37:44" ht="30" hidden="1" customHeight="1" x14ac:dyDescent="0.25">
      <c r="AK3502" s="313"/>
      <c r="AL3502" s="313"/>
      <c r="AM3502" s="313"/>
      <c r="AN3502" s="313"/>
      <c r="AO3502" s="313"/>
      <c r="AP3502" s="313"/>
      <c r="AQ3502" s="314"/>
      <c r="AR3502" s="315" t="str">
        <f t="shared" si="91"/>
        <v/>
      </c>
    </row>
    <row r="3503" spans="37:44" ht="30" hidden="1" customHeight="1" x14ac:dyDescent="0.25">
      <c r="AK3503" s="313"/>
      <c r="AL3503" s="313"/>
      <c r="AM3503" s="313"/>
      <c r="AN3503" s="313"/>
      <c r="AO3503" s="313"/>
      <c r="AP3503" s="313"/>
      <c r="AQ3503" s="314"/>
      <c r="AR3503" s="315" t="str">
        <f t="shared" si="91"/>
        <v/>
      </c>
    </row>
    <row r="3504" spans="37:44" ht="30" hidden="1" customHeight="1" x14ac:dyDescent="0.25">
      <c r="AK3504" s="313"/>
      <c r="AL3504" s="313"/>
      <c r="AM3504" s="313"/>
      <c r="AN3504" s="313"/>
      <c r="AO3504" s="313"/>
      <c r="AP3504" s="313"/>
      <c r="AQ3504" s="314"/>
      <c r="AR3504" s="315" t="str">
        <f t="shared" si="91"/>
        <v/>
      </c>
    </row>
    <row r="3505" spans="37:44" ht="30" hidden="1" customHeight="1" x14ac:dyDescent="0.25">
      <c r="AK3505" s="313"/>
      <c r="AL3505" s="313"/>
      <c r="AM3505" s="313"/>
      <c r="AN3505" s="313"/>
      <c r="AO3505" s="313"/>
      <c r="AP3505" s="313"/>
      <c r="AQ3505" s="314"/>
      <c r="AR3505" s="315" t="str">
        <f t="shared" si="91"/>
        <v/>
      </c>
    </row>
    <row r="3506" spans="37:44" ht="30" hidden="1" customHeight="1" x14ac:dyDescent="0.25">
      <c r="AK3506" s="313"/>
      <c r="AL3506" s="313"/>
      <c r="AM3506" s="313"/>
      <c r="AN3506" s="313"/>
      <c r="AO3506" s="313"/>
      <c r="AP3506" s="313"/>
      <c r="AQ3506" s="314"/>
      <c r="AR3506" s="315" t="str">
        <f t="shared" si="91"/>
        <v/>
      </c>
    </row>
    <row r="3507" spans="37:44" ht="30" hidden="1" customHeight="1" x14ac:dyDescent="0.25">
      <c r="AK3507" s="313"/>
      <c r="AL3507" s="313"/>
      <c r="AM3507" s="313"/>
      <c r="AN3507" s="313"/>
      <c r="AO3507" s="313"/>
      <c r="AP3507" s="313"/>
      <c r="AQ3507" s="314"/>
      <c r="AR3507" s="315" t="str">
        <f t="shared" si="91"/>
        <v/>
      </c>
    </row>
    <row r="3508" spans="37:44" ht="30" hidden="1" customHeight="1" x14ac:dyDescent="0.25">
      <c r="AK3508" s="313"/>
      <c r="AL3508" s="313"/>
      <c r="AM3508" s="313"/>
      <c r="AN3508" s="313"/>
      <c r="AO3508" s="313"/>
      <c r="AP3508" s="313"/>
      <c r="AQ3508" s="314"/>
      <c r="AR3508" s="315" t="str">
        <f t="shared" si="91"/>
        <v/>
      </c>
    </row>
    <row r="3509" spans="37:44" ht="30" hidden="1" customHeight="1" x14ac:dyDescent="0.25">
      <c r="AK3509" s="313"/>
      <c r="AL3509" s="313"/>
      <c r="AM3509" s="313"/>
      <c r="AN3509" s="313"/>
      <c r="AO3509" s="313"/>
      <c r="AP3509" s="313"/>
      <c r="AQ3509" s="314"/>
      <c r="AR3509" s="315" t="str">
        <f t="shared" si="91"/>
        <v/>
      </c>
    </row>
    <row r="3510" spans="37:44" ht="30" hidden="1" customHeight="1" x14ac:dyDescent="0.25">
      <c r="AK3510" s="313"/>
      <c r="AL3510" s="313"/>
      <c r="AM3510" s="313"/>
      <c r="AN3510" s="313"/>
      <c r="AO3510" s="313"/>
      <c r="AP3510" s="313"/>
      <c r="AQ3510" s="314"/>
      <c r="AR3510" s="315" t="str">
        <f t="shared" si="91"/>
        <v/>
      </c>
    </row>
    <row r="3511" spans="37:44" ht="30" hidden="1" customHeight="1" x14ac:dyDescent="0.25">
      <c r="AK3511" s="313"/>
      <c r="AL3511" s="313"/>
      <c r="AM3511" s="313"/>
      <c r="AN3511" s="313"/>
      <c r="AO3511" s="313"/>
      <c r="AP3511" s="313"/>
      <c r="AQ3511" s="314"/>
      <c r="AR3511" s="315" t="str">
        <f t="shared" si="91"/>
        <v/>
      </c>
    </row>
    <row r="3512" spans="37:44" ht="30" hidden="1" customHeight="1" x14ac:dyDescent="0.25">
      <c r="AK3512" s="313"/>
      <c r="AL3512" s="313"/>
      <c r="AM3512" s="313"/>
      <c r="AN3512" s="313"/>
      <c r="AO3512" s="313"/>
      <c r="AP3512" s="313"/>
      <c r="AQ3512" s="314"/>
      <c r="AR3512" s="315" t="str">
        <f t="shared" si="91"/>
        <v/>
      </c>
    </row>
    <row r="3513" spans="37:44" ht="30" hidden="1" customHeight="1" x14ac:dyDescent="0.25">
      <c r="AK3513" s="313"/>
      <c r="AL3513" s="313"/>
      <c r="AM3513" s="313"/>
      <c r="AN3513" s="313"/>
      <c r="AO3513" s="313"/>
      <c r="AP3513" s="313"/>
      <c r="AQ3513" s="314"/>
      <c r="AR3513" s="315" t="str">
        <f t="shared" si="91"/>
        <v/>
      </c>
    </row>
    <row r="3514" spans="37:44" ht="30" hidden="1" customHeight="1" x14ac:dyDescent="0.25">
      <c r="AK3514" s="313"/>
      <c r="AL3514" s="313"/>
      <c r="AM3514" s="313"/>
      <c r="AN3514" s="313"/>
      <c r="AO3514" s="313"/>
      <c r="AP3514" s="313"/>
      <c r="AQ3514" s="314"/>
      <c r="AR3514" s="315" t="str">
        <f t="shared" si="91"/>
        <v/>
      </c>
    </row>
    <row r="3515" spans="37:44" ht="30" hidden="1" customHeight="1" x14ac:dyDescent="0.25">
      <c r="AK3515" s="313"/>
      <c r="AL3515" s="313"/>
      <c r="AM3515" s="313"/>
      <c r="AN3515" s="313"/>
      <c r="AO3515" s="313"/>
      <c r="AP3515" s="313"/>
      <c r="AQ3515" s="314"/>
      <c r="AR3515" s="315" t="str">
        <f t="shared" si="91"/>
        <v/>
      </c>
    </row>
    <row r="3516" spans="37:44" ht="30" hidden="1" customHeight="1" x14ac:dyDescent="0.25">
      <c r="AK3516" s="313"/>
      <c r="AL3516" s="313"/>
      <c r="AM3516" s="313"/>
      <c r="AN3516" s="313"/>
      <c r="AO3516" s="313"/>
      <c r="AP3516" s="313"/>
      <c r="AQ3516" s="314"/>
      <c r="AR3516" s="315" t="str">
        <f t="shared" si="91"/>
        <v/>
      </c>
    </row>
    <row r="3517" spans="37:44" ht="30" hidden="1" customHeight="1" x14ac:dyDescent="0.25">
      <c r="AK3517" s="313"/>
      <c r="AL3517" s="313"/>
      <c r="AM3517" s="313"/>
      <c r="AN3517" s="313"/>
      <c r="AO3517" s="313"/>
      <c r="AP3517" s="313"/>
      <c r="AQ3517" s="314"/>
      <c r="AR3517" s="315" t="str">
        <f t="shared" si="91"/>
        <v/>
      </c>
    </row>
    <row r="3518" spans="37:44" ht="30" hidden="1" customHeight="1" x14ac:dyDescent="0.25">
      <c r="AK3518" s="313"/>
      <c r="AL3518" s="313"/>
      <c r="AM3518" s="313"/>
      <c r="AN3518" s="313"/>
      <c r="AO3518" s="313"/>
      <c r="AP3518" s="313"/>
      <c r="AQ3518" s="314"/>
      <c r="AR3518" s="315" t="str">
        <f t="shared" si="91"/>
        <v/>
      </c>
    </row>
    <row r="3519" spans="37:44" ht="30" hidden="1" customHeight="1" x14ac:dyDescent="0.25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92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 x14ac:dyDescent="0.25">
      <c r="AK3520" s="313"/>
      <c r="AL3520" s="313"/>
      <c r="AM3520" s="313"/>
      <c r="AN3520" s="313"/>
      <c r="AO3520" s="313"/>
      <c r="AP3520" s="313"/>
      <c r="AQ3520" s="314"/>
      <c r="AR3520" s="315" t="str">
        <f t="shared" si="92"/>
        <v/>
      </c>
    </row>
    <row r="3521" spans="37:44" ht="30" hidden="1" customHeight="1" x14ac:dyDescent="0.25">
      <c r="AK3521" s="313"/>
      <c r="AL3521" s="313"/>
      <c r="AM3521" s="313"/>
      <c r="AN3521" s="313"/>
      <c r="AO3521" s="313"/>
      <c r="AP3521" s="313"/>
      <c r="AQ3521" s="314"/>
      <c r="AR3521" s="315" t="str">
        <f t="shared" si="92"/>
        <v/>
      </c>
    </row>
    <row r="3522" spans="37:44" ht="30" hidden="1" customHeight="1" x14ac:dyDescent="0.25">
      <c r="AK3522" s="313"/>
      <c r="AL3522" s="313"/>
      <c r="AM3522" s="313"/>
      <c r="AN3522" s="313"/>
      <c r="AO3522" s="313"/>
      <c r="AP3522" s="313"/>
      <c r="AQ3522" s="314"/>
      <c r="AR3522" s="315" t="str">
        <f t="shared" si="92"/>
        <v/>
      </c>
    </row>
    <row r="3523" spans="37:44" ht="30" hidden="1" customHeight="1" x14ac:dyDescent="0.25">
      <c r="AK3523" s="313"/>
      <c r="AL3523" s="313"/>
      <c r="AM3523" s="313"/>
      <c r="AN3523" s="313"/>
      <c r="AO3523" s="313"/>
      <c r="AP3523" s="313"/>
      <c r="AQ3523" s="314"/>
      <c r="AR3523" s="315" t="str">
        <f t="shared" si="92"/>
        <v/>
      </c>
    </row>
    <row r="3524" spans="37:44" ht="30" hidden="1" customHeight="1" x14ac:dyDescent="0.25">
      <c r="AK3524" s="313"/>
      <c r="AL3524" s="313"/>
      <c r="AM3524" s="313"/>
      <c r="AN3524" s="313"/>
      <c r="AO3524" s="313"/>
      <c r="AP3524" s="313"/>
      <c r="AQ3524" s="314"/>
      <c r="AR3524" s="315" t="str">
        <f t="shared" si="92"/>
        <v/>
      </c>
    </row>
    <row r="3525" spans="37:44" ht="30" hidden="1" customHeight="1" x14ac:dyDescent="0.25">
      <c r="AK3525" s="313"/>
      <c r="AL3525" s="313"/>
      <c r="AM3525" s="313"/>
      <c r="AN3525" s="313"/>
      <c r="AO3525" s="313"/>
      <c r="AP3525" s="313"/>
      <c r="AQ3525" s="314"/>
      <c r="AR3525" s="315" t="str">
        <f t="shared" si="92"/>
        <v/>
      </c>
    </row>
    <row r="3526" spans="37:44" ht="30" hidden="1" customHeight="1" x14ac:dyDescent="0.25">
      <c r="AK3526" s="313"/>
      <c r="AL3526" s="313"/>
      <c r="AM3526" s="313"/>
      <c r="AN3526" s="313"/>
      <c r="AO3526" s="313"/>
      <c r="AP3526" s="313"/>
      <c r="AQ3526" s="314"/>
      <c r="AR3526" s="315" t="str">
        <f t="shared" si="92"/>
        <v/>
      </c>
    </row>
    <row r="3527" spans="37:44" ht="30" hidden="1" customHeight="1" x14ac:dyDescent="0.25">
      <c r="AK3527" s="313"/>
      <c r="AL3527" s="313"/>
      <c r="AM3527" s="313"/>
      <c r="AN3527" s="313"/>
      <c r="AO3527" s="313"/>
      <c r="AP3527" s="313"/>
      <c r="AQ3527" s="314"/>
      <c r="AR3527" s="315" t="str">
        <f t="shared" si="92"/>
        <v/>
      </c>
    </row>
    <row r="3528" spans="37:44" ht="30" hidden="1" customHeight="1" x14ac:dyDescent="0.25">
      <c r="AK3528" s="313"/>
      <c r="AL3528" s="313"/>
      <c r="AM3528" s="313"/>
      <c r="AN3528" s="313"/>
      <c r="AO3528" s="313"/>
      <c r="AP3528" s="313"/>
      <c r="AQ3528" s="314"/>
      <c r="AR3528" s="315" t="str">
        <f t="shared" si="92"/>
        <v/>
      </c>
    </row>
    <row r="3529" spans="37:44" ht="30" hidden="1" customHeight="1" x14ac:dyDescent="0.25">
      <c r="AK3529" s="313"/>
      <c r="AL3529" s="313"/>
      <c r="AM3529" s="313"/>
      <c r="AN3529" s="313"/>
      <c r="AO3529" s="313"/>
      <c r="AP3529" s="313"/>
      <c r="AQ3529" s="314"/>
      <c r="AR3529" s="315" t="str">
        <f t="shared" si="92"/>
        <v/>
      </c>
    </row>
    <row r="3530" spans="37:44" ht="30" hidden="1" customHeight="1" x14ac:dyDescent="0.25">
      <c r="AK3530" s="313"/>
      <c r="AL3530" s="313"/>
      <c r="AM3530" s="313"/>
      <c r="AN3530" s="313"/>
      <c r="AO3530" s="313"/>
      <c r="AP3530" s="313"/>
      <c r="AQ3530" s="314"/>
      <c r="AR3530" s="315" t="str">
        <f t="shared" si="92"/>
        <v/>
      </c>
    </row>
    <row r="3531" spans="37:44" ht="30" hidden="1" customHeight="1" x14ac:dyDescent="0.25">
      <c r="AK3531" s="313"/>
      <c r="AL3531" s="313"/>
      <c r="AM3531" s="313"/>
      <c r="AN3531" s="313"/>
      <c r="AO3531" s="313"/>
      <c r="AP3531" s="313"/>
      <c r="AQ3531" s="314"/>
      <c r="AR3531" s="315" t="str">
        <f t="shared" si="92"/>
        <v/>
      </c>
    </row>
    <row r="3532" spans="37:44" ht="30" hidden="1" customHeight="1" x14ac:dyDescent="0.25">
      <c r="AK3532" s="313"/>
      <c r="AL3532" s="313"/>
      <c r="AM3532" s="313"/>
      <c r="AN3532" s="313"/>
      <c r="AO3532" s="313"/>
      <c r="AP3532" s="313"/>
      <c r="AQ3532" s="314"/>
      <c r="AR3532" s="315" t="str">
        <f t="shared" si="92"/>
        <v/>
      </c>
    </row>
    <row r="3533" spans="37:44" ht="30" hidden="1" customHeight="1" x14ac:dyDescent="0.25">
      <c r="AK3533" s="313"/>
      <c r="AL3533" s="313"/>
      <c r="AM3533" s="313"/>
      <c r="AN3533" s="313"/>
      <c r="AO3533" s="313"/>
      <c r="AP3533" s="313"/>
      <c r="AQ3533" s="314"/>
      <c r="AR3533" s="315" t="str">
        <f t="shared" si="92"/>
        <v/>
      </c>
    </row>
    <row r="3534" spans="37:44" ht="30" hidden="1" customHeight="1" x14ac:dyDescent="0.25">
      <c r="AK3534" s="313"/>
      <c r="AL3534" s="313"/>
      <c r="AM3534" s="313"/>
      <c r="AN3534" s="313"/>
      <c r="AO3534" s="313"/>
      <c r="AP3534" s="313"/>
      <c r="AQ3534" s="314"/>
      <c r="AR3534" s="315" t="str">
        <f t="shared" si="92"/>
        <v/>
      </c>
    </row>
    <row r="3535" spans="37:44" ht="30" hidden="1" customHeight="1" x14ac:dyDescent="0.25">
      <c r="AK3535" s="313"/>
      <c r="AL3535" s="313"/>
      <c r="AM3535" s="313"/>
      <c r="AN3535" s="313"/>
      <c r="AO3535" s="313"/>
      <c r="AP3535" s="313"/>
      <c r="AQ3535" s="314"/>
      <c r="AR3535" s="315" t="str">
        <f t="shared" si="92"/>
        <v/>
      </c>
    </row>
    <row r="3536" spans="37:44" ht="30" hidden="1" customHeight="1" x14ac:dyDescent="0.25">
      <c r="AK3536" s="313"/>
      <c r="AL3536" s="313"/>
      <c r="AM3536" s="313"/>
      <c r="AN3536" s="313"/>
      <c r="AO3536" s="313"/>
      <c r="AP3536" s="313"/>
      <c r="AQ3536" s="314"/>
      <c r="AR3536" s="315" t="str">
        <f t="shared" si="92"/>
        <v/>
      </c>
    </row>
    <row r="3537" spans="37:44" ht="30" hidden="1" customHeight="1" x14ac:dyDescent="0.25">
      <c r="AK3537" s="313"/>
      <c r="AL3537" s="313"/>
      <c r="AM3537" s="313"/>
      <c r="AN3537" s="313"/>
      <c r="AO3537" s="313"/>
      <c r="AP3537" s="313"/>
      <c r="AQ3537" s="314"/>
      <c r="AR3537" s="315" t="str">
        <f t="shared" si="92"/>
        <v/>
      </c>
    </row>
    <row r="3538" spans="37:44" ht="30" hidden="1" customHeight="1" x14ac:dyDescent="0.25">
      <c r="AK3538" s="313"/>
      <c r="AL3538" s="313"/>
      <c r="AM3538" s="313"/>
      <c r="AN3538" s="313"/>
      <c r="AO3538" s="313"/>
      <c r="AP3538" s="313"/>
      <c r="AQ3538" s="314"/>
      <c r="AR3538" s="315" t="str">
        <f t="shared" si="92"/>
        <v/>
      </c>
    </row>
    <row r="3539" spans="37:44" ht="30" hidden="1" customHeight="1" x14ac:dyDescent="0.25">
      <c r="AK3539" s="313"/>
      <c r="AL3539" s="313"/>
      <c r="AM3539" s="313"/>
      <c r="AN3539" s="313"/>
      <c r="AO3539" s="313"/>
      <c r="AP3539" s="313"/>
      <c r="AQ3539" s="314"/>
      <c r="AR3539" s="315" t="str">
        <f t="shared" si="92"/>
        <v/>
      </c>
    </row>
    <row r="3540" spans="37:44" ht="30" hidden="1" customHeight="1" x14ac:dyDescent="0.25">
      <c r="AK3540" s="313"/>
      <c r="AL3540" s="313"/>
      <c r="AM3540" s="313"/>
      <c r="AN3540" s="313"/>
      <c r="AO3540" s="313"/>
      <c r="AP3540" s="313"/>
      <c r="AQ3540" s="314"/>
      <c r="AR3540" s="315" t="str">
        <f t="shared" si="92"/>
        <v/>
      </c>
    </row>
    <row r="3541" spans="37:44" ht="30" hidden="1" customHeight="1" x14ac:dyDescent="0.25">
      <c r="AK3541" s="313"/>
      <c r="AL3541" s="313"/>
      <c r="AM3541" s="313"/>
      <c r="AN3541" s="313"/>
      <c r="AO3541" s="313"/>
      <c r="AP3541" s="313"/>
      <c r="AQ3541" s="314"/>
      <c r="AR3541" s="315" t="str">
        <f t="shared" si="92"/>
        <v/>
      </c>
    </row>
    <row r="3542" spans="37:44" ht="30" hidden="1" customHeight="1" x14ac:dyDescent="0.25">
      <c r="AK3542" s="313"/>
      <c r="AL3542" s="313"/>
      <c r="AM3542" s="313"/>
      <c r="AN3542" s="313"/>
      <c r="AO3542" s="313"/>
      <c r="AP3542" s="313"/>
      <c r="AQ3542" s="314"/>
      <c r="AR3542" s="315" t="str">
        <f t="shared" si="92"/>
        <v/>
      </c>
    </row>
    <row r="3543" spans="37:44" ht="30" hidden="1" customHeight="1" x14ac:dyDescent="0.25">
      <c r="AK3543" s="313"/>
      <c r="AL3543" s="313"/>
      <c r="AM3543" s="313"/>
      <c r="AN3543" s="313"/>
      <c r="AO3543" s="313"/>
      <c r="AP3543" s="313"/>
      <c r="AQ3543" s="314"/>
      <c r="AR3543" s="315" t="str">
        <f t="shared" si="92"/>
        <v/>
      </c>
    </row>
    <row r="3544" spans="37:44" ht="30" hidden="1" customHeight="1" x14ac:dyDescent="0.25">
      <c r="AK3544" s="313"/>
      <c r="AL3544" s="313"/>
      <c r="AM3544" s="313"/>
      <c r="AN3544" s="313"/>
      <c r="AO3544" s="313"/>
      <c r="AP3544" s="313"/>
      <c r="AQ3544" s="314"/>
      <c r="AR3544" s="315" t="str">
        <f t="shared" si="92"/>
        <v/>
      </c>
    </row>
    <row r="3545" spans="37:44" ht="30" hidden="1" customHeight="1" x14ac:dyDescent="0.25">
      <c r="AK3545" s="313"/>
      <c r="AL3545" s="313"/>
      <c r="AM3545" s="313"/>
      <c r="AN3545" s="313"/>
      <c r="AO3545" s="313"/>
      <c r="AP3545" s="313"/>
      <c r="AQ3545" s="314"/>
      <c r="AR3545" s="315" t="str">
        <f t="shared" si="92"/>
        <v/>
      </c>
    </row>
    <row r="3546" spans="37:44" ht="30" hidden="1" customHeight="1" x14ac:dyDescent="0.25">
      <c r="AK3546" s="313"/>
      <c r="AL3546" s="313"/>
      <c r="AM3546" s="313"/>
      <c r="AN3546" s="313"/>
      <c r="AO3546" s="313"/>
      <c r="AP3546" s="313"/>
      <c r="AQ3546" s="314"/>
      <c r="AR3546" s="315" t="str">
        <f t="shared" si="92"/>
        <v/>
      </c>
    </row>
    <row r="3547" spans="37:44" ht="30" hidden="1" customHeight="1" x14ac:dyDescent="0.25">
      <c r="AK3547" s="313"/>
      <c r="AL3547" s="313"/>
      <c r="AM3547" s="313"/>
      <c r="AN3547" s="313"/>
      <c r="AO3547" s="313"/>
      <c r="AP3547" s="313"/>
      <c r="AQ3547" s="314"/>
      <c r="AR3547" s="315" t="str">
        <f t="shared" si="92"/>
        <v/>
      </c>
    </row>
    <row r="3548" spans="37:44" ht="30" hidden="1" customHeight="1" x14ac:dyDescent="0.25">
      <c r="AK3548" s="313"/>
      <c r="AL3548" s="313"/>
      <c r="AM3548" s="313"/>
      <c r="AN3548" s="313"/>
      <c r="AO3548" s="313"/>
      <c r="AP3548" s="313"/>
      <c r="AQ3548" s="314"/>
      <c r="AR3548" s="315" t="str">
        <f t="shared" si="92"/>
        <v/>
      </c>
    </row>
    <row r="3549" spans="37:44" ht="30" hidden="1" customHeight="1" x14ac:dyDescent="0.25">
      <c r="AK3549" s="313"/>
      <c r="AL3549" s="313"/>
      <c r="AM3549" s="313"/>
      <c r="AN3549" s="313"/>
      <c r="AO3549" s="313"/>
      <c r="AP3549" s="313"/>
      <c r="AQ3549" s="314"/>
      <c r="AR3549" s="315" t="str">
        <f t="shared" si="92"/>
        <v/>
      </c>
    </row>
    <row r="3550" spans="37:44" ht="30" hidden="1" customHeight="1" x14ac:dyDescent="0.25">
      <c r="AK3550" s="313"/>
      <c r="AL3550" s="313"/>
      <c r="AM3550" s="313"/>
      <c r="AN3550" s="313"/>
      <c r="AO3550" s="313"/>
      <c r="AP3550" s="313"/>
      <c r="AQ3550" s="314"/>
      <c r="AR3550" s="315" t="str">
        <f t="shared" si="92"/>
        <v/>
      </c>
    </row>
    <row r="3551" spans="37:44" ht="30" hidden="1" customHeight="1" x14ac:dyDescent="0.25">
      <c r="AK3551" s="313"/>
      <c r="AL3551" s="313"/>
      <c r="AM3551" s="313"/>
      <c r="AN3551" s="313"/>
      <c r="AO3551" s="313"/>
      <c r="AP3551" s="313"/>
      <c r="AQ3551" s="314"/>
      <c r="AR3551" s="315" t="str">
        <f t="shared" si="92"/>
        <v/>
      </c>
    </row>
    <row r="3552" spans="37:44" ht="30" hidden="1" customHeight="1" x14ac:dyDescent="0.25">
      <c r="AK3552" s="313"/>
      <c r="AL3552" s="313"/>
      <c r="AM3552" s="313"/>
      <c r="AN3552" s="313"/>
      <c r="AO3552" s="313"/>
      <c r="AP3552" s="313"/>
      <c r="AQ3552" s="314"/>
      <c r="AR3552" s="315" t="str">
        <f t="shared" si="92"/>
        <v/>
      </c>
    </row>
    <row r="3553" spans="37:44" ht="30" hidden="1" customHeight="1" x14ac:dyDescent="0.25">
      <c r="AK3553" s="313"/>
      <c r="AL3553" s="313"/>
      <c r="AM3553" s="313"/>
      <c r="AN3553" s="313"/>
      <c r="AO3553" s="313"/>
      <c r="AP3553" s="313"/>
      <c r="AQ3553" s="314"/>
      <c r="AR3553" s="315" t="str">
        <f t="shared" si="92"/>
        <v/>
      </c>
    </row>
    <row r="3554" spans="37:44" ht="30" hidden="1" customHeight="1" x14ac:dyDescent="0.25">
      <c r="AK3554" s="313"/>
      <c r="AL3554" s="313"/>
      <c r="AM3554" s="313"/>
      <c r="AN3554" s="313"/>
      <c r="AO3554" s="313"/>
      <c r="AP3554" s="313"/>
      <c r="AQ3554" s="314"/>
      <c r="AR3554" s="315" t="str">
        <f t="shared" si="92"/>
        <v/>
      </c>
    </row>
    <row r="3555" spans="37:44" ht="30" hidden="1" customHeight="1" x14ac:dyDescent="0.25">
      <c r="AK3555" s="313"/>
      <c r="AL3555" s="313"/>
      <c r="AM3555" s="313"/>
      <c r="AN3555" s="313"/>
      <c r="AO3555" s="313"/>
      <c r="AP3555" s="313"/>
      <c r="AQ3555" s="314"/>
      <c r="AR3555" s="315" t="str">
        <f t="shared" si="92"/>
        <v/>
      </c>
    </row>
    <row r="3556" spans="37:44" ht="30" hidden="1" customHeight="1" x14ac:dyDescent="0.25">
      <c r="AK3556" s="313"/>
      <c r="AL3556" s="313"/>
      <c r="AM3556" s="313"/>
      <c r="AN3556" s="313"/>
      <c r="AO3556" s="313"/>
      <c r="AP3556" s="313"/>
      <c r="AQ3556" s="314"/>
      <c r="AR3556" s="315" t="str">
        <f t="shared" si="92"/>
        <v/>
      </c>
    </row>
    <row r="3557" spans="37:44" ht="30" hidden="1" customHeight="1" x14ac:dyDescent="0.25">
      <c r="AK3557" s="313"/>
      <c r="AL3557" s="313"/>
      <c r="AM3557" s="313"/>
      <c r="AN3557" s="313"/>
      <c r="AO3557" s="313"/>
      <c r="AP3557" s="313"/>
      <c r="AQ3557" s="314"/>
      <c r="AR3557" s="315" t="str">
        <f t="shared" si="92"/>
        <v/>
      </c>
    </row>
    <row r="3558" spans="37:44" ht="30" hidden="1" customHeight="1" x14ac:dyDescent="0.25">
      <c r="AK3558" s="313"/>
      <c r="AL3558" s="313"/>
      <c r="AM3558" s="313"/>
      <c r="AN3558" s="313"/>
      <c r="AO3558" s="313"/>
      <c r="AP3558" s="313"/>
      <c r="AQ3558" s="314"/>
      <c r="AR3558" s="315" t="str">
        <f t="shared" si="92"/>
        <v/>
      </c>
    </row>
    <row r="3559" spans="37:44" ht="30" hidden="1" customHeight="1" x14ac:dyDescent="0.25">
      <c r="AK3559" s="313"/>
      <c r="AL3559" s="313"/>
      <c r="AM3559" s="313"/>
      <c r="AN3559" s="313"/>
      <c r="AO3559" s="313"/>
      <c r="AP3559" s="313"/>
      <c r="AQ3559" s="314"/>
      <c r="AR3559" s="315" t="str">
        <f t="shared" si="92"/>
        <v/>
      </c>
    </row>
    <row r="3560" spans="37:44" ht="30" hidden="1" customHeight="1" x14ac:dyDescent="0.25">
      <c r="AK3560" s="313"/>
      <c r="AL3560" s="313"/>
      <c r="AM3560" s="313"/>
      <c r="AN3560" s="313"/>
      <c r="AO3560" s="313"/>
      <c r="AP3560" s="313"/>
      <c r="AQ3560" s="314"/>
      <c r="AR3560" s="315" t="str">
        <f t="shared" si="92"/>
        <v/>
      </c>
    </row>
    <row r="3561" spans="37:44" ht="30" hidden="1" customHeight="1" x14ac:dyDescent="0.25">
      <c r="AK3561" s="313"/>
      <c r="AL3561" s="313"/>
      <c r="AM3561" s="313"/>
      <c r="AN3561" s="313"/>
      <c r="AO3561" s="313"/>
      <c r="AP3561" s="313"/>
      <c r="AQ3561" s="314"/>
      <c r="AR3561" s="315" t="str">
        <f t="shared" si="92"/>
        <v/>
      </c>
    </row>
    <row r="3562" spans="37:44" ht="30" hidden="1" customHeight="1" x14ac:dyDescent="0.25">
      <c r="AK3562" s="313"/>
      <c r="AL3562" s="313"/>
      <c r="AM3562" s="313"/>
      <c r="AN3562" s="313"/>
      <c r="AO3562" s="313"/>
      <c r="AP3562" s="313"/>
      <c r="AQ3562" s="314"/>
      <c r="AR3562" s="315" t="str">
        <f t="shared" si="92"/>
        <v/>
      </c>
    </row>
    <row r="3563" spans="37:44" ht="30" hidden="1" customHeight="1" x14ac:dyDescent="0.25">
      <c r="AK3563" s="313"/>
      <c r="AL3563" s="313"/>
      <c r="AM3563" s="313"/>
      <c r="AN3563" s="313"/>
      <c r="AO3563" s="313"/>
      <c r="AP3563" s="313"/>
      <c r="AQ3563" s="314"/>
      <c r="AR3563" s="315" t="str">
        <f t="shared" si="92"/>
        <v/>
      </c>
    </row>
    <row r="3564" spans="37:44" ht="30" hidden="1" customHeight="1" x14ac:dyDescent="0.25">
      <c r="AK3564" s="313"/>
      <c r="AL3564" s="313"/>
      <c r="AM3564" s="313"/>
      <c r="AN3564" s="313"/>
      <c r="AO3564" s="313"/>
      <c r="AP3564" s="313"/>
      <c r="AQ3564" s="314"/>
      <c r="AR3564" s="315" t="str">
        <f t="shared" si="92"/>
        <v/>
      </c>
    </row>
    <row r="3565" spans="37:44" ht="30" hidden="1" customHeight="1" x14ac:dyDescent="0.25">
      <c r="AK3565" s="313"/>
      <c r="AL3565" s="313"/>
      <c r="AM3565" s="313"/>
      <c r="AN3565" s="313"/>
      <c r="AO3565" s="313"/>
      <c r="AP3565" s="313"/>
      <c r="AQ3565" s="314"/>
      <c r="AR3565" s="315" t="str">
        <f t="shared" si="92"/>
        <v/>
      </c>
    </row>
    <row r="3566" spans="37:44" ht="30" hidden="1" customHeight="1" x14ac:dyDescent="0.25">
      <c r="AK3566" s="313"/>
      <c r="AL3566" s="313"/>
      <c r="AM3566" s="313"/>
      <c r="AN3566" s="313"/>
      <c r="AO3566" s="313"/>
      <c r="AP3566" s="313"/>
      <c r="AQ3566" s="314"/>
      <c r="AR3566" s="315" t="str">
        <f t="shared" si="92"/>
        <v/>
      </c>
    </row>
    <row r="3567" spans="37:44" ht="30" hidden="1" customHeight="1" x14ac:dyDescent="0.25">
      <c r="AK3567" s="313"/>
      <c r="AL3567" s="313"/>
      <c r="AM3567" s="313"/>
      <c r="AN3567" s="313"/>
      <c r="AO3567" s="313"/>
      <c r="AP3567" s="313"/>
      <c r="AQ3567" s="314"/>
      <c r="AR3567" s="315" t="str">
        <f t="shared" si="92"/>
        <v/>
      </c>
    </row>
    <row r="3568" spans="37:44" ht="30" hidden="1" customHeight="1" x14ac:dyDescent="0.25">
      <c r="AK3568" s="313"/>
      <c r="AL3568" s="313"/>
      <c r="AM3568" s="313"/>
      <c r="AN3568" s="313"/>
      <c r="AO3568" s="313"/>
      <c r="AP3568" s="313"/>
      <c r="AQ3568" s="314"/>
      <c r="AR3568" s="315" t="str">
        <f t="shared" si="92"/>
        <v/>
      </c>
    </row>
    <row r="3569" spans="37:44" ht="30" hidden="1" customHeight="1" x14ac:dyDescent="0.25">
      <c r="AK3569" s="313"/>
      <c r="AL3569" s="313"/>
      <c r="AM3569" s="313"/>
      <c r="AN3569" s="313"/>
      <c r="AO3569" s="313"/>
      <c r="AP3569" s="313"/>
      <c r="AQ3569" s="314"/>
      <c r="AR3569" s="315" t="str">
        <f t="shared" si="92"/>
        <v/>
      </c>
    </row>
    <row r="3570" spans="37:44" ht="30" hidden="1" customHeight="1" x14ac:dyDescent="0.25">
      <c r="AK3570" s="313"/>
      <c r="AL3570" s="313"/>
      <c r="AM3570" s="313"/>
      <c r="AN3570" s="313"/>
      <c r="AO3570" s="313"/>
      <c r="AP3570" s="313"/>
      <c r="AQ3570" s="314"/>
      <c r="AR3570" s="315" t="str">
        <f t="shared" si="92"/>
        <v/>
      </c>
    </row>
    <row r="3571" spans="37:44" ht="30" hidden="1" customHeight="1" x14ac:dyDescent="0.25">
      <c r="AK3571" s="313"/>
      <c r="AL3571" s="313"/>
      <c r="AM3571" s="313"/>
      <c r="AN3571" s="313"/>
      <c r="AO3571" s="313"/>
      <c r="AP3571" s="313"/>
      <c r="AQ3571" s="314"/>
      <c r="AR3571" s="315" t="str">
        <f t="shared" si="92"/>
        <v/>
      </c>
    </row>
    <row r="3572" spans="37:44" ht="30" hidden="1" customHeight="1" x14ac:dyDescent="0.25">
      <c r="AK3572" s="313"/>
      <c r="AL3572" s="313"/>
      <c r="AM3572" s="313"/>
      <c r="AN3572" s="313"/>
      <c r="AO3572" s="313"/>
      <c r="AP3572" s="313"/>
      <c r="AQ3572" s="314"/>
      <c r="AR3572" s="315" t="str">
        <f t="shared" si="92"/>
        <v/>
      </c>
    </row>
    <row r="3573" spans="37:44" ht="30" hidden="1" customHeight="1" x14ac:dyDescent="0.25">
      <c r="AK3573" s="313"/>
      <c r="AL3573" s="313"/>
      <c r="AM3573" s="313"/>
      <c r="AN3573" s="313"/>
      <c r="AO3573" s="313"/>
      <c r="AP3573" s="313"/>
      <c r="AQ3573" s="314"/>
      <c r="AR3573" s="315" t="str">
        <f t="shared" si="92"/>
        <v/>
      </c>
    </row>
    <row r="3574" spans="37:44" ht="30" hidden="1" customHeight="1" x14ac:dyDescent="0.25">
      <c r="AK3574" s="313"/>
      <c r="AL3574" s="313"/>
      <c r="AM3574" s="313"/>
      <c r="AN3574" s="313"/>
      <c r="AO3574" s="313"/>
      <c r="AP3574" s="313"/>
      <c r="AQ3574" s="314"/>
      <c r="AR3574" s="315" t="str">
        <f t="shared" si="92"/>
        <v/>
      </c>
    </row>
    <row r="3575" spans="37:44" ht="30" hidden="1" customHeight="1" x14ac:dyDescent="0.25">
      <c r="AK3575" s="313"/>
      <c r="AL3575" s="313"/>
      <c r="AM3575" s="313"/>
      <c r="AN3575" s="313"/>
      <c r="AO3575" s="313"/>
      <c r="AP3575" s="313"/>
      <c r="AQ3575" s="314"/>
      <c r="AR3575" s="315" t="str">
        <f t="shared" si="92"/>
        <v/>
      </c>
    </row>
    <row r="3576" spans="37:44" ht="30" hidden="1" customHeight="1" x14ac:dyDescent="0.25">
      <c r="AK3576" s="313"/>
      <c r="AL3576" s="313"/>
      <c r="AM3576" s="313"/>
      <c r="AN3576" s="313"/>
      <c r="AO3576" s="313"/>
      <c r="AP3576" s="313"/>
      <c r="AQ3576" s="314"/>
      <c r="AR3576" s="315" t="str">
        <f t="shared" si="92"/>
        <v/>
      </c>
    </row>
    <row r="3577" spans="37:44" ht="30" hidden="1" customHeight="1" x14ac:dyDescent="0.25">
      <c r="AK3577" s="313"/>
      <c r="AL3577" s="313"/>
      <c r="AM3577" s="313"/>
      <c r="AN3577" s="313"/>
      <c r="AO3577" s="313"/>
      <c r="AP3577" s="313"/>
      <c r="AQ3577" s="314"/>
      <c r="AR3577" s="315" t="str">
        <f t="shared" si="92"/>
        <v/>
      </c>
    </row>
    <row r="3578" spans="37:44" ht="30" hidden="1" customHeight="1" x14ac:dyDescent="0.25">
      <c r="AK3578" s="313"/>
      <c r="AL3578" s="313"/>
      <c r="AM3578" s="313"/>
      <c r="AN3578" s="313"/>
      <c r="AO3578" s="313"/>
      <c r="AP3578" s="313"/>
      <c r="AQ3578" s="314"/>
      <c r="AR3578" s="315" t="str">
        <f t="shared" si="92"/>
        <v/>
      </c>
    </row>
    <row r="3579" spans="37:44" ht="30" hidden="1" customHeight="1" x14ac:dyDescent="0.25">
      <c r="AK3579" s="313"/>
      <c r="AL3579" s="313"/>
      <c r="AM3579" s="313"/>
      <c r="AN3579" s="313"/>
      <c r="AO3579" s="313"/>
      <c r="AP3579" s="313"/>
      <c r="AQ3579" s="314"/>
      <c r="AR3579" s="315" t="str">
        <f t="shared" si="92"/>
        <v/>
      </c>
    </row>
    <row r="3580" spans="37:44" ht="30" hidden="1" customHeight="1" x14ac:dyDescent="0.25">
      <c r="AK3580" s="313"/>
      <c r="AL3580" s="313"/>
      <c r="AM3580" s="313"/>
      <c r="AN3580" s="313"/>
      <c r="AO3580" s="313"/>
      <c r="AP3580" s="313"/>
      <c r="AQ3580" s="314"/>
      <c r="AR3580" s="315" t="str">
        <f t="shared" si="92"/>
        <v/>
      </c>
    </row>
    <row r="3581" spans="37:44" ht="30" hidden="1" customHeight="1" x14ac:dyDescent="0.25">
      <c r="AK3581" s="313"/>
      <c r="AL3581" s="313"/>
      <c r="AM3581" s="313"/>
      <c r="AN3581" s="313"/>
      <c r="AO3581" s="313"/>
      <c r="AP3581" s="313"/>
      <c r="AQ3581" s="314"/>
      <c r="AR3581" s="315" t="str">
        <f t="shared" si="92"/>
        <v/>
      </c>
    </row>
    <row r="3582" spans="37:44" ht="30" hidden="1" customHeight="1" x14ac:dyDescent="0.25">
      <c r="AK3582" s="313"/>
      <c r="AL3582" s="313"/>
      <c r="AM3582" s="313"/>
      <c r="AN3582" s="313"/>
      <c r="AO3582" s="313"/>
      <c r="AP3582" s="313"/>
      <c r="AQ3582" s="314"/>
      <c r="AR3582" s="315" t="str">
        <f t="shared" si="92"/>
        <v/>
      </c>
    </row>
    <row r="3583" spans="37:44" ht="30" hidden="1" customHeight="1" x14ac:dyDescent="0.25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93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 x14ac:dyDescent="0.25">
      <c r="AK3584" s="313"/>
      <c r="AL3584" s="313"/>
      <c r="AM3584" s="313"/>
      <c r="AN3584" s="313"/>
      <c r="AO3584" s="313"/>
      <c r="AP3584" s="313"/>
      <c r="AQ3584" s="314"/>
      <c r="AR3584" s="315" t="str">
        <f t="shared" si="93"/>
        <v/>
      </c>
    </row>
    <row r="3585" spans="37:44" ht="30" hidden="1" customHeight="1" x14ac:dyDescent="0.25">
      <c r="AK3585" s="313"/>
      <c r="AL3585" s="313"/>
      <c r="AM3585" s="313"/>
      <c r="AN3585" s="313"/>
      <c r="AO3585" s="313"/>
      <c r="AP3585" s="313"/>
      <c r="AQ3585" s="314"/>
      <c r="AR3585" s="315" t="str">
        <f t="shared" si="93"/>
        <v/>
      </c>
    </row>
    <row r="3586" spans="37:44" ht="30" hidden="1" customHeight="1" x14ac:dyDescent="0.25">
      <c r="AK3586" s="313"/>
      <c r="AL3586" s="313"/>
      <c r="AM3586" s="313"/>
      <c r="AN3586" s="313"/>
      <c r="AO3586" s="313"/>
      <c r="AP3586" s="313"/>
      <c r="AQ3586" s="314"/>
      <c r="AR3586" s="315" t="str">
        <f t="shared" si="93"/>
        <v/>
      </c>
    </row>
    <row r="3587" spans="37:44" ht="30" hidden="1" customHeight="1" x14ac:dyDescent="0.25">
      <c r="AK3587" s="313"/>
      <c r="AL3587" s="313"/>
      <c r="AM3587" s="313"/>
      <c r="AN3587" s="313"/>
      <c r="AO3587" s="313"/>
      <c r="AP3587" s="313"/>
      <c r="AQ3587" s="314"/>
      <c r="AR3587" s="315" t="str">
        <f t="shared" si="93"/>
        <v/>
      </c>
    </row>
    <row r="3588" spans="37:44" ht="30" hidden="1" customHeight="1" x14ac:dyDescent="0.25">
      <c r="AK3588" s="313"/>
      <c r="AL3588" s="313"/>
      <c r="AM3588" s="313"/>
      <c r="AN3588" s="313"/>
      <c r="AO3588" s="313"/>
      <c r="AP3588" s="313"/>
      <c r="AQ3588" s="314"/>
      <c r="AR3588" s="315" t="str">
        <f t="shared" si="93"/>
        <v/>
      </c>
    </row>
    <row r="3589" spans="37:44" ht="30" hidden="1" customHeight="1" x14ac:dyDescent="0.25">
      <c r="AK3589" s="313"/>
      <c r="AL3589" s="313"/>
      <c r="AM3589" s="313"/>
      <c r="AN3589" s="313"/>
      <c r="AO3589" s="313"/>
      <c r="AP3589" s="313"/>
      <c r="AQ3589" s="314"/>
      <c r="AR3589" s="315" t="str">
        <f t="shared" si="93"/>
        <v/>
      </c>
    </row>
    <row r="3590" spans="37:44" ht="30" hidden="1" customHeight="1" x14ac:dyDescent="0.25">
      <c r="AK3590" s="313"/>
      <c r="AL3590" s="313"/>
      <c r="AM3590" s="313"/>
      <c r="AN3590" s="313"/>
      <c r="AO3590" s="313"/>
      <c r="AP3590" s="313"/>
      <c r="AQ3590" s="314"/>
      <c r="AR3590" s="315" t="str">
        <f t="shared" si="93"/>
        <v/>
      </c>
    </row>
    <row r="3591" spans="37:44" ht="30" hidden="1" customHeight="1" x14ac:dyDescent="0.25">
      <c r="AK3591" s="313"/>
      <c r="AL3591" s="313"/>
      <c r="AM3591" s="313"/>
      <c r="AN3591" s="313"/>
      <c r="AO3591" s="313"/>
      <c r="AP3591" s="313"/>
      <c r="AQ3591" s="314"/>
      <c r="AR3591" s="315" t="str">
        <f t="shared" si="93"/>
        <v/>
      </c>
    </row>
    <row r="3592" spans="37:44" ht="30" hidden="1" customHeight="1" x14ac:dyDescent="0.25">
      <c r="AK3592" s="313"/>
      <c r="AL3592" s="313"/>
      <c r="AM3592" s="313"/>
      <c r="AN3592" s="313"/>
      <c r="AO3592" s="313"/>
      <c r="AP3592" s="313"/>
      <c r="AQ3592" s="314"/>
      <c r="AR3592" s="315" t="str">
        <f t="shared" si="93"/>
        <v/>
      </c>
    </row>
    <row r="3593" spans="37:44" ht="30" hidden="1" customHeight="1" x14ac:dyDescent="0.25">
      <c r="AK3593" s="313"/>
      <c r="AL3593" s="313"/>
      <c r="AM3593" s="313"/>
      <c r="AN3593" s="313"/>
      <c r="AO3593" s="313"/>
      <c r="AP3593" s="313"/>
      <c r="AQ3593" s="314"/>
      <c r="AR3593" s="315" t="str">
        <f t="shared" si="93"/>
        <v/>
      </c>
    </row>
    <row r="3594" spans="37:44" ht="30" hidden="1" customHeight="1" x14ac:dyDescent="0.25">
      <c r="AK3594" s="313"/>
      <c r="AL3594" s="313"/>
      <c r="AM3594" s="313"/>
      <c r="AN3594" s="313"/>
      <c r="AO3594" s="313"/>
      <c r="AP3594" s="313"/>
      <c r="AQ3594" s="314"/>
      <c r="AR3594" s="315" t="str">
        <f t="shared" si="93"/>
        <v/>
      </c>
    </row>
    <row r="3595" spans="37:44" ht="30" hidden="1" customHeight="1" x14ac:dyDescent="0.25">
      <c r="AK3595" s="313"/>
      <c r="AL3595" s="313"/>
      <c r="AM3595" s="313"/>
      <c r="AN3595" s="313"/>
      <c r="AO3595" s="313"/>
      <c r="AP3595" s="313"/>
      <c r="AQ3595" s="314"/>
      <c r="AR3595" s="315" t="str">
        <f t="shared" si="93"/>
        <v/>
      </c>
    </row>
    <row r="3596" spans="37:44" ht="30" hidden="1" customHeight="1" x14ac:dyDescent="0.25">
      <c r="AK3596" s="313"/>
      <c r="AL3596" s="313"/>
      <c r="AM3596" s="313"/>
      <c r="AN3596" s="313"/>
      <c r="AO3596" s="313"/>
      <c r="AP3596" s="313"/>
      <c r="AQ3596" s="314"/>
      <c r="AR3596" s="315" t="str">
        <f t="shared" si="93"/>
        <v/>
      </c>
    </row>
    <row r="3597" spans="37:44" ht="30" hidden="1" customHeight="1" x14ac:dyDescent="0.25">
      <c r="AK3597" s="313"/>
      <c r="AL3597" s="313"/>
      <c r="AM3597" s="313"/>
      <c r="AN3597" s="313"/>
      <c r="AO3597" s="313"/>
      <c r="AP3597" s="313"/>
      <c r="AQ3597" s="314"/>
      <c r="AR3597" s="315" t="str">
        <f t="shared" si="93"/>
        <v/>
      </c>
    </row>
    <row r="3598" spans="37:44" ht="30" hidden="1" customHeight="1" x14ac:dyDescent="0.25">
      <c r="AK3598" s="313"/>
      <c r="AL3598" s="313"/>
      <c r="AM3598" s="313"/>
      <c r="AN3598" s="313"/>
      <c r="AO3598" s="313"/>
      <c r="AP3598" s="313"/>
      <c r="AQ3598" s="314"/>
      <c r="AR3598" s="315" t="str">
        <f t="shared" si="93"/>
        <v/>
      </c>
    </row>
    <row r="3599" spans="37:44" ht="30" hidden="1" customHeight="1" x14ac:dyDescent="0.25">
      <c r="AK3599" s="313"/>
      <c r="AL3599" s="313"/>
      <c r="AM3599" s="313"/>
      <c r="AN3599" s="313"/>
      <c r="AO3599" s="313"/>
      <c r="AP3599" s="313"/>
      <c r="AQ3599" s="314"/>
      <c r="AR3599" s="315" t="str">
        <f t="shared" si="93"/>
        <v/>
      </c>
    </row>
    <row r="3600" spans="37:44" ht="30" hidden="1" customHeight="1" x14ac:dyDescent="0.25">
      <c r="AK3600" s="313"/>
      <c r="AL3600" s="313"/>
      <c r="AM3600" s="313"/>
      <c r="AN3600" s="313"/>
      <c r="AO3600" s="313"/>
      <c r="AP3600" s="313"/>
      <c r="AQ3600" s="314"/>
      <c r="AR3600" s="315" t="str">
        <f t="shared" si="93"/>
        <v/>
      </c>
    </row>
    <row r="3601" spans="37:44" ht="30" hidden="1" customHeight="1" x14ac:dyDescent="0.25">
      <c r="AK3601" s="313"/>
      <c r="AL3601" s="313"/>
      <c r="AM3601" s="313"/>
      <c r="AN3601" s="313"/>
      <c r="AO3601" s="313"/>
      <c r="AP3601" s="313"/>
      <c r="AQ3601" s="314"/>
      <c r="AR3601" s="315" t="str">
        <f t="shared" si="93"/>
        <v/>
      </c>
    </row>
    <row r="3602" spans="37:44" ht="30" hidden="1" customHeight="1" x14ac:dyDescent="0.25">
      <c r="AK3602" s="313"/>
      <c r="AL3602" s="313"/>
      <c r="AM3602" s="313"/>
      <c r="AN3602" s="313"/>
      <c r="AO3602" s="313"/>
      <c r="AP3602" s="313"/>
      <c r="AQ3602" s="314"/>
      <c r="AR3602" s="315" t="str">
        <f t="shared" si="93"/>
        <v/>
      </c>
    </row>
    <row r="3603" spans="37:44" ht="30" hidden="1" customHeight="1" x14ac:dyDescent="0.25">
      <c r="AK3603" s="313"/>
      <c r="AL3603" s="313"/>
      <c r="AM3603" s="313"/>
      <c r="AN3603" s="313"/>
      <c r="AO3603" s="313"/>
      <c r="AP3603" s="313"/>
      <c r="AQ3603" s="314"/>
      <c r="AR3603" s="315" t="str">
        <f t="shared" si="93"/>
        <v/>
      </c>
    </row>
    <row r="3604" spans="37:44" ht="30" hidden="1" customHeight="1" x14ac:dyDescent="0.25">
      <c r="AK3604" s="313"/>
      <c r="AL3604" s="313"/>
      <c r="AM3604" s="313"/>
      <c r="AN3604" s="313"/>
      <c r="AO3604" s="313"/>
      <c r="AP3604" s="313"/>
      <c r="AQ3604" s="314"/>
      <c r="AR3604" s="315" t="str">
        <f t="shared" si="93"/>
        <v/>
      </c>
    </row>
    <row r="3605" spans="37:44" ht="30" hidden="1" customHeight="1" x14ac:dyDescent="0.25">
      <c r="AK3605" s="313"/>
      <c r="AL3605" s="313"/>
      <c r="AM3605" s="313"/>
      <c r="AN3605" s="313"/>
      <c r="AO3605" s="313"/>
      <c r="AP3605" s="313"/>
      <c r="AQ3605" s="314"/>
      <c r="AR3605" s="315" t="str">
        <f t="shared" si="93"/>
        <v/>
      </c>
    </row>
    <row r="3606" spans="37:44" ht="30" hidden="1" customHeight="1" x14ac:dyDescent="0.25">
      <c r="AK3606" s="313"/>
      <c r="AL3606" s="313"/>
      <c r="AM3606" s="313"/>
      <c r="AN3606" s="313"/>
      <c r="AO3606" s="313"/>
      <c r="AP3606" s="313"/>
      <c r="AQ3606" s="314"/>
      <c r="AR3606" s="315" t="str">
        <f t="shared" si="93"/>
        <v/>
      </c>
    </row>
    <row r="3607" spans="37:44" ht="30" hidden="1" customHeight="1" x14ac:dyDescent="0.25">
      <c r="AK3607" s="313"/>
      <c r="AL3607" s="313"/>
      <c r="AM3607" s="313"/>
      <c r="AN3607" s="313"/>
      <c r="AO3607" s="313"/>
      <c r="AP3607" s="313"/>
      <c r="AQ3607" s="314"/>
      <c r="AR3607" s="315" t="str">
        <f t="shared" si="93"/>
        <v/>
      </c>
    </row>
    <row r="3608" spans="37:44" ht="30" hidden="1" customHeight="1" x14ac:dyDescent="0.25">
      <c r="AK3608" s="313"/>
      <c r="AL3608" s="313"/>
      <c r="AM3608" s="313"/>
      <c r="AN3608" s="313"/>
      <c r="AO3608" s="313"/>
      <c r="AP3608" s="313"/>
      <c r="AQ3608" s="314"/>
      <c r="AR3608" s="315" t="str">
        <f t="shared" si="93"/>
        <v/>
      </c>
    </row>
    <row r="3609" spans="37:44" ht="30" hidden="1" customHeight="1" x14ac:dyDescent="0.25">
      <c r="AK3609" s="313"/>
      <c r="AL3609" s="313"/>
      <c r="AM3609" s="313"/>
      <c r="AN3609" s="313"/>
      <c r="AO3609" s="313"/>
      <c r="AP3609" s="313"/>
      <c r="AQ3609" s="314"/>
      <c r="AR3609" s="315" t="str">
        <f t="shared" si="93"/>
        <v/>
      </c>
    </row>
    <row r="3610" spans="37:44" ht="30" hidden="1" customHeight="1" x14ac:dyDescent="0.25">
      <c r="AK3610" s="313"/>
      <c r="AL3610" s="313"/>
      <c r="AM3610" s="313"/>
      <c r="AN3610" s="313"/>
      <c r="AO3610" s="313"/>
      <c r="AP3610" s="313"/>
      <c r="AQ3610" s="314"/>
      <c r="AR3610" s="315" t="str">
        <f t="shared" si="93"/>
        <v/>
      </c>
    </row>
    <row r="3611" spans="37:44" ht="30" hidden="1" customHeight="1" x14ac:dyDescent="0.25">
      <c r="AK3611" s="313"/>
      <c r="AL3611" s="313"/>
      <c r="AM3611" s="313"/>
      <c r="AN3611" s="313"/>
      <c r="AO3611" s="313"/>
      <c r="AP3611" s="313"/>
      <c r="AQ3611" s="314"/>
      <c r="AR3611" s="315" t="str">
        <f t="shared" si="93"/>
        <v/>
      </c>
    </row>
    <row r="3612" spans="37:44" ht="30" hidden="1" customHeight="1" x14ac:dyDescent="0.25">
      <c r="AK3612" s="313"/>
      <c r="AL3612" s="313"/>
      <c r="AM3612" s="313"/>
      <c r="AN3612" s="313"/>
      <c r="AO3612" s="313"/>
      <c r="AP3612" s="313"/>
      <c r="AQ3612" s="314"/>
      <c r="AR3612" s="315" t="str">
        <f t="shared" si="93"/>
        <v/>
      </c>
    </row>
    <row r="3613" spans="37:44" ht="30" hidden="1" customHeight="1" x14ac:dyDescent="0.25">
      <c r="AK3613" s="313"/>
      <c r="AL3613" s="313"/>
      <c r="AM3613" s="313"/>
      <c r="AN3613" s="313"/>
      <c r="AO3613" s="313"/>
      <c r="AP3613" s="313"/>
      <c r="AQ3613" s="314"/>
      <c r="AR3613" s="315" t="str">
        <f t="shared" si="93"/>
        <v/>
      </c>
    </row>
    <row r="3614" spans="37:44" ht="30" hidden="1" customHeight="1" x14ac:dyDescent="0.25">
      <c r="AK3614" s="313"/>
      <c r="AL3614" s="313"/>
      <c r="AM3614" s="313"/>
      <c r="AN3614" s="313"/>
      <c r="AO3614" s="313"/>
      <c r="AP3614" s="313"/>
      <c r="AQ3614" s="314"/>
      <c r="AR3614" s="315" t="str">
        <f t="shared" si="93"/>
        <v/>
      </c>
    </row>
    <row r="3615" spans="37:44" ht="30" hidden="1" customHeight="1" x14ac:dyDescent="0.25">
      <c r="AK3615" s="313"/>
      <c r="AL3615" s="313"/>
      <c r="AM3615" s="313"/>
      <c r="AN3615" s="313"/>
      <c r="AO3615" s="313"/>
      <c r="AP3615" s="313"/>
      <c r="AQ3615" s="314"/>
      <c r="AR3615" s="315" t="str">
        <f t="shared" si="93"/>
        <v/>
      </c>
    </row>
    <row r="3616" spans="37:44" ht="30" hidden="1" customHeight="1" x14ac:dyDescent="0.25">
      <c r="AK3616" s="313"/>
      <c r="AL3616" s="313"/>
      <c r="AM3616" s="313"/>
      <c r="AN3616" s="313"/>
      <c r="AO3616" s="313"/>
      <c r="AP3616" s="313"/>
      <c r="AQ3616" s="314"/>
      <c r="AR3616" s="315" t="str">
        <f t="shared" si="93"/>
        <v/>
      </c>
    </row>
    <row r="3617" spans="37:44" ht="30" hidden="1" customHeight="1" x14ac:dyDescent="0.25">
      <c r="AK3617" s="313"/>
      <c r="AL3617" s="313"/>
      <c r="AM3617" s="313"/>
      <c r="AN3617" s="313"/>
      <c r="AO3617" s="313"/>
      <c r="AP3617" s="313"/>
      <c r="AQ3617" s="314"/>
      <c r="AR3617" s="315" t="str">
        <f t="shared" si="93"/>
        <v/>
      </c>
    </row>
    <row r="3618" spans="37:44" ht="30" hidden="1" customHeight="1" x14ac:dyDescent="0.25">
      <c r="AK3618" s="313"/>
      <c r="AL3618" s="313"/>
      <c r="AM3618" s="313"/>
      <c r="AN3618" s="313"/>
      <c r="AO3618" s="313"/>
      <c r="AP3618" s="313"/>
      <c r="AQ3618" s="314"/>
      <c r="AR3618" s="315" t="str">
        <f t="shared" si="93"/>
        <v/>
      </c>
    </row>
    <row r="3619" spans="37:44" ht="30" hidden="1" customHeight="1" x14ac:dyDescent="0.25">
      <c r="AK3619" s="313"/>
      <c r="AL3619" s="313"/>
      <c r="AM3619" s="313"/>
      <c r="AN3619" s="313"/>
      <c r="AO3619" s="313"/>
      <c r="AP3619" s="313"/>
      <c r="AQ3619" s="314"/>
      <c r="AR3619" s="315" t="str">
        <f t="shared" si="93"/>
        <v/>
      </c>
    </row>
    <row r="3620" spans="37:44" ht="30" hidden="1" customHeight="1" x14ac:dyDescent="0.25">
      <c r="AK3620" s="313"/>
      <c r="AL3620" s="313"/>
      <c r="AM3620" s="313"/>
      <c r="AN3620" s="313"/>
      <c r="AO3620" s="313"/>
      <c r="AP3620" s="313"/>
      <c r="AQ3620" s="314"/>
      <c r="AR3620" s="315" t="str">
        <f t="shared" si="93"/>
        <v/>
      </c>
    </row>
    <row r="3621" spans="37:44" ht="30" hidden="1" customHeight="1" x14ac:dyDescent="0.25">
      <c r="AK3621" s="313"/>
      <c r="AL3621" s="313"/>
      <c r="AM3621" s="313"/>
      <c r="AN3621" s="313"/>
      <c r="AO3621" s="313"/>
      <c r="AP3621" s="313"/>
      <c r="AQ3621" s="314"/>
      <c r="AR3621" s="315" t="str">
        <f t="shared" si="93"/>
        <v/>
      </c>
    </row>
    <row r="3622" spans="37:44" ht="30" hidden="1" customHeight="1" x14ac:dyDescent="0.25">
      <c r="AK3622" s="313"/>
      <c r="AL3622" s="313"/>
      <c r="AM3622" s="313"/>
      <c r="AN3622" s="313"/>
      <c r="AO3622" s="313"/>
      <c r="AP3622" s="313"/>
      <c r="AQ3622" s="314"/>
      <c r="AR3622" s="315" t="str">
        <f t="shared" si="93"/>
        <v/>
      </c>
    </row>
    <row r="3623" spans="37:44" ht="30" hidden="1" customHeight="1" x14ac:dyDescent="0.25">
      <c r="AK3623" s="313"/>
      <c r="AL3623" s="313"/>
      <c r="AM3623" s="313"/>
      <c r="AN3623" s="313"/>
      <c r="AO3623" s="313"/>
      <c r="AP3623" s="313"/>
      <c r="AQ3623" s="314"/>
      <c r="AR3623" s="315" t="str">
        <f t="shared" si="93"/>
        <v/>
      </c>
    </row>
    <row r="3624" spans="37:44" ht="30" hidden="1" customHeight="1" x14ac:dyDescent="0.25">
      <c r="AK3624" s="313"/>
      <c r="AL3624" s="313"/>
      <c r="AM3624" s="313"/>
      <c r="AN3624" s="313"/>
      <c r="AO3624" s="313"/>
      <c r="AP3624" s="313"/>
      <c r="AQ3624" s="314"/>
      <c r="AR3624" s="315" t="str">
        <f t="shared" si="93"/>
        <v/>
      </c>
    </row>
    <row r="3625" spans="37:44" ht="30" hidden="1" customHeight="1" x14ac:dyDescent="0.25">
      <c r="AK3625" s="313"/>
      <c r="AL3625" s="313"/>
      <c r="AM3625" s="313"/>
      <c r="AN3625" s="313"/>
      <c r="AO3625" s="313"/>
      <c r="AP3625" s="313"/>
      <c r="AQ3625" s="314"/>
      <c r="AR3625" s="315" t="str">
        <f t="shared" si="93"/>
        <v/>
      </c>
    </row>
    <row r="3626" spans="37:44" ht="30" hidden="1" customHeight="1" x14ac:dyDescent="0.25">
      <c r="AK3626" s="313"/>
      <c r="AL3626" s="313"/>
      <c r="AM3626" s="313"/>
      <c r="AN3626" s="313"/>
      <c r="AO3626" s="313"/>
      <c r="AP3626" s="313"/>
      <c r="AQ3626" s="314"/>
      <c r="AR3626" s="315" t="str">
        <f t="shared" si="93"/>
        <v/>
      </c>
    </row>
    <row r="3627" spans="37:44" ht="30" hidden="1" customHeight="1" x14ac:dyDescent="0.25">
      <c r="AK3627" s="313"/>
      <c r="AL3627" s="313"/>
      <c r="AM3627" s="313"/>
      <c r="AN3627" s="313"/>
      <c r="AO3627" s="313"/>
      <c r="AP3627" s="313"/>
      <c r="AQ3627" s="314"/>
      <c r="AR3627" s="315" t="str">
        <f t="shared" si="93"/>
        <v/>
      </c>
    </row>
    <row r="3628" spans="37:44" ht="30" hidden="1" customHeight="1" x14ac:dyDescent="0.25">
      <c r="AK3628" s="313"/>
      <c r="AL3628" s="313"/>
      <c r="AM3628" s="313"/>
      <c r="AN3628" s="313"/>
      <c r="AO3628" s="313"/>
      <c r="AP3628" s="313"/>
      <c r="AQ3628" s="314"/>
      <c r="AR3628" s="315" t="str">
        <f t="shared" si="93"/>
        <v/>
      </c>
    </row>
    <row r="3629" spans="37:44" ht="30" hidden="1" customHeight="1" x14ac:dyDescent="0.25">
      <c r="AK3629" s="313"/>
      <c r="AL3629" s="313"/>
      <c r="AM3629" s="313"/>
      <c r="AN3629" s="313"/>
      <c r="AO3629" s="313"/>
      <c r="AP3629" s="313"/>
      <c r="AQ3629" s="314"/>
      <c r="AR3629" s="315" t="str">
        <f t="shared" si="93"/>
        <v/>
      </c>
    </row>
    <row r="3630" spans="37:44" ht="30" hidden="1" customHeight="1" x14ac:dyDescent="0.25">
      <c r="AK3630" s="313"/>
      <c r="AL3630" s="313"/>
      <c r="AM3630" s="313"/>
      <c r="AN3630" s="313"/>
      <c r="AO3630" s="313"/>
      <c r="AP3630" s="313"/>
      <c r="AQ3630" s="314"/>
      <c r="AR3630" s="315" t="str">
        <f t="shared" si="93"/>
        <v/>
      </c>
    </row>
    <row r="3631" spans="37:44" ht="30" hidden="1" customHeight="1" x14ac:dyDescent="0.25">
      <c r="AK3631" s="313"/>
      <c r="AL3631" s="313"/>
      <c r="AM3631" s="313"/>
      <c r="AN3631" s="313"/>
      <c r="AO3631" s="313"/>
      <c r="AP3631" s="313"/>
      <c r="AQ3631" s="314"/>
      <c r="AR3631" s="315" t="str">
        <f t="shared" si="93"/>
        <v/>
      </c>
    </row>
    <row r="3632" spans="37:44" ht="30" hidden="1" customHeight="1" x14ac:dyDescent="0.25">
      <c r="AK3632" s="313"/>
      <c r="AL3632" s="313"/>
      <c r="AM3632" s="313"/>
      <c r="AN3632" s="313"/>
      <c r="AO3632" s="313"/>
      <c r="AP3632" s="313"/>
      <c r="AQ3632" s="314"/>
      <c r="AR3632" s="315" t="str">
        <f t="shared" si="93"/>
        <v/>
      </c>
    </row>
    <row r="3633" spans="37:44" ht="30" hidden="1" customHeight="1" x14ac:dyDescent="0.25">
      <c r="AK3633" s="313"/>
      <c r="AL3633" s="313"/>
      <c r="AM3633" s="313"/>
      <c r="AN3633" s="313"/>
      <c r="AO3633" s="313"/>
      <c r="AP3633" s="313"/>
      <c r="AQ3633" s="314"/>
      <c r="AR3633" s="315" t="str">
        <f t="shared" si="93"/>
        <v/>
      </c>
    </row>
    <row r="3634" spans="37:44" ht="30" hidden="1" customHeight="1" x14ac:dyDescent="0.25">
      <c r="AK3634" s="313"/>
      <c r="AL3634" s="313"/>
      <c r="AM3634" s="313"/>
      <c r="AN3634" s="313"/>
      <c r="AO3634" s="313"/>
      <c r="AP3634" s="313"/>
      <c r="AQ3634" s="314"/>
      <c r="AR3634" s="315" t="str">
        <f t="shared" si="93"/>
        <v/>
      </c>
    </row>
    <row r="3635" spans="37:44" ht="30" hidden="1" customHeight="1" x14ac:dyDescent="0.25">
      <c r="AK3635" s="313"/>
      <c r="AL3635" s="313"/>
      <c r="AM3635" s="313"/>
      <c r="AN3635" s="313"/>
      <c r="AO3635" s="313"/>
      <c r="AP3635" s="313"/>
      <c r="AQ3635" s="314"/>
      <c r="AR3635" s="315" t="str">
        <f t="shared" si="93"/>
        <v/>
      </c>
    </row>
    <row r="3636" spans="37:44" ht="30" hidden="1" customHeight="1" x14ac:dyDescent="0.25">
      <c r="AK3636" s="313"/>
      <c r="AL3636" s="313"/>
      <c r="AM3636" s="313"/>
      <c r="AN3636" s="313"/>
      <c r="AO3636" s="313"/>
      <c r="AP3636" s="313"/>
      <c r="AQ3636" s="314"/>
      <c r="AR3636" s="315" t="str">
        <f t="shared" si="93"/>
        <v/>
      </c>
    </row>
    <row r="3637" spans="37:44" ht="30" hidden="1" customHeight="1" x14ac:dyDescent="0.25">
      <c r="AK3637" s="313"/>
      <c r="AL3637" s="313"/>
      <c r="AM3637" s="313"/>
      <c r="AN3637" s="313"/>
      <c r="AO3637" s="313"/>
      <c r="AP3637" s="313"/>
      <c r="AQ3637" s="314"/>
      <c r="AR3637" s="315" t="str">
        <f t="shared" si="93"/>
        <v/>
      </c>
    </row>
    <row r="3638" spans="37:44" ht="30" hidden="1" customHeight="1" x14ac:dyDescent="0.25">
      <c r="AK3638" s="313"/>
      <c r="AL3638" s="313"/>
      <c r="AM3638" s="313"/>
      <c r="AN3638" s="313"/>
      <c r="AO3638" s="313"/>
      <c r="AP3638" s="313"/>
      <c r="AQ3638" s="314"/>
      <c r="AR3638" s="315" t="str">
        <f t="shared" si="93"/>
        <v/>
      </c>
    </row>
    <row r="3639" spans="37:44" ht="30" hidden="1" customHeight="1" x14ac:dyDescent="0.25">
      <c r="AK3639" s="313"/>
      <c r="AL3639" s="313"/>
      <c r="AM3639" s="313"/>
      <c r="AN3639" s="313"/>
      <c r="AO3639" s="313"/>
      <c r="AP3639" s="313"/>
      <c r="AQ3639" s="314"/>
      <c r="AR3639" s="315" t="str">
        <f t="shared" si="93"/>
        <v/>
      </c>
    </row>
    <row r="3640" spans="37:44" ht="30" hidden="1" customHeight="1" x14ac:dyDescent="0.25">
      <c r="AK3640" s="313"/>
      <c r="AL3640" s="313"/>
      <c r="AM3640" s="313"/>
      <c r="AN3640" s="313"/>
      <c r="AO3640" s="313"/>
      <c r="AP3640" s="313"/>
      <c r="AQ3640" s="314"/>
      <c r="AR3640" s="315" t="str">
        <f t="shared" si="93"/>
        <v/>
      </c>
    </row>
    <row r="3641" spans="37:44" ht="30" hidden="1" customHeight="1" x14ac:dyDescent="0.25">
      <c r="AK3641" s="313"/>
      <c r="AL3641" s="313"/>
      <c r="AM3641" s="313"/>
      <c r="AN3641" s="313"/>
      <c r="AO3641" s="313"/>
      <c r="AP3641" s="313"/>
      <c r="AQ3641" s="314"/>
      <c r="AR3641" s="315" t="str">
        <f t="shared" si="93"/>
        <v/>
      </c>
    </row>
    <row r="3642" spans="37:44" ht="30" hidden="1" customHeight="1" x14ac:dyDescent="0.25">
      <c r="AK3642" s="313"/>
      <c r="AL3642" s="313"/>
      <c r="AM3642" s="313"/>
      <c r="AN3642" s="313"/>
      <c r="AO3642" s="313"/>
      <c r="AP3642" s="313"/>
      <c r="AQ3642" s="314"/>
      <c r="AR3642" s="315" t="str">
        <f t="shared" si="93"/>
        <v/>
      </c>
    </row>
    <row r="3643" spans="37:44" ht="30" hidden="1" customHeight="1" x14ac:dyDescent="0.25">
      <c r="AK3643" s="313"/>
      <c r="AL3643" s="313"/>
      <c r="AM3643" s="313"/>
      <c r="AN3643" s="313"/>
      <c r="AO3643" s="313"/>
      <c r="AP3643" s="313"/>
      <c r="AQ3643" s="314"/>
      <c r="AR3643" s="315" t="str">
        <f t="shared" si="93"/>
        <v/>
      </c>
    </row>
    <row r="3644" spans="37:44" ht="30" hidden="1" customHeight="1" x14ac:dyDescent="0.25">
      <c r="AK3644" s="313"/>
      <c r="AL3644" s="313"/>
      <c r="AM3644" s="313"/>
      <c r="AN3644" s="313"/>
      <c r="AO3644" s="313"/>
      <c r="AP3644" s="313"/>
      <c r="AQ3644" s="314"/>
      <c r="AR3644" s="315" t="str">
        <f t="shared" si="93"/>
        <v/>
      </c>
    </row>
    <row r="3645" spans="37:44" ht="30" hidden="1" customHeight="1" x14ac:dyDescent="0.25">
      <c r="AK3645" s="313"/>
      <c r="AL3645" s="313"/>
      <c r="AM3645" s="313"/>
      <c r="AN3645" s="313"/>
      <c r="AO3645" s="313"/>
      <c r="AP3645" s="313"/>
      <c r="AQ3645" s="314"/>
      <c r="AR3645" s="315" t="str">
        <f t="shared" si="93"/>
        <v/>
      </c>
    </row>
    <row r="3646" spans="37:44" ht="30" hidden="1" customHeight="1" x14ac:dyDescent="0.25">
      <c r="AK3646" s="313"/>
      <c r="AL3646" s="313"/>
      <c r="AM3646" s="313"/>
      <c r="AN3646" s="313"/>
      <c r="AO3646" s="313"/>
      <c r="AP3646" s="313"/>
      <c r="AQ3646" s="314"/>
      <c r="AR3646" s="315" t="str">
        <f t="shared" si="93"/>
        <v/>
      </c>
    </row>
    <row r="3647" spans="37:44" ht="30" hidden="1" customHeight="1" x14ac:dyDescent="0.25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94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 x14ac:dyDescent="0.25">
      <c r="AK3648" s="313"/>
      <c r="AL3648" s="313"/>
      <c r="AM3648" s="313"/>
      <c r="AN3648" s="313"/>
      <c r="AO3648" s="313"/>
      <c r="AP3648" s="313"/>
      <c r="AQ3648" s="314"/>
      <c r="AR3648" s="315" t="str">
        <f t="shared" si="94"/>
        <v/>
      </c>
    </row>
    <row r="3649" spans="37:44" ht="30" hidden="1" customHeight="1" x14ac:dyDescent="0.25">
      <c r="AK3649" s="313"/>
      <c r="AL3649" s="313"/>
      <c r="AM3649" s="313"/>
      <c r="AN3649" s="313"/>
      <c r="AO3649" s="313"/>
      <c r="AP3649" s="313"/>
      <c r="AQ3649" s="314"/>
      <c r="AR3649" s="315" t="str">
        <f t="shared" si="94"/>
        <v/>
      </c>
    </row>
    <row r="3650" spans="37:44" ht="30" hidden="1" customHeight="1" x14ac:dyDescent="0.25">
      <c r="AK3650" s="313"/>
      <c r="AL3650" s="313"/>
      <c r="AM3650" s="313"/>
      <c r="AN3650" s="313"/>
      <c r="AO3650" s="313"/>
      <c r="AP3650" s="313"/>
      <c r="AQ3650" s="314"/>
      <c r="AR3650" s="315" t="str">
        <f t="shared" si="94"/>
        <v/>
      </c>
    </row>
    <row r="3651" spans="37:44" ht="30" hidden="1" customHeight="1" x14ac:dyDescent="0.25">
      <c r="AK3651" s="313"/>
      <c r="AL3651" s="313"/>
      <c r="AM3651" s="313"/>
      <c r="AN3651" s="313"/>
      <c r="AO3651" s="313"/>
      <c r="AP3651" s="313"/>
      <c r="AQ3651" s="314"/>
      <c r="AR3651" s="315" t="str">
        <f t="shared" si="94"/>
        <v/>
      </c>
    </row>
    <row r="3652" spans="37:44" ht="30" hidden="1" customHeight="1" x14ac:dyDescent="0.25">
      <c r="AK3652" s="313"/>
      <c r="AL3652" s="313"/>
      <c r="AM3652" s="313"/>
      <c r="AN3652" s="313"/>
      <c r="AO3652" s="313"/>
      <c r="AP3652" s="313"/>
      <c r="AQ3652" s="314"/>
      <c r="AR3652" s="315" t="str">
        <f t="shared" si="94"/>
        <v/>
      </c>
    </row>
    <row r="3653" spans="37:44" ht="30" hidden="1" customHeight="1" x14ac:dyDescent="0.25">
      <c r="AK3653" s="313"/>
      <c r="AL3653" s="313"/>
      <c r="AM3653" s="313"/>
      <c r="AN3653" s="313"/>
      <c r="AO3653" s="313"/>
      <c r="AP3653" s="313"/>
      <c r="AQ3653" s="314"/>
      <c r="AR3653" s="315" t="str">
        <f t="shared" si="94"/>
        <v/>
      </c>
    </row>
    <row r="3654" spans="37:44" ht="30" hidden="1" customHeight="1" x14ac:dyDescent="0.25">
      <c r="AK3654" s="313"/>
      <c r="AL3654" s="313"/>
      <c r="AM3654" s="313"/>
      <c r="AN3654" s="313"/>
      <c r="AO3654" s="313"/>
      <c r="AP3654" s="313"/>
      <c r="AQ3654" s="314"/>
      <c r="AR3654" s="315" t="str">
        <f t="shared" si="94"/>
        <v/>
      </c>
    </row>
    <row r="3655" spans="37:44" ht="30" hidden="1" customHeight="1" x14ac:dyDescent="0.25">
      <c r="AK3655" s="313"/>
      <c r="AL3655" s="313"/>
      <c r="AM3655" s="313"/>
      <c r="AN3655" s="313"/>
      <c r="AO3655" s="313"/>
      <c r="AP3655" s="313"/>
      <c r="AQ3655" s="314"/>
      <c r="AR3655" s="315" t="str">
        <f t="shared" si="94"/>
        <v/>
      </c>
    </row>
    <row r="3656" spans="37:44" ht="30" hidden="1" customHeight="1" x14ac:dyDescent="0.25">
      <c r="AK3656" s="313"/>
      <c r="AL3656" s="313"/>
      <c r="AM3656" s="313"/>
      <c r="AN3656" s="313"/>
      <c r="AO3656" s="313"/>
      <c r="AP3656" s="313"/>
      <c r="AQ3656" s="314"/>
      <c r="AR3656" s="315" t="str">
        <f t="shared" si="94"/>
        <v/>
      </c>
    </row>
    <row r="3657" spans="37:44" ht="30" hidden="1" customHeight="1" x14ac:dyDescent="0.25">
      <c r="AK3657" s="313"/>
      <c r="AL3657" s="313"/>
      <c r="AM3657" s="313"/>
      <c r="AN3657" s="313"/>
      <c r="AO3657" s="313"/>
      <c r="AP3657" s="313"/>
      <c r="AQ3657" s="314"/>
      <c r="AR3657" s="315" t="str">
        <f t="shared" si="94"/>
        <v/>
      </c>
    </row>
    <row r="3658" spans="37:44" ht="30" hidden="1" customHeight="1" x14ac:dyDescent="0.25">
      <c r="AK3658" s="313"/>
      <c r="AL3658" s="313"/>
      <c r="AM3658" s="313"/>
      <c r="AN3658" s="313"/>
      <c r="AO3658" s="313"/>
      <c r="AP3658" s="313"/>
      <c r="AQ3658" s="314"/>
      <c r="AR3658" s="315" t="str">
        <f t="shared" si="94"/>
        <v/>
      </c>
    </row>
    <row r="3659" spans="37:44" ht="30" hidden="1" customHeight="1" x14ac:dyDescent="0.25">
      <c r="AK3659" s="313"/>
      <c r="AL3659" s="313"/>
      <c r="AM3659" s="313"/>
      <c r="AN3659" s="313"/>
      <c r="AO3659" s="313"/>
      <c r="AP3659" s="313"/>
      <c r="AQ3659" s="314"/>
      <c r="AR3659" s="315" t="str">
        <f t="shared" si="94"/>
        <v/>
      </c>
    </row>
    <row r="3660" spans="37:44" ht="30" hidden="1" customHeight="1" x14ac:dyDescent="0.25">
      <c r="AK3660" s="313"/>
      <c r="AL3660" s="313"/>
      <c r="AM3660" s="313"/>
      <c r="AN3660" s="313"/>
      <c r="AO3660" s="313"/>
      <c r="AP3660" s="313"/>
      <c r="AQ3660" s="314"/>
      <c r="AR3660" s="315" t="str">
        <f t="shared" si="94"/>
        <v/>
      </c>
    </row>
    <row r="3661" spans="37:44" ht="30" hidden="1" customHeight="1" x14ac:dyDescent="0.25">
      <c r="AK3661" s="313"/>
      <c r="AL3661" s="313"/>
      <c r="AM3661" s="313"/>
      <c r="AN3661" s="313"/>
      <c r="AO3661" s="313"/>
      <c r="AP3661" s="313"/>
      <c r="AQ3661" s="314"/>
      <c r="AR3661" s="315" t="str">
        <f t="shared" si="94"/>
        <v/>
      </c>
    </row>
    <row r="3662" spans="37:44" ht="30" hidden="1" customHeight="1" x14ac:dyDescent="0.25">
      <c r="AK3662" s="313"/>
      <c r="AL3662" s="313"/>
      <c r="AM3662" s="313"/>
      <c r="AN3662" s="313"/>
      <c r="AO3662" s="313"/>
      <c r="AP3662" s="313"/>
      <c r="AQ3662" s="314"/>
      <c r="AR3662" s="315" t="str">
        <f t="shared" si="94"/>
        <v/>
      </c>
    </row>
    <row r="3663" spans="37:44" ht="30" hidden="1" customHeight="1" x14ac:dyDescent="0.25">
      <c r="AK3663" s="313"/>
      <c r="AL3663" s="313"/>
      <c r="AM3663" s="313"/>
      <c r="AN3663" s="313"/>
      <c r="AO3663" s="313"/>
      <c r="AP3663" s="313"/>
      <c r="AQ3663" s="314"/>
      <c r="AR3663" s="315" t="str">
        <f t="shared" si="94"/>
        <v/>
      </c>
    </row>
    <row r="3664" spans="37:44" ht="30" hidden="1" customHeight="1" x14ac:dyDescent="0.25">
      <c r="AK3664" s="313"/>
      <c r="AL3664" s="313"/>
      <c r="AM3664" s="313"/>
      <c r="AN3664" s="313"/>
      <c r="AO3664" s="313"/>
      <c r="AP3664" s="313"/>
      <c r="AQ3664" s="314"/>
      <c r="AR3664" s="315" t="str">
        <f t="shared" si="94"/>
        <v/>
      </c>
    </row>
    <row r="3665" spans="37:44" ht="30" hidden="1" customHeight="1" x14ac:dyDescent="0.25">
      <c r="AK3665" s="313"/>
      <c r="AL3665" s="313"/>
      <c r="AM3665" s="313"/>
      <c r="AN3665" s="313"/>
      <c r="AO3665" s="313"/>
      <c r="AP3665" s="313"/>
      <c r="AQ3665" s="314"/>
      <c r="AR3665" s="315" t="str">
        <f t="shared" si="94"/>
        <v/>
      </c>
    </row>
    <row r="3666" spans="37:44" ht="30" hidden="1" customHeight="1" x14ac:dyDescent="0.25">
      <c r="AK3666" s="313"/>
      <c r="AL3666" s="313"/>
      <c r="AM3666" s="313"/>
      <c r="AN3666" s="313"/>
      <c r="AO3666" s="313"/>
      <c r="AP3666" s="313"/>
      <c r="AQ3666" s="314"/>
      <c r="AR3666" s="315" t="str">
        <f t="shared" si="94"/>
        <v/>
      </c>
    </row>
    <row r="3667" spans="37:44" ht="30" hidden="1" customHeight="1" x14ac:dyDescent="0.25">
      <c r="AK3667" s="313"/>
      <c r="AL3667" s="313"/>
      <c r="AM3667" s="313"/>
      <c r="AN3667" s="313"/>
      <c r="AO3667" s="313"/>
      <c r="AP3667" s="313"/>
      <c r="AQ3667" s="314"/>
      <c r="AR3667" s="315" t="str">
        <f t="shared" si="94"/>
        <v/>
      </c>
    </row>
    <row r="3668" spans="37:44" ht="30" hidden="1" customHeight="1" x14ac:dyDescent="0.25">
      <c r="AK3668" s="313"/>
      <c r="AL3668" s="313"/>
      <c r="AM3668" s="313"/>
      <c r="AN3668" s="313"/>
      <c r="AO3668" s="313"/>
      <c r="AP3668" s="313"/>
      <c r="AQ3668" s="314"/>
      <c r="AR3668" s="315" t="str">
        <f t="shared" si="94"/>
        <v/>
      </c>
    </row>
    <row r="3669" spans="37:44" ht="30" hidden="1" customHeight="1" x14ac:dyDescent="0.25">
      <c r="AK3669" s="313"/>
      <c r="AL3669" s="313"/>
      <c r="AM3669" s="313"/>
      <c r="AN3669" s="313"/>
      <c r="AO3669" s="313"/>
      <c r="AP3669" s="313"/>
      <c r="AQ3669" s="314"/>
      <c r="AR3669" s="315" t="str">
        <f t="shared" si="94"/>
        <v/>
      </c>
    </row>
    <row r="3670" spans="37:44" ht="30" hidden="1" customHeight="1" x14ac:dyDescent="0.25">
      <c r="AK3670" s="313"/>
      <c r="AL3670" s="313"/>
      <c r="AM3670" s="313"/>
      <c r="AN3670" s="313"/>
      <c r="AO3670" s="313"/>
      <c r="AP3670" s="313"/>
      <c r="AQ3670" s="314"/>
      <c r="AR3670" s="315" t="str">
        <f t="shared" si="94"/>
        <v/>
      </c>
    </row>
    <row r="3671" spans="37:44" ht="30" hidden="1" customHeight="1" x14ac:dyDescent="0.25">
      <c r="AK3671" s="313"/>
      <c r="AL3671" s="313"/>
      <c r="AM3671" s="313"/>
      <c r="AN3671" s="313"/>
      <c r="AO3671" s="313"/>
      <c r="AP3671" s="313"/>
      <c r="AQ3671" s="314"/>
      <c r="AR3671" s="315" t="str">
        <f t="shared" si="94"/>
        <v/>
      </c>
    </row>
    <row r="3672" spans="37:44" ht="30" hidden="1" customHeight="1" x14ac:dyDescent="0.25">
      <c r="AK3672" s="313"/>
      <c r="AL3672" s="313"/>
      <c r="AM3672" s="313"/>
      <c r="AN3672" s="313"/>
      <c r="AO3672" s="313"/>
      <c r="AP3672" s="313"/>
      <c r="AQ3672" s="314"/>
      <c r="AR3672" s="315" t="str">
        <f t="shared" si="94"/>
        <v/>
      </c>
    </row>
    <row r="3673" spans="37:44" ht="30" hidden="1" customHeight="1" x14ac:dyDescent="0.25">
      <c r="AK3673" s="313"/>
      <c r="AL3673" s="313"/>
      <c r="AM3673" s="313"/>
      <c r="AN3673" s="313"/>
      <c r="AO3673" s="313"/>
      <c r="AP3673" s="313"/>
      <c r="AQ3673" s="314"/>
      <c r="AR3673" s="315" t="str">
        <f t="shared" si="94"/>
        <v/>
      </c>
    </row>
    <row r="3674" spans="37:44" ht="30" hidden="1" customHeight="1" x14ac:dyDescent="0.25">
      <c r="AK3674" s="313"/>
      <c r="AL3674" s="313"/>
      <c r="AM3674" s="313"/>
      <c r="AN3674" s="313"/>
      <c r="AO3674" s="313"/>
      <c r="AP3674" s="313"/>
      <c r="AQ3674" s="314"/>
      <c r="AR3674" s="315" t="str">
        <f t="shared" si="94"/>
        <v/>
      </c>
    </row>
    <row r="3675" spans="37:44" ht="30" hidden="1" customHeight="1" x14ac:dyDescent="0.25">
      <c r="AK3675" s="313"/>
      <c r="AL3675" s="313"/>
      <c r="AM3675" s="313"/>
      <c r="AN3675" s="313"/>
      <c r="AO3675" s="313"/>
      <c r="AP3675" s="313"/>
      <c r="AQ3675" s="314"/>
      <c r="AR3675" s="315" t="str">
        <f t="shared" si="94"/>
        <v/>
      </c>
    </row>
    <row r="3676" spans="37:44" ht="30" hidden="1" customHeight="1" x14ac:dyDescent="0.25">
      <c r="AK3676" s="313"/>
      <c r="AL3676" s="313"/>
      <c r="AM3676" s="313"/>
      <c r="AN3676" s="313"/>
      <c r="AO3676" s="313"/>
      <c r="AP3676" s="313"/>
      <c r="AQ3676" s="314"/>
      <c r="AR3676" s="315" t="str">
        <f t="shared" si="94"/>
        <v/>
      </c>
    </row>
    <row r="3677" spans="37:44" ht="30" hidden="1" customHeight="1" x14ac:dyDescent="0.25">
      <c r="AK3677" s="313"/>
      <c r="AL3677" s="313"/>
      <c r="AM3677" s="313"/>
      <c r="AN3677" s="313"/>
      <c r="AO3677" s="313"/>
      <c r="AP3677" s="313"/>
      <c r="AQ3677" s="314"/>
      <c r="AR3677" s="315" t="str">
        <f t="shared" si="94"/>
        <v/>
      </c>
    </row>
    <row r="3678" spans="37:44" ht="30" hidden="1" customHeight="1" x14ac:dyDescent="0.25">
      <c r="AK3678" s="313"/>
      <c r="AL3678" s="313"/>
      <c r="AM3678" s="313"/>
      <c r="AN3678" s="313"/>
      <c r="AO3678" s="313"/>
      <c r="AP3678" s="313"/>
      <c r="AQ3678" s="314"/>
      <c r="AR3678" s="315" t="str">
        <f t="shared" si="94"/>
        <v/>
      </c>
    </row>
    <row r="3679" spans="37:44" ht="30" hidden="1" customHeight="1" x14ac:dyDescent="0.25">
      <c r="AK3679" s="313"/>
      <c r="AL3679" s="313"/>
      <c r="AM3679" s="313"/>
      <c r="AN3679" s="313"/>
      <c r="AO3679" s="313"/>
      <c r="AP3679" s="313"/>
      <c r="AQ3679" s="314"/>
      <c r="AR3679" s="315" t="str">
        <f t="shared" si="94"/>
        <v/>
      </c>
    </row>
    <row r="3680" spans="37:44" ht="30" hidden="1" customHeight="1" x14ac:dyDescent="0.25">
      <c r="AK3680" s="313"/>
      <c r="AL3680" s="313"/>
      <c r="AM3680" s="313"/>
      <c r="AN3680" s="313"/>
      <c r="AO3680" s="313"/>
      <c r="AP3680" s="313"/>
      <c r="AQ3680" s="314"/>
      <c r="AR3680" s="315" t="str">
        <f t="shared" si="94"/>
        <v/>
      </c>
    </row>
    <row r="3681" spans="37:44" ht="30" hidden="1" customHeight="1" x14ac:dyDescent="0.25">
      <c r="AK3681" s="313"/>
      <c r="AL3681" s="313"/>
      <c r="AM3681" s="313"/>
      <c r="AN3681" s="313"/>
      <c r="AO3681" s="313"/>
      <c r="AP3681" s="313"/>
      <c r="AQ3681" s="314"/>
      <c r="AR3681" s="315" t="str">
        <f t="shared" si="94"/>
        <v/>
      </c>
    </row>
    <row r="3682" spans="37:44" ht="30" hidden="1" customHeight="1" x14ac:dyDescent="0.25">
      <c r="AK3682" s="313"/>
      <c r="AL3682" s="313"/>
      <c r="AM3682" s="313"/>
      <c r="AN3682" s="313"/>
      <c r="AO3682" s="313"/>
      <c r="AP3682" s="313"/>
      <c r="AQ3682" s="314"/>
      <c r="AR3682" s="315" t="str">
        <f t="shared" si="94"/>
        <v/>
      </c>
    </row>
    <row r="3683" spans="37:44" ht="30" hidden="1" customHeight="1" x14ac:dyDescent="0.25">
      <c r="AK3683" s="313"/>
      <c r="AL3683" s="313"/>
      <c r="AM3683" s="313"/>
      <c r="AN3683" s="313"/>
      <c r="AO3683" s="313"/>
      <c r="AP3683" s="313"/>
      <c r="AQ3683" s="314"/>
      <c r="AR3683" s="315" t="str">
        <f t="shared" si="94"/>
        <v/>
      </c>
    </row>
    <row r="3684" spans="37:44" ht="30" hidden="1" customHeight="1" x14ac:dyDescent="0.25">
      <c r="AK3684" s="313"/>
      <c r="AL3684" s="313"/>
      <c r="AM3684" s="313"/>
      <c r="AN3684" s="313"/>
      <c r="AO3684" s="313"/>
      <c r="AP3684" s="313"/>
      <c r="AQ3684" s="314"/>
      <c r="AR3684" s="315" t="str">
        <f t="shared" si="94"/>
        <v/>
      </c>
    </row>
    <row r="3685" spans="37:44" ht="30" hidden="1" customHeight="1" x14ac:dyDescent="0.25">
      <c r="AK3685" s="313"/>
      <c r="AL3685" s="313"/>
      <c r="AM3685" s="313"/>
      <c r="AN3685" s="313"/>
      <c r="AO3685" s="313"/>
      <c r="AP3685" s="313"/>
      <c r="AQ3685" s="314"/>
      <c r="AR3685" s="315" t="str">
        <f t="shared" si="94"/>
        <v/>
      </c>
    </row>
    <row r="3686" spans="37:44" ht="30" hidden="1" customHeight="1" x14ac:dyDescent="0.25">
      <c r="AK3686" s="313"/>
      <c r="AL3686" s="313"/>
      <c r="AM3686" s="313"/>
      <c r="AN3686" s="313"/>
      <c r="AO3686" s="313"/>
      <c r="AP3686" s="313"/>
      <c r="AQ3686" s="314"/>
      <c r="AR3686" s="315" t="str">
        <f t="shared" si="94"/>
        <v/>
      </c>
    </row>
    <row r="3687" spans="37:44" ht="30" hidden="1" customHeight="1" x14ac:dyDescent="0.25">
      <c r="AK3687" s="313"/>
      <c r="AL3687" s="313"/>
      <c r="AM3687" s="313"/>
      <c r="AN3687" s="313"/>
      <c r="AO3687" s="313"/>
      <c r="AP3687" s="313"/>
      <c r="AQ3687" s="314"/>
      <c r="AR3687" s="315" t="str">
        <f t="shared" si="94"/>
        <v/>
      </c>
    </row>
    <row r="3688" spans="37:44" ht="30" hidden="1" customHeight="1" x14ac:dyDescent="0.25">
      <c r="AK3688" s="313"/>
      <c r="AL3688" s="313"/>
      <c r="AM3688" s="313"/>
      <c r="AN3688" s="313"/>
      <c r="AO3688" s="313"/>
      <c r="AP3688" s="313"/>
      <c r="AQ3688" s="314"/>
      <c r="AR3688" s="315" t="str">
        <f t="shared" si="94"/>
        <v/>
      </c>
    </row>
    <row r="3689" spans="37:44" ht="30" hidden="1" customHeight="1" x14ac:dyDescent="0.25">
      <c r="AK3689" s="313"/>
      <c r="AL3689" s="313"/>
      <c r="AM3689" s="313"/>
      <c r="AN3689" s="313"/>
      <c r="AO3689" s="313"/>
      <c r="AP3689" s="313"/>
      <c r="AQ3689" s="314"/>
      <c r="AR3689" s="315" t="str">
        <f t="shared" si="94"/>
        <v/>
      </c>
    </row>
    <row r="3690" spans="37:44" ht="30" hidden="1" customHeight="1" x14ac:dyDescent="0.25">
      <c r="AK3690" s="313"/>
      <c r="AL3690" s="313"/>
      <c r="AM3690" s="313"/>
      <c r="AN3690" s="313"/>
      <c r="AO3690" s="313"/>
      <c r="AP3690" s="313"/>
      <c r="AQ3690" s="314"/>
      <c r="AR3690" s="315" t="str">
        <f t="shared" si="94"/>
        <v/>
      </c>
    </row>
    <row r="3691" spans="37:44" ht="30" hidden="1" customHeight="1" x14ac:dyDescent="0.25">
      <c r="AK3691" s="313"/>
      <c r="AL3691" s="313"/>
      <c r="AM3691" s="313"/>
      <c r="AN3691" s="313"/>
      <c r="AO3691" s="313"/>
      <c r="AP3691" s="313"/>
      <c r="AQ3691" s="314"/>
      <c r="AR3691" s="315" t="str">
        <f t="shared" si="94"/>
        <v/>
      </c>
    </row>
    <row r="3692" spans="37:44" ht="30" hidden="1" customHeight="1" x14ac:dyDescent="0.25">
      <c r="AK3692" s="313"/>
      <c r="AL3692" s="313"/>
      <c r="AM3692" s="313"/>
      <c r="AN3692" s="313"/>
      <c r="AO3692" s="313"/>
      <c r="AP3692" s="313"/>
      <c r="AQ3692" s="314"/>
      <c r="AR3692" s="315" t="str">
        <f t="shared" si="94"/>
        <v/>
      </c>
    </row>
    <row r="3693" spans="37:44" ht="30" hidden="1" customHeight="1" x14ac:dyDescent="0.25">
      <c r="AK3693" s="313"/>
      <c r="AL3693" s="313"/>
      <c r="AM3693" s="313"/>
      <c r="AN3693" s="313"/>
      <c r="AO3693" s="313"/>
      <c r="AP3693" s="313"/>
      <c r="AQ3693" s="314"/>
      <c r="AR3693" s="315" t="str">
        <f t="shared" si="94"/>
        <v/>
      </c>
    </row>
    <row r="3694" spans="37:44" ht="30" hidden="1" customHeight="1" x14ac:dyDescent="0.25">
      <c r="AK3694" s="313"/>
      <c r="AL3694" s="313"/>
      <c r="AM3694" s="313"/>
      <c r="AN3694" s="313"/>
      <c r="AO3694" s="313"/>
      <c r="AP3694" s="313"/>
      <c r="AQ3694" s="314"/>
      <c r="AR3694" s="315" t="str">
        <f t="shared" si="94"/>
        <v/>
      </c>
    </row>
    <row r="3695" spans="37:44" ht="30" hidden="1" customHeight="1" x14ac:dyDescent="0.25">
      <c r="AK3695" s="313"/>
      <c r="AL3695" s="313"/>
      <c r="AM3695" s="313"/>
      <c r="AN3695" s="313"/>
      <c r="AO3695" s="313"/>
      <c r="AP3695" s="313"/>
      <c r="AQ3695" s="314"/>
      <c r="AR3695" s="315" t="str">
        <f t="shared" si="94"/>
        <v/>
      </c>
    </row>
    <row r="3696" spans="37:44" ht="30" hidden="1" customHeight="1" x14ac:dyDescent="0.25">
      <c r="AK3696" s="313"/>
      <c r="AL3696" s="313"/>
      <c r="AM3696" s="313"/>
      <c r="AN3696" s="313"/>
      <c r="AO3696" s="313"/>
      <c r="AP3696" s="313"/>
      <c r="AQ3696" s="314"/>
      <c r="AR3696" s="315" t="str">
        <f t="shared" si="94"/>
        <v/>
      </c>
    </row>
    <row r="3697" spans="37:44" ht="30" hidden="1" customHeight="1" x14ac:dyDescent="0.25">
      <c r="AK3697" s="313"/>
      <c r="AL3697" s="313"/>
      <c r="AM3697" s="313"/>
      <c r="AN3697" s="313"/>
      <c r="AO3697" s="313"/>
      <c r="AP3697" s="313"/>
      <c r="AQ3697" s="314"/>
      <c r="AR3697" s="315" t="str">
        <f t="shared" si="94"/>
        <v/>
      </c>
    </row>
    <row r="3698" spans="37:44" ht="30" hidden="1" customHeight="1" x14ac:dyDescent="0.25">
      <c r="AK3698" s="313"/>
      <c r="AL3698" s="313"/>
      <c r="AM3698" s="313"/>
      <c r="AN3698" s="313"/>
      <c r="AO3698" s="313"/>
      <c r="AP3698" s="313"/>
      <c r="AQ3698" s="314"/>
      <c r="AR3698" s="315" t="str">
        <f t="shared" si="94"/>
        <v/>
      </c>
    </row>
    <row r="3699" spans="37:44" ht="30" hidden="1" customHeight="1" x14ac:dyDescent="0.25">
      <c r="AK3699" s="313"/>
      <c r="AL3699" s="313"/>
      <c r="AM3699" s="313"/>
      <c r="AN3699" s="313"/>
      <c r="AO3699" s="313"/>
      <c r="AP3699" s="313"/>
      <c r="AQ3699" s="314"/>
      <c r="AR3699" s="315" t="str">
        <f t="shared" si="94"/>
        <v/>
      </c>
    </row>
    <row r="3700" spans="37:44" ht="30" hidden="1" customHeight="1" x14ac:dyDescent="0.25">
      <c r="AK3700" s="313"/>
      <c r="AL3700" s="313"/>
      <c r="AM3700" s="313"/>
      <c r="AN3700" s="313"/>
      <c r="AO3700" s="313"/>
      <c r="AP3700" s="313"/>
      <c r="AQ3700" s="314"/>
      <c r="AR3700" s="315" t="str">
        <f t="shared" si="94"/>
        <v/>
      </c>
    </row>
    <row r="3701" spans="37:44" ht="30" hidden="1" customHeight="1" x14ac:dyDescent="0.25">
      <c r="AK3701" s="313"/>
      <c r="AL3701" s="313"/>
      <c r="AM3701" s="313"/>
      <c r="AN3701" s="313"/>
      <c r="AO3701" s="313"/>
      <c r="AP3701" s="313"/>
      <c r="AQ3701" s="314"/>
      <c r="AR3701" s="315" t="str">
        <f t="shared" si="94"/>
        <v/>
      </c>
    </row>
    <row r="3702" spans="37:44" ht="30" hidden="1" customHeight="1" x14ac:dyDescent="0.25">
      <c r="AK3702" s="313"/>
      <c r="AL3702" s="313"/>
      <c r="AM3702" s="313"/>
      <c r="AN3702" s="313"/>
      <c r="AO3702" s="313"/>
      <c r="AP3702" s="313"/>
      <c r="AQ3702" s="314"/>
      <c r="AR3702" s="315" t="str">
        <f t="shared" si="94"/>
        <v/>
      </c>
    </row>
    <row r="3703" spans="37:44" ht="30" hidden="1" customHeight="1" x14ac:dyDescent="0.25">
      <c r="AK3703" s="313"/>
      <c r="AL3703" s="313"/>
      <c r="AM3703" s="313"/>
      <c r="AN3703" s="313"/>
      <c r="AO3703" s="313"/>
      <c r="AP3703" s="313"/>
      <c r="AQ3703" s="314"/>
      <c r="AR3703" s="315" t="str">
        <f t="shared" si="94"/>
        <v/>
      </c>
    </row>
    <row r="3704" spans="37:44" ht="30" hidden="1" customHeight="1" x14ac:dyDescent="0.25">
      <c r="AK3704" s="313"/>
      <c r="AL3704" s="313"/>
      <c r="AM3704" s="313"/>
      <c r="AN3704" s="313"/>
      <c r="AO3704" s="313"/>
      <c r="AP3704" s="313"/>
      <c r="AQ3704" s="314"/>
      <c r="AR3704" s="315" t="str">
        <f t="shared" si="94"/>
        <v/>
      </c>
    </row>
    <row r="3705" spans="37:44" ht="30" hidden="1" customHeight="1" x14ac:dyDescent="0.25">
      <c r="AK3705" s="313"/>
      <c r="AL3705" s="313"/>
      <c r="AM3705" s="313"/>
      <c r="AN3705" s="313"/>
      <c r="AO3705" s="313"/>
      <c r="AP3705" s="313"/>
      <c r="AQ3705" s="314"/>
      <c r="AR3705" s="315" t="str">
        <f t="shared" si="94"/>
        <v/>
      </c>
    </row>
    <row r="3706" spans="37:44" ht="30" hidden="1" customHeight="1" x14ac:dyDescent="0.25">
      <c r="AK3706" s="313"/>
      <c r="AL3706" s="313"/>
      <c r="AM3706" s="313"/>
      <c r="AN3706" s="313"/>
      <c r="AO3706" s="313"/>
      <c r="AP3706" s="313"/>
      <c r="AQ3706" s="314"/>
      <c r="AR3706" s="315" t="str">
        <f t="shared" si="94"/>
        <v/>
      </c>
    </row>
    <row r="3707" spans="37:44" ht="30" hidden="1" customHeight="1" x14ac:dyDescent="0.25">
      <c r="AK3707" s="313"/>
      <c r="AL3707" s="313"/>
      <c r="AM3707" s="313"/>
      <c r="AN3707" s="313"/>
      <c r="AO3707" s="313"/>
      <c r="AP3707" s="313"/>
      <c r="AQ3707" s="314"/>
      <c r="AR3707" s="315" t="str">
        <f t="shared" si="94"/>
        <v/>
      </c>
    </row>
    <row r="3708" spans="37:44" ht="30" hidden="1" customHeight="1" x14ac:dyDescent="0.25">
      <c r="AK3708" s="313"/>
      <c r="AL3708" s="313"/>
      <c r="AM3708" s="313"/>
      <c r="AN3708" s="313"/>
      <c r="AO3708" s="313"/>
      <c r="AP3708" s="313"/>
      <c r="AQ3708" s="314"/>
      <c r="AR3708" s="315" t="str">
        <f t="shared" si="94"/>
        <v/>
      </c>
    </row>
    <row r="3709" spans="37:44" ht="30" hidden="1" customHeight="1" x14ac:dyDescent="0.25">
      <c r="AK3709" s="313"/>
      <c r="AL3709" s="313"/>
      <c r="AM3709" s="313"/>
      <c r="AN3709" s="313"/>
      <c r="AO3709" s="313"/>
      <c r="AP3709" s="313"/>
      <c r="AQ3709" s="314"/>
      <c r="AR3709" s="315" t="str">
        <f t="shared" si="94"/>
        <v/>
      </c>
    </row>
    <row r="3710" spans="37:44" ht="30" hidden="1" customHeight="1" x14ac:dyDescent="0.25">
      <c r="AK3710" s="313"/>
      <c r="AL3710" s="313"/>
      <c r="AM3710" s="313"/>
      <c r="AN3710" s="313"/>
      <c r="AO3710" s="313"/>
      <c r="AP3710" s="313"/>
      <c r="AQ3710" s="314"/>
      <c r="AR3710" s="315" t="str">
        <f t="shared" si="94"/>
        <v/>
      </c>
    </row>
    <row r="3711" spans="37:44" ht="30" hidden="1" customHeight="1" x14ac:dyDescent="0.25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95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 x14ac:dyDescent="0.25">
      <c r="AK3712" s="313"/>
      <c r="AL3712" s="313"/>
      <c r="AM3712" s="313"/>
      <c r="AN3712" s="313"/>
      <c r="AO3712" s="313"/>
      <c r="AP3712" s="313"/>
      <c r="AQ3712" s="314"/>
      <c r="AR3712" s="315" t="str">
        <f t="shared" si="95"/>
        <v/>
      </c>
    </row>
    <row r="3713" spans="37:44" ht="30" hidden="1" customHeight="1" x14ac:dyDescent="0.25">
      <c r="AK3713" s="313"/>
      <c r="AL3713" s="313"/>
      <c r="AM3713" s="313"/>
      <c r="AN3713" s="313"/>
      <c r="AO3713" s="313"/>
      <c r="AP3713" s="313"/>
      <c r="AQ3713" s="314"/>
      <c r="AR3713" s="315" t="str">
        <f t="shared" si="95"/>
        <v/>
      </c>
    </row>
    <row r="3714" spans="37:44" ht="30" hidden="1" customHeight="1" x14ac:dyDescent="0.25">
      <c r="AK3714" s="313"/>
      <c r="AL3714" s="313"/>
      <c r="AM3714" s="313"/>
      <c r="AN3714" s="313"/>
      <c r="AO3714" s="313"/>
      <c r="AP3714" s="313"/>
      <c r="AQ3714" s="314"/>
      <c r="AR3714" s="315" t="str">
        <f t="shared" si="95"/>
        <v/>
      </c>
    </row>
    <row r="3715" spans="37:44" ht="30" hidden="1" customHeight="1" x14ac:dyDescent="0.25">
      <c r="AK3715" s="313"/>
      <c r="AL3715" s="313"/>
      <c r="AM3715" s="313"/>
      <c r="AN3715" s="313"/>
      <c r="AO3715" s="313"/>
      <c r="AP3715" s="313"/>
      <c r="AQ3715" s="314"/>
      <c r="AR3715" s="315" t="str">
        <f t="shared" si="95"/>
        <v/>
      </c>
    </row>
    <row r="3716" spans="37:44" ht="30" hidden="1" customHeight="1" x14ac:dyDescent="0.25">
      <c r="AK3716" s="313"/>
      <c r="AL3716" s="313"/>
      <c r="AM3716" s="313"/>
      <c r="AN3716" s="313"/>
      <c r="AO3716" s="313"/>
      <c r="AP3716" s="313"/>
      <c r="AQ3716" s="314"/>
      <c r="AR3716" s="315" t="str">
        <f t="shared" si="95"/>
        <v/>
      </c>
    </row>
    <row r="3717" spans="37:44" ht="30" hidden="1" customHeight="1" x14ac:dyDescent="0.25">
      <c r="AK3717" s="313"/>
      <c r="AL3717" s="313"/>
      <c r="AM3717" s="313"/>
      <c r="AN3717" s="313"/>
      <c r="AO3717" s="313"/>
      <c r="AP3717" s="313"/>
      <c r="AQ3717" s="314"/>
      <c r="AR3717" s="315" t="str">
        <f t="shared" si="95"/>
        <v/>
      </c>
    </row>
    <row r="3718" spans="37:44" ht="30" hidden="1" customHeight="1" x14ac:dyDescent="0.25">
      <c r="AK3718" s="313"/>
      <c r="AL3718" s="313"/>
      <c r="AM3718" s="313"/>
      <c r="AN3718" s="313"/>
      <c r="AO3718" s="313"/>
      <c r="AP3718" s="313"/>
      <c r="AQ3718" s="314"/>
      <c r="AR3718" s="315" t="str">
        <f t="shared" si="95"/>
        <v/>
      </c>
    </row>
    <row r="3719" spans="37:44" ht="30" hidden="1" customHeight="1" x14ac:dyDescent="0.25">
      <c r="AK3719" s="313"/>
      <c r="AL3719" s="313"/>
      <c r="AM3719" s="313"/>
      <c r="AN3719" s="313"/>
      <c r="AO3719" s="313"/>
      <c r="AP3719" s="313"/>
      <c r="AQ3719" s="314"/>
      <c r="AR3719" s="315" t="str">
        <f t="shared" si="95"/>
        <v/>
      </c>
    </row>
    <row r="3720" spans="37:44" ht="30" hidden="1" customHeight="1" x14ac:dyDescent="0.25">
      <c r="AK3720" s="313"/>
      <c r="AL3720" s="313"/>
      <c r="AM3720" s="313"/>
      <c r="AN3720" s="313"/>
      <c r="AO3720" s="313"/>
      <c r="AP3720" s="313"/>
      <c r="AQ3720" s="314"/>
      <c r="AR3720" s="315" t="str">
        <f t="shared" si="95"/>
        <v/>
      </c>
    </row>
    <row r="3721" spans="37:44" ht="30" hidden="1" customHeight="1" x14ac:dyDescent="0.25">
      <c r="AK3721" s="313"/>
      <c r="AL3721" s="313"/>
      <c r="AM3721" s="313"/>
      <c r="AN3721" s="313"/>
      <c r="AO3721" s="313"/>
      <c r="AP3721" s="313"/>
      <c r="AQ3721" s="314"/>
      <c r="AR3721" s="315" t="str">
        <f t="shared" si="95"/>
        <v/>
      </c>
    </row>
    <row r="3722" spans="37:44" ht="30" hidden="1" customHeight="1" x14ac:dyDescent="0.25">
      <c r="AK3722" s="313"/>
      <c r="AL3722" s="313"/>
      <c r="AM3722" s="313"/>
      <c r="AN3722" s="313"/>
      <c r="AO3722" s="313"/>
      <c r="AP3722" s="313"/>
      <c r="AQ3722" s="314"/>
      <c r="AR3722" s="315" t="str">
        <f t="shared" si="95"/>
        <v/>
      </c>
    </row>
    <row r="3723" spans="37:44" ht="30" hidden="1" customHeight="1" x14ac:dyDescent="0.25">
      <c r="AK3723" s="313"/>
      <c r="AL3723" s="313"/>
      <c r="AM3723" s="313"/>
      <c r="AN3723" s="313"/>
      <c r="AO3723" s="313"/>
      <c r="AP3723" s="313"/>
      <c r="AQ3723" s="314"/>
      <c r="AR3723" s="315" t="str">
        <f t="shared" si="95"/>
        <v/>
      </c>
    </row>
    <row r="3724" spans="37:44" ht="30" hidden="1" customHeight="1" x14ac:dyDescent="0.25">
      <c r="AK3724" s="313"/>
      <c r="AL3724" s="313"/>
      <c r="AM3724" s="313"/>
      <c r="AN3724" s="313"/>
      <c r="AO3724" s="313"/>
      <c r="AP3724" s="313"/>
      <c r="AQ3724" s="314"/>
      <c r="AR3724" s="315" t="str">
        <f t="shared" si="95"/>
        <v/>
      </c>
    </row>
    <row r="3725" spans="37:44" ht="30" hidden="1" customHeight="1" x14ac:dyDescent="0.25">
      <c r="AK3725" s="313"/>
      <c r="AL3725" s="313"/>
      <c r="AM3725" s="313"/>
      <c r="AN3725" s="313"/>
      <c r="AO3725" s="313"/>
      <c r="AP3725" s="313"/>
      <c r="AQ3725" s="314"/>
      <c r="AR3725" s="315" t="str">
        <f t="shared" si="95"/>
        <v/>
      </c>
    </row>
    <row r="3726" spans="37:44" ht="30" hidden="1" customHeight="1" x14ac:dyDescent="0.25">
      <c r="AK3726" s="313"/>
      <c r="AL3726" s="313"/>
      <c r="AM3726" s="313"/>
      <c r="AN3726" s="313"/>
      <c r="AO3726" s="313"/>
      <c r="AP3726" s="313"/>
      <c r="AQ3726" s="314"/>
      <c r="AR3726" s="315" t="str">
        <f t="shared" si="95"/>
        <v/>
      </c>
    </row>
    <row r="3727" spans="37:44" ht="30" hidden="1" customHeight="1" x14ac:dyDescent="0.25">
      <c r="AK3727" s="313"/>
      <c r="AL3727" s="313"/>
      <c r="AM3727" s="313"/>
      <c r="AN3727" s="313"/>
      <c r="AO3727" s="313"/>
      <c r="AP3727" s="313"/>
      <c r="AQ3727" s="314"/>
      <c r="AR3727" s="315" t="str">
        <f t="shared" si="95"/>
        <v/>
      </c>
    </row>
    <row r="3728" spans="37:44" ht="30" hidden="1" customHeight="1" x14ac:dyDescent="0.25">
      <c r="AK3728" s="313"/>
      <c r="AL3728" s="313"/>
      <c r="AM3728" s="313"/>
      <c r="AN3728" s="313"/>
      <c r="AO3728" s="313"/>
      <c r="AP3728" s="313"/>
      <c r="AQ3728" s="314"/>
      <c r="AR3728" s="315" t="str">
        <f t="shared" si="95"/>
        <v/>
      </c>
    </row>
    <row r="3729" spans="37:44" ht="30" hidden="1" customHeight="1" x14ac:dyDescent="0.25">
      <c r="AK3729" s="313"/>
      <c r="AL3729" s="313"/>
      <c r="AM3729" s="313"/>
      <c r="AN3729" s="313"/>
      <c r="AO3729" s="313"/>
      <c r="AP3729" s="313"/>
      <c r="AQ3729" s="314"/>
      <c r="AR3729" s="315" t="str">
        <f t="shared" si="95"/>
        <v/>
      </c>
    </row>
    <row r="3730" spans="37:44" ht="30" hidden="1" customHeight="1" x14ac:dyDescent="0.25">
      <c r="AK3730" s="313"/>
      <c r="AL3730" s="313"/>
      <c r="AM3730" s="313"/>
      <c r="AN3730" s="313"/>
      <c r="AO3730" s="313"/>
      <c r="AP3730" s="313"/>
      <c r="AQ3730" s="314"/>
      <c r="AR3730" s="315" t="str">
        <f t="shared" si="95"/>
        <v/>
      </c>
    </row>
    <row r="3731" spans="37:44" ht="30" hidden="1" customHeight="1" x14ac:dyDescent="0.25">
      <c r="AK3731" s="313"/>
      <c r="AL3731" s="313"/>
      <c r="AM3731" s="313"/>
      <c r="AN3731" s="313"/>
      <c r="AO3731" s="313"/>
      <c r="AP3731" s="313"/>
      <c r="AQ3731" s="314"/>
      <c r="AR3731" s="315" t="str">
        <f t="shared" si="95"/>
        <v/>
      </c>
    </row>
    <row r="3732" spans="37:44" ht="30" hidden="1" customHeight="1" x14ac:dyDescent="0.25">
      <c r="AK3732" s="313"/>
      <c r="AL3732" s="313"/>
      <c r="AM3732" s="313"/>
      <c r="AN3732" s="313"/>
      <c r="AO3732" s="313"/>
      <c r="AP3732" s="313"/>
      <c r="AQ3732" s="314"/>
      <c r="AR3732" s="315" t="str">
        <f t="shared" si="95"/>
        <v/>
      </c>
    </row>
    <row r="3733" spans="37:44" ht="30" hidden="1" customHeight="1" x14ac:dyDescent="0.25">
      <c r="AK3733" s="313"/>
      <c r="AL3733" s="313"/>
      <c r="AM3733" s="313"/>
      <c r="AN3733" s="313"/>
      <c r="AO3733" s="313"/>
      <c r="AP3733" s="313"/>
      <c r="AQ3733" s="314"/>
      <c r="AR3733" s="315" t="str">
        <f t="shared" si="95"/>
        <v/>
      </c>
    </row>
    <row r="3734" spans="37:44" ht="30" hidden="1" customHeight="1" x14ac:dyDescent="0.25">
      <c r="AK3734" s="313"/>
      <c r="AL3734" s="313"/>
      <c r="AM3734" s="313"/>
      <c r="AN3734" s="313"/>
      <c r="AO3734" s="313"/>
      <c r="AP3734" s="313"/>
      <c r="AQ3734" s="314"/>
      <c r="AR3734" s="315" t="str">
        <f t="shared" si="95"/>
        <v/>
      </c>
    </row>
    <row r="3735" spans="37:44" ht="30" hidden="1" customHeight="1" x14ac:dyDescent="0.25">
      <c r="AK3735" s="313"/>
      <c r="AL3735" s="313"/>
      <c r="AM3735" s="313"/>
      <c r="AN3735" s="313"/>
      <c r="AO3735" s="313"/>
      <c r="AP3735" s="313"/>
      <c r="AQ3735" s="314"/>
      <c r="AR3735" s="315" t="str">
        <f t="shared" si="95"/>
        <v/>
      </c>
    </row>
    <row r="3736" spans="37:44" ht="30" hidden="1" customHeight="1" x14ac:dyDescent="0.25">
      <c r="AK3736" s="313"/>
      <c r="AL3736" s="313"/>
      <c r="AM3736" s="313"/>
      <c r="AN3736" s="313"/>
      <c r="AO3736" s="313"/>
      <c r="AP3736" s="313"/>
      <c r="AQ3736" s="314"/>
      <c r="AR3736" s="315" t="str">
        <f t="shared" si="95"/>
        <v/>
      </c>
    </row>
    <row r="3737" spans="37:44" ht="30" hidden="1" customHeight="1" x14ac:dyDescent="0.25">
      <c r="AK3737" s="313"/>
      <c r="AL3737" s="313"/>
      <c r="AM3737" s="313"/>
      <c r="AN3737" s="313"/>
      <c r="AO3737" s="313"/>
      <c r="AP3737" s="313"/>
      <c r="AQ3737" s="314"/>
      <c r="AR3737" s="315" t="str">
        <f t="shared" si="95"/>
        <v/>
      </c>
    </row>
    <row r="3738" spans="37:44" ht="30" hidden="1" customHeight="1" x14ac:dyDescent="0.25">
      <c r="AK3738" s="313"/>
      <c r="AL3738" s="313"/>
      <c r="AM3738" s="313"/>
      <c r="AN3738" s="313"/>
      <c r="AO3738" s="313"/>
      <c r="AP3738" s="313"/>
      <c r="AQ3738" s="314"/>
      <c r="AR3738" s="315" t="str">
        <f t="shared" si="95"/>
        <v/>
      </c>
    </row>
    <row r="3739" spans="37:44" ht="30" hidden="1" customHeight="1" x14ac:dyDescent="0.25">
      <c r="AK3739" s="313"/>
      <c r="AL3739" s="313"/>
      <c r="AM3739" s="313"/>
      <c r="AN3739" s="313"/>
      <c r="AO3739" s="313"/>
      <c r="AP3739" s="313"/>
      <c r="AQ3739" s="314"/>
      <c r="AR3739" s="315" t="str">
        <f t="shared" si="95"/>
        <v/>
      </c>
    </row>
    <row r="3740" spans="37:44" ht="30" hidden="1" customHeight="1" x14ac:dyDescent="0.25">
      <c r="AK3740" s="313"/>
      <c r="AL3740" s="313"/>
      <c r="AM3740" s="313"/>
      <c r="AN3740" s="313"/>
      <c r="AO3740" s="313"/>
      <c r="AP3740" s="313"/>
      <c r="AQ3740" s="314"/>
      <c r="AR3740" s="315" t="str">
        <f t="shared" si="95"/>
        <v/>
      </c>
    </row>
    <row r="3741" spans="37:44" ht="30" hidden="1" customHeight="1" x14ac:dyDescent="0.25">
      <c r="AK3741" s="313"/>
      <c r="AL3741" s="313"/>
      <c r="AM3741" s="313"/>
      <c r="AN3741" s="313"/>
      <c r="AO3741" s="313"/>
      <c r="AP3741" s="313"/>
      <c r="AQ3741" s="314"/>
      <c r="AR3741" s="315" t="str">
        <f t="shared" si="95"/>
        <v/>
      </c>
    </row>
    <row r="3742" spans="37:44" ht="30" hidden="1" customHeight="1" x14ac:dyDescent="0.25">
      <c r="AK3742" s="313"/>
      <c r="AL3742" s="313"/>
      <c r="AM3742" s="313"/>
      <c r="AN3742" s="313"/>
      <c r="AO3742" s="313"/>
      <c r="AP3742" s="313"/>
      <c r="AQ3742" s="314"/>
      <c r="AR3742" s="315" t="str">
        <f t="shared" si="95"/>
        <v/>
      </c>
    </row>
    <row r="3743" spans="37:44" ht="30" hidden="1" customHeight="1" x14ac:dyDescent="0.25">
      <c r="AK3743" s="313"/>
      <c r="AL3743" s="313"/>
      <c r="AM3743" s="313"/>
      <c r="AN3743" s="313"/>
      <c r="AO3743" s="313"/>
      <c r="AP3743" s="313"/>
      <c r="AQ3743" s="314"/>
      <c r="AR3743" s="315" t="str">
        <f t="shared" si="95"/>
        <v/>
      </c>
    </row>
    <row r="3744" spans="37:44" ht="30" hidden="1" customHeight="1" x14ac:dyDescent="0.25">
      <c r="AK3744" s="313"/>
      <c r="AL3744" s="313"/>
      <c r="AM3744" s="313"/>
      <c r="AN3744" s="313"/>
      <c r="AO3744" s="313"/>
      <c r="AP3744" s="313"/>
      <c r="AQ3744" s="314"/>
      <c r="AR3744" s="315" t="str">
        <f t="shared" si="95"/>
        <v/>
      </c>
    </row>
    <row r="3745" spans="37:44" ht="30" hidden="1" customHeight="1" x14ac:dyDescent="0.25">
      <c r="AK3745" s="313"/>
      <c r="AL3745" s="313"/>
      <c r="AM3745" s="313"/>
      <c r="AN3745" s="313"/>
      <c r="AO3745" s="313"/>
      <c r="AP3745" s="313"/>
      <c r="AQ3745" s="314"/>
      <c r="AR3745" s="315" t="str">
        <f t="shared" si="95"/>
        <v/>
      </c>
    </row>
    <row r="3746" spans="37:44" ht="30" hidden="1" customHeight="1" x14ac:dyDescent="0.25">
      <c r="AK3746" s="313"/>
      <c r="AL3746" s="313"/>
      <c r="AM3746" s="313"/>
      <c r="AN3746" s="313"/>
      <c r="AO3746" s="313"/>
      <c r="AP3746" s="313"/>
      <c r="AQ3746" s="314"/>
      <c r="AR3746" s="315" t="str">
        <f t="shared" si="95"/>
        <v/>
      </c>
    </row>
    <row r="3747" spans="37:44" ht="30" hidden="1" customHeight="1" x14ac:dyDescent="0.25">
      <c r="AK3747" s="313"/>
      <c r="AL3747" s="313"/>
      <c r="AM3747" s="313"/>
      <c r="AN3747" s="313"/>
      <c r="AO3747" s="313"/>
      <c r="AP3747" s="313"/>
      <c r="AQ3747" s="314"/>
      <c r="AR3747" s="315" t="str">
        <f t="shared" si="95"/>
        <v/>
      </c>
    </row>
    <row r="3748" spans="37:44" ht="30" hidden="1" customHeight="1" x14ac:dyDescent="0.25">
      <c r="AK3748" s="313"/>
      <c r="AL3748" s="313"/>
      <c r="AM3748" s="313"/>
      <c r="AN3748" s="313"/>
      <c r="AO3748" s="313"/>
      <c r="AP3748" s="313"/>
      <c r="AQ3748" s="314"/>
      <c r="AR3748" s="315" t="str">
        <f t="shared" si="95"/>
        <v/>
      </c>
    </row>
    <row r="3749" spans="37:44" ht="30" hidden="1" customHeight="1" x14ac:dyDescent="0.25">
      <c r="AK3749" s="313"/>
      <c r="AL3749" s="313"/>
      <c r="AM3749" s="313"/>
      <c r="AN3749" s="313"/>
      <c r="AO3749" s="313"/>
      <c r="AP3749" s="313"/>
      <c r="AQ3749" s="314"/>
      <c r="AR3749" s="315" t="str">
        <f t="shared" si="95"/>
        <v/>
      </c>
    </row>
    <row r="3750" spans="37:44" ht="30" hidden="1" customHeight="1" x14ac:dyDescent="0.25">
      <c r="AK3750" s="313"/>
      <c r="AL3750" s="313"/>
      <c r="AM3750" s="313"/>
      <c r="AN3750" s="313"/>
      <c r="AO3750" s="313"/>
      <c r="AP3750" s="313"/>
      <c r="AQ3750" s="314"/>
      <c r="AR3750" s="315" t="str">
        <f t="shared" si="95"/>
        <v/>
      </c>
    </row>
    <row r="3751" spans="37:44" ht="30" hidden="1" customHeight="1" x14ac:dyDescent="0.25">
      <c r="AK3751" s="313"/>
      <c r="AL3751" s="313"/>
      <c r="AM3751" s="313"/>
      <c r="AN3751" s="313"/>
      <c r="AO3751" s="313"/>
      <c r="AP3751" s="313"/>
      <c r="AQ3751" s="314"/>
      <c r="AR3751" s="315" t="str">
        <f t="shared" si="95"/>
        <v/>
      </c>
    </row>
    <row r="3752" spans="37:44" ht="30" hidden="1" customHeight="1" x14ac:dyDescent="0.25">
      <c r="AK3752" s="313"/>
      <c r="AL3752" s="313"/>
      <c r="AM3752" s="313"/>
      <c r="AN3752" s="313"/>
      <c r="AO3752" s="313"/>
      <c r="AP3752" s="313"/>
      <c r="AQ3752" s="314"/>
      <c r="AR3752" s="315" t="str">
        <f t="shared" si="95"/>
        <v/>
      </c>
    </row>
    <row r="3753" spans="37:44" ht="30" hidden="1" customHeight="1" x14ac:dyDescent="0.25">
      <c r="AK3753" s="313"/>
      <c r="AL3753" s="313"/>
      <c r="AM3753" s="313"/>
      <c r="AN3753" s="313"/>
      <c r="AO3753" s="313"/>
      <c r="AP3753" s="313"/>
      <c r="AQ3753" s="314"/>
      <c r="AR3753" s="315" t="str">
        <f t="shared" si="95"/>
        <v/>
      </c>
    </row>
    <row r="3754" spans="37:44" ht="30" hidden="1" customHeight="1" x14ac:dyDescent="0.25">
      <c r="AK3754" s="313"/>
      <c r="AL3754" s="313"/>
      <c r="AM3754" s="313"/>
      <c r="AN3754" s="313"/>
      <c r="AO3754" s="313"/>
      <c r="AP3754" s="313"/>
      <c r="AQ3754" s="314"/>
      <c r="AR3754" s="315" t="str">
        <f t="shared" si="95"/>
        <v/>
      </c>
    </row>
    <row r="3755" spans="37:44" ht="30" hidden="1" customHeight="1" x14ac:dyDescent="0.25">
      <c r="AK3755" s="313"/>
      <c r="AL3755" s="313"/>
      <c r="AM3755" s="313"/>
      <c r="AN3755" s="313"/>
      <c r="AO3755" s="313"/>
      <c r="AP3755" s="313"/>
      <c r="AQ3755" s="314"/>
      <c r="AR3755" s="315" t="str">
        <f t="shared" si="95"/>
        <v/>
      </c>
    </row>
    <row r="3756" spans="37:44" ht="30" hidden="1" customHeight="1" x14ac:dyDescent="0.25">
      <c r="AK3756" s="313"/>
      <c r="AL3756" s="313"/>
      <c r="AM3756" s="313"/>
      <c r="AN3756" s="313"/>
      <c r="AO3756" s="313"/>
      <c r="AP3756" s="313"/>
      <c r="AQ3756" s="314"/>
      <c r="AR3756" s="315" t="str">
        <f t="shared" si="95"/>
        <v/>
      </c>
    </row>
    <row r="3757" spans="37:44" ht="30" hidden="1" customHeight="1" x14ac:dyDescent="0.25">
      <c r="AK3757" s="313"/>
      <c r="AL3757" s="313"/>
      <c r="AM3757" s="313"/>
      <c r="AN3757" s="313"/>
      <c r="AO3757" s="313"/>
      <c r="AP3757" s="313"/>
      <c r="AQ3757" s="314"/>
      <c r="AR3757" s="315" t="str">
        <f t="shared" si="95"/>
        <v/>
      </c>
    </row>
    <row r="3758" spans="37:44" ht="30" hidden="1" customHeight="1" x14ac:dyDescent="0.25">
      <c r="AK3758" s="313"/>
      <c r="AL3758" s="313"/>
      <c r="AM3758" s="313"/>
      <c r="AN3758" s="313"/>
      <c r="AO3758" s="313"/>
      <c r="AP3758" s="313"/>
      <c r="AQ3758" s="314"/>
      <c r="AR3758" s="315" t="str">
        <f t="shared" si="95"/>
        <v/>
      </c>
    </row>
    <row r="3759" spans="37:44" ht="30" hidden="1" customHeight="1" x14ac:dyDescent="0.25">
      <c r="AK3759" s="313"/>
      <c r="AL3759" s="313"/>
      <c r="AM3759" s="313"/>
      <c r="AN3759" s="313"/>
      <c r="AO3759" s="313"/>
      <c r="AP3759" s="313"/>
      <c r="AQ3759" s="314"/>
      <c r="AR3759" s="315" t="str">
        <f t="shared" si="95"/>
        <v/>
      </c>
    </row>
    <row r="3760" spans="37:44" ht="30" hidden="1" customHeight="1" x14ac:dyDescent="0.25">
      <c r="AK3760" s="313"/>
      <c r="AL3760" s="313"/>
      <c r="AM3760" s="313"/>
      <c r="AN3760" s="313"/>
      <c r="AO3760" s="313"/>
      <c r="AP3760" s="313"/>
      <c r="AQ3760" s="314"/>
      <c r="AR3760" s="315" t="str">
        <f t="shared" si="95"/>
        <v/>
      </c>
    </row>
    <row r="3761" spans="37:44" ht="30" hidden="1" customHeight="1" x14ac:dyDescent="0.25">
      <c r="AK3761" s="313"/>
      <c r="AL3761" s="313"/>
      <c r="AM3761" s="313"/>
      <c r="AN3761" s="313"/>
      <c r="AO3761" s="313"/>
      <c r="AP3761" s="313"/>
      <c r="AQ3761" s="314"/>
      <c r="AR3761" s="315" t="str">
        <f t="shared" si="95"/>
        <v/>
      </c>
    </row>
    <row r="3762" spans="37:44" ht="30" hidden="1" customHeight="1" x14ac:dyDescent="0.25">
      <c r="AK3762" s="313"/>
      <c r="AL3762" s="313"/>
      <c r="AM3762" s="313"/>
      <c r="AN3762" s="313"/>
      <c r="AO3762" s="313"/>
      <c r="AP3762" s="313"/>
      <c r="AQ3762" s="314"/>
      <c r="AR3762" s="315" t="str">
        <f t="shared" si="95"/>
        <v/>
      </c>
    </row>
    <row r="3763" spans="37:44" ht="30" hidden="1" customHeight="1" x14ac:dyDescent="0.25">
      <c r="AK3763" s="313"/>
      <c r="AL3763" s="313"/>
      <c r="AM3763" s="313"/>
      <c r="AN3763" s="313"/>
      <c r="AO3763" s="313"/>
      <c r="AP3763" s="313"/>
      <c r="AQ3763" s="314"/>
      <c r="AR3763" s="315" t="str">
        <f t="shared" si="95"/>
        <v/>
      </c>
    </row>
    <row r="3764" spans="37:44" ht="30" hidden="1" customHeight="1" x14ac:dyDescent="0.25">
      <c r="AK3764" s="313"/>
      <c r="AL3764" s="313"/>
      <c r="AM3764" s="313"/>
      <c r="AN3764" s="313"/>
      <c r="AO3764" s="313"/>
      <c r="AP3764" s="313"/>
      <c r="AQ3764" s="314"/>
      <c r="AR3764" s="315" t="str">
        <f t="shared" si="95"/>
        <v/>
      </c>
    </row>
    <row r="3765" spans="37:44" ht="30" hidden="1" customHeight="1" x14ac:dyDescent="0.25">
      <c r="AK3765" s="313"/>
      <c r="AL3765" s="313"/>
      <c r="AM3765" s="313"/>
      <c r="AN3765" s="313"/>
      <c r="AO3765" s="313"/>
      <c r="AP3765" s="313"/>
      <c r="AQ3765" s="314"/>
      <c r="AR3765" s="315" t="str">
        <f t="shared" si="95"/>
        <v/>
      </c>
    </row>
    <row r="3766" spans="37:44" ht="30" hidden="1" customHeight="1" x14ac:dyDescent="0.25">
      <c r="AK3766" s="313"/>
      <c r="AL3766" s="313"/>
      <c r="AM3766" s="313"/>
      <c r="AN3766" s="313"/>
      <c r="AO3766" s="313"/>
      <c r="AP3766" s="313"/>
      <c r="AQ3766" s="314"/>
      <c r="AR3766" s="315" t="str">
        <f t="shared" si="95"/>
        <v/>
      </c>
    </row>
    <row r="3767" spans="37:44" ht="30" hidden="1" customHeight="1" x14ac:dyDescent="0.25">
      <c r="AK3767" s="313"/>
      <c r="AL3767" s="313"/>
      <c r="AM3767" s="313"/>
      <c r="AN3767" s="313"/>
      <c r="AO3767" s="313"/>
      <c r="AP3767" s="313"/>
      <c r="AQ3767" s="314"/>
      <c r="AR3767" s="315" t="str">
        <f t="shared" si="95"/>
        <v/>
      </c>
    </row>
    <row r="3768" spans="37:44" ht="30" hidden="1" customHeight="1" x14ac:dyDescent="0.25">
      <c r="AK3768" s="313"/>
      <c r="AL3768" s="313"/>
      <c r="AM3768" s="313"/>
      <c r="AN3768" s="313"/>
      <c r="AO3768" s="313"/>
      <c r="AP3768" s="313"/>
      <c r="AQ3768" s="314"/>
      <c r="AR3768" s="315" t="str">
        <f t="shared" si="95"/>
        <v/>
      </c>
    </row>
    <row r="3769" spans="37:44" ht="30" hidden="1" customHeight="1" x14ac:dyDescent="0.25">
      <c r="AK3769" s="313"/>
      <c r="AL3769" s="313"/>
      <c r="AM3769" s="313"/>
      <c r="AN3769" s="313"/>
      <c r="AO3769" s="313"/>
      <c r="AP3769" s="313"/>
      <c r="AQ3769" s="314"/>
      <c r="AR3769" s="315" t="str">
        <f t="shared" si="95"/>
        <v/>
      </c>
    </row>
    <row r="3770" spans="37:44" ht="30" hidden="1" customHeight="1" x14ac:dyDescent="0.25">
      <c r="AK3770" s="313"/>
      <c r="AL3770" s="313"/>
      <c r="AM3770" s="313"/>
      <c r="AN3770" s="313"/>
      <c r="AO3770" s="313"/>
      <c r="AP3770" s="313"/>
      <c r="AQ3770" s="314"/>
      <c r="AR3770" s="315" t="str">
        <f t="shared" si="95"/>
        <v/>
      </c>
    </row>
    <row r="3771" spans="37:44" ht="30" hidden="1" customHeight="1" x14ac:dyDescent="0.25">
      <c r="AK3771" s="313"/>
      <c r="AL3771" s="313"/>
      <c r="AM3771" s="313"/>
      <c r="AN3771" s="313"/>
      <c r="AO3771" s="313"/>
      <c r="AP3771" s="313"/>
      <c r="AQ3771" s="314"/>
      <c r="AR3771" s="315" t="str">
        <f t="shared" si="95"/>
        <v/>
      </c>
    </row>
    <row r="3772" spans="37:44" ht="30" hidden="1" customHeight="1" x14ac:dyDescent="0.25">
      <c r="AK3772" s="313"/>
      <c r="AL3772" s="313"/>
      <c r="AM3772" s="313"/>
      <c r="AN3772" s="313"/>
      <c r="AO3772" s="313"/>
      <c r="AP3772" s="313"/>
      <c r="AQ3772" s="314"/>
      <c r="AR3772" s="315" t="str">
        <f t="shared" si="95"/>
        <v/>
      </c>
    </row>
    <row r="3773" spans="37:44" ht="30" hidden="1" customHeight="1" x14ac:dyDescent="0.25">
      <c r="AK3773" s="313"/>
      <c r="AL3773" s="313"/>
      <c r="AM3773" s="313"/>
      <c r="AN3773" s="313"/>
      <c r="AO3773" s="313"/>
      <c r="AP3773" s="313"/>
      <c r="AQ3773" s="314"/>
      <c r="AR3773" s="315" t="str">
        <f t="shared" si="95"/>
        <v/>
      </c>
    </row>
    <row r="3774" spans="37:44" ht="30" hidden="1" customHeight="1" x14ac:dyDescent="0.25">
      <c r="AK3774" s="313"/>
      <c r="AL3774" s="313"/>
      <c r="AM3774" s="313"/>
      <c r="AN3774" s="313"/>
      <c r="AO3774" s="313"/>
      <c r="AP3774" s="313"/>
      <c r="AQ3774" s="314"/>
      <c r="AR3774" s="315" t="str">
        <f t="shared" si="95"/>
        <v/>
      </c>
    </row>
    <row r="3775" spans="37:44" ht="30" hidden="1" customHeight="1" x14ac:dyDescent="0.25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96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 x14ac:dyDescent="0.25">
      <c r="AK3776" s="313"/>
      <c r="AL3776" s="313"/>
      <c r="AM3776" s="313"/>
      <c r="AN3776" s="313"/>
      <c r="AO3776" s="313"/>
      <c r="AP3776" s="313"/>
      <c r="AQ3776" s="314"/>
      <c r="AR3776" s="315" t="str">
        <f t="shared" si="96"/>
        <v/>
      </c>
    </row>
    <row r="3777" spans="37:44" ht="30" hidden="1" customHeight="1" x14ac:dyDescent="0.25">
      <c r="AK3777" s="313"/>
      <c r="AL3777" s="313"/>
      <c r="AM3777" s="313"/>
      <c r="AN3777" s="313"/>
      <c r="AO3777" s="313"/>
      <c r="AP3777" s="313"/>
      <c r="AQ3777" s="314"/>
      <c r="AR3777" s="315" t="str">
        <f t="shared" si="96"/>
        <v/>
      </c>
    </row>
    <row r="3778" spans="37:44" ht="30" hidden="1" customHeight="1" x14ac:dyDescent="0.25">
      <c r="AK3778" s="313"/>
      <c r="AL3778" s="313"/>
      <c r="AM3778" s="313"/>
      <c r="AN3778" s="313"/>
      <c r="AO3778" s="313"/>
      <c r="AP3778" s="313"/>
      <c r="AQ3778" s="314"/>
      <c r="AR3778" s="315" t="str">
        <f t="shared" si="96"/>
        <v/>
      </c>
    </row>
    <row r="3779" spans="37:44" ht="30" hidden="1" customHeight="1" x14ac:dyDescent="0.25">
      <c r="AK3779" s="313"/>
      <c r="AL3779" s="313"/>
      <c r="AM3779" s="313"/>
      <c r="AN3779" s="313"/>
      <c r="AO3779" s="313"/>
      <c r="AP3779" s="313"/>
      <c r="AQ3779" s="314"/>
      <c r="AR3779" s="315" t="str">
        <f t="shared" si="96"/>
        <v/>
      </c>
    </row>
    <row r="3780" spans="37:44" ht="30" hidden="1" customHeight="1" x14ac:dyDescent="0.25">
      <c r="AK3780" s="313"/>
      <c r="AL3780" s="313"/>
      <c r="AM3780" s="313"/>
      <c r="AN3780" s="313"/>
      <c r="AO3780" s="313"/>
      <c r="AP3780" s="313"/>
      <c r="AQ3780" s="314"/>
      <c r="AR3780" s="315" t="str">
        <f t="shared" si="96"/>
        <v/>
      </c>
    </row>
    <row r="3781" spans="37:44" ht="30" hidden="1" customHeight="1" x14ac:dyDescent="0.25">
      <c r="AK3781" s="313"/>
      <c r="AL3781" s="313"/>
      <c r="AM3781" s="313"/>
      <c r="AN3781" s="313"/>
      <c r="AO3781" s="313"/>
      <c r="AP3781" s="313"/>
      <c r="AQ3781" s="314"/>
      <c r="AR3781" s="315" t="str">
        <f t="shared" si="96"/>
        <v/>
      </c>
    </row>
    <row r="3782" spans="37:44" ht="30" hidden="1" customHeight="1" x14ac:dyDescent="0.25">
      <c r="AK3782" s="313"/>
      <c r="AL3782" s="313"/>
      <c r="AM3782" s="313"/>
      <c r="AN3782" s="313"/>
      <c r="AO3782" s="313"/>
      <c r="AP3782" s="313"/>
      <c r="AQ3782" s="314"/>
      <c r="AR3782" s="315" t="str">
        <f t="shared" si="96"/>
        <v/>
      </c>
    </row>
    <row r="3783" spans="37:44" ht="30" hidden="1" customHeight="1" x14ac:dyDescent="0.25">
      <c r="AK3783" s="313"/>
      <c r="AL3783" s="313"/>
      <c r="AM3783" s="313"/>
      <c r="AN3783" s="313"/>
      <c r="AO3783" s="313"/>
      <c r="AP3783" s="313"/>
      <c r="AQ3783" s="314"/>
      <c r="AR3783" s="315" t="str">
        <f t="shared" si="96"/>
        <v/>
      </c>
    </row>
    <row r="3784" spans="37:44" ht="30" hidden="1" customHeight="1" x14ac:dyDescent="0.25">
      <c r="AK3784" s="313"/>
      <c r="AL3784" s="313"/>
      <c r="AM3784" s="313"/>
      <c r="AN3784" s="313"/>
      <c r="AO3784" s="313"/>
      <c r="AP3784" s="313"/>
      <c r="AQ3784" s="314"/>
      <c r="AR3784" s="315" t="str">
        <f t="shared" si="96"/>
        <v/>
      </c>
    </row>
    <row r="3785" spans="37:44" ht="30" hidden="1" customHeight="1" x14ac:dyDescent="0.25">
      <c r="AK3785" s="313"/>
      <c r="AL3785" s="313"/>
      <c r="AM3785" s="313"/>
      <c r="AN3785" s="313"/>
      <c r="AO3785" s="313"/>
      <c r="AP3785" s="313"/>
      <c r="AQ3785" s="314"/>
      <c r="AR3785" s="315" t="str">
        <f t="shared" si="96"/>
        <v/>
      </c>
    </row>
    <row r="3786" spans="37:44" ht="30" hidden="1" customHeight="1" x14ac:dyDescent="0.25">
      <c r="AK3786" s="313"/>
      <c r="AL3786" s="313"/>
      <c r="AM3786" s="313"/>
      <c r="AN3786" s="313"/>
      <c r="AO3786" s="313"/>
      <c r="AP3786" s="313"/>
      <c r="AQ3786" s="314"/>
      <c r="AR3786" s="315" t="str">
        <f t="shared" si="96"/>
        <v/>
      </c>
    </row>
    <row r="3787" spans="37:44" ht="30" hidden="1" customHeight="1" x14ac:dyDescent="0.25">
      <c r="AK3787" s="313"/>
      <c r="AL3787" s="313"/>
      <c r="AM3787" s="313"/>
      <c r="AN3787" s="313"/>
      <c r="AO3787" s="313"/>
      <c r="AP3787" s="313"/>
      <c r="AQ3787" s="314"/>
      <c r="AR3787" s="315" t="str">
        <f t="shared" si="96"/>
        <v/>
      </c>
    </row>
    <row r="3788" spans="37:44" ht="30" hidden="1" customHeight="1" x14ac:dyDescent="0.25">
      <c r="AK3788" s="313"/>
      <c r="AL3788" s="313"/>
      <c r="AM3788" s="313"/>
      <c r="AN3788" s="313"/>
      <c r="AO3788" s="313"/>
      <c r="AP3788" s="313"/>
      <c r="AQ3788" s="314"/>
      <c r="AR3788" s="315" t="str">
        <f t="shared" si="96"/>
        <v/>
      </c>
    </row>
    <row r="3789" spans="37:44" ht="30" hidden="1" customHeight="1" x14ac:dyDescent="0.25">
      <c r="AK3789" s="313"/>
      <c r="AL3789" s="313"/>
      <c r="AM3789" s="313"/>
      <c r="AN3789" s="313"/>
      <c r="AO3789" s="313"/>
      <c r="AP3789" s="313"/>
      <c r="AQ3789" s="314"/>
      <c r="AR3789" s="315" t="str">
        <f t="shared" si="96"/>
        <v/>
      </c>
    </row>
    <row r="3790" spans="37:44" ht="30" hidden="1" customHeight="1" x14ac:dyDescent="0.25">
      <c r="AK3790" s="313"/>
      <c r="AL3790" s="313"/>
      <c r="AM3790" s="313"/>
      <c r="AN3790" s="313"/>
      <c r="AO3790" s="313"/>
      <c r="AP3790" s="313"/>
      <c r="AQ3790" s="314"/>
      <c r="AR3790" s="315" t="str">
        <f t="shared" si="96"/>
        <v/>
      </c>
    </row>
    <row r="3791" spans="37:44" ht="30" hidden="1" customHeight="1" x14ac:dyDescent="0.25">
      <c r="AK3791" s="313"/>
      <c r="AL3791" s="313"/>
      <c r="AM3791" s="313"/>
      <c r="AN3791" s="313"/>
      <c r="AO3791" s="313"/>
      <c r="AP3791" s="313"/>
      <c r="AQ3791" s="314"/>
      <c r="AR3791" s="315" t="str">
        <f t="shared" si="96"/>
        <v/>
      </c>
    </row>
    <row r="3792" spans="37:44" ht="30" hidden="1" customHeight="1" x14ac:dyDescent="0.25">
      <c r="AK3792" s="313"/>
      <c r="AL3792" s="313"/>
      <c r="AM3792" s="313"/>
      <c r="AN3792" s="313"/>
      <c r="AO3792" s="313"/>
      <c r="AP3792" s="313"/>
      <c r="AQ3792" s="314"/>
      <c r="AR3792" s="315" t="str">
        <f t="shared" si="96"/>
        <v/>
      </c>
    </row>
    <row r="3793" spans="37:44" ht="30" hidden="1" customHeight="1" x14ac:dyDescent="0.25">
      <c r="AK3793" s="313"/>
      <c r="AL3793" s="313"/>
      <c r="AM3793" s="313"/>
      <c r="AN3793" s="313"/>
      <c r="AO3793" s="313"/>
      <c r="AP3793" s="313"/>
      <c r="AQ3793" s="314"/>
      <c r="AR3793" s="315" t="str">
        <f t="shared" si="96"/>
        <v/>
      </c>
    </row>
    <row r="3794" spans="37:44" ht="30" hidden="1" customHeight="1" x14ac:dyDescent="0.25">
      <c r="AK3794" s="313"/>
      <c r="AL3794" s="313"/>
      <c r="AM3794" s="313"/>
      <c r="AN3794" s="313"/>
      <c r="AO3794" s="313"/>
      <c r="AP3794" s="313"/>
      <c r="AQ3794" s="314"/>
      <c r="AR3794" s="315" t="str">
        <f t="shared" si="96"/>
        <v/>
      </c>
    </row>
    <row r="3795" spans="37:44" ht="30" hidden="1" customHeight="1" x14ac:dyDescent="0.25">
      <c r="AK3795" s="313"/>
      <c r="AL3795" s="313"/>
      <c r="AM3795" s="313"/>
      <c r="AN3795" s="313"/>
      <c r="AO3795" s="313"/>
      <c r="AP3795" s="313"/>
      <c r="AQ3795" s="314"/>
      <c r="AR3795" s="315" t="str">
        <f t="shared" si="96"/>
        <v/>
      </c>
    </row>
    <row r="3796" spans="37:44" ht="30" hidden="1" customHeight="1" x14ac:dyDescent="0.25">
      <c r="AK3796" s="313"/>
      <c r="AL3796" s="313"/>
      <c r="AM3796" s="313"/>
      <c r="AN3796" s="313"/>
      <c r="AO3796" s="313"/>
      <c r="AP3796" s="313"/>
      <c r="AQ3796" s="314"/>
      <c r="AR3796" s="315" t="str">
        <f t="shared" si="96"/>
        <v/>
      </c>
    </row>
    <row r="3797" spans="37:44" ht="30" hidden="1" customHeight="1" x14ac:dyDescent="0.25">
      <c r="AK3797" s="313"/>
      <c r="AL3797" s="313"/>
      <c r="AM3797" s="313"/>
      <c r="AN3797" s="313"/>
      <c r="AO3797" s="313"/>
      <c r="AP3797" s="313"/>
      <c r="AQ3797" s="314"/>
      <c r="AR3797" s="315" t="str">
        <f t="shared" si="96"/>
        <v/>
      </c>
    </row>
    <row r="3798" spans="37:44" ht="30" hidden="1" customHeight="1" x14ac:dyDescent="0.25">
      <c r="AK3798" s="313"/>
      <c r="AL3798" s="313"/>
      <c r="AM3798" s="313"/>
      <c r="AN3798" s="313"/>
      <c r="AO3798" s="313"/>
      <c r="AP3798" s="313"/>
      <c r="AQ3798" s="314"/>
      <c r="AR3798" s="315" t="str">
        <f t="shared" si="96"/>
        <v/>
      </c>
    </row>
    <row r="3799" spans="37:44" ht="30" hidden="1" customHeight="1" x14ac:dyDescent="0.25">
      <c r="AK3799" s="313"/>
      <c r="AL3799" s="313"/>
      <c r="AM3799" s="313"/>
      <c r="AN3799" s="313"/>
      <c r="AO3799" s="313"/>
      <c r="AP3799" s="313"/>
      <c r="AQ3799" s="314"/>
      <c r="AR3799" s="315" t="str">
        <f t="shared" si="96"/>
        <v/>
      </c>
    </row>
    <row r="3800" spans="37:44" ht="30" hidden="1" customHeight="1" x14ac:dyDescent="0.25">
      <c r="AK3800" s="313"/>
      <c r="AL3800" s="313"/>
      <c r="AM3800" s="313"/>
      <c r="AN3800" s="313"/>
      <c r="AO3800" s="313"/>
      <c r="AP3800" s="313"/>
      <c r="AQ3800" s="314"/>
      <c r="AR3800" s="315" t="str">
        <f t="shared" si="96"/>
        <v/>
      </c>
    </row>
    <row r="3801" spans="37:44" ht="30" hidden="1" customHeight="1" x14ac:dyDescent="0.25">
      <c r="AK3801" s="313"/>
      <c r="AL3801" s="313"/>
      <c r="AM3801" s="313"/>
      <c r="AN3801" s="313"/>
      <c r="AO3801" s="313"/>
      <c r="AP3801" s="313"/>
      <c r="AQ3801" s="314"/>
      <c r="AR3801" s="315" t="str">
        <f t="shared" si="96"/>
        <v/>
      </c>
    </row>
    <row r="3802" spans="37:44" ht="30" hidden="1" customHeight="1" x14ac:dyDescent="0.25">
      <c r="AK3802" s="313"/>
      <c r="AL3802" s="313"/>
      <c r="AM3802" s="313"/>
      <c r="AN3802" s="313"/>
      <c r="AO3802" s="313"/>
      <c r="AP3802" s="313"/>
      <c r="AQ3802" s="314"/>
      <c r="AR3802" s="315" t="str">
        <f t="shared" si="96"/>
        <v/>
      </c>
    </row>
    <row r="3803" spans="37:44" ht="30" hidden="1" customHeight="1" x14ac:dyDescent="0.25">
      <c r="AK3803" s="313"/>
      <c r="AL3803" s="313"/>
      <c r="AM3803" s="313"/>
      <c r="AN3803" s="313"/>
      <c r="AO3803" s="313"/>
      <c r="AP3803" s="313"/>
      <c r="AQ3803" s="314"/>
      <c r="AR3803" s="315" t="str">
        <f t="shared" si="96"/>
        <v/>
      </c>
    </row>
    <row r="3804" spans="37:44" ht="30" hidden="1" customHeight="1" x14ac:dyDescent="0.25">
      <c r="AK3804" s="313"/>
      <c r="AL3804" s="313"/>
      <c r="AM3804" s="313"/>
      <c r="AN3804" s="313"/>
      <c r="AO3804" s="313"/>
      <c r="AP3804" s="313"/>
      <c r="AQ3804" s="314"/>
      <c r="AR3804" s="315" t="str">
        <f t="shared" si="96"/>
        <v/>
      </c>
    </row>
    <row r="3805" spans="37:44" ht="30" hidden="1" customHeight="1" x14ac:dyDescent="0.25">
      <c r="AK3805" s="313"/>
      <c r="AL3805" s="313"/>
      <c r="AM3805" s="313"/>
      <c r="AN3805" s="313"/>
      <c r="AO3805" s="313"/>
      <c r="AP3805" s="313"/>
      <c r="AQ3805" s="314"/>
      <c r="AR3805" s="315" t="str">
        <f t="shared" si="96"/>
        <v/>
      </c>
    </row>
    <row r="3806" spans="37:44" ht="30" hidden="1" customHeight="1" x14ac:dyDescent="0.25">
      <c r="AK3806" s="313"/>
      <c r="AL3806" s="313"/>
      <c r="AM3806" s="313"/>
      <c r="AN3806" s="313"/>
      <c r="AO3806" s="313"/>
      <c r="AP3806" s="313"/>
      <c r="AQ3806" s="314"/>
      <c r="AR3806" s="315" t="str">
        <f t="shared" si="96"/>
        <v/>
      </c>
    </row>
    <row r="3807" spans="37:44" ht="30" hidden="1" customHeight="1" x14ac:dyDescent="0.25">
      <c r="AK3807" s="313"/>
      <c r="AL3807" s="313"/>
      <c r="AM3807" s="313"/>
      <c r="AN3807" s="313"/>
      <c r="AO3807" s="313"/>
      <c r="AP3807" s="313"/>
      <c r="AQ3807" s="314"/>
      <c r="AR3807" s="315" t="str">
        <f t="shared" si="96"/>
        <v/>
      </c>
    </row>
    <row r="3808" spans="37:44" ht="30" hidden="1" customHeight="1" x14ac:dyDescent="0.25">
      <c r="AK3808" s="313"/>
      <c r="AL3808" s="313"/>
      <c r="AM3808" s="313"/>
      <c r="AN3808" s="313"/>
      <c r="AO3808" s="313"/>
      <c r="AP3808" s="313"/>
      <c r="AQ3808" s="314"/>
      <c r="AR3808" s="315" t="str">
        <f t="shared" si="96"/>
        <v/>
      </c>
    </row>
    <row r="3809" spans="37:44" ht="30" hidden="1" customHeight="1" x14ac:dyDescent="0.25">
      <c r="AK3809" s="313"/>
      <c r="AL3809" s="313"/>
      <c r="AM3809" s="313"/>
      <c r="AN3809" s="313"/>
      <c r="AO3809" s="313"/>
      <c r="AP3809" s="313"/>
      <c r="AQ3809" s="314"/>
      <c r="AR3809" s="315" t="str">
        <f t="shared" si="96"/>
        <v/>
      </c>
    </row>
    <row r="3810" spans="37:44" ht="30" hidden="1" customHeight="1" x14ac:dyDescent="0.25">
      <c r="AK3810" s="313"/>
      <c r="AL3810" s="313"/>
      <c r="AM3810" s="313"/>
      <c r="AN3810" s="313"/>
      <c r="AO3810" s="313"/>
      <c r="AP3810" s="313"/>
      <c r="AQ3810" s="314"/>
      <c r="AR3810" s="315" t="str">
        <f t="shared" si="96"/>
        <v/>
      </c>
    </row>
    <row r="3811" spans="37:44" ht="30" hidden="1" customHeight="1" x14ac:dyDescent="0.25">
      <c r="AK3811" s="313"/>
      <c r="AL3811" s="313"/>
      <c r="AM3811" s="313"/>
      <c r="AN3811" s="313"/>
      <c r="AO3811" s="313"/>
      <c r="AP3811" s="313"/>
      <c r="AQ3811" s="314"/>
      <c r="AR3811" s="315" t="str">
        <f t="shared" si="96"/>
        <v/>
      </c>
    </row>
    <row r="3812" spans="37:44" ht="30" hidden="1" customHeight="1" x14ac:dyDescent="0.25">
      <c r="AK3812" s="313"/>
      <c r="AL3812" s="313"/>
      <c r="AM3812" s="313"/>
      <c r="AN3812" s="313"/>
      <c r="AO3812" s="313"/>
      <c r="AP3812" s="313"/>
      <c r="AQ3812" s="314"/>
      <c r="AR3812" s="315" t="str">
        <f t="shared" si="96"/>
        <v/>
      </c>
    </row>
    <row r="3813" spans="37:44" ht="30" hidden="1" customHeight="1" x14ac:dyDescent="0.25">
      <c r="AK3813" s="313"/>
      <c r="AL3813" s="313"/>
      <c r="AM3813" s="313"/>
      <c r="AN3813" s="313"/>
      <c r="AO3813" s="313"/>
      <c r="AP3813" s="313"/>
      <c r="AQ3813" s="314"/>
      <c r="AR3813" s="315" t="str">
        <f t="shared" si="96"/>
        <v/>
      </c>
    </row>
    <row r="3814" spans="37:44" ht="30" hidden="1" customHeight="1" x14ac:dyDescent="0.25">
      <c r="AK3814" s="313"/>
      <c r="AL3814" s="313"/>
      <c r="AM3814" s="313"/>
      <c r="AN3814" s="313"/>
      <c r="AO3814" s="313"/>
      <c r="AP3814" s="313"/>
      <c r="AQ3814" s="314"/>
      <c r="AR3814" s="315" t="str">
        <f t="shared" si="96"/>
        <v/>
      </c>
    </row>
    <row r="3815" spans="37:44" ht="30" hidden="1" customHeight="1" x14ac:dyDescent="0.25">
      <c r="AK3815" s="313"/>
      <c r="AL3815" s="313"/>
      <c r="AM3815" s="313"/>
      <c r="AN3815" s="313"/>
      <c r="AO3815" s="313"/>
      <c r="AP3815" s="313"/>
      <c r="AQ3815" s="314"/>
      <c r="AR3815" s="315" t="str">
        <f t="shared" si="96"/>
        <v/>
      </c>
    </row>
    <row r="3816" spans="37:44" ht="30" hidden="1" customHeight="1" x14ac:dyDescent="0.25">
      <c r="AK3816" s="313"/>
      <c r="AL3816" s="313"/>
      <c r="AM3816" s="313"/>
      <c r="AN3816" s="313"/>
      <c r="AO3816" s="313"/>
      <c r="AP3816" s="313"/>
      <c r="AQ3816" s="314"/>
      <c r="AR3816" s="315" t="str">
        <f t="shared" si="96"/>
        <v/>
      </c>
    </row>
    <row r="3817" spans="37:44" ht="30" hidden="1" customHeight="1" x14ac:dyDescent="0.25">
      <c r="AK3817" s="313"/>
      <c r="AL3817" s="313"/>
      <c r="AM3817" s="313"/>
      <c r="AN3817" s="313"/>
      <c r="AO3817" s="313"/>
      <c r="AP3817" s="313"/>
      <c r="AQ3817" s="314"/>
      <c r="AR3817" s="315" t="str">
        <f t="shared" si="96"/>
        <v/>
      </c>
    </row>
    <row r="3818" spans="37:44" ht="30" hidden="1" customHeight="1" x14ac:dyDescent="0.25">
      <c r="AK3818" s="313"/>
      <c r="AL3818" s="313"/>
      <c r="AM3818" s="313"/>
      <c r="AN3818" s="313"/>
      <c r="AO3818" s="313"/>
      <c r="AP3818" s="313"/>
      <c r="AQ3818" s="314"/>
      <c r="AR3818" s="315" t="str">
        <f t="shared" si="96"/>
        <v/>
      </c>
    </row>
    <row r="3819" spans="37:44" ht="30" hidden="1" customHeight="1" x14ac:dyDescent="0.25">
      <c r="AK3819" s="313"/>
      <c r="AL3819" s="313"/>
      <c r="AM3819" s="313"/>
      <c r="AN3819" s="313"/>
      <c r="AO3819" s="313"/>
      <c r="AP3819" s="313"/>
      <c r="AQ3819" s="314"/>
      <c r="AR3819" s="315" t="str">
        <f t="shared" si="96"/>
        <v/>
      </c>
    </row>
    <row r="3820" spans="37:44" ht="30" hidden="1" customHeight="1" x14ac:dyDescent="0.25">
      <c r="AK3820" s="313"/>
      <c r="AL3820" s="313"/>
      <c r="AM3820" s="313"/>
      <c r="AN3820" s="313"/>
      <c r="AO3820" s="313"/>
      <c r="AP3820" s="313"/>
      <c r="AQ3820" s="314"/>
      <c r="AR3820" s="315" t="str">
        <f t="shared" si="96"/>
        <v/>
      </c>
    </row>
    <row r="3821" spans="37:44" ht="30" hidden="1" customHeight="1" x14ac:dyDescent="0.25">
      <c r="AK3821" s="313"/>
      <c r="AL3821" s="313"/>
      <c r="AM3821" s="313"/>
      <c r="AN3821" s="313"/>
      <c r="AO3821" s="313"/>
      <c r="AP3821" s="313"/>
      <c r="AQ3821" s="314"/>
      <c r="AR3821" s="315" t="str">
        <f t="shared" si="96"/>
        <v/>
      </c>
    </row>
    <row r="3822" spans="37:44" ht="30" hidden="1" customHeight="1" x14ac:dyDescent="0.25">
      <c r="AK3822" s="313"/>
      <c r="AL3822" s="313"/>
      <c r="AM3822" s="313"/>
      <c r="AN3822" s="313"/>
      <c r="AO3822" s="313"/>
      <c r="AP3822" s="313"/>
      <c r="AQ3822" s="314"/>
      <c r="AR3822" s="315" t="str">
        <f t="shared" si="96"/>
        <v/>
      </c>
    </row>
    <row r="3823" spans="37:44" ht="30" hidden="1" customHeight="1" x14ac:dyDescent="0.25">
      <c r="AK3823" s="313"/>
      <c r="AL3823" s="313"/>
      <c r="AM3823" s="313"/>
      <c r="AN3823" s="313"/>
      <c r="AO3823" s="313"/>
      <c r="AP3823" s="313"/>
      <c r="AQ3823" s="314"/>
      <c r="AR3823" s="315" t="str">
        <f t="shared" si="96"/>
        <v/>
      </c>
    </row>
    <row r="3824" spans="37:44" ht="30" hidden="1" customHeight="1" x14ac:dyDescent="0.25">
      <c r="AK3824" s="313"/>
      <c r="AL3824" s="313"/>
      <c r="AM3824" s="313"/>
      <c r="AN3824" s="313"/>
      <c r="AO3824" s="313"/>
      <c r="AP3824" s="313"/>
      <c r="AQ3824" s="314"/>
      <c r="AR3824" s="315" t="str">
        <f t="shared" si="96"/>
        <v/>
      </c>
    </row>
    <row r="3825" spans="37:44" ht="30" hidden="1" customHeight="1" x14ac:dyDescent="0.25">
      <c r="AK3825" s="313"/>
      <c r="AL3825" s="313"/>
      <c r="AM3825" s="313"/>
      <c r="AN3825" s="313"/>
      <c r="AO3825" s="313"/>
      <c r="AP3825" s="313"/>
      <c r="AQ3825" s="314"/>
      <c r="AR3825" s="315" t="str">
        <f t="shared" si="96"/>
        <v/>
      </c>
    </row>
    <row r="3826" spans="37:44" ht="30" hidden="1" customHeight="1" x14ac:dyDescent="0.25">
      <c r="AK3826" s="313"/>
      <c r="AL3826" s="313"/>
      <c r="AM3826" s="313"/>
      <c r="AN3826" s="313"/>
      <c r="AO3826" s="313"/>
      <c r="AP3826" s="313"/>
      <c r="AQ3826" s="314"/>
      <c r="AR3826" s="315" t="str">
        <f t="shared" si="96"/>
        <v/>
      </c>
    </row>
    <row r="3827" spans="37:44" ht="30" hidden="1" customHeight="1" x14ac:dyDescent="0.25">
      <c r="AK3827" s="313"/>
      <c r="AL3827" s="313"/>
      <c r="AM3827" s="313"/>
      <c r="AN3827" s="313"/>
      <c r="AO3827" s="313"/>
      <c r="AP3827" s="313"/>
      <c r="AQ3827" s="314"/>
      <c r="AR3827" s="315" t="str">
        <f t="shared" si="96"/>
        <v/>
      </c>
    </row>
    <row r="3828" spans="37:44" ht="30" hidden="1" customHeight="1" x14ac:dyDescent="0.25">
      <c r="AK3828" s="313"/>
      <c r="AL3828" s="313"/>
      <c r="AM3828" s="313"/>
      <c r="AN3828" s="313"/>
      <c r="AO3828" s="313"/>
      <c r="AP3828" s="313"/>
      <c r="AQ3828" s="314"/>
      <c r="AR3828" s="315" t="str">
        <f t="shared" si="96"/>
        <v/>
      </c>
    </row>
    <row r="3829" spans="37:44" ht="30" hidden="1" customHeight="1" x14ac:dyDescent="0.25">
      <c r="AK3829" s="313"/>
      <c r="AL3829" s="313"/>
      <c r="AM3829" s="313"/>
      <c r="AN3829" s="313"/>
      <c r="AO3829" s="313"/>
      <c r="AP3829" s="313"/>
      <c r="AQ3829" s="314"/>
      <c r="AR3829" s="315" t="str">
        <f t="shared" si="96"/>
        <v/>
      </c>
    </row>
    <row r="3830" spans="37:44" ht="30" hidden="1" customHeight="1" x14ac:dyDescent="0.25">
      <c r="AK3830" s="313"/>
      <c r="AL3830" s="313"/>
      <c r="AM3830" s="313"/>
      <c r="AN3830" s="313"/>
      <c r="AO3830" s="313"/>
      <c r="AP3830" s="313"/>
      <c r="AQ3830" s="314"/>
      <c r="AR3830" s="315" t="str">
        <f t="shared" si="96"/>
        <v/>
      </c>
    </row>
    <row r="3831" spans="37:44" ht="30" hidden="1" customHeight="1" x14ac:dyDescent="0.25">
      <c r="AK3831" s="313"/>
      <c r="AL3831" s="313"/>
      <c r="AM3831" s="313"/>
      <c r="AN3831" s="313"/>
      <c r="AO3831" s="313"/>
      <c r="AP3831" s="313"/>
      <c r="AQ3831" s="314"/>
      <c r="AR3831" s="315" t="str">
        <f t="shared" si="96"/>
        <v/>
      </c>
    </row>
    <row r="3832" spans="37:44" ht="30" hidden="1" customHeight="1" x14ac:dyDescent="0.25">
      <c r="AK3832" s="313"/>
      <c r="AL3832" s="313"/>
      <c r="AM3832" s="313"/>
      <c r="AN3832" s="313"/>
      <c r="AO3832" s="313"/>
      <c r="AP3832" s="313"/>
      <c r="AQ3832" s="314"/>
      <c r="AR3832" s="315" t="str">
        <f t="shared" si="96"/>
        <v/>
      </c>
    </row>
    <row r="3833" spans="37:44" ht="30" hidden="1" customHeight="1" x14ac:dyDescent="0.25">
      <c r="AK3833" s="313"/>
      <c r="AL3833" s="313"/>
      <c r="AM3833" s="313"/>
      <c r="AN3833" s="313"/>
      <c r="AO3833" s="313"/>
      <c r="AP3833" s="313"/>
      <c r="AQ3833" s="314"/>
      <c r="AR3833" s="315" t="str">
        <f t="shared" si="96"/>
        <v/>
      </c>
    </row>
    <row r="3834" spans="37:44" ht="30" hidden="1" customHeight="1" x14ac:dyDescent="0.25">
      <c r="AK3834" s="313"/>
      <c r="AL3834" s="313"/>
      <c r="AM3834" s="313"/>
      <c r="AN3834" s="313"/>
      <c r="AO3834" s="313"/>
      <c r="AP3834" s="313"/>
      <c r="AQ3834" s="314"/>
      <c r="AR3834" s="315" t="str">
        <f t="shared" si="96"/>
        <v/>
      </c>
    </row>
    <row r="3835" spans="37:44" ht="30" hidden="1" customHeight="1" x14ac:dyDescent="0.25">
      <c r="AK3835" s="313"/>
      <c r="AL3835" s="313"/>
      <c r="AM3835" s="313"/>
      <c r="AN3835" s="313"/>
      <c r="AO3835" s="313"/>
      <c r="AP3835" s="313"/>
      <c r="AQ3835" s="314"/>
      <c r="AR3835" s="315" t="str">
        <f t="shared" si="96"/>
        <v/>
      </c>
    </row>
    <row r="3836" spans="37:44" ht="30" hidden="1" customHeight="1" x14ac:dyDescent="0.25">
      <c r="AK3836" s="313"/>
      <c r="AL3836" s="313"/>
      <c r="AM3836" s="313"/>
      <c r="AN3836" s="313"/>
      <c r="AO3836" s="313"/>
      <c r="AP3836" s="313"/>
      <c r="AQ3836" s="314"/>
      <c r="AR3836" s="315" t="str">
        <f t="shared" si="96"/>
        <v/>
      </c>
    </row>
    <row r="3837" spans="37:44" ht="30" hidden="1" customHeight="1" x14ac:dyDescent="0.25">
      <c r="AK3837" s="313"/>
      <c r="AL3837" s="313"/>
      <c r="AM3837" s="313"/>
      <c r="AN3837" s="313"/>
      <c r="AO3837" s="313"/>
      <c r="AP3837" s="313"/>
      <c r="AQ3837" s="314"/>
      <c r="AR3837" s="315" t="str">
        <f t="shared" si="96"/>
        <v/>
      </c>
    </row>
    <row r="3838" spans="37:44" ht="30" hidden="1" customHeight="1" x14ac:dyDescent="0.25">
      <c r="AK3838" s="313"/>
      <c r="AL3838" s="313"/>
      <c r="AM3838" s="313"/>
      <c r="AN3838" s="313"/>
      <c r="AO3838" s="313"/>
      <c r="AP3838" s="313"/>
      <c r="AQ3838" s="314"/>
      <c r="AR3838" s="315" t="str">
        <f t="shared" si="96"/>
        <v/>
      </c>
    </row>
    <row r="3839" spans="37:44" ht="30" hidden="1" customHeight="1" x14ac:dyDescent="0.25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97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 x14ac:dyDescent="0.25">
      <c r="AK3840" s="313"/>
      <c r="AL3840" s="313"/>
      <c r="AM3840" s="313"/>
      <c r="AN3840" s="313"/>
      <c r="AO3840" s="313"/>
      <c r="AP3840" s="313"/>
      <c r="AQ3840" s="314"/>
      <c r="AR3840" s="315" t="str">
        <f t="shared" si="97"/>
        <v/>
      </c>
    </row>
    <row r="3841" spans="37:44" ht="30" hidden="1" customHeight="1" x14ac:dyDescent="0.25">
      <c r="AK3841" s="313"/>
      <c r="AL3841" s="313"/>
      <c r="AM3841" s="313"/>
      <c r="AN3841" s="313"/>
      <c r="AO3841" s="313"/>
      <c r="AP3841" s="313"/>
      <c r="AQ3841" s="314"/>
      <c r="AR3841" s="315" t="str">
        <f t="shared" si="97"/>
        <v/>
      </c>
    </row>
    <row r="3842" spans="37:44" ht="30" hidden="1" customHeight="1" x14ac:dyDescent="0.25">
      <c r="AK3842" s="313"/>
      <c r="AL3842" s="313"/>
      <c r="AM3842" s="313"/>
      <c r="AN3842" s="313"/>
      <c r="AO3842" s="313"/>
      <c r="AP3842" s="313"/>
      <c r="AQ3842" s="314"/>
      <c r="AR3842" s="315" t="str">
        <f t="shared" si="97"/>
        <v/>
      </c>
    </row>
    <row r="3843" spans="37:44" ht="30" hidden="1" customHeight="1" x14ac:dyDescent="0.25">
      <c r="AK3843" s="313"/>
      <c r="AL3843" s="313"/>
      <c r="AM3843" s="313"/>
      <c r="AN3843" s="313"/>
      <c r="AO3843" s="313"/>
      <c r="AP3843" s="313"/>
      <c r="AQ3843" s="314"/>
      <c r="AR3843" s="315" t="str">
        <f t="shared" si="97"/>
        <v/>
      </c>
    </row>
    <row r="3844" spans="37:44" ht="30" hidden="1" customHeight="1" x14ac:dyDescent="0.25">
      <c r="AK3844" s="313"/>
      <c r="AL3844" s="313"/>
      <c r="AM3844" s="313"/>
      <c r="AN3844" s="313"/>
      <c r="AO3844" s="313"/>
      <c r="AP3844" s="313"/>
      <c r="AQ3844" s="314"/>
      <c r="AR3844" s="315" t="str">
        <f t="shared" si="97"/>
        <v/>
      </c>
    </row>
    <row r="3845" spans="37:44" ht="30" hidden="1" customHeight="1" x14ac:dyDescent="0.25">
      <c r="AK3845" s="313"/>
      <c r="AL3845" s="313"/>
      <c r="AM3845" s="313"/>
      <c r="AN3845" s="313"/>
      <c r="AO3845" s="313"/>
      <c r="AP3845" s="313"/>
      <c r="AQ3845" s="314"/>
      <c r="AR3845" s="315" t="str">
        <f t="shared" si="97"/>
        <v/>
      </c>
    </row>
    <row r="3846" spans="37:44" ht="30" hidden="1" customHeight="1" x14ac:dyDescent="0.25">
      <c r="AK3846" s="313"/>
      <c r="AL3846" s="313"/>
      <c r="AM3846" s="313"/>
      <c r="AN3846" s="313"/>
      <c r="AO3846" s="313"/>
      <c r="AP3846" s="313"/>
      <c r="AQ3846" s="314"/>
      <c r="AR3846" s="315" t="str">
        <f t="shared" si="97"/>
        <v/>
      </c>
    </row>
    <row r="3847" spans="37:44" ht="30" hidden="1" customHeight="1" x14ac:dyDescent="0.25">
      <c r="AK3847" s="313"/>
      <c r="AL3847" s="313"/>
      <c r="AM3847" s="313"/>
      <c r="AN3847" s="313"/>
      <c r="AO3847" s="313"/>
      <c r="AP3847" s="313"/>
      <c r="AQ3847" s="314"/>
      <c r="AR3847" s="315" t="str">
        <f t="shared" si="97"/>
        <v/>
      </c>
    </row>
    <row r="3848" spans="37:44" ht="30" hidden="1" customHeight="1" x14ac:dyDescent="0.25">
      <c r="AK3848" s="313"/>
      <c r="AL3848" s="313"/>
      <c r="AM3848" s="313"/>
      <c r="AN3848" s="313"/>
      <c r="AO3848" s="313"/>
      <c r="AP3848" s="313"/>
      <c r="AQ3848" s="314"/>
      <c r="AR3848" s="315" t="str">
        <f t="shared" si="97"/>
        <v/>
      </c>
    </row>
    <row r="3849" spans="37:44" ht="30" hidden="1" customHeight="1" x14ac:dyDescent="0.25">
      <c r="AK3849" s="313"/>
      <c r="AL3849" s="313"/>
      <c r="AM3849" s="313"/>
      <c r="AN3849" s="313"/>
      <c r="AO3849" s="313"/>
      <c r="AP3849" s="313"/>
      <c r="AQ3849" s="314"/>
      <c r="AR3849" s="315" t="str">
        <f t="shared" si="97"/>
        <v/>
      </c>
    </row>
    <row r="3850" spans="37:44" ht="30" hidden="1" customHeight="1" x14ac:dyDescent="0.25">
      <c r="AK3850" s="313"/>
      <c r="AL3850" s="313"/>
      <c r="AM3850" s="313"/>
      <c r="AN3850" s="313"/>
      <c r="AO3850" s="313"/>
      <c r="AP3850" s="313"/>
      <c r="AQ3850" s="314"/>
      <c r="AR3850" s="315" t="str">
        <f t="shared" si="97"/>
        <v/>
      </c>
    </row>
    <row r="3851" spans="37:44" ht="30" hidden="1" customHeight="1" x14ac:dyDescent="0.25">
      <c r="AK3851" s="313"/>
      <c r="AL3851" s="313"/>
      <c r="AM3851" s="313"/>
      <c r="AN3851" s="313"/>
      <c r="AO3851" s="313"/>
      <c r="AP3851" s="313"/>
      <c r="AQ3851" s="314"/>
      <c r="AR3851" s="315" t="str">
        <f t="shared" si="97"/>
        <v/>
      </c>
    </row>
    <row r="3852" spans="37:44" ht="30" hidden="1" customHeight="1" x14ac:dyDescent="0.25">
      <c r="AK3852" s="313"/>
      <c r="AL3852" s="313"/>
      <c r="AM3852" s="313"/>
      <c r="AN3852" s="313"/>
      <c r="AO3852" s="313"/>
      <c r="AP3852" s="313"/>
      <c r="AQ3852" s="314"/>
      <c r="AR3852" s="315" t="str">
        <f t="shared" si="97"/>
        <v/>
      </c>
    </row>
    <row r="3853" spans="37:44" ht="30" hidden="1" customHeight="1" x14ac:dyDescent="0.25">
      <c r="AK3853" s="313"/>
      <c r="AL3853" s="313"/>
      <c r="AM3853" s="313"/>
      <c r="AN3853" s="313"/>
      <c r="AO3853" s="313"/>
      <c r="AP3853" s="313"/>
      <c r="AQ3853" s="314"/>
      <c r="AR3853" s="315" t="str">
        <f t="shared" si="97"/>
        <v/>
      </c>
    </row>
    <row r="3854" spans="37:44" ht="30" hidden="1" customHeight="1" x14ac:dyDescent="0.25">
      <c r="AK3854" s="313"/>
      <c r="AL3854" s="313"/>
      <c r="AM3854" s="313"/>
      <c r="AN3854" s="313"/>
      <c r="AO3854" s="313"/>
      <c r="AP3854" s="313"/>
      <c r="AQ3854" s="314"/>
      <c r="AR3854" s="315" t="str">
        <f t="shared" si="97"/>
        <v/>
      </c>
    </row>
    <row r="3855" spans="37:44" ht="30" hidden="1" customHeight="1" x14ac:dyDescent="0.25">
      <c r="AK3855" s="313"/>
      <c r="AL3855" s="313"/>
      <c r="AM3855" s="313"/>
      <c r="AN3855" s="313"/>
      <c r="AO3855" s="313"/>
      <c r="AP3855" s="313"/>
      <c r="AQ3855" s="314"/>
      <c r="AR3855" s="315" t="str">
        <f t="shared" si="97"/>
        <v/>
      </c>
    </row>
    <row r="3856" spans="37:44" ht="30" hidden="1" customHeight="1" x14ac:dyDescent="0.25">
      <c r="AK3856" s="313"/>
      <c r="AL3856" s="313"/>
      <c r="AM3856" s="313"/>
      <c r="AN3856" s="313"/>
      <c r="AO3856" s="313"/>
      <c r="AP3856" s="313"/>
      <c r="AQ3856" s="314"/>
      <c r="AR3856" s="315" t="str">
        <f t="shared" si="97"/>
        <v/>
      </c>
    </row>
    <row r="3857" spans="37:44" ht="30" hidden="1" customHeight="1" x14ac:dyDescent="0.25">
      <c r="AK3857" s="313"/>
      <c r="AL3857" s="313"/>
      <c r="AM3857" s="313"/>
      <c r="AN3857" s="313"/>
      <c r="AO3857" s="313"/>
      <c r="AP3857" s="313"/>
      <c r="AQ3857" s="314"/>
      <c r="AR3857" s="315" t="str">
        <f t="shared" si="97"/>
        <v/>
      </c>
    </row>
    <row r="3858" spans="37:44" ht="30" hidden="1" customHeight="1" x14ac:dyDescent="0.25">
      <c r="AK3858" s="313"/>
      <c r="AL3858" s="313"/>
      <c r="AM3858" s="313"/>
      <c r="AN3858" s="313"/>
      <c r="AO3858" s="313"/>
      <c r="AP3858" s="313"/>
      <c r="AQ3858" s="314"/>
      <c r="AR3858" s="315" t="str">
        <f t="shared" si="97"/>
        <v/>
      </c>
    </row>
    <row r="3859" spans="37:44" ht="30" hidden="1" customHeight="1" x14ac:dyDescent="0.25">
      <c r="AK3859" s="313"/>
      <c r="AL3859" s="313"/>
      <c r="AM3859" s="313"/>
      <c r="AN3859" s="313"/>
      <c r="AO3859" s="313"/>
      <c r="AP3859" s="313"/>
      <c r="AQ3859" s="314"/>
      <c r="AR3859" s="315" t="str">
        <f t="shared" si="97"/>
        <v/>
      </c>
    </row>
    <row r="3860" spans="37:44" ht="30" hidden="1" customHeight="1" x14ac:dyDescent="0.25">
      <c r="AK3860" s="313"/>
      <c r="AL3860" s="313"/>
      <c r="AM3860" s="313"/>
      <c r="AN3860" s="313"/>
      <c r="AO3860" s="313"/>
      <c r="AP3860" s="313"/>
      <c r="AQ3860" s="314"/>
      <c r="AR3860" s="315" t="str">
        <f t="shared" si="97"/>
        <v/>
      </c>
    </row>
    <row r="3861" spans="37:44" ht="30" hidden="1" customHeight="1" x14ac:dyDescent="0.25">
      <c r="AK3861" s="313"/>
      <c r="AL3861" s="313"/>
      <c r="AM3861" s="313"/>
      <c r="AN3861" s="313"/>
      <c r="AO3861" s="313"/>
      <c r="AP3861" s="313"/>
      <c r="AQ3861" s="314"/>
      <c r="AR3861" s="315" t="str">
        <f t="shared" si="97"/>
        <v/>
      </c>
    </row>
    <row r="3862" spans="37:44" ht="30" hidden="1" customHeight="1" x14ac:dyDescent="0.25">
      <c r="AK3862" s="313"/>
      <c r="AL3862" s="313"/>
      <c r="AM3862" s="313"/>
      <c r="AN3862" s="313"/>
      <c r="AO3862" s="313"/>
      <c r="AP3862" s="313"/>
      <c r="AQ3862" s="314"/>
      <c r="AR3862" s="315" t="str">
        <f t="shared" si="97"/>
        <v/>
      </c>
    </row>
    <row r="3863" spans="37:44" ht="30" hidden="1" customHeight="1" x14ac:dyDescent="0.25">
      <c r="AK3863" s="313"/>
      <c r="AL3863" s="313"/>
      <c r="AM3863" s="313"/>
      <c r="AN3863" s="313"/>
      <c r="AO3863" s="313"/>
      <c r="AP3863" s="313"/>
      <c r="AQ3863" s="314"/>
      <c r="AR3863" s="315" t="str">
        <f t="shared" si="97"/>
        <v/>
      </c>
    </row>
    <row r="3864" spans="37:44" ht="30" hidden="1" customHeight="1" x14ac:dyDescent="0.25">
      <c r="AK3864" s="313"/>
      <c r="AL3864" s="313"/>
      <c r="AM3864" s="313"/>
      <c r="AN3864" s="313"/>
      <c r="AO3864" s="313"/>
      <c r="AP3864" s="313"/>
      <c r="AQ3864" s="314"/>
      <c r="AR3864" s="315" t="str">
        <f t="shared" si="97"/>
        <v/>
      </c>
    </row>
    <row r="3865" spans="37:44" ht="30" hidden="1" customHeight="1" x14ac:dyDescent="0.25">
      <c r="AK3865" s="313"/>
      <c r="AL3865" s="313"/>
      <c r="AM3865" s="313"/>
      <c r="AN3865" s="313"/>
      <c r="AO3865" s="313"/>
      <c r="AP3865" s="313"/>
      <c r="AQ3865" s="314"/>
      <c r="AR3865" s="315" t="str">
        <f t="shared" si="97"/>
        <v/>
      </c>
    </row>
    <row r="3866" spans="37:44" ht="30" hidden="1" customHeight="1" x14ac:dyDescent="0.25">
      <c r="AK3866" s="313"/>
      <c r="AL3866" s="313"/>
      <c r="AM3866" s="313"/>
      <c r="AN3866" s="313"/>
      <c r="AO3866" s="313"/>
      <c r="AP3866" s="313"/>
      <c r="AQ3866" s="314"/>
      <c r="AR3866" s="315" t="str">
        <f t="shared" si="97"/>
        <v/>
      </c>
    </row>
    <row r="3867" spans="37:44" ht="30" hidden="1" customHeight="1" x14ac:dyDescent="0.25">
      <c r="AK3867" s="313"/>
      <c r="AL3867" s="313"/>
      <c r="AM3867" s="313"/>
      <c r="AN3867" s="313"/>
      <c r="AO3867" s="313"/>
      <c r="AP3867" s="313"/>
      <c r="AQ3867" s="314"/>
      <c r="AR3867" s="315" t="str">
        <f t="shared" si="97"/>
        <v/>
      </c>
    </row>
    <row r="3868" spans="37:44" ht="30" hidden="1" customHeight="1" x14ac:dyDescent="0.25">
      <c r="AK3868" s="313"/>
      <c r="AL3868" s="313"/>
      <c r="AM3868" s="313"/>
      <c r="AN3868" s="313"/>
      <c r="AO3868" s="313"/>
      <c r="AP3868" s="313"/>
      <c r="AQ3868" s="314"/>
      <c r="AR3868" s="315" t="str">
        <f t="shared" si="97"/>
        <v/>
      </c>
    </row>
    <row r="3869" spans="37:44" ht="30" hidden="1" customHeight="1" x14ac:dyDescent="0.25">
      <c r="AK3869" s="313"/>
      <c r="AL3869" s="313"/>
      <c r="AM3869" s="313"/>
      <c r="AN3869" s="313"/>
      <c r="AO3869" s="313"/>
      <c r="AP3869" s="313"/>
      <c r="AQ3869" s="314"/>
      <c r="AR3869" s="315" t="str">
        <f t="shared" si="97"/>
        <v/>
      </c>
    </row>
    <row r="3870" spans="37:44" ht="30" hidden="1" customHeight="1" x14ac:dyDescent="0.25">
      <c r="AK3870" s="313"/>
      <c r="AL3870" s="313"/>
      <c r="AM3870" s="313"/>
      <c r="AN3870" s="313"/>
      <c r="AO3870" s="313"/>
      <c r="AP3870" s="313"/>
      <c r="AQ3870" s="314"/>
      <c r="AR3870" s="315" t="str">
        <f t="shared" si="97"/>
        <v/>
      </c>
    </row>
    <row r="3871" spans="37:44" ht="30" hidden="1" customHeight="1" x14ac:dyDescent="0.25">
      <c r="AK3871" s="313"/>
      <c r="AL3871" s="313"/>
      <c r="AM3871" s="313"/>
      <c r="AN3871" s="313"/>
      <c r="AO3871" s="313"/>
      <c r="AP3871" s="313"/>
      <c r="AQ3871" s="314"/>
      <c r="AR3871" s="315" t="str">
        <f t="shared" si="97"/>
        <v/>
      </c>
    </row>
    <row r="3872" spans="37:44" ht="30" hidden="1" customHeight="1" x14ac:dyDescent="0.25">
      <c r="AK3872" s="313"/>
      <c r="AL3872" s="313"/>
      <c r="AM3872" s="313"/>
      <c r="AN3872" s="313"/>
      <c r="AO3872" s="313"/>
      <c r="AP3872" s="313"/>
      <c r="AQ3872" s="314"/>
      <c r="AR3872" s="315" t="str">
        <f t="shared" si="97"/>
        <v/>
      </c>
    </row>
    <row r="3873" spans="37:44" ht="30" hidden="1" customHeight="1" x14ac:dyDescent="0.25">
      <c r="AK3873" s="313"/>
      <c r="AL3873" s="313"/>
      <c r="AM3873" s="313"/>
      <c r="AN3873" s="313"/>
      <c r="AO3873" s="313"/>
      <c r="AP3873" s="313"/>
      <c r="AQ3873" s="314"/>
      <c r="AR3873" s="315" t="str">
        <f t="shared" si="97"/>
        <v/>
      </c>
    </row>
    <row r="3874" spans="37:44" ht="30" hidden="1" customHeight="1" x14ac:dyDescent="0.25">
      <c r="AK3874" s="313"/>
      <c r="AL3874" s="313"/>
      <c r="AM3874" s="313"/>
      <c r="AN3874" s="313"/>
      <c r="AO3874" s="313"/>
      <c r="AP3874" s="313"/>
      <c r="AQ3874" s="314"/>
      <c r="AR3874" s="315" t="str">
        <f t="shared" si="97"/>
        <v/>
      </c>
    </row>
    <row r="3875" spans="37:44" ht="30" hidden="1" customHeight="1" x14ac:dyDescent="0.25">
      <c r="AK3875" s="313"/>
      <c r="AL3875" s="313"/>
      <c r="AM3875" s="313"/>
      <c r="AN3875" s="313"/>
      <c r="AO3875" s="313"/>
      <c r="AP3875" s="313"/>
      <c r="AQ3875" s="314"/>
      <c r="AR3875" s="315" t="str">
        <f t="shared" si="97"/>
        <v/>
      </c>
    </row>
    <row r="3876" spans="37:44" ht="30" hidden="1" customHeight="1" x14ac:dyDescent="0.25">
      <c r="AK3876" s="313"/>
      <c r="AL3876" s="313"/>
      <c r="AM3876" s="313"/>
      <c r="AN3876" s="313"/>
      <c r="AO3876" s="313"/>
      <c r="AP3876" s="313"/>
      <c r="AQ3876" s="314"/>
      <c r="AR3876" s="315" t="str">
        <f t="shared" si="97"/>
        <v/>
      </c>
    </row>
    <row r="3877" spans="37:44" ht="30" hidden="1" customHeight="1" x14ac:dyDescent="0.25">
      <c r="AK3877" s="313"/>
      <c r="AL3877" s="313"/>
      <c r="AM3877" s="313"/>
      <c r="AN3877" s="313"/>
      <c r="AO3877" s="313"/>
      <c r="AP3877" s="313"/>
      <c r="AQ3877" s="314"/>
      <c r="AR3877" s="315" t="str">
        <f t="shared" si="97"/>
        <v/>
      </c>
    </row>
    <row r="3878" spans="37:44" ht="30" hidden="1" customHeight="1" x14ac:dyDescent="0.25">
      <c r="AK3878" s="313"/>
      <c r="AL3878" s="313"/>
      <c r="AM3878" s="313"/>
      <c r="AN3878" s="313"/>
      <c r="AO3878" s="313"/>
      <c r="AP3878" s="313"/>
      <c r="AQ3878" s="314"/>
      <c r="AR3878" s="315" t="str">
        <f t="shared" si="97"/>
        <v/>
      </c>
    </row>
    <row r="3879" spans="37:44" ht="30" hidden="1" customHeight="1" x14ac:dyDescent="0.25">
      <c r="AK3879" s="313"/>
      <c r="AL3879" s="313"/>
      <c r="AM3879" s="313"/>
      <c r="AN3879" s="313"/>
      <c r="AO3879" s="313"/>
      <c r="AP3879" s="313"/>
      <c r="AQ3879" s="314"/>
      <c r="AR3879" s="315" t="str">
        <f t="shared" si="97"/>
        <v/>
      </c>
    </row>
    <row r="3880" spans="37:44" ht="30" hidden="1" customHeight="1" x14ac:dyDescent="0.25">
      <c r="AK3880" s="313"/>
      <c r="AL3880" s="313"/>
      <c r="AM3880" s="313"/>
      <c r="AN3880" s="313"/>
      <c r="AO3880" s="313"/>
      <c r="AP3880" s="313"/>
      <c r="AQ3880" s="314"/>
      <c r="AR3880" s="315" t="str">
        <f t="shared" si="97"/>
        <v/>
      </c>
    </row>
    <row r="3881" spans="37:44" ht="30" hidden="1" customHeight="1" x14ac:dyDescent="0.25">
      <c r="AK3881" s="313"/>
      <c r="AL3881" s="313"/>
      <c r="AM3881" s="313"/>
      <c r="AN3881" s="313"/>
      <c r="AO3881" s="313"/>
      <c r="AP3881" s="313"/>
      <c r="AQ3881" s="314"/>
      <c r="AR3881" s="315" t="str">
        <f t="shared" si="97"/>
        <v/>
      </c>
    </row>
    <row r="3882" spans="37:44" ht="30" hidden="1" customHeight="1" x14ac:dyDescent="0.25">
      <c r="AK3882" s="313"/>
      <c r="AL3882" s="313"/>
      <c r="AM3882" s="313"/>
      <c r="AN3882" s="313"/>
      <c r="AO3882" s="313"/>
      <c r="AP3882" s="313"/>
      <c r="AQ3882" s="314"/>
      <c r="AR3882" s="315" t="str">
        <f t="shared" si="97"/>
        <v/>
      </c>
    </row>
    <row r="3883" spans="37:44" ht="30" hidden="1" customHeight="1" x14ac:dyDescent="0.25">
      <c r="AK3883" s="313"/>
      <c r="AL3883" s="313"/>
      <c r="AM3883" s="313"/>
      <c r="AN3883" s="313"/>
      <c r="AO3883" s="313"/>
      <c r="AP3883" s="313"/>
      <c r="AQ3883" s="314"/>
      <c r="AR3883" s="315" t="str">
        <f t="shared" si="97"/>
        <v/>
      </c>
    </row>
    <row r="3884" spans="37:44" ht="30" hidden="1" customHeight="1" x14ac:dyDescent="0.25">
      <c r="AK3884" s="313"/>
      <c r="AL3884" s="313"/>
      <c r="AM3884" s="313"/>
      <c r="AN3884" s="313"/>
      <c r="AO3884" s="313"/>
      <c r="AP3884" s="313"/>
      <c r="AQ3884" s="314"/>
      <c r="AR3884" s="315" t="str">
        <f t="shared" si="97"/>
        <v/>
      </c>
    </row>
    <row r="3885" spans="37:44" ht="30" hidden="1" customHeight="1" x14ac:dyDescent="0.25">
      <c r="AK3885" s="313"/>
      <c r="AL3885" s="313"/>
      <c r="AM3885" s="313"/>
      <c r="AN3885" s="313"/>
      <c r="AO3885" s="313"/>
      <c r="AP3885" s="313"/>
      <c r="AQ3885" s="314"/>
      <c r="AR3885" s="315" t="str">
        <f t="shared" si="97"/>
        <v/>
      </c>
    </row>
    <row r="3886" spans="37:44" ht="30" hidden="1" customHeight="1" x14ac:dyDescent="0.25">
      <c r="AK3886" s="313"/>
      <c r="AL3886" s="313"/>
      <c r="AM3886" s="313"/>
      <c r="AN3886" s="313"/>
      <c r="AO3886" s="313"/>
      <c r="AP3886" s="313"/>
      <c r="AQ3886" s="314"/>
      <c r="AR3886" s="315" t="str">
        <f t="shared" si="97"/>
        <v/>
      </c>
    </row>
    <row r="3887" spans="37:44" ht="30" hidden="1" customHeight="1" x14ac:dyDescent="0.25">
      <c r="AK3887" s="313"/>
      <c r="AL3887" s="313"/>
      <c r="AM3887" s="313"/>
      <c r="AN3887" s="313"/>
      <c r="AO3887" s="313"/>
      <c r="AP3887" s="313"/>
      <c r="AQ3887" s="314"/>
      <c r="AR3887" s="315" t="str">
        <f t="shared" si="97"/>
        <v/>
      </c>
    </row>
    <row r="3888" spans="37:44" ht="30" hidden="1" customHeight="1" x14ac:dyDescent="0.25">
      <c r="AK3888" s="313"/>
      <c r="AL3888" s="313"/>
      <c r="AM3888" s="313"/>
      <c r="AN3888" s="313"/>
      <c r="AO3888" s="313"/>
      <c r="AP3888" s="313"/>
      <c r="AQ3888" s="314"/>
      <c r="AR3888" s="315" t="str">
        <f t="shared" si="97"/>
        <v/>
      </c>
    </row>
    <row r="3889" spans="37:44" ht="30" hidden="1" customHeight="1" x14ac:dyDescent="0.25">
      <c r="AK3889" s="313"/>
      <c r="AL3889" s="313"/>
      <c r="AM3889" s="313"/>
      <c r="AN3889" s="313"/>
      <c r="AO3889" s="313"/>
      <c r="AP3889" s="313"/>
      <c r="AQ3889" s="314"/>
      <c r="AR3889" s="315" t="str">
        <f t="shared" si="97"/>
        <v/>
      </c>
    </row>
    <row r="3890" spans="37:44" ht="30" hidden="1" customHeight="1" x14ac:dyDescent="0.25">
      <c r="AK3890" s="313"/>
      <c r="AL3890" s="313"/>
      <c r="AM3890" s="313"/>
      <c r="AN3890" s="313"/>
      <c r="AO3890" s="313"/>
      <c r="AP3890" s="313"/>
      <c r="AQ3890" s="314"/>
      <c r="AR3890" s="315" t="str">
        <f t="shared" si="97"/>
        <v/>
      </c>
    </row>
    <row r="3891" spans="37:44" ht="30" hidden="1" customHeight="1" x14ac:dyDescent="0.25">
      <c r="AK3891" s="313"/>
      <c r="AL3891" s="313"/>
      <c r="AM3891" s="313"/>
      <c r="AN3891" s="313"/>
      <c r="AO3891" s="313"/>
      <c r="AP3891" s="313"/>
      <c r="AQ3891" s="314"/>
      <c r="AR3891" s="315" t="str">
        <f t="shared" si="97"/>
        <v/>
      </c>
    </row>
    <row r="3892" spans="37:44" ht="30" hidden="1" customHeight="1" x14ac:dyDescent="0.25">
      <c r="AK3892" s="313"/>
      <c r="AL3892" s="313"/>
      <c r="AM3892" s="313"/>
      <c r="AN3892" s="313"/>
      <c r="AO3892" s="313"/>
      <c r="AP3892" s="313"/>
      <c r="AQ3892" s="314"/>
      <c r="AR3892" s="315" t="str">
        <f t="shared" si="97"/>
        <v/>
      </c>
    </row>
    <row r="3893" spans="37:44" ht="30" hidden="1" customHeight="1" x14ac:dyDescent="0.25">
      <c r="AK3893" s="313"/>
      <c r="AL3893" s="313"/>
      <c r="AM3893" s="313"/>
      <c r="AN3893" s="313"/>
      <c r="AO3893" s="313"/>
      <c r="AP3893" s="313"/>
      <c r="AQ3893" s="314"/>
      <c r="AR3893" s="315" t="str">
        <f t="shared" si="97"/>
        <v/>
      </c>
    </row>
    <row r="3894" spans="37:44" ht="30" hidden="1" customHeight="1" x14ac:dyDescent="0.25">
      <c r="AK3894" s="313"/>
      <c r="AL3894" s="313"/>
      <c r="AM3894" s="313"/>
      <c r="AN3894" s="313"/>
      <c r="AO3894" s="313"/>
      <c r="AP3894" s="313"/>
      <c r="AQ3894" s="314"/>
      <c r="AR3894" s="315" t="str">
        <f t="shared" si="97"/>
        <v/>
      </c>
    </row>
    <row r="3895" spans="37:44" ht="30" hidden="1" customHeight="1" x14ac:dyDescent="0.25">
      <c r="AK3895" s="313"/>
      <c r="AL3895" s="313"/>
      <c r="AM3895" s="313"/>
      <c r="AN3895" s="313"/>
      <c r="AO3895" s="313"/>
      <c r="AP3895" s="313"/>
      <c r="AQ3895" s="314"/>
      <c r="AR3895" s="315" t="str">
        <f t="shared" si="97"/>
        <v/>
      </c>
    </row>
    <row r="3896" spans="37:44" ht="30" hidden="1" customHeight="1" x14ac:dyDescent="0.25">
      <c r="AK3896" s="313"/>
      <c r="AL3896" s="313"/>
      <c r="AM3896" s="313"/>
      <c r="AN3896" s="313"/>
      <c r="AO3896" s="313"/>
      <c r="AP3896" s="313"/>
      <c r="AQ3896" s="314"/>
      <c r="AR3896" s="315" t="str">
        <f t="shared" si="97"/>
        <v/>
      </c>
    </row>
    <row r="3897" spans="37:44" ht="30" hidden="1" customHeight="1" x14ac:dyDescent="0.25">
      <c r="AK3897" s="313"/>
      <c r="AL3897" s="313"/>
      <c r="AM3897" s="313"/>
      <c r="AN3897" s="313"/>
      <c r="AO3897" s="313"/>
      <c r="AP3897" s="313"/>
      <c r="AQ3897" s="314"/>
      <c r="AR3897" s="315" t="str">
        <f t="shared" si="97"/>
        <v/>
      </c>
    </row>
    <row r="3898" spans="37:44" ht="30" hidden="1" customHeight="1" x14ac:dyDescent="0.25">
      <c r="AK3898" s="313"/>
      <c r="AL3898" s="313"/>
      <c r="AM3898" s="313"/>
      <c r="AN3898" s="313"/>
      <c r="AO3898" s="313"/>
      <c r="AP3898" s="313"/>
      <c r="AQ3898" s="314"/>
      <c r="AR3898" s="315" t="str">
        <f t="shared" si="97"/>
        <v/>
      </c>
    </row>
    <row r="3899" spans="37:44" ht="30" hidden="1" customHeight="1" x14ac:dyDescent="0.25">
      <c r="AK3899" s="313"/>
      <c r="AL3899" s="313"/>
      <c r="AM3899" s="313"/>
      <c r="AN3899" s="313"/>
      <c r="AO3899" s="313"/>
      <c r="AP3899" s="313"/>
      <c r="AQ3899" s="314"/>
      <c r="AR3899" s="315" t="str">
        <f t="shared" si="97"/>
        <v/>
      </c>
    </row>
    <row r="3900" spans="37:44" ht="30" hidden="1" customHeight="1" x14ac:dyDescent="0.25">
      <c r="AK3900" s="313"/>
      <c r="AL3900" s="313"/>
      <c r="AM3900" s="313"/>
      <c r="AN3900" s="313"/>
      <c r="AO3900" s="313"/>
      <c r="AP3900" s="313"/>
      <c r="AQ3900" s="314"/>
      <c r="AR3900" s="315" t="str">
        <f t="shared" si="97"/>
        <v/>
      </c>
    </row>
    <row r="3901" spans="37:44" ht="30" hidden="1" customHeight="1" x14ac:dyDescent="0.25">
      <c r="AK3901" s="313"/>
      <c r="AL3901" s="313"/>
      <c r="AM3901" s="313"/>
      <c r="AN3901" s="313"/>
      <c r="AO3901" s="313"/>
      <c r="AP3901" s="313"/>
      <c r="AQ3901" s="314"/>
      <c r="AR3901" s="315" t="str">
        <f t="shared" si="97"/>
        <v/>
      </c>
    </row>
    <row r="3902" spans="37:44" ht="30" hidden="1" customHeight="1" x14ac:dyDescent="0.25">
      <c r="AK3902" s="313"/>
      <c r="AL3902" s="313"/>
      <c r="AM3902" s="313"/>
      <c r="AN3902" s="313"/>
      <c r="AO3902" s="313"/>
      <c r="AP3902" s="313"/>
      <c r="AQ3902" s="314"/>
      <c r="AR3902" s="315" t="str">
        <f t="shared" si="97"/>
        <v/>
      </c>
    </row>
    <row r="3903" spans="37:44" ht="30" hidden="1" customHeight="1" x14ac:dyDescent="0.25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98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 x14ac:dyDescent="0.25">
      <c r="AK3904" s="313"/>
      <c r="AL3904" s="313"/>
      <c r="AM3904" s="313"/>
      <c r="AN3904" s="313"/>
      <c r="AO3904" s="313"/>
      <c r="AP3904" s="313"/>
      <c r="AQ3904" s="314"/>
      <c r="AR3904" s="315" t="str">
        <f t="shared" si="98"/>
        <v/>
      </c>
    </row>
    <row r="3905" spans="37:44" ht="30" hidden="1" customHeight="1" x14ac:dyDescent="0.25">
      <c r="AK3905" s="313"/>
      <c r="AL3905" s="313"/>
      <c r="AM3905" s="313"/>
      <c r="AN3905" s="313"/>
      <c r="AO3905" s="313"/>
      <c r="AP3905" s="313"/>
      <c r="AQ3905" s="314"/>
      <c r="AR3905" s="315" t="str">
        <f t="shared" si="98"/>
        <v/>
      </c>
    </row>
    <row r="3906" spans="37:44" ht="30" hidden="1" customHeight="1" x14ac:dyDescent="0.25">
      <c r="AK3906" s="313"/>
      <c r="AL3906" s="313"/>
      <c r="AM3906" s="313"/>
      <c r="AN3906" s="313"/>
      <c r="AO3906" s="313"/>
      <c r="AP3906" s="313"/>
      <c r="AQ3906" s="314"/>
      <c r="AR3906" s="315" t="str">
        <f t="shared" si="98"/>
        <v/>
      </c>
    </row>
    <row r="3907" spans="37:44" ht="30" hidden="1" customHeight="1" x14ac:dyDescent="0.25">
      <c r="AK3907" s="313"/>
      <c r="AL3907" s="313"/>
      <c r="AM3907" s="313"/>
      <c r="AN3907" s="313"/>
      <c r="AO3907" s="313"/>
      <c r="AP3907" s="313"/>
      <c r="AQ3907" s="314"/>
      <c r="AR3907" s="315" t="str">
        <f t="shared" si="98"/>
        <v/>
      </c>
    </row>
    <row r="3908" spans="37:44" ht="30" hidden="1" customHeight="1" x14ac:dyDescent="0.25">
      <c r="AK3908" s="313"/>
      <c r="AL3908" s="313"/>
      <c r="AM3908" s="313"/>
      <c r="AN3908" s="313"/>
      <c r="AO3908" s="313"/>
      <c r="AP3908" s="313"/>
      <c r="AQ3908" s="314"/>
      <c r="AR3908" s="315" t="str">
        <f t="shared" si="98"/>
        <v/>
      </c>
    </row>
    <row r="3909" spans="37:44" ht="30" hidden="1" customHeight="1" x14ac:dyDescent="0.25">
      <c r="AK3909" s="313"/>
      <c r="AL3909" s="313"/>
      <c r="AM3909" s="313"/>
      <c r="AN3909" s="313"/>
      <c r="AO3909" s="313"/>
      <c r="AP3909" s="313"/>
      <c r="AQ3909" s="314"/>
      <c r="AR3909" s="315" t="str">
        <f t="shared" si="98"/>
        <v/>
      </c>
    </row>
    <row r="3910" spans="37:44" ht="30" hidden="1" customHeight="1" x14ac:dyDescent="0.25">
      <c r="AK3910" s="313"/>
      <c r="AL3910" s="313"/>
      <c r="AM3910" s="313"/>
      <c r="AN3910" s="313"/>
      <c r="AO3910" s="313"/>
      <c r="AP3910" s="313"/>
      <c r="AQ3910" s="314"/>
      <c r="AR3910" s="315" t="str">
        <f t="shared" si="98"/>
        <v/>
      </c>
    </row>
    <row r="3911" spans="37:44" ht="30" hidden="1" customHeight="1" x14ac:dyDescent="0.25">
      <c r="AK3911" s="313"/>
      <c r="AL3911" s="313"/>
      <c r="AM3911" s="313"/>
      <c r="AN3911" s="313"/>
      <c r="AO3911" s="313"/>
      <c r="AP3911" s="313"/>
      <c r="AQ3911" s="314"/>
      <c r="AR3911" s="315" t="str">
        <f t="shared" si="98"/>
        <v/>
      </c>
    </row>
    <row r="3912" spans="37:44" ht="30" hidden="1" customHeight="1" x14ac:dyDescent="0.25">
      <c r="AK3912" s="313"/>
      <c r="AL3912" s="313"/>
      <c r="AM3912" s="313"/>
      <c r="AN3912" s="313"/>
      <c r="AO3912" s="313"/>
      <c r="AP3912" s="313"/>
      <c r="AQ3912" s="314"/>
      <c r="AR3912" s="315" t="str">
        <f t="shared" si="98"/>
        <v/>
      </c>
    </row>
    <row r="3913" spans="37:44" ht="30" hidden="1" customHeight="1" x14ac:dyDescent="0.25">
      <c r="AK3913" s="313"/>
      <c r="AL3913" s="313"/>
      <c r="AM3913" s="313"/>
      <c r="AN3913" s="313"/>
      <c r="AO3913" s="313"/>
      <c r="AP3913" s="313"/>
      <c r="AQ3913" s="314"/>
      <c r="AR3913" s="315" t="str">
        <f t="shared" si="98"/>
        <v/>
      </c>
    </row>
    <row r="3914" spans="37:44" ht="30" hidden="1" customHeight="1" x14ac:dyDescent="0.25">
      <c r="AK3914" s="313"/>
      <c r="AL3914" s="313"/>
      <c r="AM3914" s="313"/>
      <c r="AN3914" s="313"/>
      <c r="AO3914" s="313"/>
      <c r="AP3914" s="313"/>
      <c r="AQ3914" s="314"/>
      <c r="AR3914" s="315" t="str">
        <f t="shared" si="98"/>
        <v/>
      </c>
    </row>
    <row r="3915" spans="37:44" ht="30" hidden="1" customHeight="1" x14ac:dyDescent="0.25">
      <c r="AK3915" s="313"/>
      <c r="AL3915" s="313"/>
      <c r="AM3915" s="313"/>
      <c r="AN3915" s="313"/>
      <c r="AO3915" s="313"/>
      <c r="AP3915" s="313"/>
      <c r="AQ3915" s="314"/>
      <c r="AR3915" s="315" t="str">
        <f t="shared" si="98"/>
        <v/>
      </c>
    </row>
    <row r="3916" spans="37:44" ht="30" hidden="1" customHeight="1" x14ac:dyDescent="0.25">
      <c r="AK3916" s="313"/>
      <c r="AL3916" s="313"/>
      <c r="AM3916" s="313"/>
      <c r="AN3916" s="313"/>
      <c r="AO3916" s="313"/>
      <c r="AP3916" s="313"/>
      <c r="AQ3916" s="314"/>
      <c r="AR3916" s="315" t="str">
        <f t="shared" si="98"/>
        <v/>
      </c>
    </row>
    <row r="3917" spans="37:44" ht="30" hidden="1" customHeight="1" x14ac:dyDescent="0.25">
      <c r="AK3917" s="313"/>
      <c r="AL3917" s="313"/>
      <c r="AM3917" s="313"/>
      <c r="AN3917" s="313"/>
      <c r="AO3917" s="313"/>
      <c r="AP3917" s="313"/>
      <c r="AQ3917" s="314"/>
      <c r="AR3917" s="315" t="str">
        <f t="shared" si="98"/>
        <v/>
      </c>
    </row>
    <row r="3918" spans="37:44" ht="30" hidden="1" customHeight="1" x14ac:dyDescent="0.25">
      <c r="AK3918" s="313"/>
      <c r="AL3918" s="313"/>
      <c r="AM3918" s="313"/>
      <c r="AN3918" s="313"/>
      <c r="AO3918" s="313"/>
      <c r="AP3918" s="313"/>
      <c r="AQ3918" s="314"/>
      <c r="AR3918" s="315" t="str">
        <f t="shared" si="98"/>
        <v/>
      </c>
    </row>
    <row r="3919" spans="37:44" ht="30" hidden="1" customHeight="1" x14ac:dyDescent="0.25">
      <c r="AK3919" s="313"/>
      <c r="AL3919" s="313"/>
      <c r="AM3919" s="313"/>
      <c r="AN3919" s="313"/>
      <c r="AO3919" s="313"/>
      <c r="AP3919" s="313"/>
      <c r="AQ3919" s="314"/>
      <c r="AR3919" s="315" t="str">
        <f t="shared" si="98"/>
        <v/>
      </c>
    </row>
    <row r="3920" spans="37:44" ht="30" hidden="1" customHeight="1" x14ac:dyDescent="0.25">
      <c r="AK3920" s="313"/>
      <c r="AL3920" s="313"/>
      <c r="AM3920" s="313"/>
      <c r="AN3920" s="313"/>
      <c r="AO3920" s="313"/>
      <c r="AP3920" s="313"/>
      <c r="AQ3920" s="314"/>
      <c r="AR3920" s="315" t="str">
        <f t="shared" si="98"/>
        <v/>
      </c>
    </row>
    <row r="3921" spans="37:44" ht="30" hidden="1" customHeight="1" x14ac:dyDescent="0.25">
      <c r="AK3921" s="313"/>
      <c r="AL3921" s="313"/>
      <c r="AM3921" s="313"/>
      <c r="AN3921" s="313"/>
      <c r="AO3921" s="313"/>
      <c r="AP3921" s="313"/>
      <c r="AQ3921" s="314"/>
      <c r="AR3921" s="315" t="str">
        <f t="shared" si="98"/>
        <v/>
      </c>
    </row>
    <row r="3922" spans="37:44" ht="30" hidden="1" customHeight="1" x14ac:dyDescent="0.25">
      <c r="AK3922" s="313"/>
      <c r="AL3922" s="313"/>
      <c r="AM3922" s="313"/>
      <c r="AN3922" s="313"/>
      <c r="AO3922" s="313"/>
      <c r="AP3922" s="313"/>
      <c r="AQ3922" s="314"/>
      <c r="AR3922" s="315" t="str">
        <f t="shared" si="98"/>
        <v/>
      </c>
    </row>
    <row r="3923" spans="37:44" ht="30" hidden="1" customHeight="1" x14ac:dyDescent="0.25">
      <c r="AK3923" s="313"/>
      <c r="AL3923" s="313"/>
      <c r="AM3923" s="313"/>
      <c r="AN3923" s="313"/>
      <c r="AO3923" s="313"/>
      <c r="AP3923" s="313"/>
      <c r="AQ3923" s="314"/>
      <c r="AR3923" s="315" t="str">
        <f t="shared" si="98"/>
        <v/>
      </c>
    </row>
    <row r="3924" spans="37:44" ht="30" hidden="1" customHeight="1" x14ac:dyDescent="0.25">
      <c r="AK3924" s="313"/>
      <c r="AL3924" s="313"/>
      <c r="AM3924" s="313"/>
      <c r="AN3924" s="313"/>
      <c r="AO3924" s="313"/>
      <c r="AP3924" s="313"/>
      <c r="AQ3924" s="314"/>
      <c r="AR3924" s="315" t="str">
        <f t="shared" si="98"/>
        <v/>
      </c>
    </row>
    <row r="3925" spans="37:44" ht="30" hidden="1" customHeight="1" x14ac:dyDescent="0.25">
      <c r="AK3925" s="313"/>
      <c r="AL3925" s="313"/>
      <c r="AM3925" s="313"/>
      <c r="AN3925" s="313"/>
      <c r="AO3925" s="313"/>
      <c r="AP3925" s="313"/>
      <c r="AQ3925" s="314"/>
      <c r="AR3925" s="315" t="str">
        <f t="shared" si="98"/>
        <v/>
      </c>
    </row>
    <row r="3926" spans="37:44" ht="30" hidden="1" customHeight="1" x14ac:dyDescent="0.25">
      <c r="AK3926" s="313"/>
      <c r="AL3926" s="313"/>
      <c r="AM3926" s="313"/>
      <c r="AN3926" s="313"/>
      <c r="AO3926" s="313"/>
      <c r="AP3926" s="313"/>
      <c r="AQ3926" s="314"/>
      <c r="AR3926" s="315" t="str">
        <f t="shared" si="98"/>
        <v/>
      </c>
    </row>
    <row r="3927" spans="37:44" ht="30" hidden="1" customHeight="1" x14ac:dyDescent="0.25">
      <c r="AK3927" s="313"/>
      <c r="AL3927" s="313"/>
      <c r="AM3927" s="313"/>
      <c r="AN3927" s="313"/>
      <c r="AO3927" s="313"/>
      <c r="AP3927" s="313"/>
      <c r="AQ3927" s="314"/>
      <c r="AR3927" s="315" t="str">
        <f t="shared" si="98"/>
        <v/>
      </c>
    </row>
    <row r="3928" spans="37:44" ht="30" hidden="1" customHeight="1" x14ac:dyDescent="0.25">
      <c r="AK3928" s="313"/>
      <c r="AL3928" s="313"/>
      <c r="AM3928" s="313"/>
      <c r="AN3928" s="313"/>
      <c r="AO3928" s="313"/>
      <c r="AP3928" s="313"/>
      <c r="AQ3928" s="314"/>
      <c r="AR3928" s="315" t="str">
        <f t="shared" si="98"/>
        <v/>
      </c>
    </row>
    <row r="3929" spans="37:44" ht="30" hidden="1" customHeight="1" x14ac:dyDescent="0.25">
      <c r="AK3929" s="313"/>
      <c r="AL3929" s="313"/>
      <c r="AM3929" s="313"/>
      <c r="AN3929" s="313"/>
      <c r="AO3929" s="313"/>
      <c r="AP3929" s="313"/>
      <c r="AQ3929" s="314"/>
      <c r="AR3929" s="315" t="str">
        <f t="shared" si="98"/>
        <v/>
      </c>
    </row>
    <row r="3930" spans="37:44" ht="30" hidden="1" customHeight="1" x14ac:dyDescent="0.25">
      <c r="AK3930" s="313"/>
      <c r="AL3930" s="313"/>
      <c r="AM3930" s="313"/>
      <c r="AN3930" s="313"/>
      <c r="AO3930" s="313"/>
      <c r="AP3930" s="313"/>
      <c r="AQ3930" s="314"/>
      <c r="AR3930" s="315" t="str">
        <f t="shared" si="98"/>
        <v/>
      </c>
    </row>
    <row r="3931" spans="37:44" ht="30" hidden="1" customHeight="1" x14ac:dyDescent="0.25">
      <c r="AK3931" s="313"/>
      <c r="AL3931" s="313"/>
      <c r="AM3931" s="313"/>
      <c r="AN3931" s="313"/>
      <c r="AO3931" s="313"/>
      <c r="AP3931" s="313"/>
      <c r="AQ3931" s="314"/>
      <c r="AR3931" s="315" t="str">
        <f t="shared" si="98"/>
        <v/>
      </c>
    </row>
    <row r="3932" spans="37:44" ht="30" hidden="1" customHeight="1" x14ac:dyDescent="0.25">
      <c r="AK3932" s="313"/>
      <c r="AL3932" s="313"/>
      <c r="AM3932" s="313"/>
      <c r="AN3932" s="313"/>
      <c r="AO3932" s="313"/>
      <c r="AP3932" s="313"/>
      <c r="AQ3932" s="314"/>
      <c r="AR3932" s="315" t="str">
        <f t="shared" si="98"/>
        <v/>
      </c>
    </row>
    <row r="3933" spans="37:44" ht="30" hidden="1" customHeight="1" x14ac:dyDescent="0.25">
      <c r="AK3933" s="313"/>
      <c r="AL3933" s="313"/>
      <c r="AM3933" s="313"/>
      <c r="AN3933" s="313"/>
      <c r="AO3933" s="313"/>
      <c r="AP3933" s="313"/>
      <c r="AQ3933" s="314"/>
      <c r="AR3933" s="315" t="str">
        <f t="shared" si="98"/>
        <v/>
      </c>
    </row>
    <row r="3934" spans="37:44" ht="30" hidden="1" customHeight="1" x14ac:dyDescent="0.25">
      <c r="AK3934" s="313"/>
      <c r="AL3934" s="313"/>
      <c r="AM3934" s="313"/>
      <c r="AN3934" s="313"/>
      <c r="AO3934" s="313"/>
      <c r="AP3934" s="313"/>
      <c r="AQ3934" s="314"/>
      <c r="AR3934" s="315" t="str">
        <f t="shared" si="98"/>
        <v/>
      </c>
    </row>
    <row r="3935" spans="37:44" ht="30" hidden="1" customHeight="1" x14ac:dyDescent="0.25">
      <c r="AK3935" s="313"/>
      <c r="AL3935" s="313"/>
      <c r="AM3935" s="313"/>
      <c r="AN3935" s="313"/>
      <c r="AO3935" s="313"/>
      <c r="AP3935" s="313"/>
      <c r="AQ3935" s="314"/>
      <c r="AR3935" s="315" t="str">
        <f t="shared" si="98"/>
        <v/>
      </c>
    </row>
    <row r="3936" spans="37:44" ht="30" hidden="1" customHeight="1" x14ac:dyDescent="0.25">
      <c r="AK3936" s="313"/>
      <c r="AL3936" s="313"/>
      <c r="AM3936" s="313"/>
      <c r="AN3936" s="313"/>
      <c r="AO3936" s="313"/>
      <c r="AP3936" s="313"/>
      <c r="AQ3936" s="314"/>
      <c r="AR3936" s="315" t="str">
        <f t="shared" si="98"/>
        <v/>
      </c>
    </row>
    <row r="3937" spans="37:44" ht="30" hidden="1" customHeight="1" x14ac:dyDescent="0.25">
      <c r="AK3937" s="313"/>
      <c r="AL3937" s="313"/>
      <c r="AM3937" s="313"/>
      <c r="AN3937" s="313"/>
      <c r="AO3937" s="313"/>
      <c r="AP3937" s="313"/>
      <c r="AQ3937" s="314"/>
      <c r="AR3937" s="315" t="str">
        <f t="shared" si="98"/>
        <v/>
      </c>
    </row>
    <row r="3938" spans="37:44" ht="30" hidden="1" customHeight="1" x14ac:dyDescent="0.25">
      <c r="AK3938" s="313"/>
      <c r="AL3938" s="313"/>
      <c r="AM3938" s="313"/>
      <c r="AN3938" s="313"/>
      <c r="AO3938" s="313"/>
      <c r="AP3938" s="313"/>
      <c r="AQ3938" s="314"/>
      <c r="AR3938" s="315" t="str">
        <f t="shared" si="98"/>
        <v/>
      </c>
    </row>
    <row r="3939" spans="37:44" ht="30" hidden="1" customHeight="1" x14ac:dyDescent="0.25">
      <c r="AK3939" s="313"/>
      <c r="AL3939" s="313"/>
      <c r="AM3939" s="313"/>
      <c r="AN3939" s="313"/>
      <c r="AO3939" s="313"/>
      <c r="AP3939" s="313"/>
      <c r="AQ3939" s="314"/>
      <c r="AR3939" s="315" t="str">
        <f t="shared" si="98"/>
        <v/>
      </c>
    </row>
    <row r="3940" spans="37:44" ht="30" hidden="1" customHeight="1" x14ac:dyDescent="0.25">
      <c r="AK3940" s="313"/>
      <c r="AL3940" s="313"/>
      <c r="AM3940" s="313"/>
      <c r="AN3940" s="313"/>
      <c r="AO3940" s="313"/>
      <c r="AP3940" s="313"/>
      <c r="AQ3940" s="314"/>
      <c r="AR3940" s="315" t="str">
        <f t="shared" si="98"/>
        <v/>
      </c>
    </row>
    <row r="3941" spans="37:44" ht="30" hidden="1" customHeight="1" x14ac:dyDescent="0.25">
      <c r="AK3941" s="313"/>
      <c r="AL3941" s="313"/>
      <c r="AM3941" s="313"/>
      <c r="AN3941" s="313"/>
      <c r="AO3941" s="313"/>
      <c r="AP3941" s="313"/>
      <c r="AQ3941" s="314"/>
      <c r="AR3941" s="315" t="str">
        <f t="shared" si="98"/>
        <v/>
      </c>
    </row>
    <row r="3942" spans="37:44" ht="30" hidden="1" customHeight="1" x14ac:dyDescent="0.25">
      <c r="AK3942" s="313"/>
      <c r="AL3942" s="313"/>
      <c r="AM3942" s="313"/>
      <c r="AN3942" s="313"/>
      <c r="AO3942" s="313"/>
      <c r="AP3942" s="313"/>
      <c r="AQ3942" s="314"/>
      <c r="AR3942" s="315" t="str">
        <f t="shared" si="98"/>
        <v/>
      </c>
    </row>
    <row r="3943" spans="37:44" ht="30" hidden="1" customHeight="1" x14ac:dyDescent="0.25">
      <c r="AK3943" s="313"/>
      <c r="AL3943" s="313"/>
      <c r="AM3943" s="313"/>
      <c r="AN3943" s="313"/>
      <c r="AO3943" s="313"/>
      <c r="AP3943" s="313"/>
      <c r="AQ3943" s="314"/>
      <c r="AR3943" s="315" t="str">
        <f t="shared" si="98"/>
        <v/>
      </c>
    </row>
    <row r="3944" spans="37:44" ht="30" hidden="1" customHeight="1" x14ac:dyDescent="0.25">
      <c r="AK3944" s="313"/>
      <c r="AL3944" s="313"/>
      <c r="AM3944" s="313"/>
      <c r="AN3944" s="313"/>
      <c r="AO3944" s="313"/>
      <c r="AP3944" s="313"/>
      <c r="AQ3944" s="314"/>
      <c r="AR3944" s="315" t="str">
        <f t="shared" si="98"/>
        <v/>
      </c>
    </row>
    <row r="3945" spans="37:44" ht="30" hidden="1" customHeight="1" x14ac:dyDescent="0.25">
      <c r="AK3945" s="313"/>
      <c r="AL3945" s="313"/>
      <c r="AM3945" s="313"/>
      <c r="AN3945" s="313"/>
      <c r="AO3945" s="313"/>
      <c r="AP3945" s="313"/>
      <c r="AQ3945" s="314"/>
      <c r="AR3945" s="315" t="str">
        <f t="shared" si="98"/>
        <v/>
      </c>
    </row>
    <row r="3946" spans="37:44" ht="30" hidden="1" customHeight="1" x14ac:dyDescent="0.25">
      <c r="AK3946" s="313"/>
      <c r="AL3946" s="313"/>
      <c r="AM3946" s="313"/>
      <c r="AN3946" s="313"/>
      <c r="AO3946" s="313"/>
      <c r="AP3946" s="313"/>
      <c r="AQ3946" s="314"/>
      <c r="AR3946" s="315" t="str">
        <f t="shared" si="98"/>
        <v/>
      </c>
    </row>
    <row r="3947" spans="37:44" ht="30" hidden="1" customHeight="1" x14ac:dyDescent="0.25">
      <c r="AK3947" s="313"/>
      <c r="AL3947" s="313"/>
      <c r="AM3947" s="313"/>
      <c r="AN3947" s="313"/>
      <c r="AO3947" s="313"/>
      <c r="AP3947" s="313"/>
      <c r="AQ3947" s="314"/>
      <c r="AR3947" s="315" t="str">
        <f t="shared" si="98"/>
        <v/>
      </c>
    </row>
    <row r="3948" spans="37:44" ht="30" hidden="1" customHeight="1" x14ac:dyDescent="0.25">
      <c r="AK3948" s="313"/>
      <c r="AL3948" s="313"/>
      <c r="AM3948" s="313"/>
      <c r="AN3948" s="313"/>
      <c r="AO3948" s="313"/>
      <c r="AP3948" s="313"/>
      <c r="AQ3948" s="314"/>
      <c r="AR3948" s="315" t="str">
        <f t="shared" si="98"/>
        <v/>
      </c>
    </row>
    <row r="3949" spans="37:44" ht="30" hidden="1" customHeight="1" x14ac:dyDescent="0.25">
      <c r="AK3949" s="313"/>
      <c r="AL3949" s="313"/>
      <c r="AM3949" s="313"/>
      <c r="AN3949" s="313"/>
      <c r="AO3949" s="313"/>
      <c r="AP3949" s="313"/>
      <c r="AQ3949" s="314"/>
      <c r="AR3949" s="315" t="str">
        <f t="shared" si="98"/>
        <v/>
      </c>
    </row>
    <row r="3950" spans="37:44" ht="30" hidden="1" customHeight="1" x14ac:dyDescent="0.25">
      <c r="AK3950" s="313"/>
      <c r="AL3950" s="313"/>
      <c r="AM3950" s="313"/>
      <c r="AN3950" s="313"/>
      <c r="AO3950" s="313"/>
      <c r="AP3950" s="313"/>
      <c r="AQ3950" s="314"/>
      <c r="AR3950" s="315" t="str">
        <f t="shared" si="98"/>
        <v/>
      </c>
    </row>
    <row r="3951" spans="37:44" ht="30" hidden="1" customHeight="1" x14ac:dyDescent="0.25">
      <c r="AK3951" s="313"/>
      <c r="AL3951" s="313"/>
      <c r="AM3951" s="313"/>
      <c r="AN3951" s="313"/>
      <c r="AO3951" s="313"/>
      <c r="AP3951" s="313"/>
      <c r="AQ3951" s="314"/>
      <c r="AR3951" s="315" t="str">
        <f t="shared" si="98"/>
        <v/>
      </c>
    </row>
    <row r="3952" spans="37:44" ht="30" hidden="1" customHeight="1" x14ac:dyDescent="0.25">
      <c r="AK3952" s="313"/>
      <c r="AL3952" s="313"/>
      <c r="AM3952" s="313"/>
      <c r="AN3952" s="313"/>
      <c r="AO3952" s="313"/>
      <c r="AP3952" s="313"/>
      <c r="AQ3952" s="314"/>
      <c r="AR3952" s="315" t="str">
        <f t="shared" si="98"/>
        <v/>
      </c>
    </row>
    <row r="3953" spans="37:44" ht="30" hidden="1" customHeight="1" x14ac:dyDescent="0.25">
      <c r="AK3953" s="313"/>
      <c r="AL3953" s="313"/>
      <c r="AM3953" s="313"/>
      <c r="AN3953" s="313"/>
      <c r="AO3953" s="313"/>
      <c r="AP3953" s="313"/>
      <c r="AQ3953" s="314"/>
      <c r="AR3953" s="315" t="str">
        <f t="shared" si="98"/>
        <v/>
      </c>
    </row>
    <row r="3954" spans="37:44" ht="30" hidden="1" customHeight="1" x14ac:dyDescent="0.25">
      <c r="AK3954" s="313"/>
      <c r="AL3954" s="313"/>
      <c r="AM3954" s="313"/>
      <c r="AN3954" s="313"/>
      <c r="AO3954" s="313"/>
      <c r="AP3954" s="313"/>
      <c r="AQ3954" s="314"/>
      <c r="AR3954" s="315" t="str">
        <f t="shared" si="98"/>
        <v/>
      </c>
    </row>
    <row r="3955" spans="37:44" ht="30" hidden="1" customHeight="1" x14ac:dyDescent="0.25">
      <c r="AK3955" s="313"/>
      <c r="AL3955" s="313"/>
      <c r="AM3955" s="313"/>
      <c r="AN3955" s="313"/>
      <c r="AO3955" s="313"/>
      <c r="AP3955" s="313"/>
      <c r="AQ3955" s="314"/>
      <c r="AR3955" s="315" t="str">
        <f t="shared" si="98"/>
        <v/>
      </c>
    </row>
    <row r="3956" spans="37:44" ht="30" hidden="1" customHeight="1" x14ac:dyDescent="0.25">
      <c r="AK3956" s="313"/>
      <c r="AL3956" s="313"/>
      <c r="AM3956" s="313"/>
      <c r="AN3956" s="313"/>
      <c r="AO3956" s="313"/>
      <c r="AP3956" s="313"/>
      <c r="AQ3956" s="314"/>
      <c r="AR3956" s="315" t="str">
        <f t="shared" si="98"/>
        <v/>
      </c>
    </row>
    <row r="3957" spans="37:44" ht="30" hidden="1" customHeight="1" x14ac:dyDescent="0.25">
      <c r="AK3957" s="313"/>
      <c r="AL3957" s="313"/>
      <c r="AM3957" s="313"/>
      <c r="AN3957" s="313"/>
      <c r="AO3957" s="313"/>
      <c r="AP3957" s="313"/>
      <c r="AQ3957" s="314"/>
      <c r="AR3957" s="315" t="str">
        <f t="shared" si="98"/>
        <v/>
      </c>
    </row>
    <row r="3958" spans="37:44" ht="30" hidden="1" customHeight="1" x14ac:dyDescent="0.25">
      <c r="AK3958" s="313"/>
      <c r="AL3958" s="313"/>
      <c r="AM3958" s="313"/>
      <c r="AN3958" s="313"/>
      <c r="AO3958" s="313"/>
      <c r="AP3958" s="313"/>
      <c r="AQ3958" s="314"/>
      <c r="AR3958" s="315" t="str">
        <f t="shared" si="98"/>
        <v/>
      </c>
    </row>
    <row r="3959" spans="37:44" ht="30" hidden="1" customHeight="1" x14ac:dyDescent="0.25">
      <c r="AK3959" s="313"/>
      <c r="AL3959" s="313"/>
      <c r="AM3959" s="313"/>
      <c r="AN3959" s="313"/>
      <c r="AO3959" s="313"/>
      <c r="AP3959" s="313"/>
      <c r="AQ3959" s="314"/>
      <c r="AR3959" s="315" t="str">
        <f t="shared" si="98"/>
        <v/>
      </c>
    </row>
    <row r="3960" spans="37:44" ht="30" hidden="1" customHeight="1" x14ac:dyDescent="0.25">
      <c r="AK3960" s="313"/>
      <c r="AL3960" s="313"/>
      <c r="AM3960" s="313"/>
      <c r="AN3960" s="313"/>
      <c r="AO3960" s="313"/>
      <c r="AP3960" s="313"/>
      <c r="AQ3960" s="314"/>
      <c r="AR3960" s="315" t="str">
        <f t="shared" si="98"/>
        <v/>
      </c>
    </row>
    <row r="3961" spans="37:44" ht="30" hidden="1" customHeight="1" x14ac:dyDescent="0.25">
      <c r="AK3961" s="313"/>
      <c r="AL3961" s="313"/>
      <c r="AM3961" s="313"/>
      <c r="AN3961" s="313"/>
      <c r="AO3961" s="313"/>
      <c r="AP3961" s="313"/>
      <c r="AQ3961" s="314"/>
      <c r="AR3961" s="315" t="str">
        <f t="shared" si="98"/>
        <v/>
      </c>
    </row>
    <row r="3962" spans="37:44" ht="30" hidden="1" customHeight="1" x14ac:dyDescent="0.25">
      <c r="AK3962" s="313"/>
      <c r="AL3962" s="313"/>
      <c r="AM3962" s="313"/>
      <c r="AN3962" s="313"/>
      <c r="AO3962" s="313"/>
      <c r="AP3962" s="313"/>
      <c r="AQ3962" s="314"/>
      <c r="AR3962" s="315" t="str">
        <f t="shared" si="98"/>
        <v/>
      </c>
    </row>
    <row r="3963" spans="37:44" ht="30" hidden="1" customHeight="1" x14ac:dyDescent="0.25">
      <c r="AK3963" s="313"/>
      <c r="AL3963" s="313"/>
      <c r="AM3963" s="313"/>
      <c r="AN3963" s="313"/>
      <c r="AO3963" s="313"/>
      <c r="AP3963" s="313"/>
      <c r="AQ3963" s="314"/>
      <c r="AR3963" s="315" t="str">
        <f t="shared" si="98"/>
        <v/>
      </c>
    </row>
    <row r="3964" spans="37:44" ht="30" hidden="1" customHeight="1" x14ac:dyDescent="0.25">
      <c r="AK3964" s="313"/>
      <c r="AL3964" s="313"/>
      <c r="AM3964" s="313"/>
      <c r="AN3964" s="313"/>
      <c r="AO3964" s="313"/>
      <c r="AP3964" s="313"/>
      <c r="AQ3964" s="314"/>
      <c r="AR3964" s="315" t="str">
        <f t="shared" si="98"/>
        <v/>
      </c>
    </row>
    <row r="3965" spans="37:44" ht="30" hidden="1" customHeight="1" x14ac:dyDescent="0.25">
      <c r="AK3965" s="313"/>
      <c r="AL3965" s="313"/>
      <c r="AM3965" s="313"/>
      <c r="AN3965" s="313"/>
      <c r="AO3965" s="313"/>
      <c r="AP3965" s="313"/>
      <c r="AQ3965" s="314"/>
      <c r="AR3965" s="315" t="str">
        <f t="shared" si="98"/>
        <v/>
      </c>
    </row>
    <row r="3966" spans="37:44" ht="30" hidden="1" customHeight="1" x14ac:dyDescent="0.25">
      <c r="AK3966" s="313"/>
      <c r="AL3966" s="313"/>
      <c r="AM3966" s="313"/>
      <c r="AN3966" s="313"/>
      <c r="AO3966" s="313"/>
      <c r="AP3966" s="313"/>
      <c r="AQ3966" s="314"/>
      <c r="AR3966" s="315" t="str">
        <f t="shared" si="98"/>
        <v/>
      </c>
    </row>
    <row r="3967" spans="37:44" ht="30" hidden="1" customHeight="1" x14ac:dyDescent="0.25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99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 x14ac:dyDescent="0.25">
      <c r="AK3968" s="313"/>
      <c r="AL3968" s="313"/>
      <c r="AM3968" s="313"/>
      <c r="AN3968" s="313"/>
      <c r="AO3968" s="313"/>
      <c r="AP3968" s="313"/>
      <c r="AQ3968" s="314"/>
      <c r="AR3968" s="315" t="str">
        <f t="shared" si="99"/>
        <v/>
      </c>
    </row>
    <row r="3969" spans="37:44" ht="30" hidden="1" customHeight="1" x14ac:dyDescent="0.25">
      <c r="AK3969" s="313"/>
      <c r="AL3969" s="313"/>
      <c r="AM3969" s="313"/>
      <c r="AN3969" s="313"/>
      <c r="AO3969" s="313"/>
      <c r="AP3969" s="313"/>
      <c r="AQ3969" s="314"/>
      <c r="AR3969" s="315" t="str">
        <f t="shared" si="99"/>
        <v/>
      </c>
    </row>
    <row r="3970" spans="37:44" ht="30" hidden="1" customHeight="1" x14ac:dyDescent="0.25">
      <c r="AK3970" s="313"/>
      <c r="AL3970" s="313"/>
      <c r="AM3970" s="313"/>
      <c r="AN3970" s="313"/>
      <c r="AO3970" s="313"/>
      <c r="AP3970" s="313"/>
      <c r="AQ3970" s="314"/>
      <c r="AR3970" s="315" t="str">
        <f t="shared" si="99"/>
        <v/>
      </c>
    </row>
    <row r="3971" spans="37:44" ht="30" hidden="1" customHeight="1" x14ac:dyDescent="0.25">
      <c r="AK3971" s="313"/>
      <c r="AL3971" s="313"/>
      <c r="AM3971" s="313"/>
      <c r="AN3971" s="313"/>
      <c r="AO3971" s="313"/>
      <c r="AP3971" s="313"/>
      <c r="AQ3971" s="314"/>
      <c r="AR3971" s="315" t="str">
        <f t="shared" si="99"/>
        <v/>
      </c>
    </row>
    <row r="3972" spans="37:44" ht="30" hidden="1" customHeight="1" x14ac:dyDescent="0.25">
      <c r="AK3972" s="313"/>
      <c r="AL3972" s="313"/>
      <c r="AM3972" s="313"/>
      <c r="AN3972" s="313"/>
      <c r="AO3972" s="313"/>
      <c r="AP3972" s="313"/>
      <c r="AQ3972" s="314"/>
      <c r="AR3972" s="315" t="str">
        <f t="shared" si="99"/>
        <v/>
      </c>
    </row>
    <row r="3973" spans="37:44" ht="30" hidden="1" customHeight="1" x14ac:dyDescent="0.25">
      <c r="AK3973" s="313"/>
      <c r="AL3973" s="313"/>
      <c r="AM3973" s="313"/>
      <c r="AN3973" s="313"/>
      <c r="AO3973" s="313"/>
      <c r="AP3973" s="313"/>
      <c r="AQ3973" s="314"/>
      <c r="AR3973" s="315" t="str">
        <f t="shared" si="99"/>
        <v/>
      </c>
    </row>
    <row r="3974" spans="37:44" ht="30" hidden="1" customHeight="1" x14ac:dyDescent="0.25">
      <c r="AK3974" s="313"/>
      <c r="AL3974" s="313"/>
      <c r="AM3974" s="313"/>
      <c r="AN3974" s="313"/>
      <c r="AO3974" s="313"/>
      <c r="AP3974" s="313"/>
      <c r="AQ3974" s="314"/>
      <c r="AR3974" s="315" t="str">
        <f t="shared" si="99"/>
        <v/>
      </c>
    </row>
    <row r="3975" spans="37:44" ht="30" hidden="1" customHeight="1" x14ac:dyDescent="0.25">
      <c r="AK3975" s="313"/>
      <c r="AL3975" s="313"/>
      <c r="AM3975" s="313"/>
      <c r="AN3975" s="313"/>
      <c r="AO3975" s="313"/>
      <c r="AP3975" s="313"/>
      <c r="AQ3975" s="314"/>
      <c r="AR3975" s="315" t="str">
        <f t="shared" si="99"/>
        <v/>
      </c>
    </row>
    <row r="3976" spans="37:44" ht="30" hidden="1" customHeight="1" x14ac:dyDescent="0.25">
      <c r="AK3976" s="313"/>
      <c r="AL3976" s="313"/>
      <c r="AM3976" s="313"/>
      <c r="AN3976" s="313"/>
      <c r="AO3976" s="313"/>
      <c r="AP3976" s="313"/>
      <c r="AQ3976" s="314"/>
      <c r="AR3976" s="315" t="str">
        <f t="shared" si="99"/>
        <v/>
      </c>
    </row>
    <row r="3977" spans="37:44" ht="30" hidden="1" customHeight="1" x14ac:dyDescent="0.25">
      <c r="AK3977" s="313"/>
      <c r="AL3977" s="313"/>
      <c r="AM3977" s="313"/>
      <c r="AN3977" s="313"/>
      <c r="AO3977" s="313"/>
      <c r="AP3977" s="313"/>
      <c r="AQ3977" s="314"/>
      <c r="AR3977" s="315" t="str">
        <f t="shared" si="99"/>
        <v/>
      </c>
    </row>
    <row r="3978" spans="37:44" ht="30" hidden="1" customHeight="1" x14ac:dyDescent="0.25">
      <c r="AK3978" s="313"/>
      <c r="AL3978" s="313"/>
      <c r="AM3978" s="313"/>
      <c r="AN3978" s="313"/>
      <c r="AO3978" s="313"/>
      <c r="AP3978" s="313"/>
      <c r="AQ3978" s="314"/>
      <c r="AR3978" s="315" t="str">
        <f t="shared" si="99"/>
        <v/>
      </c>
    </row>
    <row r="3979" spans="37:44" ht="30" hidden="1" customHeight="1" x14ac:dyDescent="0.25">
      <c r="AK3979" s="313"/>
      <c r="AL3979" s="313"/>
      <c r="AM3979" s="313"/>
      <c r="AN3979" s="313"/>
      <c r="AO3979" s="313"/>
      <c r="AP3979" s="313"/>
      <c r="AQ3979" s="314"/>
      <c r="AR3979" s="315" t="str">
        <f t="shared" si="99"/>
        <v/>
      </c>
    </row>
    <row r="3980" spans="37:44" ht="30" hidden="1" customHeight="1" x14ac:dyDescent="0.25">
      <c r="AK3980" s="313"/>
      <c r="AL3980" s="313"/>
      <c r="AM3980" s="313"/>
      <c r="AN3980" s="313"/>
      <c r="AO3980" s="313"/>
      <c r="AP3980" s="313"/>
      <c r="AQ3980" s="314"/>
      <c r="AR3980" s="315" t="str">
        <f t="shared" si="99"/>
        <v/>
      </c>
    </row>
    <row r="3981" spans="37:44" ht="30" hidden="1" customHeight="1" x14ac:dyDescent="0.25">
      <c r="AK3981" s="313"/>
      <c r="AL3981" s="313"/>
      <c r="AM3981" s="313"/>
      <c r="AN3981" s="313"/>
      <c r="AO3981" s="313"/>
      <c r="AP3981" s="313"/>
      <c r="AQ3981" s="314"/>
      <c r="AR3981" s="315" t="str">
        <f t="shared" si="99"/>
        <v/>
      </c>
    </row>
    <row r="3982" spans="37:44" ht="30" hidden="1" customHeight="1" x14ac:dyDescent="0.25">
      <c r="AK3982" s="313"/>
      <c r="AL3982" s="313"/>
      <c r="AM3982" s="313"/>
      <c r="AN3982" s="313"/>
      <c r="AO3982" s="313"/>
      <c r="AP3982" s="313"/>
      <c r="AQ3982" s="314"/>
      <c r="AR3982" s="315" t="str">
        <f t="shared" si="99"/>
        <v/>
      </c>
    </row>
    <row r="3983" spans="37:44" ht="30" hidden="1" customHeight="1" x14ac:dyDescent="0.25">
      <c r="AK3983" s="313"/>
      <c r="AL3983" s="313"/>
      <c r="AM3983" s="313"/>
      <c r="AN3983" s="313"/>
      <c r="AO3983" s="313"/>
      <c r="AP3983" s="313"/>
      <c r="AQ3983" s="314"/>
      <c r="AR3983" s="315" t="str">
        <f t="shared" si="99"/>
        <v/>
      </c>
    </row>
    <row r="3984" spans="37:44" ht="30" hidden="1" customHeight="1" x14ac:dyDescent="0.25">
      <c r="AK3984" s="313"/>
      <c r="AL3984" s="313"/>
      <c r="AM3984" s="313"/>
      <c r="AN3984" s="313"/>
      <c r="AO3984" s="313"/>
      <c r="AP3984" s="313"/>
      <c r="AQ3984" s="314"/>
      <c r="AR3984" s="315" t="str">
        <f t="shared" si="99"/>
        <v/>
      </c>
    </row>
    <row r="3985" spans="37:44" ht="30" hidden="1" customHeight="1" x14ac:dyDescent="0.25">
      <c r="AK3985" s="313"/>
      <c r="AL3985" s="313"/>
      <c r="AM3985" s="313"/>
      <c r="AN3985" s="313"/>
      <c r="AO3985" s="313"/>
      <c r="AP3985" s="313"/>
      <c r="AQ3985" s="314"/>
      <c r="AR3985" s="315" t="str">
        <f t="shared" si="99"/>
        <v/>
      </c>
    </row>
    <row r="3986" spans="37:44" ht="30" hidden="1" customHeight="1" x14ac:dyDescent="0.25">
      <c r="AK3986" s="313"/>
      <c r="AL3986" s="313"/>
      <c r="AM3986" s="313"/>
      <c r="AN3986" s="313"/>
      <c r="AO3986" s="313"/>
      <c r="AP3986" s="313"/>
      <c r="AQ3986" s="314"/>
      <c r="AR3986" s="315" t="str">
        <f t="shared" si="99"/>
        <v/>
      </c>
    </row>
    <row r="3987" spans="37:44" ht="30" hidden="1" customHeight="1" x14ac:dyDescent="0.25">
      <c r="AK3987" s="313"/>
      <c r="AL3987" s="313"/>
      <c r="AM3987" s="313"/>
      <c r="AN3987" s="313"/>
      <c r="AO3987" s="313"/>
      <c r="AP3987" s="313"/>
      <c r="AQ3987" s="314"/>
      <c r="AR3987" s="315" t="str">
        <f t="shared" si="99"/>
        <v/>
      </c>
    </row>
    <row r="3988" spans="37:44" ht="30" hidden="1" customHeight="1" x14ac:dyDescent="0.25">
      <c r="AK3988" s="313"/>
      <c r="AL3988" s="313"/>
      <c r="AM3988" s="313"/>
      <c r="AN3988" s="313"/>
      <c r="AO3988" s="313"/>
      <c r="AP3988" s="313"/>
      <c r="AQ3988" s="314"/>
      <c r="AR3988" s="315" t="str">
        <f t="shared" si="99"/>
        <v/>
      </c>
    </row>
    <row r="3989" spans="37:44" ht="30" hidden="1" customHeight="1" x14ac:dyDescent="0.25">
      <c r="AK3989" s="313"/>
      <c r="AL3989" s="313"/>
      <c r="AM3989" s="313"/>
      <c r="AN3989" s="313"/>
      <c r="AO3989" s="313"/>
      <c r="AP3989" s="313"/>
      <c r="AQ3989" s="314"/>
      <c r="AR3989" s="315" t="str">
        <f t="shared" si="99"/>
        <v/>
      </c>
    </row>
    <row r="3990" spans="37:44" ht="30" hidden="1" customHeight="1" x14ac:dyDescent="0.25">
      <c r="AK3990" s="313"/>
      <c r="AL3990" s="313"/>
      <c r="AM3990" s="313"/>
      <c r="AN3990" s="313"/>
      <c r="AO3990" s="313"/>
      <c r="AP3990" s="313"/>
      <c r="AQ3990" s="314"/>
      <c r="AR3990" s="315" t="str">
        <f t="shared" si="99"/>
        <v/>
      </c>
    </row>
    <row r="3991" spans="37:44" ht="30" hidden="1" customHeight="1" x14ac:dyDescent="0.25">
      <c r="AK3991" s="313"/>
      <c r="AL3991" s="313"/>
      <c r="AM3991" s="313"/>
      <c r="AN3991" s="313"/>
      <c r="AO3991" s="313"/>
      <c r="AP3991" s="313"/>
      <c r="AQ3991" s="314"/>
      <c r="AR3991" s="315" t="str">
        <f t="shared" si="99"/>
        <v/>
      </c>
    </row>
    <row r="3992" spans="37:44" ht="30" hidden="1" customHeight="1" x14ac:dyDescent="0.25">
      <c r="AK3992" s="313"/>
      <c r="AL3992" s="313"/>
      <c r="AM3992" s="313"/>
      <c r="AN3992" s="313"/>
      <c r="AO3992" s="313"/>
      <c r="AP3992" s="313"/>
      <c r="AQ3992" s="314"/>
      <c r="AR3992" s="315" t="str">
        <f t="shared" si="99"/>
        <v/>
      </c>
    </row>
    <row r="3993" spans="37:44" ht="30" hidden="1" customHeight="1" x14ac:dyDescent="0.25">
      <c r="AK3993" s="313"/>
      <c r="AL3993" s="313"/>
      <c r="AM3993" s="313"/>
      <c r="AN3993" s="313"/>
      <c r="AO3993" s="313"/>
      <c r="AP3993" s="313"/>
      <c r="AQ3993" s="314"/>
      <c r="AR3993" s="315" t="str">
        <f t="shared" si="99"/>
        <v/>
      </c>
    </row>
    <row r="3994" spans="37:44" ht="30" hidden="1" customHeight="1" x14ac:dyDescent="0.25">
      <c r="AK3994" s="313"/>
      <c r="AL3994" s="313"/>
      <c r="AM3994" s="313"/>
      <c r="AN3994" s="313"/>
      <c r="AO3994" s="313"/>
      <c r="AP3994" s="313"/>
      <c r="AQ3994" s="314"/>
      <c r="AR3994" s="315" t="str">
        <f t="shared" si="99"/>
        <v/>
      </c>
    </row>
    <row r="3995" spans="37:44" ht="30" hidden="1" customHeight="1" x14ac:dyDescent="0.25">
      <c r="AK3995" s="313"/>
      <c r="AL3995" s="313"/>
      <c r="AM3995" s="313"/>
      <c r="AN3995" s="313"/>
      <c r="AO3995" s="313"/>
      <c r="AP3995" s="313"/>
      <c r="AQ3995" s="314"/>
      <c r="AR3995" s="315" t="str">
        <f t="shared" si="99"/>
        <v/>
      </c>
    </row>
    <row r="3996" spans="37:44" ht="30" hidden="1" customHeight="1" x14ac:dyDescent="0.25">
      <c r="AK3996" s="313"/>
      <c r="AL3996" s="313"/>
      <c r="AM3996" s="313"/>
      <c r="AN3996" s="313"/>
      <c r="AO3996" s="313"/>
      <c r="AP3996" s="313"/>
      <c r="AQ3996" s="314"/>
      <c r="AR3996" s="315" t="str">
        <f t="shared" si="99"/>
        <v/>
      </c>
    </row>
    <row r="3997" spans="37:44" ht="30" hidden="1" customHeight="1" x14ac:dyDescent="0.25">
      <c r="AK3997" s="313"/>
      <c r="AL3997" s="313"/>
      <c r="AM3997" s="313"/>
      <c r="AN3997" s="313"/>
      <c r="AO3997" s="313"/>
      <c r="AP3997" s="313"/>
      <c r="AQ3997" s="314"/>
      <c r="AR3997" s="315" t="str">
        <f t="shared" si="99"/>
        <v/>
      </c>
    </row>
    <row r="3998" spans="37:44" ht="30" hidden="1" customHeight="1" x14ac:dyDescent="0.25">
      <c r="AK3998" s="313"/>
      <c r="AL3998" s="313"/>
      <c r="AM3998" s="313"/>
      <c r="AN3998" s="313"/>
      <c r="AO3998" s="313"/>
      <c r="AP3998" s="313"/>
      <c r="AQ3998" s="314"/>
      <c r="AR3998" s="315" t="str">
        <f t="shared" si="99"/>
        <v/>
      </c>
    </row>
    <row r="3999" spans="37:44" ht="30" hidden="1" customHeight="1" x14ac:dyDescent="0.25">
      <c r="AK3999" s="313"/>
      <c r="AL3999" s="313"/>
      <c r="AM3999" s="313"/>
      <c r="AN3999" s="313"/>
      <c r="AO3999" s="313"/>
      <c r="AP3999" s="313"/>
      <c r="AQ3999" s="314"/>
      <c r="AR3999" s="315" t="str">
        <f t="shared" si="99"/>
        <v/>
      </c>
    </row>
    <row r="4000" spans="37:44" ht="30" hidden="1" customHeight="1" x14ac:dyDescent="0.25">
      <c r="AK4000" s="313"/>
      <c r="AL4000" s="313"/>
      <c r="AM4000" s="313"/>
      <c r="AN4000" s="313"/>
      <c r="AO4000" s="313"/>
      <c r="AP4000" s="313"/>
      <c r="AQ4000" s="314"/>
      <c r="AR4000" s="315" t="str">
        <f t="shared" si="99"/>
        <v/>
      </c>
    </row>
    <row r="4001" spans="37:44" ht="30" hidden="1" customHeight="1" x14ac:dyDescent="0.25">
      <c r="AK4001" s="313"/>
      <c r="AL4001" s="313"/>
      <c r="AM4001" s="313"/>
      <c r="AN4001" s="313"/>
      <c r="AO4001" s="313"/>
      <c r="AP4001" s="313"/>
      <c r="AQ4001" s="314"/>
      <c r="AR4001" s="315" t="str">
        <f t="shared" si="99"/>
        <v/>
      </c>
    </row>
    <row r="4002" spans="37:44" ht="30" hidden="1" customHeight="1" x14ac:dyDescent="0.25">
      <c r="AK4002" s="313"/>
      <c r="AL4002" s="313"/>
      <c r="AM4002" s="313"/>
      <c r="AN4002" s="313"/>
      <c r="AO4002" s="313"/>
      <c r="AP4002" s="313"/>
      <c r="AQ4002" s="314"/>
      <c r="AR4002" s="315" t="str">
        <f t="shared" si="99"/>
        <v/>
      </c>
    </row>
    <row r="4003" spans="37:44" ht="30" hidden="1" customHeight="1" x14ac:dyDescent="0.25">
      <c r="AK4003" s="313"/>
      <c r="AL4003" s="313"/>
      <c r="AM4003" s="313"/>
      <c r="AN4003" s="313"/>
      <c r="AO4003" s="313"/>
      <c r="AP4003" s="313"/>
      <c r="AQ4003" s="314"/>
      <c r="AR4003" s="315" t="str">
        <f t="shared" si="99"/>
        <v/>
      </c>
    </row>
    <row r="4004" spans="37:44" ht="30" hidden="1" customHeight="1" x14ac:dyDescent="0.25">
      <c r="AK4004" s="313"/>
      <c r="AL4004" s="313"/>
      <c r="AM4004" s="313"/>
      <c r="AN4004" s="313"/>
      <c r="AO4004" s="313"/>
      <c r="AP4004" s="313"/>
      <c r="AQ4004" s="314"/>
      <c r="AR4004" s="315" t="str">
        <f t="shared" si="99"/>
        <v/>
      </c>
    </row>
    <row r="4005" spans="37:44" ht="30" hidden="1" customHeight="1" x14ac:dyDescent="0.25">
      <c r="AK4005" s="313"/>
      <c r="AL4005" s="313"/>
      <c r="AM4005" s="313"/>
      <c r="AN4005" s="313"/>
      <c r="AO4005" s="313"/>
      <c r="AP4005" s="313"/>
      <c r="AQ4005" s="314"/>
      <c r="AR4005" s="315" t="str">
        <f t="shared" si="99"/>
        <v/>
      </c>
    </row>
    <row r="4006" spans="37:44" ht="30" hidden="1" customHeight="1" x14ac:dyDescent="0.25">
      <c r="AK4006" s="313"/>
      <c r="AL4006" s="313"/>
      <c r="AM4006" s="313"/>
      <c r="AN4006" s="313"/>
      <c r="AO4006" s="313"/>
      <c r="AP4006" s="313"/>
      <c r="AQ4006" s="314"/>
      <c r="AR4006" s="315" t="str">
        <f t="shared" si="99"/>
        <v/>
      </c>
    </row>
    <row r="4007" spans="37:44" ht="30" hidden="1" customHeight="1" x14ac:dyDescent="0.25">
      <c r="AK4007" s="313"/>
      <c r="AL4007" s="313"/>
      <c r="AM4007" s="313"/>
      <c r="AN4007" s="313"/>
      <c r="AO4007" s="313"/>
      <c r="AP4007" s="313"/>
      <c r="AQ4007" s="314"/>
      <c r="AR4007" s="315" t="str">
        <f t="shared" si="99"/>
        <v/>
      </c>
    </row>
    <row r="4008" spans="37:44" ht="30" hidden="1" customHeight="1" x14ac:dyDescent="0.25">
      <c r="AK4008" s="313"/>
      <c r="AL4008" s="313"/>
      <c r="AM4008" s="313"/>
      <c r="AN4008" s="313"/>
      <c r="AO4008" s="313"/>
      <c r="AP4008" s="313"/>
      <c r="AQ4008" s="314"/>
      <c r="AR4008" s="315" t="str">
        <f t="shared" si="99"/>
        <v/>
      </c>
    </row>
    <row r="4009" spans="37:44" ht="30" hidden="1" customHeight="1" x14ac:dyDescent="0.25">
      <c r="AK4009" s="313"/>
      <c r="AL4009" s="313"/>
      <c r="AM4009" s="313"/>
      <c r="AN4009" s="313"/>
      <c r="AO4009" s="313"/>
      <c r="AP4009" s="313"/>
      <c r="AQ4009" s="314"/>
      <c r="AR4009" s="315" t="str">
        <f t="shared" si="99"/>
        <v/>
      </c>
    </row>
    <row r="4010" spans="37:44" ht="30" hidden="1" customHeight="1" x14ac:dyDescent="0.25">
      <c r="AK4010" s="313"/>
      <c r="AL4010" s="313"/>
      <c r="AM4010" s="313"/>
      <c r="AN4010" s="313"/>
      <c r="AO4010" s="313"/>
      <c r="AP4010" s="313"/>
      <c r="AQ4010" s="314"/>
      <c r="AR4010" s="315" t="str">
        <f t="shared" si="99"/>
        <v/>
      </c>
    </row>
    <row r="4011" spans="37:44" ht="30" hidden="1" customHeight="1" x14ac:dyDescent="0.25">
      <c r="AK4011" s="313"/>
      <c r="AL4011" s="313"/>
      <c r="AM4011" s="313"/>
      <c r="AN4011" s="313"/>
      <c r="AO4011" s="313"/>
      <c r="AP4011" s="313"/>
      <c r="AQ4011" s="314"/>
      <c r="AR4011" s="315" t="str">
        <f t="shared" si="99"/>
        <v/>
      </c>
    </row>
    <row r="4012" spans="37:44" ht="30" hidden="1" customHeight="1" x14ac:dyDescent="0.25">
      <c r="AK4012" s="313"/>
      <c r="AL4012" s="313"/>
      <c r="AM4012" s="313"/>
      <c r="AN4012" s="313"/>
      <c r="AO4012" s="313"/>
      <c r="AP4012" s="313"/>
      <c r="AQ4012" s="314"/>
      <c r="AR4012" s="315" t="str">
        <f t="shared" si="99"/>
        <v/>
      </c>
    </row>
    <row r="4013" spans="37:44" ht="30" hidden="1" customHeight="1" x14ac:dyDescent="0.25">
      <c r="AK4013" s="313"/>
      <c r="AL4013" s="313"/>
      <c r="AM4013" s="313"/>
      <c r="AN4013" s="313"/>
      <c r="AO4013" s="313"/>
      <c r="AP4013" s="313"/>
      <c r="AQ4013" s="314"/>
      <c r="AR4013" s="315" t="str">
        <f t="shared" si="99"/>
        <v/>
      </c>
    </row>
    <row r="4014" spans="37:44" ht="30" hidden="1" customHeight="1" x14ac:dyDescent="0.25">
      <c r="AK4014" s="313"/>
      <c r="AL4014" s="313"/>
      <c r="AM4014" s="313"/>
      <c r="AN4014" s="313"/>
      <c r="AO4014" s="313"/>
      <c r="AP4014" s="313"/>
      <c r="AQ4014" s="314"/>
      <c r="AR4014" s="315" t="str">
        <f t="shared" si="99"/>
        <v/>
      </c>
    </row>
    <row r="4015" spans="37:44" ht="30" hidden="1" customHeight="1" x14ac:dyDescent="0.25">
      <c r="AK4015" s="313"/>
      <c r="AL4015" s="313"/>
      <c r="AM4015" s="313"/>
      <c r="AN4015" s="313"/>
      <c r="AO4015" s="313"/>
      <c r="AP4015" s="313"/>
      <c r="AQ4015" s="314"/>
      <c r="AR4015" s="315" t="str">
        <f t="shared" si="99"/>
        <v/>
      </c>
    </row>
    <row r="4016" spans="37:44" ht="30" hidden="1" customHeight="1" x14ac:dyDescent="0.25">
      <c r="AK4016" s="313"/>
      <c r="AL4016" s="313"/>
      <c r="AM4016" s="313"/>
      <c r="AN4016" s="313"/>
      <c r="AO4016" s="313"/>
      <c r="AP4016" s="313"/>
      <c r="AQ4016" s="314"/>
      <c r="AR4016" s="315" t="str">
        <f t="shared" si="99"/>
        <v/>
      </c>
    </row>
    <row r="4017" spans="37:44" ht="30" hidden="1" customHeight="1" x14ac:dyDescent="0.25">
      <c r="AK4017" s="313"/>
      <c r="AL4017" s="313"/>
      <c r="AM4017" s="313"/>
      <c r="AN4017" s="313"/>
      <c r="AO4017" s="313"/>
      <c r="AP4017" s="313"/>
      <c r="AQ4017" s="314"/>
      <c r="AR4017" s="315" t="str">
        <f t="shared" si="99"/>
        <v/>
      </c>
    </row>
    <row r="4018" spans="37:44" ht="30" hidden="1" customHeight="1" x14ac:dyDescent="0.25">
      <c r="AK4018" s="313"/>
      <c r="AL4018" s="313"/>
      <c r="AM4018" s="313"/>
      <c r="AN4018" s="313"/>
      <c r="AO4018" s="313"/>
      <c r="AP4018" s="313"/>
      <c r="AQ4018" s="314"/>
      <c r="AR4018" s="315" t="str">
        <f t="shared" si="99"/>
        <v/>
      </c>
    </row>
    <row r="4019" spans="37:44" ht="30" hidden="1" customHeight="1" x14ac:dyDescent="0.25">
      <c r="AK4019" s="313"/>
      <c r="AL4019" s="313"/>
      <c r="AM4019" s="313"/>
      <c r="AN4019" s="313"/>
      <c r="AO4019" s="313"/>
      <c r="AP4019" s="313"/>
      <c r="AQ4019" s="314"/>
      <c r="AR4019" s="315" t="str">
        <f t="shared" si="99"/>
        <v/>
      </c>
    </row>
    <row r="4020" spans="37:44" ht="30" hidden="1" customHeight="1" x14ac:dyDescent="0.25">
      <c r="AK4020" s="313"/>
      <c r="AL4020" s="313"/>
      <c r="AM4020" s="313"/>
      <c r="AN4020" s="313"/>
      <c r="AO4020" s="313"/>
      <c r="AP4020" s="313"/>
      <c r="AQ4020" s="314"/>
      <c r="AR4020" s="315" t="str">
        <f t="shared" si="99"/>
        <v/>
      </c>
    </row>
    <row r="4021" spans="37:44" ht="30" hidden="1" customHeight="1" x14ac:dyDescent="0.25">
      <c r="AK4021" s="313"/>
      <c r="AL4021" s="313"/>
      <c r="AM4021" s="313"/>
      <c r="AN4021" s="313"/>
      <c r="AO4021" s="313"/>
      <c r="AP4021" s="313"/>
      <c r="AQ4021" s="314"/>
      <c r="AR4021" s="315" t="str">
        <f t="shared" si="99"/>
        <v/>
      </c>
    </row>
    <row r="4022" spans="37:44" ht="30" hidden="1" customHeight="1" x14ac:dyDescent="0.25">
      <c r="AK4022" s="313"/>
      <c r="AL4022" s="313"/>
      <c r="AM4022" s="313"/>
      <c r="AN4022" s="313"/>
      <c r="AO4022" s="313"/>
      <c r="AP4022" s="313"/>
      <c r="AQ4022" s="314"/>
      <c r="AR4022" s="315" t="str">
        <f t="shared" si="99"/>
        <v/>
      </c>
    </row>
    <row r="4023" spans="37:44" ht="30" hidden="1" customHeight="1" x14ac:dyDescent="0.25">
      <c r="AK4023" s="313"/>
      <c r="AL4023" s="313"/>
      <c r="AM4023" s="313"/>
      <c r="AN4023" s="313"/>
      <c r="AO4023" s="313"/>
      <c r="AP4023" s="313"/>
      <c r="AQ4023" s="314"/>
      <c r="AR4023" s="315" t="str">
        <f t="shared" si="99"/>
        <v/>
      </c>
    </row>
    <row r="4024" spans="37:44" ht="30" hidden="1" customHeight="1" x14ac:dyDescent="0.25">
      <c r="AK4024" s="313"/>
      <c r="AL4024" s="313"/>
      <c r="AM4024" s="313"/>
      <c r="AN4024" s="313"/>
      <c r="AO4024" s="313"/>
      <c r="AP4024" s="313"/>
      <c r="AQ4024" s="314"/>
      <c r="AR4024" s="315" t="str">
        <f t="shared" si="99"/>
        <v/>
      </c>
    </row>
    <row r="4025" spans="37:44" ht="30" hidden="1" customHeight="1" x14ac:dyDescent="0.25">
      <c r="AK4025" s="313"/>
      <c r="AL4025" s="313"/>
      <c r="AM4025" s="313"/>
      <c r="AN4025" s="313"/>
      <c r="AO4025" s="313"/>
      <c r="AP4025" s="313"/>
      <c r="AQ4025" s="314"/>
      <c r="AR4025" s="315" t="str">
        <f t="shared" si="99"/>
        <v/>
      </c>
    </row>
    <row r="4026" spans="37:44" ht="30" hidden="1" customHeight="1" x14ac:dyDescent="0.25">
      <c r="AK4026" s="313"/>
      <c r="AL4026" s="313"/>
      <c r="AM4026" s="313"/>
      <c r="AN4026" s="313"/>
      <c r="AO4026" s="313"/>
      <c r="AP4026" s="313"/>
      <c r="AQ4026" s="314"/>
      <c r="AR4026" s="315" t="str">
        <f t="shared" si="99"/>
        <v/>
      </c>
    </row>
    <row r="4027" spans="37:44" ht="30" hidden="1" customHeight="1" x14ac:dyDescent="0.25">
      <c r="AK4027" s="313"/>
      <c r="AL4027" s="313"/>
      <c r="AM4027" s="313"/>
      <c r="AN4027" s="313"/>
      <c r="AO4027" s="313"/>
      <c r="AP4027" s="313"/>
      <c r="AQ4027" s="314"/>
      <c r="AR4027" s="315" t="str">
        <f t="shared" si="99"/>
        <v/>
      </c>
    </row>
    <row r="4028" spans="37:44" ht="30" hidden="1" customHeight="1" x14ac:dyDescent="0.25">
      <c r="AK4028" s="313"/>
      <c r="AL4028" s="313"/>
      <c r="AM4028" s="313"/>
      <c r="AN4028" s="313"/>
      <c r="AO4028" s="313"/>
      <c r="AP4028" s="313"/>
      <c r="AQ4028" s="314"/>
      <c r="AR4028" s="315" t="str">
        <f t="shared" si="99"/>
        <v/>
      </c>
    </row>
    <row r="4029" spans="37:44" ht="30" hidden="1" customHeight="1" x14ac:dyDescent="0.25">
      <c r="AK4029" s="313"/>
      <c r="AL4029" s="313"/>
      <c r="AM4029" s="313"/>
      <c r="AN4029" s="313"/>
      <c r="AO4029" s="313"/>
      <c r="AP4029" s="313"/>
      <c r="AQ4029" s="314"/>
      <c r="AR4029" s="315" t="str">
        <f t="shared" si="99"/>
        <v/>
      </c>
    </row>
    <row r="4030" spans="37:44" ht="30" hidden="1" customHeight="1" x14ac:dyDescent="0.25">
      <c r="AK4030" s="313"/>
      <c r="AL4030" s="313"/>
      <c r="AM4030" s="313"/>
      <c r="AN4030" s="313"/>
      <c r="AO4030" s="313"/>
      <c r="AP4030" s="313"/>
      <c r="AQ4030" s="314"/>
      <c r="AR4030" s="315" t="str">
        <f t="shared" si="99"/>
        <v/>
      </c>
    </row>
    <row r="4031" spans="37:44" ht="30" hidden="1" customHeight="1" x14ac:dyDescent="0.25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00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 x14ac:dyDescent="0.25">
      <c r="AK4032" s="313"/>
      <c r="AL4032" s="313"/>
      <c r="AM4032" s="313"/>
      <c r="AN4032" s="313"/>
      <c r="AO4032" s="313"/>
      <c r="AP4032" s="313"/>
      <c r="AQ4032" s="314"/>
      <c r="AR4032" s="315" t="str">
        <f t="shared" si="100"/>
        <v/>
      </c>
    </row>
    <row r="4033" spans="37:44" ht="30" hidden="1" customHeight="1" x14ac:dyDescent="0.25">
      <c r="AK4033" s="313"/>
      <c r="AL4033" s="313"/>
      <c r="AM4033" s="313"/>
      <c r="AN4033" s="313"/>
      <c r="AO4033" s="313"/>
      <c r="AP4033" s="313"/>
      <c r="AQ4033" s="314"/>
      <c r="AR4033" s="315" t="str">
        <f t="shared" si="100"/>
        <v/>
      </c>
    </row>
    <row r="4034" spans="37:44" ht="30" hidden="1" customHeight="1" x14ac:dyDescent="0.25">
      <c r="AK4034" s="313"/>
      <c r="AL4034" s="313"/>
      <c r="AM4034" s="313"/>
      <c r="AN4034" s="313"/>
      <c r="AO4034" s="313"/>
      <c r="AP4034" s="313"/>
      <c r="AQ4034" s="314"/>
      <c r="AR4034" s="315" t="str">
        <f t="shared" si="100"/>
        <v/>
      </c>
    </row>
    <row r="4035" spans="37:44" ht="30" hidden="1" customHeight="1" x14ac:dyDescent="0.25">
      <c r="AK4035" s="313"/>
      <c r="AL4035" s="313"/>
      <c r="AM4035" s="313"/>
      <c r="AN4035" s="313"/>
      <c r="AO4035" s="313"/>
      <c r="AP4035" s="313"/>
      <c r="AQ4035" s="314"/>
      <c r="AR4035" s="315" t="str">
        <f t="shared" si="100"/>
        <v/>
      </c>
    </row>
    <row r="4036" spans="37:44" ht="30" hidden="1" customHeight="1" x14ac:dyDescent="0.25">
      <c r="AK4036" s="313"/>
      <c r="AL4036" s="313"/>
      <c r="AM4036" s="313"/>
      <c r="AN4036" s="313"/>
      <c r="AO4036" s="313"/>
      <c r="AP4036" s="313"/>
      <c r="AQ4036" s="314"/>
      <c r="AR4036" s="315" t="str">
        <f t="shared" si="100"/>
        <v/>
      </c>
    </row>
    <row r="4037" spans="37:44" ht="30" hidden="1" customHeight="1" x14ac:dyDescent="0.25">
      <c r="AK4037" s="313"/>
      <c r="AL4037" s="313"/>
      <c r="AM4037" s="313"/>
      <c r="AN4037" s="313"/>
      <c r="AO4037" s="313"/>
      <c r="AP4037" s="313"/>
      <c r="AQ4037" s="314"/>
      <c r="AR4037" s="315" t="str">
        <f t="shared" si="100"/>
        <v/>
      </c>
    </row>
    <row r="4038" spans="37:44" ht="30" hidden="1" customHeight="1" x14ac:dyDescent="0.25">
      <c r="AK4038" s="313"/>
      <c r="AL4038" s="313"/>
      <c r="AM4038" s="313"/>
      <c r="AN4038" s="313"/>
      <c r="AO4038" s="313"/>
      <c r="AP4038" s="313"/>
      <c r="AQ4038" s="314"/>
      <c r="AR4038" s="315" t="str">
        <f t="shared" si="100"/>
        <v/>
      </c>
    </row>
    <row r="4039" spans="37:44" ht="30" hidden="1" customHeight="1" x14ac:dyDescent="0.25">
      <c r="AK4039" s="313"/>
      <c r="AL4039" s="313"/>
      <c r="AM4039" s="313"/>
      <c r="AN4039" s="313"/>
      <c r="AO4039" s="313"/>
      <c r="AP4039" s="313"/>
      <c r="AQ4039" s="314"/>
      <c r="AR4039" s="315" t="str">
        <f t="shared" si="100"/>
        <v/>
      </c>
    </row>
    <row r="4040" spans="37:44" ht="30" hidden="1" customHeight="1" x14ac:dyDescent="0.25">
      <c r="AK4040" s="313"/>
      <c r="AL4040" s="313"/>
      <c r="AM4040" s="313"/>
      <c r="AN4040" s="313"/>
      <c r="AO4040" s="313"/>
      <c r="AP4040" s="313"/>
      <c r="AQ4040" s="314"/>
      <c r="AR4040" s="315" t="str">
        <f t="shared" si="100"/>
        <v/>
      </c>
    </row>
    <row r="4041" spans="37:44" ht="30" hidden="1" customHeight="1" x14ac:dyDescent="0.25">
      <c r="AK4041" s="313"/>
      <c r="AL4041" s="313"/>
      <c r="AM4041" s="313"/>
      <c r="AN4041" s="313"/>
      <c r="AO4041" s="313"/>
      <c r="AP4041" s="313"/>
      <c r="AQ4041" s="314"/>
      <c r="AR4041" s="315" t="str">
        <f t="shared" si="100"/>
        <v/>
      </c>
    </row>
    <row r="4042" spans="37:44" ht="30" hidden="1" customHeight="1" x14ac:dyDescent="0.25">
      <c r="AK4042" s="313"/>
      <c r="AL4042" s="313"/>
      <c r="AM4042" s="313"/>
      <c r="AN4042" s="313"/>
      <c r="AO4042" s="313"/>
      <c r="AP4042" s="313"/>
      <c r="AQ4042" s="314"/>
      <c r="AR4042" s="315" t="str">
        <f t="shared" si="100"/>
        <v/>
      </c>
    </row>
    <row r="4043" spans="37:44" ht="30" hidden="1" customHeight="1" x14ac:dyDescent="0.25">
      <c r="AK4043" s="313"/>
      <c r="AL4043" s="313"/>
      <c r="AM4043" s="313"/>
      <c r="AN4043" s="313"/>
      <c r="AO4043" s="313"/>
      <c r="AP4043" s="313"/>
      <c r="AQ4043" s="314"/>
      <c r="AR4043" s="315" t="str">
        <f t="shared" si="100"/>
        <v/>
      </c>
    </row>
    <row r="4044" spans="37:44" ht="30" hidden="1" customHeight="1" x14ac:dyDescent="0.25">
      <c r="AK4044" s="313"/>
      <c r="AL4044" s="313"/>
      <c r="AM4044" s="313"/>
      <c r="AN4044" s="313"/>
      <c r="AO4044" s="313"/>
      <c r="AP4044" s="313"/>
      <c r="AQ4044" s="314"/>
      <c r="AR4044" s="315" t="str">
        <f t="shared" si="100"/>
        <v/>
      </c>
    </row>
    <row r="4045" spans="37:44" ht="30" hidden="1" customHeight="1" x14ac:dyDescent="0.25">
      <c r="AK4045" s="313"/>
      <c r="AL4045" s="313"/>
      <c r="AM4045" s="313"/>
      <c r="AN4045" s="313"/>
      <c r="AO4045" s="313"/>
      <c r="AP4045" s="313"/>
      <c r="AQ4045" s="314"/>
      <c r="AR4045" s="315" t="str">
        <f t="shared" si="100"/>
        <v/>
      </c>
    </row>
    <row r="4046" spans="37:44" ht="30" hidden="1" customHeight="1" x14ac:dyDescent="0.25">
      <c r="AK4046" s="313"/>
      <c r="AL4046" s="313"/>
      <c r="AM4046" s="313"/>
      <c r="AN4046" s="313"/>
      <c r="AO4046" s="313"/>
      <c r="AP4046" s="313"/>
      <c r="AQ4046" s="314"/>
      <c r="AR4046" s="315" t="str">
        <f t="shared" si="100"/>
        <v/>
      </c>
    </row>
    <row r="4047" spans="37:44" ht="30" hidden="1" customHeight="1" x14ac:dyDescent="0.25">
      <c r="AK4047" s="313"/>
      <c r="AL4047" s="313"/>
      <c r="AM4047" s="313"/>
      <c r="AN4047" s="313"/>
      <c r="AO4047" s="313"/>
      <c r="AP4047" s="313"/>
      <c r="AQ4047" s="314"/>
      <c r="AR4047" s="315" t="str">
        <f t="shared" si="100"/>
        <v/>
      </c>
    </row>
    <row r="4048" spans="37:44" ht="30" hidden="1" customHeight="1" x14ac:dyDescent="0.25">
      <c r="AK4048" s="313"/>
      <c r="AL4048" s="313"/>
      <c r="AM4048" s="313"/>
      <c r="AN4048" s="313"/>
      <c r="AO4048" s="313"/>
      <c r="AP4048" s="313"/>
      <c r="AQ4048" s="314"/>
      <c r="AR4048" s="315" t="str">
        <f t="shared" si="100"/>
        <v/>
      </c>
    </row>
    <row r="4049" spans="37:44" ht="30" hidden="1" customHeight="1" x14ac:dyDescent="0.25">
      <c r="AK4049" s="313"/>
      <c r="AL4049" s="313"/>
      <c r="AM4049" s="313"/>
      <c r="AN4049" s="313"/>
      <c r="AO4049" s="313"/>
      <c r="AP4049" s="313"/>
      <c r="AQ4049" s="314"/>
      <c r="AR4049" s="315" t="str">
        <f t="shared" si="100"/>
        <v/>
      </c>
    </row>
    <row r="4050" spans="37:44" ht="30" hidden="1" customHeight="1" x14ac:dyDescent="0.25">
      <c r="AK4050" s="313"/>
      <c r="AL4050" s="313"/>
      <c r="AM4050" s="313"/>
      <c r="AN4050" s="313"/>
      <c r="AO4050" s="313"/>
      <c r="AP4050" s="313"/>
      <c r="AQ4050" s="314"/>
      <c r="AR4050" s="315" t="str">
        <f t="shared" si="100"/>
        <v/>
      </c>
    </row>
    <row r="4051" spans="37:44" ht="30" hidden="1" customHeight="1" x14ac:dyDescent="0.25">
      <c r="AK4051" s="313"/>
      <c r="AL4051" s="313"/>
      <c r="AM4051" s="313"/>
      <c r="AN4051" s="313"/>
      <c r="AO4051" s="313"/>
      <c r="AP4051" s="313"/>
      <c r="AQ4051" s="314"/>
      <c r="AR4051" s="315" t="str">
        <f t="shared" si="100"/>
        <v/>
      </c>
    </row>
    <row r="4052" spans="37:44" ht="30" hidden="1" customHeight="1" x14ac:dyDescent="0.25">
      <c r="AK4052" s="313"/>
      <c r="AL4052" s="313"/>
      <c r="AM4052" s="313"/>
      <c r="AN4052" s="313"/>
      <c r="AO4052" s="313"/>
      <c r="AP4052" s="313"/>
      <c r="AQ4052" s="314"/>
      <c r="AR4052" s="315" t="str">
        <f t="shared" si="100"/>
        <v/>
      </c>
    </row>
    <row r="4053" spans="37:44" ht="30" hidden="1" customHeight="1" x14ac:dyDescent="0.25">
      <c r="AK4053" s="313"/>
      <c r="AL4053" s="313"/>
      <c r="AM4053" s="313"/>
      <c r="AN4053" s="313"/>
      <c r="AO4053" s="313"/>
      <c r="AP4053" s="313"/>
      <c r="AQ4053" s="314"/>
      <c r="AR4053" s="315" t="str">
        <f t="shared" si="100"/>
        <v/>
      </c>
    </row>
    <row r="4054" spans="37:44" ht="30" hidden="1" customHeight="1" x14ac:dyDescent="0.25">
      <c r="AK4054" s="313"/>
      <c r="AL4054" s="313"/>
      <c r="AM4054" s="313"/>
      <c r="AN4054" s="313"/>
      <c r="AO4054" s="313"/>
      <c r="AP4054" s="313"/>
      <c r="AQ4054" s="314"/>
      <c r="AR4054" s="315" t="str">
        <f t="shared" si="100"/>
        <v/>
      </c>
    </row>
    <row r="4055" spans="37:44" ht="30" hidden="1" customHeight="1" x14ac:dyDescent="0.25">
      <c r="AK4055" s="313"/>
      <c r="AL4055" s="313"/>
      <c r="AM4055" s="313"/>
      <c r="AN4055" s="313"/>
      <c r="AO4055" s="313"/>
      <c r="AP4055" s="313"/>
      <c r="AQ4055" s="314"/>
      <c r="AR4055" s="315" t="str">
        <f t="shared" si="100"/>
        <v/>
      </c>
    </row>
    <row r="4056" spans="37:44" ht="30" hidden="1" customHeight="1" x14ac:dyDescent="0.25">
      <c r="AK4056" s="313"/>
      <c r="AL4056" s="313"/>
      <c r="AM4056" s="313"/>
      <c r="AN4056" s="313"/>
      <c r="AO4056" s="313"/>
      <c r="AP4056" s="313"/>
      <c r="AQ4056" s="314"/>
      <c r="AR4056" s="315" t="str">
        <f t="shared" si="100"/>
        <v/>
      </c>
    </row>
    <row r="4057" spans="37:44" ht="30" hidden="1" customHeight="1" x14ac:dyDescent="0.25">
      <c r="AK4057" s="313"/>
      <c r="AL4057" s="313"/>
      <c r="AM4057" s="313"/>
      <c r="AN4057" s="313"/>
      <c r="AO4057" s="313"/>
      <c r="AP4057" s="313"/>
      <c r="AQ4057" s="314"/>
      <c r="AR4057" s="315" t="str">
        <f t="shared" si="100"/>
        <v/>
      </c>
    </row>
    <row r="4058" spans="37:44" ht="30" hidden="1" customHeight="1" x14ac:dyDescent="0.25">
      <c r="AK4058" s="313"/>
      <c r="AL4058" s="313"/>
      <c r="AM4058" s="313"/>
      <c r="AN4058" s="313"/>
      <c r="AO4058" s="313"/>
      <c r="AP4058" s="313"/>
      <c r="AQ4058" s="314"/>
      <c r="AR4058" s="315" t="str">
        <f t="shared" si="100"/>
        <v/>
      </c>
    </row>
    <row r="4059" spans="37:44" ht="30" hidden="1" customHeight="1" x14ac:dyDescent="0.25">
      <c r="AK4059" s="313"/>
      <c r="AL4059" s="313"/>
      <c r="AM4059" s="313"/>
      <c r="AN4059" s="313"/>
      <c r="AO4059" s="313"/>
      <c r="AP4059" s="313"/>
      <c r="AQ4059" s="314"/>
      <c r="AR4059" s="315" t="str">
        <f t="shared" si="100"/>
        <v/>
      </c>
    </row>
    <row r="4060" spans="37:44" ht="30" hidden="1" customHeight="1" x14ac:dyDescent="0.25">
      <c r="AK4060" s="313"/>
      <c r="AL4060" s="313"/>
      <c r="AM4060" s="313"/>
      <c r="AN4060" s="313"/>
      <c r="AO4060" s="313"/>
      <c r="AP4060" s="313"/>
      <c r="AQ4060" s="314"/>
      <c r="AR4060" s="315" t="str">
        <f t="shared" si="100"/>
        <v/>
      </c>
    </row>
    <row r="4061" spans="37:44" ht="30" hidden="1" customHeight="1" x14ac:dyDescent="0.25">
      <c r="AK4061" s="313"/>
      <c r="AL4061" s="313"/>
      <c r="AM4061" s="313"/>
      <c r="AN4061" s="313"/>
      <c r="AO4061" s="313"/>
      <c r="AP4061" s="313"/>
      <c r="AQ4061" s="314"/>
      <c r="AR4061" s="315" t="str">
        <f t="shared" si="100"/>
        <v/>
      </c>
    </row>
    <row r="4062" spans="37:44" ht="30" hidden="1" customHeight="1" x14ac:dyDescent="0.25">
      <c r="AK4062" s="313"/>
      <c r="AL4062" s="313"/>
      <c r="AM4062" s="313"/>
      <c r="AN4062" s="313"/>
      <c r="AO4062" s="313"/>
      <c r="AP4062" s="313"/>
      <c r="AQ4062" s="314"/>
      <c r="AR4062" s="315" t="str">
        <f t="shared" si="100"/>
        <v/>
      </c>
    </row>
    <row r="4063" spans="37:44" ht="30" hidden="1" customHeight="1" x14ac:dyDescent="0.25">
      <c r="AK4063" s="313"/>
      <c r="AL4063" s="313"/>
      <c r="AM4063" s="313"/>
      <c r="AN4063" s="313"/>
      <c r="AO4063" s="313"/>
      <c r="AP4063" s="313"/>
      <c r="AQ4063" s="314"/>
      <c r="AR4063" s="315" t="str">
        <f t="shared" si="100"/>
        <v/>
      </c>
    </row>
    <row r="4064" spans="37:44" ht="30" hidden="1" customHeight="1" x14ac:dyDescent="0.25">
      <c r="AK4064" s="313"/>
      <c r="AL4064" s="313"/>
      <c r="AM4064" s="313"/>
      <c r="AN4064" s="313"/>
      <c r="AO4064" s="313"/>
      <c r="AP4064" s="313"/>
      <c r="AQ4064" s="314"/>
      <c r="AR4064" s="315" t="str">
        <f t="shared" si="100"/>
        <v/>
      </c>
    </row>
    <row r="4065" spans="37:44" ht="30" hidden="1" customHeight="1" x14ac:dyDescent="0.25">
      <c r="AK4065" s="313"/>
      <c r="AL4065" s="313"/>
      <c r="AM4065" s="313"/>
      <c r="AN4065" s="313"/>
      <c r="AO4065" s="313"/>
      <c r="AP4065" s="313"/>
      <c r="AQ4065" s="314"/>
      <c r="AR4065" s="315" t="str">
        <f t="shared" si="100"/>
        <v/>
      </c>
    </row>
    <row r="4066" spans="37:44" ht="30" hidden="1" customHeight="1" x14ac:dyDescent="0.25">
      <c r="AK4066" s="313"/>
      <c r="AL4066" s="313"/>
      <c r="AM4066" s="313"/>
      <c r="AN4066" s="313"/>
      <c r="AO4066" s="313"/>
      <c r="AP4066" s="313"/>
      <c r="AQ4066" s="314"/>
      <c r="AR4066" s="315" t="str">
        <f t="shared" si="100"/>
        <v/>
      </c>
    </row>
    <row r="4067" spans="37:44" ht="30" hidden="1" customHeight="1" x14ac:dyDescent="0.25">
      <c r="AK4067" s="313"/>
      <c r="AL4067" s="313"/>
      <c r="AM4067" s="313"/>
      <c r="AN4067" s="313"/>
      <c r="AO4067" s="313"/>
      <c r="AP4067" s="313"/>
      <c r="AQ4067" s="314"/>
      <c r="AR4067" s="315" t="str">
        <f t="shared" si="100"/>
        <v/>
      </c>
    </row>
    <row r="4068" spans="37:44" ht="30" hidden="1" customHeight="1" x14ac:dyDescent="0.25">
      <c r="AK4068" s="313"/>
      <c r="AL4068" s="313"/>
      <c r="AM4068" s="313"/>
      <c r="AN4068" s="313"/>
      <c r="AO4068" s="313"/>
      <c r="AP4068" s="313"/>
      <c r="AQ4068" s="314"/>
      <c r="AR4068" s="315" t="str">
        <f t="shared" si="100"/>
        <v/>
      </c>
    </row>
    <row r="4069" spans="37:44" ht="30" hidden="1" customHeight="1" x14ac:dyDescent="0.25">
      <c r="AK4069" s="313"/>
      <c r="AL4069" s="313"/>
      <c r="AM4069" s="313"/>
      <c r="AN4069" s="313"/>
      <c r="AO4069" s="313"/>
      <c r="AP4069" s="313"/>
      <c r="AQ4069" s="314"/>
      <c r="AR4069" s="315" t="str">
        <f t="shared" si="100"/>
        <v/>
      </c>
    </row>
    <row r="4070" spans="37:44" ht="30" hidden="1" customHeight="1" x14ac:dyDescent="0.25">
      <c r="AK4070" s="313"/>
      <c r="AL4070" s="313"/>
      <c r="AM4070" s="313"/>
      <c r="AN4070" s="313"/>
      <c r="AO4070" s="313"/>
      <c r="AP4070" s="313"/>
      <c r="AQ4070" s="314"/>
      <c r="AR4070" s="315" t="str">
        <f t="shared" si="100"/>
        <v/>
      </c>
    </row>
    <row r="4071" spans="37:44" ht="30" hidden="1" customHeight="1" x14ac:dyDescent="0.25">
      <c r="AK4071" s="313"/>
      <c r="AL4071" s="313"/>
      <c r="AM4071" s="313"/>
      <c r="AN4071" s="313"/>
      <c r="AO4071" s="313"/>
      <c r="AP4071" s="313"/>
      <c r="AQ4071" s="314"/>
      <c r="AR4071" s="315" t="str">
        <f t="shared" si="100"/>
        <v/>
      </c>
    </row>
    <row r="4072" spans="37:44" ht="30" hidden="1" customHeight="1" x14ac:dyDescent="0.25">
      <c r="AK4072" s="313"/>
      <c r="AL4072" s="313"/>
      <c r="AM4072" s="313"/>
      <c r="AN4072" s="313"/>
      <c r="AO4072" s="313"/>
      <c r="AP4072" s="313"/>
      <c r="AQ4072" s="314"/>
      <c r="AR4072" s="315" t="str">
        <f t="shared" si="100"/>
        <v/>
      </c>
    </row>
    <row r="4073" spans="37:44" ht="30" hidden="1" customHeight="1" x14ac:dyDescent="0.25">
      <c r="AK4073" s="313"/>
      <c r="AL4073" s="313"/>
      <c r="AM4073" s="313"/>
      <c r="AN4073" s="313"/>
      <c r="AO4073" s="313"/>
      <c r="AP4073" s="313"/>
      <c r="AQ4073" s="314"/>
      <c r="AR4073" s="315" t="str">
        <f t="shared" si="100"/>
        <v/>
      </c>
    </row>
    <row r="4074" spans="37:44" ht="30" hidden="1" customHeight="1" x14ac:dyDescent="0.25">
      <c r="AK4074" s="313"/>
      <c r="AL4074" s="313"/>
      <c r="AM4074" s="313"/>
      <c r="AN4074" s="313"/>
      <c r="AO4074" s="313"/>
      <c r="AP4074" s="313"/>
      <c r="AQ4074" s="314"/>
      <c r="AR4074" s="315" t="str">
        <f t="shared" si="100"/>
        <v/>
      </c>
    </row>
    <row r="4075" spans="37:44" ht="30" hidden="1" customHeight="1" x14ac:dyDescent="0.25">
      <c r="AK4075" s="313"/>
      <c r="AL4075" s="313"/>
      <c r="AM4075" s="313"/>
      <c r="AN4075" s="313"/>
      <c r="AO4075" s="313"/>
      <c r="AP4075" s="313"/>
      <c r="AQ4075" s="314"/>
      <c r="AR4075" s="315" t="str">
        <f t="shared" si="100"/>
        <v/>
      </c>
    </row>
    <row r="4076" spans="37:44" ht="30" hidden="1" customHeight="1" x14ac:dyDescent="0.25">
      <c r="AK4076" s="313"/>
      <c r="AL4076" s="313"/>
      <c r="AM4076" s="313"/>
      <c r="AN4076" s="313"/>
      <c r="AO4076" s="313"/>
      <c r="AP4076" s="313"/>
      <c r="AQ4076" s="314"/>
      <c r="AR4076" s="315" t="str">
        <f t="shared" si="100"/>
        <v/>
      </c>
    </row>
    <row r="4077" spans="37:44" ht="30" hidden="1" customHeight="1" x14ac:dyDescent="0.25">
      <c r="AK4077" s="313"/>
      <c r="AL4077" s="313"/>
      <c r="AM4077" s="313"/>
      <c r="AN4077" s="313"/>
      <c r="AO4077" s="313"/>
      <c r="AP4077" s="313"/>
      <c r="AQ4077" s="314"/>
      <c r="AR4077" s="315" t="str">
        <f t="shared" si="100"/>
        <v/>
      </c>
    </row>
    <row r="4078" spans="37:44" ht="30" hidden="1" customHeight="1" x14ac:dyDescent="0.25">
      <c r="AK4078" s="313"/>
      <c r="AL4078" s="313"/>
      <c r="AM4078" s="313"/>
      <c r="AN4078" s="313"/>
      <c r="AO4078" s="313"/>
      <c r="AP4078" s="313"/>
      <c r="AQ4078" s="314"/>
      <c r="AR4078" s="315" t="str">
        <f t="shared" si="100"/>
        <v/>
      </c>
    </row>
    <row r="4079" spans="37:44" ht="30" hidden="1" customHeight="1" x14ac:dyDescent="0.25">
      <c r="AK4079" s="313"/>
      <c r="AL4079" s="313"/>
      <c r="AM4079" s="313"/>
      <c r="AN4079" s="313"/>
      <c r="AO4079" s="313"/>
      <c r="AP4079" s="313"/>
      <c r="AQ4079" s="314"/>
      <c r="AR4079" s="315" t="str">
        <f t="shared" si="100"/>
        <v/>
      </c>
    </row>
    <row r="4080" spans="37:44" ht="30" hidden="1" customHeight="1" x14ac:dyDescent="0.25">
      <c r="AK4080" s="313"/>
      <c r="AL4080" s="313"/>
      <c r="AM4080" s="313"/>
      <c r="AN4080" s="313"/>
      <c r="AO4080" s="313"/>
      <c r="AP4080" s="313"/>
      <c r="AQ4080" s="314"/>
      <c r="AR4080" s="315" t="str">
        <f t="shared" si="100"/>
        <v/>
      </c>
    </row>
    <row r="4081" spans="37:44" ht="30" hidden="1" customHeight="1" x14ac:dyDescent="0.25">
      <c r="AK4081" s="313"/>
      <c r="AL4081" s="313"/>
      <c r="AM4081" s="313"/>
      <c r="AN4081" s="313"/>
      <c r="AO4081" s="313"/>
      <c r="AP4081" s="313"/>
      <c r="AQ4081" s="314"/>
      <c r="AR4081" s="315" t="str">
        <f t="shared" si="100"/>
        <v/>
      </c>
    </row>
    <row r="4082" spans="37:44" ht="30" hidden="1" customHeight="1" x14ac:dyDescent="0.25">
      <c r="AK4082" s="313"/>
      <c r="AL4082" s="313"/>
      <c r="AM4082" s="313"/>
      <c r="AN4082" s="313"/>
      <c r="AO4082" s="313"/>
      <c r="AP4082" s="313"/>
      <c r="AQ4082" s="314"/>
      <c r="AR4082" s="315" t="str">
        <f t="shared" si="100"/>
        <v/>
      </c>
    </row>
    <row r="4083" spans="37:44" ht="30" hidden="1" customHeight="1" x14ac:dyDescent="0.25">
      <c r="AK4083" s="313"/>
      <c r="AL4083" s="313"/>
      <c r="AM4083" s="313"/>
      <c r="AN4083" s="313"/>
      <c r="AO4083" s="313"/>
      <c r="AP4083" s="313"/>
      <c r="AQ4083" s="314"/>
      <c r="AR4083" s="315" t="str">
        <f t="shared" si="100"/>
        <v/>
      </c>
    </row>
    <row r="4084" spans="37:44" ht="30" hidden="1" customHeight="1" x14ac:dyDescent="0.25">
      <c r="AK4084" s="313"/>
      <c r="AL4084" s="313"/>
      <c r="AM4084" s="313"/>
      <c r="AN4084" s="313"/>
      <c r="AO4084" s="313"/>
      <c r="AP4084" s="313"/>
      <c r="AQ4084" s="314"/>
      <c r="AR4084" s="315" t="str">
        <f t="shared" si="100"/>
        <v/>
      </c>
    </row>
    <row r="4085" spans="37:44" ht="30" hidden="1" customHeight="1" x14ac:dyDescent="0.25">
      <c r="AK4085" s="313"/>
      <c r="AL4085" s="313"/>
      <c r="AM4085" s="313"/>
      <c r="AN4085" s="313"/>
      <c r="AO4085" s="313"/>
      <c r="AP4085" s="313"/>
      <c r="AQ4085" s="314"/>
      <c r="AR4085" s="315" t="str">
        <f t="shared" si="100"/>
        <v/>
      </c>
    </row>
    <row r="4086" spans="37:44" ht="30" hidden="1" customHeight="1" x14ac:dyDescent="0.25">
      <c r="AK4086" s="313"/>
      <c r="AL4086" s="313"/>
      <c r="AM4086" s="313"/>
      <c r="AN4086" s="313"/>
      <c r="AO4086" s="313"/>
      <c r="AP4086" s="313"/>
      <c r="AQ4086" s="314"/>
      <c r="AR4086" s="315" t="str">
        <f t="shared" si="100"/>
        <v/>
      </c>
    </row>
    <row r="4087" spans="37:44" ht="30" hidden="1" customHeight="1" x14ac:dyDescent="0.25">
      <c r="AK4087" s="313"/>
      <c r="AL4087" s="313"/>
      <c r="AM4087" s="313"/>
      <c r="AN4087" s="313"/>
      <c r="AO4087" s="313"/>
      <c r="AP4087" s="313"/>
      <c r="AQ4087" s="314"/>
      <c r="AR4087" s="315" t="str">
        <f t="shared" si="100"/>
        <v/>
      </c>
    </row>
    <row r="4088" spans="37:44" ht="30" hidden="1" customHeight="1" x14ac:dyDescent="0.25">
      <c r="AK4088" s="313"/>
      <c r="AL4088" s="313"/>
      <c r="AM4088" s="313"/>
      <c r="AN4088" s="313"/>
      <c r="AO4088" s="313"/>
      <c r="AP4088" s="313"/>
      <c r="AQ4088" s="314"/>
      <c r="AR4088" s="315" t="str">
        <f t="shared" si="100"/>
        <v/>
      </c>
    </row>
    <row r="4089" spans="37:44" ht="30" hidden="1" customHeight="1" x14ac:dyDescent="0.25">
      <c r="AK4089" s="313"/>
      <c r="AL4089" s="313"/>
      <c r="AM4089" s="313"/>
      <c r="AN4089" s="313"/>
      <c r="AO4089" s="313"/>
      <c r="AP4089" s="313"/>
      <c r="AQ4089" s="314"/>
      <c r="AR4089" s="315" t="str">
        <f t="shared" si="100"/>
        <v/>
      </c>
    </row>
    <row r="4090" spans="37:44" ht="30" hidden="1" customHeight="1" x14ac:dyDescent="0.25">
      <c r="AK4090" s="313"/>
      <c r="AL4090" s="313"/>
      <c r="AM4090" s="313"/>
      <c r="AN4090" s="313"/>
      <c r="AO4090" s="313"/>
      <c r="AP4090" s="313"/>
      <c r="AQ4090" s="314"/>
      <c r="AR4090" s="315" t="str">
        <f t="shared" si="100"/>
        <v/>
      </c>
    </row>
    <row r="4091" spans="37:44" ht="30" hidden="1" customHeight="1" x14ac:dyDescent="0.25">
      <c r="AK4091" s="313"/>
      <c r="AL4091" s="313"/>
      <c r="AM4091" s="313"/>
      <c r="AN4091" s="313"/>
      <c r="AO4091" s="313"/>
      <c r="AP4091" s="313"/>
      <c r="AQ4091" s="314"/>
      <c r="AR4091" s="315" t="str">
        <f t="shared" si="100"/>
        <v/>
      </c>
    </row>
    <row r="4092" spans="37:44" ht="30" hidden="1" customHeight="1" x14ac:dyDescent="0.25">
      <c r="AK4092" s="313"/>
      <c r="AL4092" s="313"/>
      <c r="AM4092" s="313"/>
      <c r="AN4092" s="313"/>
      <c r="AO4092" s="313"/>
      <c r="AP4092" s="313"/>
      <c r="AQ4092" s="314"/>
      <c r="AR4092" s="315" t="str">
        <f t="shared" si="100"/>
        <v/>
      </c>
    </row>
    <row r="4093" spans="37:44" ht="30" hidden="1" customHeight="1" x14ac:dyDescent="0.25">
      <c r="AK4093" s="313"/>
      <c r="AL4093" s="313"/>
      <c r="AM4093" s="313"/>
      <c r="AN4093" s="313"/>
      <c r="AO4093" s="313"/>
      <c r="AP4093" s="313"/>
      <c r="AQ4093" s="314"/>
      <c r="AR4093" s="315" t="str">
        <f t="shared" si="100"/>
        <v/>
      </c>
    </row>
    <row r="4094" spans="37:44" ht="30" hidden="1" customHeight="1" x14ac:dyDescent="0.25">
      <c r="AK4094" s="313"/>
      <c r="AL4094" s="313"/>
      <c r="AM4094" s="313"/>
      <c r="AN4094" s="313"/>
      <c r="AO4094" s="313"/>
      <c r="AP4094" s="313"/>
      <c r="AQ4094" s="314"/>
      <c r="AR4094" s="315" t="str">
        <f t="shared" si="100"/>
        <v/>
      </c>
    </row>
    <row r="4095" spans="37:44" ht="30" hidden="1" customHeight="1" x14ac:dyDescent="0.25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01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 x14ac:dyDescent="0.25">
      <c r="AK4096" s="313"/>
      <c r="AL4096" s="313"/>
      <c r="AM4096" s="313"/>
      <c r="AN4096" s="313"/>
      <c r="AO4096" s="313"/>
      <c r="AP4096" s="313"/>
      <c r="AQ4096" s="314"/>
      <c r="AR4096" s="315" t="str">
        <f t="shared" si="101"/>
        <v/>
      </c>
    </row>
    <row r="4097" spans="37:44" ht="30" hidden="1" customHeight="1" x14ac:dyDescent="0.25">
      <c r="AK4097" s="313"/>
      <c r="AL4097" s="313"/>
      <c r="AM4097" s="313"/>
      <c r="AN4097" s="313"/>
      <c r="AO4097" s="313"/>
      <c r="AP4097" s="313"/>
      <c r="AQ4097" s="314"/>
      <c r="AR4097" s="315" t="str">
        <f t="shared" si="101"/>
        <v/>
      </c>
    </row>
    <row r="4098" spans="37:44" ht="30" hidden="1" customHeight="1" x14ac:dyDescent="0.25">
      <c r="AK4098" s="313"/>
      <c r="AL4098" s="313"/>
      <c r="AM4098" s="313"/>
      <c r="AN4098" s="313"/>
      <c r="AO4098" s="313"/>
      <c r="AP4098" s="313"/>
      <c r="AQ4098" s="314"/>
      <c r="AR4098" s="315" t="str">
        <f t="shared" si="101"/>
        <v/>
      </c>
    </row>
    <row r="4099" spans="37:44" ht="30" hidden="1" customHeight="1" x14ac:dyDescent="0.25">
      <c r="AK4099" s="313"/>
      <c r="AL4099" s="313"/>
      <c r="AM4099" s="313"/>
      <c r="AN4099" s="313"/>
      <c r="AO4099" s="313"/>
      <c r="AP4099" s="313"/>
      <c r="AQ4099" s="314"/>
      <c r="AR4099" s="315" t="str">
        <f t="shared" si="101"/>
        <v/>
      </c>
    </row>
    <row r="4100" spans="37:44" ht="30" hidden="1" customHeight="1" x14ac:dyDescent="0.25">
      <c r="AK4100" s="313"/>
      <c r="AL4100" s="313"/>
      <c r="AM4100" s="313"/>
      <c r="AN4100" s="313"/>
      <c r="AO4100" s="313"/>
      <c r="AP4100" s="313"/>
      <c r="AQ4100" s="314"/>
      <c r="AR4100" s="315" t="str">
        <f t="shared" si="101"/>
        <v/>
      </c>
    </row>
    <row r="4101" spans="37:44" ht="30" hidden="1" customHeight="1" x14ac:dyDescent="0.25">
      <c r="AK4101" s="313"/>
      <c r="AL4101" s="313"/>
      <c r="AM4101" s="313"/>
      <c r="AN4101" s="313"/>
      <c r="AO4101" s="313"/>
      <c r="AP4101" s="313"/>
      <c r="AQ4101" s="314"/>
      <c r="AR4101" s="315" t="str">
        <f t="shared" si="101"/>
        <v/>
      </c>
    </row>
    <row r="4102" spans="37:44" ht="30" hidden="1" customHeight="1" x14ac:dyDescent="0.25">
      <c r="AK4102" s="313"/>
      <c r="AL4102" s="313"/>
      <c r="AM4102" s="313"/>
      <c r="AN4102" s="313"/>
      <c r="AO4102" s="313"/>
      <c r="AP4102" s="313"/>
      <c r="AQ4102" s="314"/>
      <c r="AR4102" s="315" t="str">
        <f t="shared" si="101"/>
        <v/>
      </c>
    </row>
    <row r="4103" spans="37:44" ht="30" hidden="1" customHeight="1" x14ac:dyDescent="0.25">
      <c r="AK4103" s="313"/>
      <c r="AL4103" s="313"/>
      <c r="AM4103" s="313"/>
      <c r="AN4103" s="313"/>
      <c r="AO4103" s="313"/>
      <c r="AP4103" s="313"/>
      <c r="AQ4103" s="314"/>
      <c r="AR4103" s="315" t="str">
        <f t="shared" si="101"/>
        <v/>
      </c>
    </row>
    <row r="4104" spans="37:44" ht="30" hidden="1" customHeight="1" x14ac:dyDescent="0.25">
      <c r="AK4104" s="313"/>
      <c r="AL4104" s="313"/>
      <c r="AM4104" s="313"/>
      <c r="AN4104" s="313"/>
      <c r="AO4104" s="313"/>
      <c r="AP4104" s="313"/>
      <c r="AQ4104" s="314"/>
      <c r="AR4104" s="315" t="str">
        <f t="shared" si="101"/>
        <v/>
      </c>
    </row>
    <row r="4105" spans="37:44" ht="30" hidden="1" customHeight="1" x14ac:dyDescent="0.25">
      <c r="AK4105" s="313"/>
      <c r="AL4105" s="313"/>
      <c r="AM4105" s="313"/>
      <c r="AN4105" s="313"/>
      <c r="AO4105" s="313"/>
      <c r="AP4105" s="313"/>
      <c r="AQ4105" s="314"/>
      <c r="AR4105" s="315" t="str">
        <f t="shared" si="101"/>
        <v/>
      </c>
    </row>
    <row r="4106" spans="37:44" ht="30" hidden="1" customHeight="1" x14ac:dyDescent="0.25">
      <c r="AK4106" s="313"/>
      <c r="AL4106" s="313"/>
      <c r="AM4106" s="313"/>
      <c r="AN4106" s="313"/>
      <c r="AO4106" s="313"/>
      <c r="AP4106" s="313"/>
      <c r="AQ4106" s="314"/>
      <c r="AR4106" s="315" t="str">
        <f t="shared" si="101"/>
        <v/>
      </c>
    </row>
    <row r="4107" spans="37:44" ht="30" hidden="1" customHeight="1" x14ac:dyDescent="0.25">
      <c r="AK4107" s="313"/>
      <c r="AL4107" s="313"/>
      <c r="AM4107" s="313"/>
      <c r="AN4107" s="313"/>
      <c r="AO4107" s="313"/>
      <c r="AP4107" s="313"/>
      <c r="AQ4107" s="314"/>
      <c r="AR4107" s="315" t="str">
        <f t="shared" si="101"/>
        <v/>
      </c>
    </row>
    <row r="4108" spans="37:44" ht="30" hidden="1" customHeight="1" x14ac:dyDescent="0.25">
      <c r="AK4108" s="313"/>
      <c r="AL4108" s="313"/>
      <c r="AM4108" s="313"/>
      <c r="AN4108" s="313"/>
      <c r="AO4108" s="313"/>
      <c r="AP4108" s="313"/>
      <c r="AQ4108" s="314"/>
      <c r="AR4108" s="315" t="str">
        <f t="shared" si="101"/>
        <v/>
      </c>
    </row>
    <row r="4109" spans="37:44" ht="30" hidden="1" customHeight="1" x14ac:dyDescent="0.25">
      <c r="AK4109" s="313"/>
      <c r="AL4109" s="313"/>
      <c r="AM4109" s="313"/>
      <c r="AN4109" s="313"/>
      <c r="AO4109" s="313"/>
      <c r="AP4109" s="313"/>
      <c r="AQ4109" s="314"/>
      <c r="AR4109" s="315" t="str">
        <f t="shared" si="101"/>
        <v/>
      </c>
    </row>
    <row r="4110" spans="37:44" ht="30" hidden="1" customHeight="1" x14ac:dyDescent="0.25">
      <c r="AK4110" s="313"/>
      <c r="AL4110" s="313"/>
      <c r="AM4110" s="313"/>
      <c r="AN4110" s="313"/>
      <c r="AO4110" s="313"/>
      <c r="AP4110" s="313"/>
      <c r="AQ4110" s="314"/>
      <c r="AR4110" s="315" t="str">
        <f t="shared" si="101"/>
        <v/>
      </c>
    </row>
    <row r="4111" spans="37:44" ht="30" hidden="1" customHeight="1" x14ac:dyDescent="0.25">
      <c r="AK4111" s="313"/>
      <c r="AL4111" s="313"/>
      <c r="AM4111" s="313"/>
      <c r="AN4111" s="313"/>
      <c r="AO4111" s="313"/>
      <c r="AP4111" s="313"/>
      <c r="AQ4111" s="314"/>
      <c r="AR4111" s="315" t="str">
        <f t="shared" si="101"/>
        <v/>
      </c>
    </row>
    <row r="4112" spans="37:44" ht="30" hidden="1" customHeight="1" x14ac:dyDescent="0.25">
      <c r="AK4112" s="313"/>
      <c r="AL4112" s="313"/>
      <c r="AM4112" s="313"/>
      <c r="AN4112" s="313"/>
      <c r="AO4112" s="313"/>
      <c r="AP4112" s="313"/>
      <c r="AQ4112" s="314"/>
      <c r="AR4112" s="315" t="str">
        <f t="shared" si="101"/>
        <v/>
      </c>
    </row>
    <row r="4113" spans="37:44" ht="30" hidden="1" customHeight="1" x14ac:dyDescent="0.25">
      <c r="AK4113" s="313"/>
      <c r="AL4113" s="313"/>
      <c r="AM4113" s="313"/>
      <c r="AN4113" s="313"/>
      <c r="AO4113" s="313"/>
      <c r="AP4113" s="313"/>
      <c r="AQ4113" s="314"/>
      <c r="AR4113" s="315" t="str">
        <f t="shared" si="101"/>
        <v/>
      </c>
    </row>
    <row r="4114" spans="37:44" ht="30" hidden="1" customHeight="1" x14ac:dyDescent="0.25">
      <c r="AK4114" s="313"/>
      <c r="AL4114" s="313"/>
      <c r="AM4114" s="313"/>
      <c r="AN4114" s="313"/>
      <c r="AO4114" s="313"/>
      <c r="AP4114" s="313"/>
      <c r="AQ4114" s="314"/>
      <c r="AR4114" s="315" t="str">
        <f t="shared" si="101"/>
        <v/>
      </c>
    </row>
    <row r="4115" spans="37:44" ht="30" hidden="1" customHeight="1" x14ac:dyDescent="0.25">
      <c r="AK4115" s="313"/>
      <c r="AL4115" s="313"/>
      <c r="AM4115" s="313"/>
      <c r="AN4115" s="313"/>
      <c r="AO4115" s="313"/>
      <c r="AP4115" s="313"/>
      <c r="AQ4115" s="314"/>
      <c r="AR4115" s="315" t="str">
        <f t="shared" si="101"/>
        <v/>
      </c>
    </row>
    <row r="4116" spans="37:44" ht="30" hidden="1" customHeight="1" x14ac:dyDescent="0.25">
      <c r="AK4116" s="313"/>
      <c r="AL4116" s="313"/>
      <c r="AM4116" s="313"/>
      <c r="AN4116" s="313"/>
      <c r="AO4116" s="313"/>
      <c r="AP4116" s="313"/>
      <c r="AQ4116" s="314"/>
      <c r="AR4116" s="315" t="str">
        <f t="shared" si="101"/>
        <v/>
      </c>
    </row>
    <row r="4117" spans="37:44" ht="30" hidden="1" customHeight="1" x14ac:dyDescent="0.25">
      <c r="AK4117" s="313"/>
      <c r="AL4117" s="313"/>
      <c r="AM4117" s="313"/>
      <c r="AN4117" s="313"/>
      <c r="AO4117" s="313"/>
      <c r="AP4117" s="313"/>
      <c r="AQ4117" s="314"/>
      <c r="AR4117" s="315" t="str">
        <f t="shared" si="101"/>
        <v/>
      </c>
    </row>
    <row r="4118" spans="37:44" ht="30" hidden="1" customHeight="1" x14ac:dyDescent="0.25">
      <c r="AK4118" s="313"/>
      <c r="AL4118" s="313"/>
      <c r="AM4118" s="313"/>
      <c r="AN4118" s="313"/>
      <c r="AO4118" s="313"/>
      <c r="AP4118" s="313"/>
      <c r="AQ4118" s="314"/>
      <c r="AR4118" s="315" t="str">
        <f t="shared" si="101"/>
        <v/>
      </c>
    </row>
    <row r="4119" spans="37:44" ht="30" hidden="1" customHeight="1" x14ac:dyDescent="0.25">
      <c r="AK4119" s="313"/>
      <c r="AL4119" s="313"/>
      <c r="AM4119" s="313"/>
      <c r="AN4119" s="313"/>
      <c r="AO4119" s="313"/>
      <c r="AP4119" s="313"/>
      <c r="AQ4119" s="314"/>
      <c r="AR4119" s="315" t="str">
        <f t="shared" si="101"/>
        <v/>
      </c>
    </row>
    <row r="4120" spans="37:44" ht="30" hidden="1" customHeight="1" x14ac:dyDescent="0.25">
      <c r="AK4120" s="313"/>
      <c r="AL4120" s="313"/>
      <c r="AM4120" s="313"/>
      <c r="AN4120" s="313"/>
      <c r="AO4120" s="313"/>
      <c r="AP4120" s="313"/>
      <c r="AQ4120" s="314"/>
      <c r="AR4120" s="315" t="str">
        <f t="shared" si="101"/>
        <v/>
      </c>
    </row>
    <row r="4121" spans="37:44" ht="30" hidden="1" customHeight="1" x14ac:dyDescent="0.25">
      <c r="AK4121" s="313"/>
      <c r="AL4121" s="313"/>
      <c r="AM4121" s="313"/>
      <c r="AN4121" s="313"/>
      <c r="AO4121" s="313"/>
      <c r="AP4121" s="313"/>
      <c r="AQ4121" s="314"/>
      <c r="AR4121" s="315" t="str">
        <f t="shared" si="101"/>
        <v/>
      </c>
    </row>
    <row r="4122" spans="37:44" ht="30" hidden="1" customHeight="1" x14ac:dyDescent="0.25">
      <c r="AK4122" s="313"/>
      <c r="AL4122" s="313"/>
      <c r="AM4122" s="313"/>
      <c r="AN4122" s="313"/>
      <c r="AO4122" s="313"/>
      <c r="AP4122" s="313"/>
      <c r="AQ4122" s="314"/>
      <c r="AR4122" s="315" t="str">
        <f t="shared" si="101"/>
        <v/>
      </c>
    </row>
    <row r="4123" spans="37:44" ht="30" hidden="1" customHeight="1" x14ac:dyDescent="0.25">
      <c r="AK4123" s="313"/>
      <c r="AL4123" s="313"/>
      <c r="AM4123" s="313"/>
      <c r="AN4123" s="313"/>
      <c r="AO4123" s="313"/>
      <c r="AP4123" s="313"/>
      <c r="AQ4123" s="314"/>
      <c r="AR4123" s="315" t="str">
        <f t="shared" si="101"/>
        <v/>
      </c>
    </row>
    <row r="4124" spans="37:44" ht="30" hidden="1" customHeight="1" x14ac:dyDescent="0.25">
      <c r="AK4124" s="313"/>
      <c r="AL4124" s="313"/>
      <c r="AM4124" s="313"/>
      <c r="AN4124" s="313"/>
      <c r="AO4124" s="313"/>
      <c r="AP4124" s="313"/>
      <c r="AQ4124" s="314"/>
      <c r="AR4124" s="315" t="str">
        <f t="shared" si="101"/>
        <v/>
      </c>
    </row>
    <row r="4125" spans="37:44" ht="30" hidden="1" customHeight="1" x14ac:dyDescent="0.25">
      <c r="AK4125" s="313"/>
      <c r="AL4125" s="313"/>
      <c r="AM4125" s="313"/>
      <c r="AN4125" s="313"/>
      <c r="AO4125" s="313"/>
      <c r="AP4125" s="313"/>
      <c r="AQ4125" s="314"/>
      <c r="AR4125" s="315" t="str">
        <f t="shared" si="101"/>
        <v/>
      </c>
    </row>
    <row r="4126" spans="37:44" ht="30" hidden="1" customHeight="1" x14ac:dyDescent="0.25">
      <c r="AK4126" s="313"/>
      <c r="AL4126" s="313"/>
      <c r="AM4126" s="313"/>
      <c r="AN4126" s="313"/>
      <c r="AO4126" s="313"/>
      <c r="AP4126" s="313"/>
      <c r="AQ4126" s="314"/>
      <c r="AR4126" s="315" t="str">
        <f t="shared" si="101"/>
        <v/>
      </c>
    </row>
    <row r="4127" spans="37:44" ht="30" hidden="1" customHeight="1" x14ac:dyDescent="0.25">
      <c r="AK4127" s="313"/>
      <c r="AL4127" s="313"/>
      <c r="AM4127" s="313"/>
      <c r="AN4127" s="313"/>
      <c r="AO4127" s="313"/>
      <c r="AP4127" s="313"/>
      <c r="AQ4127" s="314"/>
      <c r="AR4127" s="315" t="str">
        <f t="shared" si="101"/>
        <v/>
      </c>
    </row>
    <row r="4128" spans="37:44" ht="30" hidden="1" customHeight="1" x14ac:dyDescent="0.25">
      <c r="AK4128" s="313"/>
      <c r="AL4128" s="313"/>
      <c r="AM4128" s="313"/>
      <c r="AN4128" s="313"/>
      <c r="AO4128" s="313"/>
      <c r="AP4128" s="313"/>
      <c r="AQ4128" s="314"/>
      <c r="AR4128" s="315" t="str">
        <f t="shared" si="101"/>
        <v/>
      </c>
    </row>
    <row r="4129" spans="37:44" ht="30" hidden="1" customHeight="1" x14ac:dyDescent="0.25">
      <c r="AK4129" s="313"/>
      <c r="AL4129" s="313"/>
      <c r="AM4129" s="313"/>
      <c r="AN4129" s="313"/>
      <c r="AO4129" s="313"/>
      <c r="AP4129" s="313"/>
      <c r="AQ4129" s="314"/>
      <c r="AR4129" s="315" t="str">
        <f t="shared" si="101"/>
        <v/>
      </c>
    </row>
    <row r="4130" spans="37:44" ht="30" hidden="1" customHeight="1" x14ac:dyDescent="0.25">
      <c r="AK4130" s="313"/>
      <c r="AL4130" s="313"/>
      <c r="AM4130" s="313"/>
      <c r="AN4130" s="313"/>
      <c r="AO4130" s="313"/>
      <c r="AP4130" s="313"/>
      <c r="AQ4130" s="314"/>
      <c r="AR4130" s="315" t="str">
        <f t="shared" si="101"/>
        <v/>
      </c>
    </row>
    <row r="4131" spans="37:44" ht="30" hidden="1" customHeight="1" x14ac:dyDescent="0.25">
      <c r="AK4131" s="313"/>
      <c r="AL4131" s="313"/>
      <c r="AM4131" s="313"/>
      <c r="AN4131" s="313"/>
      <c r="AO4131" s="313"/>
      <c r="AP4131" s="313"/>
      <c r="AQ4131" s="314"/>
      <c r="AR4131" s="315" t="str">
        <f t="shared" si="101"/>
        <v/>
      </c>
    </row>
    <row r="4132" spans="37:44" ht="30" hidden="1" customHeight="1" x14ac:dyDescent="0.25">
      <c r="AK4132" s="313"/>
      <c r="AL4132" s="313"/>
      <c r="AM4132" s="313"/>
      <c r="AN4132" s="313"/>
      <c r="AO4132" s="313"/>
      <c r="AP4132" s="313"/>
      <c r="AQ4132" s="314"/>
      <c r="AR4132" s="315" t="str">
        <f t="shared" si="101"/>
        <v/>
      </c>
    </row>
    <row r="4133" spans="37:44" ht="30" hidden="1" customHeight="1" x14ac:dyDescent="0.25">
      <c r="AK4133" s="313"/>
      <c r="AL4133" s="313"/>
      <c r="AM4133" s="313"/>
      <c r="AN4133" s="313"/>
      <c r="AO4133" s="313"/>
      <c r="AP4133" s="313"/>
      <c r="AQ4133" s="314"/>
      <c r="AR4133" s="315" t="str">
        <f t="shared" si="101"/>
        <v/>
      </c>
    </row>
    <row r="4134" spans="37:44" ht="30" hidden="1" customHeight="1" x14ac:dyDescent="0.25">
      <c r="AK4134" s="313"/>
      <c r="AL4134" s="313"/>
      <c r="AM4134" s="313"/>
      <c r="AN4134" s="313"/>
      <c r="AO4134" s="313"/>
      <c r="AP4134" s="313"/>
      <c r="AQ4134" s="314"/>
      <c r="AR4134" s="315" t="str">
        <f t="shared" si="101"/>
        <v/>
      </c>
    </row>
    <row r="4135" spans="37:44" ht="30" hidden="1" customHeight="1" x14ac:dyDescent="0.25">
      <c r="AK4135" s="313"/>
      <c r="AL4135" s="313"/>
      <c r="AM4135" s="313"/>
      <c r="AN4135" s="313"/>
      <c r="AO4135" s="313"/>
      <c r="AP4135" s="313"/>
      <c r="AQ4135" s="314"/>
      <c r="AR4135" s="315" t="str">
        <f t="shared" si="101"/>
        <v/>
      </c>
    </row>
    <row r="4136" spans="37:44" ht="30" hidden="1" customHeight="1" x14ac:dyDescent="0.25">
      <c r="AK4136" s="313"/>
      <c r="AL4136" s="313"/>
      <c r="AM4136" s="313"/>
      <c r="AN4136" s="313"/>
      <c r="AO4136" s="313"/>
      <c r="AP4136" s="313"/>
      <c r="AQ4136" s="314"/>
      <c r="AR4136" s="315" t="str">
        <f t="shared" si="101"/>
        <v/>
      </c>
    </row>
    <row r="4137" spans="37:44" ht="30" hidden="1" customHeight="1" x14ac:dyDescent="0.25">
      <c r="AK4137" s="313"/>
      <c r="AL4137" s="313"/>
      <c r="AM4137" s="313"/>
      <c r="AN4137" s="313"/>
      <c r="AO4137" s="313"/>
      <c r="AP4137" s="313"/>
      <c r="AQ4137" s="314"/>
      <c r="AR4137" s="315" t="str">
        <f t="shared" si="101"/>
        <v/>
      </c>
    </row>
    <row r="4138" spans="37:44" ht="30" hidden="1" customHeight="1" x14ac:dyDescent="0.25">
      <c r="AK4138" s="313"/>
      <c r="AL4138" s="313"/>
      <c r="AM4138" s="313"/>
      <c r="AN4138" s="313"/>
      <c r="AO4138" s="313"/>
      <c r="AP4138" s="313"/>
      <c r="AQ4138" s="314"/>
      <c r="AR4138" s="315" t="str">
        <f t="shared" si="101"/>
        <v/>
      </c>
    </row>
    <row r="4139" spans="37:44" ht="30" hidden="1" customHeight="1" x14ac:dyDescent="0.25">
      <c r="AK4139" s="313"/>
      <c r="AL4139" s="313"/>
      <c r="AM4139" s="313"/>
      <c r="AN4139" s="313"/>
      <c r="AO4139" s="313"/>
      <c r="AP4139" s="313"/>
      <c r="AQ4139" s="314"/>
      <c r="AR4139" s="315" t="str">
        <f t="shared" si="101"/>
        <v/>
      </c>
    </row>
    <row r="4140" spans="37:44" ht="30" hidden="1" customHeight="1" x14ac:dyDescent="0.25">
      <c r="AK4140" s="313"/>
      <c r="AL4140" s="313"/>
      <c r="AM4140" s="313"/>
      <c r="AN4140" s="313"/>
      <c r="AO4140" s="313"/>
      <c r="AP4140" s="313"/>
      <c r="AQ4140" s="314"/>
      <c r="AR4140" s="315" t="str">
        <f t="shared" si="101"/>
        <v/>
      </c>
    </row>
    <row r="4141" spans="37:44" ht="30" hidden="1" customHeight="1" x14ac:dyDescent="0.25">
      <c r="AK4141" s="313"/>
      <c r="AL4141" s="313"/>
      <c r="AM4141" s="313"/>
      <c r="AN4141" s="313"/>
      <c r="AO4141" s="313"/>
      <c r="AP4141" s="313"/>
      <c r="AQ4141" s="314"/>
      <c r="AR4141" s="315" t="str">
        <f t="shared" si="101"/>
        <v/>
      </c>
    </row>
    <row r="4142" spans="37:44" ht="30" hidden="1" customHeight="1" x14ac:dyDescent="0.25">
      <c r="AK4142" s="313"/>
      <c r="AL4142" s="313"/>
      <c r="AM4142" s="313"/>
      <c r="AN4142" s="313"/>
      <c r="AO4142" s="313"/>
      <c r="AP4142" s="313"/>
      <c r="AQ4142" s="314"/>
      <c r="AR4142" s="315" t="str">
        <f t="shared" si="101"/>
        <v/>
      </c>
    </row>
    <row r="4143" spans="37:44" ht="30" hidden="1" customHeight="1" x14ac:dyDescent="0.25">
      <c r="AK4143" s="313"/>
      <c r="AL4143" s="313"/>
      <c r="AM4143" s="313"/>
      <c r="AN4143" s="313"/>
      <c r="AO4143" s="313"/>
      <c r="AP4143" s="313"/>
      <c r="AQ4143" s="314"/>
      <c r="AR4143" s="315" t="str">
        <f t="shared" si="101"/>
        <v/>
      </c>
    </row>
    <row r="4144" spans="37:44" ht="30" hidden="1" customHeight="1" x14ac:dyDescent="0.25">
      <c r="AK4144" s="313"/>
      <c r="AL4144" s="313"/>
      <c r="AM4144" s="313"/>
      <c r="AN4144" s="313"/>
      <c r="AO4144" s="313"/>
      <c r="AP4144" s="313"/>
      <c r="AQ4144" s="314"/>
      <c r="AR4144" s="315" t="str">
        <f t="shared" si="101"/>
        <v/>
      </c>
    </row>
    <row r="4145" spans="37:44" ht="30" hidden="1" customHeight="1" x14ac:dyDescent="0.25">
      <c r="AK4145" s="313"/>
      <c r="AL4145" s="313"/>
      <c r="AM4145" s="313"/>
      <c r="AN4145" s="313"/>
      <c r="AO4145" s="313"/>
      <c r="AP4145" s="313"/>
      <c r="AQ4145" s="314"/>
      <c r="AR4145" s="315" t="str">
        <f t="shared" si="101"/>
        <v/>
      </c>
    </row>
    <row r="4146" spans="37:44" ht="30" hidden="1" customHeight="1" x14ac:dyDescent="0.25">
      <c r="AK4146" s="313"/>
      <c r="AL4146" s="313"/>
      <c r="AM4146" s="313"/>
      <c r="AN4146" s="313"/>
      <c r="AO4146" s="313"/>
      <c r="AP4146" s="313"/>
      <c r="AQ4146" s="314"/>
      <c r="AR4146" s="315" t="str">
        <f t="shared" si="101"/>
        <v/>
      </c>
    </row>
    <row r="4147" spans="37:44" ht="30" hidden="1" customHeight="1" x14ac:dyDescent="0.25">
      <c r="AK4147" s="313"/>
      <c r="AL4147" s="313"/>
      <c r="AM4147" s="313"/>
      <c r="AN4147" s="313"/>
      <c r="AO4147" s="313"/>
      <c r="AP4147" s="313"/>
      <c r="AQ4147" s="314"/>
      <c r="AR4147" s="315" t="str">
        <f t="shared" si="101"/>
        <v/>
      </c>
    </row>
    <row r="4148" spans="37:44" ht="30" hidden="1" customHeight="1" x14ac:dyDescent="0.25">
      <c r="AK4148" s="313"/>
      <c r="AL4148" s="313"/>
      <c r="AM4148" s="313"/>
      <c r="AN4148" s="313"/>
      <c r="AO4148" s="313"/>
      <c r="AP4148" s="313"/>
      <c r="AQ4148" s="314"/>
      <c r="AR4148" s="315" t="str">
        <f t="shared" si="101"/>
        <v/>
      </c>
    </row>
    <row r="4149" spans="37:44" ht="30" hidden="1" customHeight="1" x14ac:dyDescent="0.25">
      <c r="AK4149" s="313"/>
      <c r="AL4149" s="313"/>
      <c r="AM4149" s="313"/>
      <c r="AN4149" s="313"/>
      <c r="AO4149" s="313"/>
      <c r="AP4149" s="313"/>
      <c r="AQ4149" s="314"/>
      <c r="AR4149" s="315" t="str">
        <f t="shared" si="101"/>
        <v/>
      </c>
    </row>
    <row r="4150" spans="37:44" ht="30" hidden="1" customHeight="1" x14ac:dyDescent="0.25">
      <c r="AK4150" s="313"/>
      <c r="AL4150" s="313"/>
      <c r="AM4150" s="313"/>
      <c r="AN4150" s="313"/>
      <c r="AO4150" s="313"/>
      <c r="AP4150" s="313"/>
      <c r="AQ4150" s="314"/>
      <c r="AR4150" s="315" t="str">
        <f t="shared" si="101"/>
        <v/>
      </c>
    </row>
    <row r="4151" spans="37:44" ht="30" hidden="1" customHeight="1" x14ac:dyDescent="0.25">
      <c r="AK4151" s="313"/>
      <c r="AL4151" s="313"/>
      <c r="AM4151" s="313"/>
      <c r="AN4151" s="313"/>
      <c r="AO4151" s="313"/>
      <c r="AP4151" s="313"/>
      <c r="AQ4151" s="314"/>
      <c r="AR4151" s="315" t="str">
        <f t="shared" si="101"/>
        <v/>
      </c>
    </row>
    <row r="4152" spans="37:44" ht="30" hidden="1" customHeight="1" x14ac:dyDescent="0.25">
      <c r="AK4152" s="313"/>
      <c r="AL4152" s="313"/>
      <c r="AM4152" s="313"/>
      <c r="AN4152" s="313"/>
      <c r="AO4152" s="313"/>
      <c r="AP4152" s="313"/>
      <c r="AQ4152" s="314"/>
      <c r="AR4152" s="315" t="str">
        <f t="shared" si="101"/>
        <v/>
      </c>
    </row>
    <row r="4153" spans="37:44" ht="30" hidden="1" customHeight="1" x14ac:dyDescent="0.25">
      <c r="AK4153" s="313"/>
      <c r="AL4153" s="313"/>
      <c r="AM4153" s="313"/>
      <c r="AN4153" s="313"/>
      <c r="AO4153" s="313"/>
      <c r="AP4153" s="313"/>
      <c r="AQ4153" s="314"/>
      <c r="AR4153" s="315" t="str">
        <f t="shared" si="101"/>
        <v/>
      </c>
    </row>
    <row r="4154" spans="37:44" ht="30" hidden="1" customHeight="1" x14ac:dyDescent="0.25">
      <c r="AK4154" s="313"/>
      <c r="AL4154" s="313"/>
      <c r="AM4154" s="313"/>
      <c r="AN4154" s="313"/>
      <c r="AO4154" s="313"/>
      <c r="AP4154" s="313"/>
      <c r="AQ4154" s="314"/>
      <c r="AR4154" s="315" t="str">
        <f t="shared" si="101"/>
        <v/>
      </c>
    </row>
    <row r="4155" spans="37:44" ht="30" hidden="1" customHeight="1" x14ac:dyDescent="0.25">
      <c r="AK4155" s="313"/>
      <c r="AL4155" s="313"/>
      <c r="AM4155" s="313"/>
      <c r="AN4155" s="313"/>
      <c r="AO4155" s="313"/>
      <c r="AP4155" s="313"/>
      <c r="AQ4155" s="314"/>
      <c r="AR4155" s="315" t="str">
        <f t="shared" si="101"/>
        <v/>
      </c>
    </row>
    <row r="4156" spans="37:44" ht="30" hidden="1" customHeight="1" x14ac:dyDescent="0.25">
      <c r="AK4156" s="313"/>
      <c r="AL4156" s="313"/>
      <c r="AM4156" s="313"/>
      <c r="AN4156" s="313"/>
      <c r="AO4156" s="313"/>
      <c r="AP4156" s="313"/>
      <c r="AQ4156" s="314"/>
      <c r="AR4156" s="315" t="str">
        <f t="shared" si="101"/>
        <v/>
      </c>
    </row>
    <row r="4157" spans="37:44" ht="30" hidden="1" customHeight="1" x14ac:dyDescent="0.25">
      <c r="AK4157" s="313"/>
      <c r="AL4157" s="313"/>
      <c r="AM4157" s="313"/>
      <c r="AN4157" s="313"/>
      <c r="AO4157" s="313"/>
      <c r="AP4157" s="313"/>
      <c r="AQ4157" s="314"/>
      <c r="AR4157" s="315" t="str">
        <f t="shared" si="101"/>
        <v/>
      </c>
    </row>
    <row r="4158" spans="37:44" ht="30" hidden="1" customHeight="1" x14ac:dyDescent="0.25">
      <c r="AK4158" s="313"/>
      <c r="AL4158" s="313"/>
      <c r="AM4158" s="313"/>
      <c r="AN4158" s="313"/>
      <c r="AO4158" s="313"/>
      <c r="AP4158" s="313"/>
      <c r="AQ4158" s="314"/>
      <c r="AR4158" s="315" t="str">
        <f t="shared" si="101"/>
        <v/>
      </c>
    </row>
    <row r="4159" spans="37:44" ht="30" hidden="1" customHeight="1" x14ac:dyDescent="0.25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02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 x14ac:dyDescent="0.25">
      <c r="AK4160" s="313"/>
      <c r="AL4160" s="313"/>
      <c r="AM4160" s="313"/>
      <c r="AN4160" s="313"/>
      <c r="AO4160" s="313"/>
      <c r="AP4160" s="313"/>
      <c r="AQ4160" s="314"/>
      <c r="AR4160" s="315" t="str">
        <f t="shared" si="102"/>
        <v/>
      </c>
    </row>
    <row r="4161" spans="37:44" ht="30" hidden="1" customHeight="1" x14ac:dyDescent="0.25">
      <c r="AK4161" s="313"/>
      <c r="AL4161" s="313"/>
      <c r="AM4161" s="313"/>
      <c r="AN4161" s="313"/>
      <c r="AO4161" s="313"/>
      <c r="AP4161" s="313"/>
      <c r="AQ4161" s="314"/>
      <c r="AR4161" s="315" t="str">
        <f t="shared" si="102"/>
        <v/>
      </c>
    </row>
    <row r="4162" spans="37:44" ht="30" hidden="1" customHeight="1" x14ac:dyDescent="0.25">
      <c r="AK4162" s="313"/>
      <c r="AL4162" s="313"/>
      <c r="AM4162" s="313"/>
      <c r="AN4162" s="313"/>
      <c r="AO4162" s="313"/>
      <c r="AP4162" s="313"/>
      <c r="AQ4162" s="314"/>
      <c r="AR4162" s="315" t="str">
        <f t="shared" si="102"/>
        <v/>
      </c>
    </row>
    <row r="4163" spans="37:44" ht="30" hidden="1" customHeight="1" x14ac:dyDescent="0.25">
      <c r="AK4163" s="313"/>
      <c r="AL4163" s="313"/>
      <c r="AM4163" s="313"/>
      <c r="AN4163" s="313"/>
      <c r="AO4163" s="313"/>
      <c r="AP4163" s="313"/>
      <c r="AQ4163" s="314"/>
      <c r="AR4163" s="315" t="str">
        <f t="shared" si="102"/>
        <v/>
      </c>
    </row>
    <row r="4164" spans="37:44" ht="30" hidden="1" customHeight="1" x14ac:dyDescent="0.25">
      <c r="AK4164" s="313"/>
      <c r="AL4164" s="313"/>
      <c r="AM4164" s="313"/>
      <c r="AN4164" s="313"/>
      <c r="AO4164" s="313"/>
      <c r="AP4164" s="313"/>
      <c r="AQ4164" s="314"/>
      <c r="AR4164" s="315" t="str">
        <f t="shared" si="102"/>
        <v/>
      </c>
    </row>
    <row r="4165" spans="37:44" ht="30" hidden="1" customHeight="1" x14ac:dyDescent="0.25">
      <c r="AK4165" s="313"/>
      <c r="AL4165" s="313"/>
      <c r="AM4165" s="313"/>
      <c r="AN4165" s="313"/>
      <c r="AO4165" s="313"/>
      <c r="AP4165" s="313"/>
      <c r="AQ4165" s="314"/>
      <c r="AR4165" s="315" t="str">
        <f t="shared" si="102"/>
        <v/>
      </c>
    </row>
    <row r="4166" spans="37:44" ht="30" hidden="1" customHeight="1" x14ac:dyDescent="0.25">
      <c r="AK4166" s="313"/>
      <c r="AL4166" s="313"/>
      <c r="AM4166" s="313"/>
      <c r="AN4166" s="313"/>
      <c r="AO4166" s="313"/>
      <c r="AP4166" s="313"/>
      <c r="AQ4166" s="314"/>
      <c r="AR4166" s="315" t="str">
        <f t="shared" si="102"/>
        <v/>
      </c>
    </row>
    <row r="4167" spans="37:44" ht="30" hidden="1" customHeight="1" x14ac:dyDescent="0.25">
      <c r="AK4167" s="313"/>
      <c r="AL4167" s="313"/>
      <c r="AM4167" s="313"/>
      <c r="AN4167" s="313"/>
      <c r="AO4167" s="313"/>
      <c r="AP4167" s="313"/>
      <c r="AQ4167" s="314"/>
      <c r="AR4167" s="315" t="str">
        <f t="shared" si="102"/>
        <v/>
      </c>
    </row>
    <row r="4168" spans="37:44" ht="30" hidden="1" customHeight="1" x14ac:dyDescent="0.25">
      <c r="AK4168" s="313"/>
      <c r="AL4168" s="313"/>
      <c r="AM4168" s="313"/>
      <c r="AN4168" s="313"/>
      <c r="AO4168" s="313"/>
      <c r="AP4168" s="313"/>
      <c r="AQ4168" s="314"/>
      <c r="AR4168" s="315" t="str">
        <f t="shared" si="102"/>
        <v/>
      </c>
    </row>
    <row r="4169" spans="37:44" ht="30" hidden="1" customHeight="1" x14ac:dyDescent="0.25">
      <c r="AK4169" s="313"/>
      <c r="AL4169" s="313"/>
      <c r="AM4169" s="313"/>
      <c r="AN4169" s="313"/>
      <c r="AO4169" s="313"/>
      <c r="AP4169" s="313"/>
      <c r="AQ4169" s="314"/>
      <c r="AR4169" s="315" t="str">
        <f t="shared" si="102"/>
        <v/>
      </c>
    </row>
    <row r="4170" spans="37:44" ht="30" hidden="1" customHeight="1" x14ac:dyDescent="0.25">
      <c r="AK4170" s="313"/>
      <c r="AL4170" s="313"/>
      <c r="AM4170" s="313"/>
      <c r="AN4170" s="313"/>
      <c r="AO4170" s="313"/>
      <c r="AP4170" s="313"/>
      <c r="AQ4170" s="314"/>
      <c r="AR4170" s="315" t="str">
        <f t="shared" si="102"/>
        <v/>
      </c>
    </row>
    <row r="4171" spans="37:44" ht="30" hidden="1" customHeight="1" x14ac:dyDescent="0.25">
      <c r="AK4171" s="313"/>
      <c r="AL4171" s="313"/>
      <c r="AM4171" s="313"/>
      <c r="AN4171" s="313"/>
      <c r="AO4171" s="313"/>
      <c r="AP4171" s="313"/>
      <c r="AQ4171" s="314"/>
      <c r="AR4171" s="315" t="str">
        <f t="shared" si="102"/>
        <v/>
      </c>
    </row>
    <row r="4172" spans="37:44" ht="30" hidden="1" customHeight="1" x14ac:dyDescent="0.25">
      <c r="AK4172" s="313"/>
      <c r="AL4172" s="313"/>
      <c r="AM4172" s="313"/>
      <c r="AN4172" s="313"/>
      <c r="AO4172" s="313"/>
      <c r="AP4172" s="313"/>
      <c r="AQ4172" s="314"/>
      <c r="AR4172" s="315" t="str">
        <f t="shared" si="102"/>
        <v/>
      </c>
    </row>
    <row r="4173" spans="37:44" ht="30" hidden="1" customHeight="1" x14ac:dyDescent="0.25">
      <c r="AK4173" s="313"/>
      <c r="AL4173" s="313"/>
      <c r="AM4173" s="313"/>
      <c r="AN4173" s="313"/>
      <c r="AO4173" s="313"/>
      <c r="AP4173" s="313"/>
      <c r="AQ4173" s="314"/>
      <c r="AR4173" s="315" t="str">
        <f t="shared" si="102"/>
        <v/>
      </c>
    </row>
    <row r="4174" spans="37:44" ht="30" hidden="1" customHeight="1" x14ac:dyDescent="0.25">
      <c r="AK4174" s="313"/>
      <c r="AL4174" s="313"/>
      <c r="AM4174" s="313"/>
      <c r="AN4174" s="313"/>
      <c r="AO4174" s="313"/>
      <c r="AP4174" s="313"/>
      <c r="AQ4174" s="314"/>
      <c r="AR4174" s="315" t="str">
        <f t="shared" si="102"/>
        <v/>
      </c>
    </row>
    <row r="4175" spans="37:44" ht="30" hidden="1" customHeight="1" x14ac:dyDescent="0.25">
      <c r="AK4175" s="313"/>
      <c r="AL4175" s="313"/>
      <c r="AM4175" s="313"/>
      <c r="AN4175" s="313"/>
      <c r="AO4175" s="313"/>
      <c r="AP4175" s="313"/>
      <c r="AQ4175" s="314"/>
      <c r="AR4175" s="315" t="str">
        <f t="shared" si="102"/>
        <v/>
      </c>
    </row>
    <row r="4176" spans="37:44" ht="30" hidden="1" customHeight="1" x14ac:dyDescent="0.25">
      <c r="AK4176" s="313"/>
      <c r="AL4176" s="313"/>
      <c r="AM4176" s="313"/>
      <c r="AN4176" s="313"/>
      <c r="AO4176" s="313"/>
      <c r="AP4176" s="313"/>
      <c r="AQ4176" s="314"/>
      <c r="AR4176" s="315" t="str">
        <f t="shared" si="102"/>
        <v/>
      </c>
    </row>
    <row r="4177" spans="37:44" ht="30" hidden="1" customHeight="1" x14ac:dyDescent="0.25">
      <c r="AK4177" s="313"/>
      <c r="AL4177" s="313"/>
      <c r="AM4177" s="313"/>
      <c r="AN4177" s="313"/>
      <c r="AO4177" s="313"/>
      <c r="AP4177" s="313"/>
      <c r="AQ4177" s="314"/>
      <c r="AR4177" s="315" t="str">
        <f t="shared" si="102"/>
        <v/>
      </c>
    </row>
    <row r="4178" spans="37:44" ht="30" hidden="1" customHeight="1" x14ac:dyDescent="0.25">
      <c r="AK4178" s="313"/>
      <c r="AL4178" s="313"/>
      <c r="AM4178" s="313"/>
      <c r="AN4178" s="313"/>
      <c r="AO4178" s="313"/>
      <c r="AP4178" s="313"/>
      <c r="AQ4178" s="314"/>
      <c r="AR4178" s="315" t="str">
        <f t="shared" si="102"/>
        <v/>
      </c>
    </row>
    <row r="4179" spans="37:44" ht="30" hidden="1" customHeight="1" x14ac:dyDescent="0.25">
      <c r="AK4179" s="313"/>
      <c r="AL4179" s="313"/>
      <c r="AM4179" s="313"/>
      <c r="AN4179" s="313"/>
      <c r="AO4179" s="313"/>
      <c r="AP4179" s="313"/>
      <c r="AQ4179" s="314"/>
      <c r="AR4179" s="315" t="str">
        <f t="shared" si="102"/>
        <v/>
      </c>
    </row>
    <row r="4180" spans="37:44" ht="30" hidden="1" customHeight="1" x14ac:dyDescent="0.25">
      <c r="AK4180" s="313"/>
      <c r="AL4180" s="313"/>
      <c r="AM4180" s="313"/>
      <c r="AN4180" s="313"/>
      <c r="AO4180" s="313"/>
      <c r="AP4180" s="313"/>
      <c r="AQ4180" s="314"/>
      <c r="AR4180" s="315" t="str">
        <f t="shared" si="102"/>
        <v/>
      </c>
    </row>
    <row r="4181" spans="37:44" ht="30" hidden="1" customHeight="1" x14ac:dyDescent="0.25">
      <c r="AK4181" s="313"/>
      <c r="AL4181" s="313"/>
      <c r="AM4181" s="313"/>
      <c r="AN4181" s="313"/>
      <c r="AO4181" s="313"/>
      <c r="AP4181" s="313"/>
      <c r="AQ4181" s="314"/>
      <c r="AR4181" s="315" t="str">
        <f t="shared" si="102"/>
        <v/>
      </c>
    </row>
    <row r="4182" spans="37:44" ht="30" hidden="1" customHeight="1" x14ac:dyDescent="0.25">
      <c r="AK4182" s="313"/>
      <c r="AL4182" s="313"/>
      <c r="AM4182" s="313"/>
      <c r="AN4182" s="313"/>
      <c r="AO4182" s="313"/>
      <c r="AP4182" s="313"/>
      <c r="AQ4182" s="314"/>
      <c r="AR4182" s="315" t="str">
        <f t="shared" si="102"/>
        <v/>
      </c>
    </row>
    <row r="4183" spans="37:44" ht="30" hidden="1" customHeight="1" x14ac:dyDescent="0.25">
      <c r="AK4183" s="313"/>
      <c r="AL4183" s="313"/>
      <c r="AM4183" s="313"/>
      <c r="AN4183" s="313"/>
      <c r="AO4183" s="313"/>
      <c r="AP4183" s="313"/>
      <c r="AQ4183" s="314"/>
      <c r="AR4183" s="315" t="str">
        <f t="shared" si="102"/>
        <v/>
      </c>
    </row>
    <row r="4184" spans="37:44" ht="30" hidden="1" customHeight="1" x14ac:dyDescent="0.25">
      <c r="AK4184" s="313"/>
      <c r="AL4184" s="313"/>
      <c r="AM4184" s="313"/>
      <c r="AN4184" s="313"/>
      <c r="AO4184" s="313"/>
      <c r="AP4184" s="313"/>
      <c r="AQ4184" s="314"/>
      <c r="AR4184" s="315" t="str">
        <f t="shared" si="102"/>
        <v/>
      </c>
    </row>
    <row r="4185" spans="37:44" ht="30" hidden="1" customHeight="1" x14ac:dyDescent="0.25">
      <c r="AK4185" s="313"/>
      <c r="AL4185" s="313"/>
      <c r="AM4185" s="313"/>
      <c r="AN4185" s="313"/>
      <c r="AO4185" s="313"/>
      <c r="AP4185" s="313"/>
      <c r="AQ4185" s="314"/>
      <c r="AR4185" s="315" t="str">
        <f t="shared" si="102"/>
        <v/>
      </c>
    </row>
    <row r="4186" spans="37:44" ht="30" hidden="1" customHeight="1" x14ac:dyDescent="0.25">
      <c r="AK4186" s="313"/>
      <c r="AL4186" s="313"/>
      <c r="AM4186" s="313"/>
      <c r="AN4186" s="313"/>
      <c r="AO4186" s="313"/>
      <c r="AP4186" s="313"/>
      <c r="AQ4186" s="314"/>
      <c r="AR4186" s="315" t="str">
        <f t="shared" si="102"/>
        <v/>
      </c>
    </row>
    <row r="4187" spans="37:44" ht="30" hidden="1" customHeight="1" x14ac:dyDescent="0.25">
      <c r="AK4187" s="313"/>
      <c r="AL4187" s="313"/>
      <c r="AM4187" s="313"/>
      <c r="AN4187" s="313"/>
      <c r="AO4187" s="313"/>
      <c r="AP4187" s="313"/>
      <c r="AQ4187" s="314"/>
      <c r="AR4187" s="315" t="str">
        <f t="shared" si="102"/>
        <v/>
      </c>
    </row>
    <row r="4188" spans="37:44" ht="30" hidden="1" customHeight="1" x14ac:dyDescent="0.25">
      <c r="AK4188" s="313"/>
      <c r="AL4188" s="313"/>
      <c r="AM4188" s="313"/>
      <c r="AN4188" s="313"/>
      <c r="AO4188" s="313"/>
      <c r="AP4188" s="313"/>
      <c r="AQ4188" s="314"/>
      <c r="AR4188" s="315" t="str">
        <f t="shared" si="102"/>
        <v/>
      </c>
    </row>
    <row r="4189" spans="37:44" ht="30" hidden="1" customHeight="1" x14ac:dyDescent="0.25">
      <c r="AK4189" s="313"/>
      <c r="AL4189" s="313"/>
      <c r="AM4189" s="313"/>
      <c r="AN4189" s="313"/>
      <c r="AO4189" s="313"/>
      <c r="AP4189" s="313"/>
      <c r="AQ4189" s="314"/>
      <c r="AR4189" s="315" t="str">
        <f t="shared" si="102"/>
        <v/>
      </c>
    </row>
    <row r="4190" spans="37:44" ht="30" hidden="1" customHeight="1" x14ac:dyDescent="0.25">
      <c r="AK4190" s="313"/>
      <c r="AL4190" s="313"/>
      <c r="AM4190" s="313"/>
      <c r="AN4190" s="313"/>
      <c r="AO4190" s="313"/>
      <c r="AP4190" s="313"/>
      <c r="AQ4190" s="314"/>
      <c r="AR4190" s="315" t="str">
        <f t="shared" si="102"/>
        <v/>
      </c>
    </row>
    <row r="4191" spans="37:44" ht="30" hidden="1" customHeight="1" x14ac:dyDescent="0.25">
      <c r="AK4191" s="313"/>
      <c r="AL4191" s="313"/>
      <c r="AM4191" s="313"/>
      <c r="AN4191" s="313"/>
      <c r="AO4191" s="313"/>
      <c r="AP4191" s="313"/>
      <c r="AQ4191" s="314"/>
      <c r="AR4191" s="315" t="str">
        <f t="shared" si="102"/>
        <v/>
      </c>
    </row>
    <row r="4192" spans="37:44" ht="30" hidden="1" customHeight="1" x14ac:dyDescent="0.25">
      <c r="AK4192" s="313"/>
      <c r="AL4192" s="313"/>
      <c r="AM4192" s="313"/>
      <c r="AN4192" s="313"/>
      <c r="AO4192" s="313"/>
      <c r="AP4192" s="313"/>
      <c r="AQ4192" s="314"/>
      <c r="AR4192" s="315" t="str">
        <f t="shared" si="102"/>
        <v/>
      </c>
    </row>
    <row r="4193" spans="37:44" ht="30" hidden="1" customHeight="1" x14ac:dyDescent="0.25">
      <c r="AK4193" s="313"/>
      <c r="AL4193" s="313"/>
      <c r="AM4193" s="313"/>
      <c r="AN4193" s="313"/>
      <c r="AO4193" s="313"/>
      <c r="AP4193" s="313"/>
      <c r="AQ4193" s="314"/>
      <c r="AR4193" s="315" t="str">
        <f t="shared" si="102"/>
        <v/>
      </c>
    </row>
    <row r="4194" spans="37:44" ht="30" hidden="1" customHeight="1" x14ac:dyDescent="0.25">
      <c r="AK4194" s="313"/>
      <c r="AL4194" s="313"/>
      <c r="AM4194" s="313"/>
      <c r="AN4194" s="313"/>
      <c r="AO4194" s="313"/>
      <c r="AP4194" s="313"/>
      <c r="AQ4194" s="314"/>
      <c r="AR4194" s="315" t="str">
        <f t="shared" si="102"/>
        <v/>
      </c>
    </row>
    <row r="4195" spans="37:44" ht="30" hidden="1" customHeight="1" x14ac:dyDescent="0.25">
      <c r="AK4195" s="313"/>
      <c r="AL4195" s="313"/>
      <c r="AM4195" s="313"/>
      <c r="AN4195" s="313"/>
      <c r="AO4195" s="313"/>
      <c r="AP4195" s="313"/>
      <c r="AQ4195" s="314"/>
      <c r="AR4195" s="315" t="str">
        <f t="shared" si="102"/>
        <v/>
      </c>
    </row>
    <row r="4196" spans="37:44" ht="30" hidden="1" customHeight="1" x14ac:dyDescent="0.25">
      <c r="AK4196" s="313"/>
      <c r="AL4196" s="313"/>
      <c r="AM4196" s="313"/>
      <c r="AN4196" s="313"/>
      <c r="AO4196" s="313"/>
      <c r="AP4196" s="313"/>
      <c r="AQ4196" s="314"/>
      <c r="AR4196" s="315" t="str">
        <f t="shared" si="102"/>
        <v/>
      </c>
    </row>
    <row r="4197" spans="37:44" ht="30" hidden="1" customHeight="1" x14ac:dyDescent="0.25">
      <c r="AK4197" s="313"/>
      <c r="AL4197" s="313"/>
      <c r="AM4197" s="313"/>
      <c r="AN4197" s="313"/>
      <c r="AO4197" s="313"/>
      <c r="AP4197" s="313"/>
      <c r="AQ4197" s="314"/>
      <c r="AR4197" s="315" t="str">
        <f t="shared" si="102"/>
        <v/>
      </c>
    </row>
    <row r="4198" spans="37:44" ht="30" hidden="1" customHeight="1" x14ac:dyDescent="0.25">
      <c r="AK4198" s="313"/>
      <c r="AL4198" s="313"/>
      <c r="AM4198" s="313"/>
      <c r="AN4198" s="313"/>
      <c r="AO4198" s="313"/>
      <c r="AP4198" s="313"/>
      <c r="AQ4198" s="314"/>
      <c r="AR4198" s="315" t="str">
        <f t="shared" si="102"/>
        <v/>
      </c>
    </row>
    <row r="4199" spans="37:44" ht="30" hidden="1" customHeight="1" x14ac:dyDescent="0.25">
      <c r="AK4199" s="313"/>
      <c r="AL4199" s="313"/>
      <c r="AM4199" s="313"/>
      <c r="AN4199" s="313"/>
      <c r="AO4199" s="313"/>
      <c r="AP4199" s="313"/>
      <c r="AQ4199" s="314"/>
      <c r="AR4199" s="315" t="str">
        <f t="shared" si="102"/>
        <v/>
      </c>
    </row>
    <row r="4200" spans="37:44" ht="30" hidden="1" customHeight="1" x14ac:dyDescent="0.25">
      <c r="AK4200" s="313"/>
      <c r="AL4200" s="313"/>
      <c r="AM4200" s="313"/>
      <c r="AN4200" s="313"/>
      <c r="AO4200" s="313"/>
      <c r="AP4200" s="313"/>
      <c r="AQ4200" s="314"/>
      <c r="AR4200" s="315" t="str">
        <f t="shared" si="102"/>
        <v/>
      </c>
    </row>
    <row r="4201" spans="37:44" ht="30" hidden="1" customHeight="1" x14ac:dyDescent="0.25">
      <c r="AK4201" s="313"/>
      <c r="AL4201" s="313"/>
      <c r="AM4201" s="313"/>
      <c r="AN4201" s="313"/>
      <c r="AO4201" s="313"/>
      <c r="AP4201" s="313"/>
      <c r="AQ4201" s="314"/>
      <c r="AR4201" s="315" t="str">
        <f t="shared" si="102"/>
        <v/>
      </c>
    </row>
    <row r="4202" spans="37:44" ht="30" hidden="1" customHeight="1" x14ac:dyDescent="0.25">
      <c r="AK4202" s="313"/>
      <c r="AL4202" s="313"/>
      <c r="AM4202" s="313"/>
      <c r="AN4202" s="313"/>
      <c r="AO4202" s="313"/>
      <c r="AP4202" s="313"/>
      <c r="AQ4202" s="314"/>
      <c r="AR4202" s="315" t="str">
        <f t="shared" si="102"/>
        <v/>
      </c>
    </row>
    <row r="4203" spans="37:44" ht="30" hidden="1" customHeight="1" x14ac:dyDescent="0.25">
      <c r="AK4203" s="313"/>
      <c r="AL4203" s="313"/>
      <c r="AM4203" s="313"/>
      <c r="AN4203" s="313"/>
      <c r="AO4203" s="313"/>
      <c r="AP4203" s="313"/>
      <c r="AQ4203" s="314"/>
      <c r="AR4203" s="315" t="str">
        <f t="shared" si="102"/>
        <v/>
      </c>
    </row>
    <row r="4204" spans="37:44" ht="30" hidden="1" customHeight="1" x14ac:dyDescent="0.25">
      <c r="AK4204" s="313"/>
      <c r="AL4204" s="313"/>
      <c r="AM4204" s="313"/>
      <c r="AN4204" s="313"/>
      <c r="AO4204" s="313"/>
      <c r="AP4204" s="313"/>
      <c r="AQ4204" s="314"/>
      <c r="AR4204" s="315" t="str">
        <f t="shared" si="102"/>
        <v/>
      </c>
    </row>
    <row r="4205" spans="37:44" ht="30" hidden="1" customHeight="1" x14ac:dyDescent="0.25">
      <c r="AK4205" s="313"/>
      <c r="AL4205" s="313"/>
      <c r="AM4205" s="313"/>
      <c r="AN4205" s="313"/>
      <c r="AO4205" s="313"/>
      <c r="AP4205" s="313"/>
      <c r="AQ4205" s="314"/>
      <c r="AR4205" s="315" t="str">
        <f t="shared" si="102"/>
        <v/>
      </c>
    </row>
    <row r="4206" spans="37:44" ht="30" hidden="1" customHeight="1" x14ac:dyDescent="0.25">
      <c r="AK4206" s="313"/>
      <c r="AL4206" s="313"/>
      <c r="AM4206" s="313"/>
      <c r="AN4206" s="313"/>
      <c r="AO4206" s="313"/>
      <c r="AP4206" s="313"/>
      <c r="AQ4206" s="314"/>
      <c r="AR4206" s="315" t="str">
        <f t="shared" si="102"/>
        <v/>
      </c>
    </row>
    <row r="4207" spans="37:44" ht="30" hidden="1" customHeight="1" x14ac:dyDescent="0.25">
      <c r="AK4207" s="313"/>
      <c r="AL4207" s="313"/>
      <c r="AM4207" s="313"/>
      <c r="AN4207" s="313"/>
      <c r="AO4207" s="313"/>
      <c r="AP4207" s="313"/>
      <c r="AQ4207" s="314"/>
      <c r="AR4207" s="315" t="str">
        <f t="shared" si="102"/>
        <v/>
      </c>
    </row>
    <row r="4208" spans="37:44" ht="30" hidden="1" customHeight="1" x14ac:dyDescent="0.25">
      <c r="AK4208" s="313"/>
      <c r="AL4208" s="313"/>
      <c r="AM4208" s="313"/>
      <c r="AN4208" s="313"/>
      <c r="AO4208" s="313"/>
      <c r="AP4208" s="313"/>
      <c r="AQ4208" s="314"/>
      <c r="AR4208" s="315" t="str">
        <f t="shared" si="102"/>
        <v/>
      </c>
    </row>
    <row r="4209" spans="37:44" ht="30" hidden="1" customHeight="1" x14ac:dyDescent="0.25">
      <c r="AK4209" s="313"/>
      <c r="AL4209" s="313"/>
      <c r="AM4209" s="313"/>
      <c r="AN4209" s="313"/>
      <c r="AO4209" s="313"/>
      <c r="AP4209" s="313"/>
      <c r="AQ4209" s="314"/>
      <c r="AR4209" s="315" t="str">
        <f t="shared" si="102"/>
        <v/>
      </c>
    </row>
    <row r="4210" spans="37:44" ht="30" hidden="1" customHeight="1" x14ac:dyDescent="0.25">
      <c r="AK4210" s="313"/>
      <c r="AL4210" s="313"/>
      <c r="AM4210" s="313"/>
      <c r="AN4210" s="313"/>
      <c r="AO4210" s="313"/>
      <c r="AP4210" s="313"/>
      <c r="AQ4210" s="314"/>
      <c r="AR4210" s="315" t="str">
        <f t="shared" si="102"/>
        <v/>
      </c>
    </row>
    <row r="4211" spans="37:44" ht="30" hidden="1" customHeight="1" x14ac:dyDescent="0.25">
      <c r="AK4211" s="313"/>
      <c r="AL4211" s="313"/>
      <c r="AM4211" s="313"/>
      <c r="AN4211" s="313"/>
      <c r="AO4211" s="313"/>
      <c r="AP4211" s="313"/>
      <c r="AQ4211" s="314"/>
      <c r="AR4211" s="315" t="str">
        <f t="shared" si="102"/>
        <v/>
      </c>
    </row>
    <row r="4212" spans="37:44" ht="30" hidden="1" customHeight="1" x14ac:dyDescent="0.25">
      <c r="AK4212" s="313"/>
      <c r="AL4212" s="313"/>
      <c r="AM4212" s="313"/>
      <c r="AN4212" s="313"/>
      <c r="AO4212" s="313"/>
      <c r="AP4212" s="313"/>
      <c r="AQ4212" s="314"/>
      <c r="AR4212" s="315" t="str">
        <f t="shared" si="102"/>
        <v/>
      </c>
    </row>
    <row r="4213" spans="37:44" ht="30" hidden="1" customHeight="1" x14ac:dyDescent="0.25">
      <c r="AK4213" s="313"/>
      <c r="AL4213" s="313"/>
      <c r="AM4213" s="313"/>
      <c r="AN4213" s="313"/>
      <c r="AO4213" s="313"/>
      <c r="AP4213" s="313"/>
      <c r="AQ4213" s="314"/>
      <c r="AR4213" s="315" t="str">
        <f t="shared" si="102"/>
        <v/>
      </c>
    </row>
    <row r="4214" spans="37:44" ht="30" hidden="1" customHeight="1" x14ac:dyDescent="0.25">
      <c r="AK4214" s="313"/>
      <c r="AL4214" s="313"/>
      <c r="AM4214" s="313"/>
      <c r="AN4214" s="313"/>
      <c r="AO4214" s="313"/>
      <c r="AP4214" s="313"/>
      <c r="AQ4214" s="314"/>
      <c r="AR4214" s="315" t="str">
        <f t="shared" si="102"/>
        <v/>
      </c>
    </row>
    <row r="4215" spans="37:44" ht="30" hidden="1" customHeight="1" x14ac:dyDescent="0.25">
      <c r="AK4215" s="313"/>
      <c r="AL4215" s="313"/>
      <c r="AM4215" s="313"/>
      <c r="AN4215" s="313"/>
      <c r="AO4215" s="313"/>
      <c r="AP4215" s="313"/>
      <c r="AQ4215" s="314"/>
      <c r="AR4215" s="315" t="str">
        <f t="shared" si="102"/>
        <v/>
      </c>
    </row>
    <row r="4216" spans="37:44" ht="30" hidden="1" customHeight="1" x14ac:dyDescent="0.25">
      <c r="AK4216" s="313"/>
      <c r="AL4216" s="313"/>
      <c r="AM4216" s="313"/>
      <c r="AN4216" s="313"/>
      <c r="AO4216" s="313"/>
      <c r="AP4216" s="313"/>
      <c r="AQ4216" s="314"/>
      <c r="AR4216" s="315" t="str">
        <f t="shared" si="102"/>
        <v/>
      </c>
    </row>
    <row r="4217" spans="37:44" ht="30" hidden="1" customHeight="1" x14ac:dyDescent="0.25">
      <c r="AK4217" s="313"/>
      <c r="AL4217" s="313"/>
      <c r="AM4217" s="313"/>
      <c r="AN4217" s="313"/>
      <c r="AO4217" s="313"/>
      <c r="AP4217" s="313"/>
      <c r="AQ4217" s="314"/>
      <c r="AR4217" s="315" t="str">
        <f t="shared" si="102"/>
        <v/>
      </c>
    </row>
    <row r="4218" spans="37:44" ht="30" hidden="1" customHeight="1" x14ac:dyDescent="0.25">
      <c r="AK4218" s="313"/>
      <c r="AL4218" s="313"/>
      <c r="AM4218" s="313"/>
      <c r="AN4218" s="313"/>
      <c r="AO4218" s="313"/>
      <c r="AP4218" s="313"/>
      <c r="AQ4218" s="314"/>
      <c r="AR4218" s="315" t="str">
        <f t="shared" si="102"/>
        <v/>
      </c>
    </row>
    <row r="4219" spans="37:44" ht="30" hidden="1" customHeight="1" x14ac:dyDescent="0.25">
      <c r="AK4219" s="313"/>
      <c r="AL4219" s="313"/>
      <c r="AM4219" s="313"/>
      <c r="AN4219" s="313"/>
      <c r="AO4219" s="313"/>
      <c r="AP4219" s="313"/>
      <c r="AQ4219" s="314"/>
      <c r="AR4219" s="315" t="str">
        <f t="shared" si="102"/>
        <v/>
      </c>
    </row>
    <row r="4220" spans="37:44" ht="30" hidden="1" customHeight="1" x14ac:dyDescent="0.25">
      <c r="AK4220" s="313"/>
      <c r="AL4220" s="313"/>
      <c r="AM4220" s="313"/>
      <c r="AN4220" s="313"/>
      <c r="AO4220" s="313"/>
      <c r="AP4220" s="313"/>
      <c r="AQ4220" s="314"/>
      <c r="AR4220" s="315" t="str">
        <f t="shared" si="102"/>
        <v/>
      </c>
    </row>
    <row r="4221" spans="37:44" ht="30" hidden="1" customHeight="1" x14ac:dyDescent="0.25">
      <c r="AK4221" s="313"/>
      <c r="AL4221" s="313"/>
      <c r="AM4221" s="313"/>
      <c r="AN4221" s="313"/>
      <c r="AO4221" s="313"/>
      <c r="AP4221" s="313"/>
      <c r="AQ4221" s="314"/>
      <c r="AR4221" s="315" t="str">
        <f t="shared" si="102"/>
        <v/>
      </c>
    </row>
    <row r="4222" spans="37:44" ht="30" hidden="1" customHeight="1" x14ac:dyDescent="0.25">
      <c r="AK4222" s="313"/>
      <c r="AL4222" s="313"/>
      <c r="AM4222" s="313"/>
      <c r="AN4222" s="313"/>
      <c r="AO4222" s="313"/>
      <c r="AP4222" s="313"/>
      <c r="AQ4222" s="314"/>
      <c r="AR4222" s="315" t="str">
        <f t="shared" si="102"/>
        <v/>
      </c>
    </row>
    <row r="4223" spans="37:44" ht="30" hidden="1" customHeight="1" x14ac:dyDescent="0.25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03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 x14ac:dyDescent="0.25">
      <c r="AK4224" s="313"/>
      <c r="AL4224" s="313"/>
      <c r="AM4224" s="313"/>
      <c r="AN4224" s="313"/>
      <c r="AO4224" s="313"/>
      <c r="AP4224" s="313"/>
      <c r="AQ4224" s="314"/>
      <c r="AR4224" s="315" t="str">
        <f t="shared" si="103"/>
        <v/>
      </c>
    </row>
    <row r="4225" spans="37:44" ht="30" hidden="1" customHeight="1" x14ac:dyDescent="0.25">
      <c r="AK4225" s="313"/>
      <c r="AL4225" s="313"/>
      <c r="AM4225" s="313"/>
      <c r="AN4225" s="313"/>
      <c r="AO4225" s="313"/>
      <c r="AP4225" s="313"/>
      <c r="AQ4225" s="314"/>
      <c r="AR4225" s="315" t="str">
        <f t="shared" si="103"/>
        <v/>
      </c>
    </row>
    <row r="4226" spans="37:44" ht="30" hidden="1" customHeight="1" x14ac:dyDescent="0.25">
      <c r="AK4226" s="313"/>
      <c r="AL4226" s="313"/>
      <c r="AM4226" s="313"/>
      <c r="AN4226" s="313"/>
      <c r="AO4226" s="313"/>
      <c r="AP4226" s="313"/>
      <c r="AQ4226" s="314"/>
      <c r="AR4226" s="315" t="str">
        <f t="shared" si="103"/>
        <v/>
      </c>
    </row>
    <row r="4227" spans="37:44" ht="30" hidden="1" customHeight="1" x14ac:dyDescent="0.25">
      <c r="AK4227" s="313"/>
      <c r="AL4227" s="313"/>
      <c r="AM4227" s="313"/>
      <c r="AN4227" s="313"/>
      <c r="AO4227" s="313"/>
      <c r="AP4227" s="313"/>
      <c r="AQ4227" s="314"/>
      <c r="AR4227" s="315" t="str">
        <f t="shared" si="103"/>
        <v/>
      </c>
    </row>
    <row r="4228" spans="37:44" ht="30" hidden="1" customHeight="1" x14ac:dyDescent="0.25">
      <c r="AK4228" s="313"/>
      <c r="AL4228" s="313"/>
      <c r="AM4228" s="313"/>
      <c r="AN4228" s="313"/>
      <c r="AO4228" s="313"/>
      <c r="AP4228" s="313"/>
      <c r="AQ4228" s="314"/>
      <c r="AR4228" s="315" t="str">
        <f t="shared" si="103"/>
        <v/>
      </c>
    </row>
    <row r="4229" spans="37:44" ht="30" hidden="1" customHeight="1" x14ac:dyDescent="0.25">
      <c r="AK4229" s="313"/>
      <c r="AL4229" s="313"/>
      <c r="AM4229" s="313"/>
      <c r="AN4229" s="313"/>
      <c r="AO4229" s="313"/>
      <c r="AP4229" s="313"/>
      <c r="AQ4229" s="314"/>
      <c r="AR4229" s="315" t="str">
        <f t="shared" si="103"/>
        <v/>
      </c>
    </row>
    <row r="4230" spans="37:44" ht="30" hidden="1" customHeight="1" x14ac:dyDescent="0.25">
      <c r="AK4230" s="313"/>
      <c r="AL4230" s="313"/>
      <c r="AM4230" s="313"/>
      <c r="AN4230" s="313"/>
      <c r="AO4230" s="313"/>
      <c r="AP4230" s="313"/>
      <c r="AQ4230" s="314"/>
      <c r="AR4230" s="315" t="str">
        <f t="shared" si="103"/>
        <v/>
      </c>
    </row>
    <row r="4231" spans="37:44" ht="30" hidden="1" customHeight="1" x14ac:dyDescent="0.25">
      <c r="AK4231" s="313"/>
      <c r="AL4231" s="313"/>
      <c r="AM4231" s="313"/>
      <c r="AN4231" s="313"/>
      <c r="AO4231" s="313"/>
      <c r="AP4231" s="313"/>
      <c r="AQ4231" s="314"/>
      <c r="AR4231" s="315" t="str">
        <f t="shared" si="103"/>
        <v/>
      </c>
    </row>
    <row r="4232" spans="37:44" ht="30" hidden="1" customHeight="1" x14ac:dyDescent="0.25">
      <c r="AK4232" s="313"/>
      <c r="AL4232" s="313"/>
      <c r="AM4232" s="313"/>
      <c r="AN4232" s="313"/>
      <c r="AO4232" s="313"/>
      <c r="AP4232" s="313"/>
      <c r="AQ4232" s="314"/>
      <c r="AR4232" s="315" t="str">
        <f t="shared" si="103"/>
        <v/>
      </c>
    </row>
    <row r="4233" spans="37:44" ht="30" hidden="1" customHeight="1" x14ac:dyDescent="0.25">
      <c r="AK4233" s="313"/>
      <c r="AL4233" s="313"/>
      <c r="AM4233" s="313"/>
      <c r="AN4233" s="313"/>
      <c r="AO4233" s="313"/>
      <c r="AP4233" s="313"/>
      <c r="AQ4233" s="314"/>
      <c r="AR4233" s="315" t="str">
        <f t="shared" si="103"/>
        <v/>
      </c>
    </row>
    <row r="4234" spans="37:44" ht="30" hidden="1" customHeight="1" x14ac:dyDescent="0.25">
      <c r="AK4234" s="313"/>
      <c r="AL4234" s="313"/>
      <c r="AM4234" s="313"/>
      <c r="AN4234" s="313"/>
      <c r="AO4234" s="313"/>
      <c r="AP4234" s="313"/>
      <c r="AQ4234" s="314"/>
      <c r="AR4234" s="315" t="str">
        <f t="shared" si="103"/>
        <v/>
      </c>
    </row>
    <row r="4235" spans="37:44" ht="30" hidden="1" customHeight="1" x14ac:dyDescent="0.25">
      <c r="AK4235" s="313"/>
      <c r="AL4235" s="313"/>
      <c r="AM4235" s="313"/>
      <c r="AN4235" s="313"/>
      <c r="AO4235" s="313"/>
      <c r="AP4235" s="313"/>
      <c r="AQ4235" s="314"/>
      <c r="AR4235" s="315" t="str">
        <f t="shared" si="103"/>
        <v/>
      </c>
    </row>
    <row r="4236" spans="37:44" ht="30" hidden="1" customHeight="1" x14ac:dyDescent="0.25">
      <c r="AK4236" s="313"/>
      <c r="AL4236" s="313"/>
      <c r="AM4236" s="313"/>
      <c r="AN4236" s="313"/>
      <c r="AO4236" s="313"/>
      <c r="AP4236" s="313"/>
      <c r="AQ4236" s="314"/>
      <c r="AR4236" s="315" t="str">
        <f t="shared" si="103"/>
        <v/>
      </c>
    </row>
    <row r="4237" spans="37:44" ht="30" hidden="1" customHeight="1" x14ac:dyDescent="0.25">
      <c r="AK4237" s="313"/>
      <c r="AL4237" s="313"/>
      <c r="AM4237" s="313"/>
      <c r="AN4237" s="313"/>
      <c r="AO4237" s="313"/>
      <c r="AP4237" s="313"/>
      <c r="AQ4237" s="314"/>
      <c r="AR4237" s="315" t="str">
        <f t="shared" si="103"/>
        <v/>
      </c>
    </row>
    <row r="4238" spans="37:44" ht="30" hidden="1" customHeight="1" x14ac:dyDescent="0.25">
      <c r="AK4238" s="313"/>
      <c r="AL4238" s="313"/>
      <c r="AM4238" s="313"/>
      <c r="AN4238" s="313"/>
      <c r="AO4238" s="313"/>
      <c r="AP4238" s="313"/>
      <c r="AQ4238" s="314"/>
      <c r="AR4238" s="315" t="str">
        <f t="shared" si="103"/>
        <v/>
      </c>
    </row>
    <row r="4239" spans="37:44" ht="30" hidden="1" customHeight="1" x14ac:dyDescent="0.25">
      <c r="AK4239" s="313"/>
      <c r="AL4239" s="313"/>
      <c r="AM4239" s="313"/>
      <c r="AN4239" s="313"/>
      <c r="AO4239" s="313"/>
      <c r="AP4239" s="313"/>
      <c r="AQ4239" s="314"/>
      <c r="AR4239" s="315" t="str">
        <f t="shared" si="103"/>
        <v/>
      </c>
    </row>
    <row r="4240" spans="37:44" ht="30" hidden="1" customHeight="1" x14ac:dyDescent="0.25">
      <c r="AK4240" s="313"/>
      <c r="AL4240" s="313"/>
      <c r="AM4240" s="313"/>
      <c r="AN4240" s="313"/>
      <c r="AO4240" s="313"/>
      <c r="AP4240" s="313"/>
      <c r="AQ4240" s="314"/>
      <c r="AR4240" s="315" t="str">
        <f t="shared" si="103"/>
        <v/>
      </c>
    </row>
    <row r="4241" spans="37:44" ht="30" hidden="1" customHeight="1" x14ac:dyDescent="0.25">
      <c r="AK4241" s="313"/>
      <c r="AL4241" s="313"/>
      <c r="AM4241" s="313"/>
      <c r="AN4241" s="313"/>
      <c r="AO4241" s="313"/>
      <c r="AP4241" s="313"/>
      <c r="AQ4241" s="314"/>
      <c r="AR4241" s="315" t="str">
        <f t="shared" si="103"/>
        <v/>
      </c>
    </row>
    <row r="4242" spans="37:44" ht="30" hidden="1" customHeight="1" x14ac:dyDescent="0.25">
      <c r="AK4242" s="313"/>
      <c r="AL4242" s="313"/>
      <c r="AM4242" s="313"/>
      <c r="AN4242" s="313"/>
      <c r="AO4242" s="313"/>
      <c r="AP4242" s="313"/>
      <c r="AQ4242" s="314"/>
      <c r="AR4242" s="315" t="str">
        <f t="shared" si="103"/>
        <v/>
      </c>
    </row>
    <row r="4243" spans="37:44" ht="30" hidden="1" customHeight="1" x14ac:dyDescent="0.25">
      <c r="AK4243" s="313"/>
      <c r="AL4243" s="313"/>
      <c r="AM4243" s="313"/>
      <c r="AN4243" s="313"/>
      <c r="AO4243" s="313"/>
      <c r="AP4243" s="313"/>
      <c r="AQ4243" s="314"/>
      <c r="AR4243" s="315" t="str">
        <f t="shared" si="103"/>
        <v/>
      </c>
    </row>
    <row r="4244" spans="37:44" ht="30" hidden="1" customHeight="1" x14ac:dyDescent="0.25">
      <c r="AK4244" s="313"/>
      <c r="AL4244" s="313"/>
      <c r="AM4244" s="313"/>
      <c r="AN4244" s="313"/>
      <c r="AO4244" s="313"/>
      <c r="AP4244" s="313"/>
      <c r="AQ4244" s="314"/>
      <c r="AR4244" s="315" t="str">
        <f t="shared" si="103"/>
        <v/>
      </c>
    </row>
    <row r="4245" spans="37:44" ht="30" hidden="1" customHeight="1" x14ac:dyDescent="0.25">
      <c r="AK4245" s="313"/>
      <c r="AL4245" s="313"/>
      <c r="AM4245" s="313"/>
      <c r="AN4245" s="313"/>
      <c r="AO4245" s="313"/>
      <c r="AP4245" s="313"/>
      <c r="AQ4245" s="314"/>
      <c r="AR4245" s="315" t="str">
        <f t="shared" si="103"/>
        <v/>
      </c>
    </row>
    <row r="4246" spans="37:44" ht="30" hidden="1" customHeight="1" x14ac:dyDescent="0.25">
      <c r="AK4246" s="313"/>
      <c r="AL4246" s="313"/>
      <c r="AM4246" s="313"/>
      <c r="AN4246" s="313"/>
      <c r="AO4246" s="313"/>
      <c r="AP4246" s="313"/>
      <c r="AQ4246" s="314"/>
      <c r="AR4246" s="315" t="str">
        <f t="shared" si="103"/>
        <v/>
      </c>
    </row>
    <row r="4247" spans="37:44" ht="30" hidden="1" customHeight="1" x14ac:dyDescent="0.25">
      <c r="AK4247" s="313"/>
      <c r="AL4247" s="313"/>
      <c r="AM4247" s="313"/>
      <c r="AN4247" s="313"/>
      <c r="AO4247" s="313"/>
      <c r="AP4247" s="313"/>
      <c r="AQ4247" s="314"/>
      <c r="AR4247" s="315" t="str">
        <f t="shared" si="103"/>
        <v/>
      </c>
    </row>
    <row r="4248" spans="37:44" ht="30" hidden="1" customHeight="1" x14ac:dyDescent="0.25">
      <c r="AK4248" s="313"/>
      <c r="AL4248" s="313"/>
      <c r="AM4248" s="313"/>
      <c r="AN4248" s="313"/>
      <c r="AO4248" s="313"/>
      <c r="AP4248" s="313"/>
      <c r="AQ4248" s="314"/>
      <c r="AR4248" s="315" t="str">
        <f t="shared" si="103"/>
        <v/>
      </c>
    </row>
    <row r="4249" spans="37:44" ht="30" hidden="1" customHeight="1" x14ac:dyDescent="0.25">
      <c r="AK4249" s="313"/>
      <c r="AL4249" s="313"/>
      <c r="AM4249" s="313"/>
      <c r="AN4249" s="313"/>
      <c r="AO4249" s="313"/>
      <c r="AP4249" s="313"/>
      <c r="AQ4249" s="314"/>
      <c r="AR4249" s="315" t="str">
        <f t="shared" si="103"/>
        <v/>
      </c>
    </row>
    <row r="4250" spans="37:44" ht="30" hidden="1" customHeight="1" x14ac:dyDescent="0.25">
      <c r="AK4250" s="313"/>
      <c r="AL4250" s="313"/>
      <c r="AM4250" s="313"/>
      <c r="AN4250" s="313"/>
      <c r="AO4250" s="313"/>
      <c r="AP4250" s="313"/>
      <c r="AQ4250" s="314"/>
      <c r="AR4250" s="315" t="str">
        <f t="shared" si="103"/>
        <v/>
      </c>
    </row>
    <row r="4251" spans="37:44" ht="30" hidden="1" customHeight="1" x14ac:dyDescent="0.25">
      <c r="AK4251" s="313"/>
      <c r="AL4251" s="313"/>
      <c r="AM4251" s="313"/>
      <c r="AN4251" s="313"/>
      <c r="AO4251" s="313"/>
      <c r="AP4251" s="313"/>
      <c r="AQ4251" s="314"/>
      <c r="AR4251" s="315" t="str">
        <f t="shared" si="103"/>
        <v/>
      </c>
    </row>
    <row r="4252" spans="37:44" ht="30" hidden="1" customHeight="1" x14ac:dyDescent="0.25">
      <c r="AK4252" s="313"/>
      <c r="AL4252" s="313"/>
      <c r="AM4252" s="313"/>
      <c r="AN4252" s="313"/>
      <c r="AO4252" s="313"/>
      <c r="AP4252" s="313"/>
      <c r="AQ4252" s="314"/>
      <c r="AR4252" s="315" t="str">
        <f t="shared" si="103"/>
        <v/>
      </c>
    </row>
    <row r="4253" spans="37:44" ht="30" hidden="1" customHeight="1" x14ac:dyDescent="0.25">
      <c r="AK4253" s="313"/>
      <c r="AL4253" s="313"/>
      <c r="AM4253" s="313"/>
      <c r="AN4253" s="313"/>
      <c r="AO4253" s="313"/>
      <c r="AP4253" s="313"/>
      <c r="AQ4253" s="314"/>
      <c r="AR4253" s="315" t="str">
        <f t="shared" si="103"/>
        <v/>
      </c>
    </row>
    <row r="4254" spans="37:44" ht="30" hidden="1" customHeight="1" x14ac:dyDescent="0.25">
      <c r="AK4254" s="313"/>
      <c r="AL4254" s="313"/>
      <c r="AM4254" s="313"/>
      <c r="AN4254" s="313"/>
      <c r="AO4254" s="313"/>
      <c r="AP4254" s="313"/>
      <c r="AQ4254" s="314"/>
      <c r="AR4254" s="315" t="str">
        <f t="shared" si="103"/>
        <v/>
      </c>
    </row>
    <row r="4255" spans="37:44" ht="30" hidden="1" customHeight="1" x14ac:dyDescent="0.25">
      <c r="AK4255" s="313"/>
      <c r="AL4255" s="313"/>
      <c r="AM4255" s="313"/>
      <c r="AN4255" s="313"/>
      <c r="AO4255" s="313"/>
      <c r="AP4255" s="313"/>
      <c r="AQ4255" s="314"/>
      <c r="AR4255" s="315" t="str">
        <f t="shared" si="103"/>
        <v/>
      </c>
    </row>
    <row r="4256" spans="37:44" ht="30" hidden="1" customHeight="1" x14ac:dyDescent="0.25">
      <c r="AK4256" s="313"/>
      <c r="AL4256" s="313"/>
      <c r="AM4256" s="313"/>
      <c r="AN4256" s="313"/>
      <c r="AO4256" s="313"/>
      <c r="AP4256" s="313"/>
      <c r="AQ4256" s="314"/>
      <c r="AR4256" s="315" t="str">
        <f t="shared" si="103"/>
        <v/>
      </c>
    </row>
    <row r="4257" spans="37:44" ht="30" hidden="1" customHeight="1" x14ac:dyDescent="0.25">
      <c r="AK4257" s="313"/>
      <c r="AL4257" s="313"/>
      <c r="AM4257" s="313"/>
      <c r="AN4257" s="313"/>
      <c r="AO4257" s="313"/>
      <c r="AP4257" s="313"/>
      <c r="AQ4257" s="314"/>
      <c r="AR4257" s="315" t="str">
        <f t="shared" si="103"/>
        <v/>
      </c>
    </row>
    <row r="4258" spans="37:44" ht="30" hidden="1" customHeight="1" x14ac:dyDescent="0.25">
      <c r="AK4258" s="313"/>
      <c r="AL4258" s="313"/>
      <c r="AM4258" s="313"/>
      <c r="AN4258" s="313"/>
      <c r="AO4258" s="313"/>
      <c r="AP4258" s="313"/>
      <c r="AQ4258" s="314"/>
      <c r="AR4258" s="315" t="str">
        <f t="shared" si="103"/>
        <v/>
      </c>
    </row>
    <row r="4259" spans="37:44" ht="30" hidden="1" customHeight="1" x14ac:dyDescent="0.25">
      <c r="AK4259" s="313"/>
      <c r="AL4259" s="313"/>
      <c r="AM4259" s="313"/>
      <c r="AN4259" s="313"/>
      <c r="AO4259" s="313"/>
      <c r="AP4259" s="313"/>
      <c r="AQ4259" s="314"/>
      <c r="AR4259" s="315" t="str">
        <f t="shared" si="103"/>
        <v/>
      </c>
    </row>
    <row r="4260" spans="37:44" ht="30" hidden="1" customHeight="1" x14ac:dyDescent="0.25">
      <c r="AK4260" s="313"/>
      <c r="AL4260" s="313"/>
      <c r="AM4260" s="313"/>
      <c r="AN4260" s="313"/>
      <c r="AO4260" s="313"/>
      <c r="AP4260" s="313"/>
      <c r="AQ4260" s="314"/>
      <c r="AR4260" s="315" t="str">
        <f t="shared" si="103"/>
        <v/>
      </c>
    </row>
    <row r="4261" spans="37:44" ht="30" hidden="1" customHeight="1" x14ac:dyDescent="0.25">
      <c r="AK4261" s="313"/>
      <c r="AL4261" s="313"/>
      <c r="AM4261" s="313"/>
      <c r="AN4261" s="313"/>
      <c r="AO4261" s="313"/>
      <c r="AP4261" s="313"/>
      <c r="AQ4261" s="314"/>
      <c r="AR4261" s="315" t="str">
        <f t="shared" si="103"/>
        <v/>
      </c>
    </row>
    <row r="4262" spans="37:44" ht="30" hidden="1" customHeight="1" x14ac:dyDescent="0.25">
      <c r="AK4262" s="313"/>
      <c r="AL4262" s="313"/>
      <c r="AM4262" s="313"/>
      <c r="AN4262" s="313"/>
      <c r="AO4262" s="313"/>
      <c r="AP4262" s="313"/>
      <c r="AQ4262" s="314"/>
      <c r="AR4262" s="315" t="str">
        <f t="shared" si="103"/>
        <v/>
      </c>
    </row>
    <row r="4263" spans="37:44" ht="30" hidden="1" customHeight="1" x14ac:dyDescent="0.25">
      <c r="AK4263" s="313"/>
      <c r="AL4263" s="313"/>
      <c r="AM4263" s="313"/>
      <c r="AN4263" s="313"/>
      <c r="AO4263" s="313"/>
      <c r="AP4263" s="313"/>
      <c r="AQ4263" s="314"/>
      <c r="AR4263" s="315" t="str">
        <f t="shared" si="103"/>
        <v/>
      </c>
    </row>
    <row r="4264" spans="37:44" ht="30" hidden="1" customHeight="1" x14ac:dyDescent="0.25">
      <c r="AK4264" s="313"/>
      <c r="AL4264" s="313"/>
      <c r="AM4264" s="313"/>
      <c r="AN4264" s="313"/>
      <c r="AO4264" s="313"/>
      <c r="AP4264" s="313"/>
      <c r="AQ4264" s="314"/>
      <c r="AR4264" s="315" t="str">
        <f t="shared" si="103"/>
        <v/>
      </c>
    </row>
    <row r="4265" spans="37:44" ht="30" hidden="1" customHeight="1" x14ac:dyDescent="0.25">
      <c r="AK4265" s="313"/>
      <c r="AL4265" s="313"/>
      <c r="AM4265" s="313"/>
      <c r="AN4265" s="313"/>
      <c r="AO4265" s="313"/>
      <c r="AP4265" s="313"/>
      <c r="AQ4265" s="314"/>
      <c r="AR4265" s="315" t="str">
        <f t="shared" si="103"/>
        <v/>
      </c>
    </row>
    <row r="4266" spans="37:44" ht="30" hidden="1" customHeight="1" x14ac:dyDescent="0.25">
      <c r="AK4266" s="313"/>
      <c r="AL4266" s="313"/>
      <c r="AM4266" s="313"/>
      <c r="AN4266" s="313"/>
      <c r="AO4266" s="313"/>
      <c r="AP4266" s="313"/>
      <c r="AQ4266" s="314"/>
      <c r="AR4266" s="315" t="str">
        <f t="shared" si="103"/>
        <v/>
      </c>
    </row>
    <row r="4267" spans="37:44" ht="30" hidden="1" customHeight="1" x14ac:dyDescent="0.25">
      <c r="AK4267" s="313"/>
      <c r="AL4267" s="313"/>
      <c r="AM4267" s="313"/>
      <c r="AN4267" s="313"/>
      <c r="AO4267" s="313"/>
      <c r="AP4267" s="313"/>
      <c r="AQ4267" s="314"/>
      <c r="AR4267" s="315" t="str">
        <f t="shared" si="103"/>
        <v/>
      </c>
    </row>
    <row r="4268" spans="37:44" ht="30" hidden="1" customHeight="1" x14ac:dyDescent="0.25">
      <c r="AK4268" s="313"/>
      <c r="AL4268" s="313"/>
      <c r="AM4268" s="313"/>
      <c r="AN4268" s="313"/>
      <c r="AO4268" s="313"/>
      <c r="AP4268" s="313"/>
      <c r="AQ4268" s="314"/>
      <c r="AR4268" s="315" t="str">
        <f t="shared" si="103"/>
        <v/>
      </c>
    </row>
    <row r="4269" spans="37:44" ht="30" hidden="1" customHeight="1" x14ac:dyDescent="0.25">
      <c r="AK4269" s="313"/>
      <c r="AL4269" s="313"/>
      <c r="AM4269" s="313"/>
      <c r="AN4269" s="313"/>
      <c r="AO4269" s="313"/>
      <c r="AP4269" s="313"/>
      <c r="AQ4269" s="314"/>
      <c r="AR4269" s="315" t="str">
        <f t="shared" si="103"/>
        <v/>
      </c>
    </row>
    <row r="4270" spans="37:44" ht="30" hidden="1" customHeight="1" x14ac:dyDescent="0.25">
      <c r="AK4270" s="313"/>
      <c r="AL4270" s="313"/>
      <c r="AM4270" s="313"/>
      <c r="AN4270" s="313"/>
      <c r="AO4270" s="313"/>
      <c r="AP4270" s="313"/>
      <c r="AQ4270" s="314"/>
      <c r="AR4270" s="315" t="str">
        <f t="shared" si="103"/>
        <v/>
      </c>
    </row>
    <row r="4271" spans="37:44" ht="30" hidden="1" customHeight="1" x14ac:dyDescent="0.25">
      <c r="AK4271" s="313"/>
      <c r="AL4271" s="313"/>
      <c r="AM4271" s="313"/>
      <c r="AN4271" s="313"/>
      <c r="AO4271" s="313"/>
      <c r="AP4271" s="313"/>
      <c r="AQ4271" s="314"/>
      <c r="AR4271" s="315" t="str">
        <f t="shared" si="103"/>
        <v/>
      </c>
    </row>
    <row r="4272" spans="37:44" ht="30" hidden="1" customHeight="1" x14ac:dyDescent="0.25">
      <c r="AK4272" s="313"/>
      <c r="AL4272" s="313"/>
      <c r="AM4272" s="313"/>
      <c r="AN4272" s="313"/>
      <c r="AO4272" s="313"/>
      <c r="AP4272" s="313"/>
      <c r="AQ4272" s="314"/>
      <c r="AR4272" s="315" t="str">
        <f t="shared" si="103"/>
        <v/>
      </c>
    </row>
    <row r="4273" spans="37:44" ht="30" hidden="1" customHeight="1" x14ac:dyDescent="0.25">
      <c r="AK4273" s="313"/>
      <c r="AL4273" s="313"/>
      <c r="AM4273" s="313"/>
      <c r="AN4273" s="313"/>
      <c r="AO4273" s="313"/>
      <c r="AP4273" s="313"/>
      <c r="AQ4273" s="314"/>
      <c r="AR4273" s="315" t="str">
        <f t="shared" si="103"/>
        <v/>
      </c>
    </row>
    <row r="4274" spans="37:44" ht="30" hidden="1" customHeight="1" x14ac:dyDescent="0.25">
      <c r="AK4274" s="313"/>
      <c r="AL4274" s="313"/>
      <c r="AM4274" s="313"/>
      <c r="AN4274" s="313"/>
      <c r="AO4274" s="313"/>
      <c r="AP4274" s="313"/>
      <c r="AQ4274" s="314"/>
      <c r="AR4274" s="315" t="str">
        <f t="shared" si="103"/>
        <v/>
      </c>
    </row>
    <row r="4275" spans="37:44" ht="30" hidden="1" customHeight="1" x14ac:dyDescent="0.25">
      <c r="AK4275" s="313"/>
      <c r="AL4275" s="313"/>
      <c r="AM4275" s="313"/>
      <c r="AN4275" s="313"/>
      <c r="AO4275" s="313"/>
      <c r="AP4275" s="313"/>
      <c r="AQ4275" s="314"/>
      <c r="AR4275" s="315" t="str">
        <f t="shared" si="103"/>
        <v/>
      </c>
    </row>
    <row r="4276" spans="37:44" ht="30" hidden="1" customHeight="1" x14ac:dyDescent="0.25">
      <c r="AK4276" s="313"/>
      <c r="AL4276" s="313"/>
      <c r="AM4276" s="313"/>
      <c r="AN4276" s="313"/>
      <c r="AO4276" s="313"/>
      <c r="AP4276" s="313"/>
      <c r="AQ4276" s="314"/>
      <c r="AR4276" s="315" t="str">
        <f t="shared" si="103"/>
        <v/>
      </c>
    </row>
    <row r="4277" spans="37:44" ht="30" hidden="1" customHeight="1" x14ac:dyDescent="0.25">
      <c r="AK4277" s="313"/>
      <c r="AL4277" s="313"/>
      <c r="AM4277" s="313"/>
      <c r="AN4277" s="313"/>
      <c r="AO4277" s="313"/>
      <c r="AP4277" s="313"/>
      <c r="AQ4277" s="314"/>
      <c r="AR4277" s="315" t="str">
        <f t="shared" si="103"/>
        <v/>
      </c>
    </row>
    <row r="4278" spans="37:44" ht="30" hidden="1" customHeight="1" x14ac:dyDescent="0.25">
      <c r="AK4278" s="313"/>
      <c r="AL4278" s="313"/>
      <c r="AM4278" s="313"/>
      <c r="AN4278" s="313"/>
      <c r="AO4278" s="313"/>
      <c r="AP4278" s="313"/>
      <c r="AQ4278" s="314"/>
      <c r="AR4278" s="315" t="str">
        <f t="shared" si="103"/>
        <v/>
      </c>
    </row>
    <row r="4279" spans="37:44" ht="30" hidden="1" customHeight="1" x14ac:dyDescent="0.25">
      <c r="AK4279" s="313"/>
      <c r="AL4279" s="313"/>
      <c r="AM4279" s="313"/>
      <c r="AN4279" s="313"/>
      <c r="AO4279" s="313"/>
      <c r="AP4279" s="313"/>
      <c r="AQ4279" s="314"/>
      <c r="AR4279" s="315" t="str">
        <f t="shared" si="103"/>
        <v/>
      </c>
    </row>
    <row r="4280" spans="37:44" ht="30" hidden="1" customHeight="1" x14ac:dyDescent="0.25">
      <c r="AK4280" s="313"/>
      <c r="AL4280" s="313"/>
      <c r="AM4280" s="313"/>
      <c r="AN4280" s="313"/>
      <c r="AO4280" s="313"/>
      <c r="AP4280" s="313"/>
      <c r="AQ4280" s="314"/>
      <c r="AR4280" s="315" t="str">
        <f t="shared" si="103"/>
        <v/>
      </c>
    </row>
    <row r="4281" spans="37:44" ht="30" hidden="1" customHeight="1" x14ac:dyDescent="0.25">
      <c r="AK4281" s="313"/>
      <c r="AL4281" s="313"/>
      <c r="AM4281" s="313"/>
      <c r="AN4281" s="313"/>
      <c r="AO4281" s="313"/>
      <c r="AP4281" s="313"/>
      <c r="AQ4281" s="314"/>
      <c r="AR4281" s="315" t="str">
        <f t="shared" si="103"/>
        <v/>
      </c>
    </row>
    <row r="4282" spans="37:44" ht="30" hidden="1" customHeight="1" x14ac:dyDescent="0.25">
      <c r="AK4282" s="313"/>
      <c r="AL4282" s="313"/>
      <c r="AM4282" s="313"/>
      <c r="AN4282" s="313"/>
      <c r="AO4282" s="313"/>
      <c r="AP4282" s="313"/>
      <c r="AQ4282" s="314"/>
      <c r="AR4282" s="315" t="str">
        <f t="shared" si="103"/>
        <v/>
      </c>
    </row>
    <row r="4283" spans="37:44" ht="30" hidden="1" customHeight="1" x14ac:dyDescent="0.25">
      <c r="AK4283" s="313"/>
      <c r="AL4283" s="313"/>
      <c r="AM4283" s="313"/>
      <c r="AN4283" s="313"/>
      <c r="AO4283" s="313"/>
      <c r="AP4283" s="313"/>
      <c r="AQ4283" s="314"/>
      <c r="AR4283" s="315" t="str">
        <f t="shared" si="103"/>
        <v/>
      </c>
    </row>
    <row r="4284" spans="37:44" ht="30" hidden="1" customHeight="1" x14ac:dyDescent="0.25">
      <c r="AK4284" s="313"/>
      <c r="AL4284" s="313"/>
      <c r="AM4284" s="313"/>
      <c r="AN4284" s="313"/>
      <c r="AO4284" s="313"/>
      <c r="AP4284" s="313"/>
      <c r="AQ4284" s="314"/>
      <c r="AR4284" s="315" t="str">
        <f t="shared" si="103"/>
        <v/>
      </c>
    </row>
    <row r="4285" spans="37:44" ht="30" hidden="1" customHeight="1" x14ac:dyDescent="0.25">
      <c r="AK4285" s="313"/>
      <c r="AL4285" s="313"/>
      <c r="AM4285" s="313"/>
      <c r="AN4285" s="313"/>
      <c r="AO4285" s="313"/>
      <c r="AP4285" s="313"/>
      <c r="AQ4285" s="314"/>
      <c r="AR4285" s="315" t="str">
        <f t="shared" si="103"/>
        <v/>
      </c>
    </row>
    <row r="4286" spans="37:44" ht="30" hidden="1" customHeight="1" x14ac:dyDescent="0.25">
      <c r="AK4286" s="313"/>
      <c r="AL4286" s="313"/>
      <c r="AM4286" s="313"/>
      <c r="AN4286" s="313"/>
      <c r="AO4286" s="313"/>
      <c r="AP4286" s="313"/>
      <c r="AQ4286" s="314"/>
      <c r="AR4286" s="315" t="str">
        <f t="shared" si="103"/>
        <v/>
      </c>
    </row>
    <row r="4287" spans="37:44" ht="30" hidden="1" customHeight="1" x14ac:dyDescent="0.25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04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 x14ac:dyDescent="0.25">
      <c r="AK4288" s="313"/>
      <c r="AL4288" s="313"/>
      <c r="AM4288" s="313"/>
      <c r="AN4288" s="313"/>
      <c r="AO4288" s="313"/>
      <c r="AP4288" s="313"/>
      <c r="AQ4288" s="314"/>
      <c r="AR4288" s="315" t="str">
        <f t="shared" si="104"/>
        <v/>
      </c>
    </row>
    <row r="4289" spans="37:44" ht="30" hidden="1" customHeight="1" x14ac:dyDescent="0.25">
      <c r="AK4289" s="313"/>
      <c r="AL4289" s="313"/>
      <c r="AM4289" s="313"/>
      <c r="AN4289" s="313"/>
      <c r="AO4289" s="313"/>
      <c r="AP4289" s="313"/>
      <c r="AQ4289" s="314"/>
      <c r="AR4289" s="315" t="str">
        <f t="shared" si="104"/>
        <v/>
      </c>
    </row>
    <row r="4290" spans="37:44" ht="30" hidden="1" customHeight="1" x14ac:dyDescent="0.25">
      <c r="AK4290" s="313"/>
      <c r="AL4290" s="313"/>
      <c r="AM4290" s="313"/>
      <c r="AN4290" s="313"/>
      <c r="AO4290" s="313"/>
      <c r="AP4290" s="313"/>
      <c r="AQ4290" s="314"/>
      <c r="AR4290" s="315" t="str">
        <f t="shared" si="104"/>
        <v/>
      </c>
    </row>
    <row r="4291" spans="37:44" ht="30" hidden="1" customHeight="1" x14ac:dyDescent="0.25">
      <c r="AK4291" s="313"/>
      <c r="AL4291" s="313"/>
      <c r="AM4291" s="313"/>
      <c r="AN4291" s="313"/>
      <c r="AO4291" s="313"/>
      <c r="AP4291" s="313"/>
      <c r="AQ4291" s="314"/>
      <c r="AR4291" s="315" t="str">
        <f t="shared" si="104"/>
        <v/>
      </c>
    </row>
    <row r="4292" spans="37:44" ht="30" hidden="1" customHeight="1" x14ac:dyDescent="0.25">
      <c r="AK4292" s="313"/>
      <c r="AL4292" s="313"/>
      <c r="AM4292" s="313"/>
      <c r="AN4292" s="313"/>
      <c r="AO4292" s="313"/>
      <c r="AP4292" s="313"/>
      <c r="AQ4292" s="314"/>
      <c r="AR4292" s="315" t="str">
        <f t="shared" si="104"/>
        <v/>
      </c>
    </row>
    <row r="4293" spans="37:44" ht="30" hidden="1" customHeight="1" x14ac:dyDescent="0.25">
      <c r="AK4293" s="313"/>
      <c r="AL4293" s="313"/>
      <c r="AM4293" s="313"/>
      <c r="AN4293" s="313"/>
      <c r="AO4293" s="313"/>
      <c r="AP4293" s="313"/>
      <c r="AQ4293" s="314"/>
      <c r="AR4293" s="315" t="str">
        <f t="shared" si="104"/>
        <v/>
      </c>
    </row>
    <row r="4294" spans="37:44" ht="30" hidden="1" customHeight="1" x14ac:dyDescent="0.25">
      <c r="AK4294" s="313"/>
      <c r="AL4294" s="313"/>
      <c r="AM4294" s="313"/>
      <c r="AN4294" s="313"/>
      <c r="AO4294" s="313"/>
      <c r="AP4294" s="313"/>
      <c r="AQ4294" s="314"/>
      <c r="AR4294" s="315" t="str">
        <f t="shared" si="104"/>
        <v/>
      </c>
    </row>
    <row r="4295" spans="37:44" ht="30" hidden="1" customHeight="1" x14ac:dyDescent="0.25">
      <c r="AK4295" s="313"/>
      <c r="AL4295" s="313"/>
      <c r="AM4295" s="313"/>
      <c r="AN4295" s="313"/>
      <c r="AO4295" s="313"/>
      <c r="AP4295" s="313"/>
      <c r="AQ4295" s="314"/>
      <c r="AR4295" s="315" t="str">
        <f t="shared" si="104"/>
        <v/>
      </c>
    </row>
    <row r="4296" spans="37:44" ht="30" hidden="1" customHeight="1" x14ac:dyDescent="0.25">
      <c r="AK4296" s="313"/>
      <c r="AL4296" s="313"/>
      <c r="AM4296" s="313"/>
      <c r="AN4296" s="313"/>
      <c r="AO4296" s="313"/>
      <c r="AP4296" s="313"/>
      <c r="AQ4296" s="314"/>
      <c r="AR4296" s="315" t="str">
        <f t="shared" si="104"/>
        <v/>
      </c>
    </row>
    <row r="4297" spans="37:44" ht="30" hidden="1" customHeight="1" x14ac:dyDescent="0.25">
      <c r="AK4297" s="313"/>
      <c r="AL4297" s="313"/>
      <c r="AM4297" s="313"/>
      <c r="AN4297" s="313"/>
      <c r="AO4297" s="313"/>
      <c r="AP4297" s="313"/>
      <c r="AQ4297" s="314"/>
      <c r="AR4297" s="315" t="str">
        <f t="shared" si="104"/>
        <v/>
      </c>
    </row>
    <row r="4298" spans="37:44" ht="30" hidden="1" customHeight="1" x14ac:dyDescent="0.25">
      <c r="AK4298" s="313"/>
      <c r="AL4298" s="313"/>
      <c r="AM4298" s="313"/>
      <c r="AN4298" s="313"/>
      <c r="AO4298" s="313"/>
      <c r="AP4298" s="313"/>
      <c r="AQ4298" s="314"/>
      <c r="AR4298" s="315" t="str">
        <f t="shared" si="104"/>
        <v/>
      </c>
    </row>
    <row r="4299" spans="37:44" ht="30" hidden="1" customHeight="1" x14ac:dyDescent="0.25">
      <c r="AK4299" s="313"/>
      <c r="AL4299" s="313"/>
      <c r="AM4299" s="313"/>
      <c r="AN4299" s="313"/>
      <c r="AO4299" s="313"/>
      <c r="AP4299" s="313"/>
      <c r="AQ4299" s="314"/>
      <c r="AR4299" s="315" t="str">
        <f t="shared" si="104"/>
        <v/>
      </c>
    </row>
    <row r="4300" spans="37:44" ht="30" hidden="1" customHeight="1" x14ac:dyDescent="0.25">
      <c r="AK4300" s="313"/>
      <c r="AL4300" s="313"/>
      <c r="AM4300" s="313"/>
      <c r="AN4300" s="313"/>
      <c r="AO4300" s="313"/>
      <c r="AP4300" s="313"/>
      <c r="AQ4300" s="314"/>
      <c r="AR4300" s="315" t="str">
        <f t="shared" si="104"/>
        <v/>
      </c>
    </row>
    <row r="4301" spans="37:44" ht="30" hidden="1" customHeight="1" x14ac:dyDescent="0.25">
      <c r="AK4301" s="313"/>
      <c r="AL4301" s="313"/>
      <c r="AM4301" s="313"/>
      <c r="AN4301" s="313"/>
      <c r="AO4301" s="313"/>
      <c r="AP4301" s="313"/>
      <c r="AQ4301" s="314"/>
      <c r="AR4301" s="315" t="str">
        <f t="shared" si="104"/>
        <v/>
      </c>
    </row>
    <row r="4302" spans="37:44" ht="30" hidden="1" customHeight="1" x14ac:dyDescent="0.25">
      <c r="AK4302" s="313"/>
      <c r="AL4302" s="313"/>
      <c r="AM4302" s="313"/>
      <c r="AN4302" s="313"/>
      <c r="AO4302" s="313"/>
      <c r="AP4302" s="313"/>
      <c r="AQ4302" s="314"/>
      <c r="AR4302" s="315" t="str">
        <f t="shared" si="104"/>
        <v/>
      </c>
    </row>
    <row r="4303" spans="37:44" ht="30" hidden="1" customHeight="1" x14ac:dyDescent="0.25">
      <c r="AK4303" s="313"/>
      <c r="AL4303" s="313"/>
      <c r="AM4303" s="313"/>
      <c r="AN4303" s="313"/>
      <c r="AO4303" s="313"/>
      <c r="AP4303" s="313"/>
      <c r="AQ4303" s="314"/>
      <c r="AR4303" s="315" t="str">
        <f t="shared" si="104"/>
        <v/>
      </c>
    </row>
    <row r="4304" spans="37:44" ht="30" hidden="1" customHeight="1" x14ac:dyDescent="0.25">
      <c r="AK4304" s="313"/>
      <c r="AL4304" s="313"/>
      <c r="AM4304" s="313"/>
      <c r="AN4304" s="313"/>
      <c r="AO4304" s="313"/>
      <c r="AP4304" s="313"/>
      <c r="AQ4304" s="314"/>
      <c r="AR4304" s="315" t="str">
        <f t="shared" si="104"/>
        <v/>
      </c>
    </row>
    <row r="4305" spans="37:44" ht="30" hidden="1" customHeight="1" x14ac:dyDescent="0.25">
      <c r="AK4305" s="313"/>
      <c r="AL4305" s="313"/>
      <c r="AM4305" s="313"/>
      <c r="AN4305" s="313"/>
      <c r="AO4305" s="313"/>
      <c r="AP4305" s="313"/>
      <c r="AQ4305" s="314"/>
      <c r="AR4305" s="315" t="str">
        <f t="shared" si="104"/>
        <v/>
      </c>
    </row>
    <row r="4306" spans="37:44" ht="30" hidden="1" customHeight="1" x14ac:dyDescent="0.25">
      <c r="AK4306" s="313"/>
      <c r="AL4306" s="313"/>
      <c r="AM4306" s="313"/>
      <c r="AN4306" s="313"/>
      <c r="AO4306" s="313"/>
      <c r="AP4306" s="313"/>
      <c r="AQ4306" s="314"/>
      <c r="AR4306" s="315" t="str">
        <f t="shared" si="104"/>
        <v/>
      </c>
    </row>
    <row r="4307" spans="37:44" ht="30" hidden="1" customHeight="1" x14ac:dyDescent="0.25">
      <c r="AK4307" s="313"/>
      <c r="AL4307" s="313"/>
      <c r="AM4307" s="313"/>
      <c r="AN4307" s="313"/>
      <c r="AO4307" s="313"/>
      <c r="AP4307" s="313"/>
      <c r="AQ4307" s="314"/>
      <c r="AR4307" s="315" t="str">
        <f t="shared" si="104"/>
        <v/>
      </c>
    </row>
    <row r="4308" spans="37:44" ht="30" hidden="1" customHeight="1" x14ac:dyDescent="0.25">
      <c r="AK4308" s="313"/>
      <c r="AL4308" s="313"/>
      <c r="AM4308" s="313"/>
      <c r="AN4308" s="313"/>
      <c r="AO4308" s="313"/>
      <c r="AP4308" s="313"/>
      <c r="AQ4308" s="314"/>
      <c r="AR4308" s="315" t="str">
        <f t="shared" si="104"/>
        <v/>
      </c>
    </row>
    <row r="4309" spans="37:44" ht="30" hidden="1" customHeight="1" x14ac:dyDescent="0.25">
      <c r="AK4309" s="313"/>
      <c r="AL4309" s="313"/>
      <c r="AM4309" s="313"/>
      <c r="AN4309" s="313"/>
      <c r="AO4309" s="313"/>
      <c r="AP4309" s="313"/>
      <c r="AQ4309" s="314"/>
      <c r="AR4309" s="315" t="str">
        <f t="shared" si="104"/>
        <v/>
      </c>
    </row>
    <row r="4310" spans="37:44" ht="30" hidden="1" customHeight="1" x14ac:dyDescent="0.25">
      <c r="AK4310" s="313"/>
      <c r="AL4310" s="313"/>
      <c r="AM4310" s="313"/>
      <c r="AN4310" s="313"/>
      <c r="AO4310" s="313"/>
      <c r="AP4310" s="313"/>
      <c r="AQ4310" s="314"/>
      <c r="AR4310" s="315" t="str">
        <f t="shared" si="104"/>
        <v/>
      </c>
    </row>
    <row r="4311" spans="37:44" ht="30" hidden="1" customHeight="1" x14ac:dyDescent="0.25">
      <c r="AK4311" s="313"/>
      <c r="AL4311" s="313"/>
      <c r="AM4311" s="313"/>
      <c r="AN4311" s="313"/>
      <c r="AO4311" s="313"/>
      <c r="AP4311" s="313"/>
      <c r="AQ4311" s="314"/>
      <c r="AR4311" s="315" t="str">
        <f t="shared" si="104"/>
        <v/>
      </c>
    </row>
    <row r="4312" spans="37:44" ht="30" hidden="1" customHeight="1" x14ac:dyDescent="0.25">
      <c r="AK4312" s="313"/>
      <c r="AL4312" s="313"/>
      <c r="AM4312" s="313"/>
      <c r="AN4312" s="313"/>
      <c r="AO4312" s="313"/>
      <c r="AP4312" s="313"/>
      <c r="AQ4312" s="314"/>
      <c r="AR4312" s="315" t="str">
        <f t="shared" si="104"/>
        <v/>
      </c>
    </row>
    <row r="4313" spans="37:44" ht="30" hidden="1" customHeight="1" x14ac:dyDescent="0.25">
      <c r="AK4313" s="313"/>
      <c r="AL4313" s="313"/>
      <c r="AM4313" s="313"/>
      <c r="AN4313" s="313"/>
      <c r="AO4313" s="313"/>
      <c r="AP4313" s="313"/>
      <c r="AQ4313" s="314"/>
      <c r="AR4313" s="315" t="str">
        <f t="shared" si="104"/>
        <v/>
      </c>
    </row>
    <row r="4314" spans="37:44" ht="30" hidden="1" customHeight="1" x14ac:dyDescent="0.25">
      <c r="AK4314" s="313"/>
      <c r="AL4314" s="313"/>
      <c r="AM4314" s="313"/>
      <c r="AN4314" s="313"/>
      <c r="AO4314" s="313"/>
      <c r="AP4314" s="313"/>
      <c r="AQ4314" s="314"/>
      <c r="AR4314" s="315" t="str">
        <f t="shared" si="104"/>
        <v/>
      </c>
    </row>
    <row r="4315" spans="37:44" ht="30" hidden="1" customHeight="1" x14ac:dyDescent="0.25">
      <c r="AK4315" s="313"/>
      <c r="AL4315" s="313"/>
      <c r="AM4315" s="313"/>
      <c r="AN4315" s="313"/>
      <c r="AO4315" s="313"/>
      <c r="AP4315" s="313"/>
      <c r="AQ4315" s="314"/>
      <c r="AR4315" s="315" t="str">
        <f t="shared" si="104"/>
        <v/>
      </c>
    </row>
    <row r="4316" spans="37:44" ht="30" hidden="1" customHeight="1" x14ac:dyDescent="0.25">
      <c r="AK4316" s="313"/>
      <c r="AL4316" s="313"/>
      <c r="AM4316" s="313"/>
      <c r="AN4316" s="313"/>
      <c r="AO4316" s="313"/>
      <c r="AP4316" s="313"/>
      <c r="AQ4316" s="314"/>
      <c r="AR4316" s="315" t="str">
        <f t="shared" si="104"/>
        <v/>
      </c>
    </row>
    <row r="4317" spans="37:44" ht="30" hidden="1" customHeight="1" x14ac:dyDescent="0.25">
      <c r="AK4317" s="313"/>
      <c r="AL4317" s="313"/>
      <c r="AM4317" s="313"/>
      <c r="AN4317" s="313"/>
      <c r="AO4317" s="313"/>
      <c r="AP4317" s="313"/>
      <c r="AQ4317" s="314"/>
      <c r="AR4317" s="315" t="str">
        <f t="shared" si="104"/>
        <v/>
      </c>
    </row>
    <row r="4318" spans="37:44" ht="30" hidden="1" customHeight="1" x14ac:dyDescent="0.25">
      <c r="AK4318" s="313"/>
      <c r="AL4318" s="313"/>
      <c r="AM4318" s="313"/>
      <c r="AN4318" s="313"/>
      <c r="AO4318" s="313"/>
      <c r="AP4318" s="313"/>
      <c r="AQ4318" s="314"/>
      <c r="AR4318" s="315" t="str">
        <f t="shared" si="104"/>
        <v/>
      </c>
    </row>
    <row r="4319" spans="37:44" ht="30" hidden="1" customHeight="1" x14ac:dyDescent="0.25">
      <c r="AK4319" s="313"/>
      <c r="AL4319" s="313"/>
      <c r="AM4319" s="313"/>
      <c r="AN4319" s="313"/>
      <c r="AO4319" s="313"/>
      <c r="AP4319" s="313"/>
      <c r="AQ4319" s="314"/>
      <c r="AR4319" s="315" t="str">
        <f t="shared" si="104"/>
        <v/>
      </c>
    </row>
    <row r="4320" spans="37:44" ht="30" hidden="1" customHeight="1" x14ac:dyDescent="0.25">
      <c r="AK4320" s="313"/>
      <c r="AL4320" s="313"/>
      <c r="AM4320" s="313"/>
      <c r="AN4320" s="313"/>
      <c r="AO4320" s="313"/>
      <c r="AP4320" s="313"/>
      <c r="AQ4320" s="314"/>
      <c r="AR4320" s="315" t="str">
        <f t="shared" si="104"/>
        <v/>
      </c>
    </row>
    <row r="4321" spans="37:44" ht="30" hidden="1" customHeight="1" x14ac:dyDescent="0.25">
      <c r="AK4321" s="313"/>
      <c r="AL4321" s="313"/>
      <c r="AM4321" s="313"/>
      <c r="AN4321" s="313"/>
      <c r="AO4321" s="313"/>
      <c r="AP4321" s="313"/>
      <c r="AQ4321" s="314"/>
      <c r="AR4321" s="315" t="str">
        <f t="shared" si="104"/>
        <v/>
      </c>
    </row>
    <row r="4322" spans="37:44" ht="30" hidden="1" customHeight="1" x14ac:dyDescent="0.25">
      <c r="AK4322" s="313"/>
      <c r="AL4322" s="313"/>
      <c r="AM4322" s="313"/>
      <c r="AN4322" s="313"/>
      <c r="AO4322" s="313"/>
      <c r="AP4322" s="313"/>
      <c r="AQ4322" s="314"/>
      <c r="AR4322" s="315" t="str">
        <f t="shared" si="104"/>
        <v/>
      </c>
    </row>
    <row r="4323" spans="37:44" ht="30" hidden="1" customHeight="1" x14ac:dyDescent="0.25">
      <c r="AK4323" s="313"/>
      <c r="AL4323" s="313"/>
      <c r="AM4323" s="313"/>
      <c r="AN4323" s="313"/>
      <c r="AO4323" s="313"/>
      <c r="AP4323" s="313"/>
      <c r="AQ4323" s="314"/>
      <c r="AR4323" s="315" t="str">
        <f t="shared" si="104"/>
        <v/>
      </c>
    </row>
    <row r="4324" spans="37:44" ht="30" hidden="1" customHeight="1" x14ac:dyDescent="0.25">
      <c r="AK4324" s="313"/>
      <c r="AL4324" s="313"/>
      <c r="AM4324" s="313"/>
      <c r="AN4324" s="313"/>
      <c r="AO4324" s="313"/>
      <c r="AP4324" s="313"/>
      <c r="AQ4324" s="314"/>
      <c r="AR4324" s="315" t="str">
        <f t="shared" si="104"/>
        <v/>
      </c>
    </row>
    <row r="4325" spans="37:44" ht="30" hidden="1" customHeight="1" x14ac:dyDescent="0.25">
      <c r="AK4325" s="313"/>
      <c r="AL4325" s="313"/>
      <c r="AM4325" s="313"/>
      <c r="AN4325" s="313"/>
      <c r="AO4325" s="313"/>
      <c r="AP4325" s="313"/>
      <c r="AQ4325" s="314"/>
      <c r="AR4325" s="315" t="str">
        <f t="shared" si="104"/>
        <v/>
      </c>
    </row>
    <row r="4326" spans="37:44" ht="30" hidden="1" customHeight="1" x14ac:dyDescent="0.25">
      <c r="AK4326" s="313"/>
      <c r="AL4326" s="313"/>
      <c r="AM4326" s="313"/>
      <c r="AN4326" s="313"/>
      <c r="AO4326" s="313"/>
      <c r="AP4326" s="313"/>
      <c r="AQ4326" s="314"/>
      <c r="AR4326" s="315" t="str">
        <f t="shared" si="104"/>
        <v/>
      </c>
    </row>
    <row r="4327" spans="37:44" ht="30" hidden="1" customHeight="1" x14ac:dyDescent="0.25">
      <c r="AK4327" s="313"/>
      <c r="AL4327" s="313"/>
      <c r="AM4327" s="313"/>
      <c r="AN4327" s="313"/>
      <c r="AO4327" s="313"/>
      <c r="AP4327" s="313"/>
      <c r="AQ4327" s="314"/>
      <c r="AR4327" s="315" t="str">
        <f t="shared" si="104"/>
        <v/>
      </c>
    </row>
    <row r="4328" spans="37:44" ht="30" hidden="1" customHeight="1" x14ac:dyDescent="0.25">
      <c r="AK4328" s="313"/>
      <c r="AL4328" s="313"/>
      <c r="AM4328" s="313"/>
      <c r="AN4328" s="313"/>
      <c r="AO4328" s="313"/>
      <c r="AP4328" s="313"/>
      <c r="AQ4328" s="314"/>
      <c r="AR4328" s="315" t="str">
        <f t="shared" si="104"/>
        <v/>
      </c>
    </row>
    <row r="4329" spans="37:44" ht="30" hidden="1" customHeight="1" x14ac:dyDescent="0.25">
      <c r="AK4329" s="313"/>
      <c r="AL4329" s="313"/>
      <c r="AM4329" s="313"/>
      <c r="AN4329" s="313"/>
      <c r="AO4329" s="313"/>
      <c r="AP4329" s="313"/>
      <c r="AQ4329" s="314"/>
      <c r="AR4329" s="315" t="str">
        <f t="shared" si="104"/>
        <v/>
      </c>
    </row>
    <row r="4330" spans="37:44" ht="30" hidden="1" customHeight="1" x14ac:dyDescent="0.25">
      <c r="AK4330" s="313"/>
      <c r="AL4330" s="313"/>
      <c r="AM4330" s="313"/>
      <c r="AN4330" s="313"/>
      <c r="AO4330" s="313"/>
      <c r="AP4330" s="313"/>
      <c r="AQ4330" s="314"/>
      <c r="AR4330" s="315" t="str">
        <f t="shared" si="104"/>
        <v/>
      </c>
    </row>
    <row r="4331" spans="37:44" ht="30" hidden="1" customHeight="1" x14ac:dyDescent="0.25">
      <c r="AK4331" s="313"/>
      <c r="AL4331" s="313"/>
      <c r="AM4331" s="313"/>
      <c r="AN4331" s="313"/>
      <c r="AO4331" s="313"/>
      <c r="AP4331" s="313"/>
      <c r="AQ4331" s="314"/>
      <c r="AR4331" s="315" t="str">
        <f t="shared" si="104"/>
        <v/>
      </c>
    </row>
    <row r="4332" spans="37:44" ht="30" hidden="1" customHeight="1" x14ac:dyDescent="0.25">
      <c r="AK4332" s="313"/>
      <c r="AL4332" s="313"/>
      <c r="AM4332" s="313"/>
      <c r="AN4332" s="313"/>
      <c r="AO4332" s="313"/>
      <c r="AP4332" s="313"/>
      <c r="AQ4332" s="314"/>
      <c r="AR4332" s="315" t="str">
        <f t="shared" si="104"/>
        <v/>
      </c>
    </row>
    <row r="4333" spans="37:44" ht="30" hidden="1" customHeight="1" x14ac:dyDescent="0.25">
      <c r="AK4333" s="313"/>
      <c r="AL4333" s="313"/>
      <c r="AM4333" s="313"/>
      <c r="AN4333" s="313"/>
      <c r="AO4333" s="313"/>
      <c r="AP4333" s="313"/>
      <c r="AQ4333" s="314"/>
      <c r="AR4333" s="315" t="str">
        <f t="shared" si="104"/>
        <v/>
      </c>
    </row>
    <row r="4334" spans="37:44" ht="30" hidden="1" customHeight="1" x14ac:dyDescent="0.25">
      <c r="AK4334" s="313"/>
      <c r="AL4334" s="313"/>
      <c r="AM4334" s="313"/>
      <c r="AN4334" s="313"/>
      <c r="AO4334" s="313"/>
      <c r="AP4334" s="313"/>
      <c r="AQ4334" s="314"/>
      <c r="AR4334" s="315" t="str">
        <f t="shared" si="104"/>
        <v/>
      </c>
    </row>
    <row r="4335" spans="37:44" ht="30" hidden="1" customHeight="1" x14ac:dyDescent="0.25">
      <c r="AK4335" s="313"/>
      <c r="AL4335" s="313"/>
      <c r="AM4335" s="313"/>
      <c r="AN4335" s="313"/>
      <c r="AO4335" s="313"/>
      <c r="AP4335" s="313"/>
      <c r="AQ4335" s="314"/>
      <c r="AR4335" s="315" t="str">
        <f t="shared" si="104"/>
        <v/>
      </c>
    </row>
    <row r="4336" spans="37:44" ht="30" hidden="1" customHeight="1" x14ac:dyDescent="0.25">
      <c r="AK4336" s="313"/>
      <c r="AL4336" s="313"/>
      <c r="AM4336" s="313"/>
      <c r="AN4336" s="313"/>
      <c r="AO4336" s="313"/>
      <c r="AP4336" s="313"/>
      <c r="AQ4336" s="314"/>
      <c r="AR4336" s="315" t="str">
        <f t="shared" si="104"/>
        <v/>
      </c>
    </row>
    <row r="4337" spans="37:44" ht="30" hidden="1" customHeight="1" x14ac:dyDescent="0.25">
      <c r="AK4337" s="313"/>
      <c r="AL4337" s="313"/>
      <c r="AM4337" s="313"/>
      <c r="AN4337" s="313"/>
      <c r="AO4337" s="313"/>
      <c r="AP4337" s="313"/>
      <c r="AQ4337" s="314"/>
      <c r="AR4337" s="315" t="str">
        <f t="shared" si="104"/>
        <v/>
      </c>
    </row>
    <row r="4338" spans="37:44" ht="30" hidden="1" customHeight="1" x14ac:dyDescent="0.25">
      <c r="AK4338" s="313"/>
      <c r="AL4338" s="313"/>
      <c r="AM4338" s="313"/>
      <c r="AN4338" s="313"/>
      <c r="AO4338" s="313"/>
      <c r="AP4338" s="313"/>
      <c r="AQ4338" s="314"/>
      <c r="AR4338" s="315" t="str">
        <f t="shared" si="104"/>
        <v/>
      </c>
    </row>
    <row r="4339" spans="37:44" ht="30" hidden="1" customHeight="1" x14ac:dyDescent="0.25">
      <c r="AK4339" s="313"/>
      <c r="AL4339" s="313"/>
      <c r="AM4339" s="313"/>
      <c r="AN4339" s="313"/>
      <c r="AO4339" s="313"/>
      <c r="AP4339" s="313"/>
      <c r="AQ4339" s="314"/>
      <c r="AR4339" s="315" t="str">
        <f t="shared" si="104"/>
        <v/>
      </c>
    </row>
    <row r="4340" spans="37:44" ht="30" hidden="1" customHeight="1" x14ac:dyDescent="0.25">
      <c r="AK4340" s="313"/>
      <c r="AL4340" s="313"/>
      <c r="AM4340" s="313"/>
      <c r="AN4340" s="313"/>
      <c r="AO4340" s="313"/>
      <c r="AP4340" s="313"/>
      <c r="AQ4340" s="314"/>
      <c r="AR4340" s="315" t="str">
        <f t="shared" si="104"/>
        <v/>
      </c>
    </row>
    <row r="4341" spans="37:44" ht="30" hidden="1" customHeight="1" x14ac:dyDescent="0.25">
      <c r="AK4341" s="313"/>
      <c r="AL4341" s="313"/>
      <c r="AM4341" s="313"/>
      <c r="AN4341" s="313"/>
      <c r="AO4341" s="313"/>
      <c r="AP4341" s="313"/>
      <c r="AQ4341" s="314"/>
      <c r="AR4341" s="315" t="str">
        <f t="shared" si="104"/>
        <v/>
      </c>
    </row>
    <row r="4342" spans="37:44" ht="30" hidden="1" customHeight="1" x14ac:dyDescent="0.25">
      <c r="AK4342" s="313"/>
      <c r="AL4342" s="313"/>
      <c r="AM4342" s="313"/>
      <c r="AN4342" s="313"/>
      <c r="AO4342" s="313"/>
      <c r="AP4342" s="313"/>
      <c r="AQ4342" s="314"/>
      <c r="AR4342" s="315" t="str">
        <f t="shared" si="104"/>
        <v/>
      </c>
    </row>
    <row r="4343" spans="37:44" ht="30" hidden="1" customHeight="1" x14ac:dyDescent="0.25">
      <c r="AK4343" s="313"/>
      <c r="AL4343" s="313"/>
      <c r="AM4343" s="313"/>
      <c r="AN4343" s="313"/>
      <c r="AO4343" s="313"/>
      <c r="AP4343" s="313"/>
      <c r="AQ4343" s="314"/>
      <c r="AR4343" s="315" t="str">
        <f t="shared" si="104"/>
        <v/>
      </c>
    </row>
    <row r="4344" spans="37:44" ht="30" hidden="1" customHeight="1" x14ac:dyDescent="0.25">
      <c r="AK4344" s="313"/>
      <c r="AL4344" s="313"/>
      <c r="AM4344" s="313"/>
      <c r="AN4344" s="313"/>
      <c r="AO4344" s="313"/>
      <c r="AP4344" s="313"/>
      <c r="AQ4344" s="314"/>
      <c r="AR4344" s="315" t="str">
        <f t="shared" si="104"/>
        <v/>
      </c>
    </row>
    <row r="4345" spans="37:44" ht="30" hidden="1" customHeight="1" x14ac:dyDescent="0.25">
      <c r="AK4345" s="313"/>
      <c r="AL4345" s="313"/>
      <c r="AM4345" s="313"/>
      <c r="AN4345" s="313"/>
      <c r="AO4345" s="313"/>
      <c r="AP4345" s="313"/>
      <c r="AQ4345" s="314"/>
      <c r="AR4345" s="315" t="str">
        <f t="shared" si="104"/>
        <v/>
      </c>
    </row>
    <row r="4346" spans="37:44" ht="30" hidden="1" customHeight="1" x14ac:dyDescent="0.25">
      <c r="AK4346" s="313"/>
      <c r="AL4346" s="313"/>
      <c r="AM4346" s="313"/>
      <c r="AN4346" s="313"/>
      <c r="AO4346" s="313"/>
      <c r="AP4346" s="313"/>
      <c r="AQ4346" s="314"/>
      <c r="AR4346" s="315" t="str">
        <f t="shared" si="104"/>
        <v/>
      </c>
    </row>
    <row r="4347" spans="37:44" ht="30" hidden="1" customHeight="1" x14ac:dyDescent="0.25">
      <c r="AK4347" s="313"/>
      <c r="AL4347" s="313"/>
      <c r="AM4347" s="313"/>
      <c r="AN4347" s="313"/>
      <c r="AO4347" s="313"/>
      <c r="AP4347" s="313"/>
      <c r="AQ4347" s="314"/>
      <c r="AR4347" s="315" t="str">
        <f t="shared" si="104"/>
        <v/>
      </c>
    </row>
    <row r="4348" spans="37:44" ht="30" hidden="1" customHeight="1" x14ac:dyDescent="0.25">
      <c r="AK4348" s="313"/>
      <c r="AL4348" s="313"/>
      <c r="AM4348" s="313"/>
      <c r="AN4348" s="313"/>
      <c r="AO4348" s="313"/>
      <c r="AP4348" s="313"/>
      <c r="AQ4348" s="314"/>
      <c r="AR4348" s="315" t="str">
        <f t="shared" si="104"/>
        <v/>
      </c>
    </row>
    <row r="4349" spans="37:44" ht="30" hidden="1" customHeight="1" x14ac:dyDescent="0.25">
      <c r="AK4349" s="313"/>
      <c r="AL4349" s="313"/>
      <c r="AM4349" s="313"/>
      <c r="AN4349" s="313"/>
      <c r="AO4349" s="313"/>
      <c r="AP4349" s="313"/>
      <c r="AQ4349" s="314"/>
      <c r="AR4349" s="315" t="str">
        <f t="shared" si="104"/>
        <v/>
      </c>
    </row>
    <row r="4350" spans="37:44" ht="30" hidden="1" customHeight="1" x14ac:dyDescent="0.25">
      <c r="AK4350" s="313"/>
      <c r="AL4350" s="313"/>
      <c r="AM4350" s="313"/>
      <c r="AN4350" s="313"/>
      <c r="AO4350" s="313"/>
      <c r="AP4350" s="313"/>
      <c r="AQ4350" s="314"/>
      <c r="AR4350" s="315" t="str">
        <f t="shared" si="104"/>
        <v/>
      </c>
    </row>
    <row r="4351" spans="37:44" ht="30" hidden="1" customHeight="1" x14ac:dyDescent="0.25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05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 x14ac:dyDescent="0.25">
      <c r="AK4352" s="313"/>
      <c r="AL4352" s="313"/>
      <c r="AM4352" s="313"/>
      <c r="AN4352" s="313"/>
      <c r="AO4352" s="313"/>
      <c r="AP4352" s="313"/>
      <c r="AQ4352" s="314"/>
      <c r="AR4352" s="315" t="str">
        <f t="shared" si="105"/>
        <v/>
      </c>
    </row>
    <row r="4353" spans="37:44" ht="30" hidden="1" customHeight="1" x14ac:dyDescent="0.25">
      <c r="AK4353" s="313"/>
      <c r="AL4353" s="313"/>
      <c r="AM4353" s="313"/>
      <c r="AN4353" s="313"/>
      <c r="AO4353" s="313"/>
      <c r="AP4353" s="313"/>
      <c r="AQ4353" s="314"/>
      <c r="AR4353" s="315" t="str">
        <f t="shared" si="105"/>
        <v/>
      </c>
    </row>
    <row r="4354" spans="37:44" ht="30" hidden="1" customHeight="1" x14ac:dyDescent="0.25">
      <c r="AK4354" s="313"/>
      <c r="AL4354" s="313"/>
      <c r="AM4354" s="313"/>
      <c r="AN4354" s="313"/>
      <c r="AO4354" s="313"/>
      <c r="AP4354" s="313"/>
      <c r="AQ4354" s="314"/>
      <c r="AR4354" s="315" t="str">
        <f t="shared" si="105"/>
        <v/>
      </c>
    </row>
    <row r="4355" spans="37:44" ht="30" hidden="1" customHeight="1" x14ac:dyDescent="0.25">
      <c r="AK4355" s="313"/>
      <c r="AL4355" s="313"/>
      <c r="AM4355" s="313"/>
      <c r="AN4355" s="313"/>
      <c r="AO4355" s="313"/>
      <c r="AP4355" s="313"/>
      <c r="AQ4355" s="314"/>
      <c r="AR4355" s="315" t="str">
        <f t="shared" si="105"/>
        <v/>
      </c>
    </row>
    <row r="4356" spans="37:44" ht="30" hidden="1" customHeight="1" x14ac:dyDescent="0.25">
      <c r="AK4356" s="313"/>
      <c r="AL4356" s="313"/>
      <c r="AM4356" s="313"/>
      <c r="AN4356" s="313"/>
      <c r="AO4356" s="313"/>
      <c r="AP4356" s="313"/>
      <c r="AQ4356" s="314"/>
      <c r="AR4356" s="315" t="str">
        <f t="shared" si="105"/>
        <v/>
      </c>
    </row>
    <row r="4357" spans="37:44" ht="30" hidden="1" customHeight="1" x14ac:dyDescent="0.25">
      <c r="AK4357" s="313"/>
      <c r="AL4357" s="313"/>
      <c r="AM4357" s="313"/>
      <c r="AN4357" s="313"/>
      <c r="AO4357" s="313"/>
      <c r="AP4357" s="313"/>
      <c r="AQ4357" s="314"/>
      <c r="AR4357" s="315" t="str">
        <f t="shared" si="105"/>
        <v/>
      </c>
    </row>
    <row r="4358" spans="37:44" ht="30" hidden="1" customHeight="1" x14ac:dyDescent="0.25">
      <c r="AK4358" s="313"/>
      <c r="AL4358" s="313"/>
      <c r="AM4358" s="313"/>
      <c r="AN4358" s="313"/>
      <c r="AO4358" s="313"/>
      <c r="AP4358" s="313"/>
      <c r="AQ4358" s="314"/>
      <c r="AR4358" s="315" t="str">
        <f t="shared" si="105"/>
        <v/>
      </c>
    </row>
    <row r="4359" spans="37:44" ht="30" hidden="1" customHeight="1" x14ac:dyDescent="0.25">
      <c r="AK4359" s="313"/>
      <c r="AL4359" s="313"/>
      <c r="AM4359" s="313"/>
      <c r="AN4359" s="313"/>
      <c r="AO4359" s="313"/>
      <c r="AP4359" s="313"/>
      <c r="AQ4359" s="314"/>
      <c r="AR4359" s="315" t="str">
        <f t="shared" si="105"/>
        <v/>
      </c>
    </row>
    <row r="4360" spans="37:44" ht="30" hidden="1" customHeight="1" x14ac:dyDescent="0.25">
      <c r="AK4360" s="313"/>
      <c r="AL4360" s="313"/>
      <c r="AM4360" s="313"/>
      <c r="AN4360" s="313"/>
      <c r="AO4360" s="313"/>
      <c r="AP4360" s="313"/>
      <c r="AQ4360" s="314"/>
      <c r="AR4360" s="315" t="str">
        <f t="shared" si="105"/>
        <v/>
      </c>
    </row>
    <row r="4361" spans="37:44" ht="30" hidden="1" customHeight="1" x14ac:dyDescent="0.25">
      <c r="AK4361" s="313"/>
      <c r="AL4361" s="313"/>
      <c r="AM4361" s="313"/>
      <c r="AN4361" s="313"/>
      <c r="AO4361" s="313"/>
      <c r="AP4361" s="313"/>
      <c r="AQ4361" s="314"/>
      <c r="AR4361" s="315" t="str">
        <f t="shared" si="105"/>
        <v/>
      </c>
    </row>
    <row r="4362" spans="37:44" ht="30" hidden="1" customHeight="1" x14ac:dyDescent="0.25">
      <c r="AK4362" s="313"/>
      <c r="AL4362" s="313"/>
      <c r="AM4362" s="313"/>
      <c r="AN4362" s="313"/>
      <c r="AO4362" s="313"/>
      <c r="AP4362" s="313"/>
      <c r="AQ4362" s="314"/>
      <c r="AR4362" s="315" t="str">
        <f t="shared" si="105"/>
        <v/>
      </c>
    </row>
    <row r="4363" spans="37:44" ht="30" hidden="1" customHeight="1" x14ac:dyDescent="0.25">
      <c r="AK4363" s="313"/>
      <c r="AL4363" s="313"/>
      <c r="AM4363" s="313"/>
      <c r="AN4363" s="313"/>
      <c r="AO4363" s="313"/>
      <c r="AP4363" s="313"/>
      <c r="AQ4363" s="314"/>
      <c r="AR4363" s="315" t="str">
        <f t="shared" si="105"/>
        <v/>
      </c>
    </row>
    <row r="4364" spans="37:44" ht="30" hidden="1" customHeight="1" x14ac:dyDescent="0.25">
      <c r="AK4364" s="313"/>
      <c r="AL4364" s="313"/>
      <c r="AM4364" s="313"/>
      <c r="AN4364" s="313"/>
      <c r="AO4364" s="313"/>
      <c r="AP4364" s="313"/>
      <c r="AQ4364" s="314"/>
      <c r="AR4364" s="315" t="str">
        <f t="shared" si="105"/>
        <v/>
      </c>
    </row>
    <row r="4365" spans="37:44" ht="30" hidden="1" customHeight="1" x14ac:dyDescent="0.25">
      <c r="AK4365" s="313"/>
      <c r="AL4365" s="313"/>
      <c r="AM4365" s="313"/>
      <c r="AN4365" s="313"/>
      <c r="AO4365" s="313"/>
      <c r="AP4365" s="313"/>
      <c r="AQ4365" s="314"/>
      <c r="AR4365" s="315" t="str">
        <f t="shared" si="105"/>
        <v/>
      </c>
    </row>
    <row r="4366" spans="37:44" ht="30" hidden="1" customHeight="1" x14ac:dyDescent="0.25">
      <c r="AK4366" s="313"/>
      <c r="AL4366" s="313"/>
      <c r="AM4366" s="313"/>
      <c r="AN4366" s="313"/>
      <c r="AO4366" s="313"/>
      <c r="AP4366" s="313"/>
      <c r="AQ4366" s="314"/>
      <c r="AR4366" s="315" t="str">
        <f t="shared" si="105"/>
        <v/>
      </c>
    </row>
    <row r="4367" spans="37:44" ht="30" hidden="1" customHeight="1" x14ac:dyDescent="0.25">
      <c r="AK4367" s="313"/>
      <c r="AL4367" s="313"/>
      <c r="AM4367" s="313"/>
      <c r="AN4367" s="313"/>
      <c r="AO4367" s="313"/>
      <c r="AP4367" s="313"/>
      <c r="AQ4367" s="314"/>
      <c r="AR4367" s="315" t="str">
        <f t="shared" si="105"/>
        <v/>
      </c>
    </row>
    <row r="4368" spans="37:44" ht="30" hidden="1" customHeight="1" x14ac:dyDescent="0.25">
      <c r="AK4368" s="313"/>
      <c r="AL4368" s="313"/>
      <c r="AM4368" s="313"/>
      <c r="AN4368" s="313"/>
      <c r="AO4368" s="313"/>
      <c r="AP4368" s="313"/>
      <c r="AQ4368" s="314"/>
      <c r="AR4368" s="315" t="str">
        <f t="shared" si="105"/>
        <v/>
      </c>
    </row>
    <row r="4369" spans="37:44" ht="30" hidden="1" customHeight="1" x14ac:dyDescent="0.25">
      <c r="AK4369" s="313"/>
      <c r="AL4369" s="313"/>
      <c r="AM4369" s="313"/>
      <c r="AN4369" s="313"/>
      <c r="AO4369" s="313"/>
      <c r="AP4369" s="313"/>
      <c r="AQ4369" s="314"/>
      <c r="AR4369" s="315" t="str">
        <f t="shared" si="105"/>
        <v/>
      </c>
    </row>
    <row r="4370" spans="37:44" ht="30" hidden="1" customHeight="1" x14ac:dyDescent="0.25">
      <c r="AK4370" s="313"/>
      <c r="AL4370" s="313"/>
      <c r="AM4370" s="313"/>
      <c r="AN4370" s="313"/>
      <c r="AO4370" s="313"/>
      <c r="AP4370" s="313"/>
      <c r="AQ4370" s="314"/>
      <c r="AR4370" s="315" t="str">
        <f t="shared" si="105"/>
        <v/>
      </c>
    </row>
    <row r="4371" spans="37:44" ht="30" hidden="1" customHeight="1" x14ac:dyDescent="0.25">
      <c r="AK4371" s="313"/>
      <c r="AL4371" s="313"/>
      <c r="AM4371" s="313"/>
      <c r="AN4371" s="313"/>
      <c r="AO4371" s="313"/>
      <c r="AP4371" s="313"/>
      <c r="AQ4371" s="314"/>
      <c r="AR4371" s="315" t="str">
        <f t="shared" si="105"/>
        <v/>
      </c>
    </row>
    <row r="4372" spans="37:44" ht="30" hidden="1" customHeight="1" x14ac:dyDescent="0.25">
      <c r="AK4372" s="313"/>
      <c r="AL4372" s="313"/>
      <c r="AM4372" s="313"/>
      <c r="AN4372" s="313"/>
      <c r="AO4372" s="313"/>
      <c r="AP4372" s="313"/>
      <c r="AQ4372" s="314"/>
      <c r="AR4372" s="315" t="str">
        <f t="shared" si="105"/>
        <v/>
      </c>
    </row>
    <row r="4373" spans="37:44" ht="30" hidden="1" customHeight="1" x14ac:dyDescent="0.25">
      <c r="AK4373" s="313"/>
      <c r="AL4373" s="313"/>
      <c r="AM4373" s="313"/>
      <c r="AN4373" s="313"/>
      <c r="AO4373" s="313"/>
      <c r="AP4373" s="313"/>
      <c r="AQ4373" s="314"/>
      <c r="AR4373" s="315" t="str">
        <f t="shared" si="105"/>
        <v/>
      </c>
    </row>
    <row r="4374" spans="37:44" ht="30" hidden="1" customHeight="1" x14ac:dyDescent="0.25">
      <c r="AK4374" s="313"/>
      <c r="AL4374" s="313"/>
      <c r="AM4374" s="313"/>
      <c r="AN4374" s="313"/>
      <c r="AO4374" s="313"/>
      <c r="AP4374" s="313"/>
      <c r="AQ4374" s="314"/>
      <c r="AR4374" s="315" t="str">
        <f t="shared" si="105"/>
        <v/>
      </c>
    </row>
    <row r="4375" spans="37:44" ht="30" hidden="1" customHeight="1" x14ac:dyDescent="0.25">
      <c r="AK4375" s="313"/>
      <c r="AL4375" s="313"/>
      <c r="AM4375" s="313"/>
      <c r="AN4375" s="313"/>
      <c r="AO4375" s="313"/>
      <c r="AP4375" s="313"/>
      <c r="AQ4375" s="314"/>
      <c r="AR4375" s="315" t="str">
        <f t="shared" si="105"/>
        <v/>
      </c>
    </row>
    <row r="4376" spans="37:44" ht="30" hidden="1" customHeight="1" x14ac:dyDescent="0.25">
      <c r="AK4376" s="313"/>
      <c r="AL4376" s="313"/>
      <c r="AM4376" s="313"/>
      <c r="AN4376" s="313"/>
      <c r="AO4376" s="313"/>
      <c r="AP4376" s="313"/>
      <c r="AQ4376" s="314"/>
      <c r="AR4376" s="315" t="str">
        <f t="shared" si="105"/>
        <v/>
      </c>
    </row>
    <row r="4377" spans="37:44" ht="30" hidden="1" customHeight="1" x14ac:dyDescent="0.25">
      <c r="AK4377" s="313"/>
      <c r="AL4377" s="313"/>
      <c r="AM4377" s="313"/>
      <c r="AN4377" s="313"/>
      <c r="AO4377" s="313"/>
      <c r="AP4377" s="313"/>
      <c r="AQ4377" s="314"/>
      <c r="AR4377" s="315" t="str">
        <f t="shared" si="105"/>
        <v/>
      </c>
    </row>
    <row r="4378" spans="37:44" ht="30" hidden="1" customHeight="1" x14ac:dyDescent="0.25">
      <c r="AK4378" s="313"/>
      <c r="AL4378" s="313"/>
      <c r="AM4378" s="313"/>
      <c r="AN4378" s="313"/>
      <c r="AO4378" s="313"/>
      <c r="AP4378" s="313"/>
      <c r="AQ4378" s="314"/>
      <c r="AR4378" s="315" t="str">
        <f t="shared" si="105"/>
        <v/>
      </c>
    </row>
    <row r="4379" spans="37:44" ht="30" hidden="1" customHeight="1" x14ac:dyDescent="0.25">
      <c r="AK4379" s="313"/>
      <c r="AL4379" s="313"/>
      <c r="AM4379" s="313"/>
      <c r="AN4379" s="313"/>
      <c r="AO4379" s="313"/>
      <c r="AP4379" s="313"/>
      <c r="AQ4379" s="314"/>
      <c r="AR4379" s="315" t="str">
        <f t="shared" si="105"/>
        <v/>
      </c>
    </row>
    <row r="4380" spans="37:44" ht="30" hidden="1" customHeight="1" x14ac:dyDescent="0.25">
      <c r="AK4380" s="313"/>
      <c r="AL4380" s="313"/>
      <c r="AM4380" s="313"/>
      <c r="AN4380" s="313"/>
      <c r="AO4380" s="313"/>
      <c r="AP4380" s="313"/>
      <c r="AQ4380" s="314"/>
      <c r="AR4380" s="315" t="str">
        <f t="shared" si="105"/>
        <v/>
      </c>
    </row>
    <row r="4381" spans="37:44" ht="30" hidden="1" customHeight="1" x14ac:dyDescent="0.25">
      <c r="AK4381" s="313"/>
      <c r="AL4381" s="313"/>
      <c r="AM4381" s="313"/>
      <c r="AN4381" s="313"/>
      <c r="AO4381" s="313"/>
      <c r="AP4381" s="313"/>
      <c r="AQ4381" s="314"/>
      <c r="AR4381" s="315" t="str">
        <f t="shared" si="105"/>
        <v/>
      </c>
    </row>
    <row r="4382" spans="37:44" ht="30" hidden="1" customHeight="1" x14ac:dyDescent="0.25">
      <c r="AK4382" s="313"/>
      <c r="AL4382" s="313"/>
      <c r="AM4382" s="313"/>
      <c r="AN4382" s="313"/>
      <c r="AO4382" s="313"/>
      <c r="AP4382" s="313"/>
      <c r="AQ4382" s="314"/>
      <c r="AR4382" s="315" t="str">
        <f t="shared" si="105"/>
        <v/>
      </c>
    </row>
    <row r="4383" spans="37:44" ht="30" hidden="1" customHeight="1" x14ac:dyDescent="0.25">
      <c r="AK4383" s="313"/>
      <c r="AL4383" s="313"/>
      <c r="AM4383" s="313"/>
      <c r="AN4383" s="313"/>
      <c r="AO4383" s="313"/>
      <c r="AP4383" s="313"/>
      <c r="AQ4383" s="314"/>
      <c r="AR4383" s="315" t="str">
        <f t="shared" si="105"/>
        <v/>
      </c>
    </row>
    <row r="4384" spans="37:44" ht="30" hidden="1" customHeight="1" x14ac:dyDescent="0.25">
      <c r="AK4384" s="313"/>
      <c r="AL4384" s="313"/>
      <c r="AM4384" s="313"/>
      <c r="AN4384" s="313"/>
      <c r="AO4384" s="313"/>
      <c r="AP4384" s="313"/>
      <c r="AQ4384" s="314"/>
      <c r="AR4384" s="315" t="str">
        <f t="shared" si="105"/>
        <v/>
      </c>
    </row>
    <row r="4385" spans="37:44" ht="30" hidden="1" customHeight="1" x14ac:dyDescent="0.25">
      <c r="AK4385" s="313"/>
      <c r="AL4385" s="313"/>
      <c r="AM4385" s="313"/>
      <c r="AN4385" s="313"/>
      <c r="AO4385" s="313"/>
      <c r="AP4385" s="313"/>
      <c r="AQ4385" s="314"/>
      <c r="AR4385" s="315" t="str">
        <f t="shared" si="105"/>
        <v/>
      </c>
    </row>
    <row r="4386" spans="37:44" ht="30" hidden="1" customHeight="1" x14ac:dyDescent="0.25">
      <c r="AK4386" s="313"/>
      <c r="AL4386" s="313"/>
      <c r="AM4386" s="313"/>
      <c r="AN4386" s="313"/>
      <c r="AO4386" s="313"/>
      <c r="AP4386" s="313"/>
      <c r="AQ4386" s="314"/>
      <c r="AR4386" s="315" t="str">
        <f t="shared" si="105"/>
        <v/>
      </c>
    </row>
    <row r="4387" spans="37:44" ht="30" hidden="1" customHeight="1" x14ac:dyDescent="0.25">
      <c r="AK4387" s="313"/>
      <c r="AL4387" s="313"/>
      <c r="AM4387" s="313"/>
      <c r="AN4387" s="313"/>
      <c r="AO4387" s="313"/>
      <c r="AP4387" s="313"/>
      <c r="AQ4387" s="314"/>
      <c r="AR4387" s="315" t="str">
        <f t="shared" si="105"/>
        <v/>
      </c>
    </row>
    <row r="4388" spans="37:44" ht="30" hidden="1" customHeight="1" x14ac:dyDescent="0.25">
      <c r="AK4388" s="313"/>
      <c r="AL4388" s="313"/>
      <c r="AM4388" s="313"/>
      <c r="AN4388" s="313"/>
      <c r="AO4388" s="313"/>
      <c r="AP4388" s="313"/>
      <c r="AQ4388" s="314"/>
      <c r="AR4388" s="315" t="str">
        <f t="shared" si="105"/>
        <v/>
      </c>
    </row>
    <row r="4389" spans="37:44" ht="30" hidden="1" customHeight="1" x14ac:dyDescent="0.25">
      <c r="AK4389" s="313"/>
      <c r="AL4389" s="313"/>
      <c r="AM4389" s="313"/>
      <c r="AN4389" s="313"/>
      <c r="AO4389" s="313"/>
      <c r="AP4389" s="313"/>
      <c r="AQ4389" s="314"/>
      <c r="AR4389" s="315" t="str">
        <f t="shared" si="105"/>
        <v/>
      </c>
    </row>
    <row r="4390" spans="37:44" ht="30" hidden="1" customHeight="1" x14ac:dyDescent="0.25">
      <c r="AK4390" s="313"/>
      <c r="AL4390" s="313"/>
      <c r="AM4390" s="313"/>
      <c r="AN4390" s="313"/>
      <c r="AO4390" s="313"/>
      <c r="AP4390" s="313"/>
      <c r="AQ4390" s="314"/>
      <c r="AR4390" s="315" t="str">
        <f t="shared" si="105"/>
        <v/>
      </c>
    </row>
    <row r="4391" spans="37:44" ht="30" hidden="1" customHeight="1" x14ac:dyDescent="0.25">
      <c r="AK4391" s="313"/>
      <c r="AL4391" s="313"/>
      <c r="AM4391" s="313"/>
      <c r="AN4391" s="313"/>
      <c r="AO4391" s="313"/>
      <c r="AP4391" s="313"/>
      <c r="AQ4391" s="314"/>
      <c r="AR4391" s="315" t="str">
        <f t="shared" si="105"/>
        <v/>
      </c>
    </row>
    <row r="4392" spans="37:44" ht="30" hidden="1" customHeight="1" x14ac:dyDescent="0.25">
      <c r="AK4392" s="313"/>
      <c r="AL4392" s="313"/>
      <c r="AM4392" s="313"/>
      <c r="AN4392" s="313"/>
      <c r="AO4392" s="313"/>
      <c r="AP4392" s="313"/>
      <c r="AQ4392" s="314"/>
      <c r="AR4392" s="315" t="str">
        <f t="shared" si="105"/>
        <v/>
      </c>
    </row>
    <row r="4393" spans="37:44" ht="30" hidden="1" customHeight="1" x14ac:dyDescent="0.25">
      <c r="AK4393" s="313"/>
      <c r="AL4393" s="313"/>
      <c r="AM4393" s="313"/>
      <c r="AN4393" s="313"/>
      <c r="AO4393" s="313"/>
      <c r="AP4393" s="313"/>
      <c r="AQ4393" s="314"/>
      <c r="AR4393" s="315" t="str">
        <f t="shared" si="105"/>
        <v/>
      </c>
    </row>
    <row r="4394" spans="37:44" ht="30" hidden="1" customHeight="1" x14ac:dyDescent="0.25">
      <c r="AK4394" s="313"/>
      <c r="AL4394" s="313"/>
      <c r="AM4394" s="313"/>
      <c r="AN4394" s="313"/>
      <c r="AO4394" s="313"/>
      <c r="AP4394" s="313"/>
      <c r="AQ4394" s="314"/>
      <c r="AR4394" s="315" t="str">
        <f t="shared" si="105"/>
        <v/>
      </c>
    </row>
    <row r="4395" spans="37:44" ht="30" hidden="1" customHeight="1" x14ac:dyDescent="0.25">
      <c r="AK4395" s="313"/>
      <c r="AL4395" s="313"/>
      <c r="AM4395" s="313"/>
      <c r="AN4395" s="313"/>
      <c r="AO4395" s="313"/>
      <c r="AP4395" s="313"/>
      <c r="AQ4395" s="314"/>
      <c r="AR4395" s="315" t="str">
        <f t="shared" si="105"/>
        <v/>
      </c>
    </row>
    <row r="4396" spans="37:44" ht="30" hidden="1" customHeight="1" x14ac:dyDescent="0.25">
      <c r="AK4396" s="313"/>
      <c r="AL4396" s="313"/>
      <c r="AM4396" s="313"/>
      <c r="AN4396" s="313"/>
      <c r="AO4396" s="313"/>
      <c r="AP4396" s="313"/>
      <c r="AQ4396" s="314"/>
      <c r="AR4396" s="315" t="str">
        <f t="shared" si="105"/>
        <v/>
      </c>
    </row>
    <row r="4397" spans="37:44" ht="30" hidden="1" customHeight="1" x14ac:dyDescent="0.25">
      <c r="AK4397" s="313"/>
      <c r="AL4397" s="313"/>
      <c r="AM4397" s="313"/>
      <c r="AN4397" s="313"/>
      <c r="AO4397" s="313"/>
      <c r="AP4397" s="313"/>
      <c r="AQ4397" s="314"/>
      <c r="AR4397" s="315" t="str">
        <f t="shared" si="105"/>
        <v/>
      </c>
    </row>
    <row r="4398" spans="37:44" ht="30" hidden="1" customHeight="1" x14ac:dyDescent="0.25">
      <c r="AK4398" s="313"/>
      <c r="AL4398" s="313"/>
      <c r="AM4398" s="313"/>
      <c r="AN4398" s="313"/>
      <c r="AO4398" s="313"/>
      <c r="AP4398" s="313"/>
      <c r="AQ4398" s="314"/>
      <c r="AR4398" s="315" t="str">
        <f t="shared" si="105"/>
        <v/>
      </c>
    </row>
    <row r="4399" spans="37:44" ht="30" hidden="1" customHeight="1" x14ac:dyDescent="0.25">
      <c r="AK4399" s="313"/>
      <c r="AL4399" s="313"/>
      <c r="AM4399" s="313"/>
      <c r="AN4399" s="313"/>
      <c r="AO4399" s="313"/>
      <c r="AP4399" s="313"/>
      <c r="AQ4399" s="314"/>
      <c r="AR4399" s="315" t="str">
        <f t="shared" si="105"/>
        <v/>
      </c>
    </row>
    <row r="4400" spans="37:44" ht="30" hidden="1" customHeight="1" x14ac:dyDescent="0.25">
      <c r="AK4400" s="313"/>
      <c r="AL4400" s="313"/>
      <c r="AM4400" s="313"/>
      <c r="AN4400" s="313"/>
      <c r="AO4400" s="313"/>
      <c r="AP4400" s="313"/>
      <c r="AQ4400" s="314"/>
      <c r="AR4400" s="315" t="str">
        <f t="shared" si="105"/>
        <v/>
      </c>
    </row>
    <row r="4401" spans="37:44" ht="30" hidden="1" customHeight="1" x14ac:dyDescent="0.25">
      <c r="AK4401" s="313"/>
      <c r="AL4401" s="313"/>
      <c r="AM4401" s="313"/>
      <c r="AN4401" s="313"/>
      <c r="AO4401" s="313"/>
      <c r="AP4401" s="313"/>
      <c r="AQ4401" s="314"/>
      <c r="AR4401" s="315" t="str">
        <f t="shared" si="105"/>
        <v/>
      </c>
    </row>
    <row r="4402" spans="37:44" ht="30" hidden="1" customHeight="1" x14ac:dyDescent="0.25">
      <c r="AK4402" s="313"/>
      <c r="AL4402" s="313"/>
      <c r="AM4402" s="313"/>
      <c r="AN4402" s="313"/>
      <c r="AO4402" s="313"/>
      <c r="AP4402" s="313"/>
      <c r="AQ4402" s="314"/>
      <c r="AR4402" s="315" t="str">
        <f t="shared" si="105"/>
        <v/>
      </c>
    </row>
    <row r="4403" spans="37:44" ht="30" hidden="1" customHeight="1" x14ac:dyDescent="0.25">
      <c r="AK4403" s="313"/>
      <c r="AL4403" s="313"/>
      <c r="AM4403" s="313"/>
      <c r="AN4403" s="313"/>
      <c r="AO4403" s="313"/>
      <c r="AP4403" s="313"/>
      <c r="AQ4403" s="314"/>
      <c r="AR4403" s="315" t="str">
        <f t="shared" si="105"/>
        <v/>
      </c>
    </row>
    <row r="4404" spans="37:44" ht="30" hidden="1" customHeight="1" x14ac:dyDescent="0.25">
      <c r="AK4404" s="313"/>
      <c r="AL4404" s="313"/>
      <c r="AM4404" s="313"/>
      <c r="AN4404" s="313"/>
      <c r="AO4404" s="313"/>
      <c r="AP4404" s="313"/>
      <c r="AQ4404" s="314"/>
      <c r="AR4404" s="315" t="str">
        <f t="shared" si="105"/>
        <v/>
      </c>
    </row>
    <row r="4405" spans="37:44" ht="30" hidden="1" customHeight="1" x14ac:dyDescent="0.25">
      <c r="AK4405" s="313"/>
      <c r="AL4405" s="313"/>
      <c r="AM4405" s="313"/>
      <c r="AN4405" s="313"/>
      <c r="AO4405" s="313"/>
      <c r="AP4405" s="313"/>
      <c r="AQ4405" s="314"/>
      <c r="AR4405" s="315" t="str">
        <f t="shared" si="105"/>
        <v/>
      </c>
    </row>
    <row r="4406" spans="37:44" ht="30" hidden="1" customHeight="1" x14ac:dyDescent="0.25">
      <c r="AK4406" s="313"/>
      <c r="AL4406" s="313"/>
      <c r="AM4406" s="313"/>
      <c r="AN4406" s="313"/>
      <c r="AO4406" s="313"/>
      <c r="AP4406" s="313"/>
      <c r="AQ4406" s="314"/>
      <c r="AR4406" s="315" t="str">
        <f t="shared" si="105"/>
        <v/>
      </c>
    </row>
    <row r="4407" spans="37:44" ht="30" hidden="1" customHeight="1" x14ac:dyDescent="0.25">
      <c r="AK4407" s="313"/>
      <c r="AL4407" s="313"/>
      <c r="AM4407" s="313"/>
      <c r="AN4407" s="313"/>
      <c r="AO4407" s="313"/>
      <c r="AP4407" s="313"/>
      <c r="AQ4407" s="314"/>
      <c r="AR4407" s="315" t="str">
        <f t="shared" si="105"/>
        <v/>
      </c>
    </row>
    <row r="4408" spans="37:44" ht="30" hidden="1" customHeight="1" x14ac:dyDescent="0.25">
      <c r="AK4408" s="313"/>
      <c r="AL4408" s="313"/>
      <c r="AM4408" s="313"/>
      <c r="AN4408" s="313"/>
      <c r="AO4408" s="313"/>
      <c r="AP4408" s="313"/>
      <c r="AQ4408" s="314"/>
      <c r="AR4408" s="315" t="str">
        <f t="shared" si="105"/>
        <v/>
      </c>
    </row>
    <row r="4409" spans="37:44" ht="30" hidden="1" customHeight="1" x14ac:dyDescent="0.25">
      <c r="AK4409" s="313"/>
      <c r="AL4409" s="313"/>
      <c r="AM4409" s="313"/>
      <c r="AN4409" s="313"/>
      <c r="AO4409" s="313"/>
      <c r="AP4409" s="313"/>
      <c r="AQ4409" s="314"/>
      <c r="AR4409" s="315" t="str">
        <f t="shared" si="105"/>
        <v/>
      </c>
    </row>
    <row r="4410" spans="37:44" ht="30" hidden="1" customHeight="1" x14ac:dyDescent="0.25">
      <c r="AK4410" s="313"/>
      <c r="AL4410" s="313"/>
      <c r="AM4410" s="313"/>
      <c r="AN4410" s="313"/>
      <c r="AO4410" s="313"/>
      <c r="AP4410" s="313"/>
      <c r="AQ4410" s="314"/>
      <c r="AR4410" s="315" t="str">
        <f t="shared" si="105"/>
        <v/>
      </c>
    </row>
    <row r="4411" spans="37:44" ht="30" hidden="1" customHeight="1" x14ac:dyDescent="0.25">
      <c r="AK4411" s="313"/>
      <c r="AL4411" s="313"/>
      <c r="AM4411" s="313"/>
      <c r="AN4411" s="313"/>
      <c r="AO4411" s="313"/>
      <c r="AP4411" s="313"/>
      <c r="AQ4411" s="314"/>
      <c r="AR4411" s="315" t="str">
        <f t="shared" si="105"/>
        <v/>
      </c>
    </row>
    <row r="4412" spans="37:44" ht="30" hidden="1" customHeight="1" x14ac:dyDescent="0.25">
      <c r="AK4412" s="313"/>
      <c r="AL4412" s="313"/>
      <c r="AM4412" s="313"/>
      <c r="AN4412" s="313"/>
      <c r="AO4412" s="313"/>
      <c r="AP4412" s="313"/>
      <c r="AQ4412" s="314"/>
      <c r="AR4412" s="315" t="str">
        <f t="shared" si="105"/>
        <v/>
      </c>
    </row>
    <row r="4413" spans="37:44" ht="30" hidden="1" customHeight="1" x14ac:dyDescent="0.25">
      <c r="AK4413" s="313"/>
      <c r="AL4413" s="313"/>
      <c r="AM4413" s="313"/>
      <c r="AN4413" s="313"/>
      <c r="AO4413" s="313"/>
      <c r="AP4413" s="313"/>
      <c r="AQ4413" s="314"/>
      <c r="AR4413" s="315" t="str">
        <f t="shared" si="105"/>
        <v/>
      </c>
    </row>
    <row r="4414" spans="37:44" ht="30" hidden="1" customHeight="1" x14ac:dyDescent="0.25">
      <c r="AK4414" s="313"/>
      <c r="AL4414" s="313"/>
      <c r="AM4414" s="313"/>
      <c r="AN4414" s="313"/>
      <c r="AO4414" s="313"/>
      <c r="AP4414" s="313"/>
      <c r="AQ4414" s="314"/>
      <c r="AR4414" s="315" t="str">
        <f t="shared" si="105"/>
        <v/>
      </c>
    </row>
    <row r="4415" spans="37:44" ht="30" hidden="1" customHeight="1" x14ac:dyDescent="0.25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06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 x14ac:dyDescent="0.25">
      <c r="AK4416" s="313"/>
      <c r="AL4416" s="313"/>
      <c r="AM4416" s="313"/>
      <c r="AN4416" s="313"/>
      <c r="AO4416" s="313"/>
      <c r="AP4416" s="313"/>
      <c r="AQ4416" s="314"/>
      <c r="AR4416" s="315" t="str">
        <f t="shared" si="106"/>
        <v/>
      </c>
    </row>
    <row r="4417" spans="37:44" ht="30" hidden="1" customHeight="1" x14ac:dyDescent="0.25">
      <c r="AK4417" s="313"/>
      <c r="AL4417" s="313"/>
      <c r="AM4417" s="313"/>
      <c r="AN4417" s="313"/>
      <c r="AO4417" s="313"/>
      <c r="AP4417" s="313"/>
      <c r="AQ4417" s="314"/>
      <c r="AR4417" s="315" t="str">
        <f t="shared" si="106"/>
        <v/>
      </c>
    </row>
    <row r="4418" spans="37:44" ht="30" hidden="1" customHeight="1" x14ac:dyDescent="0.25">
      <c r="AK4418" s="313"/>
      <c r="AL4418" s="313"/>
      <c r="AM4418" s="313"/>
      <c r="AN4418" s="313"/>
      <c r="AO4418" s="313"/>
      <c r="AP4418" s="313"/>
      <c r="AQ4418" s="314"/>
      <c r="AR4418" s="315" t="str">
        <f t="shared" si="106"/>
        <v/>
      </c>
    </row>
    <row r="4419" spans="37:44" ht="30" hidden="1" customHeight="1" x14ac:dyDescent="0.25">
      <c r="AK4419" s="313"/>
      <c r="AL4419" s="313"/>
      <c r="AM4419" s="313"/>
      <c r="AN4419" s="313"/>
      <c r="AO4419" s="313"/>
      <c r="AP4419" s="313"/>
      <c r="AQ4419" s="314"/>
      <c r="AR4419" s="315" t="str">
        <f t="shared" si="106"/>
        <v/>
      </c>
    </row>
    <row r="4420" spans="37:44" ht="30" hidden="1" customHeight="1" x14ac:dyDescent="0.25">
      <c r="AK4420" s="313"/>
      <c r="AL4420" s="313"/>
      <c r="AM4420" s="313"/>
      <c r="AN4420" s="313"/>
      <c r="AO4420" s="313"/>
      <c r="AP4420" s="313"/>
      <c r="AQ4420" s="314"/>
      <c r="AR4420" s="315" t="str">
        <f t="shared" si="106"/>
        <v/>
      </c>
    </row>
    <row r="4421" spans="37:44" ht="30" hidden="1" customHeight="1" x14ac:dyDescent="0.25">
      <c r="AK4421" s="313"/>
      <c r="AL4421" s="313"/>
      <c r="AM4421" s="313"/>
      <c r="AN4421" s="313"/>
      <c r="AO4421" s="313"/>
      <c r="AP4421" s="313"/>
      <c r="AQ4421" s="314"/>
      <c r="AR4421" s="315" t="str">
        <f t="shared" si="106"/>
        <v/>
      </c>
    </row>
    <row r="4422" spans="37:44" ht="30" hidden="1" customHeight="1" x14ac:dyDescent="0.25">
      <c r="AK4422" s="313"/>
      <c r="AL4422" s="313"/>
      <c r="AM4422" s="313"/>
      <c r="AN4422" s="313"/>
      <c r="AO4422" s="313"/>
      <c r="AP4422" s="313"/>
      <c r="AQ4422" s="314"/>
      <c r="AR4422" s="315" t="str">
        <f t="shared" si="106"/>
        <v/>
      </c>
    </row>
    <row r="4423" spans="37:44" ht="30" hidden="1" customHeight="1" x14ac:dyDescent="0.25">
      <c r="AK4423" s="313"/>
      <c r="AL4423" s="313"/>
      <c r="AM4423" s="313"/>
      <c r="AN4423" s="313"/>
      <c r="AO4423" s="313"/>
      <c r="AP4423" s="313"/>
      <c r="AQ4423" s="314"/>
      <c r="AR4423" s="315" t="str">
        <f t="shared" si="106"/>
        <v/>
      </c>
    </row>
    <row r="4424" spans="37:44" ht="30" hidden="1" customHeight="1" x14ac:dyDescent="0.25">
      <c r="AK4424" s="313"/>
      <c r="AL4424" s="313"/>
      <c r="AM4424" s="313"/>
      <c r="AN4424" s="313"/>
      <c r="AO4424" s="313"/>
      <c r="AP4424" s="313"/>
      <c r="AQ4424" s="314"/>
      <c r="AR4424" s="315" t="str">
        <f t="shared" si="106"/>
        <v/>
      </c>
    </row>
    <row r="4425" spans="37:44" ht="30" hidden="1" customHeight="1" x14ac:dyDescent="0.25">
      <c r="AK4425" s="313"/>
      <c r="AL4425" s="313"/>
      <c r="AM4425" s="313"/>
      <c r="AN4425" s="313"/>
      <c r="AO4425" s="313"/>
      <c r="AP4425" s="313"/>
      <c r="AQ4425" s="314"/>
      <c r="AR4425" s="315" t="str">
        <f t="shared" si="106"/>
        <v/>
      </c>
    </row>
    <row r="4426" spans="37:44" ht="30" hidden="1" customHeight="1" x14ac:dyDescent="0.25">
      <c r="AK4426" s="313"/>
      <c r="AL4426" s="313"/>
      <c r="AM4426" s="313"/>
      <c r="AN4426" s="313"/>
      <c r="AO4426" s="313"/>
      <c r="AP4426" s="313"/>
      <c r="AQ4426" s="314"/>
      <c r="AR4426" s="315" t="str">
        <f t="shared" si="106"/>
        <v/>
      </c>
    </row>
    <row r="4427" spans="37:44" ht="30" hidden="1" customHeight="1" x14ac:dyDescent="0.25">
      <c r="AK4427" s="313"/>
      <c r="AL4427" s="313"/>
      <c r="AM4427" s="313"/>
      <c r="AN4427" s="313"/>
      <c r="AO4427" s="313"/>
      <c r="AP4427" s="313"/>
      <c r="AQ4427" s="314"/>
      <c r="AR4427" s="315" t="str">
        <f t="shared" si="106"/>
        <v/>
      </c>
    </row>
    <row r="4428" spans="37:44" ht="30" hidden="1" customHeight="1" x14ac:dyDescent="0.25">
      <c r="AK4428" s="313"/>
      <c r="AL4428" s="313"/>
      <c r="AM4428" s="313"/>
      <c r="AN4428" s="313"/>
      <c r="AO4428" s="313"/>
      <c r="AP4428" s="313"/>
      <c r="AQ4428" s="314"/>
      <c r="AR4428" s="315" t="str">
        <f t="shared" si="106"/>
        <v/>
      </c>
    </row>
    <row r="4429" spans="37:44" ht="30" hidden="1" customHeight="1" x14ac:dyDescent="0.25">
      <c r="AK4429" s="313"/>
      <c r="AL4429" s="313"/>
      <c r="AM4429" s="313"/>
      <c r="AN4429" s="313"/>
      <c r="AO4429" s="313"/>
      <c r="AP4429" s="313"/>
      <c r="AQ4429" s="314"/>
      <c r="AR4429" s="315" t="str">
        <f t="shared" si="106"/>
        <v/>
      </c>
    </row>
    <row r="4430" spans="37:44" ht="30" hidden="1" customHeight="1" x14ac:dyDescent="0.25">
      <c r="AK4430" s="313"/>
      <c r="AL4430" s="313"/>
      <c r="AM4430" s="313"/>
      <c r="AN4430" s="313"/>
      <c r="AO4430" s="313"/>
      <c r="AP4430" s="313"/>
      <c r="AQ4430" s="314"/>
      <c r="AR4430" s="315" t="str">
        <f t="shared" si="106"/>
        <v/>
      </c>
    </row>
    <row r="4431" spans="37:44" ht="30" hidden="1" customHeight="1" x14ac:dyDescent="0.25">
      <c r="AK4431" s="313"/>
      <c r="AL4431" s="313"/>
      <c r="AM4431" s="313"/>
      <c r="AN4431" s="313"/>
      <c r="AO4431" s="313"/>
      <c r="AP4431" s="313"/>
      <c r="AQ4431" s="314"/>
      <c r="AR4431" s="315" t="str">
        <f t="shared" si="106"/>
        <v/>
      </c>
    </row>
    <row r="4432" spans="37:44" ht="30" hidden="1" customHeight="1" x14ac:dyDescent="0.25">
      <c r="AK4432" s="313"/>
      <c r="AL4432" s="313"/>
      <c r="AM4432" s="313"/>
      <c r="AN4432" s="313"/>
      <c r="AO4432" s="313"/>
      <c r="AP4432" s="313"/>
      <c r="AQ4432" s="314"/>
      <c r="AR4432" s="315" t="str">
        <f t="shared" si="106"/>
        <v/>
      </c>
    </row>
    <row r="4433" spans="37:44" ht="30" hidden="1" customHeight="1" x14ac:dyDescent="0.25">
      <c r="AK4433" s="313"/>
      <c r="AL4433" s="313"/>
      <c r="AM4433" s="313"/>
      <c r="AN4433" s="313"/>
      <c r="AO4433" s="313"/>
      <c r="AP4433" s="313"/>
      <c r="AQ4433" s="314"/>
      <c r="AR4433" s="315" t="str">
        <f t="shared" si="106"/>
        <v/>
      </c>
    </row>
    <row r="4434" spans="37:44" ht="30" hidden="1" customHeight="1" x14ac:dyDescent="0.25">
      <c r="AK4434" s="313"/>
      <c r="AL4434" s="313"/>
      <c r="AM4434" s="313"/>
      <c r="AN4434" s="313"/>
      <c r="AO4434" s="313"/>
      <c r="AP4434" s="313"/>
      <c r="AQ4434" s="314"/>
      <c r="AR4434" s="315" t="str">
        <f t="shared" si="106"/>
        <v/>
      </c>
    </row>
    <row r="4435" spans="37:44" ht="30" hidden="1" customHeight="1" x14ac:dyDescent="0.25">
      <c r="AK4435" s="313"/>
      <c r="AL4435" s="313"/>
      <c r="AM4435" s="313"/>
      <c r="AN4435" s="313"/>
      <c r="AO4435" s="313"/>
      <c r="AP4435" s="313"/>
      <c r="AQ4435" s="314"/>
      <c r="AR4435" s="315" t="str">
        <f t="shared" si="106"/>
        <v/>
      </c>
    </row>
    <row r="4436" spans="37:44" ht="30" hidden="1" customHeight="1" x14ac:dyDescent="0.25">
      <c r="AK4436" s="313"/>
      <c r="AL4436" s="313"/>
      <c r="AM4436" s="313"/>
      <c r="AN4436" s="313"/>
      <c r="AO4436" s="313"/>
      <c r="AP4436" s="313"/>
      <c r="AQ4436" s="314"/>
      <c r="AR4436" s="315" t="str">
        <f t="shared" si="106"/>
        <v/>
      </c>
    </row>
    <row r="4437" spans="37:44" ht="30" hidden="1" customHeight="1" x14ac:dyDescent="0.25">
      <c r="AK4437" s="313"/>
      <c r="AL4437" s="313"/>
      <c r="AM4437" s="313"/>
      <c r="AN4437" s="313"/>
      <c r="AO4437" s="313"/>
      <c r="AP4437" s="313"/>
      <c r="AQ4437" s="314"/>
      <c r="AR4437" s="315" t="str">
        <f t="shared" si="106"/>
        <v/>
      </c>
    </row>
    <row r="4438" spans="37:44" ht="30" hidden="1" customHeight="1" x14ac:dyDescent="0.25">
      <c r="AK4438" s="313"/>
      <c r="AL4438" s="313"/>
      <c r="AM4438" s="313"/>
      <c r="AN4438" s="313"/>
      <c r="AO4438" s="313"/>
      <c r="AP4438" s="313"/>
      <c r="AQ4438" s="314"/>
      <c r="AR4438" s="315" t="str">
        <f t="shared" si="106"/>
        <v/>
      </c>
    </row>
    <row r="4439" spans="37:44" ht="30" hidden="1" customHeight="1" x14ac:dyDescent="0.25">
      <c r="AK4439" s="313"/>
      <c r="AL4439" s="313"/>
      <c r="AM4439" s="313"/>
      <c r="AN4439" s="313"/>
      <c r="AO4439" s="313"/>
      <c r="AP4439" s="313"/>
      <c r="AQ4439" s="314"/>
      <c r="AR4439" s="315" t="str">
        <f t="shared" si="106"/>
        <v/>
      </c>
    </row>
    <row r="4440" spans="37:44" ht="30" hidden="1" customHeight="1" x14ac:dyDescent="0.25">
      <c r="AK4440" s="313"/>
      <c r="AL4440" s="313"/>
      <c r="AM4440" s="313"/>
      <c r="AN4440" s="313"/>
      <c r="AO4440" s="313"/>
      <c r="AP4440" s="313"/>
      <c r="AQ4440" s="314"/>
      <c r="AR4440" s="315" t="str">
        <f t="shared" si="106"/>
        <v/>
      </c>
    </row>
    <row r="4441" spans="37:44" ht="30" hidden="1" customHeight="1" x14ac:dyDescent="0.25">
      <c r="AK4441" s="313"/>
      <c r="AL4441" s="313"/>
      <c r="AM4441" s="313"/>
      <c r="AN4441" s="313"/>
      <c r="AO4441" s="313"/>
      <c r="AP4441" s="313"/>
      <c r="AQ4441" s="314"/>
      <c r="AR4441" s="315" t="str">
        <f t="shared" si="106"/>
        <v/>
      </c>
    </row>
    <row r="4442" spans="37:44" ht="30" hidden="1" customHeight="1" x14ac:dyDescent="0.25">
      <c r="AK4442" s="313"/>
      <c r="AL4442" s="313"/>
      <c r="AM4442" s="313"/>
      <c r="AN4442" s="313"/>
      <c r="AO4442" s="313"/>
      <c r="AP4442" s="313"/>
      <c r="AQ4442" s="314"/>
      <c r="AR4442" s="315" t="str">
        <f t="shared" si="106"/>
        <v/>
      </c>
    </row>
    <row r="4443" spans="37:44" ht="30" hidden="1" customHeight="1" x14ac:dyDescent="0.25">
      <c r="AK4443" s="313"/>
      <c r="AL4443" s="313"/>
      <c r="AM4443" s="313"/>
      <c r="AN4443" s="313"/>
      <c r="AO4443" s="313"/>
      <c r="AP4443" s="313"/>
      <c r="AQ4443" s="314"/>
      <c r="AR4443" s="315" t="str">
        <f t="shared" si="106"/>
        <v/>
      </c>
    </row>
    <row r="4444" spans="37:44" ht="30" hidden="1" customHeight="1" x14ac:dyDescent="0.25">
      <c r="AK4444" s="313"/>
      <c r="AL4444" s="313"/>
      <c r="AM4444" s="313"/>
      <c r="AN4444" s="313"/>
      <c r="AO4444" s="313"/>
      <c r="AP4444" s="313"/>
      <c r="AQ4444" s="314"/>
      <c r="AR4444" s="315" t="str">
        <f t="shared" si="106"/>
        <v/>
      </c>
    </row>
    <row r="4445" spans="37:44" ht="30" hidden="1" customHeight="1" x14ac:dyDescent="0.25">
      <c r="AK4445" s="313"/>
      <c r="AL4445" s="313"/>
      <c r="AM4445" s="313"/>
      <c r="AN4445" s="313"/>
      <c r="AO4445" s="313"/>
      <c r="AP4445" s="313"/>
      <c r="AQ4445" s="314"/>
      <c r="AR4445" s="315" t="str">
        <f t="shared" si="106"/>
        <v/>
      </c>
    </row>
    <row r="4446" spans="37:44" ht="30" hidden="1" customHeight="1" x14ac:dyDescent="0.25">
      <c r="AK4446" s="313"/>
      <c r="AL4446" s="313"/>
      <c r="AM4446" s="313"/>
      <c r="AN4446" s="313"/>
      <c r="AO4446" s="313"/>
      <c r="AP4446" s="313"/>
      <c r="AQ4446" s="314"/>
      <c r="AR4446" s="315" t="str">
        <f t="shared" si="106"/>
        <v/>
      </c>
    </row>
    <row r="4447" spans="37:44" ht="30" hidden="1" customHeight="1" x14ac:dyDescent="0.25">
      <c r="AK4447" s="313"/>
      <c r="AL4447" s="313"/>
      <c r="AM4447" s="313"/>
      <c r="AN4447" s="313"/>
      <c r="AO4447" s="313"/>
      <c r="AP4447" s="313"/>
      <c r="AQ4447" s="314"/>
      <c r="AR4447" s="315" t="str">
        <f t="shared" si="106"/>
        <v/>
      </c>
    </row>
    <row r="4448" spans="37:44" ht="30" hidden="1" customHeight="1" x14ac:dyDescent="0.25">
      <c r="AK4448" s="313"/>
      <c r="AL4448" s="313"/>
      <c r="AM4448" s="313"/>
      <c r="AN4448" s="313"/>
      <c r="AO4448" s="313"/>
      <c r="AP4448" s="313"/>
      <c r="AQ4448" s="314"/>
      <c r="AR4448" s="315" t="str">
        <f t="shared" si="106"/>
        <v/>
      </c>
    </row>
    <row r="4449" spans="37:44" ht="30" hidden="1" customHeight="1" x14ac:dyDescent="0.25">
      <c r="AK4449" s="313"/>
      <c r="AL4449" s="313"/>
      <c r="AM4449" s="313"/>
      <c r="AN4449" s="313"/>
      <c r="AO4449" s="313"/>
      <c r="AP4449" s="313"/>
      <c r="AQ4449" s="314"/>
      <c r="AR4449" s="315" t="str">
        <f t="shared" si="106"/>
        <v/>
      </c>
    </row>
    <row r="4450" spans="37:44" ht="30" hidden="1" customHeight="1" x14ac:dyDescent="0.25">
      <c r="AK4450" s="313"/>
      <c r="AL4450" s="313"/>
      <c r="AM4450" s="313"/>
      <c r="AN4450" s="313"/>
      <c r="AO4450" s="313"/>
      <c r="AP4450" s="313"/>
      <c r="AQ4450" s="314"/>
      <c r="AR4450" s="315" t="str">
        <f t="shared" si="106"/>
        <v/>
      </c>
    </row>
    <row r="4451" spans="37:44" ht="30" hidden="1" customHeight="1" x14ac:dyDescent="0.25">
      <c r="AK4451" s="313"/>
      <c r="AL4451" s="313"/>
      <c r="AM4451" s="313"/>
      <c r="AN4451" s="313"/>
      <c r="AO4451" s="313"/>
      <c r="AP4451" s="313"/>
      <c r="AQ4451" s="314"/>
      <c r="AR4451" s="315" t="str">
        <f t="shared" si="106"/>
        <v/>
      </c>
    </row>
    <row r="4452" spans="37:44" ht="30" hidden="1" customHeight="1" x14ac:dyDescent="0.25">
      <c r="AK4452" s="313"/>
      <c r="AL4452" s="313"/>
      <c r="AM4452" s="313"/>
      <c r="AN4452" s="313"/>
      <c r="AO4452" s="313"/>
      <c r="AP4452" s="313"/>
      <c r="AQ4452" s="314"/>
      <c r="AR4452" s="315" t="str">
        <f t="shared" si="106"/>
        <v/>
      </c>
    </row>
    <row r="4453" spans="37:44" ht="30" hidden="1" customHeight="1" x14ac:dyDescent="0.25">
      <c r="AK4453" s="313"/>
      <c r="AL4453" s="313"/>
      <c r="AM4453" s="313"/>
      <c r="AN4453" s="313"/>
      <c r="AO4453" s="313"/>
      <c r="AP4453" s="313"/>
      <c r="AQ4453" s="314"/>
      <c r="AR4453" s="315" t="str">
        <f t="shared" si="106"/>
        <v/>
      </c>
    </row>
    <row r="4454" spans="37:44" ht="30" hidden="1" customHeight="1" x14ac:dyDescent="0.25">
      <c r="AK4454" s="313"/>
      <c r="AL4454" s="313"/>
      <c r="AM4454" s="313"/>
      <c r="AN4454" s="313"/>
      <c r="AO4454" s="313"/>
      <c r="AP4454" s="313"/>
      <c r="AQ4454" s="314"/>
      <c r="AR4454" s="315" t="str">
        <f t="shared" si="106"/>
        <v/>
      </c>
    </row>
    <row r="4455" spans="37:44" ht="30" hidden="1" customHeight="1" x14ac:dyDescent="0.25">
      <c r="AK4455" s="313"/>
      <c r="AL4455" s="313"/>
      <c r="AM4455" s="313"/>
      <c r="AN4455" s="313"/>
      <c r="AO4455" s="313"/>
      <c r="AP4455" s="313"/>
      <c r="AQ4455" s="314"/>
      <c r="AR4455" s="315" t="str">
        <f t="shared" si="106"/>
        <v/>
      </c>
    </row>
    <row r="4456" spans="37:44" ht="30" hidden="1" customHeight="1" x14ac:dyDescent="0.25">
      <c r="AK4456" s="313"/>
      <c r="AL4456" s="313"/>
      <c r="AM4456" s="313"/>
      <c r="AN4456" s="313"/>
      <c r="AO4456" s="313"/>
      <c r="AP4456" s="313"/>
      <c r="AQ4456" s="314"/>
      <c r="AR4456" s="315" t="str">
        <f t="shared" si="106"/>
        <v/>
      </c>
    </row>
    <row r="4457" spans="37:44" ht="30" hidden="1" customHeight="1" x14ac:dyDescent="0.25">
      <c r="AK4457" s="313"/>
      <c r="AL4457" s="313"/>
      <c r="AM4457" s="313"/>
      <c r="AN4457" s="313"/>
      <c r="AO4457" s="313"/>
      <c r="AP4457" s="313"/>
      <c r="AQ4457" s="314"/>
      <c r="AR4457" s="315" t="str">
        <f t="shared" si="106"/>
        <v/>
      </c>
    </row>
    <row r="4458" spans="37:44" ht="30" hidden="1" customHeight="1" x14ac:dyDescent="0.25">
      <c r="AK4458" s="313"/>
      <c r="AL4458" s="313"/>
      <c r="AM4458" s="313"/>
      <c r="AN4458" s="313"/>
      <c r="AO4458" s="313"/>
      <c r="AP4458" s="313"/>
      <c r="AQ4458" s="314"/>
      <c r="AR4458" s="315" t="str">
        <f t="shared" si="106"/>
        <v/>
      </c>
    </row>
    <row r="4459" spans="37:44" ht="30" hidden="1" customHeight="1" x14ac:dyDescent="0.25">
      <c r="AK4459" s="313"/>
      <c r="AL4459" s="313"/>
      <c r="AM4459" s="313"/>
      <c r="AN4459" s="313"/>
      <c r="AO4459" s="313"/>
      <c r="AP4459" s="313"/>
      <c r="AQ4459" s="314"/>
      <c r="AR4459" s="315" t="str">
        <f t="shared" si="106"/>
        <v/>
      </c>
    </row>
    <row r="4460" spans="37:44" ht="30" hidden="1" customHeight="1" x14ac:dyDescent="0.25">
      <c r="AK4460" s="313"/>
      <c r="AL4460" s="313"/>
      <c r="AM4460" s="313"/>
      <c r="AN4460" s="313"/>
      <c r="AO4460" s="313"/>
      <c r="AP4460" s="313"/>
      <c r="AQ4460" s="314"/>
      <c r="AR4460" s="315" t="str">
        <f t="shared" si="106"/>
        <v/>
      </c>
    </row>
    <row r="4461" spans="37:44" ht="30" hidden="1" customHeight="1" x14ac:dyDescent="0.25">
      <c r="AK4461" s="313"/>
      <c r="AL4461" s="313"/>
      <c r="AM4461" s="313"/>
      <c r="AN4461" s="313"/>
      <c r="AO4461" s="313"/>
      <c r="AP4461" s="313"/>
      <c r="AQ4461" s="314"/>
      <c r="AR4461" s="315" t="str">
        <f t="shared" si="106"/>
        <v/>
      </c>
    </row>
    <row r="4462" spans="37:44" ht="30" hidden="1" customHeight="1" x14ac:dyDescent="0.25">
      <c r="AK4462" s="313"/>
      <c r="AL4462" s="313"/>
      <c r="AM4462" s="313"/>
      <c r="AN4462" s="313"/>
      <c r="AO4462" s="313"/>
      <c r="AP4462" s="313"/>
      <c r="AQ4462" s="314"/>
      <c r="AR4462" s="315" t="str">
        <f t="shared" si="106"/>
        <v/>
      </c>
    </row>
    <row r="4463" spans="37:44" ht="30" hidden="1" customHeight="1" x14ac:dyDescent="0.25">
      <c r="AK4463" s="313"/>
      <c r="AL4463" s="313"/>
      <c r="AM4463" s="313"/>
      <c r="AN4463" s="313"/>
      <c r="AO4463" s="313"/>
      <c r="AP4463" s="313"/>
      <c r="AQ4463" s="314"/>
      <c r="AR4463" s="315" t="str">
        <f t="shared" si="106"/>
        <v/>
      </c>
    </row>
    <row r="4464" spans="37:44" ht="30" hidden="1" customHeight="1" x14ac:dyDescent="0.25">
      <c r="AK4464" s="313"/>
      <c r="AL4464" s="313"/>
      <c r="AM4464" s="313"/>
      <c r="AN4464" s="313"/>
      <c r="AO4464" s="313"/>
      <c r="AP4464" s="313"/>
      <c r="AQ4464" s="314"/>
      <c r="AR4464" s="315" t="str">
        <f t="shared" si="106"/>
        <v/>
      </c>
    </row>
    <row r="4465" spans="37:44" ht="30" hidden="1" customHeight="1" x14ac:dyDescent="0.25">
      <c r="AK4465" s="313"/>
      <c r="AL4465" s="313"/>
      <c r="AM4465" s="313"/>
      <c r="AN4465" s="313"/>
      <c r="AO4465" s="313"/>
      <c r="AP4465" s="313"/>
      <c r="AQ4465" s="314"/>
      <c r="AR4465" s="315" t="str">
        <f t="shared" si="106"/>
        <v/>
      </c>
    </row>
    <row r="4466" spans="37:44" ht="30" hidden="1" customHeight="1" x14ac:dyDescent="0.25">
      <c r="AK4466" s="313"/>
      <c r="AL4466" s="313"/>
      <c r="AM4466" s="313"/>
      <c r="AN4466" s="313"/>
      <c r="AO4466" s="313"/>
      <c r="AP4466" s="313"/>
      <c r="AQ4466" s="314"/>
      <c r="AR4466" s="315" t="str">
        <f t="shared" si="106"/>
        <v/>
      </c>
    </row>
    <row r="4467" spans="37:44" ht="30" hidden="1" customHeight="1" x14ac:dyDescent="0.25">
      <c r="AK4467" s="313"/>
      <c r="AL4467" s="313"/>
      <c r="AM4467" s="313"/>
      <c r="AN4467" s="313"/>
      <c r="AO4467" s="313"/>
      <c r="AP4467" s="313"/>
      <c r="AQ4467" s="314"/>
      <c r="AR4467" s="315" t="str">
        <f t="shared" si="106"/>
        <v/>
      </c>
    </row>
    <row r="4468" spans="37:44" ht="30" hidden="1" customHeight="1" x14ac:dyDescent="0.25">
      <c r="AK4468" s="313"/>
      <c r="AL4468" s="313"/>
      <c r="AM4468" s="313"/>
      <c r="AN4468" s="313"/>
      <c r="AO4468" s="313"/>
      <c r="AP4468" s="313"/>
      <c r="AQ4468" s="314"/>
      <c r="AR4468" s="315" t="str">
        <f t="shared" si="106"/>
        <v/>
      </c>
    </row>
    <row r="4469" spans="37:44" ht="30" hidden="1" customHeight="1" x14ac:dyDescent="0.25">
      <c r="AK4469" s="313"/>
      <c r="AL4469" s="313"/>
      <c r="AM4469" s="313"/>
      <c r="AN4469" s="313"/>
      <c r="AO4469" s="313"/>
      <c r="AP4469" s="313"/>
      <c r="AQ4469" s="314"/>
      <c r="AR4469" s="315" t="str">
        <f t="shared" si="106"/>
        <v/>
      </c>
    </row>
    <row r="4470" spans="37:44" ht="30" hidden="1" customHeight="1" x14ac:dyDescent="0.25">
      <c r="AK4470" s="313"/>
      <c r="AL4470" s="313"/>
      <c r="AM4470" s="313"/>
      <c r="AN4470" s="313"/>
      <c r="AO4470" s="313"/>
      <c r="AP4470" s="313"/>
      <c r="AQ4470" s="314"/>
      <c r="AR4470" s="315" t="str">
        <f t="shared" si="106"/>
        <v/>
      </c>
    </row>
    <row r="4471" spans="37:44" ht="30" hidden="1" customHeight="1" x14ac:dyDescent="0.25">
      <c r="AK4471" s="313"/>
      <c r="AL4471" s="313"/>
      <c r="AM4471" s="313"/>
      <c r="AN4471" s="313"/>
      <c r="AO4471" s="313"/>
      <c r="AP4471" s="313"/>
      <c r="AQ4471" s="314"/>
      <c r="AR4471" s="315" t="str">
        <f t="shared" si="106"/>
        <v/>
      </c>
    </row>
    <row r="4472" spans="37:44" ht="30" hidden="1" customHeight="1" x14ac:dyDescent="0.25">
      <c r="AK4472" s="313"/>
      <c r="AL4472" s="313"/>
      <c r="AM4472" s="313"/>
      <c r="AN4472" s="313"/>
      <c r="AO4472" s="313"/>
      <c r="AP4472" s="313"/>
      <c r="AQ4472" s="314"/>
      <c r="AR4472" s="315" t="str">
        <f t="shared" si="106"/>
        <v/>
      </c>
    </row>
    <row r="4473" spans="37:44" ht="30" hidden="1" customHeight="1" x14ac:dyDescent="0.25">
      <c r="AK4473" s="313"/>
      <c r="AL4473" s="313"/>
      <c r="AM4473" s="313"/>
      <c r="AN4473" s="313"/>
      <c r="AO4473" s="313"/>
      <c r="AP4473" s="313"/>
      <c r="AQ4473" s="314"/>
      <c r="AR4473" s="315" t="str">
        <f t="shared" si="106"/>
        <v/>
      </c>
    </row>
    <row r="4474" spans="37:44" ht="30" hidden="1" customHeight="1" x14ac:dyDescent="0.25">
      <c r="AK4474" s="313"/>
      <c r="AL4474" s="313"/>
      <c r="AM4474" s="313"/>
      <c r="AN4474" s="313"/>
      <c r="AO4474" s="313"/>
      <c r="AP4474" s="313"/>
      <c r="AQ4474" s="314"/>
      <c r="AR4474" s="315" t="str">
        <f t="shared" si="106"/>
        <v/>
      </c>
    </row>
    <row r="4475" spans="37:44" ht="30" hidden="1" customHeight="1" x14ac:dyDescent="0.25">
      <c r="AK4475" s="313"/>
      <c r="AL4475" s="313"/>
      <c r="AM4475" s="313"/>
      <c r="AN4475" s="313"/>
      <c r="AO4475" s="313"/>
      <c r="AP4475" s="313"/>
      <c r="AQ4475" s="314"/>
      <c r="AR4475" s="315" t="str">
        <f t="shared" si="106"/>
        <v/>
      </c>
    </row>
    <row r="4476" spans="37:44" ht="30" hidden="1" customHeight="1" x14ac:dyDescent="0.25">
      <c r="AK4476" s="313"/>
      <c r="AL4476" s="313"/>
      <c r="AM4476" s="313"/>
      <c r="AN4476" s="313"/>
      <c r="AO4476" s="313"/>
      <c r="AP4476" s="313"/>
      <c r="AQ4476" s="314"/>
      <c r="AR4476" s="315" t="str">
        <f t="shared" si="106"/>
        <v/>
      </c>
    </row>
    <row r="4477" spans="37:44" ht="30" hidden="1" customHeight="1" x14ac:dyDescent="0.25">
      <c r="AK4477" s="313"/>
      <c r="AL4477" s="313"/>
      <c r="AM4477" s="313"/>
      <c r="AN4477" s="313"/>
      <c r="AO4477" s="313"/>
      <c r="AP4477" s="313"/>
      <c r="AQ4477" s="314"/>
      <c r="AR4477" s="315" t="str">
        <f t="shared" si="106"/>
        <v/>
      </c>
    </row>
    <row r="4478" spans="37:44" ht="30" hidden="1" customHeight="1" x14ac:dyDescent="0.25">
      <c r="AK4478" s="313"/>
      <c r="AL4478" s="313"/>
      <c r="AM4478" s="313"/>
      <c r="AN4478" s="313"/>
      <c r="AO4478" s="313"/>
      <c r="AP4478" s="313"/>
      <c r="AQ4478" s="314"/>
      <c r="AR4478" s="315" t="str">
        <f t="shared" si="106"/>
        <v/>
      </c>
    </row>
    <row r="4479" spans="37:44" ht="30" hidden="1" customHeight="1" x14ac:dyDescent="0.25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07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 x14ac:dyDescent="0.25">
      <c r="AK4480" s="313"/>
      <c r="AL4480" s="313"/>
      <c r="AM4480" s="313"/>
      <c r="AN4480" s="313"/>
      <c r="AO4480" s="313"/>
      <c r="AP4480" s="313"/>
      <c r="AQ4480" s="314"/>
      <c r="AR4480" s="315" t="str">
        <f t="shared" si="107"/>
        <v/>
      </c>
    </row>
    <row r="4481" spans="37:44" ht="30" hidden="1" customHeight="1" x14ac:dyDescent="0.25">
      <c r="AK4481" s="313"/>
      <c r="AL4481" s="313"/>
      <c r="AM4481" s="313"/>
      <c r="AN4481" s="313"/>
      <c r="AO4481" s="313"/>
      <c r="AP4481" s="313"/>
      <c r="AQ4481" s="314"/>
      <c r="AR4481" s="315" t="str">
        <f t="shared" si="107"/>
        <v/>
      </c>
    </row>
    <row r="4482" spans="37:44" ht="30" hidden="1" customHeight="1" x14ac:dyDescent="0.25">
      <c r="AK4482" s="313"/>
      <c r="AL4482" s="313"/>
      <c r="AM4482" s="313"/>
      <c r="AN4482" s="313"/>
      <c r="AO4482" s="313"/>
      <c r="AP4482" s="313"/>
      <c r="AQ4482" s="314"/>
      <c r="AR4482" s="315" t="str">
        <f t="shared" si="107"/>
        <v/>
      </c>
    </row>
    <row r="4483" spans="37:44" ht="30" hidden="1" customHeight="1" x14ac:dyDescent="0.25">
      <c r="AK4483" s="313"/>
      <c r="AL4483" s="313"/>
      <c r="AM4483" s="313"/>
      <c r="AN4483" s="313"/>
      <c r="AO4483" s="313"/>
      <c r="AP4483" s="313"/>
      <c r="AQ4483" s="314"/>
      <c r="AR4483" s="315" t="str">
        <f t="shared" si="107"/>
        <v/>
      </c>
    </row>
    <row r="4484" spans="37:44" ht="30" hidden="1" customHeight="1" x14ac:dyDescent="0.25">
      <c r="AK4484" s="313"/>
      <c r="AL4484" s="313"/>
      <c r="AM4484" s="313"/>
      <c r="AN4484" s="313"/>
      <c r="AO4484" s="313"/>
      <c r="AP4484" s="313"/>
      <c r="AQ4484" s="314"/>
      <c r="AR4484" s="315" t="str">
        <f t="shared" si="107"/>
        <v/>
      </c>
    </row>
    <row r="4485" spans="37:44" ht="30" hidden="1" customHeight="1" x14ac:dyDescent="0.25">
      <c r="AK4485" s="313"/>
      <c r="AL4485" s="313"/>
      <c r="AM4485" s="313"/>
      <c r="AN4485" s="313"/>
      <c r="AO4485" s="313"/>
      <c r="AP4485" s="313"/>
      <c r="AQ4485" s="314"/>
      <c r="AR4485" s="315" t="str">
        <f t="shared" si="107"/>
        <v/>
      </c>
    </row>
    <row r="4486" spans="37:44" ht="30" hidden="1" customHeight="1" x14ac:dyDescent="0.25">
      <c r="AK4486" s="313"/>
      <c r="AL4486" s="313"/>
      <c r="AM4486" s="313"/>
      <c r="AN4486" s="313"/>
      <c r="AO4486" s="313"/>
      <c r="AP4486" s="313"/>
      <c r="AQ4486" s="314"/>
      <c r="AR4486" s="315" t="str">
        <f t="shared" si="107"/>
        <v/>
      </c>
    </row>
    <row r="4487" spans="37:44" ht="30" hidden="1" customHeight="1" x14ac:dyDescent="0.25">
      <c r="AK4487" s="313"/>
      <c r="AL4487" s="313"/>
      <c r="AM4487" s="313"/>
      <c r="AN4487" s="313"/>
      <c r="AO4487" s="313"/>
      <c r="AP4487" s="313"/>
      <c r="AQ4487" s="314"/>
      <c r="AR4487" s="315" t="str">
        <f t="shared" si="107"/>
        <v/>
      </c>
    </row>
    <row r="4488" spans="37:44" ht="30" hidden="1" customHeight="1" x14ac:dyDescent="0.25">
      <c r="AK4488" s="313"/>
      <c r="AL4488" s="313"/>
      <c r="AM4488" s="313"/>
      <c r="AN4488" s="313"/>
      <c r="AO4488" s="313"/>
      <c r="AP4488" s="313"/>
      <c r="AQ4488" s="314"/>
      <c r="AR4488" s="315" t="str">
        <f t="shared" si="107"/>
        <v/>
      </c>
    </row>
    <row r="4489" spans="37:44" ht="30" hidden="1" customHeight="1" x14ac:dyDescent="0.25">
      <c r="AK4489" s="313"/>
      <c r="AL4489" s="313"/>
      <c r="AM4489" s="313"/>
      <c r="AN4489" s="313"/>
      <c r="AO4489" s="313"/>
      <c r="AP4489" s="313"/>
      <c r="AQ4489" s="314"/>
      <c r="AR4489" s="315" t="str">
        <f t="shared" si="107"/>
        <v/>
      </c>
    </row>
    <row r="4490" spans="37:44" ht="30" hidden="1" customHeight="1" x14ac:dyDescent="0.25">
      <c r="AK4490" s="313"/>
      <c r="AL4490" s="313"/>
      <c r="AM4490" s="313"/>
      <c r="AN4490" s="313"/>
      <c r="AO4490" s="313"/>
      <c r="AP4490" s="313"/>
      <c r="AQ4490" s="314"/>
      <c r="AR4490" s="315" t="str">
        <f t="shared" si="107"/>
        <v/>
      </c>
    </row>
    <row r="4491" spans="37:44" ht="30" hidden="1" customHeight="1" x14ac:dyDescent="0.25">
      <c r="AK4491" s="313"/>
      <c r="AL4491" s="313"/>
      <c r="AM4491" s="313"/>
      <c r="AN4491" s="313"/>
      <c r="AO4491" s="313"/>
      <c r="AP4491" s="313"/>
      <c r="AQ4491" s="314"/>
      <c r="AR4491" s="315" t="str">
        <f t="shared" si="107"/>
        <v/>
      </c>
    </row>
    <row r="4492" spans="37:44" ht="30" hidden="1" customHeight="1" x14ac:dyDescent="0.25">
      <c r="AK4492" s="313"/>
      <c r="AL4492" s="313"/>
      <c r="AM4492" s="313"/>
      <c r="AN4492" s="313"/>
      <c r="AO4492" s="313"/>
      <c r="AP4492" s="313"/>
      <c r="AQ4492" s="314"/>
      <c r="AR4492" s="315" t="str">
        <f t="shared" si="107"/>
        <v/>
      </c>
    </row>
    <row r="4493" spans="37:44" ht="30" hidden="1" customHeight="1" x14ac:dyDescent="0.25">
      <c r="AK4493" s="313"/>
      <c r="AL4493" s="313"/>
      <c r="AM4493" s="313"/>
      <c r="AN4493" s="313"/>
      <c r="AO4493" s="313"/>
      <c r="AP4493" s="313"/>
      <c r="AQ4493" s="314"/>
      <c r="AR4493" s="315" t="str">
        <f t="shared" si="107"/>
        <v/>
      </c>
    </row>
    <row r="4494" spans="37:44" ht="30" hidden="1" customHeight="1" x14ac:dyDescent="0.25">
      <c r="AK4494" s="313"/>
      <c r="AL4494" s="313"/>
      <c r="AM4494" s="313"/>
      <c r="AN4494" s="313"/>
      <c r="AO4494" s="313"/>
      <c r="AP4494" s="313"/>
      <c r="AQ4494" s="314"/>
      <c r="AR4494" s="315" t="str">
        <f t="shared" si="107"/>
        <v/>
      </c>
    </row>
    <row r="4495" spans="37:44" ht="30" hidden="1" customHeight="1" x14ac:dyDescent="0.25">
      <c r="AK4495" s="313"/>
      <c r="AL4495" s="313"/>
      <c r="AM4495" s="313"/>
      <c r="AN4495" s="313"/>
      <c r="AO4495" s="313"/>
      <c r="AP4495" s="313"/>
      <c r="AQ4495" s="314"/>
      <c r="AR4495" s="315" t="str">
        <f t="shared" si="107"/>
        <v/>
      </c>
    </row>
    <row r="4496" spans="37:44" ht="30" hidden="1" customHeight="1" x14ac:dyDescent="0.25">
      <c r="AK4496" s="313"/>
      <c r="AL4496" s="313"/>
      <c r="AM4496" s="313"/>
      <c r="AN4496" s="313"/>
      <c r="AO4496" s="313"/>
      <c r="AP4496" s="313"/>
      <c r="AQ4496" s="314"/>
      <c r="AR4496" s="315" t="str">
        <f t="shared" si="107"/>
        <v/>
      </c>
    </row>
    <row r="4497" spans="37:44" ht="30" hidden="1" customHeight="1" x14ac:dyDescent="0.25">
      <c r="AK4497" s="313"/>
      <c r="AL4497" s="313"/>
      <c r="AM4497" s="313"/>
      <c r="AN4497" s="313"/>
      <c r="AO4497" s="313"/>
      <c r="AP4497" s="313"/>
      <c r="AQ4497" s="314"/>
      <c r="AR4497" s="315" t="str">
        <f t="shared" si="107"/>
        <v/>
      </c>
    </row>
    <row r="4498" spans="37:44" ht="30" hidden="1" customHeight="1" x14ac:dyDescent="0.25">
      <c r="AK4498" s="313"/>
      <c r="AL4498" s="313"/>
      <c r="AM4498" s="313"/>
      <c r="AN4498" s="313"/>
      <c r="AO4498" s="313"/>
      <c r="AP4498" s="313"/>
      <c r="AQ4498" s="314"/>
      <c r="AR4498" s="315" t="str">
        <f t="shared" si="107"/>
        <v/>
      </c>
    </row>
    <row r="4499" spans="37:44" ht="30" hidden="1" customHeight="1" x14ac:dyDescent="0.25">
      <c r="AK4499" s="313"/>
      <c r="AL4499" s="313"/>
      <c r="AM4499" s="313"/>
      <c r="AN4499" s="313"/>
      <c r="AO4499" s="313"/>
      <c r="AP4499" s="313"/>
      <c r="AQ4499" s="314"/>
      <c r="AR4499" s="315" t="str">
        <f t="shared" si="107"/>
        <v/>
      </c>
    </row>
    <row r="4500" spans="37:44" ht="30" hidden="1" customHeight="1" x14ac:dyDescent="0.25">
      <c r="AK4500" s="313"/>
      <c r="AL4500" s="313"/>
      <c r="AM4500" s="313"/>
      <c r="AN4500" s="313"/>
      <c r="AO4500" s="313"/>
      <c r="AP4500" s="313"/>
      <c r="AQ4500" s="314"/>
      <c r="AR4500" s="315" t="str">
        <f t="shared" si="107"/>
        <v/>
      </c>
    </row>
    <row r="4501" spans="37:44" ht="30" hidden="1" customHeight="1" x14ac:dyDescent="0.25">
      <c r="AK4501" s="313"/>
      <c r="AL4501" s="313"/>
      <c r="AM4501" s="313"/>
      <c r="AN4501" s="313"/>
      <c r="AO4501" s="313"/>
      <c r="AP4501" s="313"/>
      <c r="AQ4501" s="314"/>
      <c r="AR4501" s="315" t="str">
        <f t="shared" si="107"/>
        <v/>
      </c>
    </row>
    <row r="4502" spans="37:44" ht="30" hidden="1" customHeight="1" x14ac:dyDescent="0.25">
      <c r="AK4502" s="313"/>
      <c r="AL4502" s="313"/>
      <c r="AM4502" s="313"/>
      <c r="AN4502" s="313"/>
      <c r="AO4502" s="313"/>
      <c r="AP4502" s="313"/>
      <c r="AQ4502" s="314"/>
      <c r="AR4502" s="315" t="str">
        <f t="shared" si="107"/>
        <v/>
      </c>
    </row>
    <row r="4503" spans="37:44" ht="30" hidden="1" customHeight="1" x14ac:dyDescent="0.25">
      <c r="AK4503" s="313"/>
      <c r="AL4503" s="313"/>
      <c r="AM4503" s="313"/>
      <c r="AN4503" s="313"/>
      <c r="AO4503" s="313"/>
      <c r="AP4503" s="313"/>
      <c r="AQ4503" s="314"/>
      <c r="AR4503" s="315" t="str">
        <f t="shared" si="107"/>
        <v/>
      </c>
    </row>
    <row r="4504" spans="37:44" ht="30" hidden="1" customHeight="1" x14ac:dyDescent="0.25">
      <c r="AK4504" s="313"/>
      <c r="AL4504" s="313"/>
      <c r="AM4504" s="313"/>
      <c r="AN4504" s="313"/>
      <c r="AO4504" s="313"/>
      <c r="AP4504" s="313"/>
      <c r="AQ4504" s="314"/>
      <c r="AR4504" s="315" t="str">
        <f t="shared" si="107"/>
        <v/>
      </c>
    </row>
    <row r="4505" spans="37:44" ht="30" hidden="1" customHeight="1" x14ac:dyDescent="0.25">
      <c r="AK4505" s="313"/>
      <c r="AL4505" s="313"/>
      <c r="AM4505" s="313"/>
      <c r="AN4505" s="313"/>
      <c r="AO4505" s="313"/>
      <c r="AP4505" s="313"/>
      <c r="AQ4505" s="314"/>
      <c r="AR4505" s="315" t="str">
        <f t="shared" si="107"/>
        <v/>
      </c>
    </row>
    <row r="4506" spans="37:44" ht="30" hidden="1" customHeight="1" x14ac:dyDescent="0.25">
      <c r="AK4506" s="313"/>
      <c r="AL4506" s="313"/>
      <c r="AM4506" s="313"/>
      <c r="AN4506" s="313"/>
      <c r="AO4506" s="313"/>
      <c r="AP4506" s="313"/>
      <c r="AQ4506" s="314"/>
      <c r="AR4506" s="315" t="str">
        <f t="shared" si="107"/>
        <v/>
      </c>
    </row>
    <row r="4507" spans="37:44" ht="30" hidden="1" customHeight="1" x14ac:dyDescent="0.25">
      <c r="AK4507" s="313"/>
      <c r="AL4507" s="313"/>
      <c r="AM4507" s="313"/>
      <c r="AN4507" s="313"/>
      <c r="AO4507" s="313"/>
      <c r="AP4507" s="313"/>
      <c r="AQ4507" s="314"/>
      <c r="AR4507" s="315" t="str">
        <f t="shared" si="107"/>
        <v/>
      </c>
    </row>
    <row r="4508" spans="37:44" ht="30" hidden="1" customHeight="1" x14ac:dyDescent="0.25">
      <c r="AK4508" s="313"/>
      <c r="AL4508" s="313"/>
      <c r="AM4508" s="313"/>
      <c r="AN4508" s="313"/>
      <c r="AO4508" s="313"/>
      <c r="AP4508" s="313"/>
      <c r="AQ4508" s="314"/>
      <c r="AR4508" s="315" t="str">
        <f t="shared" si="107"/>
        <v/>
      </c>
    </row>
    <row r="4509" spans="37:44" ht="30" hidden="1" customHeight="1" x14ac:dyDescent="0.25">
      <c r="AK4509" s="313"/>
      <c r="AL4509" s="313"/>
      <c r="AM4509" s="313"/>
      <c r="AN4509" s="313"/>
      <c r="AO4509" s="313"/>
      <c r="AP4509" s="313"/>
      <c r="AQ4509" s="314"/>
      <c r="AR4509" s="315" t="str">
        <f t="shared" si="107"/>
        <v/>
      </c>
    </row>
    <row r="4510" spans="37:44" ht="30" hidden="1" customHeight="1" x14ac:dyDescent="0.25">
      <c r="AK4510" s="313"/>
      <c r="AL4510" s="313"/>
      <c r="AM4510" s="313"/>
      <c r="AN4510" s="313"/>
      <c r="AO4510" s="313"/>
      <c r="AP4510" s="313"/>
      <c r="AQ4510" s="314"/>
      <c r="AR4510" s="315" t="str">
        <f t="shared" si="107"/>
        <v/>
      </c>
    </row>
    <row r="4511" spans="37:44" ht="30" hidden="1" customHeight="1" x14ac:dyDescent="0.25">
      <c r="AK4511" s="313"/>
      <c r="AL4511" s="313"/>
      <c r="AM4511" s="313"/>
      <c r="AN4511" s="313"/>
      <c r="AO4511" s="313"/>
      <c r="AP4511" s="313"/>
      <c r="AQ4511" s="314"/>
      <c r="AR4511" s="315" t="str">
        <f t="shared" si="107"/>
        <v/>
      </c>
    </row>
    <row r="4512" spans="37:44" ht="30" hidden="1" customHeight="1" x14ac:dyDescent="0.25">
      <c r="AK4512" s="313"/>
      <c r="AL4512" s="313"/>
      <c r="AM4512" s="313"/>
      <c r="AN4512" s="313"/>
      <c r="AO4512" s="313"/>
      <c r="AP4512" s="313"/>
      <c r="AQ4512" s="314"/>
      <c r="AR4512" s="315" t="str">
        <f t="shared" si="107"/>
        <v/>
      </c>
    </row>
    <row r="4513" spans="37:44" ht="30" hidden="1" customHeight="1" x14ac:dyDescent="0.25">
      <c r="AK4513" s="313"/>
      <c r="AL4513" s="313"/>
      <c r="AM4513" s="313"/>
      <c r="AN4513" s="313"/>
      <c r="AO4513" s="313"/>
      <c r="AP4513" s="313"/>
      <c r="AQ4513" s="314"/>
      <c r="AR4513" s="315" t="str">
        <f t="shared" si="107"/>
        <v/>
      </c>
    </row>
    <row r="4514" spans="37:44" ht="30" hidden="1" customHeight="1" x14ac:dyDescent="0.25">
      <c r="AK4514" s="313"/>
      <c r="AL4514" s="313"/>
      <c r="AM4514" s="313"/>
      <c r="AN4514" s="313"/>
      <c r="AO4514" s="313"/>
      <c r="AP4514" s="313"/>
      <c r="AQ4514" s="314"/>
      <c r="AR4514" s="315" t="str">
        <f t="shared" si="107"/>
        <v/>
      </c>
    </row>
    <row r="4515" spans="37:44" ht="30" hidden="1" customHeight="1" x14ac:dyDescent="0.25">
      <c r="AK4515" s="313"/>
      <c r="AL4515" s="313"/>
      <c r="AM4515" s="313"/>
      <c r="AN4515" s="313"/>
      <c r="AO4515" s="313"/>
      <c r="AP4515" s="313"/>
      <c r="AQ4515" s="314"/>
      <c r="AR4515" s="315" t="str">
        <f t="shared" si="107"/>
        <v/>
      </c>
    </row>
    <row r="4516" spans="37:44" ht="30" hidden="1" customHeight="1" x14ac:dyDescent="0.25">
      <c r="AK4516" s="313"/>
      <c r="AL4516" s="313"/>
      <c r="AM4516" s="313"/>
      <c r="AN4516" s="313"/>
      <c r="AO4516" s="313"/>
      <c r="AP4516" s="313"/>
      <c r="AQ4516" s="314"/>
      <c r="AR4516" s="315" t="str">
        <f t="shared" si="107"/>
        <v/>
      </c>
    </row>
    <row r="4517" spans="37:44" ht="30" hidden="1" customHeight="1" x14ac:dyDescent="0.25">
      <c r="AK4517" s="313"/>
      <c r="AL4517" s="313"/>
      <c r="AM4517" s="313"/>
      <c r="AN4517" s="313"/>
      <c r="AO4517" s="313"/>
      <c r="AP4517" s="313"/>
      <c r="AQ4517" s="314"/>
      <c r="AR4517" s="315" t="str">
        <f t="shared" si="107"/>
        <v/>
      </c>
    </row>
    <row r="4518" spans="37:44" ht="30" hidden="1" customHeight="1" x14ac:dyDescent="0.25">
      <c r="AK4518" s="313"/>
      <c r="AL4518" s="313"/>
      <c r="AM4518" s="313"/>
      <c r="AN4518" s="313"/>
      <c r="AO4518" s="313"/>
      <c r="AP4518" s="313"/>
      <c r="AQ4518" s="314"/>
      <c r="AR4518" s="315" t="str">
        <f t="shared" si="107"/>
        <v/>
      </c>
    </row>
    <row r="4519" spans="37:44" ht="30" hidden="1" customHeight="1" x14ac:dyDescent="0.25">
      <c r="AK4519" s="313"/>
      <c r="AL4519" s="313"/>
      <c r="AM4519" s="313"/>
      <c r="AN4519" s="313"/>
      <c r="AO4519" s="313"/>
      <c r="AP4519" s="313"/>
      <c r="AQ4519" s="314"/>
      <c r="AR4519" s="315" t="str">
        <f t="shared" si="107"/>
        <v/>
      </c>
    </row>
    <row r="4520" spans="37:44" ht="30" hidden="1" customHeight="1" x14ac:dyDescent="0.25">
      <c r="AK4520" s="313"/>
      <c r="AL4520" s="313"/>
      <c r="AM4520" s="313"/>
      <c r="AN4520" s="313"/>
      <c r="AO4520" s="313"/>
      <c r="AP4520" s="313"/>
      <c r="AQ4520" s="314"/>
      <c r="AR4520" s="315" t="str">
        <f t="shared" si="107"/>
        <v/>
      </c>
    </row>
    <row r="4521" spans="37:44" ht="30" hidden="1" customHeight="1" x14ac:dyDescent="0.25">
      <c r="AK4521" s="313"/>
      <c r="AL4521" s="313"/>
      <c r="AM4521" s="313"/>
      <c r="AN4521" s="313"/>
      <c r="AO4521" s="313"/>
      <c r="AP4521" s="313"/>
      <c r="AQ4521" s="314"/>
      <c r="AR4521" s="315" t="str">
        <f t="shared" si="107"/>
        <v/>
      </c>
    </row>
    <row r="4522" spans="37:44" ht="30" hidden="1" customHeight="1" x14ac:dyDescent="0.25">
      <c r="AK4522" s="313"/>
      <c r="AL4522" s="313"/>
      <c r="AM4522" s="313"/>
      <c r="AN4522" s="313"/>
      <c r="AO4522" s="313"/>
      <c r="AP4522" s="313"/>
      <c r="AQ4522" s="314"/>
      <c r="AR4522" s="315" t="str">
        <f t="shared" si="107"/>
        <v/>
      </c>
    </row>
    <row r="4523" spans="37:44" ht="30" hidden="1" customHeight="1" x14ac:dyDescent="0.25">
      <c r="AK4523" s="313"/>
      <c r="AL4523" s="313"/>
      <c r="AM4523" s="313"/>
      <c r="AN4523" s="313"/>
      <c r="AO4523" s="313"/>
      <c r="AP4523" s="313"/>
      <c r="AQ4523" s="314"/>
      <c r="AR4523" s="315" t="str">
        <f t="shared" si="107"/>
        <v/>
      </c>
    </row>
    <row r="4524" spans="37:44" ht="30" hidden="1" customHeight="1" x14ac:dyDescent="0.25">
      <c r="AK4524" s="313"/>
      <c r="AL4524" s="313"/>
      <c r="AM4524" s="313"/>
      <c r="AN4524" s="313"/>
      <c r="AO4524" s="313"/>
      <c r="AP4524" s="313"/>
      <c r="AQ4524" s="314"/>
      <c r="AR4524" s="315" t="str">
        <f t="shared" si="107"/>
        <v/>
      </c>
    </row>
    <row r="4525" spans="37:44" ht="30" hidden="1" customHeight="1" x14ac:dyDescent="0.25">
      <c r="AK4525" s="313"/>
      <c r="AL4525" s="313"/>
      <c r="AM4525" s="313"/>
      <c r="AN4525" s="313"/>
      <c r="AO4525" s="313"/>
      <c r="AP4525" s="313"/>
      <c r="AQ4525" s="314"/>
      <c r="AR4525" s="315" t="str">
        <f t="shared" si="107"/>
        <v/>
      </c>
    </row>
    <row r="4526" spans="37:44" ht="30" hidden="1" customHeight="1" x14ac:dyDescent="0.25">
      <c r="AK4526" s="313"/>
      <c r="AL4526" s="313"/>
      <c r="AM4526" s="313"/>
      <c r="AN4526" s="313"/>
      <c r="AO4526" s="313"/>
      <c r="AP4526" s="313"/>
      <c r="AQ4526" s="314"/>
      <c r="AR4526" s="315" t="str">
        <f t="shared" si="107"/>
        <v/>
      </c>
    </row>
    <row r="4527" spans="37:44" ht="30" hidden="1" customHeight="1" x14ac:dyDescent="0.25">
      <c r="AK4527" s="313"/>
      <c r="AL4527" s="313"/>
      <c r="AM4527" s="313"/>
      <c r="AN4527" s="313"/>
      <c r="AO4527" s="313"/>
      <c r="AP4527" s="313"/>
      <c r="AQ4527" s="314"/>
      <c r="AR4527" s="315" t="str">
        <f t="shared" si="107"/>
        <v/>
      </c>
    </row>
    <row r="4528" spans="37:44" ht="30" hidden="1" customHeight="1" x14ac:dyDescent="0.25">
      <c r="AK4528" s="313"/>
      <c r="AL4528" s="313"/>
      <c r="AM4528" s="313"/>
      <c r="AN4528" s="313"/>
      <c r="AO4528" s="313"/>
      <c r="AP4528" s="313"/>
      <c r="AQ4528" s="314"/>
      <c r="AR4528" s="315" t="str">
        <f t="shared" si="107"/>
        <v/>
      </c>
    </row>
    <row r="4529" spans="37:44" ht="30" hidden="1" customHeight="1" x14ac:dyDescent="0.25">
      <c r="AK4529" s="313"/>
      <c r="AL4529" s="313"/>
      <c r="AM4529" s="313"/>
      <c r="AN4529" s="313"/>
      <c r="AO4529" s="313"/>
      <c r="AP4529" s="313"/>
      <c r="AQ4529" s="314"/>
      <c r="AR4529" s="315" t="str">
        <f t="shared" si="107"/>
        <v/>
      </c>
    </row>
    <row r="4530" spans="37:44" ht="30" hidden="1" customHeight="1" x14ac:dyDescent="0.25">
      <c r="AK4530" s="313"/>
      <c r="AL4530" s="313"/>
      <c r="AM4530" s="313"/>
      <c r="AN4530" s="313"/>
      <c r="AO4530" s="313"/>
      <c r="AP4530" s="313"/>
      <c r="AQ4530" s="314"/>
      <c r="AR4530" s="315" t="str">
        <f t="shared" si="107"/>
        <v/>
      </c>
    </row>
    <row r="4531" spans="37:44" ht="30" hidden="1" customHeight="1" x14ac:dyDescent="0.25">
      <c r="AK4531" s="313"/>
      <c r="AL4531" s="313"/>
      <c r="AM4531" s="313"/>
      <c r="AN4531" s="313"/>
      <c r="AO4531" s="313"/>
      <c r="AP4531" s="313"/>
      <c r="AQ4531" s="314"/>
      <c r="AR4531" s="315" t="str">
        <f t="shared" si="107"/>
        <v/>
      </c>
    </row>
    <row r="4532" spans="37:44" ht="30" hidden="1" customHeight="1" x14ac:dyDescent="0.25">
      <c r="AK4532" s="313"/>
      <c r="AL4532" s="313"/>
      <c r="AM4532" s="313"/>
      <c r="AN4532" s="313"/>
      <c r="AO4532" s="313"/>
      <c r="AP4532" s="313"/>
      <c r="AQ4532" s="314"/>
      <c r="AR4532" s="315" t="str">
        <f t="shared" si="107"/>
        <v/>
      </c>
    </row>
    <row r="4533" spans="37:44" ht="30" hidden="1" customHeight="1" x14ac:dyDescent="0.25">
      <c r="AK4533" s="313"/>
      <c r="AL4533" s="313"/>
      <c r="AM4533" s="313"/>
      <c r="AN4533" s="313"/>
      <c r="AO4533" s="313"/>
      <c r="AP4533" s="313"/>
      <c r="AQ4533" s="314"/>
      <c r="AR4533" s="315" t="str">
        <f t="shared" si="107"/>
        <v/>
      </c>
    </row>
    <row r="4534" spans="37:44" ht="30" hidden="1" customHeight="1" x14ac:dyDescent="0.25">
      <c r="AK4534" s="313"/>
      <c r="AL4534" s="313"/>
      <c r="AM4534" s="313"/>
      <c r="AN4534" s="313"/>
      <c r="AO4534" s="313"/>
      <c r="AP4534" s="313"/>
      <c r="AQ4534" s="314"/>
      <c r="AR4534" s="315" t="str">
        <f t="shared" si="107"/>
        <v/>
      </c>
    </row>
    <row r="4535" spans="37:44" ht="30" hidden="1" customHeight="1" x14ac:dyDescent="0.25">
      <c r="AK4535" s="313"/>
      <c r="AL4535" s="313"/>
      <c r="AM4535" s="313"/>
      <c r="AN4535" s="313"/>
      <c r="AO4535" s="313"/>
      <c r="AP4535" s="313"/>
      <c r="AQ4535" s="314"/>
      <c r="AR4535" s="315" t="str">
        <f t="shared" si="107"/>
        <v/>
      </c>
    </row>
    <row r="4536" spans="37:44" ht="30" hidden="1" customHeight="1" x14ac:dyDescent="0.25">
      <c r="AK4536" s="313"/>
      <c r="AL4536" s="313"/>
      <c r="AM4536" s="313"/>
      <c r="AN4536" s="313"/>
      <c r="AO4536" s="313"/>
      <c r="AP4536" s="313"/>
      <c r="AQ4536" s="314"/>
      <c r="AR4536" s="315" t="str">
        <f t="shared" si="107"/>
        <v/>
      </c>
    </row>
    <row r="4537" spans="37:44" ht="30" hidden="1" customHeight="1" x14ac:dyDescent="0.25">
      <c r="AK4537" s="313"/>
      <c r="AL4537" s="313"/>
      <c r="AM4537" s="313"/>
      <c r="AN4537" s="313"/>
      <c r="AO4537" s="313"/>
      <c r="AP4537" s="313"/>
      <c r="AQ4537" s="314"/>
      <c r="AR4537" s="315" t="str">
        <f t="shared" si="107"/>
        <v/>
      </c>
    </row>
    <row r="4538" spans="37:44" ht="30" hidden="1" customHeight="1" x14ac:dyDescent="0.25">
      <c r="AK4538" s="313"/>
      <c r="AL4538" s="313"/>
      <c r="AM4538" s="313"/>
      <c r="AN4538" s="313"/>
      <c r="AO4538" s="313"/>
      <c r="AP4538" s="313"/>
      <c r="AQ4538" s="314"/>
      <c r="AR4538" s="315" t="str">
        <f t="shared" si="107"/>
        <v/>
      </c>
    </row>
    <row r="4539" spans="37:44" ht="30" hidden="1" customHeight="1" x14ac:dyDescent="0.25">
      <c r="AK4539" s="313"/>
      <c r="AL4539" s="313"/>
      <c r="AM4539" s="313"/>
      <c r="AN4539" s="313"/>
      <c r="AO4539" s="313"/>
      <c r="AP4539" s="313"/>
      <c r="AQ4539" s="314"/>
      <c r="AR4539" s="315" t="str">
        <f t="shared" si="107"/>
        <v/>
      </c>
    </row>
    <row r="4540" spans="37:44" ht="30" hidden="1" customHeight="1" x14ac:dyDescent="0.25">
      <c r="AK4540" s="313"/>
      <c r="AL4540" s="313"/>
      <c r="AM4540" s="313"/>
      <c r="AN4540" s="313"/>
      <c r="AO4540" s="313"/>
      <c r="AP4540" s="313"/>
      <c r="AQ4540" s="314"/>
      <c r="AR4540" s="315" t="str">
        <f t="shared" si="107"/>
        <v/>
      </c>
    </row>
    <row r="4541" spans="37:44" ht="30" hidden="1" customHeight="1" x14ac:dyDescent="0.25">
      <c r="AK4541" s="313"/>
      <c r="AL4541" s="313"/>
      <c r="AM4541" s="313"/>
      <c r="AN4541" s="313"/>
      <c r="AO4541" s="313"/>
      <c r="AP4541" s="313"/>
      <c r="AQ4541" s="314"/>
      <c r="AR4541" s="315" t="str">
        <f t="shared" si="107"/>
        <v/>
      </c>
    </row>
    <row r="4542" spans="37:44" ht="30" hidden="1" customHeight="1" x14ac:dyDescent="0.25">
      <c r="AK4542" s="313"/>
      <c r="AL4542" s="313"/>
      <c r="AM4542" s="313"/>
      <c r="AN4542" s="313"/>
      <c r="AO4542" s="313"/>
      <c r="AP4542" s="313"/>
      <c r="AQ4542" s="314"/>
      <c r="AR4542" s="315" t="str">
        <f t="shared" si="107"/>
        <v/>
      </c>
    </row>
    <row r="4543" spans="37:44" ht="30" hidden="1" customHeight="1" x14ac:dyDescent="0.25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08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 x14ac:dyDescent="0.25">
      <c r="AK4544" s="313"/>
      <c r="AL4544" s="313"/>
      <c r="AM4544" s="313"/>
      <c r="AN4544" s="313"/>
      <c r="AO4544" s="313"/>
      <c r="AP4544" s="313"/>
      <c r="AQ4544" s="314"/>
      <c r="AR4544" s="315" t="str">
        <f t="shared" si="108"/>
        <v/>
      </c>
    </row>
    <row r="4545" spans="37:44" ht="30" hidden="1" customHeight="1" x14ac:dyDescent="0.25">
      <c r="AK4545" s="313"/>
      <c r="AL4545" s="313"/>
      <c r="AM4545" s="313"/>
      <c r="AN4545" s="313"/>
      <c r="AO4545" s="313"/>
      <c r="AP4545" s="313"/>
      <c r="AQ4545" s="314"/>
      <c r="AR4545" s="315" t="str">
        <f t="shared" si="108"/>
        <v/>
      </c>
    </row>
    <row r="4546" spans="37:44" ht="30" hidden="1" customHeight="1" x14ac:dyDescent="0.25">
      <c r="AK4546" s="313"/>
      <c r="AL4546" s="313"/>
      <c r="AM4546" s="313"/>
      <c r="AN4546" s="313"/>
      <c r="AO4546" s="313"/>
      <c r="AP4546" s="313"/>
      <c r="AQ4546" s="314"/>
      <c r="AR4546" s="315" t="str">
        <f t="shared" si="108"/>
        <v/>
      </c>
    </row>
    <row r="4547" spans="37:44" ht="30" hidden="1" customHeight="1" x14ac:dyDescent="0.25">
      <c r="AK4547" s="313"/>
      <c r="AL4547" s="313"/>
      <c r="AM4547" s="313"/>
      <c r="AN4547" s="313"/>
      <c r="AO4547" s="313"/>
      <c r="AP4547" s="313"/>
      <c r="AQ4547" s="314"/>
      <c r="AR4547" s="315" t="str">
        <f t="shared" si="108"/>
        <v/>
      </c>
    </row>
    <row r="4548" spans="37:44" ht="30" hidden="1" customHeight="1" x14ac:dyDescent="0.25">
      <c r="AK4548" s="313"/>
      <c r="AL4548" s="313"/>
      <c r="AM4548" s="313"/>
      <c r="AN4548" s="313"/>
      <c r="AO4548" s="313"/>
      <c r="AP4548" s="313"/>
      <c r="AQ4548" s="314"/>
      <c r="AR4548" s="315" t="str">
        <f t="shared" si="108"/>
        <v/>
      </c>
    </row>
    <row r="4549" spans="37:44" ht="30" hidden="1" customHeight="1" x14ac:dyDescent="0.25">
      <c r="AK4549" s="313"/>
      <c r="AL4549" s="313"/>
      <c r="AM4549" s="313"/>
      <c r="AN4549" s="313"/>
      <c r="AO4549" s="313"/>
      <c r="AP4549" s="313"/>
      <c r="AQ4549" s="314"/>
      <c r="AR4549" s="315" t="str">
        <f t="shared" si="108"/>
        <v/>
      </c>
    </row>
    <row r="4550" spans="37:44" ht="30" hidden="1" customHeight="1" x14ac:dyDescent="0.25">
      <c r="AK4550" s="313"/>
      <c r="AL4550" s="313"/>
      <c r="AM4550" s="313"/>
      <c r="AN4550" s="313"/>
      <c r="AO4550" s="313"/>
      <c r="AP4550" s="313"/>
      <c r="AQ4550" s="314"/>
      <c r="AR4550" s="315" t="str">
        <f t="shared" si="108"/>
        <v/>
      </c>
    </row>
    <row r="4551" spans="37:44" ht="30" hidden="1" customHeight="1" x14ac:dyDescent="0.25">
      <c r="AK4551" s="313"/>
      <c r="AL4551" s="313"/>
      <c r="AM4551" s="313"/>
      <c r="AN4551" s="313"/>
      <c r="AO4551" s="313"/>
      <c r="AP4551" s="313"/>
      <c r="AQ4551" s="314"/>
      <c r="AR4551" s="315" t="str">
        <f t="shared" si="108"/>
        <v/>
      </c>
    </row>
    <row r="4552" spans="37:44" ht="30" hidden="1" customHeight="1" x14ac:dyDescent="0.25">
      <c r="AK4552" s="313"/>
      <c r="AL4552" s="313"/>
      <c r="AM4552" s="313"/>
      <c r="AN4552" s="313"/>
      <c r="AO4552" s="313"/>
      <c r="AP4552" s="313"/>
      <c r="AQ4552" s="314"/>
      <c r="AR4552" s="315" t="str">
        <f t="shared" si="108"/>
        <v/>
      </c>
    </row>
    <row r="4553" spans="37:44" ht="30" hidden="1" customHeight="1" x14ac:dyDescent="0.25">
      <c r="AK4553" s="313"/>
      <c r="AL4553" s="313"/>
      <c r="AM4553" s="313"/>
      <c r="AN4553" s="313"/>
      <c r="AO4553" s="313"/>
      <c r="AP4553" s="313"/>
      <c r="AQ4553" s="314"/>
      <c r="AR4553" s="315" t="str">
        <f t="shared" si="108"/>
        <v/>
      </c>
    </row>
    <row r="4554" spans="37:44" ht="30" hidden="1" customHeight="1" x14ac:dyDescent="0.25">
      <c r="AK4554" s="313"/>
      <c r="AL4554" s="313"/>
      <c r="AM4554" s="313"/>
      <c r="AN4554" s="313"/>
      <c r="AO4554" s="313"/>
      <c r="AP4554" s="313"/>
      <c r="AQ4554" s="314"/>
      <c r="AR4554" s="315" t="str">
        <f t="shared" si="108"/>
        <v/>
      </c>
    </row>
    <row r="4555" spans="37:44" ht="30" hidden="1" customHeight="1" x14ac:dyDescent="0.25">
      <c r="AK4555" s="313"/>
      <c r="AL4555" s="313"/>
      <c r="AM4555" s="313"/>
      <c r="AN4555" s="313"/>
      <c r="AO4555" s="313"/>
      <c r="AP4555" s="313"/>
      <c r="AQ4555" s="314"/>
      <c r="AR4555" s="315" t="str">
        <f t="shared" si="108"/>
        <v/>
      </c>
    </row>
    <row r="4556" spans="37:44" ht="30" hidden="1" customHeight="1" x14ac:dyDescent="0.25">
      <c r="AK4556" s="313"/>
      <c r="AL4556" s="313"/>
      <c r="AM4556" s="313"/>
      <c r="AN4556" s="313"/>
      <c r="AO4556" s="313"/>
      <c r="AP4556" s="313"/>
      <c r="AQ4556" s="314"/>
      <c r="AR4556" s="315" t="str">
        <f t="shared" si="108"/>
        <v/>
      </c>
    </row>
    <row r="4557" spans="37:44" ht="30" hidden="1" customHeight="1" x14ac:dyDescent="0.25">
      <c r="AK4557" s="313"/>
      <c r="AL4557" s="313"/>
      <c r="AM4557" s="313"/>
      <c r="AN4557" s="313"/>
      <c r="AO4557" s="313"/>
      <c r="AP4557" s="313"/>
      <c r="AQ4557" s="314"/>
      <c r="AR4557" s="315" t="str">
        <f t="shared" si="108"/>
        <v/>
      </c>
    </row>
    <row r="4558" spans="37:44" ht="30" hidden="1" customHeight="1" x14ac:dyDescent="0.25">
      <c r="AK4558" s="313"/>
      <c r="AL4558" s="313"/>
      <c r="AM4558" s="313"/>
      <c r="AN4558" s="313"/>
      <c r="AO4558" s="313"/>
      <c r="AP4558" s="313"/>
      <c r="AQ4558" s="314"/>
      <c r="AR4558" s="315" t="str">
        <f t="shared" si="108"/>
        <v/>
      </c>
    </row>
    <row r="4559" spans="37:44" ht="30" hidden="1" customHeight="1" x14ac:dyDescent="0.25">
      <c r="AK4559" s="313"/>
      <c r="AL4559" s="313"/>
      <c r="AM4559" s="313"/>
      <c r="AN4559" s="313"/>
      <c r="AO4559" s="313"/>
      <c r="AP4559" s="313"/>
      <c r="AQ4559" s="314"/>
      <c r="AR4559" s="315" t="str">
        <f t="shared" si="108"/>
        <v/>
      </c>
    </row>
    <row r="4560" spans="37:44" ht="30" hidden="1" customHeight="1" x14ac:dyDescent="0.25">
      <c r="AK4560" s="313"/>
      <c r="AL4560" s="313"/>
      <c r="AM4560" s="313"/>
      <c r="AN4560" s="313"/>
      <c r="AO4560" s="313"/>
      <c r="AP4560" s="313"/>
      <c r="AQ4560" s="314"/>
      <c r="AR4560" s="315" t="str">
        <f t="shared" si="108"/>
        <v/>
      </c>
    </row>
    <row r="4561" spans="37:44" ht="30" hidden="1" customHeight="1" x14ac:dyDescent="0.25">
      <c r="AK4561" s="313"/>
      <c r="AL4561" s="313"/>
      <c r="AM4561" s="313"/>
      <c r="AN4561" s="313"/>
      <c r="AO4561" s="313"/>
      <c r="AP4561" s="313"/>
      <c r="AQ4561" s="314"/>
      <c r="AR4561" s="315" t="str">
        <f t="shared" si="108"/>
        <v/>
      </c>
    </row>
    <row r="4562" spans="37:44" ht="30" hidden="1" customHeight="1" x14ac:dyDescent="0.25">
      <c r="AK4562" s="313"/>
      <c r="AL4562" s="313"/>
      <c r="AM4562" s="313"/>
      <c r="AN4562" s="313"/>
      <c r="AO4562" s="313"/>
      <c r="AP4562" s="313"/>
      <c r="AQ4562" s="314"/>
      <c r="AR4562" s="315" t="str">
        <f t="shared" si="108"/>
        <v/>
      </c>
    </row>
    <row r="4563" spans="37:44" ht="30" hidden="1" customHeight="1" x14ac:dyDescent="0.25">
      <c r="AK4563" s="313"/>
      <c r="AL4563" s="313"/>
      <c r="AM4563" s="313"/>
      <c r="AN4563" s="313"/>
      <c r="AO4563" s="313"/>
      <c r="AP4563" s="313"/>
      <c r="AQ4563" s="314"/>
      <c r="AR4563" s="315" t="str">
        <f t="shared" si="108"/>
        <v/>
      </c>
    </row>
    <row r="4564" spans="37:44" ht="30" hidden="1" customHeight="1" x14ac:dyDescent="0.25">
      <c r="AK4564" s="313"/>
      <c r="AL4564" s="313"/>
      <c r="AM4564" s="313"/>
      <c r="AN4564" s="313"/>
      <c r="AO4564" s="313"/>
      <c r="AP4564" s="313"/>
      <c r="AQ4564" s="314"/>
      <c r="AR4564" s="315" t="str">
        <f t="shared" si="108"/>
        <v/>
      </c>
    </row>
    <row r="4565" spans="37:44" ht="30" hidden="1" customHeight="1" x14ac:dyDescent="0.25">
      <c r="AK4565" s="313"/>
      <c r="AL4565" s="313"/>
      <c r="AM4565" s="313"/>
      <c r="AN4565" s="313"/>
      <c r="AO4565" s="313"/>
      <c r="AP4565" s="313"/>
      <c r="AQ4565" s="314"/>
      <c r="AR4565" s="315" t="str">
        <f t="shared" si="108"/>
        <v/>
      </c>
    </row>
    <row r="4566" spans="37:44" ht="30" hidden="1" customHeight="1" x14ac:dyDescent="0.25">
      <c r="AK4566" s="313"/>
      <c r="AL4566" s="313"/>
      <c r="AM4566" s="313"/>
      <c r="AN4566" s="313"/>
      <c r="AO4566" s="313"/>
      <c r="AP4566" s="313"/>
      <c r="AQ4566" s="314"/>
      <c r="AR4566" s="315" t="str">
        <f t="shared" si="108"/>
        <v/>
      </c>
    </row>
    <row r="4567" spans="37:44" ht="30" hidden="1" customHeight="1" x14ac:dyDescent="0.25">
      <c r="AK4567" s="313"/>
      <c r="AL4567" s="313"/>
      <c r="AM4567" s="313"/>
      <c r="AN4567" s="313"/>
      <c r="AO4567" s="313"/>
      <c r="AP4567" s="313"/>
      <c r="AQ4567" s="314"/>
      <c r="AR4567" s="315" t="str">
        <f t="shared" si="108"/>
        <v/>
      </c>
    </row>
    <row r="4568" spans="37:44" ht="30" hidden="1" customHeight="1" x14ac:dyDescent="0.25">
      <c r="AK4568" s="313"/>
      <c r="AL4568" s="313"/>
      <c r="AM4568" s="313"/>
      <c r="AN4568" s="313"/>
      <c r="AO4568" s="313"/>
      <c r="AP4568" s="313"/>
      <c r="AQ4568" s="314"/>
      <c r="AR4568" s="315" t="str">
        <f t="shared" si="108"/>
        <v/>
      </c>
    </row>
    <row r="4569" spans="37:44" ht="30" hidden="1" customHeight="1" x14ac:dyDescent="0.25">
      <c r="AK4569" s="313"/>
      <c r="AL4569" s="313"/>
      <c r="AM4569" s="313"/>
      <c r="AN4569" s="313"/>
      <c r="AO4569" s="313"/>
      <c r="AP4569" s="313"/>
      <c r="AQ4569" s="314"/>
      <c r="AR4569" s="315" t="str">
        <f t="shared" si="108"/>
        <v/>
      </c>
    </row>
    <row r="4570" spans="37:44" ht="30" hidden="1" customHeight="1" x14ac:dyDescent="0.25">
      <c r="AK4570" s="313"/>
      <c r="AL4570" s="313"/>
      <c r="AM4570" s="313"/>
      <c r="AN4570" s="313"/>
      <c r="AO4570" s="313"/>
      <c r="AP4570" s="313"/>
      <c r="AQ4570" s="314"/>
      <c r="AR4570" s="315" t="str">
        <f t="shared" si="108"/>
        <v/>
      </c>
    </row>
    <row r="4571" spans="37:44" ht="30" hidden="1" customHeight="1" x14ac:dyDescent="0.25">
      <c r="AK4571" s="313"/>
      <c r="AL4571" s="313"/>
      <c r="AM4571" s="313"/>
      <c r="AN4571" s="313"/>
      <c r="AO4571" s="313"/>
      <c r="AP4571" s="313"/>
      <c r="AQ4571" s="314"/>
      <c r="AR4571" s="315" t="str">
        <f t="shared" si="108"/>
        <v/>
      </c>
    </row>
    <row r="4572" spans="37:44" ht="30" hidden="1" customHeight="1" x14ac:dyDescent="0.25">
      <c r="AK4572" s="313"/>
      <c r="AL4572" s="313"/>
      <c r="AM4572" s="313"/>
      <c r="AN4572" s="313"/>
      <c r="AO4572" s="313"/>
      <c r="AP4572" s="313"/>
      <c r="AQ4572" s="314"/>
      <c r="AR4572" s="315" t="str">
        <f t="shared" si="108"/>
        <v/>
      </c>
    </row>
    <row r="4573" spans="37:44" ht="30" hidden="1" customHeight="1" x14ac:dyDescent="0.25">
      <c r="AK4573" s="313"/>
      <c r="AL4573" s="313"/>
      <c r="AM4573" s="313"/>
      <c r="AN4573" s="313"/>
      <c r="AO4573" s="313"/>
      <c r="AP4573" s="313"/>
      <c r="AQ4573" s="314"/>
      <c r="AR4573" s="315" t="str">
        <f t="shared" si="108"/>
        <v/>
      </c>
    </row>
    <row r="4574" spans="37:44" ht="30" hidden="1" customHeight="1" x14ac:dyDescent="0.25">
      <c r="AK4574" s="313"/>
      <c r="AL4574" s="313"/>
      <c r="AM4574" s="313"/>
      <c r="AN4574" s="313"/>
      <c r="AO4574" s="313"/>
      <c r="AP4574" s="313"/>
      <c r="AQ4574" s="314"/>
      <c r="AR4574" s="315" t="str">
        <f t="shared" si="108"/>
        <v/>
      </c>
    </row>
    <row r="4575" spans="37:44" ht="30" hidden="1" customHeight="1" x14ac:dyDescent="0.25">
      <c r="AK4575" s="313"/>
      <c r="AL4575" s="313"/>
      <c r="AM4575" s="313"/>
      <c r="AN4575" s="313"/>
      <c r="AO4575" s="313"/>
      <c r="AP4575" s="313"/>
      <c r="AQ4575" s="314"/>
      <c r="AR4575" s="315" t="str">
        <f t="shared" si="108"/>
        <v/>
      </c>
    </row>
    <row r="4576" spans="37:44" ht="30" hidden="1" customHeight="1" x14ac:dyDescent="0.25">
      <c r="AK4576" s="313"/>
      <c r="AL4576" s="313"/>
      <c r="AM4576" s="313"/>
      <c r="AN4576" s="313"/>
      <c r="AO4576" s="313"/>
      <c r="AP4576" s="313"/>
      <c r="AQ4576" s="314"/>
      <c r="AR4576" s="315" t="str">
        <f t="shared" si="108"/>
        <v/>
      </c>
    </row>
    <row r="4577" spans="37:44" ht="30" hidden="1" customHeight="1" x14ac:dyDescent="0.25">
      <c r="AK4577" s="313"/>
      <c r="AL4577" s="313"/>
      <c r="AM4577" s="313"/>
      <c r="AN4577" s="313"/>
      <c r="AO4577" s="313"/>
      <c r="AP4577" s="313"/>
      <c r="AQ4577" s="314"/>
      <c r="AR4577" s="315" t="str">
        <f t="shared" si="108"/>
        <v/>
      </c>
    </row>
    <row r="4578" spans="37:44" ht="30" hidden="1" customHeight="1" x14ac:dyDescent="0.25">
      <c r="AK4578" s="313"/>
      <c r="AL4578" s="313"/>
      <c r="AM4578" s="313"/>
      <c r="AN4578" s="313"/>
      <c r="AO4578" s="313"/>
      <c r="AP4578" s="313"/>
      <c r="AQ4578" s="314"/>
      <c r="AR4578" s="315" t="str">
        <f t="shared" si="108"/>
        <v/>
      </c>
    </row>
    <row r="4579" spans="37:44" ht="30" hidden="1" customHeight="1" x14ac:dyDescent="0.25">
      <c r="AK4579" s="313"/>
      <c r="AL4579" s="313"/>
      <c r="AM4579" s="313"/>
      <c r="AN4579" s="313"/>
      <c r="AO4579" s="313"/>
      <c r="AP4579" s="313"/>
      <c r="AQ4579" s="314"/>
      <c r="AR4579" s="315" t="str">
        <f t="shared" si="108"/>
        <v/>
      </c>
    </row>
    <row r="4580" spans="37:44" ht="30" hidden="1" customHeight="1" x14ac:dyDescent="0.25">
      <c r="AK4580" s="313"/>
      <c r="AL4580" s="313"/>
      <c r="AM4580" s="313"/>
      <c r="AN4580" s="313"/>
      <c r="AO4580" s="313"/>
      <c r="AP4580" s="313"/>
      <c r="AQ4580" s="314"/>
      <c r="AR4580" s="315" t="str">
        <f t="shared" si="108"/>
        <v/>
      </c>
    </row>
    <row r="4581" spans="37:44" ht="30" hidden="1" customHeight="1" x14ac:dyDescent="0.25">
      <c r="AK4581" s="313"/>
      <c r="AL4581" s="313"/>
      <c r="AM4581" s="313"/>
      <c r="AN4581" s="313"/>
      <c r="AO4581" s="313"/>
      <c r="AP4581" s="313"/>
      <c r="AQ4581" s="314"/>
      <c r="AR4581" s="315" t="str">
        <f t="shared" si="108"/>
        <v/>
      </c>
    </row>
    <row r="4582" spans="37:44" ht="30" hidden="1" customHeight="1" x14ac:dyDescent="0.25">
      <c r="AK4582" s="313"/>
      <c r="AL4582" s="313"/>
      <c r="AM4582" s="313"/>
      <c r="AN4582" s="313"/>
      <c r="AO4582" s="313"/>
      <c r="AP4582" s="313"/>
      <c r="AQ4582" s="314"/>
      <c r="AR4582" s="315" t="str">
        <f t="shared" si="108"/>
        <v/>
      </c>
    </row>
    <row r="4583" spans="37:44" ht="30" hidden="1" customHeight="1" x14ac:dyDescent="0.25">
      <c r="AK4583" s="313"/>
      <c r="AL4583" s="313"/>
      <c r="AM4583" s="313"/>
      <c r="AN4583" s="313"/>
      <c r="AO4583" s="313"/>
      <c r="AP4583" s="313"/>
      <c r="AQ4583" s="314"/>
      <c r="AR4583" s="315" t="str">
        <f t="shared" si="108"/>
        <v/>
      </c>
    </row>
    <row r="4584" spans="37:44" ht="30" hidden="1" customHeight="1" x14ac:dyDescent="0.25">
      <c r="AK4584" s="313"/>
      <c r="AL4584" s="313"/>
      <c r="AM4584" s="313"/>
      <c r="AN4584" s="313"/>
      <c r="AO4584" s="313"/>
      <c r="AP4584" s="313"/>
      <c r="AQ4584" s="314"/>
      <c r="AR4584" s="315" t="str">
        <f t="shared" si="108"/>
        <v/>
      </c>
    </row>
    <row r="4585" spans="37:44" ht="30" hidden="1" customHeight="1" x14ac:dyDescent="0.25">
      <c r="AK4585" s="313"/>
      <c r="AL4585" s="313"/>
      <c r="AM4585" s="313"/>
      <c r="AN4585" s="313"/>
      <c r="AO4585" s="313"/>
      <c r="AP4585" s="313"/>
      <c r="AQ4585" s="314"/>
      <c r="AR4585" s="315" t="str">
        <f t="shared" si="108"/>
        <v/>
      </c>
    </row>
    <row r="4586" spans="37:44" ht="30" hidden="1" customHeight="1" x14ac:dyDescent="0.25">
      <c r="AK4586" s="313"/>
      <c r="AL4586" s="313"/>
      <c r="AM4586" s="313"/>
      <c r="AN4586" s="313"/>
      <c r="AO4586" s="313"/>
      <c r="AP4586" s="313"/>
      <c r="AQ4586" s="314"/>
      <c r="AR4586" s="315" t="str">
        <f t="shared" si="108"/>
        <v/>
      </c>
    </row>
    <row r="4587" spans="37:44" ht="30" hidden="1" customHeight="1" x14ac:dyDescent="0.25">
      <c r="AK4587" s="313"/>
      <c r="AL4587" s="313"/>
      <c r="AM4587" s="313"/>
      <c r="AN4587" s="313"/>
      <c r="AO4587" s="313"/>
      <c r="AP4587" s="313"/>
      <c r="AQ4587" s="314"/>
      <c r="AR4587" s="315" t="str">
        <f t="shared" si="108"/>
        <v/>
      </c>
    </row>
    <row r="4588" spans="37:44" ht="30" hidden="1" customHeight="1" x14ac:dyDescent="0.25">
      <c r="AK4588" s="313"/>
      <c r="AL4588" s="313"/>
      <c r="AM4588" s="313"/>
      <c r="AN4588" s="313"/>
      <c r="AO4588" s="313"/>
      <c r="AP4588" s="313"/>
      <c r="AQ4588" s="314"/>
      <c r="AR4588" s="315" t="str">
        <f t="shared" si="108"/>
        <v/>
      </c>
    </row>
    <row r="4589" spans="37:44" ht="30" hidden="1" customHeight="1" x14ac:dyDescent="0.25">
      <c r="AK4589" s="313"/>
      <c r="AL4589" s="313"/>
      <c r="AM4589" s="313"/>
      <c r="AN4589" s="313"/>
      <c r="AO4589" s="313"/>
      <c r="AP4589" s="313"/>
      <c r="AQ4589" s="314"/>
      <c r="AR4589" s="315" t="str">
        <f t="shared" si="108"/>
        <v/>
      </c>
    </row>
    <row r="4590" spans="37:44" ht="30" hidden="1" customHeight="1" x14ac:dyDescent="0.25">
      <c r="AK4590" s="313"/>
      <c r="AL4590" s="313"/>
      <c r="AM4590" s="313"/>
      <c r="AN4590" s="313"/>
      <c r="AO4590" s="313"/>
      <c r="AP4590" s="313"/>
      <c r="AQ4590" s="314"/>
      <c r="AR4590" s="315" t="str">
        <f t="shared" si="108"/>
        <v/>
      </c>
    </row>
    <row r="4591" spans="37:44" ht="30" hidden="1" customHeight="1" x14ac:dyDescent="0.25">
      <c r="AK4591" s="313"/>
      <c r="AL4591" s="313"/>
      <c r="AM4591" s="313"/>
      <c r="AN4591" s="313"/>
      <c r="AO4591" s="313"/>
      <c r="AP4591" s="313"/>
      <c r="AQ4591" s="314"/>
      <c r="AR4591" s="315" t="str">
        <f t="shared" si="108"/>
        <v/>
      </c>
    </row>
    <row r="4592" spans="37:44" ht="30" hidden="1" customHeight="1" x14ac:dyDescent="0.25">
      <c r="AK4592" s="313"/>
      <c r="AL4592" s="313"/>
      <c r="AM4592" s="313"/>
      <c r="AN4592" s="313"/>
      <c r="AO4592" s="313"/>
      <c r="AP4592" s="313"/>
      <c r="AQ4592" s="314"/>
      <c r="AR4592" s="315" t="str">
        <f t="shared" si="108"/>
        <v/>
      </c>
    </row>
    <row r="4593" spans="37:44" ht="30" hidden="1" customHeight="1" x14ac:dyDescent="0.25">
      <c r="AK4593" s="313"/>
      <c r="AL4593" s="313"/>
      <c r="AM4593" s="313"/>
      <c r="AN4593" s="313"/>
      <c r="AO4593" s="313"/>
      <c r="AP4593" s="313"/>
      <c r="AQ4593" s="314"/>
      <c r="AR4593" s="315" t="str">
        <f t="shared" si="108"/>
        <v/>
      </c>
    </row>
    <row r="4594" spans="37:44" ht="30" hidden="1" customHeight="1" x14ac:dyDescent="0.25">
      <c r="AK4594" s="313"/>
      <c r="AL4594" s="313"/>
      <c r="AM4594" s="313"/>
      <c r="AN4594" s="313"/>
      <c r="AO4594" s="313"/>
      <c r="AP4594" s="313"/>
      <c r="AQ4594" s="314"/>
      <c r="AR4594" s="315" t="str">
        <f t="shared" si="108"/>
        <v/>
      </c>
    </row>
    <row r="4595" spans="37:44" ht="30" hidden="1" customHeight="1" x14ac:dyDescent="0.25">
      <c r="AK4595" s="313"/>
      <c r="AL4595" s="313"/>
      <c r="AM4595" s="313"/>
      <c r="AN4595" s="313"/>
      <c r="AO4595" s="313"/>
      <c r="AP4595" s="313"/>
      <c r="AQ4595" s="314"/>
      <c r="AR4595" s="315" t="str">
        <f t="shared" si="108"/>
        <v/>
      </c>
    </row>
    <row r="4596" spans="37:44" ht="30" hidden="1" customHeight="1" x14ac:dyDescent="0.25">
      <c r="AK4596" s="313"/>
      <c r="AL4596" s="313"/>
      <c r="AM4596" s="313"/>
      <c r="AN4596" s="313"/>
      <c r="AO4596" s="313"/>
      <c r="AP4596" s="313"/>
      <c r="AQ4596" s="314"/>
      <c r="AR4596" s="315" t="str">
        <f t="shared" si="108"/>
        <v/>
      </c>
    </row>
    <row r="4597" spans="37:44" ht="30" hidden="1" customHeight="1" x14ac:dyDescent="0.25">
      <c r="AK4597" s="313"/>
      <c r="AL4597" s="313"/>
      <c r="AM4597" s="313"/>
      <c r="AN4597" s="313"/>
      <c r="AO4597" s="313"/>
      <c r="AP4597" s="313"/>
      <c r="AQ4597" s="314"/>
      <c r="AR4597" s="315" t="str">
        <f t="shared" si="108"/>
        <v/>
      </c>
    </row>
    <row r="4598" spans="37:44" ht="30" hidden="1" customHeight="1" x14ac:dyDescent="0.25">
      <c r="AK4598" s="313"/>
      <c r="AL4598" s="313"/>
      <c r="AM4598" s="313"/>
      <c r="AN4598" s="313"/>
      <c r="AO4598" s="313"/>
      <c r="AP4598" s="313"/>
      <c r="AQ4598" s="314"/>
      <c r="AR4598" s="315" t="str">
        <f t="shared" si="108"/>
        <v/>
      </c>
    </row>
    <row r="4599" spans="37:44" ht="30" hidden="1" customHeight="1" x14ac:dyDescent="0.25">
      <c r="AK4599" s="313"/>
      <c r="AL4599" s="313"/>
      <c r="AM4599" s="313"/>
      <c r="AN4599" s="313"/>
      <c r="AO4599" s="313"/>
      <c r="AP4599" s="313"/>
      <c r="AQ4599" s="314"/>
      <c r="AR4599" s="315" t="str">
        <f t="shared" si="108"/>
        <v/>
      </c>
    </row>
    <row r="4600" spans="37:44" ht="30" hidden="1" customHeight="1" x14ac:dyDescent="0.25">
      <c r="AK4600" s="313"/>
      <c r="AL4600" s="313"/>
      <c r="AM4600" s="313"/>
      <c r="AN4600" s="313"/>
      <c r="AO4600" s="313"/>
      <c r="AP4600" s="313"/>
      <c r="AQ4600" s="314"/>
      <c r="AR4600" s="315" t="str">
        <f t="shared" si="108"/>
        <v/>
      </c>
    </row>
    <row r="4601" spans="37:44" ht="30" hidden="1" customHeight="1" x14ac:dyDescent="0.25">
      <c r="AK4601" s="313"/>
      <c r="AL4601" s="313"/>
      <c r="AM4601" s="313"/>
      <c r="AN4601" s="313"/>
      <c r="AO4601" s="313"/>
      <c r="AP4601" s="313"/>
      <c r="AQ4601" s="314"/>
      <c r="AR4601" s="315" t="str">
        <f t="shared" si="108"/>
        <v/>
      </c>
    </row>
    <row r="4602" spans="37:44" ht="30" hidden="1" customHeight="1" x14ac:dyDescent="0.25">
      <c r="AK4602" s="313"/>
      <c r="AL4602" s="313"/>
      <c r="AM4602" s="313"/>
      <c r="AN4602" s="313"/>
      <c r="AO4602" s="313"/>
      <c r="AP4602" s="313"/>
      <c r="AQ4602" s="314"/>
      <c r="AR4602" s="315" t="str">
        <f t="shared" si="108"/>
        <v/>
      </c>
    </row>
    <row r="4603" spans="37:44" ht="30" hidden="1" customHeight="1" x14ac:dyDescent="0.25">
      <c r="AK4603" s="313"/>
      <c r="AL4603" s="313"/>
      <c r="AM4603" s="313"/>
      <c r="AN4603" s="313"/>
      <c r="AO4603" s="313"/>
      <c r="AP4603" s="313"/>
      <c r="AQ4603" s="314"/>
      <c r="AR4603" s="315" t="str">
        <f t="shared" si="108"/>
        <v/>
      </c>
    </row>
    <row r="4604" spans="37:44" ht="30" hidden="1" customHeight="1" x14ac:dyDescent="0.25">
      <c r="AK4604" s="313"/>
      <c r="AL4604" s="313"/>
      <c r="AM4604" s="313"/>
      <c r="AN4604" s="313"/>
      <c r="AO4604" s="313"/>
      <c r="AP4604" s="313"/>
      <c r="AQ4604" s="314"/>
      <c r="AR4604" s="315" t="str">
        <f t="shared" si="108"/>
        <v/>
      </c>
    </row>
    <row r="4605" spans="37:44" ht="30" hidden="1" customHeight="1" x14ac:dyDescent="0.25">
      <c r="AK4605" s="313"/>
      <c r="AL4605" s="313"/>
      <c r="AM4605" s="313"/>
      <c r="AN4605" s="313"/>
      <c r="AO4605" s="313"/>
      <c r="AP4605" s="313"/>
      <c r="AQ4605" s="314"/>
      <c r="AR4605" s="315" t="str">
        <f t="shared" si="108"/>
        <v/>
      </c>
    </row>
    <row r="4606" spans="37:44" ht="30" hidden="1" customHeight="1" x14ac:dyDescent="0.25">
      <c r="AK4606" s="313"/>
      <c r="AL4606" s="313"/>
      <c r="AM4606" s="313"/>
      <c r="AN4606" s="313"/>
      <c r="AO4606" s="313"/>
      <c r="AP4606" s="313"/>
      <c r="AQ4606" s="314"/>
      <c r="AR4606" s="315" t="str">
        <f t="shared" si="108"/>
        <v/>
      </c>
    </row>
    <row r="4607" spans="37:44" ht="30" hidden="1" customHeight="1" x14ac:dyDescent="0.25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09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 x14ac:dyDescent="0.25">
      <c r="AK4608" s="313"/>
      <c r="AL4608" s="313"/>
      <c r="AM4608" s="313"/>
      <c r="AN4608" s="313"/>
      <c r="AO4608" s="313"/>
      <c r="AP4608" s="313"/>
      <c r="AQ4608" s="314"/>
      <c r="AR4608" s="315" t="str">
        <f t="shared" si="109"/>
        <v/>
      </c>
    </row>
    <row r="4609" spans="37:44" ht="30" hidden="1" customHeight="1" x14ac:dyDescent="0.25">
      <c r="AK4609" s="313"/>
      <c r="AL4609" s="313"/>
      <c r="AM4609" s="313"/>
      <c r="AN4609" s="313"/>
      <c r="AO4609" s="313"/>
      <c r="AP4609" s="313"/>
      <c r="AQ4609" s="314"/>
      <c r="AR4609" s="315" t="str">
        <f t="shared" si="109"/>
        <v/>
      </c>
    </row>
    <row r="4610" spans="37:44" ht="30" hidden="1" customHeight="1" x14ac:dyDescent="0.25">
      <c r="AK4610" s="313"/>
      <c r="AL4610" s="313"/>
      <c r="AM4610" s="313"/>
      <c r="AN4610" s="313"/>
      <c r="AO4610" s="313"/>
      <c r="AP4610" s="313"/>
      <c r="AQ4610" s="314"/>
      <c r="AR4610" s="315" t="str">
        <f t="shared" si="109"/>
        <v/>
      </c>
    </row>
    <row r="4611" spans="37:44" ht="30" hidden="1" customHeight="1" x14ac:dyDescent="0.25">
      <c r="AK4611" s="313"/>
      <c r="AL4611" s="313"/>
      <c r="AM4611" s="313"/>
      <c r="AN4611" s="313"/>
      <c r="AO4611" s="313"/>
      <c r="AP4611" s="313"/>
      <c r="AQ4611" s="314"/>
      <c r="AR4611" s="315" t="str">
        <f t="shared" si="109"/>
        <v/>
      </c>
    </row>
    <row r="4612" spans="37:44" ht="30" hidden="1" customHeight="1" x14ac:dyDescent="0.25">
      <c r="AK4612" s="313"/>
      <c r="AL4612" s="313"/>
      <c r="AM4612" s="313"/>
      <c r="AN4612" s="313"/>
      <c r="AO4612" s="313"/>
      <c r="AP4612" s="313"/>
      <c r="AQ4612" s="314"/>
      <c r="AR4612" s="315" t="str">
        <f t="shared" si="109"/>
        <v/>
      </c>
    </row>
    <row r="4613" spans="37:44" ht="30" hidden="1" customHeight="1" x14ac:dyDescent="0.25">
      <c r="AK4613" s="313"/>
      <c r="AL4613" s="313"/>
      <c r="AM4613" s="313"/>
      <c r="AN4613" s="313"/>
      <c r="AO4613" s="313"/>
      <c r="AP4613" s="313"/>
      <c r="AQ4613" s="314"/>
      <c r="AR4613" s="315" t="str">
        <f t="shared" si="109"/>
        <v/>
      </c>
    </row>
    <row r="4614" spans="37:44" ht="30" hidden="1" customHeight="1" x14ac:dyDescent="0.25">
      <c r="AK4614" s="313"/>
      <c r="AL4614" s="313"/>
      <c r="AM4614" s="313"/>
      <c r="AN4614" s="313"/>
      <c r="AO4614" s="313"/>
      <c r="AP4614" s="313"/>
      <c r="AQ4614" s="314"/>
      <c r="AR4614" s="315" t="str">
        <f t="shared" si="109"/>
        <v/>
      </c>
    </row>
    <row r="4615" spans="37:44" ht="30" hidden="1" customHeight="1" x14ac:dyDescent="0.25">
      <c r="AK4615" s="313"/>
      <c r="AL4615" s="313"/>
      <c r="AM4615" s="313"/>
      <c r="AN4615" s="313"/>
      <c r="AO4615" s="313"/>
      <c r="AP4615" s="313"/>
      <c r="AQ4615" s="314"/>
      <c r="AR4615" s="315" t="str">
        <f t="shared" si="109"/>
        <v/>
      </c>
    </row>
    <row r="4616" spans="37:44" ht="30" hidden="1" customHeight="1" x14ac:dyDescent="0.25">
      <c r="AK4616" s="313"/>
      <c r="AL4616" s="313"/>
      <c r="AM4616" s="313"/>
      <c r="AN4616" s="313"/>
      <c r="AO4616" s="313"/>
      <c r="AP4616" s="313"/>
      <c r="AQ4616" s="314"/>
      <c r="AR4616" s="315" t="str">
        <f t="shared" si="109"/>
        <v/>
      </c>
    </row>
    <row r="4617" spans="37:44" ht="30" hidden="1" customHeight="1" x14ac:dyDescent="0.25">
      <c r="AK4617" s="313"/>
      <c r="AL4617" s="313"/>
      <c r="AM4617" s="313"/>
      <c r="AN4617" s="313"/>
      <c r="AO4617" s="313"/>
      <c r="AP4617" s="313"/>
      <c r="AQ4617" s="314"/>
      <c r="AR4617" s="315" t="str">
        <f t="shared" si="109"/>
        <v/>
      </c>
    </row>
    <row r="4618" spans="37:44" ht="30" hidden="1" customHeight="1" x14ac:dyDescent="0.25">
      <c r="AK4618" s="313"/>
      <c r="AL4618" s="313"/>
      <c r="AM4618" s="313"/>
      <c r="AN4618" s="313"/>
      <c r="AO4618" s="313"/>
      <c r="AP4618" s="313"/>
      <c r="AQ4618" s="314"/>
      <c r="AR4618" s="315" t="str">
        <f t="shared" si="109"/>
        <v/>
      </c>
    </row>
    <row r="4619" spans="37:44" ht="30" hidden="1" customHeight="1" x14ac:dyDescent="0.25">
      <c r="AK4619" s="313"/>
      <c r="AL4619" s="313"/>
      <c r="AM4619" s="313"/>
      <c r="AN4619" s="313"/>
      <c r="AO4619" s="313"/>
      <c r="AP4619" s="313"/>
      <c r="AQ4619" s="314"/>
      <c r="AR4619" s="315" t="str">
        <f t="shared" si="109"/>
        <v/>
      </c>
    </row>
    <row r="4620" spans="37:44" ht="30" hidden="1" customHeight="1" x14ac:dyDescent="0.25">
      <c r="AK4620" s="313"/>
      <c r="AL4620" s="313"/>
      <c r="AM4620" s="313"/>
      <c r="AN4620" s="313"/>
      <c r="AO4620" s="313"/>
      <c r="AP4620" s="313"/>
      <c r="AQ4620" s="314"/>
      <c r="AR4620" s="315" t="str">
        <f t="shared" si="109"/>
        <v/>
      </c>
    </row>
    <row r="4621" spans="37:44" ht="30" hidden="1" customHeight="1" x14ac:dyDescent="0.25">
      <c r="AK4621" s="313"/>
      <c r="AL4621" s="313"/>
      <c r="AM4621" s="313"/>
      <c r="AN4621" s="313"/>
      <c r="AO4621" s="313"/>
      <c r="AP4621" s="313"/>
      <c r="AQ4621" s="314"/>
      <c r="AR4621" s="315" t="str">
        <f t="shared" si="109"/>
        <v/>
      </c>
    </row>
    <row r="4622" spans="37:44" ht="30" hidden="1" customHeight="1" x14ac:dyDescent="0.25">
      <c r="AK4622" s="313"/>
      <c r="AL4622" s="313"/>
      <c r="AM4622" s="313"/>
      <c r="AN4622" s="313"/>
      <c r="AO4622" s="313"/>
      <c r="AP4622" s="313"/>
      <c r="AQ4622" s="314"/>
      <c r="AR4622" s="315" t="str">
        <f t="shared" si="109"/>
        <v/>
      </c>
    </row>
    <row r="4623" spans="37:44" ht="30" hidden="1" customHeight="1" x14ac:dyDescent="0.25">
      <c r="AK4623" s="313"/>
      <c r="AL4623" s="313"/>
      <c r="AM4623" s="313"/>
      <c r="AN4623" s="313"/>
      <c r="AO4623" s="313"/>
      <c r="AP4623" s="313"/>
      <c r="AQ4623" s="314"/>
      <c r="AR4623" s="315" t="str">
        <f t="shared" si="109"/>
        <v/>
      </c>
    </row>
    <row r="4624" spans="37:44" ht="30" hidden="1" customHeight="1" x14ac:dyDescent="0.25">
      <c r="AK4624" s="313"/>
      <c r="AL4624" s="313"/>
      <c r="AM4624" s="313"/>
      <c r="AN4624" s="313"/>
      <c r="AO4624" s="313"/>
      <c r="AP4624" s="313"/>
      <c r="AQ4624" s="314"/>
      <c r="AR4624" s="315" t="str">
        <f t="shared" si="109"/>
        <v/>
      </c>
    </row>
    <row r="4625" spans="37:44" ht="30" hidden="1" customHeight="1" x14ac:dyDescent="0.25">
      <c r="AK4625" s="313"/>
      <c r="AL4625" s="313"/>
      <c r="AM4625" s="313"/>
      <c r="AN4625" s="313"/>
      <c r="AO4625" s="313"/>
      <c r="AP4625" s="313"/>
      <c r="AQ4625" s="314"/>
      <c r="AR4625" s="315" t="str">
        <f t="shared" si="109"/>
        <v/>
      </c>
    </row>
    <row r="4626" spans="37:44" ht="30" hidden="1" customHeight="1" x14ac:dyDescent="0.25">
      <c r="AK4626" s="313"/>
      <c r="AL4626" s="313"/>
      <c r="AM4626" s="313"/>
      <c r="AN4626" s="313"/>
      <c r="AO4626" s="313"/>
      <c r="AP4626" s="313"/>
      <c r="AQ4626" s="314"/>
      <c r="AR4626" s="315" t="str">
        <f t="shared" si="109"/>
        <v/>
      </c>
    </row>
    <row r="4627" spans="37:44" ht="30" hidden="1" customHeight="1" x14ac:dyDescent="0.25">
      <c r="AK4627" s="313"/>
      <c r="AL4627" s="313"/>
      <c r="AM4627" s="313"/>
      <c r="AN4627" s="313"/>
      <c r="AO4627" s="313"/>
      <c r="AP4627" s="313"/>
      <c r="AQ4627" s="314"/>
      <c r="AR4627" s="315" t="str">
        <f t="shared" si="109"/>
        <v/>
      </c>
    </row>
    <row r="4628" spans="37:44" ht="30" hidden="1" customHeight="1" x14ac:dyDescent="0.25">
      <c r="AK4628" s="313"/>
      <c r="AL4628" s="313"/>
      <c r="AM4628" s="313"/>
      <c r="AN4628" s="313"/>
      <c r="AO4628" s="313"/>
      <c r="AP4628" s="313"/>
      <c r="AQ4628" s="314"/>
      <c r="AR4628" s="315" t="str">
        <f t="shared" si="109"/>
        <v/>
      </c>
    </row>
    <row r="4629" spans="37:44" ht="30" hidden="1" customHeight="1" x14ac:dyDescent="0.25">
      <c r="AK4629" s="313"/>
      <c r="AL4629" s="313"/>
      <c r="AM4629" s="313"/>
      <c r="AN4629" s="313"/>
      <c r="AO4629" s="313"/>
      <c r="AP4629" s="313"/>
      <c r="AQ4629" s="314"/>
      <c r="AR4629" s="315" t="str">
        <f t="shared" si="109"/>
        <v/>
      </c>
    </row>
    <row r="4630" spans="37:44" ht="30" hidden="1" customHeight="1" x14ac:dyDescent="0.25">
      <c r="AK4630" s="313"/>
      <c r="AL4630" s="313"/>
      <c r="AM4630" s="313"/>
      <c r="AN4630" s="313"/>
      <c r="AO4630" s="313"/>
      <c r="AP4630" s="313"/>
      <c r="AQ4630" s="314"/>
      <c r="AR4630" s="315" t="str">
        <f t="shared" si="109"/>
        <v/>
      </c>
    </row>
    <row r="4631" spans="37:44" ht="30" hidden="1" customHeight="1" x14ac:dyDescent="0.25">
      <c r="AK4631" s="313"/>
      <c r="AL4631" s="313"/>
      <c r="AM4631" s="313"/>
      <c r="AN4631" s="313"/>
      <c r="AO4631" s="313"/>
      <c r="AP4631" s="313"/>
      <c r="AQ4631" s="314"/>
      <c r="AR4631" s="315" t="str">
        <f t="shared" si="109"/>
        <v/>
      </c>
    </row>
    <row r="4632" spans="37:44" ht="30" hidden="1" customHeight="1" x14ac:dyDescent="0.25">
      <c r="AK4632" s="313"/>
      <c r="AL4632" s="313"/>
      <c r="AM4632" s="313"/>
      <c r="AN4632" s="313"/>
      <c r="AO4632" s="313"/>
      <c r="AP4632" s="313"/>
      <c r="AQ4632" s="314"/>
      <c r="AR4632" s="315" t="str">
        <f t="shared" si="109"/>
        <v/>
      </c>
    </row>
    <row r="4633" spans="37:44" ht="30" hidden="1" customHeight="1" x14ac:dyDescent="0.25">
      <c r="AK4633" s="313"/>
      <c r="AL4633" s="313"/>
      <c r="AM4633" s="313"/>
      <c r="AN4633" s="313"/>
      <c r="AO4633" s="313"/>
      <c r="AP4633" s="313"/>
      <c r="AQ4633" s="314"/>
      <c r="AR4633" s="315" t="str">
        <f t="shared" si="109"/>
        <v/>
      </c>
    </row>
    <row r="4634" spans="37:44" ht="30" hidden="1" customHeight="1" x14ac:dyDescent="0.25">
      <c r="AK4634" s="313"/>
      <c r="AL4634" s="313"/>
      <c r="AM4634" s="313"/>
      <c r="AN4634" s="313"/>
      <c r="AO4634" s="313"/>
      <c r="AP4634" s="313"/>
      <c r="AQ4634" s="314"/>
      <c r="AR4634" s="315" t="str">
        <f t="shared" si="109"/>
        <v/>
      </c>
    </row>
    <row r="4635" spans="37:44" ht="30" hidden="1" customHeight="1" x14ac:dyDescent="0.25">
      <c r="AK4635" s="313"/>
      <c r="AL4635" s="313"/>
      <c r="AM4635" s="313"/>
      <c r="AN4635" s="313"/>
      <c r="AO4635" s="313"/>
      <c r="AP4635" s="313"/>
      <c r="AQ4635" s="314"/>
      <c r="AR4635" s="315" t="str">
        <f t="shared" si="109"/>
        <v/>
      </c>
    </row>
    <row r="4636" spans="37:44" ht="30" hidden="1" customHeight="1" x14ac:dyDescent="0.25">
      <c r="AK4636" s="313"/>
      <c r="AL4636" s="313"/>
      <c r="AM4636" s="313"/>
      <c r="AN4636" s="313"/>
      <c r="AO4636" s="313"/>
      <c r="AP4636" s="313"/>
      <c r="AQ4636" s="314"/>
      <c r="AR4636" s="315" t="str">
        <f t="shared" si="109"/>
        <v/>
      </c>
    </row>
    <row r="4637" spans="37:44" ht="30" hidden="1" customHeight="1" x14ac:dyDescent="0.25">
      <c r="AK4637" s="313"/>
      <c r="AL4637" s="313"/>
      <c r="AM4637" s="313"/>
      <c r="AN4637" s="313"/>
      <c r="AO4637" s="313"/>
      <c r="AP4637" s="313"/>
      <c r="AQ4637" s="314"/>
      <c r="AR4637" s="315" t="str">
        <f t="shared" si="109"/>
        <v/>
      </c>
    </row>
    <row r="4638" spans="37:44" ht="30" hidden="1" customHeight="1" x14ac:dyDescent="0.25">
      <c r="AK4638" s="313"/>
      <c r="AL4638" s="313"/>
      <c r="AM4638" s="313"/>
      <c r="AN4638" s="313"/>
      <c r="AO4638" s="313"/>
      <c r="AP4638" s="313"/>
      <c r="AQ4638" s="314"/>
      <c r="AR4638" s="315" t="str">
        <f t="shared" si="109"/>
        <v/>
      </c>
    </row>
    <row r="4639" spans="37:44" ht="30" hidden="1" customHeight="1" x14ac:dyDescent="0.25">
      <c r="AK4639" s="313"/>
      <c r="AL4639" s="313"/>
      <c r="AM4639" s="313"/>
      <c r="AN4639" s="313"/>
      <c r="AO4639" s="313"/>
      <c r="AP4639" s="313"/>
      <c r="AQ4639" s="314"/>
      <c r="AR4639" s="315" t="str">
        <f t="shared" si="109"/>
        <v/>
      </c>
    </row>
    <row r="4640" spans="37:44" ht="30" hidden="1" customHeight="1" x14ac:dyDescent="0.25">
      <c r="AK4640" s="313"/>
      <c r="AL4640" s="313"/>
      <c r="AM4640" s="313"/>
      <c r="AN4640" s="313"/>
      <c r="AO4640" s="313"/>
      <c r="AP4640" s="313"/>
      <c r="AQ4640" s="314"/>
      <c r="AR4640" s="315" t="str">
        <f t="shared" si="109"/>
        <v/>
      </c>
    </row>
    <row r="4641" spans="37:44" ht="30" hidden="1" customHeight="1" x14ac:dyDescent="0.25">
      <c r="AK4641" s="313"/>
      <c r="AL4641" s="313"/>
      <c r="AM4641" s="313"/>
      <c r="AN4641" s="313"/>
      <c r="AO4641" s="313"/>
      <c r="AP4641" s="313"/>
      <c r="AQ4641" s="314"/>
      <c r="AR4641" s="315" t="str">
        <f t="shared" si="109"/>
        <v/>
      </c>
    </row>
    <row r="4642" spans="37:44" ht="30" hidden="1" customHeight="1" x14ac:dyDescent="0.25">
      <c r="AK4642" s="313"/>
      <c r="AL4642" s="313"/>
      <c r="AM4642" s="313"/>
      <c r="AN4642" s="313"/>
      <c r="AO4642" s="313"/>
      <c r="AP4642" s="313"/>
      <c r="AQ4642" s="314"/>
      <c r="AR4642" s="315" t="str">
        <f t="shared" si="109"/>
        <v/>
      </c>
    </row>
    <row r="4643" spans="37:44" ht="30" hidden="1" customHeight="1" x14ac:dyDescent="0.25">
      <c r="AK4643" s="313"/>
      <c r="AL4643" s="313"/>
      <c r="AM4643" s="313"/>
      <c r="AN4643" s="313"/>
      <c r="AO4643" s="313"/>
      <c r="AP4643" s="313"/>
      <c r="AQ4643" s="314"/>
      <c r="AR4643" s="315" t="str">
        <f t="shared" si="109"/>
        <v/>
      </c>
    </row>
    <row r="4644" spans="37:44" ht="30" hidden="1" customHeight="1" x14ac:dyDescent="0.25">
      <c r="AK4644" s="313"/>
      <c r="AL4644" s="313"/>
      <c r="AM4644" s="313"/>
      <c r="AN4644" s="313"/>
      <c r="AO4644" s="313"/>
      <c r="AP4644" s="313"/>
      <c r="AQ4644" s="314"/>
      <c r="AR4644" s="315" t="str">
        <f t="shared" si="109"/>
        <v/>
      </c>
    </row>
    <row r="4645" spans="37:44" ht="30" hidden="1" customHeight="1" x14ac:dyDescent="0.25">
      <c r="AK4645" s="313"/>
      <c r="AL4645" s="313"/>
      <c r="AM4645" s="313"/>
      <c r="AN4645" s="313"/>
      <c r="AO4645" s="313"/>
      <c r="AP4645" s="313"/>
      <c r="AQ4645" s="314"/>
      <c r="AR4645" s="315" t="str">
        <f t="shared" si="109"/>
        <v/>
      </c>
    </row>
    <row r="4646" spans="37:44" ht="30" hidden="1" customHeight="1" x14ac:dyDescent="0.25">
      <c r="AK4646" s="313"/>
      <c r="AL4646" s="313"/>
      <c r="AM4646" s="313"/>
      <c r="AN4646" s="313"/>
      <c r="AO4646" s="313"/>
      <c r="AP4646" s="313"/>
      <c r="AQ4646" s="314"/>
      <c r="AR4646" s="315" t="str">
        <f t="shared" si="109"/>
        <v/>
      </c>
    </row>
    <row r="4647" spans="37:44" ht="30" hidden="1" customHeight="1" x14ac:dyDescent="0.25">
      <c r="AK4647" s="313"/>
      <c r="AL4647" s="313"/>
      <c r="AM4647" s="313"/>
      <c r="AN4647" s="313"/>
      <c r="AO4647" s="313"/>
      <c r="AP4647" s="313"/>
      <c r="AQ4647" s="314"/>
      <c r="AR4647" s="315" t="str">
        <f t="shared" si="109"/>
        <v/>
      </c>
    </row>
    <row r="4648" spans="37:44" ht="30" hidden="1" customHeight="1" x14ac:dyDescent="0.25">
      <c r="AK4648" s="313"/>
      <c r="AL4648" s="313"/>
      <c r="AM4648" s="313"/>
      <c r="AN4648" s="313"/>
      <c r="AO4648" s="313"/>
      <c r="AP4648" s="313"/>
      <c r="AQ4648" s="314"/>
      <c r="AR4648" s="315" t="str">
        <f t="shared" si="109"/>
        <v/>
      </c>
    </row>
    <row r="4649" spans="37:44" ht="30" hidden="1" customHeight="1" x14ac:dyDescent="0.25">
      <c r="AK4649" s="313"/>
      <c r="AL4649" s="313"/>
      <c r="AM4649" s="313"/>
      <c r="AN4649" s="313"/>
      <c r="AO4649" s="313"/>
      <c r="AP4649" s="313"/>
      <c r="AQ4649" s="314"/>
      <c r="AR4649" s="315" t="str">
        <f t="shared" si="109"/>
        <v/>
      </c>
    </row>
    <row r="4650" spans="37:44" ht="30" hidden="1" customHeight="1" x14ac:dyDescent="0.25">
      <c r="AK4650" s="313"/>
      <c r="AL4650" s="313"/>
      <c r="AM4650" s="313"/>
      <c r="AN4650" s="313"/>
      <c r="AO4650" s="313"/>
      <c r="AP4650" s="313"/>
      <c r="AQ4650" s="314"/>
      <c r="AR4650" s="315" t="str">
        <f t="shared" si="109"/>
        <v/>
      </c>
    </row>
    <row r="4651" spans="37:44" ht="30" hidden="1" customHeight="1" x14ac:dyDescent="0.25">
      <c r="AK4651" s="313"/>
      <c r="AL4651" s="313"/>
      <c r="AM4651" s="313"/>
      <c r="AN4651" s="313"/>
      <c r="AO4651" s="313"/>
      <c r="AP4651" s="313"/>
      <c r="AQ4651" s="314"/>
      <c r="AR4651" s="315" t="str">
        <f t="shared" si="109"/>
        <v/>
      </c>
    </row>
    <row r="4652" spans="37:44" ht="30" hidden="1" customHeight="1" x14ac:dyDescent="0.25">
      <c r="AK4652" s="313"/>
      <c r="AL4652" s="313"/>
      <c r="AM4652" s="313"/>
      <c r="AN4652" s="313"/>
      <c r="AO4652" s="313"/>
      <c r="AP4652" s="313"/>
      <c r="AQ4652" s="314"/>
      <c r="AR4652" s="315" t="str">
        <f t="shared" si="109"/>
        <v/>
      </c>
    </row>
    <row r="4653" spans="37:44" ht="30" hidden="1" customHeight="1" x14ac:dyDescent="0.25">
      <c r="AK4653" s="313"/>
      <c r="AL4653" s="313"/>
      <c r="AM4653" s="313"/>
      <c r="AN4653" s="313"/>
      <c r="AO4653" s="313"/>
      <c r="AP4653" s="313"/>
      <c r="AQ4653" s="314"/>
      <c r="AR4653" s="315" t="str">
        <f t="shared" si="109"/>
        <v/>
      </c>
    </row>
    <row r="4654" spans="37:44" ht="30" hidden="1" customHeight="1" x14ac:dyDescent="0.25">
      <c r="AK4654" s="313"/>
      <c r="AL4654" s="313"/>
      <c r="AM4654" s="313"/>
      <c r="AN4654" s="313"/>
      <c r="AO4654" s="313"/>
      <c r="AP4654" s="313"/>
      <c r="AQ4654" s="314"/>
      <c r="AR4654" s="315" t="str">
        <f t="shared" si="109"/>
        <v/>
      </c>
    </row>
    <row r="4655" spans="37:44" ht="30" hidden="1" customHeight="1" x14ac:dyDescent="0.25">
      <c r="AK4655" s="313"/>
      <c r="AL4655" s="313"/>
      <c r="AM4655" s="313"/>
      <c r="AN4655" s="313"/>
      <c r="AO4655" s="313"/>
      <c r="AP4655" s="313"/>
      <c r="AQ4655" s="314"/>
      <c r="AR4655" s="315" t="str">
        <f t="shared" si="109"/>
        <v/>
      </c>
    </row>
    <row r="4656" spans="37:44" ht="30" hidden="1" customHeight="1" x14ac:dyDescent="0.25">
      <c r="AK4656" s="313"/>
      <c r="AL4656" s="313"/>
      <c r="AM4656" s="313"/>
      <c r="AN4656" s="313"/>
      <c r="AO4656" s="313"/>
      <c r="AP4656" s="313"/>
      <c r="AQ4656" s="314"/>
      <c r="AR4656" s="315" t="str">
        <f t="shared" si="109"/>
        <v/>
      </c>
    </row>
    <row r="4657" spans="37:44" ht="30" hidden="1" customHeight="1" x14ac:dyDescent="0.25">
      <c r="AK4657" s="313"/>
      <c r="AL4657" s="313"/>
      <c r="AM4657" s="313"/>
      <c r="AN4657" s="313"/>
      <c r="AO4657" s="313"/>
      <c r="AP4657" s="313"/>
      <c r="AQ4657" s="314"/>
      <c r="AR4657" s="315" t="str">
        <f t="shared" si="109"/>
        <v/>
      </c>
    </row>
    <row r="4658" spans="37:44" ht="30" hidden="1" customHeight="1" x14ac:dyDescent="0.25">
      <c r="AK4658" s="313"/>
      <c r="AL4658" s="313"/>
      <c r="AM4658" s="313"/>
      <c r="AN4658" s="313"/>
      <c r="AO4658" s="313"/>
      <c r="AP4658" s="313"/>
      <c r="AQ4658" s="314"/>
      <c r="AR4658" s="315" t="str">
        <f t="shared" si="109"/>
        <v/>
      </c>
    </row>
    <row r="4659" spans="37:44" ht="30" hidden="1" customHeight="1" x14ac:dyDescent="0.25">
      <c r="AK4659" s="313"/>
      <c r="AL4659" s="313"/>
      <c r="AM4659" s="313"/>
      <c r="AN4659" s="313"/>
      <c r="AO4659" s="313"/>
      <c r="AP4659" s="313"/>
      <c r="AQ4659" s="314"/>
      <c r="AR4659" s="315" t="str">
        <f t="shared" si="109"/>
        <v/>
      </c>
    </row>
    <row r="4660" spans="37:44" ht="30" hidden="1" customHeight="1" x14ac:dyDescent="0.25">
      <c r="AK4660" s="313"/>
      <c r="AL4660" s="313"/>
      <c r="AM4660" s="313"/>
      <c r="AN4660" s="313"/>
      <c r="AO4660" s="313"/>
      <c r="AP4660" s="313"/>
      <c r="AQ4660" s="314"/>
      <c r="AR4660" s="315" t="str">
        <f t="shared" si="109"/>
        <v/>
      </c>
    </row>
    <row r="4661" spans="37:44" ht="30" hidden="1" customHeight="1" x14ac:dyDescent="0.25">
      <c r="AK4661" s="313"/>
      <c r="AL4661" s="313"/>
      <c r="AM4661" s="313"/>
      <c r="AN4661" s="313"/>
      <c r="AO4661" s="313"/>
      <c r="AP4661" s="313"/>
      <c r="AQ4661" s="314"/>
      <c r="AR4661" s="315" t="str">
        <f t="shared" si="109"/>
        <v/>
      </c>
    </row>
    <row r="4662" spans="37:44" ht="30" hidden="1" customHeight="1" x14ac:dyDescent="0.25">
      <c r="AK4662" s="313"/>
      <c r="AL4662" s="313"/>
      <c r="AM4662" s="313"/>
      <c r="AN4662" s="313"/>
      <c r="AO4662" s="313"/>
      <c r="AP4662" s="313"/>
      <c r="AQ4662" s="314"/>
      <c r="AR4662" s="315" t="str">
        <f t="shared" si="109"/>
        <v/>
      </c>
    </row>
    <row r="4663" spans="37:44" ht="30" hidden="1" customHeight="1" x14ac:dyDescent="0.25">
      <c r="AK4663" s="313"/>
      <c r="AL4663" s="313"/>
      <c r="AM4663" s="313"/>
      <c r="AN4663" s="313"/>
      <c r="AO4663" s="313"/>
      <c r="AP4663" s="313"/>
      <c r="AQ4663" s="314"/>
      <c r="AR4663" s="315" t="str">
        <f t="shared" si="109"/>
        <v/>
      </c>
    </row>
    <row r="4664" spans="37:44" ht="30" hidden="1" customHeight="1" x14ac:dyDescent="0.25">
      <c r="AK4664" s="313"/>
      <c r="AL4664" s="313"/>
      <c r="AM4664" s="313"/>
      <c r="AN4664" s="313"/>
      <c r="AO4664" s="313"/>
      <c r="AP4664" s="313"/>
      <c r="AQ4664" s="314"/>
      <c r="AR4664" s="315" t="str">
        <f t="shared" si="109"/>
        <v/>
      </c>
    </row>
    <row r="4665" spans="37:44" ht="30" hidden="1" customHeight="1" x14ac:dyDescent="0.25">
      <c r="AK4665" s="313"/>
      <c r="AL4665" s="313"/>
      <c r="AM4665" s="313"/>
      <c r="AN4665" s="313"/>
      <c r="AO4665" s="313"/>
      <c r="AP4665" s="313"/>
      <c r="AQ4665" s="314"/>
      <c r="AR4665" s="315" t="str">
        <f t="shared" si="109"/>
        <v/>
      </c>
    </row>
    <row r="4666" spans="37:44" ht="30" hidden="1" customHeight="1" x14ac:dyDescent="0.25">
      <c r="AK4666" s="313"/>
      <c r="AL4666" s="313"/>
      <c r="AM4666" s="313"/>
      <c r="AN4666" s="313"/>
      <c r="AO4666" s="313"/>
      <c r="AP4666" s="313"/>
      <c r="AQ4666" s="314"/>
      <c r="AR4666" s="315" t="str">
        <f t="shared" si="109"/>
        <v/>
      </c>
    </row>
    <row r="4667" spans="37:44" ht="30" hidden="1" customHeight="1" x14ac:dyDescent="0.25">
      <c r="AK4667" s="313"/>
      <c r="AL4667" s="313"/>
      <c r="AM4667" s="313"/>
      <c r="AN4667" s="313"/>
      <c r="AO4667" s="313"/>
      <c r="AP4667" s="313"/>
      <c r="AQ4667" s="314"/>
      <c r="AR4667" s="315" t="str">
        <f t="shared" si="109"/>
        <v/>
      </c>
    </row>
    <row r="4668" spans="37:44" ht="30" hidden="1" customHeight="1" x14ac:dyDescent="0.25">
      <c r="AK4668" s="313"/>
      <c r="AL4668" s="313"/>
      <c r="AM4668" s="313"/>
      <c r="AN4668" s="313"/>
      <c r="AO4668" s="313"/>
      <c r="AP4668" s="313"/>
      <c r="AQ4668" s="314"/>
      <c r="AR4668" s="315" t="str">
        <f t="shared" si="109"/>
        <v/>
      </c>
    </row>
    <row r="4669" spans="37:44" ht="30" hidden="1" customHeight="1" x14ac:dyDescent="0.25">
      <c r="AK4669" s="313"/>
      <c r="AL4669" s="313"/>
      <c r="AM4669" s="313"/>
      <c r="AN4669" s="313"/>
      <c r="AO4669" s="313"/>
      <c r="AP4669" s="313"/>
      <c r="AQ4669" s="314"/>
      <c r="AR4669" s="315" t="str">
        <f t="shared" si="109"/>
        <v/>
      </c>
    </row>
    <row r="4670" spans="37:44" ht="30" hidden="1" customHeight="1" x14ac:dyDescent="0.25">
      <c r="AK4670" s="313"/>
      <c r="AL4670" s="313"/>
      <c r="AM4670" s="313"/>
      <c r="AN4670" s="313"/>
      <c r="AO4670" s="313"/>
      <c r="AP4670" s="313"/>
      <c r="AQ4670" s="314"/>
      <c r="AR4670" s="315" t="str">
        <f t="shared" si="109"/>
        <v/>
      </c>
    </row>
    <row r="4671" spans="37:44" ht="30" hidden="1" customHeight="1" x14ac:dyDescent="0.25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10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 x14ac:dyDescent="0.25">
      <c r="AK4672" s="313"/>
      <c r="AL4672" s="313"/>
      <c r="AM4672" s="313"/>
      <c r="AN4672" s="313"/>
      <c r="AO4672" s="313"/>
      <c r="AP4672" s="313"/>
      <c r="AQ4672" s="314"/>
      <c r="AR4672" s="315" t="str">
        <f t="shared" si="110"/>
        <v/>
      </c>
    </row>
    <row r="4673" spans="37:44" ht="30" hidden="1" customHeight="1" x14ac:dyDescent="0.25">
      <c r="AK4673" s="313"/>
      <c r="AL4673" s="313"/>
      <c r="AM4673" s="313"/>
      <c r="AN4673" s="313"/>
      <c r="AO4673" s="313"/>
      <c r="AP4673" s="313"/>
      <c r="AQ4673" s="314"/>
      <c r="AR4673" s="315" t="str">
        <f t="shared" si="110"/>
        <v/>
      </c>
    </row>
    <row r="4674" spans="37:44" ht="30" hidden="1" customHeight="1" x14ac:dyDescent="0.25">
      <c r="AK4674" s="313"/>
      <c r="AL4674" s="313"/>
      <c r="AM4674" s="313"/>
      <c r="AN4674" s="313"/>
      <c r="AO4674" s="313"/>
      <c r="AP4674" s="313"/>
      <c r="AQ4674" s="314"/>
      <c r="AR4674" s="315" t="str">
        <f t="shared" si="110"/>
        <v/>
      </c>
    </row>
    <row r="4675" spans="37:44" ht="30" hidden="1" customHeight="1" x14ac:dyDescent="0.25">
      <c r="AK4675" s="313"/>
      <c r="AL4675" s="313"/>
      <c r="AM4675" s="313"/>
      <c r="AN4675" s="313"/>
      <c r="AO4675" s="313"/>
      <c r="AP4675" s="313"/>
      <c r="AQ4675" s="314"/>
      <c r="AR4675" s="315" t="str">
        <f t="shared" si="110"/>
        <v/>
      </c>
    </row>
    <row r="4676" spans="37:44" ht="30" hidden="1" customHeight="1" x14ac:dyDescent="0.25">
      <c r="AK4676" s="313"/>
      <c r="AL4676" s="313"/>
      <c r="AM4676" s="313"/>
      <c r="AN4676" s="313"/>
      <c r="AO4676" s="313"/>
      <c r="AP4676" s="313"/>
      <c r="AQ4676" s="314"/>
      <c r="AR4676" s="315" t="str">
        <f t="shared" si="110"/>
        <v/>
      </c>
    </row>
    <row r="4677" spans="37:44" ht="30" hidden="1" customHeight="1" x14ac:dyDescent="0.25">
      <c r="AK4677" s="313"/>
      <c r="AL4677" s="313"/>
      <c r="AM4677" s="313"/>
      <c r="AN4677" s="313"/>
      <c r="AO4677" s="313"/>
      <c r="AP4677" s="313"/>
      <c r="AQ4677" s="314"/>
      <c r="AR4677" s="315" t="str">
        <f t="shared" si="110"/>
        <v/>
      </c>
    </row>
    <row r="4678" spans="37:44" ht="30" hidden="1" customHeight="1" x14ac:dyDescent="0.25">
      <c r="AK4678" s="313"/>
      <c r="AL4678" s="313"/>
      <c r="AM4678" s="313"/>
      <c r="AN4678" s="313"/>
      <c r="AO4678" s="313"/>
      <c r="AP4678" s="313"/>
      <c r="AQ4678" s="314"/>
      <c r="AR4678" s="315" t="str">
        <f t="shared" si="110"/>
        <v/>
      </c>
    </row>
    <row r="4679" spans="37:44" ht="30" hidden="1" customHeight="1" x14ac:dyDescent="0.25">
      <c r="AK4679" s="313"/>
      <c r="AL4679" s="313"/>
      <c r="AM4679" s="313"/>
      <c r="AN4679" s="313"/>
      <c r="AO4679" s="313"/>
      <c r="AP4679" s="313"/>
      <c r="AQ4679" s="314"/>
      <c r="AR4679" s="315" t="str">
        <f t="shared" si="110"/>
        <v/>
      </c>
    </row>
    <row r="4680" spans="37:44" ht="30" hidden="1" customHeight="1" x14ac:dyDescent="0.25">
      <c r="AK4680" s="313"/>
      <c r="AL4680" s="313"/>
      <c r="AM4680" s="313"/>
      <c r="AN4680" s="313"/>
      <c r="AO4680" s="313"/>
      <c r="AP4680" s="313"/>
      <c r="AQ4680" s="314"/>
      <c r="AR4680" s="315" t="str">
        <f t="shared" si="110"/>
        <v/>
      </c>
    </row>
    <row r="4681" spans="37:44" ht="30" hidden="1" customHeight="1" x14ac:dyDescent="0.25">
      <c r="AK4681" s="313"/>
      <c r="AL4681" s="313"/>
      <c r="AM4681" s="313"/>
      <c r="AN4681" s="313"/>
      <c r="AO4681" s="313"/>
      <c r="AP4681" s="313"/>
      <c r="AQ4681" s="314"/>
      <c r="AR4681" s="315" t="str">
        <f t="shared" si="110"/>
        <v/>
      </c>
    </row>
    <row r="4682" spans="37:44" ht="30" hidden="1" customHeight="1" x14ac:dyDescent="0.25">
      <c r="AK4682" s="313"/>
      <c r="AL4682" s="313"/>
      <c r="AM4682" s="313"/>
      <c r="AN4682" s="313"/>
      <c r="AO4682" s="313"/>
      <c r="AP4682" s="313"/>
      <c r="AQ4682" s="314"/>
      <c r="AR4682" s="315" t="str">
        <f t="shared" si="110"/>
        <v/>
      </c>
    </row>
    <row r="4683" spans="37:44" ht="30" hidden="1" customHeight="1" x14ac:dyDescent="0.25">
      <c r="AK4683" s="313"/>
      <c r="AL4683" s="313"/>
      <c r="AM4683" s="313"/>
      <c r="AN4683" s="313"/>
      <c r="AO4683" s="313"/>
      <c r="AP4683" s="313"/>
      <c r="AQ4683" s="314"/>
      <c r="AR4683" s="315" t="str">
        <f t="shared" si="110"/>
        <v/>
      </c>
    </row>
    <row r="4684" spans="37:44" ht="30" hidden="1" customHeight="1" x14ac:dyDescent="0.25">
      <c r="AK4684" s="313"/>
      <c r="AL4684" s="313"/>
      <c r="AM4684" s="313"/>
      <c r="AN4684" s="313"/>
      <c r="AO4684" s="313"/>
      <c r="AP4684" s="313"/>
      <c r="AQ4684" s="314"/>
      <c r="AR4684" s="315" t="str">
        <f t="shared" si="110"/>
        <v/>
      </c>
    </row>
    <row r="4685" spans="37:44" ht="30" hidden="1" customHeight="1" x14ac:dyDescent="0.25">
      <c r="AK4685" s="313"/>
      <c r="AL4685" s="313"/>
      <c r="AM4685" s="313"/>
      <c r="AN4685" s="313"/>
      <c r="AO4685" s="313"/>
      <c r="AP4685" s="313"/>
      <c r="AQ4685" s="314"/>
      <c r="AR4685" s="315" t="str">
        <f t="shared" si="110"/>
        <v/>
      </c>
    </row>
    <row r="4686" spans="37:44" ht="30" hidden="1" customHeight="1" x14ac:dyDescent="0.25">
      <c r="AK4686" s="313"/>
      <c r="AL4686" s="313"/>
      <c r="AM4686" s="313"/>
      <c r="AN4686" s="313"/>
      <c r="AO4686" s="313"/>
      <c r="AP4686" s="313"/>
      <c r="AQ4686" s="314"/>
      <c r="AR4686" s="315" t="str">
        <f t="shared" si="110"/>
        <v/>
      </c>
    </row>
    <row r="4687" spans="37:44" ht="30" hidden="1" customHeight="1" x14ac:dyDescent="0.25">
      <c r="AK4687" s="313"/>
      <c r="AL4687" s="313"/>
      <c r="AM4687" s="313"/>
      <c r="AN4687" s="313"/>
      <c r="AO4687" s="313"/>
      <c r="AP4687" s="313"/>
      <c r="AQ4687" s="314"/>
      <c r="AR4687" s="315" t="str">
        <f t="shared" si="110"/>
        <v/>
      </c>
    </row>
    <row r="4688" spans="37:44" ht="30" hidden="1" customHeight="1" x14ac:dyDescent="0.25">
      <c r="AK4688" s="313"/>
      <c r="AL4688" s="313"/>
      <c r="AM4688" s="313"/>
      <c r="AN4688" s="313"/>
      <c r="AO4688" s="313"/>
      <c r="AP4688" s="313"/>
      <c r="AQ4688" s="314"/>
      <c r="AR4688" s="315" t="str">
        <f t="shared" si="110"/>
        <v/>
      </c>
    </row>
    <row r="4689" spans="37:44" ht="30" hidden="1" customHeight="1" x14ac:dyDescent="0.25">
      <c r="AK4689" s="313"/>
      <c r="AL4689" s="313"/>
      <c r="AM4689" s="313"/>
      <c r="AN4689" s="313"/>
      <c r="AO4689" s="313"/>
      <c r="AP4689" s="313"/>
      <c r="AQ4689" s="314"/>
      <c r="AR4689" s="315" t="str">
        <f t="shared" si="110"/>
        <v/>
      </c>
    </row>
    <row r="4690" spans="37:44" ht="30" hidden="1" customHeight="1" x14ac:dyDescent="0.25">
      <c r="AK4690" s="313"/>
      <c r="AL4690" s="313"/>
      <c r="AM4690" s="313"/>
      <c r="AN4690" s="313"/>
      <c r="AO4690" s="313"/>
      <c r="AP4690" s="313"/>
      <c r="AQ4690" s="314"/>
      <c r="AR4690" s="315" t="str">
        <f t="shared" si="110"/>
        <v/>
      </c>
    </row>
    <row r="4691" spans="37:44" ht="30" hidden="1" customHeight="1" x14ac:dyDescent="0.25">
      <c r="AK4691" s="313"/>
      <c r="AL4691" s="313"/>
      <c r="AM4691" s="313"/>
      <c r="AN4691" s="313"/>
      <c r="AO4691" s="313"/>
      <c r="AP4691" s="313"/>
      <c r="AQ4691" s="314"/>
      <c r="AR4691" s="315" t="str">
        <f t="shared" si="110"/>
        <v/>
      </c>
    </row>
    <row r="4692" spans="37:44" ht="30" hidden="1" customHeight="1" x14ac:dyDescent="0.25">
      <c r="AK4692" s="313"/>
      <c r="AL4692" s="313"/>
      <c r="AM4692" s="313"/>
      <c r="AN4692" s="313"/>
      <c r="AO4692" s="313"/>
      <c r="AP4692" s="313"/>
      <c r="AQ4692" s="314"/>
      <c r="AR4692" s="315" t="str">
        <f t="shared" si="110"/>
        <v/>
      </c>
    </row>
    <row r="4693" spans="37:44" ht="30" hidden="1" customHeight="1" x14ac:dyDescent="0.25">
      <c r="AK4693" s="313"/>
      <c r="AL4693" s="313"/>
      <c r="AM4693" s="313"/>
      <c r="AN4693" s="313"/>
      <c r="AO4693" s="313"/>
      <c r="AP4693" s="313"/>
      <c r="AQ4693" s="314"/>
      <c r="AR4693" s="315" t="str">
        <f t="shared" si="110"/>
        <v/>
      </c>
    </row>
    <row r="4694" spans="37:44" ht="30" hidden="1" customHeight="1" x14ac:dyDescent="0.25">
      <c r="AK4694" s="313"/>
      <c r="AL4694" s="313"/>
      <c r="AM4694" s="313"/>
      <c r="AN4694" s="313"/>
      <c r="AO4694" s="313"/>
      <c r="AP4694" s="313"/>
      <c r="AQ4694" s="314"/>
      <c r="AR4694" s="315" t="str">
        <f t="shared" si="110"/>
        <v/>
      </c>
    </row>
    <row r="4695" spans="37:44" ht="30" hidden="1" customHeight="1" x14ac:dyDescent="0.25">
      <c r="AK4695" s="313"/>
      <c r="AL4695" s="313"/>
      <c r="AM4695" s="313"/>
      <c r="AN4695" s="313"/>
      <c r="AO4695" s="313"/>
      <c r="AP4695" s="313"/>
      <c r="AQ4695" s="314"/>
      <c r="AR4695" s="315" t="str">
        <f t="shared" si="110"/>
        <v/>
      </c>
    </row>
    <row r="4696" spans="37:44" ht="30" hidden="1" customHeight="1" x14ac:dyDescent="0.25">
      <c r="AK4696" s="313"/>
      <c r="AL4696" s="313"/>
      <c r="AM4696" s="313"/>
      <c r="AN4696" s="313"/>
      <c r="AO4696" s="313"/>
      <c r="AP4696" s="313"/>
      <c r="AQ4696" s="314"/>
      <c r="AR4696" s="315" t="str">
        <f t="shared" si="110"/>
        <v/>
      </c>
    </row>
    <row r="4697" spans="37:44" ht="30" hidden="1" customHeight="1" x14ac:dyDescent="0.25">
      <c r="AK4697" s="313"/>
      <c r="AL4697" s="313"/>
      <c r="AM4697" s="313"/>
      <c r="AN4697" s="313"/>
      <c r="AO4697" s="313"/>
      <c r="AP4697" s="313"/>
      <c r="AQ4697" s="314"/>
      <c r="AR4697" s="315" t="str">
        <f t="shared" si="110"/>
        <v/>
      </c>
    </row>
    <row r="4698" spans="37:44" ht="30" hidden="1" customHeight="1" x14ac:dyDescent="0.25">
      <c r="AK4698" s="313"/>
      <c r="AL4698" s="313"/>
      <c r="AM4698" s="313"/>
      <c r="AN4698" s="313"/>
      <c r="AO4698" s="313"/>
      <c r="AP4698" s="313"/>
      <c r="AQ4698" s="314"/>
      <c r="AR4698" s="315" t="str">
        <f t="shared" si="110"/>
        <v/>
      </c>
    </row>
    <row r="4699" spans="37:44" ht="30" hidden="1" customHeight="1" x14ac:dyDescent="0.25">
      <c r="AK4699" s="313"/>
      <c r="AL4699" s="313"/>
      <c r="AM4699" s="313"/>
      <c r="AN4699" s="313"/>
      <c r="AO4699" s="313"/>
      <c r="AP4699" s="313"/>
      <c r="AQ4699" s="314"/>
      <c r="AR4699" s="315" t="str">
        <f t="shared" si="110"/>
        <v/>
      </c>
    </row>
    <row r="4700" spans="37:44" ht="30" hidden="1" customHeight="1" x14ac:dyDescent="0.25">
      <c r="AK4700" s="313"/>
      <c r="AL4700" s="313"/>
      <c r="AM4700" s="313"/>
      <c r="AN4700" s="313"/>
      <c r="AO4700" s="313"/>
      <c r="AP4700" s="313"/>
      <c r="AQ4700" s="314"/>
      <c r="AR4700" s="315" t="str">
        <f t="shared" si="110"/>
        <v/>
      </c>
    </row>
    <row r="4701" spans="37:44" ht="30" hidden="1" customHeight="1" x14ac:dyDescent="0.25">
      <c r="AK4701" s="313"/>
      <c r="AL4701" s="313"/>
      <c r="AM4701" s="313"/>
      <c r="AN4701" s="313"/>
      <c r="AO4701" s="313"/>
      <c r="AP4701" s="313"/>
      <c r="AQ4701" s="314"/>
      <c r="AR4701" s="315" t="str">
        <f t="shared" si="110"/>
        <v/>
      </c>
    </row>
    <row r="4702" spans="37:44" ht="30" hidden="1" customHeight="1" x14ac:dyDescent="0.25">
      <c r="AK4702" s="313"/>
      <c r="AL4702" s="313"/>
      <c r="AM4702" s="313"/>
      <c r="AN4702" s="313"/>
      <c r="AO4702" s="313"/>
      <c r="AP4702" s="313"/>
      <c r="AQ4702" s="314"/>
      <c r="AR4702" s="315" t="str">
        <f t="shared" si="110"/>
        <v/>
      </c>
    </row>
    <row r="4703" spans="37:44" ht="30" hidden="1" customHeight="1" x14ac:dyDescent="0.25">
      <c r="AK4703" s="313"/>
      <c r="AL4703" s="313"/>
      <c r="AM4703" s="313"/>
      <c r="AN4703" s="313"/>
      <c r="AO4703" s="313"/>
      <c r="AP4703" s="313"/>
      <c r="AQ4703" s="314"/>
      <c r="AR4703" s="315" t="str">
        <f t="shared" si="110"/>
        <v/>
      </c>
    </row>
    <row r="4704" spans="37:44" ht="30" hidden="1" customHeight="1" x14ac:dyDescent="0.25">
      <c r="AK4704" s="313"/>
      <c r="AL4704" s="313"/>
      <c r="AM4704" s="313"/>
      <c r="AN4704" s="313"/>
      <c r="AO4704" s="313"/>
      <c r="AP4704" s="313"/>
      <c r="AQ4704" s="314"/>
      <c r="AR4704" s="315" t="str">
        <f t="shared" si="110"/>
        <v/>
      </c>
    </row>
    <row r="4705" spans="37:44" ht="30" hidden="1" customHeight="1" x14ac:dyDescent="0.25">
      <c r="AK4705" s="313"/>
      <c r="AL4705" s="313"/>
      <c r="AM4705" s="313"/>
      <c r="AN4705" s="313"/>
      <c r="AO4705" s="313"/>
      <c r="AP4705" s="313"/>
      <c r="AQ4705" s="314"/>
      <c r="AR4705" s="315" t="str">
        <f t="shared" si="110"/>
        <v/>
      </c>
    </row>
    <row r="4706" spans="37:44" ht="30" hidden="1" customHeight="1" x14ac:dyDescent="0.25">
      <c r="AK4706" s="313"/>
      <c r="AL4706" s="313"/>
      <c r="AM4706" s="313"/>
      <c r="AN4706" s="313"/>
      <c r="AO4706" s="313"/>
      <c r="AP4706" s="313"/>
      <c r="AQ4706" s="314"/>
      <c r="AR4706" s="315" t="str">
        <f t="shared" si="110"/>
        <v/>
      </c>
    </row>
    <row r="4707" spans="37:44" ht="30" hidden="1" customHeight="1" x14ac:dyDescent="0.25">
      <c r="AK4707" s="313"/>
      <c r="AL4707" s="313"/>
      <c r="AM4707" s="313"/>
      <c r="AN4707" s="313"/>
      <c r="AO4707" s="313"/>
      <c r="AP4707" s="313"/>
      <c r="AQ4707" s="314"/>
      <c r="AR4707" s="315" t="str">
        <f t="shared" si="110"/>
        <v/>
      </c>
    </row>
    <row r="4708" spans="37:44" ht="30" hidden="1" customHeight="1" x14ac:dyDescent="0.25">
      <c r="AK4708" s="313"/>
      <c r="AL4708" s="313"/>
      <c r="AM4708" s="313"/>
      <c r="AN4708" s="313"/>
      <c r="AO4708" s="313"/>
      <c r="AP4708" s="313"/>
      <c r="AQ4708" s="314"/>
      <c r="AR4708" s="315" t="str">
        <f t="shared" si="110"/>
        <v/>
      </c>
    </row>
    <row r="4709" spans="37:44" ht="30" hidden="1" customHeight="1" x14ac:dyDescent="0.25">
      <c r="AK4709" s="313"/>
      <c r="AL4709" s="313"/>
      <c r="AM4709" s="313"/>
      <c r="AN4709" s="313"/>
      <c r="AO4709" s="313"/>
      <c r="AP4709" s="313"/>
      <c r="AQ4709" s="314"/>
      <c r="AR4709" s="315" t="str">
        <f t="shared" si="110"/>
        <v/>
      </c>
    </row>
    <row r="4710" spans="37:44" ht="30" hidden="1" customHeight="1" x14ac:dyDescent="0.25">
      <c r="AK4710" s="313"/>
      <c r="AL4710" s="313"/>
      <c r="AM4710" s="313"/>
      <c r="AN4710" s="313"/>
      <c r="AO4710" s="313"/>
      <c r="AP4710" s="313"/>
      <c r="AQ4710" s="314"/>
      <c r="AR4710" s="315" t="str">
        <f t="shared" si="110"/>
        <v/>
      </c>
    </row>
    <row r="4711" spans="37:44" ht="30" hidden="1" customHeight="1" x14ac:dyDescent="0.25">
      <c r="AK4711" s="313"/>
      <c r="AL4711" s="313"/>
      <c r="AM4711" s="313"/>
      <c r="AN4711" s="313"/>
      <c r="AO4711" s="313"/>
      <c r="AP4711" s="313"/>
      <c r="AQ4711" s="314"/>
      <c r="AR4711" s="315" t="str">
        <f t="shared" si="110"/>
        <v/>
      </c>
    </row>
    <row r="4712" spans="37:44" ht="30" hidden="1" customHeight="1" x14ac:dyDescent="0.25">
      <c r="AK4712" s="313"/>
      <c r="AL4712" s="313"/>
      <c r="AM4712" s="313"/>
      <c r="AN4712" s="313"/>
      <c r="AO4712" s="313"/>
      <c r="AP4712" s="313"/>
      <c r="AQ4712" s="314"/>
      <c r="AR4712" s="315" t="str">
        <f t="shared" si="110"/>
        <v/>
      </c>
    </row>
    <row r="4713" spans="37:44" ht="30" hidden="1" customHeight="1" x14ac:dyDescent="0.25">
      <c r="AK4713" s="313"/>
      <c r="AL4713" s="313"/>
      <c r="AM4713" s="313"/>
      <c r="AN4713" s="313"/>
      <c r="AO4713" s="313"/>
      <c r="AP4713" s="313"/>
      <c r="AQ4713" s="314"/>
      <c r="AR4713" s="315" t="str">
        <f t="shared" si="110"/>
        <v/>
      </c>
    </row>
    <row r="4714" spans="37:44" ht="30" hidden="1" customHeight="1" x14ac:dyDescent="0.25">
      <c r="AK4714" s="313"/>
      <c r="AL4714" s="313"/>
      <c r="AM4714" s="313"/>
      <c r="AN4714" s="313"/>
      <c r="AO4714" s="313"/>
      <c r="AP4714" s="313"/>
      <c r="AQ4714" s="314"/>
      <c r="AR4714" s="315" t="str">
        <f t="shared" si="110"/>
        <v/>
      </c>
    </row>
    <row r="4715" spans="37:44" ht="30" hidden="1" customHeight="1" x14ac:dyDescent="0.25">
      <c r="AK4715" s="313"/>
      <c r="AL4715" s="313"/>
      <c r="AM4715" s="313"/>
      <c r="AN4715" s="313"/>
      <c r="AO4715" s="313"/>
      <c r="AP4715" s="313"/>
      <c r="AQ4715" s="314"/>
      <c r="AR4715" s="315" t="str">
        <f t="shared" si="110"/>
        <v/>
      </c>
    </row>
    <row r="4716" spans="37:44" ht="30" hidden="1" customHeight="1" x14ac:dyDescent="0.25">
      <c r="AK4716" s="313"/>
      <c r="AL4716" s="313"/>
      <c r="AM4716" s="313"/>
      <c r="AN4716" s="313"/>
      <c r="AO4716" s="313"/>
      <c r="AP4716" s="313"/>
      <c r="AQ4716" s="314"/>
      <c r="AR4716" s="315" t="str">
        <f t="shared" si="110"/>
        <v/>
      </c>
    </row>
    <row r="4717" spans="37:44" ht="30" hidden="1" customHeight="1" x14ac:dyDescent="0.25">
      <c r="AK4717" s="313"/>
      <c r="AL4717" s="313"/>
      <c r="AM4717" s="313"/>
      <c r="AN4717" s="313"/>
      <c r="AO4717" s="313"/>
      <c r="AP4717" s="313"/>
      <c r="AQ4717" s="314"/>
      <c r="AR4717" s="315" t="str">
        <f t="shared" si="110"/>
        <v/>
      </c>
    </row>
    <row r="4718" spans="37:44" ht="30" hidden="1" customHeight="1" x14ac:dyDescent="0.25">
      <c r="AK4718" s="313"/>
      <c r="AL4718" s="313"/>
      <c r="AM4718" s="313"/>
      <c r="AN4718" s="313"/>
      <c r="AO4718" s="313"/>
      <c r="AP4718" s="313"/>
      <c r="AQ4718" s="314"/>
      <c r="AR4718" s="315" t="str">
        <f t="shared" si="110"/>
        <v/>
      </c>
    </row>
    <row r="4719" spans="37:44" ht="30" hidden="1" customHeight="1" x14ac:dyDescent="0.25">
      <c r="AK4719" s="313"/>
      <c r="AL4719" s="313"/>
      <c r="AM4719" s="313"/>
      <c r="AN4719" s="313"/>
      <c r="AO4719" s="313"/>
      <c r="AP4719" s="313"/>
      <c r="AQ4719" s="314"/>
      <c r="AR4719" s="315" t="str">
        <f t="shared" si="110"/>
        <v/>
      </c>
    </row>
    <row r="4720" spans="37:44" ht="30" hidden="1" customHeight="1" x14ac:dyDescent="0.25">
      <c r="AK4720" s="313"/>
      <c r="AL4720" s="313"/>
      <c r="AM4720" s="313"/>
      <c r="AN4720" s="313"/>
      <c r="AO4720" s="313"/>
      <c r="AP4720" s="313"/>
      <c r="AQ4720" s="314"/>
      <c r="AR4720" s="315" t="str">
        <f t="shared" si="110"/>
        <v/>
      </c>
    </row>
    <row r="4721" spans="37:44" ht="30" hidden="1" customHeight="1" x14ac:dyDescent="0.25">
      <c r="AK4721" s="313"/>
      <c r="AL4721" s="313"/>
      <c r="AM4721" s="313"/>
      <c r="AN4721" s="313"/>
      <c r="AO4721" s="313"/>
      <c r="AP4721" s="313"/>
      <c r="AQ4721" s="314"/>
      <c r="AR4721" s="315" t="str">
        <f t="shared" si="110"/>
        <v/>
      </c>
    </row>
    <row r="4722" spans="37:44" ht="30" hidden="1" customHeight="1" x14ac:dyDescent="0.25">
      <c r="AK4722" s="313"/>
      <c r="AL4722" s="313"/>
      <c r="AM4722" s="313"/>
      <c r="AN4722" s="313"/>
      <c r="AO4722" s="313"/>
      <c r="AP4722" s="313"/>
      <c r="AQ4722" s="314"/>
      <c r="AR4722" s="315" t="str">
        <f t="shared" si="110"/>
        <v/>
      </c>
    </row>
    <row r="4723" spans="37:44" ht="30" hidden="1" customHeight="1" x14ac:dyDescent="0.25">
      <c r="AK4723" s="313"/>
      <c r="AL4723" s="313"/>
      <c r="AM4723" s="313"/>
      <c r="AN4723" s="313"/>
      <c r="AO4723" s="313"/>
      <c r="AP4723" s="313"/>
      <c r="AQ4723" s="314"/>
      <c r="AR4723" s="315" t="str">
        <f t="shared" si="110"/>
        <v/>
      </c>
    </row>
    <row r="4724" spans="37:44" ht="30" hidden="1" customHeight="1" x14ac:dyDescent="0.25">
      <c r="AK4724" s="313"/>
      <c r="AL4724" s="313"/>
      <c r="AM4724" s="313"/>
      <c r="AN4724" s="313"/>
      <c r="AO4724" s="313"/>
      <c r="AP4724" s="313"/>
      <c r="AQ4724" s="314"/>
      <c r="AR4724" s="315" t="str">
        <f t="shared" si="110"/>
        <v/>
      </c>
    </row>
    <row r="4725" spans="37:44" ht="30" hidden="1" customHeight="1" x14ac:dyDescent="0.25">
      <c r="AK4725" s="313"/>
      <c r="AL4725" s="313"/>
      <c r="AM4725" s="313"/>
      <c r="AN4725" s="313"/>
      <c r="AO4725" s="313"/>
      <c r="AP4725" s="313"/>
      <c r="AQ4725" s="314"/>
      <c r="AR4725" s="315" t="str">
        <f t="shared" si="110"/>
        <v/>
      </c>
    </row>
    <row r="4726" spans="37:44" ht="30" hidden="1" customHeight="1" x14ac:dyDescent="0.25">
      <c r="AK4726" s="313"/>
      <c r="AL4726" s="313"/>
      <c r="AM4726" s="313"/>
      <c r="AN4726" s="313"/>
      <c r="AO4726" s="313"/>
      <c r="AP4726" s="313"/>
      <c r="AQ4726" s="314"/>
      <c r="AR4726" s="315" t="str">
        <f t="shared" si="110"/>
        <v/>
      </c>
    </row>
    <row r="4727" spans="37:44" ht="30" hidden="1" customHeight="1" x14ac:dyDescent="0.25">
      <c r="AK4727" s="313"/>
      <c r="AL4727" s="313"/>
      <c r="AM4727" s="313"/>
      <c r="AN4727" s="313"/>
      <c r="AO4727" s="313"/>
      <c r="AP4727" s="313"/>
      <c r="AQ4727" s="314"/>
      <c r="AR4727" s="315" t="str">
        <f t="shared" si="110"/>
        <v/>
      </c>
    </row>
    <row r="4728" spans="37:44" ht="30" hidden="1" customHeight="1" x14ac:dyDescent="0.25">
      <c r="AK4728" s="313"/>
      <c r="AL4728" s="313"/>
      <c r="AM4728" s="313"/>
      <c r="AN4728" s="313"/>
      <c r="AO4728" s="313"/>
      <c r="AP4728" s="313"/>
      <c r="AQ4728" s="314"/>
      <c r="AR4728" s="315" t="str">
        <f t="shared" si="110"/>
        <v/>
      </c>
    </row>
    <row r="4729" spans="37:44" ht="30" hidden="1" customHeight="1" x14ac:dyDescent="0.25">
      <c r="AK4729" s="313"/>
      <c r="AL4729" s="313"/>
      <c r="AM4729" s="313"/>
      <c r="AN4729" s="313"/>
      <c r="AO4729" s="313"/>
      <c r="AP4729" s="313"/>
      <c r="AQ4729" s="314"/>
      <c r="AR4729" s="315" t="str">
        <f t="shared" si="110"/>
        <v/>
      </c>
    </row>
    <row r="4730" spans="37:44" ht="30" hidden="1" customHeight="1" x14ac:dyDescent="0.25">
      <c r="AK4730" s="313"/>
      <c r="AL4730" s="313"/>
      <c r="AM4730" s="313"/>
      <c r="AN4730" s="313"/>
      <c r="AO4730" s="313"/>
      <c r="AP4730" s="313"/>
      <c r="AQ4730" s="314"/>
      <c r="AR4730" s="315" t="str">
        <f t="shared" si="110"/>
        <v/>
      </c>
    </row>
    <row r="4731" spans="37:44" ht="30" hidden="1" customHeight="1" x14ac:dyDescent="0.25">
      <c r="AK4731" s="313"/>
      <c r="AL4731" s="313"/>
      <c r="AM4731" s="313"/>
      <c r="AN4731" s="313"/>
      <c r="AO4731" s="313"/>
      <c r="AP4731" s="313"/>
      <c r="AQ4731" s="314"/>
      <c r="AR4731" s="315" t="str">
        <f t="shared" si="110"/>
        <v/>
      </c>
    </row>
    <row r="4732" spans="37:44" ht="30" hidden="1" customHeight="1" x14ac:dyDescent="0.25">
      <c r="AK4732" s="313"/>
      <c r="AL4732" s="313"/>
      <c r="AM4732" s="313"/>
      <c r="AN4732" s="313"/>
      <c r="AO4732" s="313"/>
      <c r="AP4732" s="313"/>
      <c r="AQ4732" s="314"/>
      <c r="AR4732" s="315" t="str">
        <f t="shared" si="110"/>
        <v/>
      </c>
    </row>
    <row r="4733" spans="37:44" ht="30" hidden="1" customHeight="1" x14ac:dyDescent="0.25">
      <c r="AK4733" s="313"/>
      <c r="AL4733" s="313"/>
      <c r="AM4733" s="313"/>
      <c r="AN4733" s="313"/>
      <c r="AO4733" s="313"/>
      <c r="AP4733" s="313"/>
      <c r="AQ4733" s="314"/>
      <c r="AR4733" s="315" t="str">
        <f t="shared" si="110"/>
        <v/>
      </c>
    </row>
    <row r="4734" spans="37:44" ht="30" hidden="1" customHeight="1" x14ac:dyDescent="0.25">
      <c r="AK4734" s="313"/>
      <c r="AL4734" s="313"/>
      <c r="AM4734" s="313"/>
      <c r="AN4734" s="313"/>
      <c r="AO4734" s="313"/>
      <c r="AP4734" s="313"/>
      <c r="AQ4734" s="314"/>
      <c r="AR4734" s="315" t="str">
        <f t="shared" si="110"/>
        <v/>
      </c>
    </row>
    <row r="4735" spans="37:44" ht="30" hidden="1" customHeight="1" x14ac:dyDescent="0.25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11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 x14ac:dyDescent="0.25">
      <c r="AK4736" s="313"/>
      <c r="AL4736" s="313"/>
      <c r="AM4736" s="313"/>
      <c r="AN4736" s="313"/>
      <c r="AO4736" s="313"/>
      <c r="AP4736" s="313"/>
      <c r="AQ4736" s="314"/>
      <c r="AR4736" s="315" t="str">
        <f t="shared" si="111"/>
        <v/>
      </c>
    </row>
    <row r="4737" spans="37:44" ht="30" hidden="1" customHeight="1" x14ac:dyDescent="0.25">
      <c r="AK4737" s="313"/>
      <c r="AL4737" s="313"/>
      <c r="AM4737" s="313"/>
      <c r="AN4737" s="313"/>
      <c r="AO4737" s="313"/>
      <c r="AP4737" s="313"/>
      <c r="AQ4737" s="314"/>
      <c r="AR4737" s="315" t="str">
        <f t="shared" si="111"/>
        <v/>
      </c>
    </row>
    <row r="4738" spans="37:44" ht="30" hidden="1" customHeight="1" x14ac:dyDescent="0.25">
      <c r="AK4738" s="313"/>
      <c r="AL4738" s="313"/>
      <c r="AM4738" s="313"/>
      <c r="AN4738" s="313"/>
      <c r="AO4738" s="313"/>
      <c r="AP4738" s="313"/>
      <c r="AQ4738" s="314"/>
      <c r="AR4738" s="315" t="str">
        <f t="shared" si="111"/>
        <v/>
      </c>
    </row>
    <row r="4739" spans="37:44" ht="30" hidden="1" customHeight="1" x14ac:dyDescent="0.25">
      <c r="AK4739" s="313"/>
      <c r="AL4739" s="313"/>
      <c r="AM4739" s="313"/>
      <c r="AN4739" s="313"/>
      <c r="AO4739" s="313"/>
      <c r="AP4739" s="313"/>
      <c r="AQ4739" s="314"/>
      <c r="AR4739" s="315" t="str">
        <f t="shared" si="111"/>
        <v/>
      </c>
    </row>
    <row r="4740" spans="37:44" ht="30" hidden="1" customHeight="1" x14ac:dyDescent="0.25">
      <c r="AK4740" s="313"/>
      <c r="AL4740" s="313"/>
      <c r="AM4740" s="313"/>
      <c r="AN4740" s="313"/>
      <c r="AO4740" s="313"/>
      <c r="AP4740" s="313"/>
      <c r="AQ4740" s="314"/>
      <c r="AR4740" s="315" t="str">
        <f t="shared" si="111"/>
        <v/>
      </c>
    </row>
    <row r="4741" spans="37:44" ht="30" hidden="1" customHeight="1" x14ac:dyDescent="0.25">
      <c r="AK4741" s="313"/>
      <c r="AL4741" s="313"/>
      <c r="AM4741" s="313"/>
      <c r="AN4741" s="313"/>
      <c r="AO4741" s="313"/>
      <c r="AP4741" s="313"/>
      <c r="AQ4741" s="314"/>
      <c r="AR4741" s="315" t="str">
        <f t="shared" si="111"/>
        <v/>
      </c>
    </row>
    <row r="4742" spans="37:44" ht="30" hidden="1" customHeight="1" x14ac:dyDescent="0.25">
      <c r="AK4742" s="313"/>
      <c r="AL4742" s="313"/>
      <c r="AM4742" s="313"/>
      <c r="AN4742" s="313"/>
      <c r="AO4742" s="313"/>
      <c r="AP4742" s="313"/>
      <c r="AQ4742" s="314"/>
      <c r="AR4742" s="315" t="str">
        <f t="shared" si="111"/>
        <v/>
      </c>
    </row>
    <row r="4743" spans="37:44" ht="30" hidden="1" customHeight="1" x14ac:dyDescent="0.25">
      <c r="AK4743" s="313"/>
      <c r="AL4743" s="313"/>
      <c r="AM4743" s="313"/>
      <c r="AN4743" s="313"/>
      <c r="AO4743" s="313"/>
      <c r="AP4743" s="313"/>
      <c r="AQ4743" s="314"/>
      <c r="AR4743" s="315" t="str">
        <f t="shared" si="111"/>
        <v/>
      </c>
    </row>
    <row r="4744" spans="37:44" ht="30" hidden="1" customHeight="1" x14ac:dyDescent="0.25">
      <c r="AK4744" s="313"/>
      <c r="AL4744" s="313"/>
      <c r="AM4744" s="313"/>
      <c r="AN4744" s="313"/>
      <c r="AO4744" s="313"/>
      <c r="AP4744" s="313"/>
      <c r="AQ4744" s="314"/>
      <c r="AR4744" s="315" t="str">
        <f t="shared" si="111"/>
        <v/>
      </c>
    </row>
    <row r="4745" spans="37:44" ht="30" hidden="1" customHeight="1" x14ac:dyDescent="0.25">
      <c r="AK4745" s="313"/>
      <c r="AL4745" s="313"/>
      <c r="AM4745" s="313"/>
      <c r="AN4745" s="313"/>
      <c r="AO4745" s="313"/>
      <c r="AP4745" s="313"/>
      <c r="AQ4745" s="314"/>
      <c r="AR4745" s="315" t="str">
        <f t="shared" si="111"/>
        <v/>
      </c>
    </row>
    <row r="4746" spans="37:44" ht="30" hidden="1" customHeight="1" x14ac:dyDescent="0.25">
      <c r="AK4746" s="313"/>
      <c r="AL4746" s="313"/>
      <c r="AM4746" s="313"/>
      <c r="AN4746" s="313"/>
      <c r="AO4746" s="313"/>
      <c r="AP4746" s="313"/>
      <c r="AQ4746" s="314"/>
      <c r="AR4746" s="315" t="str">
        <f t="shared" si="111"/>
        <v/>
      </c>
    </row>
    <row r="4747" spans="37:44" ht="30" hidden="1" customHeight="1" x14ac:dyDescent="0.25">
      <c r="AK4747" s="313"/>
      <c r="AL4747" s="313"/>
      <c r="AM4747" s="313"/>
      <c r="AN4747" s="313"/>
      <c r="AO4747" s="313"/>
      <c r="AP4747" s="313"/>
      <c r="AQ4747" s="314"/>
      <c r="AR4747" s="315" t="str">
        <f t="shared" si="111"/>
        <v/>
      </c>
    </row>
    <row r="4748" spans="37:44" ht="30" hidden="1" customHeight="1" x14ac:dyDescent="0.25">
      <c r="AK4748" s="313"/>
      <c r="AL4748" s="313"/>
      <c r="AM4748" s="313"/>
      <c r="AN4748" s="313"/>
      <c r="AO4748" s="313"/>
      <c r="AP4748" s="313"/>
      <c r="AQ4748" s="314"/>
      <c r="AR4748" s="315" t="str">
        <f t="shared" si="111"/>
        <v/>
      </c>
    </row>
    <row r="4749" spans="37:44" ht="30" hidden="1" customHeight="1" x14ac:dyDescent="0.25">
      <c r="AK4749" s="313"/>
      <c r="AL4749" s="313"/>
      <c r="AM4749" s="313"/>
      <c r="AN4749" s="313"/>
      <c r="AO4749" s="313"/>
      <c r="AP4749" s="313"/>
      <c r="AQ4749" s="314"/>
      <c r="AR4749" s="315" t="str">
        <f t="shared" si="111"/>
        <v/>
      </c>
    </row>
    <row r="4750" spans="37:44" ht="30" hidden="1" customHeight="1" x14ac:dyDescent="0.25">
      <c r="AK4750" s="313"/>
      <c r="AL4750" s="313"/>
      <c r="AM4750" s="313"/>
      <c r="AN4750" s="313"/>
      <c r="AO4750" s="313"/>
      <c r="AP4750" s="313"/>
      <c r="AQ4750" s="314"/>
      <c r="AR4750" s="315" t="str">
        <f t="shared" si="111"/>
        <v/>
      </c>
    </row>
    <row r="4751" spans="37:44" ht="30" hidden="1" customHeight="1" x14ac:dyDescent="0.25">
      <c r="AK4751" s="313"/>
      <c r="AL4751" s="313"/>
      <c r="AM4751" s="313"/>
      <c r="AN4751" s="313"/>
      <c r="AO4751" s="313"/>
      <c r="AP4751" s="313"/>
      <c r="AQ4751" s="314"/>
      <c r="AR4751" s="315" t="str">
        <f t="shared" si="111"/>
        <v/>
      </c>
    </row>
    <row r="4752" spans="37:44" ht="30" hidden="1" customHeight="1" x14ac:dyDescent="0.25">
      <c r="AK4752" s="313"/>
      <c r="AL4752" s="313"/>
      <c r="AM4752" s="313"/>
      <c r="AN4752" s="313"/>
      <c r="AO4752" s="313"/>
      <c r="AP4752" s="313"/>
      <c r="AQ4752" s="314"/>
      <c r="AR4752" s="315" t="str">
        <f t="shared" si="111"/>
        <v/>
      </c>
    </row>
    <row r="4753" spans="37:44" ht="30" hidden="1" customHeight="1" x14ac:dyDescent="0.25">
      <c r="AK4753" s="313"/>
      <c r="AL4753" s="313"/>
      <c r="AM4753" s="313"/>
      <c r="AN4753" s="313"/>
      <c r="AO4753" s="313"/>
      <c r="AP4753" s="313"/>
      <c r="AQ4753" s="314"/>
      <c r="AR4753" s="315" t="str">
        <f t="shared" si="111"/>
        <v/>
      </c>
    </row>
    <row r="4754" spans="37:44" ht="30" hidden="1" customHeight="1" x14ac:dyDescent="0.25">
      <c r="AK4754" s="313"/>
      <c r="AL4754" s="313"/>
      <c r="AM4754" s="313"/>
      <c r="AN4754" s="313"/>
      <c r="AO4754" s="313"/>
      <c r="AP4754" s="313"/>
      <c r="AQ4754" s="314"/>
      <c r="AR4754" s="315" t="str">
        <f t="shared" si="111"/>
        <v/>
      </c>
    </row>
    <row r="4755" spans="37:44" ht="30" hidden="1" customHeight="1" x14ac:dyDescent="0.25">
      <c r="AK4755" s="313"/>
      <c r="AL4755" s="313"/>
      <c r="AM4755" s="313"/>
      <c r="AN4755" s="313"/>
      <c r="AO4755" s="313"/>
      <c r="AP4755" s="313"/>
      <c r="AQ4755" s="314"/>
      <c r="AR4755" s="315" t="str">
        <f t="shared" si="111"/>
        <v/>
      </c>
    </row>
    <row r="4756" spans="37:44" ht="30" hidden="1" customHeight="1" x14ac:dyDescent="0.25">
      <c r="AK4756" s="313"/>
      <c r="AL4756" s="313"/>
      <c r="AM4756" s="313"/>
      <c r="AN4756" s="313"/>
      <c r="AO4756" s="313"/>
      <c r="AP4756" s="313"/>
      <c r="AQ4756" s="314"/>
      <c r="AR4756" s="315" t="str">
        <f t="shared" si="111"/>
        <v/>
      </c>
    </row>
    <row r="4757" spans="37:44" ht="30" hidden="1" customHeight="1" x14ac:dyDescent="0.25">
      <c r="AK4757" s="313"/>
      <c r="AL4757" s="313"/>
      <c r="AM4757" s="313"/>
      <c r="AN4757" s="313"/>
      <c r="AO4757" s="313"/>
      <c r="AP4757" s="313"/>
      <c r="AQ4757" s="314"/>
      <c r="AR4757" s="315" t="str">
        <f t="shared" si="111"/>
        <v/>
      </c>
    </row>
    <row r="4758" spans="37:44" ht="30" hidden="1" customHeight="1" x14ac:dyDescent="0.25">
      <c r="AK4758" s="313"/>
      <c r="AL4758" s="313"/>
      <c r="AM4758" s="313"/>
      <c r="AN4758" s="313"/>
      <c r="AO4758" s="313"/>
      <c r="AP4758" s="313"/>
      <c r="AQ4758" s="314"/>
      <c r="AR4758" s="315" t="str">
        <f t="shared" si="111"/>
        <v/>
      </c>
    </row>
    <row r="4759" spans="37:44" ht="30" hidden="1" customHeight="1" x14ac:dyDescent="0.25">
      <c r="AK4759" s="313"/>
      <c r="AL4759" s="313"/>
      <c r="AM4759" s="313"/>
      <c r="AN4759" s="313"/>
      <c r="AO4759" s="313"/>
      <c r="AP4759" s="313"/>
      <c r="AQ4759" s="314"/>
      <c r="AR4759" s="315" t="str">
        <f t="shared" si="111"/>
        <v/>
      </c>
    </row>
    <row r="4760" spans="37:44" ht="30" hidden="1" customHeight="1" x14ac:dyDescent="0.25">
      <c r="AK4760" s="313"/>
      <c r="AL4760" s="313"/>
      <c r="AM4760" s="313"/>
      <c r="AN4760" s="313"/>
      <c r="AO4760" s="313"/>
      <c r="AP4760" s="313"/>
      <c r="AQ4760" s="314"/>
      <c r="AR4760" s="315" t="str">
        <f t="shared" si="111"/>
        <v/>
      </c>
    </row>
    <row r="4761" spans="37:44" ht="30" hidden="1" customHeight="1" x14ac:dyDescent="0.25">
      <c r="AK4761" s="313"/>
      <c r="AL4761" s="313"/>
      <c r="AM4761" s="313"/>
      <c r="AN4761" s="313"/>
      <c r="AO4761" s="313"/>
      <c r="AP4761" s="313"/>
      <c r="AQ4761" s="314"/>
      <c r="AR4761" s="315" t="str">
        <f t="shared" si="111"/>
        <v/>
      </c>
    </row>
    <row r="4762" spans="37:44" ht="30" hidden="1" customHeight="1" x14ac:dyDescent="0.25">
      <c r="AK4762" s="313"/>
      <c r="AL4762" s="313"/>
      <c r="AM4762" s="313"/>
      <c r="AN4762" s="313"/>
      <c r="AO4762" s="313"/>
      <c r="AP4762" s="313"/>
      <c r="AQ4762" s="314"/>
      <c r="AR4762" s="315" t="str">
        <f t="shared" si="111"/>
        <v/>
      </c>
    </row>
    <row r="4763" spans="37:44" ht="30" hidden="1" customHeight="1" x14ac:dyDescent="0.25">
      <c r="AK4763" s="313"/>
      <c r="AL4763" s="313"/>
      <c r="AM4763" s="313"/>
      <c r="AN4763" s="313"/>
      <c r="AO4763" s="313"/>
      <c r="AP4763" s="313"/>
      <c r="AQ4763" s="314"/>
      <c r="AR4763" s="315" t="str">
        <f t="shared" si="111"/>
        <v/>
      </c>
    </row>
    <row r="4764" spans="37:44" ht="30" hidden="1" customHeight="1" x14ac:dyDescent="0.25">
      <c r="AK4764" s="313"/>
      <c r="AL4764" s="313"/>
      <c r="AM4764" s="313"/>
      <c r="AN4764" s="313"/>
      <c r="AO4764" s="313"/>
      <c r="AP4764" s="313"/>
      <c r="AQ4764" s="314"/>
      <c r="AR4764" s="315" t="str">
        <f t="shared" si="111"/>
        <v/>
      </c>
    </row>
    <row r="4765" spans="37:44" ht="30" hidden="1" customHeight="1" x14ac:dyDescent="0.25">
      <c r="AK4765" s="313"/>
      <c r="AL4765" s="313"/>
      <c r="AM4765" s="313"/>
      <c r="AN4765" s="313"/>
      <c r="AO4765" s="313"/>
      <c r="AP4765" s="313"/>
      <c r="AQ4765" s="314"/>
      <c r="AR4765" s="315" t="str">
        <f t="shared" si="111"/>
        <v/>
      </c>
    </row>
    <row r="4766" spans="37:44" ht="30" hidden="1" customHeight="1" x14ac:dyDescent="0.25">
      <c r="AK4766" s="313"/>
      <c r="AL4766" s="313"/>
      <c r="AM4766" s="313"/>
      <c r="AN4766" s="313"/>
      <c r="AO4766" s="313"/>
      <c r="AP4766" s="313"/>
      <c r="AQ4766" s="314"/>
      <c r="AR4766" s="315" t="str">
        <f t="shared" si="111"/>
        <v/>
      </c>
    </row>
    <row r="4767" spans="37:44" ht="30" hidden="1" customHeight="1" x14ac:dyDescent="0.25">
      <c r="AK4767" s="313"/>
      <c r="AL4767" s="313"/>
      <c r="AM4767" s="313"/>
      <c r="AN4767" s="313"/>
      <c r="AO4767" s="313"/>
      <c r="AP4767" s="313"/>
      <c r="AQ4767" s="314"/>
      <c r="AR4767" s="315" t="str">
        <f t="shared" si="111"/>
        <v/>
      </c>
    </row>
    <row r="4768" spans="37:44" ht="30" hidden="1" customHeight="1" x14ac:dyDescent="0.25">
      <c r="AK4768" s="313"/>
      <c r="AL4768" s="313"/>
      <c r="AM4768" s="313"/>
      <c r="AN4768" s="313"/>
      <c r="AO4768" s="313"/>
      <c r="AP4768" s="313"/>
      <c r="AQ4768" s="314"/>
      <c r="AR4768" s="315" t="str">
        <f t="shared" si="111"/>
        <v/>
      </c>
    </row>
    <row r="4769" spans="37:44" ht="30" hidden="1" customHeight="1" x14ac:dyDescent="0.25">
      <c r="AK4769" s="313"/>
      <c r="AL4769" s="313"/>
      <c r="AM4769" s="313"/>
      <c r="AN4769" s="313"/>
      <c r="AO4769" s="313"/>
      <c r="AP4769" s="313"/>
      <c r="AQ4769" s="314"/>
      <c r="AR4769" s="315" t="str">
        <f t="shared" si="111"/>
        <v/>
      </c>
    </row>
    <row r="4770" spans="37:44" ht="30" hidden="1" customHeight="1" x14ac:dyDescent="0.25">
      <c r="AK4770" s="313"/>
      <c r="AL4770" s="313"/>
      <c r="AM4770" s="313"/>
      <c r="AN4770" s="313"/>
      <c r="AO4770" s="313"/>
      <c r="AP4770" s="313"/>
      <c r="AQ4770" s="314"/>
      <c r="AR4770" s="315" t="str">
        <f t="shared" si="111"/>
        <v/>
      </c>
    </row>
    <row r="4771" spans="37:44" ht="30" hidden="1" customHeight="1" x14ac:dyDescent="0.25">
      <c r="AK4771" s="313"/>
      <c r="AL4771" s="313"/>
      <c r="AM4771" s="313"/>
      <c r="AN4771" s="313"/>
      <c r="AO4771" s="313"/>
      <c r="AP4771" s="313"/>
      <c r="AQ4771" s="314"/>
      <c r="AR4771" s="315" t="str">
        <f t="shared" si="111"/>
        <v/>
      </c>
    </row>
    <row r="4772" spans="37:44" ht="30" hidden="1" customHeight="1" x14ac:dyDescent="0.25">
      <c r="AK4772" s="313"/>
      <c r="AL4772" s="313"/>
      <c r="AM4772" s="313"/>
      <c r="AN4772" s="313"/>
      <c r="AO4772" s="313"/>
      <c r="AP4772" s="313"/>
      <c r="AQ4772" s="314"/>
      <c r="AR4772" s="315" t="str">
        <f t="shared" si="111"/>
        <v/>
      </c>
    </row>
    <row r="4773" spans="37:44" ht="30" hidden="1" customHeight="1" x14ac:dyDescent="0.25">
      <c r="AK4773" s="313"/>
      <c r="AL4773" s="313"/>
      <c r="AM4773" s="313"/>
      <c r="AN4773" s="313"/>
      <c r="AO4773" s="313"/>
      <c r="AP4773" s="313"/>
      <c r="AQ4773" s="314"/>
      <c r="AR4773" s="315" t="str">
        <f t="shared" si="111"/>
        <v/>
      </c>
    </row>
    <row r="4774" spans="37:44" ht="30" hidden="1" customHeight="1" x14ac:dyDescent="0.25">
      <c r="AK4774" s="313"/>
      <c r="AL4774" s="313"/>
      <c r="AM4774" s="313"/>
      <c r="AN4774" s="313"/>
      <c r="AO4774" s="313"/>
      <c r="AP4774" s="313"/>
      <c r="AQ4774" s="314"/>
      <c r="AR4774" s="315" t="str">
        <f t="shared" si="111"/>
        <v/>
      </c>
    </row>
    <row r="4775" spans="37:44" ht="30" hidden="1" customHeight="1" x14ac:dyDescent="0.25">
      <c r="AK4775" s="313"/>
      <c r="AL4775" s="313"/>
      <c r="AM4775" s="313"/>
      <c r="AN4775" s="313"/>
      <c r="AO4775" s="313"/>
      <c r="AP4775" s="313"/>
      <c r="AQ4775" s="314"/>
      <c r="AR4775" s="315" t="str">
        <f t="shared" si="111"/>
        <v/>
      </c>
    </row>
    <row r="4776" spans="37:44" ht="30" hidden="1" customHeight="1" x14ac:dyDescent="0.25">
      <c r="AK4776" s="313"/>
      <c r="AL4776" s="313"/>
      <c r="AM4776" s="313"/>
      <c r="AN4776" s="313"/>
      <c r="AO4776" s="313"/>
      <c r="AP4776" s="313"/>
      <c r="AQ4776" s="314"/>
      <c r="AR4776" s="315" t="str">
        <f t="shared" si="111"/>
        <v/>
      </c>
    </row>
    <row r="4777" spans="37:44" ht="30" hidden="1" customHeight="1" x14ac:dyDescent="0.25">
      <c r="AK4777" s="313"/>
      <c r="AL4777" s="313"/>
      <c r="AM4777" s="313"/>
      <c r="AN4777" s="313"/>
      <c r="AO4777" s="313"/>
      <c r="AP4777" s="313"/>
      <c r="AQ4777" s="314"/>
      <c r="AR4777" s="315" t="str">
        <f t="shared" si="111"/>
        <v/>
      </c>
    </row>
    <row r="4778" spans="37:44" ht="30" hidden="1" customHeight="1" x14ac:dyDescent="0.25">
      <c r="AK4778" s="313"/>
      <c r="AL4778" s="313"/>
      <c r="AM4778" s="313"/>
      <c r="AN4778" s="313"/>
      <c r="AO4778" s="313"/>
      <c r="AP4778" s="313"/>
      <c r="AQ4778" s="314"/>
      <c r="AR4778" s="315" t="str">
        <f t="shared" si="111"/>
        <v/>
      </c>
    </row>
    <row r="4779" spans="37:44" ht="30" hidden="1" customHeight="1" x14ac:dyDescent="0.25">
      <c r="AK4779" s="313"/>
      <c r="AL4779" s="313"/>
      <c r="AM4779" s="313"/>
      <c r="AN4779" s="313"/>
      <c r="AO4779" s="313"/>
      <c r="AP4779" s="313"/>
      <c r="AQ4779" s="314"/>
      <c r="AR4779" s="315" t="str">
        <f t="shared" si="111"/>
        <v/>
      </c>
    </row>
    <row r="4780" spans="37:44" ht="30" hidden="1" customHeight="1" x14ac:dyDescent="0.25">
      <c r="AK4780" s="313"/>
      <c r="AL4780" s="313"/>
      <c r="AM4780" s="313"/>
      <c r="AN4780" s="313"/>
      <c r="AO4780" s="313"/>
      <c r="AP4780" s="313"/>
      <c r="AQ4780" s="314"/>
      <c r="AR4780" s="315" t="str">
        <f t="shared" si="111"/>
        <v/>
      </c>
    </row>
    <row r="4781" spans="37:44" ht="30" hidden="1" customHeight="1" x14ac:dyDescent="0.25">
      <c r="AK4781" s="313"/>
      <c r="AL4781" s="313"/>
      <c r="AM4781" s="313"/>
      <c r="AN4781" s="313"/>
      <c r="AO4781" s="313"/>
      <c r="AP4781" s="313"/>
      <c r="AQ4781" s="314"/>
      <c r="AR4781" s="315" t="str">
        <f t="shared" si="111"/>
        <v/>
      </c>
    </row>
    <row r="4782" spans="37:44" ht="30" hidden="1" customHeight="1" x14ac:dyDescent="0.25">
      <c r="AK4782" s="313"/>
      <c r="AL4782" s="313"/>
      <c r="AM4782" s="313"/>
      <c r="AN4782" s="313"/>
      <c r="AO4782" s="313"/>
      <c r="AP4782" s="313"/>
      <c r="AQ4782" s="314"/>
      <c r="AR4782" s="315" t="str">
        <f t="shared" si="111"/>
        <v/>
      </c>
    </row>
    <row r="4783" spans="37:44" ht="30" hidden="1" customHeight="1" x14ac:dyDescent="0.25">
      <c r="AK4783" s="313"/>
      <c r="AL4783" s="313"/>
      <c r="AM4783" s="313"/>
      <c r="AN4783" s="313"/>
      <c r="AO4783" s="313"/>
      <c r="AP4783" s="313"/>
      <c r="AQ4783" s="314"/>
      <c r="AR4783" s="315" t="str">
        <f t="shared" si="111"/>
        <v/>
      </c>
    </row>
    <row r="4784" spans="37:44" ht="30" hidden="1" customHeight="1" x14ac:dyDescent="0.25">
      <c r="AK4784" s="313"/>
      <c r="AL4784" s="313"/>
      <c r="AM4784" s="313"/>
      <c r="AN4784" s="313"/>
      <c r="AO4784" s="313"/>
      <c r="AP4784" s="313"/>
      <c r="AQ4784" s="314"/>
      <c r="AR4784" s="315" t="str">
        <f t="shared" si="111"/>
        <v/>
      </c>
    </row>
    <row r="4785" spans="37:44" ht="30" hidden="1" customHeight="1" x14ac:dyDescent="0.25">
      <c r="AK4785" s="313"/>
      <c r="AL4785" s="313"/>
      <c r="AM4785" s="313"/>
      <c r="AN4785" s="313"/>
      <c r="AO4785" s="313"/>
      <c r="AP4785" s="313"/>
      <c r="AQ4785" s="314"/>
      <c r="AR4785" s="315" t="str">
        <f t="shared" si="111"/>
        <v/>
      </c>
    </row>
    <row r="4786" spans="37:44" ht="30" hidden="1" customHeight="1" x14ac:dyDescent="0.25">
      <c r="AK4786" s="313"/>
      <c r="AL4786" s="313"/>
      <c r="AM4786" s="313"/>
      <c r="AN4786" s="313"/>
      <c r="AO4786" s="313"/>
      <c r="AP4786" s="313"/>
      <c r="AQ4786" s="314"/>
      <c r="AR4786" s="315" t="str">
        <f t="shared" si="111"/>
        <v/>
      </c>
    </row>
    <row r="4787" spans="37:44" ht="30" hidden="1" customHeight="1" x14ac:dyDescent="0.25">
      <c r="AK4787" s="313"/>
      <c r="AL4787" s="313"/>
      <c r="AM4787" s="313"/>
      <c r="AN4787" s="313"/>
      <c r="AO4787" s="313"/>
      <c r="AP4787" s="313"/>
      <c r="AQ4787" s="314"/>
      <c r="AR4787" s="315" t="str">
        <f t="shared" si="111"/>
        <v/>
      </c>
    </row>
    <row r="4788" spans="37:44" ht="30" hidden="1" customHeight="1" x14ac:dyDescent="0.25">
      <c r="AK4788" s="313"/>
      <c r="AL4788" s="313"/>
      <c r="AM4788" s="313"/>
      <c r="AN4788" s="313"/>
      <c r="AO4788" s="313"/>
      <c r="AP4788" s="313"/>
      <c r="AQ4788" s="314"/>
      <c r="AR4788" s="315" t="str">
        <f t="shared" si="111"/>
        <v/>
      </c>
    </row>
    <row r="4789" spans="37:44" ht="30" hidden="1" customHeight="1" x14ac:dyDescent="0.25">
      <c r="AK4789" s="313"/>
      <c r="AL4789" s="313"/>
      <c r="AM4789" s="313"/>
      <c r="AN4789" s="313"/>
      <c r="AO4789" s="313"/>
      <c r="AP4789" s="313"/>
      <c r="AQ4789" s="314"/>
      <c r="AR4789" s="315" t="str">
        <f t="shared" si="111"/>
        <v/>
      </c>
    </row>
    <row r="4790" spans="37:44" ht="30" hidden="1" customHeight="1" x14ac:dyDescent="0.25">
      <c r="AK4790" s="313"/>
      <c r="AL4790" s="313"/>
      <c r="AM4790" s="313"/>
      <c r="AN4790" s="313"/>
      <c r="AO4790" s="313"/>
      <c r="AP4790" s="313"/>
      <c r="AQ4790" s="314"/>
      <c r="AR4790" s="315" t="str">
        <f t="shared" si="111"/>
        <v/>
      </c>
    </row>
    <row r="4791" spans="37:44" ht="30" hidden="1" customHeight="1" x14ac:dyDescent="0.25">
      <c r="AK4791" s="313"/>
      <c r="AL4791" s="313"/>
      <c r="AM4791" s="313"/>
      <c r="AN4791" s="313"/>
      <c r="AO4791" s="313"/>
      <c r="AP4791" s="313"/>
      <c r="AQ4791" s="314"/>
      <c r="AR4791" s="315" t="str">
        <f t="shared" si="111"/>
        <v/>
      </c>
    </row>
    <row r="4792" spans="37:44" ht="30" hidden="1" customHeight="1" x14ac:dyDescent="0.25">
      <c r="AK4792" s="313"/>
      <c r="AL4792" s="313"/>
      <c r="AM4792" s="313"/>
      <c r="AN4792" s="313"/>
      <c r="AO4792" s="313"/>
      <c r="AP4792" s="313"/>
      <c r="AQ4792" s="314"/>
      <c r="AR4792" s="315" t="str">
        <f t="shared" si="111"/>
        <v/>
      </c>
    </row>
    <row r="4793" spans="37:44" ht="30" hidden="1" customHeight="1" x14ac:dyDescent="0.25">
      <c r="AK4793" s="313"/>
      <c r="AL4793" s="313"/>
      <c r="AM4793" s="313"/>
      <c r="AN4793" s="313"/>
      <c r="AO4793" s="313"/>
      <c r="AP4793" s="313"/>
      <c r="AQ4793" s="314"/>
      <c r="AR4793" s="315" t="str">
        <f t="shared" si="111"/>
        <v/>
      </c>
    </row>
    <row r="4794" spans="37:44" ht="30" hidden="1" customHeight="1" x14ac:dyDescent="0.25">
      <c r="AK4794" s="313"/>
      <c r="AL4794" s="313"/>
      <c r="AM4794" s="313"/>
      <c r="AN4794" s="313"/>
      <c r="AO4794" s="313"/>
      <c r="AP4794" s="313"/>
      <c r="AQ4794" s="314"/>
      <c r="AR4794" s="315" t="str">
        <f t="shared" si="111"/>
        <v/>
      </c>
    </row>
    <row r="4795" spans="37:44" ht="30" hidden="1" customHeight="1" x14ac:dyDescent="0.25">
      <c r="AK4795" s="313"/>
      <c r="AL4795" s="313"/>
      <c r="AM4795" s="313"/>
      <c r="AN4795" s="313"/>
      <c r="AO4795" s="313"/>
      <c r="AP4795" s="313"/>
      <c r="AQ4795" s="314"/>
      <c r="AR4795" s="315" t="str">
        <f t="shared" si="111"/>
        <v/>
      </c>
    </row>
    <row r="4796" spans="37:44" ht="30" hidden="1" customHeight="1" x14ac:dyDescent="0.25">
      <c r="AK4796" s="313"/>
      <c r="AL4796" s="313"/>
      <c r="AM4796" s="313"/>
      <c r="AN4796" s="313"/>
      <c r="AO4796" s="313"/>
      <c r="AP4796" s="313"/>
      <c r="AQ4796" s="314"/>
      <c r="AR4796" s="315" t="str">
        <f t="shared" si="111"/>
        <v/>
      </c>
    </row>
    <row r="4797" spans="37:44" ht="30" hidden="1" customHeight="1" x14ac:dyDescent="0.25">
      <c r="AK4797" s="313"/>
      <c r="AL4797" s="313"/>
      <c r="AM4797" s="313"/>
      <c r="AN4797" s="313"/>
      <c r="AO4797" s="313"/>
      <c r="AP4797" s="313"/>
      <c r="AQ4797" s="314"/>
      <c r="AR4797" s="315" t="str">
        <f t="shared" si="111"/>
        <v/>
      </c>
    </row>
    <row r="4798" spans="37:44" ht="30" hidden="1" customHeight="1" x14ac:dyDescent="0.25">
      <c r="AK4798" s="313"/>
      <c r="AL4798" s="313"/>
      <c r="AM4798" s="313"/>
      <c r="AN4798" s="313"/>
      <c r="AO4798" s="313"/>
      <c r="AP4798" s="313"/>
      <c r="AQ4798" s="314"/>
      <c r="AR4798" s="315" t="str">
        <f t="shared" si="111"/>
        <v/>
      </c>
    </row>
    <row r="4799" spans="37:44" ht="30" hidden="1" customHeight="1" x14ac:dyDescent="0.25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12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 x14ac:dyDescent="0.25">
      <c r="AK4800" s="313"/>
      <c r="AL4800" s="313"/>
      <c r="AM4800" s="313"/>
      <c r="AN4800" s="313"/>
      <c r="AO4800" s="313"/>
      <c r="AP4800" s="313"/>
      <c r="AQ4800" s="314"/>
      <c r="AR4800" s="315" t="str">
        <f t="shared" si="112"/>
        <v/>
      </c>
    </row>
    <row r="4801" spans="37:44" ht="30" hidden="1" customHeight="1" x14ac:dyDescent="0.25">
      <c r="AK4801" s="313"/>
      <c r="AL4801" s="313"/>
      <c r="AM4801" s="313"/>
      <c r="AN4801" s="313"/>
      <c r="AO4801" s="313"/>
      <c r="AP4801" s="313"/>
      <c r="AQ4801" s="314"/>
      <c r="AR4801" s="315" t="str">
        <f t="shared" si="112"/>
        <v/>
      </c>
    </row>
    <row r="4802" spans="37:44" ht="30" hidden="1" customHeight="1" x14ac:dyDescent="0.25">
      <c r="AK4802" s="313"/>
      <c r="AL4802" s="313"/>
      <c r="AM4802" s="313"/>
      <c r="AN4802" s="313"/>
      <c r="AO4802" s="313"/>
      <c r="AP4802" s="313"/>
      <c r="AQ4802" s="314"/>
      <c r="AR4802" s="315" t="str">
        <f t="shared" si="112"/>
        <v/>
      </c>
    </row>
    <row r="4803" spans="37:44" ht="30" hidden="1" customHeight="1" x14ac:dyDescent="0.25">
      <c r="AK4803" s="313"/>
      <c r="AL4803" s="313"/>
      <c r="AM4803" s="313"/>
      <c r="AN4803" s="313"/>
      <c r="AO4803" s="313"/>
      <c r="AP4803" s="313"/>
      <c r="AQ4803" s="314"/>
      <c r="AR4803" s="315" t="str">
        <f t="shared" si="112"/>
        <v/>
      </c>
    </row>
    <row r="4804" spans="37:44" ht="30" hidden="1" customHeight="1" x14ac:dyDescent="0.25">
      <c r="AK4804" s="313"/>
      <c r="AL4804" s="313"/>
      <c r="AM4804" s="313"/>
      <c r="AN4804" s="313"/>
      <c r="AO4804" s="313"/>
      <c r="AP4804" s="313"/>
      <c r="AQ4804" s="314"/>
      <c r="AR4804" s="315" t="str">
        <f t="shared" si="112"/>
        <v/>
      </c>
    </row>
    <row r="4805" spans="37:44" ht="30" hidden="1" customHeight="1" x14ac:dyDescent="0.25">
      <c r="AK4805" s="313"/>
      <c r="AL4805" s="313"/>
      <c r="AM4805" s="313"/>
      <c r="AN4805" s="313"/>
      <c r="AO4805" s="313"/>
      <c r="AP4805" s="313"/>
      <c r="AQ4805" s="314"/>
      <c r="AR4805" s="315" t="str">
        <f t="shared" si="112"/>
        <v/>
      </c>
    </row>
    <row r="4806" spans="37:44" ht="30" hidden="1" customHeight="1" x14ac:dyDescent="0.25">
      <c r="AK4806" s="313"/>
      <c r="AL4806" s="313"/>
      <c r="AM4806" s="313"/>
      <c r="AN4806" s="313"/>
      <c r="AO4806" s="313"/>
      <c r="AP4806" s="313"/>
      <c r="AQ4806" s="314"/>
      <c r="AR4806" s="315" t="str">
        <f t="shared" si="112"/>
        <v/>
      </c>
    </row>
    <row r="4807" spans="37:44" ht="30" hidden="1" customHeight="1" x14ac:dyDescent="0.25">
      <c r="AK4807" s="313"/>
      <c r="AL4807" s="313"/>
      <c r="AM4807" s="313"/>
      <c r="AN4807" s="313"/>
      <c r="AO4807" s="313"/>
      <c r="AP4807" s="313"/>
      <c r="AQ4807" s="314"/>
      <c r="AR4807" s="315" t="str">
        <f t="shared" si="112"/>
        <v/>
      </c>
    </row>
    <row r="4808" spans="37:44" ht="30" hidden="1" customHeight="1" x14ac:dyDescent="0.25">
      <c r="AK4808" s="313"/>
      <c r="AL4808" s="313"/>
      <c r="AM4808" s="313"/>
      <c r="AN4808" s="313"/>
      <c r="AO4808" s="313"/>
      <c r="AP4808" s="313"/>
      <c r="AQ4808" s="314"/>
      <c r="AR4808" s="315" t="str">
        <f t="shared" si="112"/>
        <v/>
      </c>
    </row>
    <row r="4809" spans="37:44" ht="30" hidden="1" customHeight="1" x14ac:dyDescent="0.25">
      <c r="AK4809" s="313"/>
      <c r="AL4809" s="313"/>
      <c r="AM4809" s="313"/>
      <c r="AN4809" s="313"/>
      <c r="AO4809" s="313"/>
      <c r="AP4809" s="313"/>
      <c r="AQ4809" s="314"/>
      <c r="AR4809" s="315" t="str">
        <f t="shared" si="112"/>
        <v/>
      </c>
    </row>
    <row r="4810" spans="37:44" ht="30" hidden="1" customHeight="1" x14ac:dyDescent="0.25">
      <c r="AK4810" s="313"/>
      <c r="AL4810" s="313"/>
      <c r="AM4810" s="313"/>
      <c r="AN4810" s="313"/>
      <c r="AO4810" s="313"/>
      <c r="AP4810" s="313"/>
      <c r="AQ4810" s="314"/>
      <c r="AR4810" s="315" t="str">
        <f t="shared" si="112"/>
        <v/>
      </c>
    </row>
    <row r="4811" spans="37:44" ht="30" hidden="1" customHeight="1" x14ac:dyDescent="0.25">
      <c r="AK4811" s="313"/>
      <c r="AL4811" s="313"/>
      <c r="AM4811" s="313"/>
      <c r="AN4811" s="313"/>
      <c r="AO4811" s="313"/>
      <c r="AP4811" s="313"/>
      <c r="AQ4811" s="314"/>
      <c r="AR4811" s="315" t="str">
        <f t="shared" si="112"/>
        <v/>
      </c>
    </row>
    <row r="4812" spans="37:44" ht="30" hidden="1" customHeight="1" x14ac:dyDescent="0.25">
      <c r="AK4812" s="313"/>
      <c r="AL4812" s="313"/>
      <c r="AM4812" s="313"/>
      <c r="AN4812" s="313"/>
      <c r="AO4812" s="313"/>
      <c r="AP4812" s="313"/>
      <c r="AQ4812" s="314"/>
      <c r="AR4812" s="315" t="str">
        <f t="shared" si="112"/>
        <v/>
      </c>
    </row>
    <row r="4813" spans="37:44" ht="30" hidden="1" customHeight="1" x14ac:dyDescent="0.25">
      <c r="AK4813" s="313"/>
      <c r="AL4813" s="313"/>
      <c r="AM4813" s="313"/>
      <c r="AN4813" s="313"/>
      <c r="AO4813" s="313"/>
      <c r="AP4813" s="313"/>
      <c r="AQ4813" s="314"/>
      <c r="AR4813" s="315" t="str">
        <f t="shared" si="112"/>
        <v/>
      </c>
    </row>
    <row r="4814" spans="37:44" ht="30" hidden="1" customHeight="1" x14ac:dyDescent="0.25">
      <c r="AK4814" s="313"/>
      <c r="AL4814" s="313"/>
      <c r="AM4814" s="313"/>
      <c r="AN4814" s="313"/>
      <c r="AO4814" s="313"/>
      <c r="AP4814" s="313"/>
      <c r="AQ4814" s="314"/>
      <c r="AR4814" s="315" t="str">
        <f t="shared" si="112"/>
        <v/>
      </c>
    </row>
    <row r="4815" spans="37:44" ht="30" hidden="1" customHeight="1" x14ac:dyDescent="0.25">
      <c r="AK4815" s="313"/>
      <c r="AL4815" s="313"/>
      <c r="AM4815" s="313"/>
      <c r="AN4815" s="313"/>
      <c r="AO4815" s="313"/>
      <c r="AP4815" s="313"/>
      <c r="AQ4815" s="314"/>
      <c r="AR4815" s="315" t="str">
        <f t="shared" si="112"/>
        <v/>
      </c>
    </row>
    <row r="4816" spans="37:44" ht="30" hidden="1" customHeight="1" x14ac:dyDescent="0.25">
      <c r="AK4816" s="313"/>
      <c r="AL4816" s="313"/>
      <c r="AM4816" s="313"/>
      <c r="AN4816" s="313"/>
      <c r="AO4816" s="313"/>
      <c r="AP4816" s="313"/>
      <c r="AQ4816" s="314"/>
      <c r="AR4816" s="315" t="str">
        <f t="shared" si="112"/>
        <v/>
      </c>
    </row>
    <row r="4817" spans="37:44" ht="30" hidden="1" customHeight="1" x14ac:dyDescent="0.25">
      <c r="AK4817" s="313"/>
      <c r="AL4817" s="313"/>
      <c r="AM4817" s="313"/>
      <c r="AN4817" s="313"/>
      <c r="AO4817" s="313"/>
      <c r="AP4817" s="313"/>
      <c r="AQ4817" s="314"/>
      <c r="AR4817" s="315" t="str">
        <f t="shared" si="112"/>
        <v/>
      </c>
    </row>
    <row r="4818" spans="37:44" ht="30" hidden="1" customHeight="1" x14ac:dyDescent="0.25">
      <c r="AK4818" s="313"/>
      <c r="AL4818" s="313"/>
      <c r="AM4818" s="313"/>
      <c r="AN4818" s="313"/>
      <c r="AO4818" s="313"/>
      <c r="AP4818" s="313"/>
      <c r="AQ4818" s="314"/>
      <c r="AR4818" s="315" t="str">
        <f t="shared" si="112"/>
        <v/>
      </c>
    </row>
    <row r="4819" spans="37:44" ht="30" hidden="1" customHeight="1" x14ac:dyDescent="0.25">
      <c r="AK4819" s="313"/>
      <c r="AL4819" s="313"/>
      <c r="AM4819" s="313"/>
      <c r="AN4819" s="313"/>
      <c r="AO4819" s="313"/>
      <c r="AP4819" s="313"/>
      <c r="AQ4819" s="314"/>
      <c r="AR4819" s="315" t="str">
        <f t="shared" si="112"/>
        <v/>
      </c>
    </row>
    <row r="4820" spans="37:44" ht="30" hidden="1" customHeight="1" x14ac:dyDescent="0.25">
      <c r="AK4820" s="313"/>
      <c r="AL4820" s="313"/>
      <c r="AM4820" s="313"/>
      <c r="AN4820" s="313"/>
      <c r="AO4820" s="313"/>
      <c r="AP4820" s="313"/>
      <c r="AQ4820" s="314"/>
      <c r="AR4820" s="315" t="str">
        <f t="shared" si="112"/>
        <v/>
      </c>
    </row>
    <row r="4821" spans="37:44" ht="30" hidden="1" customHeight="1" x14ac:dyDescent="0.25">
      <c r="AK4821" s="313"/>
      <c r="AL4821" s="313"/>
      <c r="AM4821" s="313"/>
      <c r="AN4821" s="313"/>
      <c r="AO4821" s="313"/>
      <c r="AP4821" s="313"/>
      <c r="AQ4821" s="314"/>
      <c r="AR4821" s="315" t="str">
        <f t="shared" si="112"/>
        <v/>
      </c>
    </row>
    <row r="4822" spans="37:44" ht="30" hidden="1" customHeight="1" x14ac:dyDescent="0.25">
      <c r="AK4822" s="313"/>
      <c r="AL4822" s="313"/>
      <c r="AM4822" s="313"/>
      <c r="AN4822" s="313"/>
      <c r="AO4822" s="313"/>
      <c r="AP4822" s="313"/>
      <c r="AQ4822" s="314"/>
      <c r="AR4822" s="315" t="str">
        <f t="shared" si="112"/>
        <v/>
      </c>
    </row>
    <row r="4823" spans="37:44" ht="30" hidden="1" customHeight="1" x14ac:dyDescent="0.25">
      <c r="AK4823" s="313"/>
      <c r="AL4823" s="313"/>
      <c r="AM4823" s="313"/>
      <c r="AN4823" s="313"/>
      <c r="AO4823" s="313"/>
      <c r="AP4823" s="313"/>
      <c r="AQ4823" s="314"/>
      <c r="AR4823" s="315" t="str">
        <f t="shared" si="112"/>
        <v/>
      </c>
    </row>
    <row r="4824" spans="37:44" ht="30" hidden="1" customHeight="1" x14ac:dyDescent="0.25">
      <c r="AK4824" s="313"/>
      <c r="AL4824" s="313"/>
      <c r="AM4824" s="313"/>
      <c r="AN4824" s="313"/>
      <c r="AO4824" s="313"/>
      <c r="AP4824" s="313"/>
      <c r="AQ4824" s="314"/>
      <c r="AR4824" s="315" t="str">
        <f t="shared" si="112"/>
        <v/>
      </c>
    </row>
    <row r="4825" spans="37:44" ht="30" hidden="1" customHeight="1" x14ac:dyDescent="0.25">
      <c r="AK4825" s="313"/>
      <c r="AL4825" s="313"/>
      <c r="AM4825" s="313"/>
      <c r="AN4825" s="313"/>
      <c r="AO4825" s="313"/>
      <c r="AP4825" s="313"/>
      <c r="AQ4825" s="314"/>
      <c r="AR4825" s="315" t="str">
        <f t="shared" si="112"/>
        <v/>
      </c>
    </row>
    <row r="4826" spans="37:44" ht="30" hidden="1" customHeight="1" x14ac:dyDescent="0.25">
      <c r="AK4826" s="313"/>
      <c r="AL4826" s="313"/>
      <c r="AM4826" s="313"/>
      <c r="AN4826" s="313"/>
      <c r="AO4826" s="313"/>
      <c r="AP4826" s="313"/>
      <c r="AQ4826" s="314"/>
      <c r="AR4826" s="315" t="str">
        <f t="shared" si="112"/>
        <v/>
      </c>
    </row>
    <row r="4827" spans="37:44" ht="30" hidden="1" customHeight="1" x14ac:dyDescent="0.25">
      <c r="AK4827" s="313"/>
      <c r="AL4827" s="313"/>
      <c r="AM4827" s="313"/>
      <c r="AN4827" s="313"/>
      <c r="AO4827" s="313"/>
      <c r="AP4827" s="313"/>
      <c r="AQ4827" s="314"/>
      <c r="AR4827" s="315" t="str">
        <f t="shared" si="112"/>
        <v/>
      </c>
    </row>
    <row r="4828" spans="37:44" ht="30" hidden="1" customHeight="1" x14ac:dyDescent="0.25">
      <c r="AK4828" s="313"/>
      <c r="AL4828" s="313"/>
      <c r="AM4828" s="313"/>
      <c r="AN4828" s="313"/>
      <c r="AO4828" s="313"/>
      <c r="AP4828" s="313"/>
      <c r="AQ4828" s="314"/>
      <c r="AR4828" s="315" t="str">
        <f t="shared" si="112"/>
        <v/>
      </c>
    </row>
    <row r="4829" spans="37:44" ht="30" hidden="1" customHeight="1" x14ac:dyDescent="0.25">
      <c r="AK4829" s="313"/>
      <c r="AL4829" s="313"/>
      <c r="AM4829" s="313"/>
      <c r="AN4829" s="313"/>
      <c r="AO4829" s="313"/>
      <c r="AP4829" s="313"/>
      <c r="AQ4829" s="314"/>
      <c r="AR4829" s="315" t="str">
        <f t="shared" si="112"/>
        <v/>
      </c>
    </row>
    <row r="4830" spans="37:44" ht="30" hidden="1" customHeight="1" x14ac:dyDescent="0.25">
      <c r="AK4830" s="313"/>
      <c r="AL4830" s="313"/>
      <c r="AM4830" s="313"/>
      <c r="AN4830" s="313"/>
      <c r="AO4830" s="313"/>
      <c r="AP4830" s="313"/>
      <c r="AQ4830" s="314"/>
      <c r="AR4830" s="315" t="str">
        <f t="shared" si="112"/>
        <v/>
      </c>
    </row>
    <row r="4831" spans="37:44" ht="30" hidden="1" customHeight="1" x14ac:dyDescent="0.25">
      <c r="AK4831" s="313"/>
      <c r="AL4831" s="313"/>
      <c r="AM4831" s="313"/>
      <c r="AN4831" s="313"/>
      <c r="AO4831" s="313"/>
      <c r="AP4831" s="313"/>
      <c r="AQ4831" s="314"/>
      <c r="AR4831" s="315" t="str">
        <f t="shared" si="112"/>
        <v/>
      </c>
    </row>
    <row r="4832" spans="37:44" ht="30" hidden="1" customHeight="1" x14ac:dyDescent="0.25">
      <c r="AK4832" s="313"/>
      <c r="AL4832" s="313"/>
      <c r="AM4832" s="313"/>
      <c r="AN4832" s="313"/>
      <c r="AO4832" s="313"/>
      <c r="AP4832" s="313"/>
      <c r="AQ4832" s="314"/>
      <c r="AR4832" s="315" t="str">
        <f t="shared" si="112"/>
        <v/>
      </c>
    </row>
    <row r="4833" spans="37:44" ht="30" hidden="1" customHeight="1" x14ac:dyDescent="0.25">
      <c r="AK4833" s="313"/>
      <c r="AL4833" s="313"/>
      <c r="AM4833" s="313"/>
      <c r="AN4833" s="313"/>
      <c r="AO4833" s="313"/>
      <c r="AP4833" s="313"/>
      <c r="AQ4833" s="314"/>
      <c r="AR4833" s="315" t="str">
        <f t="shared" si="112"/>
        <v/>
      </c>
    </row>
    <row r="4834" spans="37:44" ht="30" hidden="1" customHeight="1" x14ac:dyDescent="0.25">
      <c r="AK4834" s="313"/>
      <c r="AL4834" s="313"/>
      <c r="AM4834" s="313"/>
      <c r="AN4834" s="313"/>
      <c r="AO4834" s="313"/>
      <c r="AP4834" s="313"/>
      <c r="AQ4834" s="314"/>
      <c r="AR4834" s="315" t="str">
        <f t="shared" si="112"/>
        <v/>
      </c>
    </row>
    <row r="4835" spans="37:44" ht="30" hidden="1" customHeight="1" x14ac:dyDescent="0.25">
      <c r="AK4835" s="313"/>
      <c r="AL4835" s="313"/>
      <c r="AM4835" s="313"/>
      <c r="AN4835" s="313"/>
      <c r="AO4835" s="313"/>
      <c r="AP4835" s="313"/>
      <c r="AQ4835" s="314"/>
      <c r="AR4835" s="315" t="str">
        <f t="shared" si="112"/>
        <v/>
      </c>
    </row>
    <row r="4836" spans="37:44" ht="30" hidden="1" customHeight="1" x14ac:dyDescent="0.25">
      <c r="AK4836" s="313"/>
      <c r="AL4836" s="313"/>
      <c r="AM4836" s="313"/>
      <c r="AN4836" s="313"/>
      <c r="AO4836" s="313"/>
      <c r="AP4836" s="313"/>
      <c r="AQ4836" s="314"/>
      <c r="AR4836" s="315" t="str">
        <f t="shared" si="112"/>
        <v/>
      </c>
    </row>
    <row r="4837" spans="37:44" ht="30" hidden="1" customHeight="1" x14ac:dyDescent="0.25">
      <c r="AK4837" s="313"/>
      <c r="AL4837" s="313"/>
      <c r="AM4837" s="313"/>
      <c r="AN4837" s="313"/>
      <c r="AO4837" s="313"/>
      <c r="AP4837" s="313"/>
      <c r="AQ4837" s="314"/>
      <c r="AR4837" s="315" t="str">
        <f t="shared" si="112"/>
        <v/>
      </c>
    </row>
    <row r="4838" spans="37:44" ht="30" hidden="1" customHeight="1" x14ac:dyDescent="0.25">
      <c r="AK4838" s="313"/>
      <c r="AL4838" s="313"/>
      <c r="AM4838" s="313"/>
      <c r="AN4838" s="313"/>
      <c r="AO4838" s="313"/>
      <c r="AP4838" s="313"/>
      <c r="AQ4838" s="314"/>
      <c r="AR4838" s="315" t="str">
        <f t="shared" si="112"/>
        <v/>
      </c>
    </row>
    <row r="4839" spans="37:44" ht="30" hidden="1" customHeight="1" x14ac:dyDescent="0.25">
      <c r="AK4839" s="313"/>
      <c r="AL4839" s="313"/>
      <c r="AM4839" s="313"/>
      <c r="AN4839" s="313"/>
      <c r="AO4839" s="313"/>
      <c r="AP4839" s="313"/>
      <c r="AQ4839" s="314"/>
      <c r="AR4839" s="315" t="str">
        <f t="shared" si="112"/>
        <v/>
      </c>
    </row>
    <row r="4840" spans="37:44" ht="30" hidden="1" customHeight="1" x14ac:dyDescent="0.25">
      <c r="AK4840" s="313"/>
      <c r="AL4840" s="313"/>
      <c r="AM4840" s="313"/>
      <c r="AN4840" s="313"/>
      <c r="AO4840" s="313"/>
      <c r="AP4840" s="313"/>
      <c r="AQ4840" s="314"/>
      <c r="AR4840" s="315" t="str">
        <f t="shared" si="112"/>
        <v/>
      </c>
    </row>
    <row r="4841" spans="37:44" ht="30" hidden="1" customHeight="1" x14ac:dyDescent="0.25">
      <c r="AK4841" s="313"/>
      <c r="AL4841" s="313"/>
      <c r="AM4841" s="313"/>
      <c r="AN4841" s="313"/>
      <c r="AO4841" s="313"/>
      <c r="AP4841" s="313"/>
      <c r="AQ4841" s="314"/>
      <c r="AR4841" s="315" t="str">
        <f t="shared" si="112"/>
        <v/>
      </c>
    </row>
    <row r="4842" spans="37:44" ht="30" hidden="1" customHeight="1" x14ac:dyDescent="0.25">
      <c r="AK4842" s="313"/>
      <c r="AL4842" s="313"/>
      <c r="AM4842" s="313"/>
      <c r="AN4842" s="313"/>
      <c r="AO4842" s="313"/>
      <c r="AP4842" s="313"/>
      <c r="AQ4842" s="314"/>
      <c r="AR4842" s="315" t="str">
        <f t="shared" si="112"/>
        <v/>
      </c>
    </row>
    <row r="4843" spans="37:44" ht="30" hidden="1" customHeight="1" x14ac:dyDescent="0.25">
      <c r="AK4843" s="313"/>
      <c r="AL4843" s="313"/>
      <c r="AM4843" s="313"/>
      <c r="AN4843" s="313"/>
      <c r="AO4843" s="313"/>
      <c r="AP4843" s="313"/>
      <c r="AQ4843" s="314"/>
      <c r="AR4843" s="315" t="str">
        <f t="shared" si="112"/>
        <v/>
      </c>
    </row>
    <row r="4844" spans="37:44" ht="30" hidden="1" customHeight="1" x14ac:dyDescent="0.25">
      <c r="AK4844" s="313"/>
      <c r="AL4844" s="313"/>
      <c r="AM4844" s="313"/>
      <c r="AN4844" s="313"/>
      <c r="AO4844" s="313"/>
      <c r="AP4844" s="313"/>
      <c r="AQ4844" s="314"/>
      <c r="AR4844" s="315" t="str">
        <f t="shared" si="112"/>
        <v/>
      </c>
    </row>
    <row r="4845" spans="37:44" ht="30" hidden="1" customHeight="1" x14ac:dyDescent="0.25">
      <c r="AK4845" s="313"/>
      <c r="AL4845" s="313"/>
      <c r="AM4845" s="313"/>
      <c r="AN4845" s="313"/>
      <c r="AO4845" s="313"/>
      <c r="AP4845" s="313"/>
      <c r="AQ4845" s="314"/>
      <c r="AR4845" s="315" t="str">
        <f t="shared" si="112"/>
        <v/>
      </c>
    </row>
    <row r="4846" spans="37:44" ht="30" hidden="1" customHeight="1" x14ac:dyDescent="0.25">
      <c r="AK4846" s="313"/>
      <c r="AL4846" s="313"/>
      <c r="AM4846" s="313"/>
      <c r="AN4846" s="313"/>
      <c r="AO4846" s="313"/>
      <c r="AP4846" s="313"/>
      <c r="AQ4846" s="314"/>
      <c r="AR4846" s="315" t="str">
        <f t="shared" si="112"/>
        <v/>
      </c>
    </row>
    <row r="4847" spans="37:44" ht="30" hidden="1" customHeight="1" x14ac:dyDescent="0.25">
      <c r="AK4847" s="313"/>
      <c r="AL4847" s="313"/>
      <c r="AM4847" s="313"/>
      <c r="AN4847" s="313"/>
      <c r="AO4847" s="313"/>
      <c r="AP4847" s="313"/>
      <c r="AQ4847" s="314"/>
      <c r="AR4847" s="315" t="str">
        <f t="shared" si="112"/>
        <v/>
      </c>
    </row>
    <row r="4848" spans="37:44" ht="30" hidden="1" customHeight="1" x14ac:dyDescent="0.25">
      <c r="AK4848" s="313"/>
      <c r="AL4848" s="313"/>
      <c r="AM4848" s="313"/>
      <c r="AN4848" s="313"/>
      <c r="AO4848" s="313"/>
      <c r="AP4848" s="313"/>
      <c r="AQ4848" s="314"/>
      <c r="AR4848" s="315" t="str">
        <f t="shared" si="112"/>
        <v/>
      </c>
    </row>
    <row r="4849" spans="37:44" ht="30" hidden="1" customHeight="1" x14ac:dyDescent="0.25">
      <c r="AK4849" s="313"/>
      <c r="AL4849" s="313"/>
      <c r="AM4849" s="313"/>
      <c r="AN4849" s="313"/>
      <c r="AO4849" s="313"/>
      <c r="AP4849" s="313"/>
      <c r="AQ4849" s="314"/>
      <c r="AR4849" s="315" t="str">
        <f t="shared" si="112"/>
        <v/>
      </c>
    </row>
    <row r="4850" spans="37:44" ht="30" hidden="1" customHeight="1" x14ac:dyDescent="0.25">
      <c r="AK4850" s="313"/>
      <c r="AL4850" s="313"/>
      <c r="AM4850" s="313"/>
      <c r="AN4850" s="313"/>
      <c r="AO4850" s="313"/>
      <c r="AP4850" s="313"/>
      <c r="AQ4850" s="314"/>
      <c r="AR4850" s="315" t="str">
        <f t="shared" si="112"/>
        <v/>
      </c>
    </row>
    <row r="4851" spans="37:44" ht="30" hidden="1" customHeight="1" x14ac:dyDescent="0.25">
      <c r="AK4851" s="313"/>
      <c r="AL4851" s="313"/>
      <c r="AM4851" s="313"/>
      <c r="AN4851" s="313"/>
      <c r="AO4851" s="313"/>
      <c r="AP4851" s="313"/>
      <c r="AQ4851" s="314"/>
      <c r="AR4851" s="315" t="str">
        <f t="shared" si="112"/>
        <v/>
      </c>
    </row>
    <row r="4852" spans="37:44" ht="30" hidden="1" customHeight="1" x14ac:dyDescent="0.25">
      <c r="AK4852" s="313"/>
      <c r="AL4852" s="313"/>
      <c r="AM4852" s="313"/>
      <c r="AN4852" s="313"/>
      <c r="AO4852" s="313"/>
      <c r="AP4852" s="313"/>
      <c r="AQ4852" s="314"/>
      <c r="AR4852" s="315" t="str">
        <f t="shared" si="112"/>
        <v/>
      </c>
    </row>
    <row r="4853" spans="37:44" ht="30" hidden="1" customHeight="1" x14ac:dyDescent="0.25">
      <c r="AK4853" s="313"/>
      <c r="AL4853" s="313"/>
      <c r="AM4853" s="313"/>
      <c r="AN4853" s="313"/>
      <c r="AO4853" s="313"/>
      <c r="AP4853" s="313"/>
      <c r="AQ4853" s="314"/>
      <c r="AR4853" s="315" t="str">
        <f t="shared" si="112"/>
        <v/>
      </c>
    </row>
    <row r="4854" spans="37:44" ht="30" hidden="1" customHeight="1" x14ac:dyDescent="0.25">
      <c r="AK4854" s="313"/>
      <c r="AL4854" s="313"/>
      <c r="AM4854" s="313"/>
      <c r="AN4854" s="313"/>
      <c r="AO4854" s="313"/>
      <c r="AP4854" s="313"/>
      <c r="AQ4854" s="314"/>
      <c r="AR4854" s="315" t="str">
        <f t="shared" si="112"/>
        <v/>
      </c>
    </row>
    <row r="4855" spans="37:44" ht="30" hidden="1" customHeight="1" x14ac:dyDescent="0.25">
      <c r="AK4855" s="313"/>
      <c r="AL4855" s="313"/>
      <c r="AM4855" s="313"/>
      <c r="AN4855" s="313"/>
      <c r="AO4855" s="313"/>
      <c r="AP4855" s="313"/>
      <c r="AQ4855" s="314"/>
      <c r="AR4855" s="315" t="str">
        <f t="shared" si="112"/>
        <v/>
      </c>
    </row>
    <row r="4856" spans="37:44" ht="30" hidden="1" customHeight="1" x14ac:dyDescent="0.25">
      <c r="AK4856" s="313"/>
      <c r="AL4856" s="313"/>
      <c r="AM4856" s="313"/>
      <c r="AN4856" s="313"/>
      <c r="AO4856" s="313"/>
      <c r="AP4856" s="313"/>
      <c r="AQ4856" s="314"/>
      <c r="AR4856" s="315" t="str">
        <f t="shared" si="112"/>
        <v/>
      </c>
    </row>
    <row r="4857" spans="37:44" ht="30" hidden="1" customHeight="1" x14ac:dyDescent="0.25">
      <c r="AK4857" s="313"/>
      <c r="AL4857" s="313"/>
      <c r="AM4857" s="313"/>
      <c r="AN4857" s="313"/>
      <c r="AO4857" s="313"/>
      <c r="AP4857" s="313"/>
      <c r="AQ4857" s="314"/>
      <c r="AR4857" s="315" t="str">
        <f t="shared" si="112"/>
        <v/>
      </c>
    </row>
    <row r="4858" spans="37:44" ht="30" hidden="1" customHeight="1" x14ac:dyDescent="0.25">
      <c r="AK4858" s="313"/>
      <c r="AL4858" s="313"/>
      <c r="AM4858" s="313"/>
      <c r="AN4858" s="313"/>
      <c r="AO4858" s="313"/>
      <c r="AP4858" s="313"/>
      <c r="AQ4858" s="314"/>
      <c r="AR4858" s="315" t="str">
        <f t="shared" si="112"/>
        <v/>
      </c>
    </row>
    <row r="4859" spans="37:44" ht="30" hidden="1" customHeight="1" x14ac:dyDescent="0.25">
      <c r="AK4859" s="313"/>
      <c r="AL4859" s="313"/>
      <c r="AM4859" s="313"/>
      <c r="AN4859" s="313"/>
      <c r="AO4859" s="313"/>
      <c r="AP4859" s="313"/>
      <c r="AQ4859" s="314"/>
      <c r="AR4859" s="315" t="str">
        <f t="shared" si="112"/>
        <v/>
      </c>
    </row>
    <row r="4860" spans="37:44" ht="30" hidden="1" customHeight="1" x14ac:dyDescent="0.25">
      <c r="AK4860" s="313"/>
      <c r="AL4860" s="313"/>
      <c r="AM4860" s="313"/>
      <c r="AN4860" s="313"/>
      <c r="AO4860" s="313"/>
      <c r="AP4860" s="313"/>
      <c r="AQ4860" s="314"/>
      <c r="AR4860" s="315" t="str">
        <f t="shared" si="112"/>
        <v/>
      </c>
    </row>
    <row r="4861" spans="37:44" ht="30" hidden="1" customHeight="1" x14ac:dyDescent="0.25">
      <c r="AK4861" s="313"/>
      <c r="AL4861" s="313"/>
      <c r="AM4861" s="313"/>
      <c r="AN4861" s="313"/>
      <c r="AO4861" s="313"/>
      <c r="AP4861" s="313"/>
      <c r="AQ4861" s="314"/>
      <c r="AR4861" s="315" t="str">
        <f t="shared" si="112"/>
        <v/>
      </c>
    </row>
    <row r="4862" spans="37:44" ht="30" hidden="1" customHeight="1" x14ac:dyDescent="0.25">
      <c r="AK4862" s="313"/>
      <c r="AL4862" s="313"/>
      <c r="AM4862" s="313"/>
      <c r="AN4862" s="313"/>
      <c r="AO4862" s="313"/>
      <c r="AP4862" s="313"/>
      <c r="AQ4862" s="314"/>
      <c r="AR4862" s="315" t="str">
        <f t="shared" si="112"/>
        <v/>
      </c>
    </row>
    <row r="4863" spans="37:44" ht="30" hidden="1" customHeight="1" x14ac:dyDescent="0.25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13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 x14ac:dyDescent="0.25">
      <c r="AK4864" s="313"/>
      <c r="AL4864" s="313"/>
      <c r="AM4864" s="313"/>
      <c r="AN4864" s="313"/>
      <c r="AO4864" s="313"/>
      <c r="AP4864" s="313"/>
      <c r="AQ4864" s="314"/>
      <c r="AR4864" s="315" t="str">
        <f t="shared" si="113"/>
        <v/>
      </c>
    </row>
    <row r="4865" spans="37:44" ht="30" hidden="1" customHeight="1" x14ac:dyDescent="0.25">
      <c r="AK4865" s="313"/>
      <c r="AL4865" s="313"/>
      <c r="AM4865" s="313"/>
      <c r="AN4865" s="313"/>
      <c r="AO4865" s="313"/>
      <c r="AP4865" s="313"/>
      <c r="AQ4865" s="314"/>
      <c r="AR4865" s="315" t="str">
        <f t="shared" si="113"/>
        <v/>
      </c>
    </row>
    <row r="4866" spans="37:44" ht="30" hidden="1" customHeight="1" x14ac:dyDescent="0.25">
      <c r="AK4866" s="313"/>
      <c r="AL4866" s="313"/>
      <c r="AM4866" s="313"/>
      <c r="AN4866" s="313"/>
      <c r="AO4866" s="313"/>
      <c r="AP4866" s="313"/>
      <c r="AQ4866" s="314"/>
      <c r="AR4866" s="315" t="str">
        <f t="shared" si="113"/>
        <v/>
      </c>
    </row>
    <row r="4867" spans="37:44" ht="30" hidden="1" customHeight="1" x14ac:dyDescent="0.25">
      <c r="AK4867" s="313"/>
      <c r="AL4867" s="313"/>
      <c r="AM4867" s="313"/>
      <c r="AN4867" s="313"/>
      <c r="AO4867" s="313"/>
      <c r="AP4867" s="313"/>
      <c r="AQ4867" s="314"/>
      <c r="AR4867" s="315" t="str">
        <f t="shared" si="113"/>
        <v/>
      </c>
    </row>
    <row r="4868" spans="37:44" ht="30" hidden="1" customHeight="1" x14ac:dyDescent="0.25">
      <c r="AK4868" s="313"/>
      <c r="AL4868" s="313"/>
      <c r="AM4868" s="313"/>
      <c r="AN4868" s="313"/>
      <c r="AO4868" s="313"/>
      <c r="AP4868" s="313"/>
      <c r="AQ4868" s="314"/>
      <c r="AR4868" s="315" t="str">
        <f t="shared" si="113"/>
        <v/>
      </c>
    </row>
    <row r="4869" spans="37:44" ht="30" hidden="1" customHeight="1" x14ac:dyDescent="0.25">
      <c r="AK4869" s="313"/>
      <c r="AL4869" s="313"/>
      <c r="AM4869" s="313"/>
      <c r="AN4869" s="313"/>
      <c r="AO4869" s="313"/>
      <c r="AP4869" s="313"/>
      <c r="AQ4869" s="314"/>
      <c r="AR4869" s="315" t="str">
        <f t="shared" si="113"/>
        <v/>
      </c>
    </row>
    <row r="4870" spans="37:44" ht="30" hidden="1" customHeight="1" x14ac:dyDescent="0.25">
      <c r="AK4870" s="313"/>
      <c r="AL4870" s="313"/>
      <c r="AM4870" s="313"/>
      <c r="AN4870" s="313"/>
      <c r="AO4870" s="313"/>
      <c r="AP4870" s="313"/>
      <c r="AQ4870" s="314"/>
      <c r="AR4870" s="315" t="str">
        <f t="shared" si="113"/>
        <v/>
      </c>
    </row>
    <row r="4871" spans="37:44" ht="30" hidden="1" customHeight="1" x14ac:dyDescent="0.25">
      <c r="AK4871" s="313"/>
      <c r="AL4871" s="313"/>
      <c r="AM4871" s="313"/>
      <c r="AN4871" s="313"/>
      <c r="AO4871" s="313"/>
      <c r="AP4871" s="313"/>
      <c r="AQ4871" s="314"/>
      <c r="AR4871" s="315" t="str">
        <f t="shared" si="113"/>
        <v/>
      </c>
    </row>
    <row r="4872" spans="37:44" ht="30" hidden="1" customHeight="1" x14ac:dyDescent="0.25">
      <c r="AK4872" s="313"/>
      <c r="AL4872" s="313"/>
      <c r="AM4872" s="313"/>
      <c r="AN4872" s="313"/>
      <c r="AO4872" s="313"/>
      <c r="AP4872" s="313"/>
      <c r="AQ4872" s="314"/>
      <c r="AR4872" s="315" t="str">
        <f t="shared" si="113"/>
        <v/>
      </c>
    </row>
    <row r="4873" spans="37:44" ht="30" hidden="1" customHeight="1" x14ac:dyDescent="0.25">
      <c r="AK4873" s="313"/>
      <c r="AL4873" s="313"/>
      <c r="AM4873" s="313"/>
      <c r="AN4873" s="313"/>
      <c r="AO4873" s="313"/>
      <c r="AP4873" s="313"/>
      <c r="AQ4873" s="314"/>
      <c r="AR4873" s="315" t="str">
        <f t="shared" si="113"/>
        <v/>
      </c>
    </row>
    <row r="4874" spans="37:44" ht="30" hidden="1" customHeight="1" x14ac:dyDescent="0.25">
      <c r="AK4874" s="313"/>
      <c r="AL4874" s="313"/>
      <c r="AM4874" s="313"/>
      <c r="AN4874" s="313"/>
      <c r="AO4874" s="313"/>
      <c r="AP4874" s="313"/>
      <c r="AQ4874" s="314"/>
      <c r="AR4874" s="315" t="str">
        <f t="shared" si="113"/>
        <v/>
      </c>
    </row>
    <row r="4875" spans="37:44" ht="30" hidden="1" customHeight="1" x14ac:dyDescent="0.25">
      <c r="AK4875" s="313"/>
      <c r="AL4875" s="313"/>
      <c r="AM4875" s="313"/>
      <c r="AN4875" s="313"/>
      <c r="AO4875" s="313"/>
      <c r="AP4875" s="313"/>
      <c r="AQ4875" s="314"/>
      <c r="AR4875" s="315" t="str">
        <f t="shared" si="113"/>
        <v/>
      </c>
    </row>
    <row r="4876" spans="37:44" ht="30" hidden="1" customHeight="1" x14ac:dyDescent="0.25">
      <c r="AK4876" s="313"/>
      <c r="AL4876" s="313"/>
      <c r="AM4876" s="313"/>
      <c r="AN4876" s="313"/>
      <c r="AO4876" s="313"/>
      <c r="AP4876" s="313"/>
      <c r="AQ4876" s="314"/>
      <c r="AR4876" s="315" t="str">
        <f t="shared" si="113"/>
        <v/>
      </c>
    </row>
    <row r="4877" spans="37:44" ht="30" hidden="1" customHeight="1" x14ac:dyDescent="0.25">
      <c r="AK4877" s="313"/>
      <c r="AL4877" s="313"/>
      <c r="AM4877" s="313"/>
      <c r="AN4877" s="313"/>
      <c r="AO4877" s="313"/>
      <c r="AP4877" s="313"/>
      <c r="AQ4877" s="314"/>
      <c r="AR4877" s="315" t="str">
        <f t="shared" si="113"/>
        <v/>
      </c>
    </row>
    <row r="4878" spans="37:44" ht="30" hidden="1" customHeight="1" x14ac:dyDescent="0.25">
      <c r="AK4878" s="313"/>
      <c r="AL4878" s="313"/>
      <c r="AM4878" s="313"/>
      <c r="AN4878" s="313"/>
      <c r="AO4878" s="313"/>
      <c r="AP4878" s="313"/>
      <c r="AQ4878" s="314"/>
      <c r="AR4878" s="315" t="str">
        <f t="shared" si="113"/>
        <v/>
      </c>
    </row>
    <row r="4879" spans="37:44" ht="30" hidden="1" customHeight="1" x14ac:dyDescent="0.25">
      <c r="AK4879" s="313"/>
      <c r="AL4879" s="313"/>
      <c r="AM4879" s="313"/>
      <c r="AN4879" s="313"/>
      <c r="AO4879" s="313"/>
      <c r="AP4879" s="313"/>
      <c r="AQ4879" s="314"/>
      <c r="AR4879" s="315" t="str">
        <f t="shared" si="113"/>
        <v/>
      </c>
    </row>
    <row r="4880" spans="37:44" ht="30" hidden="1" customHeight="1" x14ac:dyDescent="0.25">
      <c r="AK4880" s="313"/>
      <c r="AL4880" s="313"/>
      <c r="AM4880" s="313"/>
      <c r="AN4880" s="313"/>
      <c r="AO4880" s="313"/>
      <c r="AP4880" s="313"/>
      <c r="AQ4880" s="314"/>
      <c r="AR4880" s="315" t="str">
        <f t="shared" si="113"/>
        <v/>
      </c>
    </row>
    <row r="4881" spans="37:44" ht="30" hidden="1" customHeight="1" x14ac:dyDescent="0.25">
      <c r="AK4881" s="313"/>
      <c r="AL4881" s="313"/>
      <c r="AM4881" s="313"/>
      <c r="AN4881" s="313"/>
      <c r="AO4881" s="313"/>
      <c r="AP4881" s="313"/>
      <c r="AQ4881" s="314"/>
      <c r="AR4881" s="315" t="str">
        <f t="shared" si="113"/>
        <v/>
      </c>
    </row>
    <row r="4882" spans="37:44" ht="30" hidden="1" customHeight="1" x14ac:dyDescent="0.25">
      <c r="AK4882" s="313"/>
      <c r="AL4882" s="313"/>
      <c r="AM4882" s="313"/>
      <c r="AN4882" s="313"/>
      <c r="AO4882" s="313"/>
      <c r="AP4882" s="313"/>
      <c r="AQ4882" s="314"/>
      <c r="AR4882" s="315" t="str">
        <f t="shared" si="113"/>
        <v/>
      </c>
    </row>
    <row r="4883" spans="37:44" ht="30" hidden="1" customHeight="1" x14ac:dyDescent="0.25">
      <c r="AK4883" s="313"/>
      <c r="AL4883" s="313"/>
      <c r="AM4883" s="313"/>
      <c r="AN4883" s="313"/>
      <c r="AO4883" s="313"/>
      <c r="AP4883" s="313"/>
      <c r="AQ4883" s="314"/>
      <c r="AR4883" s="315" t="str">
        <f t="shared" si="113"/>
        <v/>
      </c>
    </row>
    <row r="4884" spans="37:44" ht="30" hidden="1" customHeight="1" x14ac:dyDescent="0.25">
      <c r="AK4884" s="313"/>
      <c r="AL4884" s="313"/>
      <c r="AM4884" s="313"/>
      <c r="AN4884" s="313"/>
      <c r="AO4884" s="313"/>
      <c r="AP4884" s="313"/>
      <c r="AQ4884" s="314"/>
      <c r="AR4884" s="315" t="str">
        <f t="shared" si="113"/>
        <v/>
      </c>
    </row>
    <row r="4885" spans="37:44" ht="30" hidden="1" customHeight="1" x14ac:dyDescent="0.25">
      <c r="AK4885" s="313"/>
      <c r="AL4885" s="313"/>
      <c r="AM4885" s="313"/>
      <c r="AN4885" s="313"/>
      <c r="AO4885" s="313"/>
      <c r="AP4885" s="313"/>
      <c r="AQ4885" s="314"/>
      <c r="AR4885" s="315" t="str">
        <f t="shared" si="113"/>
        <v/>
      </c>
    </row>
    <row r="4886" spans="37:44" ht="30" hidden="1" customHeight="1" x14ac:dyDescent="0.25">
      <c r="AK4886" s="313"/>
      <c r="AL4886" s="313"/>
      <c r="AM4886" s="313"/>
      <c r="AN4886" s="313"/>
      <c r="AO4886" s="313"/>
      <c r="AP4886" s="313"/>
      <c r="AQ4886" s="314"/>
      <c r="AR4886" s="315" t="str">
        <f t="shared" si="113"/>
        <v/>
      </c>
    </row>
    <row r="4887" spans="37:44" ht="30" hidden="1" customHeight="1" x14ac:dyDescent="0.25">
      <c r="AK4887" s="313"/>
      <c r="AL4887" s="313"/>
      <c r="AM4887" s="313"/>
      <c r="AN4887" s="313"/>
      <c r="AO4887" s="313"/>
      <c r="AP4887" s="313"/>
      <c r="AQ4887" s="314"/>
      <c r="AR4887" s="315" t="str">
        <f t="shared" si="113"/>
        <v/>
      </c>
    </row>
    <row r="4888" spans="37:44" ht="30" hidden="1" customHeight="1" x14ac:dyDescent="0.25">
      <c r="AK4888" s="313"/>
      <c r="AL4888" s="313"/>
      <c r="AM4888" s="313"/>
      <c r="AN4888" s="313"/>
      <c r="AO4888" s="313"/>
      <c r="AP4888" s="313"/>
      <c r="AQ4888" s="314"/>
      <c r="AR4888" s="315" t="str">
        <f t="shared" si="113"/>
        <v/>
      </c>
    </row>
    <row r="4889" spans="37:44" ht="30" hidden="1" customHeight="1" x14ac:dyDescent="0.25">
      <c r="AK4889" s="313"/>
      <c r="AL4889" s="313"/>
      <c r="AM4889" s="313"/>
      <c r="AN4889" s="313"/>
      <c r="AO4889" s="313"/>
      <c r="AP4889" s="313"/>
      <c r="AQ4889" s="314"/>
      <c r="AR4889" s="315" t="str">
        <f t="shared" si="113"/>
        <v/>
      </c>
    </row>
    <row r="4890" spans="37:44" ht="30" hidden="1" customHeight="1" x14ac:dyDescent="0.25">
      <c r="AK4890" s="313"/>
      <c r="AL4890" s="313"/>
      <c r="AM4890" s="313"/>
      <c r="AN4890" s="313"/>
      <c r="AO4890" s="313"/>
      <c r="AP4890" s="313"/>
      <c r="AQ4890" s="314"/>
      <c r="AR4890" s="315" t="str">
        <f t="shared" si="113"/>
        <v/>
      </c>
    </row>
    <row r="4891" spans="37:44" ht="30" hidden="1" customHeight="1" x14ac:dyDescent="0.25">
      <c r="AK4891" s="313"/>
      <c r="AL4891" s="313"/>
      <c r="AM4891" s="313"/>
      <c r="AN4891" s="313"/>
      <c r="AO4891" s="313"/>
      <c r="AP4891" s="313"/>
      <c r="AQ4891" s="314"/>
      <c r="AR4891" s="315" t="str">
        <f t="shared" si="113"/>
        <v/>
      </c>
    </row>
    <row r="4892" spans="37:44" ht="30" hidden="1" customHeight="1" x14ac:dyDescent="0.25">
      <c r="AK4892" s="313"/>
      <c r="AL4892" s="313"/>
      <c r="AM4892" s="313"/>
      <c r="AN4892" s="313"/>
      <c r="AO4892" s="313"/>
      <c r="AP4892" s="313"/>
      <c r="AQ4892" s="314"/>
      <c r="AR4892" s="315" t="str">
        <f t="shared" si="113"/>
        <v/>
      </c>
    </row>
    <row r="4893" spans="37:44" ht="30" hidden="1" customHeight="1" x14ac:dyDescent="0.25">
      <c r="AK4893" s="313"/>
      <c r="AL4893" s="313"/>
      <c r="AM4893" s="313"/>
      <c r="AN4893" s="313"/>
      <c r="AO4893" s="313"/>
      <c r="AP4893" s="313"/>
      <c r="AQ4893" s="314"/>
      <c r="AR4893" s="315" t="str">
        <f t="shared" si="113"/>
        <v/>
      </c>
    </row>
    <row r="4894" spans="37:44" ht="30" hidden="1" customHeight="1" x14ac:dyDescent="0.25">
      <c r="AK4894" s="313"/>
      <c r="AL4894" s="313"/>
      <c r="AM4894" s="313"/>
      <c r="AN4894" s="313"/>
      <c r="AO4894" s="313"/>
      <c r="AP4894" s="313"/>
      <c r="AQ4894" s="314"/>
      <c r="AR4894" s="315" t="str">
        <f t="shared" si="113"/>
        <v/>
      </c>
    </row>
    <row r="4895" spans="37:44" ht="30" hidden="1" customHeight="1" x14ac:dyDescent="0.25">
      <c r="AK4895" s="313"/>
      <c r="AL4895" s="313"/>
      <c r="AM4895" s="313"/>
      <c r="AN4895" s="313"/>
      <c r="AO4895" s="313"/>
      <c r="AP4895" s="313"/>
      <c r="AQ4895" s="314"/>
      <c r="AR4895" s="315" t="str">
        <f t="shared" si="113"/>
        <v/>
      </c>
    </row>
    <row r="4896" spans="37:44" ht="30" hidden="1" customHeight="1" x14ac:dyDescent="0.25">
      <c r="AK4896" s="313"/>
      <c r="AL4896" s="313"/>
      <c r="AM4896" s="313"/>
      <c r="AN4896" s="313"/>
      <c r="AO4896" s="313"/>
      <c r="AP4896" s="313"/>
      <c r="AQ4896" s="314"/>
      <c r="AR4896" s="315" t="str">
        <f t="shared" si="113"/>
        <v/>
      </c>
    </row>
    <row r="4897" spans="37:44" ht="30" hidden="1" customHeight="1" x14ac:dyDescent="0.25">
      <c r="AK4897" s="313"/>
      <c r="AL4897" s="313"/>
      <c r="AM4897" s="313"/>
      <c r="AN4897" s="313"/>
      <c r="AO4897" s="313"/>
      <c r="AP4897" s="313"/>
      <c r="AQ4897" s="314"/>
      <c r="AR4897" s="315" t="str">
        <f t="shared" si="113"/>
        <v/>
      </c>
    </row>
    <row r="4898" spans="37:44" ht="30" hidden="1" customHeight="1" x14ac:dyDescent="0.25">
      <c r="AK4898" s="313"/>
      <c r="AL4898" s="313"/>
      <c r="AM4898" s="313"/>
      <c r="AN4898" s="313"/>
      <c r="AO4898" s="313"/>
      <c r="AP4898" s="313"/>
      <c r="AQ4898" s="314"/>
      <c r="AR4898" s="315" t="str">
        <f t="shared" si="113"/>
        <v/>
      </c>
    </row>
    <row r="4899" spans="37:44" ht="30" hidden="1" customHeight="1" x14ac:dyDescent="0.25">
      <c r="AK4899" s="313"/>
      <c r="AL4899" s="313"/>
      <c r="AM4899" s="313"/>
      <c r="AN4899" s="313"/>
      <c r="AO4899" s="313"/>
      <c r="AP4899" s="313"/>
      <c r="AQ4899" s="314"/>
      <c r="AR4899" s="315" t="str">
        <f t="shared" si="113"/>
        <v/>
      </c>
    </row>
    <row r="4900" spans="37:44" ht="30" hidden="1" customHeight="1" x14ac:dyDescent="0.25">
      <c r="AK4900" s="313"/>
      <c r="AL4900" s="313"/>
      <c r="AM4900" s="313"/>
      <c r="AN4900" s="313"/>
      <c r="AO4900" s="313"/>
      <c r="AP4900" s="313"/>
      <c r="AQ4900" s="314"/>
      <c r="AR4900" s="315" t="str">
        <f t="shared" si="113"/>
        <v/>
      </c>
    </row>
    <row r="4901" spans="37:44" ht="30" hidden="1" customHeight="1" x14ac:dyDescent="0.25">
      <c r="AK4901" s="313"/>
      <c r="AL4901" s="313"/>
      <c r="AM4901" s="313"/>
      <c r="AN4901" s="313"/>
      <c r="AO4901" s="313"/>
      <c r="AP4901" s="313"/>
      <c r="AQ4901" s="314"/>
      <c r="AR4901" s="315" t="str">
        <f t="shared" si="113"/>
        <v/>
      </c>
    </row>
    <row r="4902" spans="37:44" ht="30" hidden="1" customHeight="1" x14ac:dyDescent="0.25">
      <c r="AK4902" s="313"/>
      <c r="AL4902" s="313"/>
      <c r="AM4902" s="313"/>
      <c r="AN4902" s="313"/>
      <c r="AO4902" s="313"/>
      <c r="AP4902" s="313"/>
      <c r="AQ4902" s="314"/>
      <c r="AR4902" s="315" t="str">
        <f t="shared" si="113"/>
        <v/>
      </c>
    </row>
    <row r="4903" spans="37:44" ht="30" hidden="1" customHeight="1" x14ac:dyDescent="0.25">
      <c r="AK4903" s="313"/>
      <c r="AL4903" s="313"/>
      <c r="AM4903" s="313"/>
      <c r="AN4903" s="313"/>
      <c r="AO4903" s="313"/>
      <c r="AP4903" s="313"/>
      <c r="AQ4903" s="314"/>
      <c r="AR4903" s="315" t="str">
        <f t="shared" si="113"/>
        <v/>
      </c>
    </row>
    <row r="4904" spans="37:44" ht="30" hidden="1" customHeight="1" x14ac:dyDescent="0.25">
      <c r="AK4904" s="313"/>
      <c r="AL4904" s="313"/>
      <c r="AM4904" s="313"/>
      <c r="AN4904" s="313"/>
      <c r="AO4904" s="313"/>
      <c r="AP4904" s="313"/>
      <c r="AQ4904" s="314"/>
      <c r="AR4904" s="315" t="str">
        <f t="shared" si="113"/>
        <v/>
      </c>
    </row>
    <row r="4905" spans="37:44" ht="30" hidden="1" customHeight="1" x14ac:dyDescent="0.25">
      <c r="AK4905" s="313"/>
      <c r="AL4905" s="313"/>
      <c r="AM4905" s="313"/>
      <c r="AN4905" s="313"/>
      <c r="AO4905" s="313"/>
      <c r="AP4905" s="313"/>
      <c r="AQ4905" s="314"/>
      <c r="AR4905" s="315" t="str">
        <f t="shared" si="113"/>
        <v/>
      </c>
    </row>
    <row r="4906" spans="37:44" ht="30" hidden="1" customHeight="1" x14ac:dyDescent="0.25">
      <c r="AK4906" s="313"/>
      <c r="AL4906" s="313"/>
      <c r="AM4906" s="313"/>
      <c r="AN4906" s="313"/>
      <c r="AO4906" s="313"/>
      <c r="AP4906" s="313"/>
      <c r="AQ4906" s="314"/>
      <c r="AR4906" s="315" t="str">
        <f t="shared" si="113"/>
        <v/>
      </c>
    </row>
    <row r="4907" spans="37:44" ht="30" hidden="1" customHeight="1" x14ac:dyDescent="0.25">
      <c r="AK4907" s="313"/>
      <c r="AL4907" s="313"/>
      <c r="AM4907" s="313"/>
      <c r="AN4907" s="313"/>
      <c r="AO4907" s="313"/>
      <c r="AP4907" s="313"/>
      <c r="AQ4907" s="314"/>
      <c r="AR4907" s="315" t="str">
        <f t="shared" si="113"/>
        <v/>
      </c>
    </row>
    <row r="4908" spans="37:44" ht="30" hidden="1" customHeight="1" x14ac:dyDescent="0.25">
      <c r="AK4908" s="313"/>
      <c r="AL4908" s="313"/>
      <c r="AM4908" s="313"/>
      <c r="AN4908" s="313"/>
      <c r="AO4908" s="313"/>
      <c r="AP4908" s="313"/>
      <c r="AQ4908" s="314"/>
      <c r="AR4908" s="315" t="str">
        <f t="shared" si="113"/>
        <v/>
      </c>
    </row>
    <row r="4909" spans="37:44" ht="30" hidden="1" customHeight="1" x14ac:dyDescent="0.25">
      <c r="AK4909" s="313"/>
      <c r="AL4909" s="313"/>
      <c r="AM4909" s="313"/>
      <c r="AN4909" s="313"/>
      <c r="AO4909" s="313"/>
      <c r="AP4909" s="313"/>
      <c r="AQ4909" s="314"/>
      <c r="AR4909" s="315" t="str">
        <f t="shared" si="113"/>
        <v/>
      </c>
    </row>
    <row r="4910" spans="37:44" ht="30" hidden="1" customHeight="1" x14ac:dyDescent="0.25">
      <c r="AK4910" s="313"/>
      <c r="AL4910" s="313"/>
      <c r="AM4910" s="313"/>
      <c r="AN4910" s="313"/>
      <c r="AO4910" s="313"/>
      <c r="AP4910" s="313"/>
      <c r="AQ4910" s="314"/>
      <c r="AR4910" s="315" t="str">
        <f t="shared" si="113"/>
        <v/>
      </c>
    </row>
    <row r="4911" spans="37:44" ht="30" hidden="1" customHeight="1" x14ac:dyDescent="0.25">
      <c r="AK4911" s="313"/>
      <c r="AL4911" s="313"/>
      <c r="AM4911" s="313"/>
      <c r="AN4911" s="313"/>
      <c r="AO4911" s="313"/>
      <c r="AP4911" s="313"/>
      <c r="AQ4911" s="314"/>
      <c r="AR4911" s="315" t="str">
        <f t="shared" si="113"/>
        <v/>
      </c>
    </row>
    <row r="4912" spans="37:44" ht="30" hidden="1" customHeight="1" x14ac:dyDescent="0.25">
      <c r="AK4912" s="313"/>
      <c r="AL4912" s="313"/>
      <c r="AM4912" s="313"/>
      <c r="AN4912" s="313"/>
      <c r="AO4912" s="313"/>
      <c r="AP4912" s="313"/>
      <c r="AQ4912" s="314"/>
      <c r="AR4912" s="315" t="str">
        <f t="shared" si="113"/>
        <v/>
      </c>
    </row>
    <row r="4913" spans="37:44" ht="30" hidden="1" customHeight="1" x14ac:dyDescent="0.25">
      <c r="AK4913" s="313"/>
      <c r="AL4913" s="313"/>
      <c r="AM4913" s="313"/>
      <c r="AN4913" s="313"/>
      <c r="AO4913" s="313"/>
      <c r="AP4913" s="313"/>
      <c r="AQ4913" s="314"/>
      <c r="AR4913" s="315" t="str">
        <f t="shared" si="113"/>
        <v/>
      </c>
    </row>
    <row r="4914" spans="37:44" ht="30" hidden="1" customHeight="1" x14ac:dyDescent="0.25">
      <c r="AK4914" s="313"/>
      <c r="AL4914" s="313"/>
      <c r="AM4914" s="313"/>
      <c r="AN4914" s="313"/>
      <c r="AO4914" s="313"/>
      <c r="AP4914" s="313"/>
      <c r="AQ4914" s="314"/>
      <c r="AR4914" s="315" t="str">
        <f t="shared" si="113"/>
        <v/>
      </c>
    </row>
    <row r="4915" spans="37:44" ht="30" hidden="1" customHeight="1" x14ac:dyDescent="0.25">
      <c r="AK4915" s="313"/>
      <c r="AL4915" s="313"/>
      <c r="AM4915" s="313"/>
      <c r="AN4915" s="313"/>
      <c r="AO4915" s="313"/>
      <c r="AP4915" s="313"/>
      <c r="AQ4915" s="314"/>
      <c r="AR4915" s="315" t="str">
        <f t="shared" si="113"/>
        <v/>
      </c>
    </row>
    <row r="4916" spans="37:44" ht="30" hidden="1" customHeight="1" x14ac:dyDescent="0.25">
      <c r="AK4916" s="313"/>
      <c r="AL4916" s="313"/>
      <c r="AM4916" s="313"/>
      <c r="AN4916" s="313"/>
      <c r="AO4916" s="313"/>
      <c r="AP4916" s="313"/>
      <c r="AQ4916" s="314"/>
      <c r="AR4916" s="315" t="str">
        <f t="shared" si="113"/>
        <v/>
      </c>
    </row>
    <row r="4917" spans="37:44" ht="30" hidden="1" customHeight="1" x14ac:dyDescent="0.25">
      <c r="AK4917" s="313"/>
      <c r="AL4917" s="313"/>
      <c r="AM4917" s="313"/>
      <c r="AN4917" s="313"/>
      <c r="AO4917" s="313"/>
      <c r="AP4917" s="313"/>
      <c r="AQ4917" s="314"/>
      <c r="AR4917" s="315" t="str">
        <f t="shared" si="113"/>
        <v/>
      </c>
    </row>
    <row r="4918" spans="37:44" ht="30" hidden="1" customHeight="1" x14ac:dyDescent="0.25">
      <c r="AK4918" s="313"/>
      <c r="AL4918" s="313"/>
      <c r="AM4918" s="313"/>
      <c r="AN4918" s="313"/>
      <c r="AO4918" s="313"/>
      <c r="AP4918" s="313"/>
      <c r="AQ4918" s="314"/>
      <c r="AR4918" s="315" t="str">
        <f t="shared" si="113"/>
        <v/>
      </c>
    </row>
    <row r="4919" spans="37:44" ht="30" hidden="1" customHeight="1" x14ac:dyDescent="0.25">
      <c r="AK4919" s="313"/>
      <c r="AL4919" s="313"/>
      <c r="AM4919" s="313"/>
      <c r="AN4919" s="313"/>
      <c r="AO4919" s="313"/>
      <c r="AP4919" s="313"/>
      <c r="AQ4919" s="314"/>
      <c r="AR4919" s="315" t="str">
        <f t="shared" si="113"/>
        <v/>
      </c>
    </row>
    <row r="4920" spans="37:44" ht="30" hidden="1" customHeight="1" x14ac:dyDescent="0.25">
      <c r="AK4920" s="313"/>
      <c r="AL4920" s="313"/>
      <c r="AM4920" s="313"/>
      <c r="AN4920" s="313"/>
      <c r="AO4920" s="313"/>
      <c r="AP4920" s="313"/>
      <c r="AQ4920" s="314"/>
      <c r="AR4920" s="315" t="str">
        <f t="shared" si="113"/>
        <v/>
      </c>
    </row>
    <row r="4921" spans="37:44" ht="30" hidden="1" customHeight="1" x14ac:dyDescent="0.25">
      <c r="AK4921" s="313"/>
      <c r="AL4921" s="313"/>
      <c r="AM4921" s="313"/>
      <c r="AN4921" s="313"/>
      <c r="AO4921" s="313"/>
      <c r="AP4921" s="313"/>
      <c r="AQ4921" s="314"/>
      <c r="AR4921" s="315" t="str">
        <f t="shared" si="113"/>
        <v/>
      </c>
    </row>
    <row r="4922" spans="37:44" ht="30" hidden="1" customHeight="1" x14ac:dyDescent="0.25">
      <c r="AK4922" s="313"/>
      <c r="AL4922" s="313"/>
      <c r="AM4922" s="313"/>
      <c r="AN4922" s="313"/>
      <c r="AO4922" s="313"/>
      <c r="AP4922" s="313"/>
      <c r="AQ4922" s="314"/>
      <c r="AR4922" s="315" t="str">
        <f t="shared" si="113"/>
        <v/>
      </c>
    </row>
    <row r="4923" spans="37:44" ht="30" hidden="1" customHeight="1" x14ac:dyDescent="0.25">
      <c r="AK4923" s="313"/>
      <c r="AL4923" s="313"/>
      <c r="AM4923" s="313"/>
      <c r="AN4923" s="313"/>
      <c r="AO4923" s="313"/>
      <c r="AP4923" s="313"/>
      <c r="AQ4923" s="314"/>
      <c r="AR4923" s="315" t="str">
        <f t="shared" si="113"/>
        <v/>
      </c>
    </row>
    <row r="4924" spans="37:44" ht="30" hidden="1" customHeight="1" x14ac:dyDescent="0.25">
      <c r="AK4924" s="313"/>
      <c r="AL4924" s="313"/>
      <c r="AM4924" s="313"/>
      <c r="AN4924" s="313"/>
      <c r="AO4924" s="313"/>
      <c r="AP4924" s="313"/>
      <c r="AQ4924" s="314"/>
      <c r="AR4924" s="315" t="str">
        <f t="shared" si="113"/>
        <v/>
      </c>
    </row>
    <row r="4925" spans="37:44" ht="30" hidden="1" customHeight="1" x14ac:dyDescent="0.25">
      <c r="AK4925" s="313"/>
      <c r="AL4925" s="313"/>
      <c r="AM4925" s="313"/>
      <c r="AN4925" s="313"/>
      <c r="AO4925" s="313"/>
      <c r="AP4925" s="313"/>
      <c r="AQ4925" s="314"/>
      <c r="AR4925" s="315" t="str">
        <f t="shared" si="113"/>
        <v/>
      </c>
    </row>
    <row r="4926" spans="37:44" ht="30" hidden="1" customHeight="1" x14ac:dyDescent="0.25">
      <c r="AK4926" s="313"/>
      <c r="AL4926" s="313"/>
      <c r="AM4926" s="313"/>
      <c r="AN4926" s="313"/>
      <c r="AO4926" s="313"/>
      <c r="AP4926" s="313"/>
      <c r="AQ4926" s="314"/>
      <c r="AR4926" s="315" t="str">
        <f t="shared" si="113"/>
        <v/>
      </c>
    </row>
    <row r="4927" spans="37:44" ht="30" hidden="1" customHeight="1" x14ac:dyDescent="0.25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14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 x14ac:dyDescent="0.25">
      <c r="AK4928" s="313"/>
      <c r="AL4928" s="313"/>
      <c r="AM4928" s="313"/>
      <c r="AN4928" s="313"/>
      <c r="AO4928" s="313"/>
      <c r="AP4928" s="313"/>
      <c r="AQ4928" s="314"/>
      <c r="AR4928" s="315" t="str">
        <f t="shared" si="114"/>
        <v/>
      </c>
    </row>
    <row r="4929" spans="37:44" ht="30" hidden="1" customHeight="1" x14ac:dyDescent="0.25">
      <c r="AK4929" s="313"/>
      <c r="AL4929" s="313"/>
      <c r="AM4929" s="313"/>
      <c r="AN4929" s="313"/>
      <c r="AO4929" s="313"/>
      <c r="AP4929" s="313"/>
      <c r="AQ4929" s="314"/>
      <c r="AR4929" s="315" t="str">
        <f t="shared" si="114"/>
        <v/>
      </c>
    </row>
    <row r="4930" spans="37:44" ht="30" hidden="1" customHeight="1" x14ac:dyDescent="0.25">
      <c r="AK4930" s="313"/>
      <c r="AL4930" s="313"/>
      <c r="AM4930" s="313"/>
      <c r="AN4930" s="313"/>
      <c r="AO4930" s="313"/>
      <c r="AP4930" s="313"/>
      <c r="AQ4930" s="314"/>
      <c r="AR4930" s="315" t="str">
        <f t="shared" si="114"/>
        <v/>
      </c>
    </row>
    <row r="4931" spans="37:44" ht="30" hidden="1" customHeight="1" x14ac:dyDescent="0.25">
      <c r="AK4931" s="313"/>
      <c r="AL4931" s="313"/>
      <c r="AM4931" s="313"/>
      <c r="AN4931" s="313"/>
      <c r="AO4931" s="313"/>
      <c r="AP4931" s="313"/>
      <c r="AQ4931" s="314"/>
      <c r="AR4931" s="315" t="str">
        <f t="shared" si="114"/>
        <v/>
      </c>
    </row>
    <row r="4932" spans="37:44" ht="30" hidden="1" customHeight="1" x14ac:dyDescent="0.25">
      <c r="AK4932" s="313"/>
      <c r="AL4932" s="313"/>
      <c r="AM4932" s="313"/>
      <c r="AN4932" s="313"/>
      <c r="AO4932" s="313"/>
      <c r="AP4932" s="313"/>
      <c r="AQ4932" s="314"/>
      <c r="AR4932" s="315" t="str">
        <f t="shared" si="114"/>
        <v/>
      </c>
    </row>
    <row r="4933" spans="37:44" ht="30" hidden="1" customHeight="1" x14ac:dyDescent="0.25">
      <c r="AK4933" s="313"/>
      <c r="AL4933" s="313"/>
      <c r="AM4933" s="313"/>
      <c r="AN4933" s="313"/>
      <c r="AO4933" s="313"/>
      <c r="AP4933" s="313"/>
      <c r="AQ4933" s="314"/>
      <c r="AR4933" s="315" t="str">
        <f t="shared" si="114"/>
        <v/>
      </c>
    </row>
    <row r="4934" spans="37:44" ht="30" hidden="1" customHeight="1" x14ac:dyDescent="0.25">
      <c r="AK4934" s="313"/>
      <c r="AL4934" s="313"/>
      <c r="AM4934" s="313"/>
      <c r="AN4934" s="313"/>
      <c r="AO4934" s="313"/>
      <c r="AP4934" s="313"/>
      <c r="AQ4934" s="314"/>
      <c r="AR4934" s="315" t="str">
        <f t="shared" si="114"/>
        <v/>
      </c>
    </row>
    <row r="4935" spans="37:44" ht="30" hidden="1" customHeight="1" x14ac:dyDescent="0.25">
      <c r="AK4935" s="313"/>
      <c r="AL4935" s="313"/>
      <c r="AM4935" s="313"/>
      <c r="AN4935" s="313"/>
      <c r="AO4935" s="313"/>
      <c r="AP4935" s="313"/>
      <c r="AQ4935" s="314"/>
      <c r="AR4935" s="315" t="str">
        <f t="shared" si="114"/>
        <v/>
      </c>
    </row>
    <row r="4936" spans="37:44" ht="30" hidden="1" customHeight="1" x14ac:dyDescent="0.25">
      <c r="AK4936" s="313"/>
      <c r="AL4936" s="313"/>
      <c r="AM4936" s="313"/>
      <c r="AN4936" s="313"/>
      <c r="AO4936" s="313"/>
      <c r="AP4936" s="313"/>
      <c r="AQ4936" s="314"/>
      <c r="AR4936" s="315" t="str">
        <f t="shared" si="114"/>
        <v/>
      </c>
    </row>
    <row r="4937" spans="37:44" ht="30" hidden="1" customHeight="1" x14ac:dyDescent="0.25">
      <c r="AK4937" s="313"/>
      <c r="AL4937" s="313"/>
      <c r="AM4937" s="313"/>
      <c r="AN4937" s="313"/>
      <c r="AO4937" s="313"/>
      <c r="AP4937" s="313"/>
      <c r="AQ4937" s="314"/>
      <c r="AR4937" s="315" t="str">
        <f t="shared" si="114"/>
        <v/>
      </c>
    </row>
    <row r="4938" spans="37:44" ht="30" hidden="1" customHeight="1" x14ac:dyDescent="0.25">
      <c r="AK4938" s="313"/>
      <c r="AL4938" s="313"/>
      <c r="AM4938" s="313"/>
      <c r="AN4938" s="313"/>
      <c r="AO4938" s="313"/>
      <c r="AP4938" s="313"/>
      <c r="AQ4938" s="314"/>
      <c r="AR4938" s="315" t="str">
        <f t="shared" si="114"/>
        <v/>
      </c>
    </row>
    <row r="4939" spans="37:44" ht="30" hidden="1" customHeight="1" x14ac:dyDescent="0.25">
      <c r="AK4939" s="313"/>
      <c r="AL4939" s="313"/>
      <c r="AM4939" s="313"/>
      <c r="AN4939" s="313"/>
      <c r="AO4939" s="313"/>
      <c r="AP4939" s="313"/>
      <c r="AQ4939" s="314"/>
      <c r="AR4939" s="315" t="str">
        <f t="shared" si="114"/>
        <v/>
      </c>
    </row>
    <row r="4940" spans="37:44" ht="30" hidden="1" customHeight="1" x14ac:dyDescent="0.25">
      <c r="AK4940" s="313"/>
      <c r="AL4940" s="313"/>
      <c r="AM4940" s="313"/>
      <c r="AN4940" s="313"/>
      <c r="AO4940" s="313"/>
      <c r="AP4940" s="313"/>
      <c r="AQ4940" s="314"/>
      <c r="AR4940" s="315" t="str">
        <f t="shared" si="114"/>
        <v/>
      </c>
    </row>
    <row r="4941" spans="37:44" ht="30" hidden="1" customHeight="1" x14ac:dyDescent="0.25">
      <c r="AK4941" s="313"/>
      <c r="AL4941" s="313"/>
      <c r="AM4941" s="313"/>
      <c r="AN4941" s="313"/>
      <c r="AO4941" s="313"/>
      <c r="AP4941" s="313"/>
      <c r="AQ4941" s="314"/>
      <c r="AR4941" s="315" t="str">
        <f t="shared" si="114"/>
        <v/>
      </c>
    </row>
    <row r="4942" spans="37:44" ht="30" hidden="1" customHeight="1" x14ac:dyDescent="0.25">
      <c r="AK4942" s="313"/>
      <c r="AL4942" s="313"/>
      <c r="AM4942" s="313"/>
      <c r="AN4942" s="313"/>
      <c r="AO4942" s="313"/>
      <c r="AP4942" s="313"/>
      <c r="AQ4942" s="314"/>
      <c r="AR4942" s="315" t="str">
        <f t="shared" si="114"/>
        <v/>
      </c>
    </row>
    <row r="4943" spans="37:44" ht="30" hidden="1" customHeight="1" x14ac:dyDescent="0.25">
      <c r="AK4943" s="313"/>
      <c r="AL4943" s="313"/>
      <c r="AM4943" s="313"/>
      <c r="AN4943" s="313"/>
      <c r="AO4943" s="313"/>
      <c r="AP4943" s="313"/>
      <c r="AQ4943" s="314"/>
      <c r="AR4943" s="315" t="str">
        <f t="shared" si="114"/>
        <v/>
      </c>
    </row>
    <row r="4944" spans="37:44" ht="30" hidden="1" customHeight="1" x14ac:dyDescent="0.25">
      <c r="AK4944" s="313"/>
      <c r="AL4944" s="313"/>
      <c r="AM4944" s="313"/>
      <c r="AN4944" s="313"/>
      <c r="AO4944" s="313"/>
      <c r="AP4944" s="313"/>
      <c r="AQ4944" s="314"/>
      <c r="AR4944" s="315" t="str">
        <f t="shared" si="114"/>
        <v/>
      </c>
    </row>
    <row r="4945" spans="37:44" ht="30" hidden="1" customHeight="1" x14ac:dyDescent="0.25">
      <c r="AK4945" s="313"/>
      <c r="AL4945" s="313"/>
      <c r="AM4945" s="313"/>
      <c r="AN4945" s="313"/>
      <c r="AO4945" s="313"/>
      <c r="AP4945" s="313"/>
      <c r="AQ4945" s="314"/>
      <c r="AR4945" s="315" t="str">
        <f t="shared" si="114"/>
        <v/>
      </c>
    </row>
    <row r="4946" spans="37:44" ht="30" hidden="1" customHeight="1" x14ac:dyDescent="0.25">
      <c r="AK4946" s="313"/>
      <c r="AL4946" s="313"/>
      <c r="AM4946" s="313"/>
      <c r="AN4946" s="313"/>
      <c r="AO4946" s="313"/>
      <c r="AP4946" s="313"/>
      <c r="AQ4946" s="314"/>
      <c r="AR4946" s="315" t="str">
        <f t="shared" si="114"/>
        <v/>
      </c>
    </row>
    <row r="4947" spans="37:44" ht="30" hidden="1" customHeight="1" x14ac:dyDescent="0.25">
      <c r="AK4947" s="313"/>
      <c r="AL4947" s="313"/>
      <c r="AM4947" s="313"/>
      <c r="AN4947" s="313"/>
      <c r="AO4947" s="313"/>
      <c r="AP4947" s="313"/>
      <c r="AQ4947" s="314"/>
      <c r="AR4947" s="315" t="str">
        <f t="shared" si="114"/>
        <v/>
      </c>
    </row>
    <row r="4948" spans="37:44" ht="30" hidden="1" customHeight="1" x14ac:dyDescent="0.25">
      <c r="AK4948" s="313"/>
      <c r="AL4948" s="313"/>
      <c r="AM4948" s="313"/>
      <c r="AN4948" s="313"/>
      <c r="AO4948" s="313"/>
      <c r="AP4948" s="313"/>
      <c r="AQ4948" s="314"/>
      <c r="AR4948" s="315" t="str">
        <f t="shared" si="114"/>
        <v/>
      </c>
    </row>
    <row r="4949" spans="37:44" ht="30" hidden="1" customHeight="1" x14ac:dyDescent="0.25">
      <c r="AK4949" s="313"/>
      <c r="AL4949" s="313"/>
      <c r="AM4949" s="313"/>
      <c r="AN4949" s="313"/>
      <c r="AO4949" s="313"/>
      <c r="AP4949" s="313"/>
      <c r="AQ4949" s="314"/>
      <c r="AR4949" s="315" t="str">
        <f t="shared" si="114"/>
        <v/>
      </c>
    </row>
    <row r="4950" spans="37:44" ht="30" hidden="1" customHeight="1" x14ac:dyDescent="0.25">
      <c r="AK4950" s="313"/>
      <c r="AL4950" s="313"/>
      <c r="AM4950" s="313"/>
      <c r="AN4950" s="313"/>
      <c r="AO4950" s="313"/>
      <c r="AP4950" s="313"/>
      <c r="AQ4950" s="314"/>
      <c r="AR4950" s="315" t="str">
        <f t="shared" si="114"/>
        <v/>
      </c>
    </row>
    <row r="4951" spans="37:44" ht="30" hidden="1" customHeight="1" x14ac:dyDescent="0.25">
      <c r="AK4951" s="313"/>
      <c r="AL4951" s="313"/>
      <c r="AM4951" s="313"/>
      <c r="AN4951" s="313"/>
      <c r="AO4951" s="313"/>
      <c r="AP4951" s="313"/>
      <c r="AQ4951" s="314"/>
      <c r="AR4951" s="315" t="str">
        <f t="shared" si="114"/>
        <v/>
      </c>
    </row>
    <row r="4952" spans="37:44" ht="30" hidden="1" customHeight="1" x14ac:dyDescent="0.25">
      <c r="AK4952" s="313"/>
      <c r="AL4952" s="313"/>
      <c r="AM4952" s="313"/>
      <c r="AN4952" s="313"/>
      <c r="AO4952" s="313"/>
      <c r="AP4952" s="313"/>
      <c r="AQ4952" s="314"/>
      <c r="AR4952" s="315" t="str">
        <f t="shared" si="114"/>
        <v/>
      </c>
    </row>
    <row r="4953" spans="37:44" ht="30" hidden="1" customHeight="1" x14ac:dyDescent="0.25">
      <c r="AK4953" s="313"/>
      <c r="AL4953" s="313"/>
      <c r="AM4953" s="313"/>
      <c r="AN4953" s="313"/>
      <c r="AO4953" s="313"/>
      <c r="AP4953" s="313"/>
      <c r="AQ4953" s="314"/>
      <c r="AR4953" s="315" t="str">
        <f t="shared" si="114"/>
        <v/>
      </c>
    </row>
    <row r="4954" spans="37:44" ht="30" hidden="1" customHeight="1" x14ac:dyDescent="0.25">
      <c r="AK4954" s="313"/>
      <c r="AL4954" s="313"/>
      <c r="AM4954" s="313"/>
      <c r="AN4954" s="313"/>
      <c r="AO4954" s="313"/>
      <c r="AP4954" s="313"/>
      <c r="AQ4954" s="314"/>
      <c r="AR4954" s="315" t="str">
        <f t="shared" si="114"/>
        <v/>
      </c>
    </row>
    <row r="4955" spans="37:44" ht="30" hidden="1" customHeight="1" x14ac:dyDescent="0.25">
      <c r="AK4955" s="313"/>
      <c r="AL4955" s="313"/>
      <c r="AM4955" s="313"/>
      <c r="AN4955" s="313"/>
      <c r="AO4955" s="313"/>
      <c r="AP4955" s="313"/>
      <c r="AQ4955" s="314"/>
      <c r="AR4955" s="315" t="str">
        <f t="shared" si="114"/>
        <v/>
      </c>
    </row>
    <row r="4956" spans="37:44" ht="30" hidden="1" customHeight="1" x14ac:dyDescent="0.25">
      <c r="AK4956" s="313"/>
      <c r="AL4956" s="313"/>
      <c r="AM4956" s="313"/>
      <c r="AN4956" s="313"/>
      <c r="AO4956" s="313"/>
      <c r="AP4956" s="313"/>
      <c r="AQ4956" s="314"/>
      <c r="AR4956" s="315" t="str">
        <f t="shared" si="114"/>
        <v/>
      </c>
    </row>
    <row r="4957" spans="37:44" ht="30" hidden="1" customHeight="1" x14ac:dyDescent="0.25">
      <c r="AK4957" s="313"/>
      <c r="AL4957" s="313"/>
      <c r="AM4957" s="313"/>
      <c r="AN4957" s="313"/>
      <c r="AO4957" s="313"/>
      <c r="AP4957" s="313"/>
      <c r="AQ4957" s="314"/>
      <c r="AR4957" s="315" t="str">
        <f t="shared" si="114"/>
        <v/>
      </c>
    </row>
    <row r="4958" spans="37:44" ht="30" hidden="1" customHeight="1" x14ac:dyDescent="0.25">
      <c r="AK4958" s="313"/>
      <c r="AL4958" s="313"/>
      <c r="AM4958" s="313"/>
      <c r="AN4958" s="313"/>
      <c r="AO4958" s="313"/>
      <c r="AP4958" s="313"/>
      <c r="AQ4958" s="314"/>
      <c r="AR4958" s="315" t="str">
        <f t="shared" si="114"/>
        <v/>
      </c>
    </row>
    <row r="4959" spans="37:44" ht="30" hidden="1" customHeight="1" x14ac:dyDescent="0.25">
      <c r="AK4959" s="313"/>
      <c r="AL4959" s="313"/>
      <c r="AM4959" s="313"/>
      <c r="AN4959" s="313"/>
      <c r="AO4959" s="313"/>
      <c r="AP4959" s="313"/>
      <c r="AQ4959" s="314"/>
      <c r="AR4959" s="315" t="str">
        <f t="shared" si="114"/>
        <v/>
      </c>
    </row>
    <row r="4960" spans="37:44" ht="30" hidden="1" customHeight="1" x14ac:dyDescent="0.25">
      <c r="AK4960" s="313"/>
      <c r="AL4960" s="313"/>
      <c r="AM4960" s="313"/>
      <c r="AN4960" s="313"/>
      <c r="AO4960" s="313"/>
      <c r="AP4960" s="313"/>
      <c r="AQ4960" s="314"/>
      <c r="AR4960" s="315" t="str">
        <f t="shared" si="114"/>
        <v/>
      </c>
    </row>
    <row r="4961" spans="37:44" ht="30" hidden="1" customHeight="1" x14ac:dyDescent="0.25">
      <c r="AK4961" s="313"/>
      <c r="AL4961" s="313"/>
      <c r="AM4961" s="313"/>
      <c r="AN4961" s="313"/>
      <c r="AO4961" s="313"/>
      <c r="AP4961" s="313"/>
      <c r="AQ4961" s="314"/>
      <c r="AR4961" s="315" t="str">
        <f t="shared" si="114"/>
        <v/>
      </c>
    </row>
    <row r="4962" spans="37:44" ht="30" hidden="1" customHeight="1" x14ac:dyDescent="0.25">
      <c r="AK4962" s="313"/>
      <c r="AL4962" s="313"/>
      <c r="AM4962" s="313"/>
      <c r="AN4962" s="313"/>
      <c r="AO4962" s="313"/>
      <c r="AP4962" s="313"/>
      <c r="AQ4962" s="314"/>
      <c r="AR4962" s="315" t="str">
        <f t="shared" si="114"/>
        <v/>
      </c>
    </row>
    <row r="4963" spans="37:44" ht="30" hidden="1" customHeight="1" x14ac:dyDescent="0.25">
      <c r="AK4963" s="313"/>
      <c r="AL4963" s="313"/>
      <c r="AM4963" s="313"/>
      <c r="AN4963" s="313"/>
      <c r="AO4963" s="313"/>
      <c r="AP4963" s="313"/>
      <c r="AQ4963" s="314"/>
      <c r="AR4963" s="315" t="str">
        <f t="shared" si="114"/>
        <v/>
      </c>
    </row>
    <row r="4964" spans="37:44" ht="30" hidden="1" customHeight="1" x14ac:dyDescent="0.25">
      <c r="AK4964" s="313"/>
      <c r="AL4964" s="313"/>
      <c r="AM4964" s="313"/>
      <c r="AN4964" s="313"/>
      <c r="AO4964" s="313"/>
      <c r="AP4964" s="313"/>
      <c r="AQ4964" s="314"/>
      <c r="AR4964" s="315" t="str">
        <f t="shared" si="114"/>
        <v/>
      </c>
    </row>
    <row r="4965" spans="37:44" ht="30" hidden="1" customHeight="1" x14ac:dyDescent="0.25">
      <c r="AK4965" s="313"/>
      <c r="AL4965" s="313"/>
      <c r="AM4965" s="313"/>
      <c r="AN4965" s="313"/>
      <c r="AO4965" s="313"/>
      <c r="AP4965" s="313"/>
      <c r="AQ4965" s="314"/>
      <c r="AR4965" s="315" t="str">
        <f t="shared" si="114"/>
        <v/>
      </c>
    </row>
    <row r="4966" spans="37:44" ht="30" hidden="1" customHeight="1" x14ac:dyDescent="0.25">
      <c r="AK4966" s="313"/>
      <c r="AL4966" s="313"/>
      <c r="AM4966" s="313"/>
      <c r="AN4966" s="313"/>
      <c r="AO4966" s="313"/>
      <c r="AP4966" s="313"/>
      <c r="AQ4966" s="314"/>
      <c r="AR4966" s="315" t="str">
        <f t="shared" si="114"/>
        <v/>
      </c>
    </row>
    <row r="4967" spans="37:44" ht="30" hidden="1" customHeight="1" x14ac:dyDescent="0.25">
      <c r="AK4967" s="313"/>
      <c r="AL4967" s="313"/>
      <c r="AM4967" s="313"/>
      <c r="AN4967" s="313"/>
      <c r="AO4967" s="313"/>
      <c r="AP4967" s="313"/>
      <c r="AQ4967" s="314"/>
      <c r="AR4967" s="315" t="str">
        <f t="shared" si="114"/>
        <v/>
      </c>
    </row>
    <row r="4968" spans="37:44" ht="30" hidden="1" customHeight="1" x14ac:dyDescent="0.25">
      <c r="AK4968" s="313"/>
      <c r="AL4968" s="313"/>
      <c r="AM4968" s="313"/>
      <c r="AN4968" s="313"/>
      <c r="AO4968" s="313"/>
      <c r="AP4968" s="313"/>
      <c r="AQ4968" s="314"/>
      <c r="AR4968" s="315" t="str">
        <f t="shared" si="114"/>
        <v/>
      </c>
    </row>
    <row r="4969" spans="37:44" ht="30" hidden="1" customHeight="1" x14ac:dyDescent="0.25">
      <c r="AK4969" s="313"/>
      <c r="AL4969" s="313"/>
      <c r="AM4969" s="313"/>
      <c r="AN4969" s="313"/>
      <c r="AO4969" s="313"/>
      <c r="AP4969" s="313"/>
      <c r="AQ4969" s="314"/>
      <c r="AR4969" s="315" t="str">
        <f t="shared" si="114"/>
        <v/>
      </c>
    </row>
    <row r="4970" spans="37:44" ht="30" hidden="1" customHeight="1" x14ac:dyDescent="0.25">
      <c r="AK4970" s="313"/>
      <c r="AL4970" s="313"/>
      <c r="AM4970" s="313"/>
      <c r="AN4970" s="313"/>
      <c r="AO4970" s="313"/>
      <c r="AP4970" s="313"/>
      <c r="AQ4970" s="314"/>
      <c r="AR4970" s="315" t="str">
        <f t="shared" si="114"/>
        <v/>
      </c>
    </row>
    <row r="4971" spans="37:44" ht="30" hidden="1" customHeight="1" x14ac:dyDescent="0.25">
      <c r="AK4971" s="313"/>
      <c r="AL4971" s="313"/>
      <c r="AM4971" s="313"/>
      <c r="AN4971" s="313"/>
      <c r="AO4971" s="313"/>
      <c r="AP4971" s="313"/>
      <c r="AQ4971" s="314"/>
      <c r="AR4971" s="315" t="str">
        <f t="shared" si="114"/>
        <v/>
      </c>
    </row>
    <row r="4972" spans="37:44" ht="30" hidden="1" customHeight="1" x14ac:dyDescent="0.25">
      <c r="AK4972" s="313"/>
      <c r="AL4972" s="313"/>
      <c r="AM4972" s="313"/>
      <c r="AN4972" s="313"/>
      <c r="AO4972" s="313"/>
      <c r="AP4972" s="313"/>
      <c r="AQ4972" s="314"/>
      <c r="AR4972" s="315" t="str">
        <f t="shared" si="114"/>
        <v/>
      </c>
    </row>
    <row r="4973" spans="37:44" ht="30" hidden="1" customHeight="1" x14ac:dyDescent="0.25">
      <c r="AK4973" s="313"/>
      <c r="AL4973" s="313"/>
      <c r="AM4973" s="313"/>
      <c r="AN4973" s="313"/>
      <c r="AO4973" s="313"/>
      <c r="AP4973" s="313"/>
      <c r="AQ4973" s="314"/>
      <c r="AR4973" s="315" t="str">
        <f t="shared" si="114"/>
        <v/>
      </c>
    </row>
    <row r="4974" spans="37:44" ht="30" hidden="1" customHeight="1" x14ac:dyDescent="0.25">
      <c r="AK4974" s="313"/>
      <c r="AL4974" s="313"/>
      <c r="AM4974" s="313"/>
      <c r="AN4974" s="313"/>
      <c r="AO4974" s="313"/>
      <c r="AP4974" s="313"/>
      <c r="AQ4974" s="314"/>
      <c r="AR4974" s="315" t="str">
        <f t="shared" si="114"/>
        <v/>
      </c>
    </row>
    <row r="4975" spans="37:44" ht="30" hidden="1" customHeight="1" x14ac:dyDescent="0.25">
      <c r="AK4975" s="313"/>
      <c r="AL4975" s="313"/>
      <c r="AM4975" s="313"/>
      <c r="AN4975" s="313"/>
      <c r="AO4975" s="313"/>
      <c r="AP4975" s="313"/>
      <c r="AQ4975" s="314"/>
      <c r="AR4975" s="315" t="str">
        <f t="shared" si="114"/>
        <v/>
      </c>
    </row>
    <row r="4976" spans="37:44" ht="30" hidden="1" customHeight="1" x14ac:dyDescent="0.25">
      <c r="AK4976" s="313"/>
      <c r="AL4976" s="313"/>
      <c r="AM4976" s="313"/>
      <c r="AN4976" s="313"/>
      <c r="AO4976" s="313"/>
      <c r="AP4976" s="313"/>
      <c r="AQ4976" s="314"/>
      <c r="AR4976" s="315" t="str">
        <f t="shared" si="114"/>
        <v/>
      </c>
    </row>
    <row r="4977" spans="37:44" ht="30" hidden="1" customHeight="1" x14ac:dyDescent="0.25">
      <c r="AK4977" s="313"/>
      <c r="AL4977" s="313"/>
      <c r="AM4977" s="313"/>
      <c r="AN4977" s="313"/>
      <c r="AO4977" s="313"/>
      <c r="AP4977" s="313"/>
      <c r="AQ4977" s="314"/>
      <c r="AR4977" s="315" t="str">
        <f t="shared" si="114"/>
        <v/>
      </c>
    </row>
    <row r="4978" spans="37:44" ht="30" hidden="1" customHeight="1" x14ac:dyDescent="0.25">
      <c r="AK4978" s="313"/>
      <c r="AL4978" s="313"/>
      <c r="AM4978" s="313"/>
      <c r="AN4978" s="313"/>
      <c r="AO4978" s="313"/>
      <c r="AP4978" s="313"/>
      <c r="AQ4978" s="314"/>
      <c r="AR4978" s="315" t="str">
        <f t="shared" si="114"/>
        <v/>
      </c>
    </row>
    <row r="4979" spans="37:44" ht="30" hidden="1" customHeight="1" x14ac:dyDescent="0.25">
      <c r="AK4979" s="313"/>
      <c r="AL4979" s="313"/>
      <c r="AM4979" s="313"/>
      <c r="AN4979" s="313"/>
      <c r="AO4979" s="313"/>
      <c r="AP4979" s="313"/>
      <c r="AQ4979" s="314"/>
      <c r="AR4979" s="315" t="str">
        <f t="shared" si="114"/>
        <v/>
      </c>
    </row>
    <row r="4980" spans="37:44" ht="30" hidden="1" customHeight="1" x14ac:dyDescent="0.25">
      <c r="AK4980" s="313"/>
      <c r="AL4980" s="313"/>
      <c r="AM4980" s="313"/>
      <c r="AN4980" s="313"/>
      <c r="AO4980" s="313"/>
      <c r="AP4980" s="313"/>
      <c r="AQ4980" s="314"/>
      <c r="AR4980" s="315" t="str">
        <f t="shared" si="114"/>
        <v/>
      </c>
    </row>
    <row r="4981" spans="37:44" ht="30" hidden="1" customHeight="1" x14ac:dyDescent="0.25">
      <c r="AK4981" s="313"/>
      <c r="AL4981" s="313"/>
      <c r="AM4981" s="313"/>
      <c r="AN4981" s="313"/>
      <c r="AO4981" s="313"/>
      <c r="AP4981" s="313"/>
      <c r="AQ4981" s="314"/>
      <c r="AR4981" s="315" t="str">
        <f t="shared" si="114"/>
        <v/>
      </c>
    </row>
    <row r="4982" spans="37:44" ht="30" hidden="1" customHeight="1" x14ac:dyDescent="0.25">
      <c r="AK4982" s="313"/>
      <c r="AL4982" s="313"/>
      <c r="AM4982" s="313"/>
      <c r="AN4982" s="313"/>
      <c r="AO4982" s="313"/>
      <c r="AP4982" s="313"/>
      <c r="AQ4982" s="314"/>
      <c r="AR4982" s="315" t="str">
        <f t="shared" si="114"/>
        <v/>
      </c>
    </row>
    <row r="4983" spans="37:44" ht="30" hidden="1" customHeight="1" x14ac:dyDescent="0.25">
      <c r="AK4983" s="313"/>
      <c r="AL4983" s="313"/>
      <c r="AM4983" s="313"/>
      <c r="AN4983" s="313"/>
      <c r="AO4983" s="313"/>
      <c r="AP4983" s="313"/>
      <c r="AQ4983" s="314"/>
      <c r="AR4983" s="315" t="str">
        <f t="shared" si="114"/>
        <v/>
      </c>
    </row>
    <row r="4984" spans="37:44" ht="30" hidden="1" customHeight="1" x14ac:dyDescent="0.25">
      <c r="AK4984" s="313"/>
      <c r="AL4984" s="313"/>
      <c r="AM4984" s="313"/>
      <c r="AN4984" s="313"/>
      <c r="AO4984" s="313"/>
      <c r="AP4984" s="313"/>
      <c r="AQ4984" s="314"/>
      <c r="AR4984" s="315" t="str">
        <f t="shared" si="114"/>
        <v/>
      </c>
    </row>
    <row r="4985" spans="37:44" ht="30" hidden="1" customHeight="1" x14ac:dyDescent="0.25">
      <c r="AK4985" s="313"/>
      <c r="AL4985" s="313"/>
      <c r="AM4985" s="313"/>
      <c r="AN4985" s="313"/>
      <c r="AO4985" s="313"/>
      <c r="AP4985" s="313"/>
      <c r="AQ4985" s="314"/>
      <c r="AR4985" s="315" t="str">
        <f t="shared" si="114"/>
        <v/>
      </c>
    </row>
    <row r="4986" spans="37:44" ht="30" hidden="1" customHeight="1" x14ac:dyDescent="0.25">
      <c r="AK4986" s="313"/>
      <c r="AL4986" s="313"/>
      <c r="AM4986" s="313"/>
      <c r="AN4986" s="313"/>
      <c r="AO4986" s="313"/>
      <c r="AP4986" s="313"/>
      <c r="AQ4986" s="314"/>
      <c r="AR4986" s="315" t="str">
        <f t="shared" si="114"/>
        <v/>
      </c>
    </row>
    <row r="4987" spans="37:44" ht="30" hidden="1" customHeight="1" x14ac:dyDescent="0.25">
      <c r="AK4987" s="313"/>
      <c r="AL4987" s="313"/>
      <c r="AM4987" s="313"/>
      <c r="AN4987" s="313"/>
      <c r="AO4987" s="313"/>
      <c r="AP4987" s="313"/>
      <c r="AQ4987" s="314"/>
      <c r="AR4987" s="315" t="str">
        <f t="shared" si="114"/>
        <v/>
      </c>
    </row>
    <row r="4988" spans="37:44" ht="30" hidden="1" customHeight="1" x14ac:dyDescent="0.25">
      <c r="AK4988" s="313"/>
      <c r="AL4988" s="313"/>
      <c r="AM4988" s="313"/>
      <c r="AN4988" s="313"/>
      <c r="AO4988" s="313"/>
      <c r="AP4988" s="313"/>
      <c r="AQ4988" s="314"/>
      <c r="AR4988" s="315" t="str">
        <f t="shared" si="114"/>
        <v/>
      </c>
    </row>
    <row r="4989" spans="37:44" ht="30" hidden="1" customHeight="1" x14ac:dyDescent="0.25">
      <c r="AK4989" s="313"/>
      <c r="AL4989" s="313"/>
      <c r="AM4989" s="313"/>
      <c r="AN4989" s="313"/>
      <c r="AO4989" s="313"/>
      <c r="AP4989" s="313"/>
      <c r="AQ4989" s="314"/>
      <c r="AR4989" s="315" t="str">
        <f t="shared" si="114"/>
        <v/>
      </c>
    </row>
    <row r="4990" spans="37:44" ht="30" hidden="1" customHeight="1" x14ac:dyDescent="0.25">
      <c r="AK4990" s="313"/>
      <c r="AL4990" s="313"/>
      <c r="AM4990" s="313"/>
      <c r="AN4990" s="313"/>
      <c r="AO4990" s="313"/>
      <c r="AP4990" s="313"/>
      <c r="AQ4990" s="314"/>
      <c r="AR4990" s="315" t="str">
        <f t="shared" si="114"/>
        <v/>
      </c>
    </row>
    <row r="4991" spans="37:44" ht="30" hidden="1" customHeight="1" x14ac:dyDescent="0.25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15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 x14ac:dyDescent="0.25">
      <c r="AK4992" s="313"/>
      <c r="AL4992" s="313"/>
      <c r="AM4992" s="313"/>
      <c r="AN4992" s="313"/>
      <c r="AO4992" s="313"/>
      <c r="AP4992" s="313"/>
      <c r="AQ4992" s="314"/>
      <c r="AR4992" s="315" t="str">
        <f t="shared" si="115"/>
        <v/>
      </c>
    </row>
    <row r="4993" spans="37:44" ht="30" hidden="1" customHeight="1" x14ac:dyDescent="0.25">
      <c r="AK4993" s="313"/>
      <c r="AL4993" s="313"/>
      <c r="AM4993" s="313"/>
      <c r="AN4993" s="313"/>
      <c r="AO4993" s="313"/>
      <c r="AP4993" s="313"/>
      <c r="AQ4993" s="314"/>
      <c r="AR4993" s="315" t="str">
        <f t="shared" si="115"/>
        <v/>
      </c>
    </row>
    <row r="4994" spans="37:44" ht="30" hidden="1" customHeight="1" x14ac:dyDescent="0.25">
      <c r="AK4994" s="313"/>
      <c r="AL4994" s="313"/>
      <c r="AM4994" s="313"/>
      <c r="AN4994" s="313"/>
      <c r="AO4994" s="313"/>
      <c r="AP4994" s="313"/>
      <c r="AQ4994" s="314"/>
      <c r="AR4994" s="315" t="str">
        <f t="shared" si="115"/>
        <v/>
      </c>
    </row>
    <row r="4995" spans="37:44" ht="30" hidden="1" customHeight="1" x14ac:dyDescent="0.25">
      <c r="AK4995" s="313"/>
      <c r="AL4995" s="313"/>
      <c r="AM4995" s="313"/>
      <c r="AN4995" s="313"/>
      <c r="AO4995" s="313"/>
      <c r="AP4995" s="313"/>
      <c r="AQ4995" s="314"/>
      <c r="AR4995" s="315" t="str">
        <f t="shared" si="115"/>
        <v/>
      </c>
    </row>
    <row r="4996" spans="37:44" ht="30" hidden="1" customHeight="1" x14ac:dyDescent="0.25">
      <c r="AK4996" s="313"/>
      <c r="AL4996" s="313"/>
      <c r="AM4996" s="313"/>
      <c r="AN4996" s="313"/>
      <c r="AO4996" s="313"/>
      <c r="AP4996" s="313"/>
      <c r="AQ4996" s="314"/>
      <c r="AR4996" s="315" t="str">
        <f t="shared" si="115"/>
        <v/>
      </c>
    </row>
    <row r="4997" spans="37:44" ht="30" hidden="1" customHeight="1" x14ac:dyDescent="0.25">
      <c r="AK4997" s="313"/>
      <c r="AL4997" s="313"/>
      <c r="AM4997" s="313"/>
      <c r="AN4997" s="313"/>
      <c r="AO4997" s="313"/>
      <c r="AP4997" s="313"/>
      <c r="AQ4997" s="314"/>
      <c r="AR4997" s="315" t="str">
        <f t="shared" si="115"/>
        <v/>
      </c>
    </row>
    <row r="4998" spans="37:44" ht="30" hidden="1" customHeight="1" x14ac:dyDescent="0.25">
      <c r="AK4998" s="313"/>
      <c r="AL4998" s="313"/>
      <c r="AM4998" s="313"/>
      <c r="AN4998" s="313"/>
      <c r="AO4998" s="313"/>
      <c r="AP4998" s="313"/>
      <c r="AQ4998" s="314"/>
      <c r="AR4998" s="315" t="str">
        <f t="shared" si="115"/>
        <v/>
      </c>
    </row>
    <row r="4999" spans="37:44" ht="30" hidden="1" customHeight="1" x14ac:dyDescent="0.25">
      <c r="AK4999" s="313"/>
      <c r="AL4999" s="313"/>
      <c r="AM4999" s="313"/>
      <c r="AN4999" s="313"/>
      <c r="AO4999" s="313"/>
      <c r="AP4999" s="313"/>
      <c r="AQ4999" s="314"/>
      <c r="AR4999" s="315" t="str">
        <f t="shared" si="115"/>
        <v/>
      </c>
    </row>
    <row r="5000" spans="37:44" ht="30" hidden="1" customHeight="1" x14ac:dyDescent="0.25">
      <c r="AK5000" s="313"/>
      <c r="AL5000" s="313"/>
      <c r="AM5000" s="313"/>
      <c r="AN5000" s="313"/>
      <c r="AO5000" s="313"/>
      <c r="AP5000" s="313"/>
      <c r="AQ5000" s="314"/>
      <c r="AR5000" s="315" t="str">
        <f t="shared" si="115"/>
        <v/>
      </c>
    </row>
    <row r="5001" spans="37:44" ht="30" hidden="1" customHeight="1" x14ac:dyDescent="0.25">
      <c r="AK5001" s="313"/>
      <c r="AL5001" s="313"/>
      <c r="AM5001" s="313"/>
      <c r="AN5001" s="313"/>
      <c r="AO5001" s="313"/>
      <c r="AP5001" s="313"/>
      <c r="AQ5001" s="314"/>
      <c r="AR5001" s="315" t="str">
        <f t="shared" si="115"/>
        <v/>
      </c>
    </row>
    <row r="5002" spans="37:44" ht="30" hidden="1" customHeight="1" x14ac:dyDescent="0.25">
      <c r="AK5002" s="313"/>
      <c r="AL5002" s="313"/>
      <c r="AM5002" s="313"/>
      <c r="AN5002" s="313"/>
      <c r="AO5002" s="313"/>
      <c r="AP5002" s="313"/>
      <c r="AQ5002" s="314"/>
      <c r="AR5002" s="315" t="str">
        <f t="shared" si="115"/>
        <v/>
      </c>
    </row>
    <row r="5003" spans="37:44" ht="30" hidden="1" customHeight="1" x14ac:dyDescent="0.25">
      <c r="AK5003" s="313"/>
      <c r="AL5003" s="313"/>
      <c r="AM5003" s="313"/>
      <c r="AN5003" s="313"/>
      <c r="AO5003" s="313"/>
      <c r="AP5003" s="313"/>
      <c r="AQ5003" s="314"/>
      <c r="AR5003" s="315" t="str">
        <f t="shared" si="115"/>
        <v/>
      </c>
    </row>
    <row r="5004" spans="37:44" ht="30" hidden="1" customHeight="1" x14ac:dyDescent="0.25">
      <c r="AK5004" s="313"/>
      <c r="AL5004" s="313"/>
      <c r="AM5004" s="313"/>
      <c r="AN5004" s="313"/>
      <c r="AO5004" s="313"/>
      <c r="AP5004" s="313"/>
      <c r="AQ5004" s="314"/>
      <c r="AR5004" s="315" t="str">
        <f t="shared" si="115"/>
        <v/>
      </c>
    </row>
    <row r="5005" spans="37:44" ht="30" hidden="1" customHeight="1" x14ac:dyDescent="0.25">
      <c r="AK5005" s="313"/>
      <c r="AL5005" s="313"/>
      <c r="AM5005" s="313"/>
      <c r="AN5005" s="313"/>
      <c r="AO5005" s="313"/>
      <c r="AP5005" s="313"/>
      <c r="AQ5005" s="314"/>
      <c r="AR5005" s="315" t="str">
        <f t="shared" si="115"/>
        <v/>
      </c>
    </row>
    <row r="5006" spans="37:44" ht="30" hidden="1" customHeight="1" x14ac:dyDescent="0.25">
      <c r="AK5006" s="313"/>
      <c r="AL5006" s="313"/>
      <c r="AM5006" s="313"/>
      <c r="AN5006" s="313"/>
      <c r="AO5006" s="313"/>
      <c r="AP5006" s="313"/>
      <c r="AQ5006" s="314"/>
      <c r="AR5006" s="315" t="str">
        <f t="shared" si="115"/>
        <v/>
      </c>
    </row>
    <row r="5007" spans="37:44" ht="30" hidden="1" customHeight="1" x14ac:dyDescent="0.25">
      <c r="AK5007" s="313"/>
      <c r="AL5007" s="313"/>
      <c r="AM5007" s="313"/>
      <c r="AN5007" s="313"/>
      <c r="AO5007" s="313"/>
      <c r="AP5007" s="313"/>
      <c r="AQ5007" s="314"/>
      <c r="AR5007" s="315" t="str">
        <f t="shared" si="115"/>
        <v/>
      </c>
    </row>
    <row r="5008" spans="37:44" ht="30" hidden="1" customHeight="1" x14ac:dyDescent="0.25">
      <c r="AK5008" s="313"/>
      <c r="AL5008" s="313"/>
      <c r="AM5008" s="313"/>
      <c r="AN5008" s="313"/>
      <c r="AO5008" s="313"/>
      <c r="AP5008" s="313"/>
      <c r="AQ5008" s="314"/>
      <c r="AR5008" s="315" t="str">
        <f t="shared" si="115"/>
        <v/>
      </c>
    </row>
    <row r="5009" spans="37:44" ht="30" hidden="1" customHeight="1" x14ac:dyDescent="0.25">
      <c r="AK5009" s="313"/>
      <c r="AL5009" s="313"/>
      <c r="AM5009" s="313"/>
      <c r="AN5009" s="313"/>
      <c r="AO5009" s="313"/>
      <c r="AP5009" s="313"/>
      <c r="AQ5009" s="314"/>
      <c r="AR5009" s="315" t="str">
        <f t="shared" si="115"/>
        <v/>
      </c>
    </row>
    <row r="5010" spans="37:44" ht="30" hidden="1" customHeight="1" x14ac:dyDescent="0.25">
      <c r="AK5010" s="313"/>
      <c r="AL5010" s="313"/>
      <c r="AM5010" s="313"/>
      <c r="AN5010" s="313"/>
      <c r="AO5010" s="313"/>
      <c r="AP5010" s="313"/>
      <c r="AQ5010" s="314"/>
      <c r="AR5010" s="315" t="str">
        <f t="shared" si="115"/>
        <v/>
      </c>
    </row>
    <row r="5011" spans="37:44" ht="30" hidden="1" customHeight="1" x14ac:dyDescent="0.25">
      <c r="AK5011" s="313"/>
      <c r="AL5011" s="313"/>
      <c r="AM5011" s="313"/>
      <c r="AN5011" s="313"/>
      <c r="AO5011" s="313"/>
      <c r="AP5011" s="313"/>
      <c r="AQ5011" s="314"/>
      <c r="AR5011" s="315" t="str">
        <f t="shared" si="115"/>
        <v/>
      </c>
    </row>
    <row r="5012" spans="37:44" ht="30" hidden="1" customHeight="1" x14ac:dyDescent="0.25">
      <c r="AK5012" s="313"/>
      <c r="AL5012" s="313"/>
      <c r="AM5012" s="313"/>
      <c r="AN5012" s="313"/>
      <c r="AO5012" s="313"/>
      <c r="AP5012" s="313"/>
      <c r="AQ5012" s="314"/>
      <c r="AR5012" s="315" t="str">
        <f t="shared" si="115"/>
        <v/>
      </c>
    </row>
    <row r="5013" spans="37:44" ht="30" hidden="1" customHeight="1" x14ac:dyDescent="0.25">
      <c r="AK5013" s="313"/>
      <c r="AL5013" s="313"/>
      <c r="AM5013" s="313"/>
      <c r="AN5013" s="313"/>
      <c r="AO5013" s="313"/>
      <c r="AP5013" s="313"/>
      <c r="AQ5013" s="314"/>
      <c r="AR5013" s="315" t="str">
        <f t="shared" si="115"/>
        <v/>
      </c>
    </row>
    <row r="5014" spans="37:44" ht="30" hidden="1" customHeight="1" x14ac:dyDescent="0.25">
      <c r="AK5014" s="313"/>
      <c r="AL5014" s="313"/>
      <c r="AM5014" s="313"/>
      <c r="AN5014" s="313"/>
      <c r="AO5014" s="313"/>
      <c r="AP5014" s="313"/>
      <c r="AQ5014" s="314"/>
      <c r="AR5014" s="315" t="str">
        <f t="shared" si="115"/>
        <v/>
      </c>
    </row>
    <row r="5015" spans="37:44" ht="30" hidden="1" customHeight="1" x14ac:dyDescent="0.25">
      <c r="AK5015" s="313"/>
      <c r="AL5015" s="313"/>
      <c r="AM5015" s="313"/>
      <c r="AN5015" s="313"/>
      <c r="AO5015" s="313"/>
      <c r="AP5015" s="313"/>
      <c r="AQ5015" s="314"/>
      <c r="AR5015" s="315" t="str">
        <f t="shared" si="115"/>
        <v/>
      </c>
    </row>
    <row r="5016" spans="37:44" ht="30" hidden="1" customHeight="1" x14ac:dyDescent="0.25">
      <c r="AK5016" s="313"/>
      <c r="AL5016" s="313"/>
      <c r="AM5016" s="313"/>
      <c r="AN5016" s="313"/>
      <c r="AO5016" s="313"/>
      <c r="AP5016" s="313"/>
      <c r="AQ5016" s="314"/>
      <c r="AR5016" s="315" t="str">
        <f t="shared" si="115"/>
        <v/>
      </c>
    </row>
    <row r="5017" spans="37:44" ht="30" hidden="1" customHeight="1" x14ac:dyDescent="0.25">
      <c r="AK5017" s="313"/>
      <c r="AL5017" s="313"/>
      <c r="AM5017" s="313"/>
      <c r="AN5017" s="313"/>
      <c r="AO5017" s="313"/>
      <c r="AP5017" s="313"/>
      <c r="AQ5017" s="314"/>
      <c r="AR5017" s="315" t="str">
        <f t="shared" si="115"/>
        <v/>
      </c>
    </row>
    <row r="5018" spans="37:44" ht="30" hidden="1" customHeight="1" x14ac:dyDescent="0.25">
      <c r="AK5018" s="313"/>
      <c r="AL5018" s="313"/>
      <c r="AM5018" s="313"/>
      <c r="AN5018" s="313"/>
      <c r="AO5018" s="313"/>
      <c r="AP5018" s="313"/>
      <c r="AQ5018" s="314"/>
      <c r="AR5018" s="315" t="str">
        <f t="shared" si="115"/>
        <v/>
      </c>
    </row>
    <row r="5019" spans="37:44" ht="30" hidden="1" customHeight="1" x14ac:dyDescent="0.25">
      <c r="AK5019" s="313"/>
      <c r="AL5019" s="313"/>
      <c r="AM5019" s="313"/>
      <c r="AN5019" s="313"/>
      <c r="AO5019" s="313"/>
      <c r="AP5019" s="313"/>
      <c r="AQ5019" s="314"/>
      <c r="AR5019" s="315" t="str">
        <f t="shared" si="115"/>
        <v/>
      </c>
    </row>
    <row r="5020" spans="37:44" ht="30" hidden="1" customHeight="1" x14ac:dyDescent="0.25">
      <c r="AK5020" s="313"/>
      <c r="AL5020" s="313"/>
      <c r="AM5020" s="313"/>
      <c r="AN5020" s="313"/>
      <c r="AO5020" s="313"/>
      <c r="AP5020" s="313"/>
      <c r="AQ5020" s="314"/>
      <c r="AR5020" s="315" t="str">
        <f t="shared" si="115"/>
        <v/>
      </c>
    </row>
    <row r="5021" spans="37:44" ht="30" hidden="1" customHeight="1" x14ac:dyDescent="0.25">
      <c r="AK5021" s="313"/>
      <c r="AL5021" s="313"/>
      <c r="AM5021" s="313"/>
      <c r="AN5021" s="313"/>
      <c r="AO5021" s="313"/>
      <c r="AP5021" s="313"/>
      <c r="AQ5021" s="314"/>
      <c r="AR5021" s="315" t="str">
        <f t="shared" si="115"/>
        <v/>
      </c>
    </row>
    <row r="5022" spans="37:44" ht="30" hidden="1" customHeight="1" x14ac:dyDescent="0.25">
      <c r="AK5022" s="313"/>
      <c r="AL5022" s="313"/>
      <c r="AM5022" s="313"/>
      <c r="AN5022" s="313"/>
      <c r="AO5022" s="313"/>
      <c r="AP5022" s="313"/>
      <c r="AQ5022" s="314"/>
      <c r="AR5022" s="315" t="str">
        <f t="shared" si="115"/>
        <v/>
      </c>
    </row>
    <row r="5023" spans="37:44" ht="30" hidden="1" customHeight="1" x14ac:dyDescent="0.25">
      <c r="AK5023" s="313"/>
      <c r="AL5023" s="313"/>
      <c r="AM5023" s="313"/>
      <c r="AN5023" s="313"/>
      <c r="AO5023" s="313"/>
      <c r="AP5023" s="313"/>
      <c r="AQ5023" s="314"/>
      <c r="AR5023" s="315" t="str">
        <f t="shared" si="115"/>
        <v/>
      </c>
    </row>
    <row r="5024" spans="37:44" ht="30" hidden="1" customHeight="1" x14ac:dyDescent="0.25">
      <c r="AK5024" s="313"/>
      <c r="AL5024" s="313"/>
      <c r="AM5024" s="313"/>
      <c r="AN5024" s="313"/>
      <c r="AO5024" s="313"/>
      <c r="AP5024" s="313"/>
      <c r="AQ5024" s="314"/>
      <c r="AR5024" s="315" t="str">
        <f t="shared" si="115"/>
        <v/>
      </c>
    </row>
    <row r="5025" spans="37:44" ht="30" hidden="1" customHeight="1" x14ac:dyDescent="0.25">
      <c r="AK5025" s="313"/>
      <c r="AL5025" s="313"/>
      <c r="AM5025" s="313"/>
      <c r="AN5025" s="313"/>
      <c r="AO5025" s="313"/>
      <c r="AP5025" s="313"/>
      <c r="AQ5025" s="314"/>
      <c r="AR5025" s="315" t="str">
        <f t="shared" si="115"/>
        <v/>
      </c>
    </row>
    <row r="5026" spans="37:44" ht="30" hidden="1" customHeight="1" x14ac:dyDescent="0.25">
      <c r="AK5026" s="313"/>
      <c r="AL5026" s="313"/>
      <c r="AM5026" s="313"/>
      <c r="AN5026" s="313"/>
      <c r="AO5026" s="313"/>
      <c r="AP5026" s="313"/>
      <c r="AQ5026" s="314"/>
      <c r="AR5026" s="315" t="str">
        <f t="shared" si="115"/>
        <v/>
      </c>
    </row>
    <row r="5027" spans="37:44" ht="30" hidden="1" customHeight="1" x14ac:dyDescent="0.25">
      <c r="AK5027" s="313"/>
      <c r="AL5027" s="313"/>
      <c r="AM5027" s="313"/>
      <c r="AN5027" s="313"/>
      <c r="AO5027" s="313"/>
      <c r="AP5027" s="313"/>
      <c r="AQ5027" s="314"/>
      <c r="AR5027" s="315" t="str">
        <f t="shared" si="115"/>
        <v/>
      </c>
    </row>
    <row r="5028" spans="37:44" ht="30" hidden="1" customHeight="1" x14ac:dyDescent="0.25">
      <c r="AK5028" s="313"/>
      <c r="AL5028" s="313"/>
      <c r="AM5028" s="313"/>
      <c r="AN5028" s="313"/>
      <c r="AO5028" s="313"/>
      <c r="AP5028" s="313"/>
      <c r="AQ5028" s="314"/>
      <c r="AR5028" s="315" t="str">
        <f t="shared" si="115"/>
        <v/>
      </c>
    </row>
    <row r="5029" spans="37:44" ht="30" hidden="1" customHeight="1" x14ac:dyDescent="0.25">
      <c r="AK5029" s="313"/>
      <c r="AL5029" s="313"/>
      <c r="AM5029" s="313"/>
      <c r="AN5029" s="313"/>
      <c r="AO5029" s="313"/>
      <c r="AP5029" s="313"/>
      <c r="AQ5029" s="314"/>
      <c r="AR5029" s="315" t="str">
        <f t="shared" si="115"/>
        <v/>
      </c>
    </row>
    <row r="5030" spans="37:44" ht="30" hidden="1" customHeight="1" x14ac:dyDescent="0.25">
      <c r="AK5030" s="313"/>
      <c r="AL5030" s="313"/>
      <c r="AM5030" s="313"/>
      <c r="AN5030" s="313"/>
      <c r="AO5030" s="313"/>
      <c r="AP5030" s="313"/>
      <c r="AQ5030" s="314"/>
      <c r="AR5030" s="315" t="str">
        <f t="shared" si="115"/>
        <v/>
      </c>
    </row>
    <row r="5031" spans="37:44" ht="30" hidden="1" customHeight="1" x14ac:dyDescent="0.25">
      <c r="AK5031" s="313"/>
      <c r="AL5031" s="313"/>
      <c r="AM5031" s="313"/>
      <c r="AN5031" s="313"/>
      <c r="AO5031" s="313"/>
      <c r="AP5031" s="313"/>
      <c r="AQ5031" s="314"/>
      <c r="AR5031" s="315" t="str">
        <f t="shared" si="115"/>
        <v/>
      </c>
    </row>
    <row r="5032" spans="37:44" ht="30" hidden="1" customHeight="1" x14ac:dyDescent="0.25">
      <c r="AK5032" s="313"/>
      <c r="AL5032" s="313"/>
      <c r="AM5032" s="313"/>
      <c r="AN5032" s="313"/>
      <c r="AO5032" s="313"/>
      <c r="AP5032" s="313"/>
      <c r="AQ5032" s="314"/>
      <c r="AR5032" s="315" t="str">
        <f t="shared" si="115"/>
        <v/>
      </c>
    </row>
    <row r="5033" spans="37:44" ht="30" hidden="1" customHeight="1" x14ac:dyDescent="0.25">
      <c r="AK5033" s="313"/>
      <c r="AL5033" s="313"/>
      <c r="AM5033" s="313"/>
      <c r="AN5033" s="313"/>
      <c r="AO5033" s="313"/>
      <c r="AP5033" s="313"/>
      <c r="AQ5033" s="314"/>
      <c r="AR5033" s="315" t="str">
        <f t="shared" si="115"/>
        <v/>
      </c>
    </row>
    <row r="5034" spans="37:44" ht="30" hidden="1" customHeight="1" x14ac:dyDescent="0.25">
      <c r="AK5034" s="313"/>
      <c r="AL5034" s="313"/>
      <c r="AM5034" s="313"/>
      <c r="AN5034" s="313"/>
      <c r="AO5034" s="313"/>
      <c r="AP5034" s="313"/>
      <c r="AQ5034" s="314"/>
      <c r="AR5034" s="315" t="str">
        <f t="shared" si="115"/>
        <v/>
      </c>
    </row>
    <row r="5035" spans="37:44" ht="30" hidden="1" customHeight="1" x14ac:dyDescent="0.25">
      <c r="AK5035" s="313"/>
      <c r="AL5035" s="313"/>
      <c r="AM5035" s="313"/>
      <c r="AN5035" s="313"/>
      <c r="AO5035" s="313"/>
      <c r="AP5035" s="313"/>
      <c r="AQ5035" s="314"/>
      <c r="AR5035" s="315" t="str">
        <f t="shared" si="115"/>
        <v/>
      </c>
    </row>
    <row r="5036" spans="37:44" ht="30" hidden="1" customHeight="1" x14ac:dyDescent="0.25">
      <c r="AK5036" s="313"/>
      <c r="AL5036" s="313"/>
      <c r="AM5036" s="313"/>
      <c r="AN5036" s="313"/>
      <c r="AO5036" s="313"/>
      <c r="AP5036" s="313"/>
      <c r="AQ5036" s="314"/>
      <c r="AR5036" s="315" t="str">
        <f t="shared" si="115"/>
        <v/>
      </c>
    </row>
    <row r="5037" spans="37:44" ht="30" hidden="1" customHeight="1" x14ac:dyDescent="0.25">
      <c r="AK5037" s="313"/>
      <c r="AL5037" s="313"/>
      <c r="AM5037" s="313"/>
      <c r="AN5037" s="313"/>
      <c r="AO5037" s="313"/>
      <c r="AP5037" s="313"/>
      <c r="AQ5037" s="314"/>
      <c r="AR5037" s="315" t="str">
        <f t="shared" si="115"/>
        <v/>
      </c>
    </row>
    <row r="5038" spans="37:44" ht="30" hidden="1" customHeight="1" x14ac:dyDescent="0.25">
      <c r="AK5038" s="313"/>
      <c r="AL5038" s="313"/>
      <c r="AM5038" s="313"/>
      <c r="AN5038" s="313"/>
      <c r="AO5038" s="313"/>
      <c r="AP5038" s="313"/>
      <c r="AQ5038" s="314"/>
      <c r="AR5038" s="315" t="str">
        <f t="shared" si="115"/>
        <v/>
      </c>
    </row>
    <row r="5039" spans="37:44" ht="30" hidden="1" customHeight="1" x14ac:dyDescent="0.25">
      <c r="AK5039" s="313"/>
      <c r="AL5039" s="313"/>
      <c r="AM5039" s="313"/>
      <c r="AN5039" s="313"/>
      <c r="AO5039" s="313"/>
      <c r="AP5039" s="313"/>
      <c r="AQ5039" s="314"/>
      <c r="AR5039" s="315" t="str">
        <f t="shared" si="115"/>
        <v/>
      </c>
    </row>
    <row r="5040" spans="37:44" ht="30" hidden="1" customHeight="1" x14ac:dyDescent="0.25">
      <c r="AK5040" s="313"/>
      <c r="AL5040" s="313"/>
      <c r="AM5040" s="313"/>
      <c r="AN5040" s="313"/>
      <c r="AO5040" s="313"/>
      <c r="AP5040" s="313"/>
      <c r="AQ5040" s="314"/>
      <c r="AR5040" s="315" t="str">
        <f t="shared" si="115"/>
        <v/>
      </c>
    </row>
    <row r="5041" spans="37:44" ht="30" hidden="1" customHeight="1" x14ac:dyDescent="0.25">
      <c r="AK5041" s="313"/>
      <c r="AL5041" s="313"/>
      <c r="AM5041" s="313"/>
      <c r="AN5041" s="313"/>
      <c r="AO5041" s="313"/>
      <c r="AP5041" s="313"/>
      <c r="AQ5041" s="314"/>
      <c r="AR5041" s="315" t="str">
        <f t="shared" si="115"/>
        <v/>
      </c>
    </row>
    <row r="5042" spans="37:44" ht="30" hidden="1" customHeight="1" x14ac:dyDescent="0.25">
      <c r="AK5042" s="313"/>
      <c r="AL5042" s="313"/>
      <c r="AM5042" s="313"/>
      <c r="AN5042" s="313"/>
      <c r="AO5042" s="313"/>
      <c r="AP5042" s="313"/>
      <c r="AQ5042" s="314"/>
      <c r="AR5042" s="315" t="str">
        <f t="shared" si="115"/>
        <v/>
      </c>
    </row>
    <row r="5043" spans="37:44" ht="30" hidden="1" customHeight="1" x14ac:dyDescent="0.25">
      <c r="AK5043" s="313"/>
      <c r="AL5043" s="313"/>
      <c r="AM5043" s="313"/>
      <c r="AN5043" s="313"/>
      <c r="AO5043" s="313"/>
      <c r="AP5043" s="313"/>
      <c r="AQ5043" s="314"/>
      <c r="AR5043" s="315" t="str">
        <f t="shared" si="115"/>
        <v/>
      </c>
    </row>
    <row r="5044" spans="37:44" ht="30" hidden="1" customHeight="1" x14ac:dyDescent="0.25">
      <c r="AK5044" s="313"/>
      <c r="AL5044" s="313"/>
      <c r="AM5044" s="313"/>
      <c r="AN5044" s="313"/>
      <c r="AO5044" s="313"/>
      <c r="AP5044" s="313"/>
      <c r="AQ5044" s="314"/>
      <c r="AR5044" s="315" t="str">
        <f t="shared" si="115"/>
        <v/>
      </c>
    </row>
    <row r="5045" spans="37:44" ht="30" hidden="1" customHeight="1" x14ac:dyDescent="0.25">
      <c r="AK5045" s="313"/>
      <c r="AL5045" s="313"/>
      <c r="AM5045" s="313"/>
      <c r="AN5045" s="313"/>
      <c r="AO5045" s="313"/>
      <c r="AP5045" s="313"/>
      <c r="AQ5045" s="314"/>
      <c r="AR5045" s="315" t="str">
        <f t="shared" si="115"/>
        <v/>
      </c>
    </row>
    <row r="5046" spans="37:44" ht="30" hidden="1" customHeight="1" x14ac:dyDescent="0.25">
      <c r="AK5046" s="313"/>
      <c r="AL5046" s="313"/>
      <c r="AM5046" s="313"/>
      <c r="AN5046" s="313"/>
      <c r="AO5046" s="313"/>
      <c r="AP5046" s="313"/>
      <c r="AQ5046" s="314"/>
      <c r="AR5046" s="315" t="str">
        <f t="shared" si="115"/>
        <v/>
      </c>
    </row>
    <row r="5047" spans="37:44" ht="30" hidden="1" customHeight="1" x14ac:dyDescent="0.25">
      <c r="AK5047" s="313"/>
      <c r="AL5047" s="313"/>
      <c r="AM5047" s="313"/>
      <c r="AN5047" s="313"/>
      <c r="AO5047" s="313"/>
      <c r="AP5047" s="313"/>
      <c r="AQ5047" s="314"/>
      <c r="AR5047" s="315" t="str">
        <f t="shared" si="115"/>
        <v/>
      </c>
    </row>
    <row r="5048" spans="37:44" ht="30" hidden="1" customHeight="1" x14ac:dyDescent="0.25">
      <c r="AK5048" s="313"/>
      <c r="AL5048" s="313"/>
      <c r="AM5048" s="313"/>
      <c r="AN5048" s="313"/>
      <c r="AO5048" s="313"/>
      <c r="AP5048" s="313"/>
      <c r="AQ5048" s="314"/>
      <c r="AR5048" s="315" t="str">
        <f t="shared" si="115"/>
        <v/>
      </c>
    </row>
    <row r="5049" spans="37:44" ht="30" hidden="1" customHeight="1" x14ac:dyDescent="0.25">
      <c r="AK5049" s="313"/>
      <c r="AL5049" s="313"/>
      <c r="AM5049" s="313"/>
      <c r="AN5049" s="313"/>
      <c r="AO5049" s="313"/>
      <c r="AP5049" s="313"/>
      <c r="AQ5049" s="314"/>
      <c r="AR5049" s="315" t="str">
        <f t="shared" si="115"/>
        <v/>
      </c>
    </row>
    <row r="5050" spans="37:44" ht="30" hidden="1" customHeight="1" x14ac:dyDescent="0.25">
      <c r="AK5050" s="313"/>
      <c r="AL5050" s="313"/>
      <c r="AM5050" s="313"/>
      <c r="AN5050" s="313"/>
      <c r="AO5050" s="313"/>
      <c r="AP5050" s="313"/>
      <c r="AQ5050" s="314"/>
      <c r="AR5050" s="315" t="str">
        <f t="shared" si="115"/>
        <v/>
      </c>
    </row>
    <row r="5051" spans="37:44" ht="30" hidden="1" customHeight="1" x14ac:dyDescent="0.25">
      <c r="AK5051" s="313"/>
      <c r="AL5051" s="313"/>
      <c r="AM5051" s="313"/>
      <c r="AN5051" s="313"/>
      <c r="AO5051" s="313"/>
      <c r="AP5051" s="313"/>
      <c r="AQ5051" s="314"/>
      <c r="AR5051" s="315" t="str">
        <f t="shared" si="115"/>
        <v/>
      </c>
    </row>
    <row r="5052" spans="37:44" ht="30" hidden="1" customHeight="1" x14ac:dyDescent="0.25">
      <c r="AK5052" s="313"/>
      <c r="AL5052" s="313"/>
      <c r="AM5052" s="313"/>
      <c r="AN5052" s="313"/>
      <c r="AO5052" s="313"/>
      <c r="AP5052" s="313"/>
      <c r="AQ5052" s="314"/>
      <c r="AR5052" s="315" t="str">
        <f t="shared" si="115"/>
        <v/>
      </c>
    </row>
    <row r="5053" spans="37:44" ht="30" hidden="1" customHeight="1" x14ac:dyDescent="0.25">
      <c r="AK5053" s="313"/>
      <c r="AL5053" s="313"/>
      <c r="AM5053" s="313"/>
      <c r="AN5053" s="313"/>
      <c r="AO5053" s="313"/>
      <c r="AP5053" s="313"/>
      <c r="AQ5053" s="314"/>
      <c r="AR5053" s="315" t="str">
        <f t="shared" si="115"/>
        <v/>
      </c>
    </row>
    <row r="5054" spans="37:44" ht="30" hidden="1" customHeight="1" x14ac:dyDescent="0.25">
      <c r="AK5054" s="313"/>
      <c r="AL5054" s="313"/>
      <c r="AM5054" s="313"/>
      <c r="AN5054" s="313"/>
      <c r="AO5054" s="313"/>
      <c r="AP5054" s="313"/>
      <c r="AQ5054" s="314"/>
      <c r="AR5054" s="315" t="str">
        <f t="shared" si="115"/>
        <v/>
      </c>
    </row>
    <row r="5055" spans="37:44" ht="30" hidden="1" customHeight="1" x14ac:dyDescent="0.25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16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 x14ac:dyDescent="0.25">
      <c r="AK5056" s="313"/>
      <c r="AL5056" s="313"/>
      <c r="AM5056" s="313"/>
      <c r="AN5056" s="313"/>
      <c r="AO5056" s="313"/>
      <c r="AP5056" s="313"/>
      <c r="AQ5056" s="314"/>
      <c r="AR5056" s="315" t="str">
        <f t="shared" si="116"/>
        <v/>
      </c>
    </row>
    <row r="5057" spans="37:44" ht="30" hidden="1" customHeight="1" x14ac:dyDescent="0.25">
      <c r="AK5057" s="313"/>
      <c r="AL5057" s="313"/>
      <c r="AM5057" s="313"/>
      <c r="AN5057" s="313"/>
      <c r="AO5057" s="313"/>
      <c r="AP5057" s="313"/>
      <c r="AQ5057" s="314"/>
      <c r="AR5057" s="315" t="str">
        <f t="shared" si="116"/>
        <v/>
      </c>
    </row>
    <row r="5058" spans="37:44" ht="30" hidden="1" customHeight="1" x14ac:dyDescent="0.25">
      <c r="AK5058" s="313"/>
      <c r="AL5058" s="313"/>
      <c r="AM5058" s="313"/>
      <c r="AN5058" s="313"/>
      <c r="AO5058" s="313"/>
      <c r="AP5058" s="313"/>
      <c r="AQ5058" s="314"/>
      <c r="AR5058" s="315" t="str">
        <f t="shared" si="116"/>
        <v/>
      </c>
    </row>
    <row r="5059" spans="37:44" ht="30" hidden="1" customHeight="1" x14ac:dyDescent="0.25">
      <c r="AK5059" s="313"/>
      <c r="AL5059" s="313"/>
      <c r="AM5059" s="313"/>
      <c r="AN5059" s="313"/>
      <c r="AO5059" s="313"/>
      <c r="AP5059" s="313"/>
      <c r="AQ5059" s="314"/>
      <c r="AR5059" s="315" t="str">
        <f t="shared" si="116"/>
        <v/>
      </c>
    </row>
    <row r="5060" spans="37:44" ht="30" hidden="1" customHeight="1" x14ac:dyDescent="0.25">
      <c r="AK5060" s="313"/>
      <c r="AL5060" s="313"/>
      <c r="AM5060" s="313"/>
      <c r="AN5060" s="313"/>
      <c r="AO5060" s="313"/>
      <c r="AP5060" s="313"/>
      <c r="AQ5060" s="314"/>
      <c r="AR5060" s="315" t="str">
        <f t="shared" si="116"/>
        <v/>
      </c>
    </row>
    <row r="5061" spans="37:44" ht="30" hidden="1" customHeight="1" x14ac:dyDescent="0.25">
      <c r="AK5061" s="313"/>
      <c r="AL5061" s="313"/>
      <c r="AM5061" s="313"/>
      <c r="AN5061" s="313"/>
      <c r="AO5061" s="313"/>
      <c r="AP5061" s="313"/>
      <c r="AQ5061" s="314"/>
      <c r="AR5061" s="315" t="str">
        <f t="shared" si="116"/>
        <v/>
      </c>
    </row>
    <row r="5062" spans="37:44" ht="30" hidden="1" customHeight="1" x14ac:dyDescent="0.25">
      <c r="AK5062" s="313"/>
      <c r="AL5062" s="313"/>
      <c r="AM5062" s="313"/>
      <c r="AN5062" s="313"/>
      <c r="AO5062" s="313"/>
      <c r="AP5062" s="313"/>
      <c r="AQ5062" s="314"/>
      <c r="AR5062" s="315" t="str">
        <f t="shared" si="116"/>
        <v/>
      </c>
    </row>
    <row r="5063" spans="37:44" ht="30" hidden="1" customHeight="1" x14ac:dyDescent="0.25">
      <c r="AK5063" s="313"/>
      <c r="AL5063" s="313"/>
      <c r="AM5063" s="313"/>
      <c r="AN5063" s="313"/>
      <c r="AO5063" s="313"/>
      <c r="AP5063" s="313"/>
      <c r="AQ5063" s="314"/>
      <c r="AR5063" s="315" t="str">
        <f t="shared" si="116"/>
        <v/>
      </c>
    </row>
    <row r="5064" spans="37:44" ht="30" hidden="1" customHeight="1" x14ac:dyDescent="0.25">
      <c r="AK5064" s="313"/>
      <c r="AL5064" s="313"/>
      <c r="AM5064" s="313"/>
      <c r="AN5064" s="313"/>
      <c r="AO5064" s="313"/>
      <c r="AP5064" s="313"/>
      <c r="AQ5064" s="314"/>
      <c r="AR5064" s="315" t="str">
        <f t="shared" si="116"/>
        <v/>
      </c>
    </row>
    <row r="5065" spans="37:44" ht="30" hidden="1" customHeight="1" x14ac:dyDescent="0.25">
      <c r="AK5065" s="313"/>
      <c r="AL5065" s="313"/>
      <c r="AM5065" s="313"/>
      <c r="AN5065" s="313"/>
      <c r="AO5065" s="313"/>
      <c r="AP5065" s="313"/>
      <c r="AQ5065" s="314"/>
      <c r="AR5065" s="315" t="str">
        <f t="shared" si="116"/>
        <v/>
      </c>
    </row>
    <row r="5066" spans="37:44" ht="30" hidden="1" customHeight="1" x14ac:dyDescent="0.25">
      <c r="AK5066" s="313"/>
      <c r="AL5066" s="313"/>
      <c r="AM5066" s="313"/>
      <c r="AN5066" s="313"/>
      <c r="AO5066" s="313"/>
      <c r="AP5066" s="313"/>
      <c r="AQ5066" s="314"/>
      <c r="AR5066" s="315" t="str">
        <f t="shared" si="116"/>
        <v/>
      </c>
    </row>
    <row r="5067" spans="37:44" ht="30" hidden="1" customHeight="1" x14ac:dyDescent="0.25">
      <c r="AK5067" s="313"/>
      <c r="AL5067" s="313"/>
      <c r="AM5067" s="313"/>
      <c r="AN5067" s="313"/>
      <c r="AO5067" s="313"/>
      <c r="AP5067" s="313"/>
      <c r="AQ5067" s="314"/>
      <c r="AR5067" s="315" t="str">
        <f t="shared" si="116"/>
        <v/>
      </c>
    </row>
    <row r="5068" spans="37:44" ht="30" hidden="1" customHeight="1" x14ac:dyDescent="0.25">
      <c r="AK5068" s="313"/>
      <c r="AL5068" s="313"/>
      <c r="AM5068" s="313"/>
      <c r="AN5068" s="313"/>
      <c r="AO5068" s="313"/>
      <c r="AP5068" s="313"/>
      <c r="AQ5068" s="314"/>
      <c r="AR5068" s="315" t="str">
        <f t="shared" si="116"/>
        <v/>
      </c>
    </row>
    <row r="5069" spans="37:44" ht="30" hidden="1" customHeight="1" x14ac:dyDescent="0.25">
      <c r="AK5069" s="313"/>
      <c r="AL5069" s="313"/>
      <c r="AM5069" s="313"/>
      <c r="AN5069" s="313"/>
      <c r="AO5069" s="313"/>
      <c r="AP5069" s="313"/>
      <c r="AQ5069" s="314"/>
      <c r="AR5069" s="315" t="str">
        <f t="shared" si="116"/>
        <v/>
      </c>
    </row>
    <row r="5070" spans="37:44" ht="30" hidden="1" customHeight="1" x14ac:dyDescent="0.25">
      <c r="AK5070" s="313"/>
      <c r="AL5070" s="313"/>
      <c r="AM5070" s="313"/>
      <c r="AN5070" s="313"/>
      <c r="AO5070" s="313"/>
      <c r="AP5070" s="313"/>
      <c r="AQ5070" s="314"/>
      <c r="AR5070" s="315" t="str">
        <f t="shared" si="116"/>
        <v/>
      </c>
    </row>
    <row r="5071" spans="37:44" ht="30" hidden="1" customHeight="1" x14ac:dyDescent="0.25">
      <c r="AK5071" s="313"/>
      <c r="AL5071" s="313"/>
      <c r="AM5071" s="313"/>
      <c r="AN5071" s="313"/>
      <c r="AO5071" s="313"/>
      <c r="AP5071" s="313"/>
      <c r="AQ5071" s="314"/>
      <c r="AR5071" s="315" t="str">
        <f t="shared" si="116"/>
        <v/>
      </c>
    </row>
    <row r="5072" spans="37:44" ht="30" hidden="1" customHeight="1" x14ac:dyDescent="0.25">
      <c r="AK5072" s="313"/>
      <c r="AL5072" s="313"/>
      <c r="AM5072" s="313"/>
      <c r="AN5072" s="313"/>
      <c r="AO5072" s="313"/>
      <c r="AP5072" s="313"/>
      <c r="AQ5072" s="314"/>
      <c r="AR5072" s="315" t="str">
        <f t="shared" si="116"/>
        <v/>
      </c>
    </row>
    <row r="5073" spans="37:44" ht="30" hidden="1" customHeight="1" x14ac:dyDescent="0.25">
      <c r="AK5073" s="313"/>
      <c r="AL5073" s="313"/>
      <c r="AM5073" s="313"/>
      <c r="AN5073" s="313"/>
      <c r="AO5073" s="313"/>
      <c r="AP5073" s="313"/>
      <c r="AQ5073" s="314"/>
      <c r="AR5073" s="315" t="str">
        <f t="shared" si="116"/>
        <v/>
      </c>
    </row>
    <row r="5074" spans="37:44" ht="30" hidden="1" customHeight="1" x14ac:dyDescent="0.25">
      <c r="AK5074" s="313"/>
      <c r="AL5074" s="313"/>
      <c r="AM5074" s="313"/>
      <c r="AN5074" s="313"/>
      <c r="AO5074" s="313"/>
      <c r="AP5074" s="313"/>
      <c r="AQ5074" s="314"/>
      <c r="AR5074" s="315" t="str">
        <f t="shared" si="116"/>
        <v/>
      </c>
    </row>
    <row r="5075" spans="37:44" ht="30" hidden="1" customHeight="1" x14ac:dyDescent="0.25">
      <c r="AK5075" s="313"/>
      <c r="AL5075" s="313"/>
      <c r="AM5075" s="313"/>
      <c r="AN5075" s="313"/>
      <c r="AO5075" s="313"/>
      <c r="AP5075" s="313"/>
      <c r="AQ5075" s="314"/>
      <c r="AR5075" s="315" t="str">
        <f t="shared" si="116"/>
        <v/>
      </c>
    </row>
    <row r="5076" spans="37:44" ht="30" hidden="1" customHeight="1" x14ac:dyDescent="0.25">
      <c r="AK5076" s="313"/>
      <c r="AL5076" s="313"/>
      <c r="AM5076" s="313"/>
      <c r="AN5076" s="313"/>
      <c r="AO5076" s="313"/>
      <c r="AP5076" s="313"/>
      <c r="AQ5076" s="314"/>
      <c r="AR5076" s="315" t="str">
        <f t="shared" si="116"/>
        <v/>
      </c>
    </row>
    <row r="5077" spans="37:44" ht="30" hidden="1" customHeight="1" x14ac:dyDescent="0.25">
      <c r="AK5077" s="313"/>
      <c r="AL5077" s="313"/>
      <c r="AM5077" s="313"/>
      <c r="AN5077" s="313"/>
      <c r="AO5077" s="313"/>
      <c r="AP5077" s="313"/>
      <c r="AQ5077" s="314"/>
      <c r="AR5077" s="315" t="str">
        <f t="shared" si="116"/>
        <v/>
      </c>
    </row>
    <row r="5078" spans="37:44" ht="30" hidden="1" customHeight="1" x14ac:dyDescent="0.25">
      <c r="AK5078" s="313"/>
      <c r="AL5078" s="313"/>
      <c r="AM5078" s="313"/>
      <c r="AN5078" s="313"/>
      <c r="AO5078" s="313"/>
      <c r="AP5078" s="313"/>
      <c r="AQ5078" s="314"/>
      <c r="AR5078" s="315" t="str">
        <f t="shared" si="116"/>
        <v/>
      </c>
    </row>
    <row r="5079" spans="37:44" ht="30" hidden="1" customHeight="1" x14ac:dyDescent="0.25">
      <c r="AK5079" s="313"/>
      <c r="AL5079" s="313"/>
      <c r="AM5079" s="313"/>
      <c r="AN5079" s="313"/>
      <c r="AO5079" s="313"/>
      <c r="AP5079" s="313"/>
      <c r="AQ5079" s="314"/>
      <c r="AR5079" s="315" t="str">
        <f t="shared" si="116"/>
        <v/>
      </c>
    </row>
    <row r="5080" spans="37:44" ht="30" hidden="1" customHeight="1" x14ac:dyDescent="0.25">
      <c r="AK5080" s="313"/>
      <c r="AL5080" s="313"/>
      <c r="AM5080" s="313"/>
      <c r="AN5080" s="313"/>
      <c r="AO5080" s="313"/>
      <c r="AP5080" s="313"/>
      <c r="AQ5080" s="314"/>
      <c r="AR5080" s="315" t="str">
        <f t="shared" si="116"/>
        <v/>
      </c>
    </row>
    <row r="5081" spans="37:44" ht="30" hidden="1" customHeight="1" x14ac:dyDescent="0.25">
      <c r="AK5081" s="313"/>
      <c r="AL5081" s="313"/>
      <c r="AM5081" s="313"/>
      <c r="AN5081" s="313"/>
      <c r="AO5081" s="313"/>
      <c r="AP5081" s="313"/>
      <c r="AQ5081" s="314"/>
      <c r="AR5081" s="315" t="str">
        <f t="shared" si="116"/>
        <v/>
      </c>
    </row>
    <row r="5082" spans="37:44" ht="30" hidden="1" customHeight="1" x14ac:dyDescent="0.25">
      <c r="AK5082" s="313"/>
      <c r="AL5082" s="313"/>
      <c r="AM5082" s="313"/>
      <c r="AN5082" s="313"/>
      <c r="AO5082" s="313"/>
      <c r="AP5082" s="313"/>
      <c r="AQ5082" s="314"/>
      <c r="AR5082" s="315" t="str">
        <f t="shared" si="116"/>
        <v/>
      </c>
    </row>
    <row r="5083" spans="37:44" ht="30" hidden="1" customHeight="1" x14ac:dyDescent="0.25">
      <c r="AK5083" s="313"/>
      <c r="AL5083" s="313"/>
      <c r="AM5083" s="313"/>
      <c r="AN5083" s="313"/>
      <c r="AO5083" s="313"/>
      <c r="AP5083" s="313"/>
      <c r="AQ5083" s="314"/>
      <c r="AR5083" s="315" t="str">
        <f t="shared" si="116"/>
        <v/>
      </c>
    </row>
    <row r="5084" spans="37:44" ht="30" hidden="1" customHeight="1" x14ac:dyDescent="0.25">
      <c r="AK5084" s="313"/>
      <c r="AL5084" s="313"/>
      <c r="AM5084" s="313"/>
      <c r="AN5084" s="313"/>
      <c r="AO5084" s="313"/>
      <c r="AP5084" s="313"/>
      <c r="AQ5084" s="314"/>
      <c r="AR5084" s="315" t="str">
        <f t="shared" si="116"/>
        <v/>
      </c>
    </row>
    <row r="5085" spans="37:44" ht="30" hidden="1" customHeight="1" x14ac:dyDescent="0.25">
      <c r="AK5085" s="313"/>
      <c r="AL5085" s="313"/>
      <c r="AM5085" s="313"/>
      <c r="AN5085" s="313"/>
      <c r="AO5085" s="313"/>
      <c r="AP5085" s="313"/>
      <c r="AQ5085" s="314"/>
      <c r="AR5085" s="315" t="str">
        <f t="shared" si="116"/>
        <v/>
      </c>
    </row>
    <row r="5086" spans="37:44" ht="30" hidden="1" customHeight="1" x14ac:dyDescent="0.25">
      <c r="AK5086" s="313"/>
      <c r="AL5086" s="313"/>
      <c r="AM5086" s="313"/>
      <c r="AN5086" s="313"/>
      <c r="AO5086" s="313"/>
      <c r="AP5086" s="313"/>
      <c r="AQ5086" s="314"/>
      <c r="AR5086" s="315" t="str">
        <f t="shared" si="116"/>
        <v/>
      </c>
    </row>
    <row r="5087" spans="37:44" ht="30" hidden="1" customHeight="1" x14ac:dyDescent="0.25">
      <c r="AK5087" s="313"/>
      <c r="AL5087" s="313"/>
      <c r="AM5087" s="313"/>
      <c r="AN5087" s="313"/>
      <c r="AO5087" s="313"/>
      <c r="AP5087" s="313"/>
      <c r="AQ5087" s="314"/>
      <c r="AR5087" s="315" t="str">
        <f t="shared" si="116"/>
        <v/>
      </c>
    </row>
    <row r="5088" spans="37:44" ht="30" hidden="1" customHeight="1" x14ac:dyDescent="0.25">
      <c r="AK5088" s="313"/>
      <c r="AL5088" s="313"/>
      <c r="AM5088" s="313"/>
      <c r="AN5088" s="313"/>
      <c r="AO5088" s="313"/>
      <c r="AP5088" s="313"/>
      <c r="AQ5088" s="314"/>
      <c r="AR5088" s="315" t="str">
        <f t="shared" si="116"/>
        <v/>
      </c>
    </row>
    <row r="5089" spans="37:44" ht="30" hidden="1" customHeight="1" x14ac:dyDescent="0.25">
      <c r="AK5089" s="313"/>
      <c r="AL5089" s="313"/>
      <c r="AM5089" s="313"/>
      <c r="AN5089" s="313"/>
      <c r="AO5089" s="313"/>
      <c r="AP5089" s="313"/>
      <c r="AQ5089" s="314"/>
      <c r="AR5089" s="315" t="str">
        <f t="shared" si="116"/>
        <v/>
      </c>
    </row>
    <row r="5090" spans="37:44" ht="30" hidden="1" customHeight="1" x14ac:dyDescent="0.25">
      <c r="AK5090" s="313"/>
      <c r="AL5090" s="313"/>
      <c r="AM5090" s="313"/>
      <c r="AN5090" s="313"/>
      <c r="AO5090" s="313"/>
      <c r="AP5090" s="313"/>
      <c r="AQ5090" s="314"/>
      <c r="AR5090" s="315" t="str">
        <f t="shared" si="116"/>
        <v/>
      </c>
    </row>
    <row r="5091" spans="37:44" ht="30" hidden="1" customHeight="1" x14ac:dyDescent="0.25">
      <c r="AK5091" s="313"/>
      <c r="AL5091" s="313"/>
      <c r="AM5091" s="313"/>
      <c r="AN5091" s="313"/>
      <c r="AO5091" s="313"/>
      <c r="AP5091" s="313"/>
      <c r="AQ5091" s="314"/>
      <c r="AR5091" s="315" t="str">
        <f t="shared" si="116"/>
        <v/>
      </c>
    </row>
    <row r="5092" spans="37:44" ht="30" hidden="1" customHeight="1" x14ac:dyDescent="0.25">
      <c r="AK5092" s="313"/>
      <c r="AL5092" s="313"/>
      <c r="AM5092" s="313"/>
      <c r="AN5092" s="313"/>
      <c r="AO5092" s="313"/>
      <c r="AP5092" s="313"/>
      <c r="AQ5092" s="314"/>
      <c r="AR5092" s="315" t="str">
        <f t="shared" si="116"/>
        <v/>
      </c>
    </row>
    <row r="5093" spans="37:44" ht="30" hidden="1" customHeight="1" x14ac:dyDescent="0.25">
      <c r="AK5093" s="313"/>
      <c r="AL5093" s="313"/>
      <c r="AM5093" s="313"/>
      <c r="AN5093" s="313"/>
      <c r="AO5093" s="313"/>
      <c r="AP5093" s="313"/>
      <c r="AQ5093" s="314"/>
      <c r="AR5093" s="315" t="str">
        <f t="shared" si="116"/>
        <v/>
      </c>
    </row>
    <row r="5094" spans="37:44" ht="30" hidden="1" customHeight="1" x14ac:dyDescent="0.25">
      <c r="AK5094" s="313"/>
      <c r="AL5094" s="313"/>
      <c r="AM5094" s="313"/>
      <c r="AN5094" s="313"/>
      <c r="AO5094" s="313"/>
      <c r="AP5094" s="313"/>
      <c r="AQ5094" s="314"/>
      <c r="AR5094" s="315" t="str">
        <f t="shared" si="116"/>
        <v/>
      </c>
    </row>
    <row r="5095" spans="37:44" ht="30" hidden="1" customHeight="1" x14ac:dyDescent="0.25">
      <c r="AK5095" s="313"/>
      <c r="AL5095" s="313"/>
      <c r="AM5095" s="313"/>
      <c r="AN5095" s="313"/>
      <c r="AO5095" s="313"/>
      <c r="AP5095" s="313"/>
      <c r="AQ5095" s="314"/>
      <c r="AR5095" s="315" t="str">
        <f t="shared" si="116"/>
        <v/>
      </c>
    </row>
    <row r="5096" spans="37:44" ht="30" hidden="1" customHeight="1" x14ac:dyDescent="0.25">
      <c r="AK5096" s="313"/>
      <c r="AL5096" s="313"/>
      <c r="AM5096" s="313"/>
      <c r="AN5096" s="313"/>
      <c r="AO5096" s="313"/>
      <c r="AP5096" s="313"/>
      <c r="AQ5096" s="314"/>
      <c r="AR5096" s="315" t="str">
        <f t="shared" si="116"/>
        <v/>
      </c>
    </row>
    <row r="5097" spans="37:44" ht="30" hidden="1" customHeight="1" x14ac:dyDescent="0.25">
      <c r="AK5097" s="313"/>
      <c r="AL5097" s="313"/>
      <c r="AM5097" s="313"/>
      <c r="AN5097" s="313"/>
      <c r="AO5097" s="313"/>
      <c r="AP5097" s="313"/>
      <c r="AQ5097" s="314"/>
      <c r="AR5097" s="315" t="str">
        <f t="shared" si="116"/>
        <v/>
      </c>
    </row>
    <row r="5098" spans="37:44" ht="30" hidden="1" customHeight="1" x14ac:dyDescent="0.25">
      <c r="AK5098" s="313"/>
      <c r="AL5098" s="313"/>
      <c r="AM5098" s="313"/>
      <c r="AN5098" s="313"/>
      <c r="AO5098" s="313"/>
      <c r="AP5098" s="313"/>
      <c r="AQ5098" s="314"/>
      <c r="AR5098" s="315" t="str">
        <f t="shared" si="116"/>
        <v/>
      </c>
    </row>
    <row r="5099" spans="37:44" ht="30" hidden="1" customHeight="1" x14ac:dyDescent="0.25">
      <c r="AK5099" s="313"/>
      <c r="AL5099" s="313"/>
      <c r="AM5099" s="313"/>
      <c r="AN5099" s="313"/>
      <c r="AO5099" s="313"/>
      <c r="AP5099" s="313"/>
      <c r="AQ5099" s="314"/>
      <c r="AR5099" s="315" t="str">
        <f t="shared" si="116"/>
        <v/>
      </c>
    </row>
    <row r="5100" spans="37:44" ht="30" hidden="1" customHeight="1" x14ac:dyDescent="0.25">
      <c r="AK5100" s="313"/>
      <c r="AL5100" s="313"/>
      <c r="AM5100" s="313"/>
      <c r="AN5100" s="313"/>
      <c r="AO5100" s="313"/>
      <c r="AP5100" s="313"/>
      <c r="AQ5100" s="314"/>
      <c r="AR5100" s="315" t="str">
        <f t="shared" si="116"/>
        <v/>
      </c>
    </row>
    <row r="5101" spans="37:44" ht="30" hidden="1" customHeight="1" x14ac:dyDescent="0.25">
      <c r="AK5101" s="313"/>
      <c r="AL5101" s="313"/>
      <c r="AM5101" s="313"/>
      <c r="AN5101" s="313"/>
      <c r="AO5101" s="313"/>
      <c r="AP5101" s="313"/>
      <c r="AQ5101" s="314"/>
      <c r="AR5101" s="315" t="str">
        <f t="shared" si="116"/>
        <v/>
      </c>
    </row>
    <row r="5102" spans="37:44" ht="30" hidden="1" customHeight="1" x14ac:dyDescent="0.25">
      <c r="AK5102" s="313"/>
      <c r="AL5102" s="313"/>
      <c r="AM5102" s="313"/>
      <c r="AN5102" s="313"/>
      <c r="AO5102" s="313"/>
      <c r="AP5102" s="313"/>
      <c r="AQ5102" s="314"/>
      <c r="AR5102" s="315" t="str">
        <f t="shared" si="116"/>
        <v/>
      </c>
    </row>
    <row r="5103" spans="37:44" ht="30" hidden="1" customHeight="1" x14ac:dyDescent="0.25">
      <c r="AK5103" s="313"/>
      <c r="AL5103" s="313"/>
      <c r="AM5103" s="313"/>
      <c r="AN5103" s="313"/>
      <c r="AO5103" s="313"/>
      <c r="AP5103" s="313"/>
      <c r="AQ5103" s="314"/>
      <c r="AR5103" s="315" t="str">
        <f t="shared" si="116"/>
        <v/>
      </c>
    </row>
    <row r="5104" spans="37:44" ht="30" hidden="1" customHeight="1" x14ac:dyDescent="0.25">
      <c r="AK5104" s="313"/>
      <c r="AL5104" s="313"/>
      <c r="AM5104" s="313"/>
      <c r="AN5104" s="313"/>
      <c r="AO5104" s="313"/>
      <c r="AP5104" s="313"/>
      <c r="AQ5104" s="314"/>
      <c r="AR5104" s="315" t="str">
        <f t="shared" si="116"/>
        <v/>
      </c>
    </row>
    <row r="5105" spans="37:44" ht="30" hidden="1" customHeight="1" x14ac:dyDescent="0.25">
      <c r="AK5105" s="313"/>
      <c r="AL5105" s="313"/>
      <c r="AM5105" s="313"/>
      <c r="AN5105" s="313"/>
      <c r="AO5105" s="313"/>
      <c r="AP5105" s="313"/>
      <c r="AQ5105" s="314"/>
      <c r="AR5105" s="315" t="str">
        <f t="shared" si="116"/>
        <v/>
      </c>
    </row>
    <row r="5106" spans="37:44" ht="30" hidden="1" customHeight="1" x14ac:dyDescent="0.25">
      <c r="AK5106" s="313"/>
      <c r="AL5106" s="313"/>
      <c r="AM5106" s="313"/>
      <c r="AN5106" s="313"/>
      <c r="AO5106" s="313"/>
      <c r="AP5106" s="313"/>
      <c r="AQ5106" s="314"/>
      <c r="AR5106" s="315" t="str">
        <f t="shared" si="116"/>
        <v/>
      </c>
    </row>
    <row r="5107" spans="37:44" ht="30" hidden="1" customHeight="1" x14ac:dyDescent="0.25">
      <c r="AK5107" s="313"/>
      <c r="AL5107" s="313"/>
      <c r="AM5107" s="313"/>
      <c r="AN5107" s="313"/>
      <c r="AO5107" s="313"/>
      <c r="AP5107" s="313"/>
      <c r="AQ5107" s="314"/>
      <c r="AR5107" s="315" t="str">
        <f t="shared" si="116"/>
        <v/>
      </c>
    </row>
    <row r="5108" spans="37:44" ht="30" hidden="1" customHeight="1" x14ac:dyDescent="0.25">
      <c r="AK5108" s="313"/>
      <c r="AL5108" s="313"/>
      <c r="AM5108" s="313"/>
      <c r="AN5108" s="313"/>
      <c r="AO5108" s="313"/>
      <c r="AP5108" s="313"/>
      <c r="AQ5108" s="314"/>
      <c r="AR5108" s="315" t="str">
        <f t="shared" si="116"/>
        <v/>
      </c>
    </row>
    <row r="5109" spans="37:44" ht="30" hidden="1" customHeight="1" x14ac:dyDescent="0.25">
      <c r="AK5109" s="313"/>
      <c r="AL5109" s="313"/>
      <c r="AM5109" s="313"/>
      <c r="AN5109" s="313"/>
      <c r="AO5109" s="313"/>
      <c r="AP5109" s="313"/>
      <c r="AQ5109" s="314"/>
      <c r="AR5109" s="315" t="str">
        <f t="shared" si="116"/>
        <v/>
      </c>
    </row>
    <row r="5110" spans="37:44" ht="30" hidden="1" customHeight="1" x14ac:dyDescent="0.25">
      <c r="AK5110" s="313"/>
      <c r="AL5110" s="313"/>
      <c r="AM5110" s="313"/>
      <c r="AN5110" s="313"/>
      <c r="AO5110" s="313"/>
      <c r="AP5110" s="313"/>
      <c r="AQ5110" s="314"/>
      <c r="AR5110" s="315" t="str">
        <f t="shared" si="116"/>
        <v/>
      </c>
    </row>
    <row r="5111" spans="37:44" ht="30" hidden="1" customHeight="1" x14ac:dyDescent="0.25">
      <c r="AK5111" s="313"/>
      <c r="AL5111" s="313"/>
      <c r="AM5111" s="313"/>
      <c r="AN5111" s="313"/>
      <c r="AO5111" s="313"/>
      <c r="AP5111" s="313"/>
      <c r="AQ5111" s="314"/>
      <c r="AR5111" s="315" t="str">
        <f t="shared" si="116"/>
        <v/>
      </c>
    </row>
    <row r="5112" spans="37:44" ht="30" hidden="1" customHeight="1" x14ac:dyDescent="0.25">
      <c r="AK5112" s="313"/>
      <c r="AL5112" s="313"/>
      <c r="AM5112" s="313"/>
      <c r="AN5112" s="313"/>
      <c r="AO5112" s="313"/>
      <c r="AP5112" s="313"/>
      <c r="AQ5112" s="314"/>
      <c r="AR5112" s="315" t="str">
        <f t="shared" si="116"/>
        <v/>
      </c>
    </row>
    <row r="5113" spans="37:44" ht="30" hidden="1" customHeight="1" x14ac:dyDescent="0.25">
      <c r="AK5113" s="313"/>
      <c r="AL5113" s="313"/>
      <c r="AM5113" s="313"/>
      <c r="AN5113" s="313"/>
      <c r="AO5113" s="313"/>
      <c r="AP5113" s="313"/>
      <c r="AQ5113" s="314"/>
      <c r="AR5113" s="315" t="str">
        <f t="shared" si="116"/>
        <v/>
      </c>
    </row>
    <row r="5114" spans="37:44" ht="30" hidden="1" customHeight="1" x14ac:dyDescent="0.25">
      <c r="AK5114" s="313"/>
      <c r="AL5114" s="313"/>
      <c r="AM5114" s="313"/>
      <c r="AN5114" s="313"/>
      <c r="AO5114" s="313"/>
      <c r="AP5114" s="313"/>
      <c r="AQ5114" s="314"/>
      <c r="AR5114" s="315" t="str">
        <f t="shared" si="116"/>
        <v/>
      </c>
    </row>
    <row r="5115" spans="37:44" ht="30" hidden="1" customHeight="1" x14ac:dyDescent="0.25">
      <c r="AK5115" s="313"/>
      <c r="AL5115" s="313"/>
      <c r="AM5115" s="313"/>
      <c r="AN5115" s="313"/>
      <c r="AO5115" s="313"/>
      <c r="AP5115" s="313"/>
      <c r="AQ5115" s="314"/>
      <c r="AR5115" s="315" t="str">
        <f t="shared" si="116"/>
        <v/>
      </c>
    </row>
    <row r="5116" spans="37:44" ht="30" hidden="1" customHeight="1" x14ac:dyDescent="0.25">
      <c r="AK5116" s="313"/>
      <c r="AL5116" s="313"/>
      <c r="AM5116" s="313"/>
      <c r="AN5116" s="313"/>
      <c r="AO5116" s="313"/>
      <c r="AP5116" s="313"/>
      <c r="AQ5116" s="314"/>
      <c r="AR5116" s="315" t="str">
        <f t="shared" si="116"/>
        <v/>
      </c>
    </row>
    <row r="5117" spans="37:44" ht="30" hidden="1" customHeight="1" x14ac:dyDescent="0.25">
      <c r="AK5117" s="313"/>
      <c r="AL5117" s="313"/>
      <c r="AM5117" s="313"/>
      <c r="AN5117" s="313"/>
      <c r="AO5117" s="313"/>
      <c r="AP5117" s="313"/>
      <c r="AQ5117" s="314"/>
      <c r="AR5117" s="315" t="str">
        <f t="shared" si="116"/>
        <v/>
      </c>
    </row>
    <row r="5118" spans="37:44" ht="30" hidden="1" customHeight="1" x14ac:dyDescent="0.25">
      <c r="AK5118" s="313"/>
      <c r="AL5118" s="313"/>
      <c r="AM5118" s="313"/>
      <c r="AN5118" s="313"/>
      <c r="AO5118" s="313"/>
      <c r="AP5118" s="313"/>
      <c r="AQ5118" s="314"/>
      <c r="AR5118" s="315" t="str">
        <f t="shared" si="116"/>
        <v/>
      </c>
    </row>
    <row r="5119" spans="37:44" ht="30" hidden="1" customHeight="1" x14ac:dyDescent="0.25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17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 x14ac:dyDescent="0.25">
      <c r="AK5120" s="313"/>
      <c r="AL5120" s="313"/>
      <c r="AM5120" s="313"/>
      <c r="AN5120" s="313"/>
      <c r="AO5120" s="313"/>
      <c r="AP5120" s="313"/>
      <c r="AQ5120" s="314"/>
      <c r="AR5120" s="315" t="str">
        <f t="shared" si="117"/>
        <v/>
      </c>
    </row>
    <row r="5121" spans="37:44" ht="30" hidden="1" customHeight="1" x14ac:dyDescent="0.25">
      <c r="AK5121" s="313"/>
      <c r="AL5121" s="313"/>
      <c r="AM5121" s="313"/>
      <c r="AN5121" s="313"/>
      <c r="AO5121" s="313"/>
      <c r="AP5121" s="313"/>
      <c r="AQ5121" s="314"/>
      <c r="AR5121" s="315" t="str">
        <f t="shared" si="117"/>
        <v/>
      </c>
    </row>
    <row r="5122" spans="37:44" ht="30" hidden="1" customHeight="1" x14ac:dyDescent="0.25">
      <c r="AK5122" s="313"/>
      <c r="AL5122" s="313"/>
      <c r="AM5122" s="313"/>
      <c r="AN5122" s="313"/>
      <c r="AO5122" s="313"/>
      <c r="AP5122" s="313"/>
      <c r="AQ5122" s="314"/>
      <c r="AR5122" s="315" t="str">
        <f t="shared" si="117"/>
        <v/>
      </c>
    </row>
    <row r="5123" spans="37:44" ht="30" hidden="1" customHeight="1" x14ac:dyDescent="0.25">
      <c r="AK5123" s="313"/>
      <c r="AL5123" s="313"/>
      <c r="AM5123" s="313"/>
      <c r="AN5123" s="313"/>
      <c r="AO5123" s="313"/>
      <c r="AP5123" s="313"/>
      <c r="AQ5123" s="314"/>
      <c r="AR5123" s="315" t="str">
        <f t="shared" si="117"/>
        <v/>
      </c>
    </row>
    <row r="5124" spans="37:44" ht="30" hidden="1" customHeight="1" x14ac:dyDescent="0.25">
      <c r="AK5124" s="313"/>
      <c r="AL5124" s="313"/>
      <c r="AM5124" s="313"/>
      <c r="AN5124" s="313"/>
      <c r="AO5124" s="313"/>
      <c r="AP5124" s="313"/>
      <c r="AQ5124" s="314"/>
      <c r="AR5124" s="315" t="str">
        <f t="shared" si="117"/>
        <v/>
      </c>
    </row>
    <row r="5125" spans="37:44" ht="30" hidden="1" customHeight="1" x14ac:dyDescent="0.25">
      <c r="AK5125" s="313"/>
      <c r="AL5125" s="313"/>
      <c r="AM5125" s="313"/>
      <c r="AN5125" s="313"/>
      <c r="AO5125" s="313"/>
      <c r="AP5125" s="313"/>
      <c r="AQ5125" s="314"/>
      <c r="AR5125" s="315" t="str">
        <f t="shared" si="117"/>
        <v/>
      </c>
    </row>
    <row r="5126" spans="37:44" ht="30" hidden="1" customHeight="1" x14ac:dyDescent="0.25">
      <c r="AK5126" s="313"/>
      <c r="AL5126" s="313"/>
      <c r="AM5126" s="313"/>
      <c r="AN5126" s="313"/>
      <c r="AO5126" s="313"/>
      <c r="AP5126" s="313"/>
      <c r="AQ5126" s="314"/>
      <c r="AR5126" s="315" t="str">
        <f t="shared" si="117"/>
        <v/>
      </c>
    </row>
    <row r="5127" spans="37:44" ht="30" hidden="1" customHeight="1" x14ac:dyDescent="0.25">
      <c r="AK5127" s="313"/>
      <c r="AL5127" s="313"/>
      <c r="AM5127" s="313"/>
      <c r="AN5127" s="313"/>
      <c r="AO5127" s="313"/>
      <c r="AP5127" s="313"/>
      <c r="AQ5127" s="314"/>
      <c r="AR5127" s="315" t="str">
        <f t="shared" si="117"/>
        <v/>
      </c>
    </row>
    <row r="5128" spans="37:44" ht="30" hidden="1" customHeight="1" x14ac:dyDescent="0.25">
      <c r="AK5128" s="313"/>
      <c r="AL5128" s="313"/>
      <c r="AM5128" s="313"/>
      <c r="AN5128" s="313"/>
      <c r="AO5128" s="313"/>
      <c r="AP5128" s="313"/>
      <c r="AQ5128" s="314"/>
      <c r="AR5128" s="315" t="str">
        <f t="shared" si="117"/>
        <v/>
      </c>
    </row>
    <row r="5129" spans="37:44" ht="30" hidden="1" customHeight="1" x14ac:dyDescent="0.25">
      <c r="AK5129" s="313"/>
      <c r="AL5129" s="313"/>
      <c r="AM5129" s="313"/>
      <c r="AN5129" s="313"/>
      <c r="AO5129" s="313"/>
      <c r="AP5129" s="313"/>
      <c r="AQ5129" s="314"/>
      <c r="AR5129" s="315" t="str">
        <f t="shared" si="117"/>
        <v/>
      </c>
    </row>
    <row r="5130" spans="37:44" ht="30" hidden="1" customHeight="1" x14ac:dyDescent="0.25">
      <c r="AK5130" s="313"/>
      <c r="AL5130" s="313"/>
      <c r="AM5130" s="313"/>
      <c r="AN5130" s="313"/>
      <c r="AO5130" s="313"/>
      <c r="AP5130" s="313"/>
      <c r="AQ5130" s="314"/>
      <c r="AR5130" s="315" t="str">
        <f t="shared" si="117"/>
        <v/>
      </c>
    </row>
    <row r="5131" spans="37:44" ht="30" hidden="1" customHeight="1" x14ac:dyDescent="0.25">
      <c r="AK5131" s="313"/>
      <c r="AL5131" s="313"/>
      <c r="AM5131" s="313"/>
      <c r="AN5131" s="313"/>
      <c r="AO5131" s="313"/>
      <c r="AP5131" s="313"/>
      <c r="AQ5131" s="314"/>
      <c r="AR5131" s="315" t="str">
        <f t="shared" si="117"/>
        <v/>
      </c>
    </row>
    <row r="5132" spans="37:44" ht="30" hidden="1" customHeight="1" x14ac:dyDescent="0.25">
      <c r="AK5132" s="313"/>
      <c r="AL5132" s="313"/>
      <c r="AM5132" s="313"/>
      <c r="AN5132" s="313"/>
      <c r="AO5132" s="313"/>
      <c r="AP5132" s="313"/>
      <c r="AQ5132" s="314"/>
      <c r="AR5132" s="315" t="str">
        <f t="shared" si="117"/>
        <v/>
      </c>
    </row>
    <row r="5133" spans="37:44" ht="30" hidden="1" customHeight="1" x14ac:dyDescent="0.25">
      <c r="AK5133" s="313"/>
      <c r="AL5133" s="313"/>
      <c r="AM5133" s="313"/>
      <c r="AN5133" s="313"/>
      <c r="AO5133" s="313"/>
      <c r="AP5133" s="313"/>
      <c r="AQ5133" s="314"/>
      <c r="AR5133" s="315" t="str">
        <f t="shared" si="117"/>
        <v/>
      </c>
    </row>
    <row r="5134" spans="37:44" ht="30" hidden="1" customHeight="1" x14ac:dyDescent="0.25">
      <c r="AK5134" s="313"/>
      <c r="AL5134" s="313"/>
      <c r="AM5134" s="313"/>
      <c r="AN5134" s="313"/>
      <c r="AO5134" s="313"/>
      <c r="AP5134" s="313"/>
      <c r="AQ5134" s="314"/>
      <c r="AR5134" s="315" t="str">
        <f t="shared" si="117"/>
        <v/>
      </c>
    </row>
    <row r="5135" spans="37:44" ht="30" hidden="1" customHeight="1" x14ac:dyDescent="0.25">
      <c r="AK5135" s="313"/>
      <c r="AL5135" s="313"/>
      <c r="AM5135" s="313"/>
      <c r="AN5135" s="313"/>
      <c r="AO5135" s="313"/>
      <c r="AP5135" s="313"/>
      <c r="AQ5135" s="314"/>
      <c r="AR5135" s="315" t="str">
        <f t="shared" si="117"/>
        <v/>
      </c>
    </row>
    <row r="5136" spans="37:44" ht="30" hidden="1" customHeight="1" x14ac:dyDescent="0.25">
      <c r="AK5136" s="313"/>
      <c r="AL5136" s="313"/>
      <c r="AM5136" s="313"/>
      <c r="AN5136" s="313"/>
      <c r="AO5136" s="313"/>
      <c r="AP5136" s="313"/>
      <c r="AQ5136" s="314"/>
      <c r="AR5136" s="315" t="str">
        <f t="shared" si="117"/>
        <v/>
      </c>
    </row>
    <row r="5137" spans="37:44" ht="30" hidden="1" customHeight="1" x14ac:dyDescent="0.25">
      <c r="AK5137" s="313"/>
      <c r="AL5137" s="313"/>
      <c r="AM5137" s="313"/>
      <c r="AN5137" s="313"/>
      <c r="AO5137" s="313"/>
      <c r="AP5137" s="313"/>
      <c r="AQ5137" s="314"/>
      <c r="AR5137" s="315" t="str">
        <f t="shared" si="117"/>
        <v/>
      </c>
    </row>
    <row r="5138" spans="37:44" ht="30" hidden="1" customHeight="1" x14ac:dyDescent="0.25">
      <c r="AK5138" s="313"/>
      <c r="AL5138" s="313"/>
      <c r="AM5138" s="313"/>
      <c r="AN5138" s="313"/>
      <c r="AO5138" s="313"/>
      <c r="AP5138" s="313"/>
      <c r="AQ5138" s="314"/>
      <c r="AR5138" s="315" t="str">
        <f t="shared" si="117"/>
        <v/>
      </c>
    </row>
    <row r="5139" spans="37:44" ht="30" hidden="1" customHeight="1" x14ac:dyDescent="0.25">
      <c r="AK5139" s="313"/>
      <c r="AL5139" s="313"/>
      <c r="AM5139" s="313"/>
      <c r="AN5139" s="313"/>
      <c r="AO5139" s="313"/>
      <c r="AP5139" s="313"/>
      <c r="AQ5139" s="314"/>
      <c r="AR5139" s="315" t="str">
        <f t="shared" si="117"/>
        <v/>
      </c>
    </row>
    <row r="5140" spans="37:44" ht="30" hidden="1" customHeight="1" x14ac:dyDescent="0.25">
      <c r="AK5140" s="313"/>
      <c r="AL5140" s="313"/>
      <c r="AM5140" s="313"/>
      <c r="AN5140" s="313"/>
      <c r="AO5140" s="313"/>
      <c r="AP5140" s="313"/>
      <c r="AQ5140" s="314"/>
      <c r="AR5140" s="315" t="str">
        <f t="shared" si="117"/>
        <v/>
      </c>
    </row>
    <row r="5141" spans="37:44" ht="30" hidden="1" customHeight="1" x14ac:dyDescent="0.25">
      <c r="AK5141" s="313"/>
      <c r="AL5141" s="313"/>
      <c r="AM5141" s="313"/>
      <c r="AN5141" s="313"/>
      <c r="AO5141" s="313"/>
      <c r="AP5141" s="313"/>
      <c r="AQ5141" s="314"/>
      <c r="AR5141" s="315" t="str">
        <f t="shared" si="117"/>
        <v/>
      </c>
    </row>
    <row r="5142" spans="37:44" ht="30" hidden="1" customHeight="1" x14ac:dyDescent="0.25">
      <c r="AK5142" s="313"/>
      <c r="AL5142" s="313"/>
      <c r="AM5142" s="313"/>
      <c r="AN5142" s="313"/>
      <c r="AO5142" s="313"/>
      <c r="AP5142" s="313"/>
      <c r="AQ5142" s="314"/>
      <c r="AR5142" s="315" t="str">
        <f t="shared" si="117"/>
        <v/>
      </c>
    </row>
    <row r="5143" spans="37:44" ht="30" hidden="1" customHeight="1" x14ac:dyDescent="0.25">
      <c r="AK5143" s="313"/>
      <c r="AL5143" s="313"/>
      <c r="AM5143" s="313"/>
      <c r="AN5143" s="313"/>
      <c r="AO5143" s="313"/>
      <c r="AP5143" s="313"/>
      <c r="AQ5143" s="314"/>
      <c r="AR5143" s="315" t="str">
        <f t="shared" si="117"/>
        <v/>
      </c>
    </row>
    <row r="5144" spans="37:44" ht="30" hidden="1" customHeight="1" x14ac:dyDescent="0.25">
      <c r="AK5144" s="313"/>
      <c r="AL5144" s="313"/>
      <c r="AM5144" s="313"/>
      <c r="AN5144" s="313"/>
      <c r="AO5144" s="313"/>
      <c r="AP5144" s="313"/>
      <c r="AQ5144" s="314"/>
      <c r="AR5144" s="315" t="str">
        <f t="shared" si="117"/>
        <v/>
      </c>
    </row>
    <row r="5145" spans="37:44" ht="30" hidden="1" customHeight="1" x14ac:dyDescent="0.25">
      <c r="AK5145" s="313"/>
      <c r="AL5145" s="313"/>
      <c r="AM5145" s="313"/>
      <c r="AN5145" s="313"/>
      <c r="AO5145" s="313"/>
      <c r="AP5145" s="313"/>
      <c r="AQ5145" s="314"/>
      <c r="AR5145" s="315" t="str">
        <f t="shared" si="117"/>
        <v/>
      </c>
    </row>
    <row r="5146" spans="37:44" ht="30" hidden="1" customHeight="1" x14ac:dyDescent="0.25">
      <c r="AK5146" s="313"/>
      <c r="AL5146" s="313"/>
      <c r="AM5146" s="313"/>
      <c r="AN5146" s="313"/>
      <c r="AO5146" s="313"/>
      <c r="AP5146" s="313"/>
      <c r="AQ5146" s="314"/>
      <c r="AR5146" s="315" t="str">
        <f t="shared" si="117"/>
        <v/>
      </c>
    </row>
    <row r="5147" spans="37:44" ht="30" hidden="1" customHeight="1" x14ac:dyDescent="0.25">
      <c r="AK5147" s="313"/>
      <c r="AL5147" s="313"/>
      <c r="AM5147" s="313"/>
      <c r="AN5147" s="313"/>
      <c r="AO5147" s="313"/>
      <c r="AP5147" s="313"/>
      <c r="AQ5147" s="314"/>
      <c r="AR5147" s="315" t="str">
        <f t="shared" si="117"/>
        <v/>
      </c>
    </row>
    <row r="5148" spans="37:44" ht="30" hidden="1" customHeight="1" x14ac:dyDescent="0.25">
      <c r="AK5148" s="313"/>
      <c r="AL5148" s="313"/>
      <c r="AM5148" s="313"/>
      <c r="AN5148" s="313"/>
      <c r="AO5148" s="313"/>
      <c r="AP5148" s="313"/>
      <c r="AQ5148" s="314"/>
      <c r="AR5148" s="315" t="str">
        <f t="shared" si="117"/>
        <v/>
      </c>
    </row>
    <row r="5149" spans="37:44" ht="30" hidden="1" customHeight="1" x14ac:dyDescent="0.25">
      <c r="AK5149" s="313"/>
      <c r="AL5149" s="313"/>
      <c r="AM5149" s="313"/>
      <c r="AN5149" s="313"/>
      <c r="AO5149" s="313"/>
      <c r="AP5149" s="313"/>
      <c r="AQ5149" s="314"/>
      <c r="AR5149" s="315" t="str">
        <f t="shared" si="117"/>
        <v/>
      </c>
    </row>
    <row r="5150" spans="37:44" ht="30" hidden="1" customHeight="1" x14ac:dyDescent="0.25">
      <c r="AK5150" s="313"/>
      <c r="AL5150" s="313"/>
      <c r="AM5150" s="313"/>
      <c r="AN5150" s="313"/>
      <c r="AO5150" s="313"/>
      <c r="AP5150" s="313"/>
      <c r="AQ5150" s="314"/>
      <c r="AR5150" s="315" t="str">
        <f t="shared" si="117"/>
        <v/>
      </c>
    </row>
    <row r="5151" spans="37:44" ht="30" hidden="1" customHeight="1" x14ac:dyDescent="0.25">
      <c r="AK5151" s="313"/>
      <c r="AL5151" s="313"/>
      <c r="AM5151" s="313"/>
      <c r="AN5151" s="313"/>
      <c r="AO5151" s="313"/>
      <c r="AP5151" s="313"/>
      <c r="AQ5151" s="314"/>
      <c r="AR5151" s="315" t="str">
        <f t="shared" si="117"/>
        <v/>
      </c>
    </row>
    <row r="5152" spans="37:44" ht="30" hidden="1" customHeight="1" x14ac:dyDescent="0.25">
      <c r="AK5152" s="313"/>
      <c r="AL5152" s="313"/>
      <c r="AM5152" s="313"/>
      <c r="AN5152" s="313"/>
      <c r="AO5152" s="313"/>
      <c r="AP5152" s="313"/>
      <c r="AQ5152" s="314"/>
      <c r="AR5152" s="315" t="str">
        <f t="shared" si="117"/>
        <v/>
      </c>
    </row>
    <row r="5153" spans="37:44" ht="30" hidden="1" customHeight="1" x14ac:dyDescent="0.25">
      <c r="AK5153" s="313"/>
      <c r="AL5153" s="313"/>
      <c r="AM5153" s="313"/>
      <c r="AN5153" s="313"/>
      <c r="AO5153" s="313"/>
      <c r="AP5153" s="313"/>
      <c r="AQ5153" s="314"/>
      <c r="AR5153" s="315" t="str">
        <f t="shared" si="117"/>
        <v/>
      </c>
    </row>
    <row r="5154" spans="37:44" ht="30" hidden="1" customHeight="1" x14ac:dyDescent="0.25">
      <c r="AK5154" s="313"/>
      <c r="AL5154" s="313"/>
      <c r="AM5154" s="313"/>
      <c r="AN5154" s="313"/>
      <c r="AO5154" s="313"/>
      <c r="AP5154" s="313"/>
      <c r="AQ5154" s="314"/>
      <c r="AR5154" s="315" t="str">
        <f t="shared" si="117"/>
        <v/>
      </c>
    </row>
    <row r="5155" spans="37:44" ht="30" hidden="1" customHeight="1" x14ac:dyDescent="0.25">
      <c r="AK5155" s="313"/>
      <c r="AL5155" s="313"/>
      <c r="AM5155" s="313"/>
      <c r="AN5155" s="313"/>
      <c r="AO5155" s="313"/>
      <c r="AP5155" s="313"/>
      <c r="AQ5155" s="314"/>
      <c r="AR5155" s="315" t="str">
        <f t="shared" si="117"/>
        <v/>
      </c>
    </row>
    <row r="5156" spans="37:44" ht="30" hidden="1" customHeight="1" x14ac:dyDescent="0.25">
      <c r="AK5156" s="313"/>
      <c r="AL5156" s="313"/>
      <c r="AM5156" s="313"/>
      <c r="AN5156" s="313"/>
      <c r="AO5156" s="313"/>
      <c r="AP5156" s="313"/>
      <c r="AQ5156" s="314"/>
      <c r="AR5156" s="315" t="str">
        <f t="shared" si="117"/>
        <v/>
      </c>
    </row>
    <row r="5157" spans="37:44" ht="30" hidden="1" customHeight="1" x14ac:dyDescent="0.25">
      <c r="AK5157" s="313"/>
      <c r="AL5157" s="313"/>
      <c r="AM5157" s="313"/>
      <c r="AN5157" s="313"/>
      <c r="AO5157" s="313"/>
      <c r="AP5157" s="313"/>
      <c r="AQ5157" s="314"/>
      <c r="AR5157" s="315" t="str">
        <f t="shared" si="117"/>
        <v/>
      </c>
    </row>
    <row r="5158" spans="37:44" ht="30" hidden="1" customHeight="1" x14ac:dyDescent="0.25">
      <c r="AK5158" s="313"/>
      <c r="AL5158" s="313"/>
      <c r="AM5158" s="313"/>
      <c r="AN5158" s="313"/>
      <c r="AO5158" s="313"/>
      <c r="AP5158" s="313"/>
      <c r="AQ5158" s="314"/>
      <c r="AR5158" s="315" t="str">
        <f t="shared" si="117"/>
        <v/>
      </c>
    </row>
    <row r="5159" spans="37:44" ht="30" hidden="1" customHeight="1" x14ac:dyDescent="0.25">
      <c r="AK5159" s="313"/>
      <c r="AL5159" s="313"/>
      <c r="AM5159" s="313"/>
      <c r="AN5159" s="313"/>
      <c r="AO5159" s="313"/>
      <c r="AP5159" s="313"/>
      <c r="AQ5159" s="314"/>
      <c r="AR5159" s="315" t="str">
        <f t="shared" si="117"/>
        <v/>
      </c>
    </row>
    <row r="5160" spans="37:44" ht="30" hidden="1" customHeight="1" x14ac:dyDescent="0.25">
      <c r="AK5160" s="313"/>
      <c r="AL5160" s="313"/>
      <c r="AM5160" s="313"/>
      <c r="AN5160" s="313"/>
      <c r="AO5160" s="313"/>
      <c r="AP5160" s="313"/>
      <c r="AQ5160" s="314"/>
      <c r="AR5160" s="315" t="str">
        <f t="shared" si="117"/>
        <v/>
      </c>
    </row>
    <row r="5161" spans="37:44" ht="30" hidden="1" customHeight="1" x14ac:dyDescent="0.25">
      <c r="AK5161" s="313"/>
      <c r="AL5161" s="313"/>
      <c r="AM5161" s="313"/>
      <c r="AN5161" s="313"/>
      <c r="AO5161" s="313"/>
      <c r="AP5161" s="313"/>
      <c r="AQ5161" s="314"/>
      <c r="AR5161" s="315" t="str">
        <f t="shared" si="117"/>
        <v/>
      </c>
    </row>
    <row r="5162" spans="37:44" ht="30" hidden="1" customHeight="1" x14ac:dyDescent="0.25">
      <c r="AK5162" s="313"/>
      <c r="AL5162" s="313"/>
      <c r="AM5162" s="313"/>
      <c r="AN5162" s="313"/>
      <c r="AO5162" s="313"/>
      <c r="AP5162" s="313"/>
      <c r="AQ5162" s="314"/>
      <c r="AR5162" s="315" t="str">
        <f t="shared" si="117"/>
        <v/>
      </c>
    </row>
    <row r="5163" spans="37:44" ht="30" hidden="1" customHeight="1" x14ac:dyDescent="0.25">
      <c r="AK5163" s="313"/>
      <c r="AL5163" s="313"/>
      <c r="AM5163" s="313"/>
      <c r="AN5163" s="313"/>
      <c r="AO5163" s="313"/>
      <c r="AP5163" s="313"/>
      <c r="AQ5163" s="314"/>
      <c r="AR5163" s="315" t="str">
        <f t="shared" si="117"/>
        <v/>
      </c>
    </row>
    <row r="5164" spans="37:44" ht="30" hidden="1" customHeight="1" x14ac:dyDescent="0.25">
      <c r="AK5164" s="313"/>
      <c r="AL5164" s="313"/>
      <c r="AM5164" s="313"/>
      <c r="AN5164" s="313"/>
      <c r="AO5164" s="313"/>
      <c r="AP5164" s="313"/>
      <c r="AQ5164" s="314"/>
      <c r="AR5164" s="315" t="str">
        <f t="shared" si="117"/>
        <v/>
      </c>
    </row>
    <row r="5165" spans="37:44" ht="30" hidden="1" customHeight="1" x14ac:dyDescent="0.25">
      <c r="AK5165" s="313"/>
      <c r="AL5165" s="313"/>
      <c r="AM5165" s="313"/>
      <c r="AN5165" s="313"/>
      <c r="AO5165" s="313"/>
      <c r="AP5165" s="313"/>
      <c r="AQ5165" s="314"/>
      <c r="AR5165" s="315" t="str">
        <f t="shared" si="117"/>
        <v/>
      </c>
    </row>
    <row r="5166" spans="37:44" ht="30" hidden="1" customHeight="1" x14ac:dyDescent="0.25">
      <c r="AK5166" s="313"/>
      <c r="AL5166" s="313"/>
      <c r="AM5166" s="313"/>
      <c r="AN5166" s="313"/>
      <c r="AO5166" s="313"/>
      <c r="AP5166" s="313"/>
      <c r="AQ5166" s="314"/>
      <c r="AR5166" s="315" t="str">
        <f t="shared" si="117"/>
        <v/>
      </c>
    </row>
    <row r="5167" spans="37:44" ht="30" hidden="1" customHeight="1" x14ac:dyDescent="0.25">
      <c r="AK5167" s="313"/>
      <c r="AL5167" s="313"/>
      <c r="AM5167" s="313"/>
      <c r="AN5167" s="313"/>
      <c r="AO5167" s="313"/>
      <c r="AP5167" s="313"/>
      <c r="AQ5167" s="314"/>
      <c r="AR5167" s="315" t="str">
        <f t="shared" si="117"/>
        <v/>
      </c>
    </row>
    <row r="5168" spans="37:44" ht="30" hidden="1" customHeight="1" x14ac:dyDescent="0.25">
      <c r="AK5168" s="313"/>
      <c r="AL5168" s="313"/>
      <c r="AM5168" s="313"/>
      <c r="AN5168" s="313"/>
      <c r="AO5168" s="313"/>
      <c r="AP5168" s="313"/>
      <c r="AQ5168" s="314"/>
      <c r="AR5168" s="315" t="str">
        <f t="shared" si="117"/>
        <v/>
      </c>
    </row>
    <row r="5169" spans="37:44" ht="30" hidden="1" customHeight="1" x14ac:dyDescent="0.25">
      <c r="AK5169" s="313"/>
      <c r="AL5169" s="313"/>
      <c r="AM5169" s="313"/>
      <c r="AN5169" s="313"/>
      <c r="AO5169" s="313"/>
      <c r="AP5169" s="313"/>
      <c r="AQ5169" s="314"/>
      <c r="AR5169" s="315" t="str">
        <f t="shared" si="117"/>
        <v/>
      </c>
    </row>
    <row r="5170" spans="37:44" ht="30" hidden="1" customHeight="1" x14ac:dyDescent="0.25">
      <c r="AK5170" s="313"/>
      <c r="AL5170" s="313"/>
      <c r="AM5170" s="313"/>
      <c r="AN5170" s="313"/>
      <c r="AO5170" s="313"/>
      <c r="AP5170" s="313"/>
      <c r="AQ5170" s="314"/>
      <c r="AR5170" s="315" t="str">
        <f t="shared" si="117"/>
        <v/>
      </c>
    </row>
    <row r="5171" spans="37:44" ht="30" hidden="1" customHeight="1" x14ac:dyDescent="0.25">
      <c r="AK5171" s="313"/>
      <c r="AL5171" s="313"/>
      <c r="AM5171" s="313"/>
      <c r="AN5171" s="313"/>
      <c r="AO5171" s="313"/>
      <c r="AP5171" s="313"/>
      <c r="AQ5171" s="314"/>
      <c r="AR5171" s="315" t="str">
        <f t="shared" si="117"/>
        <v/>
      </c>
    </row>
    <row r="5172" spans="37:44" ht="30" hidden="1" customHeight="1" x14ac:dyDescent="0.25">
      <c r="AK5172" s="313"/>
      <c r="AL5172" s="313"/>
      <c r="AM5172" s="313"/>
      <c r="AN5172" s="313"/>
      <c r="AO5172" s="313"/>
      <c r="AP5172" s="313"/>
      <c r="AQ5172" s="314"/>
      <c r="AR5172" s="315" t="str">
        <f t="shared" si="117"/>
        <v/>
      </c>
    </row>
    <row r="5173" spans="37:44" ht="30" hidden="1" customHeight="1" x14ac:dyDescent="0.25">
      <c r="AK5173" s="313"/>
      <c r="AL5173" s="313"/>
      <c r="AM5173" s="313"/>
      <c r="AN5173" s="313"/>
      <c r="AO5173" s="313"/>
      <c r="AP5173" s="313"/>
      <c r="AQ5173" s="314"/>
      <c r="AR5173" s="315" t="str">
        <f t="shared" si="117"/>
        <v/>
      </c>
    </row>
    <row r="5174" spans="37:44" ht="30" hidden="1" customHeight="1" x14ac:dyDescent="0.25">
      <c r="AK5174" s="313"/>
      <c r="AL5174" s="313"/>
      <c r="AM5174" s="313"/>
      <c r="AN5174" s="313"/>
      <c r="AO5174" s="313"/>
      <c r="AP5174" s="313"/>
      <c r="AQ5174" s="314"/>
      <c r="AR5174" s="315" t="str">
        <f t="shared" si="117"/>
        <v/>
      </c>
    </row>
    <row r="5175" spans="37:44" ht="30" hidden="1" customHeight="1" x14ac:dyDescent="0.25">
      <c r="AK5175" s="313"/>
      <c r="AL5175" s="313"/>
      <c r="AM5175" s="313"/>
      <c r="AN5175" s="313"/>
      <c r="AO5175" s="313"/>
      <c r="AP5175" s="313"/>
      <c r="AQ5175" s="314"/>
      <c r="AR5175" s="315" t="str">
        <f t="shared" si="117"/>
        <v/>
      </c>
    </row>
    <row r="5176" spans="37:44" ht="30" hidden="1" customHeight="1" x14ac:dyDescent="0.25">
      <c r="AK5176" s="313"/>
      <c r="AL5176" s="313"/>
      <c r="AM5176" s="313"/>
      <c r="AN5176" s="313"/>
      <c r="AO5176" s="313"/>
      <c r="AP5176" s="313"/>
      <c r="AQ5176" s="314"/>
      <c r="AR5176" s="315" t="str">
        <f t="shared" si="117"/>
        <v/>
      </c>
    </row>
    <row r="5177" spans="37:44" ht="30" hidden="1" customHeight="1" x14ac:dyDescent="0.25">
      <c r="AK5177" s="313"/>
      <c r="AL5177" s="313"/>
      <c r="AM5177" s="313"/>
      <c r="AN5177" s="313"/>
      <c r="AO5177" s="313"/>
      <c r="AP5177" s="313"/>
      <c r="AQ5177" s="314"/>
      <c r="AR5177" s="315" t="str">
        <f t="shared" si="117"/>
        <v/>
      </c>
    </row>
    <row r="5178" spans="37:44" ht="30" hidden="1" customHeight="1" x14ac:dyDescent="0.25">
      <c r="AK5178" s="313"/>
      <c r="AL5178" s="313"/>
      <c r="AM5178" s="313"/>
      <c r="AN5178" s="313"/>
      <c r="AO5178" s="313"/>
      <c r="AP5178" s="313"/>
      <c r="AQ5178" s="314"/>
      <c r="AR5178" s="315" t="str">
        <f t="shared" si="117"/>
        <v/>
      </c>
    </row>
    <row r="5179" spans="37:44" ht="30" hidden="1" customHeight="1" x14ac:dyDescent="0.25">
      <c r="AK5179" s="313"/>
      <c r="AL5179" s="313"/>
      <c r="AM5179" s="313"/>
      <c r="AN5179" s="313"/>
      <c r="AO5179" s="313"/>
      <c r="AP5179" s="313"/>
      <c r="AQ5179" s="314"/>
      <c r="AR5179" s="315" t="str">
        <f t="shared" si="117"/>
        <v/>
      </c>
    </row>
    <row r="5180" spans="37:44" ht="30" hidden="1" customHeight="1" x14ac:dyDescent="0.25">
      <c r="AK5180" s="313"/>
      <c r="AL5180" s="313"/>
      <c r="AM5180" s="313"/>
      <c r="AN5180" s="313"/>
      <c r="AO5180" s="313"/>
      <c r="AP5180" s="313"/>
      <c r="AQ5180" s="314"/>
      <c r="AR5180" s="315" t="str">
        <f t="shared" si="117"/>
        <v/>
      </c>
    </row>
    <row r="5181" spans="37:44" ht="30" hidden="1" customHeight="1" x14ac:dyDescent="0.25">
      <c r="AK5181" s="313"/>
      <c r="AL5181" s="313"/>
      <c r="AM5181" s="313"/>
      <c r="AN5181" s="313"/>
      <c r="AO5181" s="313"/>
      <c r="AP5181" s="313"/>
      <c r="AQ5181" s="314"/>
      <c r="AR5181" s="315" t="str">
        <f t="shared" si="117"/>
        <v/>
      </c>
    </row>
    <row r="5182" spans="37:44" ht="30" hidden="1" customHeight="1" x14ac:dyDescent="0.25">
      <c r="AK5182" s="313"/>
      <c r="AL5182" s="313"/>
      <c r="AM5182" s="313"/>
      <c r="AN5182" s="313"/>
      <c r="AO5182" s="313"/>
      <c r="AP5182" s="313"/>
      <c r="AQ5182" s="314"/>
      <c r="AR5182" s="315" t="str">
        <f t="shared" si="117"/>
        <v/>
      </c>
    </row>
    <row r="5183" spans="37:44" ht="30" hidden="1" customHeight="1" x14ac:dyDescent="0.25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18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 x14ac:dyDescent="0.25">
      <c r="AK5184" s="313"/>
      <c r="AL5184" s="313"/>
      <c r="AM5184" s="313"/>
      <c r="AN5184" s="313"/>
      <c r="AO5184" s="313"/>
      <c r="AP5184" s="313"/>
      <c r="AQ5184" s="314"/>
      <c r="AR5184" s="315" t="str">
        <f t="shared" si="118"/>
        <v/>
      </c>
    </row>
    <row r="5185" spans="37:44" ht="30" hidden="1" customHeight="1" x14ac:dyDescent="0.25">
      <c r="AK5185" s="313"/>
      <c r="AL5185" s="313"/>
      <c r="AM5185" s="313"/>
      <c r="AN5185" s="313"/>
      <c r="AO5185" s="313"/>
      <c r="AP5185" s="313"/>
      <c r="AQ5185" s="314"/>
      <c r="AR5185" s="315" t="str">
        <f t="shared" si="118"/>
        <v/>
      </c>
    </row>
    <row r="5186" spans="37:44" ht="30" hidden="1" customHeight="1" x14ac:dyDescent="0.25">
      <c r="AK5186" s="313"/>
      <c r="AL5186" s="313"/>
      <c r="AM5186" s="313"/>
      <c r="AN5186" s="313"/>
      <c r="AO5186" s="313"/>
      <c r="AP5186" s="313"/>
      <c r="AQ5186" s="314"/>
      <c r="AR5186" s="315" t="str">
        <f t="shared" si="118"/>
        <v/>
      </c>
    </row>
    <row r="5187" spans="37:44" ht="30" hidden="1" customHeight="1" x14ac:dyDescent="0.25">
      <c r="AK5187" s="313"/>
      <c r="AL5187" s="313"/>
      <c r="AM5187" s="313"/>
      <c r="AN5187" s="313"/>
      <c r="AO5187" s="313"/>
      <c r="AP5187" s="313"/>
      <c r="AQ5187" s="314"/>
      <c r="AR5187" s="315" t="str">
        <f t="shared" si="118"/>
        <v/>
      </c>
    </row>
    <row r="5188" spans="37:44" ht="30" hidden="1" customHeight="1" x14ac:dyDescent="0.25">
      <c r="AK5188" s="313"/>
      <c r="AL5188" s="313"/>
      <c r="AM5188" s="313"/>
      <c r="AN5188" s="313"/>
      <c r="AO5188" s="313"/>
      <c r="AP5188" s="313"/>
      <c r="AQ5188" s="314"/>
      <c r="AR5188" s="315" t="str">
        <f t="shared" si="118"/>
        <v/>
      </c>
    </row>
    <row r="5189" spans="37:44" ht="30" hidden="1" customHeight="1" x14ac:dyDescent="0.25">
      <c r="AK5189" s="313"/>
      <c r="AL5189" s="313"/>
      <c r="AM5189" s="313"/>
      <c r="AN5189" s="313"/>
      <c r="AO5189" s="313"/>
      <c r="AP5189" s="313"/>
      <c r="AQ5189" s="314"/>
      <c r="AR5189" s="315" t="str">
        <f t="shared" si="118"/>
        <v/>
      </c>
    </row>
    <row r="5190" spans="37:44" ht="30" hidden="1" customHeight="1" x14ac:dyDescent="0.25">
      <c r="AK5190" s="313"/>
      <c r="AL5190" s="313"/>
      <c r="AM5190" s="313"/>
      <c r="AN5190" s="313"/>
      <c r="AO5190" s="313"/>
      <c r="AP5190" s="313"/>
      <c r="AQ5190" s="314"/>
      <c r="AR5190" s="315" t="str">
        <f t="shared" si="118"/>
        <v/>
      </c>
    </row>
    <row r="5191" spans="37:44" ht="30" hidden="1" customHeight="1" x14ac:dyDescent="0.25">
      <c r="AK5191" s="313"/>
      <c r="AL5191" s="313"/>
      <c r="AM5191" s="313"/>
      <c r="AN5191" s="313"/>
      <c r="AO5191" s="313"/>
      <c r="AP5191" s="313"/>
      <c r="AQ5191" s="314"/>
      <c r="AR5191" s="315" t="str">
        <f t="shared" si="118"/>
        <v/>
      </c>
    </row>
    <row r="5192" spans="37:44" ht="30" hidden="1" customHeight="1" x14ac:dyDescent="0.25">
      <c r="AK5192" s="313"/>
      <c r="AL5192" s="313"/>
      <c r="AM5192" s="313"/>
      <c r="AN5192" s="313"/>
      <c r="AO5192" s="313"/>
      <c r="AP5192" s="313"/>
      <c r="AQ5192" s="314"/>
      <c r="AR5192" s="315" t="str">
        <f t="shared" si="118"/>
        <v/>
      </c>
    </row>
    <row r="5193" spans="37:44" ht="30" hidden="1" customHeight="1" x14ac:dyDescent="0.25">
      <c r="AK5193" s="313"/>
      <c r="AL5193" s="313"/>
      <c r="AM5193" s="313"/>
      <c r="AN5193" s="313"/>
      <c r="AO5193" s="313"/>
      <c r="AP5193" s="313"/>
      <c r="AQ5193" s="314"/>
      <c r="AR5193" s="315" t="str">
        <f t="shared" si="118"/>
        <v/>
      </c>
    </row>
    <row r="5194" spans="37:44" ht="30" hidden="1" customHeight="1" x14ac:dyDescent="0.25">
      <c r="AK5194" s="313"/>
      <c r="AL5194" s="313"/>
      <c r="AM5194" s="313"/>
      <c r="AN5194" s="313"/>
      <c r="AO5194" s="313"/>
      <c r="AP5194" s="313"/>
      <c r="AQ5194" s="314"/>
      <c r="AR5194" s="315" t="str">
        <f t="shared" si="118"/>
        <v/>
      </c>
    </row>
    <row r="5195" spans="37:44" ht="30" hidden="1" customHeight="1" x14ac:dyDescent="0.25">
      <c r="AK5195" s="313"/>
      <c r="AL5195" s="313"/>
      <c r="AM5195" s="313"/>
      <c r="AN5195" s="313"/>
      <c r="AO5195" s="313"/>
      <c r="AP5195" s="313"/>
      <c r="AQ5195" s="314"/>
      <c r="AR5195" s="315" t="str">
        <f t="shared" si="118"/>
        <v/>
      </c>
    </row>
    <row r="5196" spans="37:44" ht="30" hidden="1" customHeight="1" x14ac:dyDescent="0.25">
      <c r="AK5196" s="313"/>
      <c r="AL5196" s="313"/>
      <c r="AM5196" s="313"/>
      <c r="AN5196" s="313"/>
      <c r="AO5196" s="313"/>
      <c r="AP5196" s="313"/>
      <c r="AQ5196" s="314"/>
      <c r="AR5196" s="315" t="str">
        <f t="shared" si="118"/>
        <v/>
      </c>
    </row>
    <row r="5197" spans="37:44" ht="30" hidden="1" customHeight="1" x14ac:dyDescent="0.25">
      <c r="AK5197" s="313"/>
      <c r="AL5197" s="313"/>
      <c r="AM5197" s="313"/>
      <c r="AN5197" s="313"/>
      <c r="AO5197" s="313"/>
      <c r="AP5197" s="313"/>
      <c r="AQ5197" s="314"/>
      <c r="AR5197" s="315" t="str">
        <f t="shared" si="118"/>
        <v/>
      </c>
    </row>
    <row r="5198" spans="37:44" ht="30" hidden="1" customHeight="1" x14ac:dyDescent="0.25">
      <c r="AK5198" s="313"/>
      <c r="AL5198" s="313"/>
      <c r="AM5198" s="313"/>
      <c r="AN5198" s="313"/>
      <c r="AO5198" s="313"/>
      <c r="AP5198" s="313"/>
      <c r="AQ5198" s="314"/>
      <c r="AR5198" s="315" t="str">
        <f t="shared" si="118"/>
        <v/>
      </c>
    </row>
    <row r="5199" spans="37:44" ht="30" hidden="1" customHeight="1" x14ac:dyDescent="0.25">
      <c r="AK5199" s="313"/>
      <c r="AL5199" s="313"/>
      <c r="AM5199" s="313"/>
      <c r="AN5199" s="313"/>
      <c r="AO5199" s="313"/>
      <c r="AP5199" s="313"/>
      <c r="AQ5199" s="314"/>
      <c r="AR5199" s="315" t="str">
        <f t="shared" si="118"/>
        <v/>
      </c>
    </row>
    <row r="5200" spans="37:44" ht="30" hidden="1" customHeight="1" x14ac:dyDescent="0.25">
      <c r="AK5200" s="313"/>
      <c r="AL5200" s="313"/>
      <c r="AM5200" s="313"/>
      <c r="AN5200" s="313"/>
      <c r="AO5200" s="313"/>
      <c r="AP5200" s="313"/>
      <c r="AQ5200" s="314"/>
      <c r="AR5200" s="315" t="str">
        <f t="shared" si="118"/>
        <v/>
      </c>
    </row>
    <row r="5201" spans="37:44" ht="30" hidden="1" customHeight="1" x14ac:dyDescent="0.25">
      <c r="AK5201" s="313"/>
      <c r="AL5201" s="313"/>
      <c r="AM5201" s="313"/>
      <c r="AN5201" s="313"/>
      <c r="AO5201" s="313"/>
      <c r="AP5201" s="313"/>
      <c r="AQ5201" s="314"/>
      <c r="AR5201" s="315" t="str">
        <f t="shared" si="118"/>
        <v/>
      </c>
    </row>
    <row r="5202" spans="37:44" ht="30" hidden="1" customHeight="1" x14ac:dyDescent="0.25">
      <c r="AK5202" s="313"/>
      <c r="AL5202" s="313"/>
      <c r="AM5202" s="313"/>
      <c r="AN5202" s="313"/>
      <c r="AO5202" s="313"/>
      <c r="AP5202" s="313"/>
      <c r="AQ5202" s="314"/>
      <c r="AR5202" s="315" t="str">
        <f t="shared" si="118"/>
        <v/>
      </c>
    </row>
    <row r="5203" spans="37:44" ht="30" hidden="1" customHeight="1" x14ac:dyDescent="0.25">
      <c r="AK5203" s="313"/>
      <c r="AL5203" s="313"/>
      <c r="AM5203" s="313"/>
      <c r="AN5203" s="313"/>
      <c r="AO5203" s="313"/>
      <c r="AP5203" s="313"/>
      <c r="AQ5203" s="314"/>
      <c r="AR5203" s="315" t="str">
        <f t="shared" si="118"/>
        <v/>
      </c>
    </row>
    <row r="5204" spans="37:44" ht="30" hidden="1" customHeight="1" x14ac:dyDescent="0.25">
      <c r="AK5204" s="313"/>
      <c r="AL5204" s="313"/>
      <c r="AM5204" s="313"/>
      <c r="AN5204" s="313"/>
      <c r="AO5204" s="313"/>
      <c r="AP5204" s="313"/>
      <c r="AQ5204" s="314"/>
      <c r="AR5204" s="315" t="str">
        <f t="shared" si="118"/>
        <v/>
      </c>
    </row>
    <row r="5205" spans="37:44" ht="30" hidden="1" customHeight="1" x14ac:dyDescent="0.25">
      <c r="AK5205" s="313"/>
      <c r="AL5205" s="313"/>
      <c r="AM5205" s="313"/>
      <c r="AN5205" s="313"/>
      <c r="AO5205" s="313"/>
      <c r="AP5205" s="313"/>
      <c r="AQ5205" s="314"/>
      <c r="AR5205" s="315" t="str">
        <f t="shared" si="118"/>
        <v/>
      </c>
    </row>
    <row r="5206" spans="37:44" ht="30" hidden="1" customHeight="1" x14ac:dyDescent="0.25">
      <c r="AK5206" s="313"/>
      <c r="AL5206" s="313"/>
      <c r="AM5206" s="313"/>
      <c r="AN5206" s="313"/>
      <c r="AO5206" s="313"/>
      <c r="AP5206" s="313"/>
      <c r="AQ5206" s="314"/>
      <c r="AR5206" s="315" t="str">
        <f t="shared" si="118"/>
        <v/>
      </c>
    </row>
    <row r="5207" spans="37:44" ht="30" hidden="1" customHeight="1" x14ac:dyDescent="0.25">
      <c r="AK5207" s="313"/>
      <c r="AL5207" s="313"/>
      <c r="AM5207" s="313"/>
      <c r="AN5207" s="313"/>
      <c r="AO5207" s="313"/>
      <c r="AP5207" s="313"/>
      <c r="AQ5207" s="314"/>
      <c r="AR5207" s="315" t="str">
        <f t="shared" si="118"/>
        <v/>
      </c>
    </row>
    <row r="5208" spans="37:44" ht="30" hidden="1" customHeight="1" x14ac:dyDescent="0.25">
      <c r="AK5208" s="313"/>
      <c r="AL5208" s="313"/>
      <c r="AM5208" s="313"/>
      <c r="AN5208" s="313"/>
      <c r="AO5208" s="313"/>
      <c r="AP5208" s="313"/>
      <c r="AQ5208" s="314"/>
      <c r="AR5208" s="315" t="str">
        <f t="shared" si="118"/>
        <v/>
      </c>
    </row>
    <row r="5209" spans="37:44" ht="30" hidden="1" customHeight="1" x14ac:dyDescent="0.25">
      <c r="AK5209" s="313"/>
      <c r="AL5209" s="313"/>
      <c r="AM5209" s="313"/>
      <c r="AN5209" s="313"/>
      <c r="AO5209" s="313"/>
      <c r="AP5209" s="313"/>
      <c r="AQ5209" s="314"/>
      <c r="AR5209" s="315" t="str">
        <f t="shared" si="118"/>
        <v/>
      </c>
    </row>
    <row r="5210" spans="37:44" ht="30" hidden="1" customHeight="1" x14ac:dyDescent="0.25">
      <c r="AK5210" s="313"/>
      <c r="AL5210" s="313"/>
      <c r="AM5210" s="313"/>
      <c r="AN5210" s="313"/>
      <c r="AO5210" s="313"/>
      <c r="AP5210" s="313"/>
      <c r="AQ5210" s="314"/>
      <c r="AR5210" s="315" t="str">
        <f t="shared" si="118"/>
        <v/>
      </c>
    </row>
    <row r="5211" spans="37:44" ht="30" hidden="1" customHeight="1" x14ac:dyDescent="0.25">
      <c r="AK5211" s="313"/>
      <c r="AL5211" s="313"/>
      <c r="AM5211" s="313"/>
      <c r="AN5211" s="313"/>
      <c r="AO5211" s="313"/>
      <c r="AP5211" s="313"/>
      <c r="AQ5211" s="314"/>
      <c r="AR5211" s="315" t="str">
        <f t="shared" si="118"/>
        <v/>
      </c>
    </row>
    <row r="5212" spans="37:44" ht="30" hidden="1" customHeight="1" x14ac:dyDescent="0.25">
      <c r="AK5212" s="313"/>
      <c r="AL5212" s="313"/>
      <c r="AM5212" s="313"/>
      <c r="AN5212" s="313"/>
      <c r="AO5212" s="313"/>
      <c r="AP5212" s="313"/>
      <c r="AQ5212" s="314"/>
      <c r="AR5212" s="315" t="str">
        <f t="shared" si="118"/>
        <v/>
      </c>
    </row>
    <row r="5213" spans="37:44" ht="30" hidden="1" customHeight="1" x14ac:dyDescent="0.25">
      <c r="AK5213" s="313"/>
      <c r="AL5213" s="313"/>
      <c r="AM5213" s="313"/>
      <c r="AN5213" s="313"/>
      <c r="AO5213" s="313"/>
      <c r="AP5213" s="313"/>
      <c r="AQ5213" s="314"/>
      <c r="AR5213" s="315" t="str">
        <f t="shared" si="118"/>
        <v/>
      </c>
    </row>
    <row r="5214" spans="37:44" ht="30" hidden="1" customHeight="1" x14ac:dyDescent="0.25">
      <c r="AK5214" s="313"/>
      <c r="AL5214" s="313"/>
      <c r="AM5214" s="313"/>
      <c r="AN5214" s="313"/>
      <c r="AO5214" s="313"/>
      <c r="AP5214" s="313"/>
      <c r="AQ5214" s="314"/>
      <c r="AR5214" s="315" t="str">
        <f t="shared" si="118"/>
        <v/>
      </c>
    </row>
    <row r="5215" spans="37:44" ht="30" hidden="1" customHeight="1" x14ac:dyDescent="0.25">
      <c r="AK5215" s="313"/>
      <c r="AL5215" s="313"/>
      <c r="AM5215" s="313"/>
      <c r="AN5215" s="313"/>
      <c r="AO5215" s="313"/>
      <c r="AP5215" s="313"/>
      <c r="AQ5215" s="314"/>
      <c r="AR5215" s="315" t="str">
        <f t="shared" si="118"/>
        <v/>
      </c>
    </row>
    <row r="5216" spans="37:44" ht="30" hidden="1" customHeight="1" x14ac:dyDescent="0.25">
      <c r="AK5216" s="313"/>
      <c r="AL5216" s="313"/>
      <c r="AM5216" s="313"/>
      <c r="AN5216" s="313"/>
      <c r="AO5216" s="313"/>
      <c r="AP5216" s="313"/>
      <c r="AQ5216" s="314"/>
      <c r="AR5216" s="315" t="str">
        <f t="shared" si="118"/>
        <v/>
      </c>
    </row>
    <row r="5217" spans="37:44" ht="30" hidden="1" customHeight="1" x14ac:dyDescent="0.25">
      <c r="AK5217" s="313"/>
      <c r="AL5217" s="313"/>
      <c r="AM5217" s="313"/>
      <c r="AN5217" s="313"/>
      <c r="AO5217" s="313"/>
      <c r="AP5217" s="313"/>
      <c r="AQ5217" s="314"/>
      <c r="AR5217" s="315" t="str">
        <f t="shared" si="118"/>
        <v/>
      </c>
    </row>
    <row r="5218" spans="37:44" ht="30" hidden="1" customHeight="1" x14ac:dyDescent="0.25">
      <c r="AK5218" s="313"/>
      <c r="AL5218" s="313"/>
      <c r="AM5218" s="313"/>
      <c r="AN5218" s="313"/>
      <c r="AO5218" s="313"/>
      <c r="AP5218" s="313"/>
      <c r="AQ5218" s="314"/>
      <c r="AR5218" s="315" t="str">
        <f t="shared" si="118"/>
        <v/>
      </c>
    </row>
    <row r="5219" spans="37:44" ht="30" hidden="1" customHeight="1" x14ac:dyDescent="0.25">
      <c r="AK5219" s="313"/>
      <c r="AL5219" s="313"/>
      <c r="AM5219" s="313"/>
      <c r="AN5219" s="313"/>
      <c r="AO5219" s="313"/>
      <c r="AP5219" s="313"/>
      <c r="AQ5219" s="314"/>
      <c r="AR5219" s="315" t="str">
        <f t="shared" si="118"/>
        <v/>
      </c>
    </row>
    <row r="5220" spans="37:44" ht="30" hidden="1" customHeight="1" x14ac:dyDescent="0.25">
      <c r="AK5220" s="313"/>
      <c r="AL5220" s="313"/>
      <c r="AM5220" s="313"/>
      <c r="AN5220" s="313"/>
      <c r="AO5220" s="313"/>
      <c r="AP5220" s="313"/>
      <c r="AQ5220" s="314"/>
      <c r="AR5220" s="315" t="str">
        <f t="shared" si="118"/>
        <v/>
      </c>
    </row>
    <row r="5221" spans="37:44" ht="30" hidden="1" customHeight="1" x14ac:dyDescent="0.25">
      <c r="AK5221" s="313"/>
      <c r="AL5221" s="313"/>
      <c r="AM5221" s="313"/>
      <c r="AN5221" s="313"/>
      <c r="AO5221" s="313"/>
      <c r="AP5221" s="313"/>
      <c r="AQ5221" s="314"/>
      <c r="AR5221" s="315" t="str">
        <f t="shared" si="118"/>
        <v/>
      </c>
    </row>
    <row r="5222" spans="37:44" ht="30" hidden="1" customHeight="1" x14ac:dyDescent="0.25">
      <c r="AK5222" s="313"/>
      <c r="AL5222" s="313"/>
      <c r="AM5222" s="313"/>
      <c r="AN5222" s="313"/>
      <c r="AO5222" s="313"/>
      <c r="AP5222" s="313"/>
      <c r="AQ5222" s="314"/>
      <c r="AR5222" s="315" t="str">
        <f t="shared" si="118"/>
        <v/>
      </c>
    </row>
    <row r="5223" spans="37:44" ht="30" hidden="1" customHeight="1" x14ac:dyDescent="0.25">
      <c r="AK5223" s="313"/>
      <c r="AL5223" s="313"/>
      <c r="AM5223" s="313"/>
      <c r="AN5223" s="313"/>
      <c r="AO5223" s="313"/>
      <c r="AP5223" s="313"/>
      <c r="AQ5223" s="314"/>
      <c r="AR5223" s="315" t="str">
        <f t="shared" si="118"/>
        <v/>
      </c>
    </row>
    <row r="5224" spans="37:44" ht="30" hidden="1" customHeight="1" x14ac:dyDescent="0.25">
      <c r="AK5224" s="313"/>
      <c r="AL5224" s="313"/>
      <c r="AM5224" s="313"/>
      <c r="AN5224" s="313"/>
      <c r="AO5224" s="313"/>
      <c r="AP5224" s="313"/>
      <c r="AQ5224" s="314"/>
      <c r="AR5224" s="315" t="str">
        <f t="shared" si="118"/>
        <v/>
      </c>
    </row>
    <row r="5225" spans="37:44" ht="30" hidden="1" customHeight="1" x14ac:dyDescent="0.25">
      <c r="AK5225" s="313"/>
      <c r="AL5225" s="313"/>
      <c r="AM5225" s="313"/>
      <c r="AN5225" s="313"/>
      <c r="AO5225" s="313"/>
      <c r="AP5225" s="313"/>
      <c r="AQ5225" s="314"/>
      <c r="AR5225" s="315" t="str">
        <f t="shared" si="118"/>
        <v/>
      </c>
    </row>
    <row r="5226" spans="37:44" ht="30" hidden="1" customHeight="1" x14ac:dyDescent="0.25">
      <c r="AK5226" s="313"/>
      <c r="AL5226" s="313"/>
      <c r="AM5226" s="313"/>
      <c r="AN5226" s="313"/>
      <c r="AO5226" s="313"/>
      <c r="AP5226" s="313"/>
      <c r="AQ5226" s="314"/>
      <c r="AR5226" s="315" t="str">
        <f t="shared" si="118"/>
        <v/>
      </c>
    </row>
    <row r="5227" spans="37:44" ht="30" hidden="1" customHeight="1" x14ac:dyDescent="0.25">
      <c r="AK5227" s="313"/>
      <c r="AL5227" s="313"/>
      <c r="AM5227" s="313"/>
      <c r="AN5227" s="313"/>
      <c r="AO5227" s="313"/>
      <c r="AP5227" s="313"/>
      <c r="AQ5227" s="314"/>
      <c r="AR5227" s="315" t="str">
        <f t="shared" si="118"/>
        <v/>
      </c>
    </row>
    <row r="5228" spans="37:44" ht="30" hidden="1" customHeight="1" x14ac:dyDescent="0.25">
      <c r="AK5228" s="313"/>
      <c r="AL5228" s="313"/>
      <c r="AM5228" s="313"/>
      <c r="AN5228" s="313"/>
      <c r="AO5228" s="313"/>
      <c r="AP5228" s="313"/>
      <c r="AQ5228" s="314"/>
      <c r="AR5228" s="315" t="str">
        <f t="shared" si="118"/>
        <v/>
      </c>
    </row>
    <row r="5229" spans="37:44" ht="30" hidden="1" customHeight="1" x14ac:dyDescent="0.25">
      <c r="AK5229" s="313"/>
      <c r="AL5229" s="313"/>
      <c r="AM5229" s="313"/>
      <c r="AN5229" s="313"/>
      <c r="AO5229" s="313"/>
      <c r="AP5229" s="313"/>
      <c r="AQ5229" s="314"/>
      <c r="AR5229" s="315" t="str">
        <f t="shared" si="118"/>
        <v/>
      </c>
    </row>
    <row r="5230" spans="37:44" ht="30" hidden="1" customHeight="1" x14ac:dyDescent="0.25">
      <c r="AK5230" s="313"/>
      <c r="AL5230" s="313"/>
      <c r="AM5230" s="313"/>
      <c r="AN5230" s="313"/>
      <c r="AO5230" s="313"/>
      <c r="AP5230" s="313"/>
      <c r="AQ5230" s="314"/>
      <c r="AR5230" s="315" t="str">
        <f t="shared" si="118"/>
        <v/>
      </c>
    </row>
    <row r="5231" spans="37:44" ht="30" hidden="1" customHeight="1" x14ac:dyDescent="0.25">
      <c r="AK5231" s="313"/>
      <c r="AL5231" s="313"/>
      <c r="AM5231" s="313"/>
      <c r="AN5231" s="313"/>
      <c r="AO5231" s="313"/>
      <c r="AP5231" s="313"/>
      <c r="AQ5231" s="314"/>
      <c r="AR5231" s="315" t="str">
        <f t="shared" si="118"/>
        <v/>
      </c>
    </row>
    <row r="5232" spans="37:44" ht="30" hidden="1" customHeight="1" x14ac:dyDescent="0.25">
      <c r="AK5232" s="313"/>
      <c r="AL5232" s="313"/>
      <c r="AM5232" s="313"/>
      <c r="AN5232" s="313"/>
      <c r="AO5232" s="313"/>
      <c r="AP5232" s="313"/>
      <c r="AQ5232" s="314"/>
      <c r="AR5232" s="315" t="str">
        <f t="shared" si="118"/>
        <v/>
      </c>
    </row>
    <row r="5233" spans="37:44" ht="30" hidden="1" customHeight="1" x14ac:dyDescent="0.25">
      <c r="AK5233" s="313"/>
      <c r="AL5233" s="313"/>
      <c r="AM5233" s="313"/>
      <c r="AN5233" s="313"/>
      <c r="AO5233" s="313"/>
      <c r="AP5233" s="313"/>
      <c r="AQ5233" s="314"/>
      <c r="AR5233" s="315" t="str">
        <f t="shared" si="118"/>
        <v/>
      </c>
    </row>
    <row r="5234" spans="37:44" ht="30" hidden="1" customHeight="1" x14ac:dyDescent="0.25">
      <c r="AK5234" s="313"/>
      <c r="AL5234" s="313"/>
      <c r="AM5234" s="313"/>
      <c r="AN5234" s="313"/>
      <c r="AO5234" s="313"/>
      <c r="AP5234" s="313"/>
      <c r="AQ5234" s="314"/>
      <c r="AR5234" s="315" t="str">
        <f t="shared" si="118"/>
        <v/>
      </c>
    </row>
    <row r="5235" spans="37:44" ht="30" hidden="1" customHeight="1" x14ac:dyDescent="0.25">
      <c r="AK5235" s="313"/>
      <c r="AL5235" s="313"/>
      <c r="AM5235" s="313"/>
      <c r="AN5235" s="313"/>
      <c r="AO5235" s="313"/>
      <c r="AP5235" s="313"/>
      <c r="AQ5235" s="314"/>
      <c r="AR5235" s="315" t="str">
        <f t="shared" si="118"/>
        <v/>
      </c>
    </row>
    <row r="5236" spans="37:44" ht="30" hidden="1" customHeight="1" x14ac:dyDescent="0.25">
      <c r="AK5236" s="313"/>
      <c r="AL5236" s="313"/>
      <c r="AM5236" s="313"/>
      <c r="AN5236" s="313"/>
      <c r="AO5236" s="313"/>
      <c r="AP5236" s="313"/>
      <c r="AQ5236" s="314"/>
      <c r="AR5236" s="315" t="str">
        <f t="shared" si="118"/>
        <v/>
      </c>
    </row>
    <row r="5237" spans="37:44" ht="30" hidden="1" customHeight="1" x14ac:dyDescent="0.25">
      <c r="AK5237" s="313"/>
      <c r="AL5237" s="313"/>
      <c r="AM5237" s="313"/>
      <c r="AN5237" s="313"/>
      <c r="AO5237" s="313"/>
      <c r="AP5237" s="313"/>
      <c r="AQ5237" s="314"/>
      <c r="AR5237" s="315" t="str">
        <f t="shared" si="118"/>
        <v/>
      </c>
    </row>
    <row r="5238" spans="37:44" ht="30" hidden="1" customHeight="1" x14ac:dyDescent="0.25">
      <c r="AK5238" s="313"/>
      <c r="AL5238" s="313"/>
      <c r="AM5238" s="313"/>
      <c r="AN5238" s="313"/>
      <c r="AO5238" s="313"/>
      <c r="AP5238" s="313"/>
      <c r="AQ5238" s="314"/>
      <c r="AR5238" s="315" t="str">
        <f t="shared" si="118"/>
        <v/>
      </c>
    </row>
    <row r="5239" spans="37:44" ht="30" hidden="1" customHeight="1" x14ac:dyDescent="0.25">
      <c r="AK5239" s="313"/>
      <c r="AL5239" s="313"/>
      <c r="AM5239" s="313"/>
      <c r="AN5239" s="313"/>
      <c r="AO5239" s="313"/>
      <c r="AP5239" s="313"/>
      <c r="AQ5239" s="314"/>
      <c r="AR5239" s="315" t="str">
        <f t="shared" si="118"/>
        <v/>
      </c>
    </row>
    <row r="5240" spans="37:44" ht="30" hidden="1" customHeight="1" x14ac:dyDescent="0.25">
      <c r="AK5240" s="313"/>
      <c r="AL5240" s="313"/>
      <c r="AM5240" s="313"/>
      <c r="AN5240" s="313"/>
      <c r="AO5240" s="313"/>
      <c r="AP5240" s="313"/>
      <c r="AQ5240" s="314"/>
      <c r="AR5240" s="315" t="str">
        <f t="shared" si="118"/>
        <v/>
      </c>
    </row>
    <row r="5241" spans="37:44" ht="30" hidden="1" customHeight="1" x14ac:dyDescent="0.25">
      <c r="AK5241" s="313"/>
      <c r="AL5241" s="313"/>
      <c r="AM5241" s="313"/>
      <c r="AN5241" s="313"/>
      <c r="AO5241" s="313"/>
      <c r="AP5241" s="313"/>
      <c r="AQ5241" s="314"/>
      <c r="AR5241" s="315" t="str">
        <f t="shared" si="118"/>
        <v/>
      </c>
    </row>
    <row r="5242" spans="37:44" ht="30" hidden="1" customHeight="1" x14ac:dyDescent="0.25">
      <c r="AK5242" s="313"/>
      <c r="AL5242" s="313"/>
      <c r="AM5242" s="313"/>
      <c r="AN5242" s="313"/>
      <c r="AO5242" s="313"/>
      <c r="AP5242" s="313"/>
      <c r="AQ5242" s="314"/>
      <c r="AR5242" s="315" t="str">
        <f t="shared" si="118"/>
        <v/>
      </c>
    </row>
    <row r="5243" spans="37:44" ht="30" hidden="1" customHeight="1" x14ac:dyDescent="0.25">
      <c r="AK5243" s="313"/>
      <c r="AL5243" s="313"/>
      <c r="AM5243" s="313"/>
      <c r="AN5243" s="313"/>
      <c r="AO5243" s="313"/>
      <c r="AP5243" s="313"/>
      <c r="AQ5243" s="314"/>
      <c r="AR5243" s="315" t="str">
        <f t="shared" si="118"/>
        <v/>
      </c>
    </row>
    <row r="5244" spans="37:44" ht="30" hidden="1" customHeight="1" x14ac:dyDescent="0.25">
      <c r="AK5244" s="313"/>
      <c r="AL5244" s="313"/>
      <c r="AM5244" s="313"/>
      <c r="AN5244" s="313"/>
      <c r="AO5244" s="313"/>
      <c r="AP5244" s="313"/>
      <c r="AQ5244" s="314"/>
      <c r="AR5244" s="315" t="str">
        <f t="shared" si="118"/>
        <v/>
      </c>
    </row>
    <row r="5245" spans="37:44" ht="30" hidden="1" customHeight="1" x14ac:dyDescent="0.25">
      <c r="AK5245" s="313"/>
      <c r="AL5245" s="313"/>
      <c r="AM5245" s="313"/>
      <c r="AN5245" s="313"/>
      <c r="AO5245" s="313"/>
      <c r="AP5245" s="313"/>
      <c r="AQ5245" s="314"/>
      <c r="AR5245" s="315" t="str">
        <f t="shared" si="118"/>
        <v/>
      </c>
    </row>
    <row r="5246" spans="37:44" ht="30" hidden="1" customHeight="1" x14ac:dyDescent="0.25">
      <c r="AK5246" s="313"/>
      <c r="AL5246" s="313"/>
      <c r="AM5246" s="313"/>
      <c r="AN5246" s="313"/>
      <c r="AO5246" s="313"/>
      <c r="AP5246" s="313"/>
      <c r="AQ5246" s="314"/>
      <c r="AR5246" s="315" t="str">
        <f t="shared" si="118"/>
        <v/>
      </c>
    </row>
    <row r="5247" spans="37:44" ht="30" hidden="1" customHeight="1" x14ac:dyDescent="0.25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19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 x14ac:dyDescent="0.25">
      <c r="AK5248" s="313"/>
      <c r="AL5248" s="313"/>
      <c r="AM5248" s="313"/>
      <c r="AN5248" s="313"/>
      <c r="AO5248" s="313"/>
      <c r="AP5248" s="313"/>
      <c r="AQ5248" s="314"/>
      <c r="AR5248" s="315" t="str">
        <f t="shared" si="119"/>
        <v/>
      </c>
    </row>
    <row r="5249" spans="37:44" ht="30" hidden="1" customHeight="1" x14ac:dyDescent="0.25">
      <c r="AK5249" s="313"/>
      <c r="AL5249" s="313"/>
      <c r="AM5249" s="313"/>
      <c r="AN5249" s="313"/>
      <c r="AO5249" s="313"/>
      <c r="AP5249" s="313"/>
      <c r="AQ5249" s="314"/>
      <c r="AR5249" s="315" t="str">
        <f t="shared" si="119"/>
        <v/>
      </c>
    </row>
    <row r="5250" spans="37:44" ht="30" hidden="1" customHeight="1" x14ac:dyDescent="0.25">
      <c r="AK5250" s="313"/>
      <c r="AL5250" s="313"/>
      <c r="AM5250" s="313"/>
      <c r="AN5250" s="313"/>
      <c r="AO5250" s="313"/>
      <c r="AP5250" s="313"/>
      <c r="AQ5250" s="314"/>
      <c r="AR5250" s="315" t="str">
        <f t="shared" si="119"/>
        <v/>
      </c>
    </row>
    <row r="5251" spans="37:44" ht="30" hidden="1" customHeight="1" x14ac:dyDescent="0.25">
      <c r="AK5251" s="313"/>
      <c r="AL5251" s="313"/>
      <c r="AM5251" s="313"/>
      <c r="AN5251" s="313"/>
      <c r="AO5251" s="313"/>
      <c r="AP5251" s="313"/>
      <c r="AQ5251" s="314"/>
      <c r="AR5251" s="315" t="str">
        <f t="shared" si="119"/>
        <v/>
      </c>
    </row>
    <row r="5252" spans="37:44" ht="30" hidden="1" customHeight="1" x14ac:dyDescent="0.25">
      <c r="AK5252" s="313"/>
      <c r="AL5252" s="313"/>
      <c r="AM5252" s="313"/>
      <c r="AN5252" s="313"/>
      <c r="AO5252" s="313"/>
      <c r="AP5252" s="313"/>
      <c r="AQ5252" s="314"/>
      <c r="AR5252" s="315" t="str">
        <f t="shared" si="119"/>
        <v/>
      </c>
    </row>
    <row r="5253" spans="37:44" ht="30" hidden="1" customHeight="1" x14ac:dyDescent="0.25">
      <c r="AK5253" s="313"/>
      <c r="AL5253" s="313"/>
      <c r="AM5253" s="313"/>
      <c r="AN5253" s="313"/>
      <c r="AO5253" s="313"/>
      <c r="AP5253" s="313"/>
      <c r="AQ5253" s="314"/>
      <c r="AR5253" s="315" t="str">
        <f t="shared" si="119"/>
        <v/>
      </c>
    </row>
    <row r="5254" spans="37:44" ht="30" hidden="1" customHeight="1" x14ac:dyDescent="0.25">
      <c r="AK5254" s="313"/>
      <c r="AL5254" s="313"/>
      <c r="AM5254" s="313"/>
      <c r="AN5254" s="313"/>
      <c r="AO5254" s="313"/>
      <c r="AP5254" s="313"/>
      <c r="AQ5254" s="314"/>
      <c r="AR5254" s="315" t="str">
        <f t="shared" si="119"/>
        <v/>
      </c>
    </row>
    <row r="5255" spans="37:44" ht="30" hidden="1" customHeight="1" x14ac:dyDescent="0.25">
      <c r="AK5255" s="313"/>
      <c r="AL5255" s="313"/>
      <c r="AM5255" s="313"/>
      <c r="AN5255" s="313"/>
      <c r="AO5255" s="313"/>
      <c r="AP5255" s="313"/>
      <c r="AQ5255" s="314"/>
      <c r="AR5255" s="315" t="str">
        <f t="shared" si="119"/>
        <v/>
      </c>
    </row>
    <row r="5256" spans="37:44" ht="30" hidden="1" customHeight="1" x14ac:dyDescent="0.25">
      <c r="AK5256" s="313"/>
      <c r="AL5256" s="313"/>
      <c r="AM5256" s="313"/>
      <c r="AN5256" s="313"/>
      <c r="AO5256" s="313"/>
      <c r="AP5256" s="313"/>
      <c r="AQ5256" s="314"/>
      <c r="AR5256" s="315" t="str">
        <f t="shared" si="119"/>
        <v/>
      </c>
    </row>
    <row r="5257" spans="37:44" ht="30" hidden="1" customHeight="1" x14ac:dyDescent="0.25">
      <c r="AK5257" s="313"/>
      <c r="AL5257" s="313"/>
      <c r="AM5257" s="313"/>
      <c r="AN5257" s="313"/>
      <c r="AO5257" s="313"/>
      <c r="AP5257" s="313"/>
      <c r="AQ5257" s="314"/>
      <c r="AR5257" s="315" t="str">
        <f t="shared" si="119"/>
        <v/>
      </c>
    </row>
    <row r="5258" spans="37:44" ht="30" hidden="1" customHeight="1" x14ac:dyDescent="0.25">
      <c r="AK5258" s="313"/>
      <c r="AL5258" s="313"/>
      <c r="AM5258" s="313"/>
      <c r="AN5258" s="313"/>
      <c r="AO5258" s="313"/>
      <c r="AP5258" s="313"/>
      <c r="AQ5258" s="314"/>
      <c r="AR5258" s="315" t="str">
        <f t="shared" si="119"/>
        <v/>
      </c>
    </row>
    <row r="5259" spans="37:44" ht="30" hidden="1" customHeight="1" x14ac:dyDescent="0.25">
      <c r="AK5259" s="313"/>
      <c r="AL5259" s="313"/>
      <c r="AM5259" s="313"/>
      <c r="AN5259" s="313"/>
      <c r="AO5259" s="313"/>
      <c r="AP5259" s="313"/>
      <c r="AQ5259" s="314"/>
      <c r="AR5259" s="315" t="str">
        <f t="shared" si="119"/>
        <v/>
      </c>
    </row>
    <row r="5260" spans="37:44" ht="30" hidden="1" customHeight="1" x14ac:dyDescent="0.25">
      <c r="AK5260" s="313"/>
      <c r="AL5260" s="313"/>
      <c r="AM5260" s="313"/>
      <c r="AN5260" s="313"/>
      <c r="AO5260" s="313"/>
      <c r="AP5260" s="313"/>
      <c r="AQ5260" s="314"/>
      <c r="AR5260" s="315" t="str">
        <f t="shared" si="119"/>
        <v/>
      </c>
    </row>
    <row r="5261" spans="37:44" ht="30" hidden="1" customHeight="1" x14ac:dyDescent="0.25">
      <c r="AK5261" s="313"/>
      <c r="AL5261" s="313"/>
      <c r="AM5261" s="313"/>
      <c r="AN5261" s="313"/>
      <c r="AO5261" s="313"/>
      <c r="AP5261" s="313"/>
      <c r="AQ5261" s="314"/>
      <c r="AR5261" s="315" t="str">
        <f t="shared" si="119"/>
        <v/>
      </c>
    </row>
    <row r="5262" spans="37:44" ht="30" hidden="1" customHeight="1" x14ac:dyDescent="0.25">
      <c r="AK5262" s="313"/>
      <c r="AL5262" s="313"/>
      <c r="AM5262" s="313"/>
      <c r="AN5262" s="313"/>
      <c r="AO5262" s="313"/>
      <c r="AP5262" s="313"/>
      <c r="AQ5262" s="314"/>
      <c r="AR5262" s="315" t="str">
        <f t="shared" si="119"/>
        <v/>
      </c>
    </row>
    <row r="5263" spans="37:44" ht="30" hidden="1" customHeight="1" x14ac:dyDescent="0.25">
      <c r="AK5263" s="313"/>
      <c r="AL5263" s="313"/>
      <c r="AM5263" s="313"/>
      <c r="AN5263" s="313"/>
      <c r="AO5263" s="313"/>
      <c r="AP5263" s="313"/>
      <c r="AQ5263" s="314"/>
      <c r="AR5263" s="315" t="str">
        <f t="shared" si="119"/>
        <v/>
      </c>
    </row>
    <row r="5264" spans="37:44" ht="30" hidden="1" customHeight="1" x14ac:dyDescent="0.25">
      <c r="AK5264" s="313"/>
      <c r="AL5264" s="313"/>
      <c r="AM5264" s="313"/>
      <c r="AN5264" s="313"/>
      <c r="AO5264" s="313"/>
      <c r="AP5264" s="313"/>
      <c r="AQ5264" s="314"/>
      <c r="AR5264" s="315" t="str">
        <f t="shared" si="119"/>
        <v/>
      </c>
    </row>
    <row r="5265" spans="37:44" ht="30" hidden="1" customHeight="1" x14ac:dyDescent="0.25">
      <c r="AK5265" s="313"/>
      <c r="AL5265" s="313"/>
      <c r="AM5265" s="313"/>
      <c r="AN5265" s="313"/>
      <c r="AO5265" s="313"/>
      <c r="AP5265" s="313"/>
      <c r="AQ5265" s="314"/>
      <c r="AR5265" s="315" t="str">
        <f t="shared" si="119"/>
        <v/>
      </c>
    </row>
    <row r="5266" spans="37:44" ht="30" hidden="1" customHeight="1" x14ac:dyDescent="0.25">
      <c r="AK5266" s="313"/>
      <c r="AL5266" s="313"/>
      <c r="AM5266" s="313"/>
      <c r="AN5266" s="313"/>
      <c r="AO5266" s="313"/>
      <c r="AP5266" s="313"/>
      <c r="AQ5266" s="314"/>
      <c r="AR5266" s="315" t="str">
        <f t="shared" si="119"/>
        <v/>
      </c>
    </row>
    <row r="5267" spans="37:44" ht="30" hidden="1" customHeight="1" x14ac:dyDescent="0.25">
      <c r="AK5267" s="313"/>
      <c r="AL5267" s="313"/>
      <c r="AM5267" s="313"/>
      <c r="AN5267" s="313"/>
      <c r="AO5267" s="313"/>
      <c r="AP5267" s="313"/>
      <c r="AQ5267" s="314"/>
      <c r="AR5267" s="315" t="str">
        <f t="shared" si="119"/>
        <v/>
      </c>
    </row>
    <row r="5268" spans="37:44" ht="30" hidden="1" customHeight="1" x14ac:dyDescent="0.25">
      <c r="AK5268" s="313"/>
      <c r="AL5268" s="313"/>
      <c r="AM5268" s="313"/>
      <c r="AN5268" s="313"/>
      <c r="AO5268" s="313"/>
      <c r="AP5268" s="313"/>
      <c r="AQ5268" s="314"/>
      <c r="AR5268" s="315" t="str">
        <f t="shared" si="119"/>
        <v/>
      </c>
    </row>
    <row r="5269" spans="37:44" ht="30" hidden="1" customHeight="1" x14ac:dyDescent="0.25">
      <c r="AK5269" s="313"/>
      <c r="AL5269" s="313"/>
      <c r="AM5269" s="313"/>
      <c r="AN5269" s="313"/>
      <c r="AO5269" s="313"/>
      <c r="AP5269" s="313"/>
      <c r="AQ5269" s="314"/>
      <c r="AR5269" s="315" t="str">
        <f t="shared" si="119"/>
        <v/>
      </c>
    </row>
    <row r="5270" spans="37:44" ht="30" hidden="1" customHeight="1" x14ac:dyDescent="0.25">
      <c r="AK5270" s="313"/>
      <c r="AL5270" s="313"/>
      <c r="AM5270" s="313"/>
      <c r="AN5270" s="313"/>
      <c r="AO5270" s="313"/>
      <c r="AP5270" s="313"/>
      <c r="AQ5270" s="314"/>
      <c r="AR5270" s="315" t="str">
        <f t="shared" si="119"/>
        <v/>
      </c>
    </row>
    <row r="5271" spans="37:44" ht="30" hidden="1" customHeight="1" x14ac:dyDescent="0.25">
      <c r="AK5271" s="313"/>
      <c r="AL5271" s="313"/>
      <c r="AM5271" s="313"/>
      <c r="AN5271" s="313"/>
      <c r="AO5271" s="313"/>
      <c r="AP5271" s="313"/>
      <c r="AQ5271" s="314"/>
      <c r="AR5271" s="315" t="str">
        <f t="shared" si="119"/>
        <v/>
      </c>
    </row>
    <row r="5272" spans="37:44" ht="30" hidden="1" customHeight="1" x14ac:dyDescent="0.25">
      <c r="AK5272" s="313"/>
      <c r="AL5272" s="313"/>
      <c r="AM5272" s="313"/>
      <c r="AN5272" s="313"/>
      <c r="AO5272" s="313"/>
      <c r="AP5272" s="313"/>
      <c r="AQ5272" s="314"/>
      <c r="AR5272" s="315" t="str">
        <f t="shared" si="119"/>
        <v/>
      </c>
    </row>
    <row r="5273" spans="37:44" ht="30" hidden="1" customHeight="1" x14ac:dyDescent="0.25">
      <c r="AK5273" s="313"/>
      <c r="AL5273" s="313"/>
      <c r="AM5273" s="313"/>
      <c r="AN5273" s="313"/>
      <c r="AO5273" s="313"/>
      <c r="AP5273" s="313"/>
      <c r="AQ5273" s="314"/>
      <c r="AR5273" s="315" t="str">
        <f t="shared" si="119"/>
        <v/>
      </c>
    </row>
    <row r="5274" spans="37:44" ht="30" hidden="1" customHeight="1" x14ac:dyDescent="0.25">
      <c r="AK5274" s="313"/>
      <c r="AL5274" s="313"/>
      <c r="AM5274" s="313"/>
      <c r="AN5274" s="313"/>
      <c r="AO5274" s="313"/>
      <c r="AP5274" s="313"/>
      <c r="AQ5274" s="314"/>
      <c r="AR5274" s="315" t="str">
        <f t="shared" si="119"/>
        <v/>
      </c>
    </row>
    <row r="5275" spans="37:44" ht="30" hidden="1" customHeight="1" x14ac:dyDescent="0.25">
      <c r="AK5275" s="313"/>
      <c r="AL5275" s="313"/>
      <c r="AM5275" s="313"/>
      <c r="AN5275" s="313"/>
      <c r="AO5275" s="313"/>
      <c r="AP5275" s="313"/>
      <c r="AQ5275" s="314"/>
      <c r="AR5275" s="315" t="str">
        <f t="shared" si="119"/>
        <v/>
      </c>
    </row>
    <row r="5276" spans="37:44" ht="30" hidden="1" customHeight="1" x14ac:dyDescent="0.25">
      <c r="AK5276" s="313"/>
      <c r="AL5276" s="313"/>
      <c r="AM5276" s="313"/>
      <c r="AN5276" s="313"/>
      <c r="AO5276" s="313"/>
      <c r="AP5276" s="313"/>
      <c r="AQ5276" s="314"/>
      <c r="AR5276" s="315" t="str">
        <f t="shared" si="119"/>
        <v/>
      </c>
    </row>
    <row r="5277" spans="37:44" ht="30" hidden="1" customHeight="1" x14ac:dyDescent="0.25">
      <c r="AK5277" s="313"/>
      <c r="AL5277" s="313"/>
      <c r="AM5277" s="313"/>
      <c r="AN5277" s="313"/>
      <c r="AO5277" s="313"/>
      <c r="AP5277" s="313"/>
      <c r="AQ5277" s="314"/>
      <c r="AR5277" s="315" t="str">
        <f t="shared" si="119"/>
        <v/>
      </c>
    </row>
    <row r="5278" spans="37:44" ht="30" hidden="1" customHeight="1" x14ac:dyDescent="0.25">
      <c r="AK5278" s="313"/>
      <c r="AL5278" s="313"/>
      <c r="AM5278" s="313"/>
      <c r="AN5278" s="313"/>
      <c r="AO5278" s="313"/>
      <c r="AP5278" s="313"/>
      <c r="AQ5278" s="314"/>
      <c r="AR5278" s="315" t="str">
        <f t="shared" si="119"/>
        <v/>
      </c>
    </row>
    <row r="5279" spans="37:44" ht="30" hidden="1" customHeight="1" x14ac:dyDescent="0.25">
      <c r="AK5279" s="313"/>
      <c r="AL5279" s="313"/>
      <c r="AM5279" s="313"/>
      <c r="AN5279" s="313"/>
      <c r="AO5279" s="313"/>
      <c r="AP5279" s="313"/>
      <c r="AQ5279" s="314"/>
      <c r="AR5279" s="315" t="str">
        <f t="shared" si="119"/>
        <v/>
      </c>
    </row>
    <row r="5280" spans="37:44" ht="30" hidden="1" customHeight="1" x14ac:dyDescent="0.25">
      <c r="AK5280" s="313"/>
      <c r="AL5280" s="313"/>
      <c r="AM5280" s="313"/>
      <c r="AN5280" s="313"/>
      <c r="AO5280" s="313"/>
      <c r="AP5280" s="313"/>
      <c r="AQ5280" s="314"/>
      <c r="AR5280" s="315" t="str">
        <f t="shared" si="119"/>
        <v/>
      </c>
    </row>
    <row r="5281" spans="37:44" ht="30" hidden="1" customHeight="1" x14ac:dyDescent="0.25">
      <c r="AK5281" s="313"/>
      <c r="AL5281" s="313"/>
      <c r="AM5281" s="313"/>
      <c r="AN5281" s="313"/>
      <c r="AO5281" s="313"/>
      <c r="AP5281" s="313"/>
      <c r="AQ5281" s="314"/>
      <c r="AR5281" s="315" t="str">
        <f t="shared" si="119"/>
        <v/>
      </c>
    </row>
    <row r="5282" spans="37:44" ht="30" hidden="1" customHeight="1" x14ac:dyDescent="0.25">
      <c r="AK5282" s="313"/>
      <c r="AL5282" s="313"/>
      <c r="AM5282" s="313"/>
      <c r="AN5282" s="313"/>
      <c r="AO5282" s="313"/>
      <c r="AP5282" s="313"/>
      <c r="AQ5282" s="314"/>
      <c r="AR5282" s="315" t="str">
        <f t="shared" si="119"/>
        <v/>
      </c>
    </row>
    <row r="5283" spans="37:44" ht="30" hidden="1" customHeight="1" x14ac:dyDescent="0.25">
      <c r="AK5283" s="313"/>
      <c r="AL5283" s="313"/>
      <c r="AM5283" s="313"/>
      <c r="AN5283" s="313"/>
      <c r="AO5283" s="313"/>
      <c r="AP5283" s="313"/>
      <c r="AQ5283" s="314"/>
      <c r="AR5283" s="315" t="str">
        <f t="shared" si="119"/>
        <v/>
      </c>
    </row>
    <row r="5284" spans="37:44" ht="30" hidden="1" customHeight="1" x14ac:dyDescent="0.25">
      <c r="AK5284" s="313"/>
      <c r="AL5284" s="313"/>
      <c r="AM5284" s="313"/>
      <c r="AN5284" s="313"/>
      <c r="AO5284" s="313"/>
      <c r="AP5284" s="313"/>
      <c r="AQ5284" s="314"/>
      <c r="AR5284" s="315" t="str">
        <f t="shared" si="119"/>
        <v/>
      </c>
    </row>
    <row r="5285" spans="37:44" ht="30" hidden="1" customHeight="1" x14ac:dyDescent="0.25">
      <c r="AK5285" s="313"/>
      <c r="AL5285" s="313"/>
      <c r="AM5285" s="313"/>
      <c r="AN5285" s="313"/>
      <c r="AO5285" s="313"/>
      <c r="AP5285" s="313"/>
      <c r="AQ5285" s="314"/>
      <c r="AR5285" s="315" t="str">
        <f t="shared" si="119"/>
        <v/>
      </c>
    </row>
    <row r="5286" spans="37:44" ht="30" hidden="1" customHeight="1" x14ac:dyDescent="0.25">
      <c r="AK5286" s="313"/>
      <c r="AL5286" s="313"/>
      <c r="AM5286" s="313"/>
      <c r="AN5286" s="313"/>
      <c r="AO5286" s="313"/>
      <c r="AP5286" s="313"/>
      <c r="AQ5286" s="314"/>
      <c r="AR5286" s="315" t="str">
        <f t="shared" si="119"/>
        <v/>
      </c>
    </row>
    <row r="5287" spans="37:44" ht="30" hidden="1" customHeight="1" x14ac:dyDescent="0.25">
      <c r="AK5287" s="313"/>
      <c r="AL5287" s="313"/>
      <c r="AM5287" s="313"/>
      <c r="AN5287" s="313"/>
      <c r="AO5287" s="313"/>
      <c r="AP5287" s="313"/>
      <c r="AQ5287" s="314"/>
      <c r="AR5287" s="315" t="str">
        <f t="shared" si="119"/>
        <v/>
      </c>
    </row>
    <row r="5288" spans="37:44" ht="30" hidden="1" customHeight="1" x14ac:dyDescent="0.25">
      <c r="AK5288" s="313"/>
      <c r="AL5288" s="313"/>
      <c r="AM5288" s="313"/>
      <c r="AN5288" s="313"/>
      <c r="AO5288" s="313"/>
      <c r="AP5288" s="313"/>
      <c r="AQ5288" s="314"/>
      <c r="AR5288" s="315" t="str">
        <f t="shared" si="119"/>
        <v/>
      </c>
    </row>
    <row r="5289" spans="37:44" ht="30" hidden="1" customHeight="1" x14ac:dyDescent="0.25">
      <c r="AK5289" s="313"/>
      <c r="AL5289" s="313"/>
      <c r="AM5289" s="313"/>
      <c r="AN5289" s="313"/>
      <c r="AO5289" s="313"/>
      <c r="AP5289" s="313"/>
      <c r="AQ5289" s="314"/>
      <c r="AR5289" s="315" t="str">
        <f t="shared" si="119"/>
        <v/>
      </c>
    </row>
    <row r="5290" spans="37:44" ht="30" hidden="1" customHeight="1" x14ac:dyDescent="0.25">
      <c r="AK5290" s="313"/>
      <c r="AL5290" s="313"/>
      <c r="AM5290" s="313"/>
      <c r="AN5290" s="313"/>
      <c r="AO5290" s="313"/>
      <c r="AP5290" s="313"/>
      <c r="AQ5290" s="314"/>
      <c r="AR5290" s="315" t="str">
        <f t="shared" si="119"/>
        <v/>
      </c>
    </row>
    <row r="5291" spans="37:44" ht="30" hidden="1" customHeight="1" x14ac:dyDescent="0.25">
      <c r="AK5291" s="313"/>
      <c r="AL5291" s="313"/>
      <c r="AM5291" s="313"/>
      <c r="AN5291" s="313"/>
      <c r="AO5291" s="313"/>
      <c r="AP5291" s="313"/>
      <c r="AQ5291" s="314"/>
      <c r="AR5291" s="315" t="str">
        <f t="shared" si="119"/>
        <v/>
      </c>
    </row>
    <row r="5292" spans="37:44" ht="30" hidden="1" customHeight="1" x14ac:dyDescent="0.25">
      <c r="AK5292" s="313"/>
      <c r="AL5292" s="313"/>
      <c r="AM5292" s="313"/>
      <c r="AN5292" s="313"/>
      <c r="AO5292" s="313"/>
      <c r="AP5292" s="313"/>
      <c r="AQ5292" s="314"/>
      <c r="AR5292" s="315" t="str">
        <f t="shared" si="119"/>
        <v/>
      </c>
    </row>
    <row r="5293" spans="37:44" ht="30" hidden="1" customHeight="1" x14ac:dyDescent="0.25">
      <c r="AK5293" s="313"/>
      <c r="AL5293" s="313"/>
      <c r="AM5293" s="313"/>
      <c r="AN5293" s="313"/>
      <c r="AO5293" s="313"/>
      <c r="AP5293" s="313"/>
      <c r="AQ5293" s="314"/>
      <c r="AR5293" s="315" t="str">
        <f t="shared" si="119"/>
        <v/>
      </c>
    </row>
    <row r="5294" spans="37:44" ht="30" hidden="1" customHeight="1" x14ac:dyDescent="0.25">
      <c r="AK5294" s="313"/>
      <c r="AL5294" s="313"/>
      <c r="AM5294" s="313"/>
      <c r="AN5294" s="313"/>
      <c r="AO5294" s="313"/>
      <c r="AP5294" s="313"/>
      <c r="AQ5294" s="314"/>
      <c r="AR5294" s="315" t="str">
        <f t="shared" si="119"/>
        <v/>
      </c>
    </row>
    <row r="5295" spans="37:44" ht="30" hidden="1" customHeight="1" x14ac:dyDescent="0.25">
      <c r="AK5295" s="313"/>
      <c r="AL5295" s="313"/>
      <c r="AM5295" s="313"/>
      <c r="AN5295" s="313"/>
      <c r="AO5295" s="313"/>
      <c r="AP5295" s="313"/>
      <c r="AQ5295" s="314"/>
      <c r="AR5295" s="315" t="str">
        <f t="shared" si="119"/>
        <v/>
      </c>
    </row>
    <row r="5296" spans="37:44" ht="30" hidden="1" customHeight="1" x14ac:dyDescent="0.25">
      <c r="AK5296" s="313"/>
      <c r="AL5296" s="313"/>
      <c r="AM5296" s="313"/>
      <c r="AN5296" s="313"/>
      <c r="AO5296" s="313"/>
      <c r="AP5296" s="313"/>
      <c r="AQ5296" s="314"/>
      <c r="AR5296" s="315" t="str">
        <f t="shared" si="119"/>
        <v/>
      </c>
    </row>
    <row r="5297" spans="37:44" ht="30" hidden="1" customHeight="1" x14ac:dyDescent="0.25">
      <c r="AK5297" s="313"/>
      <c r="AL5297" s="313"/>
      <c r="AM5297" s="313"/>
      <c r="AN5297" s="313"/>
      <c r="AO5297" s="313"/>
      <c r="AP5297" s="313"/>
      <c r="AQ5297" s="314"/>
      <c r="AR5297" s="315" t="str">
        <f t="shared" si="119"/>
        <v/>
      </c>
    </row>
    <row r="5298" spans="37:44" ht="30" hidden="1" customHeight="1" x14ac:dyDescent="0.25">
      <c r="AK5298" s="313"/>
      <c r="AL5298" s="313"/>
      <c r="AM5298" s="313"/>
      <c r="AN5298" s="313"/>
      <c r="AO5298" s="313"/>
      <c r="AP5298" s="313"/>
      <c r="AQ5298" s="314"/>
      <c r="AR5298" s="315" t="str">
        <f t="shared" si="119"/>
        <v/>
      </c>
    </row>
    <row r="5299" spans="37:44" ht="30" hidden="1" customHeight="1" x14ac:dyDescent="0.25">
      <c r="AK5299" s="313"/>
      <c r="AL5299" s="313"/>
      <c r="AM5299" s="313"/>
      <c r="AN5299" s="313"/>
      <c r="AO5299" s="313"/>
      <c r="AP5299" s="313"/>
      <c r="AQ5299" s="314"/>
      <c r="AR5299" s="315" t="str">
        <f t="shared" si="119"/>
        <v/>
      </c>
    </row>
    <row r="5300" spans="37:44" ht="30" hidden="1" customHeight="1" x14ac:dyDescent="0.25">
      <c r="AK5300" s="313"/>
      <c r="AL5300" s="313"/>
      <c r="AM5300" s="313"/>
      <c r="AN5300" s="313"/>
      <c r="AO5300" s="313"/>
      <c r="AP5300" s="313"/>
      <c r="AQ5300" s="314"/>
      <c r="AR5300" s="315" t="str">
        <f t="shared" si="119"/>
        <v/>
      </c>
    </row>
    <row r="5301" spans="37:44" ht="30" hidden="1" customHeight="1" x14ac:dyDescent="0.25">
      <c r="AK5301" s="313"/>
      <c r="AL5301" s="313"/>
      <c r="AM5301" s="313"/>
      <c r="AN5301" s="313"/>
      <c r="AO5301" s="313"/>
      <c r="AP5301" s="313"/>
      <c r="AQ5301" s="314"/>
      <c r="AR5301" s="315" t="str">
        <f t="shared" si="119"/>
        <v/>
      </c>
    </row>
    <row r="5302" spans="37:44" ht="30" hidden="1" customHeight="1" x14ac:dyDescent="0.25">
      <c r="AK5302" s="313"/>
      <c r="AL5302" s="313"/>
      <c r="AM5302" s="313"/>
      <c r="AN5302" s="313"/>
      <c r="AO5302" s="313"/>
      <c r="AP5302" s="313"/>
      <c r="AQ5302" s="314"/>
      <c r="AR5302" s="315" t="str">
        <f t="shared" si="119"/>
        <v/>
      </c>
    </row>
    <row r="5303" spans="37:44" ht="30" hidden="1" customHeight="1" x14ac:dyDescent="0.25">
      <c r="AK5303" s="313"/>
      <c r="AL5303" s="313"/>
      <c r="AM5303" s="313"/>
      <c r="AN5303" s="313"/>
      <c r="AO5303" s="313"/>
      <c r="AP5303" s="313"/>
      <c r="AQ5303" s="314"/>
      <c r="AR5303" s="315" t="str">
        <f t="shared" si="119"/>
        <v/>
      </c>
    </row>
    <row r="5304" spans="37:44" ht="30" hidden="1" customHeight="1" x14ac:dyDescent="0.25">
      <c r="AK5304" s="313"/>
      <c r="AL5304" s="313"/>
      <c r="AM5304" s="313"/>
      <c r="AN5304" s="313"/>
      <c r="AO5304" s="313"/>
      <c r="AP5304" s="313"/>
      <c r="AQ5304" s="314"/>
      <c r="AR5304" s="315" t="str">
        <f t="shared" si="119"/>
        <v/>
      </c>
    </row>
    <row r="5305" spans="37:44" ht="30" hidden="1" customHeight="1" x14ac:dyDescent="0.25">
      <c r="AK5305" s="313"/>
      <c r="AL5305" s="313"/>
      <c r="AM5305" s="313"/>
      <c r="AN5305" s="313"/>
      <c r="AO5305" s="313"/>
      <c r="AP5305" s="313"/>
      <c r="AQ5305" s="314"/>
      <c r="AR5305" s="315" t="str">
        <f t="shared" si="119"/>
        <v/>
      </c>
    </row>
    <row r="5306" spans="37:44" ht="30" hidden="1" customHeight="1" x14ac:dyDescent="0.25">
      <c r="AK5306" s="313"/>
      <c r="AL5306" s="313"/>
      <c r="AM5306" s="313"/>
      <c r="AN5306" s="313"/>
      <c r="AO5306" s="313"/>
      <c r="AP5306" s="313"/>
      <c r="AQ5306" s="314"/>
      <c r="AR5306" s="315" t="str">
        <f t="shared" si="119"/>
        <v/>
      </c>
    </row>
    <row r="5307" spans="37:44" ht="30" hidden="1" customHeight="1" x14ac:dyDescent="0.25">
      <c r="AK5307" s="313"/>
      <c r="AL5307" s="313"/>
      <c r="AM5307" s="313"/>
      <c r="AN5307" s="313"/>
      <c r="AO5307" s="313"/>
      <c r="AP5307" s="313"/>
      <c r="AQ5307" s="314"/>
      <c r="AR5307" s="315" t="str">
        <f t="shared" si="119"/>
        <v/>
      </c>
    </row>
    <row r="5308" spans="37:44" ht="30" hidden="1" customHeight="1" x14ac:dyDescent="0.25">
      <c r="AK5308" s="313"/>
      <c r="AL5308" s="313"/>
      <c r="AM5308" s="313"/>
      <c r="AN5308" s="313"/>
      <c r="AO5308" s="313"/>
      <c r="AP5308" s="313"/>
      <c r="AQ5308" s="314"/>
      <c r="AR5308" s="315" t="str">
        <f t="shared" si="119"/>
        <v/>
      </c>
    </row>
    <row r="5309" spans="37:44" ht="30" hidden="1" customHeight="1" x14ac:dyDescent="0.25">
      <c r="AK5309" s="313"/>
      <c r="AL5309" s="313"/>
      <c r="AM5309" s="313"/>
      <c r="AN5309" s="313"/>
      <c r="AO5309" s="313"/>
      <c r="AP5309" s="313"/>
      <c r="AQ5309" s="314"/>
      <c r="AR5309" s="315" t="str">
        <f t="shared" si="119"/>
        <v/>
      </c>
    </row>
    <row r="5310" spans="37:44" ht="30" hidden="1" customHeight="1" x14ac:dyDescent="0.25">
      <c r="AK5310" s="313"/>
      <c r="AL5310" s="313"/>
      <c r="AM5310" s="313"/>
      <c r="AN5310" s="313"/>
      <c r="AO5310" s="313"/>
      <c r="AP5310" s="313"/>
      <c r="AQ5310" s="314"/>
      <c r="AR5310" s="315" t="str">
        <f t="shared" si="119"/>
        <v/>
      </c>
    </row>
    <row r="5311" spans="37:44" ht="30" hidden="1" customHeight="1" x14ac:dyDescent="0.25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20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 x14ac:dyDescent="0.25">
      <c r="AK5312" s="313"/>
      <c r="AL5312" s="313"/>
      <c r="AM5312" s="313"/>
      <c r="AN5312" s="313"/>
      <c r="AO5312" s="313"/>
      <c r="AP5312" s="313"/>
      <c r="AQ5312" s="314"/>
      <c r="AR5312" s="315" t="str">
        <f t="shared" si="120"/>
        <v/>
      </c>
    </row>
    <row r="5313" spans="37:44" ht="30" hidden="1" customHeight="1" x14ac:dyDescent="0.25">
      <c r="AK5313" s="313"/>
      <c r="AL5313" s="313"/>
      <c r="AM5313" s="313"/>
      <c r="AN5313" s="313"/>
      <c r="AO5313" s="313"/>
      <c r="AP5313" s="313"/>
      <c r="AQ5313" s="314"/>
      <c r="AR5313" s="315" t="str">
        <f t="shared" si="120"/>
        <v/>
      </c>
    </row>
    <row r="5314" spans="37:44" ht="30" hidden="1" customHeight="1" x14ac:dyDescent="0.25">
      <c r="AK5314" s="313"/>
      <c r="AL5314" s="313"/>
      <c r="AM5314" s="313"/>
      <c r="AN5314" s="313"/>
      <c r="AO5314" s="313"/>
      <c r="AP5314" s="313"/>
      <c r="AQ5314" s="314"/>
      <c r="AR5314" s="315" t="str">
        <f t="shared" si="120"/>
        <v/>
      </c>
    </row>
    <row r="5315" spans="37:44" ht="30" hidden="1" customHeight="1" x14ac:dyDescent="0.25">
      <c r="AK5315" s="313"/>
      <c r="AL5315" s="313"/>
      <c r="AM5315" s="313"/>
      <c r="AN5315" s="313"/>
      <c r="AO5315" s="313"/>
      <c r="AP5315" s="313"/>
      <c r="AQ5315" s="314"/>
      <c r="AR5315" s="315" t="str">
        <f t="shared" si="120"/>
        <v/>
      </c>
    </row>
    <row r="5316" spans="37:44" ht="30" hidden="1" customHeight="1" x14ac:dyDescent="0.25">
      <c r="AK5316" s="313"/>
      <c r="AL5316" s="313"/>
      <c r="AM5316" s="313"/>
      <c r="AN5316" s="313"/>
      <c r="AO5316" s="313"/>
      <c r="AP5316" s="313"/>
      <c r="AQ5316" s="314"/>
      <c r="AR5316" s="315" t="str">
        <f t="shared" si="120"/>
        <v/>
      </c>
    </row>
    <row r="5317" spans="37:44" ht="30" hidden="1" customHeight="1" x14ac:dyDescent="0.25">
      <c r="AK5317" s="313"/>
      <c r="AL5317" s="313"/>
      <c r="AM5317" s="313"/>
      <c r="AN5317" s="313"/>
      <c r="AO5317" s="313"/>
      <c r="AP5317" s="313"/>
      <c r="AQ5317" s="314"/>
      <c r="AR5317" s="315" t="str">
        <f t="shared" si="120"/>
        <v/>
      </c>
    </row>
    <row r="5318" spans="37:44" ht="30" hidden="1" customHeight="1" x14ac:dyDescent="0.25">
      <c r="AK5318" s="313"/>
      <c r="AL5318" s="313"/>
      <c r="AM5318" s="313"/>
      <c r="AN5318" s="313"/>
      <c r="AO5318" s="313"/>
      <c r="AP5318" s="313"/>
      <c r="AQ5318" s="314"/>
      <c r="AR5318" s="315" t="str">
        <f t="shared" si="120"/>
        <v/>
      </c>
    </row>
    <row r="5319" spans="37:44" ht="30" hidden="1" customHeight="1" x14ac:dyDescent="0.25">
      <c r="AK5319" s="313"/>
      <c r="AL5319" s="313"/>
      <c r="AM5319" s="313"/>
      <c r="AN5319" s="313"/>
      <c r="AO5319" s="313"/>
      <c r="AP5319" s="313"/>
      <c r="AQ5319" s="314"/>
      <c r="AR5319" s="315" t="str">
        <f t="shared" si="120"/>
        <v/>
      </c>
    </row>
    <row r="5320" spans="37:44" ht="30" hidden="1" customHeight="1" x14ac:dyDescent="0.25">
      <c r="AK5320" s="313"/>
      <c r="AL5320" s="313"/>
      <c r="AM5320" s="313"/>
      <c r="AN5320" s="313"/>
      <c r="AO5320" s="313"/>
      <c r="AP5320" s="313"/>
      <c r="AQ5320" s="314"/>
      <c r="AR5320" s="315" t="str">
        <f t="shared" si="120"/>
        <v/>
      </c>
    </row>
    <row r="5321" spans="37:44" ht="30" hidden="1" customHeight="1" x14ac:dyDescent="0.25">
      <c r="AK5321" s="313"/>
      <c r="AL5321" s="313"/>
      <c r="AM5321" s="313"/>
      <c r="AN5321" s="313"/>
      <c r="AO5321" s="313"/>
      <c r="AP5321" s="313"/>
      <c r="AQ5321" s="314"/>
      <c r="AR5321" s="315" t="str">
        <f t="shared" si="120"/>
        <v/>
      </c>
    </row>
    <row r="5322" spans="37:44" ht="30" hidden="1" customHeight="1" x14ac:dyDescent="0.25">
      <c r="AK5322" s="313"/>
      <c r="AL5322" s="313"/>
      <c r="AM5322" s="313"/>
      <c r="AN5322" s="313"/>
      <c r="AO5322" s="313"/>
      <c r="AP5322" s="313"/>
      <c r="AQ5322" s="314"/>
      <c r="AR5322" s="315" t="str">
        <f t="shared" si="120"/>
        <v/>
      </c>
    </row>
    <row r="5323" spans="37:44" ht="30" hidden="1" customHeight="1" x14ac:dyDescent="0.25">
      <c r="AK5323" s="313"/>
      <c r="AL5323" s="313"/>
      <c r="AM5323" s="313"/>
      <c r="AN5323" s="313"/>
      <c r="AO5323" s="313"/>
      <c r="AP5323" s="313"/>
      <c r="AQ5323" s="314"/>
      <c r="AR5323" s="315" t="str">
        <f t="shared" si="120"/>
        <v/>
      </c>
    </row>
    <row r="5324" spans="37:44" ht="30" hidden="1" customHeight="1" x14ac:dyDescent="0.25">
      <c r="AK5324" s="313"/>
      <c r="AL5324" s="313"/>
      <c r="AM5324" s="313"/>
      <c r="AN5324" s="313"/>
      <c r="AO5324" s="313"/>
      <c r="AP5324" s="313"/>
      <c r="AQ5324" s="314"/>
      <c r="AR5324" s="315" t="str">
        <f t="shared" si="120"/>
        <v/>
      </c>
    </row>
    <row r="5325" spans="37:44" ht="30" hidden="1" customHeight="1" x14ac:dyDescent="0.25">
      <c r="AK5325" s="313"/>
      <c r="AL5325" s="313"/>
      <c r="AM5325" s="313"/>
      <c r="AN5325" s="313"/>
      <c r="AO5325" s="313"/>
      <c r="AP5325" s="313"/>
      <c r="AQ5325" s="314"/>
      <c r="AR5325" s="315" t="str">
        <f t="shared" si="120"/>
        <v/>
      </c>
    </row>
    <row r="5326" spans="37:44" ht="30" hidden="1" customHeight="1" x14ac:dyDescent="0.25">
      <c r="AK5326" s="313"/>
      <c r="AL5326" s="313"/>
      <c r="AM5326" s="313"/>
      <c r="AN5326" s="313"/>
      <c r="AO5326" s="313"/>
      <c r="AP5326" s="313"/>
      <c r="AQ5326" s="314"/>
      <c r="AR5326" s="315" t="str">
        <f t="shared" si="120"/>
        <v/>
      </c>
    </row>
    <row r="5327" spans="37:44" ht="30" hidden="1" customHeight="1" x14ac:dyDescent="0.25">
      <c r="AK5327" s="313"/>
      <c r="AL5327" s="313"/>
      <c r="AM5327" s="313"/>
      <c r="AN5327" s="313"/>
      <c r="AO5327" s="313"/>
      <c r="AP5327" s="313"/>
      <c r="AQ5327" s="314"/>
      <c r="AR5327" s="315" t="str">
        <f t="shared" si="120"/>
        <v/>
      </c>
    </row>
    <row r="5328" spans="37:44" ht="30" hidden="1" customHeight="1" x14ac:dyDescent="0.25">
      <c r="AK5328" s="313"/>
      <c r="AL5328" s="313"/>
      <c r="AM5328" s="313"/>
      <c r="AN5328" s="313"/>
      <c r="AO5328" s="313"/>
      <c r="AP5328" s="313"/>
      <c r="AQ5328" s="314"/>
      <c r="AR5328" s="315" t="str">
        <f t="shared" si="120"/>
        <v/>
      </c>
    </row>
    <row r="5329" spans="37:44" ht="30" hidden="1" customHeight="1" x14ac:dyDescent="0.25">
      <c r="AK5329" s="313"/>
      <c r="AL5329" s="313"/>
      <c r="AM5329" s="313"/>
      <c r="AN5329" s="313"/>
      <c r="AO5329" s="313"/>
      <c r="AP5329" s="313"/>
      <c r="AQ5329" s="314"/>
      <c r="AR5329" s="315" t="str">
        <f t="shared" si="120"/>
        <v/>
      </c>
    </row>
    <row r="5330" spans="37:44" ht="30" hidden="1" customHeight="1" x14ac:dyDescent="0.25">
      <c r="AK5330" s="313"/>
      <c r="AL5330" s="313"/>
      <c r="AM5330" s="313"/>
      <c r="AN5330" s="313"/>
      <c r="AO5330" s="313"/>
      <c r="AP5330" s="313"/>
      <c r="AQ5330" s="314"/>
      <c r="AR5330" s="315" t="str">
        <f t="shared" si="120"/>
        <v/>
      </c>
    </row>
    <row r="5331" spans="37:44" ht="30" hidden="1" customHeight="1" x14ac:dyDescent="0.25">
      <c r="AK5331" s="313"/>
      <c r="AL5331" s="313"/>
      <c r="AM5331" s="313"/>
      <c r="AN5331" s="313"/>
      <c r="AO5331" s="313"/>
      <c r="AP5331" s="313"/>
      <c r="AQ5331" s="314"/>
      <c r="AR5331" s="315" t="str">
        <f t="shared" si="120"/>
        <v/>
      </c>
    </row>
    <row r="5332" spans="37:44" ht="30" hidden="1" customHeight="1" x14ac:dyDescent="0.25">
      <c r="AK5332" s="313"/>
      <c r="AL5332" s="313"/>
      <c r="AM5332" s="313"/>
      <c r="AN5332" s="313"/>
      <c r="AO5332" s="313"/>
      <c r="AP5332" s="313"/>
      <c r="AQ5332" s="314"/>
      <c r="AR5332" s="315" t="str">
        <f t="shared" si="120"/>
        <v/>
      </c>
    </row>
    <row r="5333" spans="37:44" ht="30" hidden="1" customHeight="1" x14ac:dyDescent="0.25">
      <c r="AK5333" s="313"/>
      <c r="AL5333" s="313"/>
      <c r="AM5333" s="313"/>
      <c r="AN5333" s="313"/>
      <c r="AO5333" s="313"/>
      <c r="AP5333" s="313"/>
      <c r="AQ5333" s="314"/>
      <c r="AR5333" s="315" t="str">
        <f t="shared" si="120"/>
        <v/>
      </c>
    </row>
    <row r="5334" spans="37:44" ht="30" hidden="1" customHeight="1" x14ac:dyDescent="0.25">
      <c r="AK5334" s="313"/>
      <c r="AL5334" s="313"/>
      <c r="AM5334" s="313"/>
      <c r="AN5334" s="313"/>
      <c r="AO5334" s="313"/>
      <c r="AP5334" s="313"/>
      <c r="AQ5334" s="314"/>
      <c r="AR5334" s="315" t="str">
        <f t="shared" si="120"/>
        <v/>
      </c>
    </row>
    <row r="5335" spans="37:44" ht="30" hidden="1" customHeight="1" x14ac:dyDescent="0.25">
      <c r="AK5335" s="313"/>
      <c r="AL5335" s="313"/>
      <c r="AM5335" s="313"/>
      <c r="AN5335" s="313"/>
      <c r="AO5335" s="313"/>
      <c r="AP5335" s="313"/>
      <c r="AQ5335" s="314"/>
      <c r="AR5335" s="315" t="str">
        <f t="shared" si="120"/>
        <v/>
      </c>
    </row>
    <row r="5336" spans="37:44" ht="30" hidden="1" customHeight="1" x14ac:dyDescent="0.25">
      <c r="AK5336" s="313"/>
      <c r="AL5336" s="313"/>
      <c r="AM5336" s="313"/>
      <c r="AN5336" s="313"/>
      <c r="AO5336" s="313"/>
      <c r="AP5336" s="313"/>
      <c r="AQ5336" s="314"/>
      <c r="AR5336" s="315" t="str">
        <f t="shared" si="120"/>
        <v/>
      </c>
    </row>
    <row r="5337" spans="37:44" ht="30" hidden="1" customHeight="1" x14ac:dyDescent="0.25">
      <c r="AK5337" s="313"/>
      <c r="AL5337" s="313"/>
      <c r="AM5337" s="313"/>
      <c r="AN5337" s="313"/>
      <c r="AO5337" s="313"/>
      <c r="AP5337" s="313"/>
      <c r="AQ5337" s="314"/>
      <c r="AR5337" s="315" t="str">
        <f t="shared" si="120"/>
        <v/>
      </c>
    </row>
    <row r="5338" spans="37:44" ht="30" hidden="1" customHeight="1" x14ac:dyDescent="0.25">
      <c r="AK5338" s="313"/>
      <c r="AL5338" s="313"/>
      <c r="AM5338" s="313"/>
      <c r="AN5338" s="313"/>
      <c r="AO5338" s="313"/>
      <c r="AP5338" s="313"/>
      <c r="AQ5338" s="314"/>
      <c r="AR5338" s="315" t="str">
        <f t="shared" si="120"/>
        <v/>
      </c>
    </row>
    <row r="5339" spans="37:44" ht="30" hidden="1" customHeight="1" x14ac:dyDescent="0.25">
      <c r="AK5339" s="313"/>
      <c r="AL5339" s="313"/>
      <c r="AM5339" s="313"/>
      <c r="AN5339" s="313"/>
      <c r="AO5339" s="313"/>
      <c r="AP5339" s="313"/>
      <c r="AQ5339" s="314"/>
      <c r="AR5339" s="315" t="str">
        <f t="shared" si="120"/>
        <v/>
      </c>
    </row>
    <row r="5340" spans="37:44" ht="30" hidden="1" customHeight="1" x14ac:dyDescent="0.25">
      <c r="AK5340" s="313"/>
      <c r="AL5340" s="313"/>
      <c r="AM5340" s="313"/>
      <c r="AN5340" s="313"/>
      <c r="AO5340" s="313"/>
      <c r="AP5340" s="313"/>
      <c r="AQ5340" s="314"/>
      <c r="AR5340" s="315" t="str">
        <f t="shared" si="120"/>
        <v/>
      </c>
    </row>
    <row r="5341" spans="37:44" ht="30" hidden="1" customHeight="1" x14ac:dyDescent="0.25">
      <c r="AK5341" s="313"/>
      <c r="AL5341" s="313"/>
      <c r="AM5341" s="313"/>
      <c r="AN5341" s="313"/>
      <c r="AO5341" s="313"/>
      <c r="AP5341" s="313"/>
      <c r="AQ5341" s="314"/>
      <c r="AR5341" s="315" t="str">
        <f t="shared" si="120"/>
        <v/>
      </c>
    </row>
    <row r="5342" spans="37:44" ht="30" hidden="1" customHeight="1" x14ac:dyDescent="0.25">
      <c r="AK5342" s="313"/>
      <c r="AL5342" s="313"/>
      <c r="AM5342" s="313"/>
      <c r="AN5342" s="313"/>
      <c r="AO5342" s="313"/>
      <c r="AP5342" s="313"/>
      <c r="AQ5342" s="314"/>
      <c r="AR5342" s="315" t="str">
        <f t="shared" si="120"/>
        <v/>
      </c>
    </row>
    <row r="5343" spans="37:44" ht="30" hidden="1" customHeight="1" x14ac:dyDescent="0.25">
      <c r="AK5343" s="313"/>
      <c r="AL5343" s="313"/>
      <c r="AM5343" s="313"/>
      <c r="AN5343" s="313"/>
      <c r="AO5343" s="313"/>
      <c r="AP5343" s="313"/>
      <c r="AQ5343" s="314"/>
      <c r="AR5343" s="315" t="str">
        <f t="shared" si="120"/>
        <v/>
      </c>
    </row>
    <row r="5344" spans="37:44" ht="30" hidden="1" customHeight="1" x14ac:dyDescent="0.25">
      <c r="AK5344" s="313"/>
      <c r="AL5344" s="313"/>
      <c r="AM5344" s="313"/>
      <c r="AN5344" s="313"/>
      <c r="AO5344" s="313"/>
      <c r="AP5344" s="313"/>
      <c r="AQ5344" s="314"/>
      <c r="AR5344" s="315" t="str">
        <f t="shared" si="120"/>
        <v/>
      </c>
    </row>
    <row r="5345" spans="37:44" ht="30" hidden="1" customHeight="1" x14ac:dyDescent="0.25">
      <c r="AK5345" s="313"/>
      <c r="AL5345" s="313"/>
      <c r="AM5345" s="313"/>
      <c r="AN5345" s="313"/>
      <c r="AO5345" s="313"/>
      <c r="AP5345" s="313"/>
      <c r="AQ5345" s="314"/>
      <c r="AR5345" s="315" t="str">
        <f t="shared" si="120"/>
        <v/>
      </c>
    </row>
    <row r="5346" spans="37:44" ht="30" hidden="1" customHeight="1" x14ac:dyDescent="0.25">
      <c r="AK5346" s="313"/>
      <c r="AL5346" s="313"/>
      <c r="AM5346" s="313"/>
      <c r="AN5346" s="313"/>
      <c r="AO5346" s="313"/>
      <c r="AP5346" s="313"/>
      <c r="AQ5346" s="314"/>
      <c r="AR5346" s="315" t="str">
        <f t="shared" si="120"/>
        <v/>
      </c>
    </row>
    <row r="5347" spans="37:44" ht="30" hidden="1" customHeight="1" x14ac:dyDescent="0.25">
      <c r="AK5347" s="313"/>
      <c r="AL5347" s="313"/>
      <c r="AM5347" s="313"/>
      <c r="AN5347" s="313"/>
      <c r="AO5347" s="313"/>
      <c r="AP5347" s="313"/>
      <c r="AQ5347" s="314"/>
      <c r="AR5347" s="315" t="str">
        <f t="shared" si="120"/>
        <v/>
      </c>
    </row>
    <row r="5348" spans="37:44" ht="30" hidden="1" customHeight="1" x14ac:dyDescent="0.25">
      <c r="AK5348" s="313"/>
      <c r="AL5348" s="313"/>
      <c r="AM5348" s="313"/>
      <c r="AN5348" s="313"/>
      <c r="AO5348" s="313"/>
      <c r="AP5348" s="313"/>
      <c r="AQ5348" s="314"/>
      <c r="AR5348" s="315" t="str">
        <f t="shared" si="120"/>
        <v/>
      </c>
    </row>
    <row r="5349" spans="37:44" ht="30" hidden="1" customHeight="1" x14ac:dyDescent="0.25">
      <c r="AK5349" s="313"/>
      <c r="AL5349" s="313"/>
      <c r="AM5349" s="313"/>
      <c r="AN5349" s="313"/>
      <c r="AO5349" s="313"/>
      <c r="AP5349" s="313"/>
      <c r="AQ5349" s="314"/>
      <c r="AR5349" s="315" t="str">
        <f t="shared" si="120"/>
        <v/>
      </c>
    </row>
    <row r="5350" spans="37:44" ht="30" hidden="1" customHeight="1" x14ac:dyDescent="0.25">
      <c r="AK5350" s="313"/>
      <c r="AL5350" s="313"/>
      <c r="AM5350" s="313"/>
      <c r="AN5350" s="313"/>
      <c r="AO5350" s="313"/>
      <c r="AP5350" s="313"/>
      <c r="AQ5350" s="314"/>
      <c r="AR5350" s="315" t="str">
        <f t="shared" si="120"/>
        <v/>
      </c>
    </row>
    <row r="5351" spans="37:44" ht="30" hidden="1" customHeight="1" x14ac:dyDescent="0.25">
      <c r="AK5351" s="313"/>
      <c r="AL5351" s="313"/>
      <c r="AM5351" s="313"/>
      <c r="AN5351" s="313"/>
      <c r="AO5351" s="313"/>
      <c r="AP5351" s="313"/>
      <c r="AQ5351" s="314"/>
      <c r="AR5351" s="315" t="str">
        <f t="shared" si="120"/>
        <v/>
      </c>
    </row>
    <row r="5352" spans="37:44" ht="30" hidden="1" customHeight="1" x14ac:dyDescent="0.25">
      <c r="AK5352" s="313"/>
      <c r="AL5352" s="313"/>
      <c r="AM5352" s="313"/>
      <c r="AN5352" s="313"/>
      <c r="AO5352" s="313"/>
      <c r="AP5352" s="313"/>
      <c r="AQ5352" s="314"/>
      <c r="AR5352" s="315" t="str">
        <f t="shared" si="120"/>
        <v/>
      </c>
    </row>
    <row r="5353" spans="37:44" ht="30" hidden="1" customHeight="1" x14ac:dyDescent="0.25">
      <c r="AK5353" s="313"/>
      <c r="AL5353" s="313"/>
      <c r="AM5353" s="313"/>
      <c r="AN5353" s="313"/>
      <c r="AO5353" s="313"/>
      <c r="AP5353" s="313"/>
      <c r="AQ5353" s="314"/>
      <c r="AR5353" s="315" t="str">
        <f t="shared" si="120"/>
        <v/>
      </c>
    </row>
    <row r="5354" spans="37:44" ht="30" customHeight="1" x14ac:dyDescent="0.25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 x14ac:dyDescent="0.25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 x14ac:dyDescent="0.25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 x14ac:dyDescent="0.25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 x14ac:dyDescent="0.25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 x14ac:dyDescent="0.25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 x14ac:dyDescent="0.25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 x14ac:dyDescent="0.25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 x14ac:dyDescent="0.25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 x14ac:dyDescent="0.25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 x14ac:dyDescent="0.25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 x14ac:dyDescent="0.25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 x14ac:dyDescent="0.25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 x14ac:dyDescent="0.25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 x14ac:dyDescent="0.25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 x14ac:dyDescent="0.25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 x14ac:dyDescent="0.25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 x14ac:dyDescent="0.25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 x14ac:dyDescent="0.25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 x14ac:dyDescent="0.25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 x14ac:dyDescent="0.25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 x14ac:dyDescent="0.25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 x14ac:dyDescent="0.25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 x14ac:dyDescent="0.25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 x14ac:dyDescent="0.25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 x14ac:dyDescent="0.25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 x14ac:dyDescent="0.25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 x14ac:dyDescent="0.25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 x14ac:dyDescent="0.25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 x14ac:dyDescent="0.25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 x14ac:dyDescent="0.25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 x14ac:dyDescent="0.25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 x14ac:dyDescent="0.25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 x14ac:dyDescent="0.25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 x14ac:dyDescent="0.25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 x14ac:dyDescent="0.25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 x14ac:dyDescent="0.25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 x14ac:dyDescent="0.25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 x14ac:dyDescent="0.25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 x14ac:dyDescent="0.25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 x14ac:dyDescent="0.25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 x14ac:dyDescent="0.25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 x14ac:dyDescent="0.25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 x14ac:dyDescent="0.25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 x14ac:dyDescent="0.25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 x14ac:dyDescent="0.25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 x14ac:dyDescent="0.25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 x14ac:dyDescent="0.25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 x14ac:dyDescent="0.25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 x14ac:dyDescent="0.25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 x14ac:dyDescent="0.25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 x14ac:dyDescent="0.25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 x14ac:dyDescent="0.25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 x14ac:dyDescent="0.25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 x14ac:dyDescent="0.25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 x14ac:dyDescent="0.25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 x14ac:dyDescent="0.25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 x14ac:dyDescent="0.25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 x14ac:dyDescent="0.25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 x14ac:dyDescent="0.25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 x14ac:dyDescent="0.25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 x14ac:dyDescent="0.25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 x14ac:dyDescent="0.25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 x14ac:dyDescent="0.25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 x14ac:dyDescent="0.25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 x14ac:dyDescent="0.25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 x14ac:dyDescent="0.25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 x14ac:dyDescent="0.25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 x14ac:dyDescent="0.25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 x14ac:dyDescent="0.25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 x14ac:dyDescent="0.25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 x14ac:dyDescent="0.25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 x14ac:dyDescent="0.25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 x14ac:dyDescent="0.25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 x14ac:dyDescent="0.25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 x14ac:dyDescent="0.25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 x14ac:dyDescent="0.25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 x14ac:dyDescent="0.25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 x14ac:dyDescent="0.25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 x14ac:dyDescent="0.25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 x14ac:dyDescent="0.25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 x14ac:dyDescent="0.25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 x14ac:dyDescent="0.25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 x14ac:dyDescent="0.25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 x14ac:dyDescent="0.25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 x14ac:dyDescent="0.25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 x14ac:dyDescent="0.25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 x14ac:dyDescent="0.25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 x14ac:dyDescent="0.25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 x14ac:dyDescent="0.25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 x14ac:dyDescent="0.25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 x14ac:dyDescent="0.25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 x14ac:dyDescent="0.25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 x14ac:dyDescent="0.25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 x14ac:dyDescent="0.25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 x14ac:dyDescent="0.25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 x14ac:dyDescent="0.25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 x14ac:dyDescent="0.25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 x14ac:dyDescent="0.25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 x14ac:dyDescent="0.25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 x14ac:dyDescent="0.25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 x14ac:dyDescent="0.25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 x14ac:dyDescent="0.25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 x14ac:dyDescent="0.25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 x14ac:dyDescent="0.25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 x14ac:dyDescent="0.25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 x14ac:dyDescent="0.25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 x14ac:dyDescent="0.25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 x14ac:dyDescent="0.25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 x14ac:dyDescent="0.25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 x14ac:dyDescent="0.25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 x14ac:dyDescent="0.25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 x14ac:dyDescent="0.25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 x14ac:dyDescent="0.25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 x14ac:dyDescent="0.25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 x14ac:dyDescent="0.25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 x14ac:dyDescent="0.25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 x14ac:dyDescent="0.25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 x14ac:dyDescent="0.25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 x14ac:dyDescent="0.25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 x14ac:dyDescent="0.25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 x14ac:dyDescent="0.25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 x14ac:dyDescent="0.25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 x14ac:dyDescent="0.25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 x14ac:dyDescent="0.25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 x14ac:dyDescent="0.25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 x14ac:dyDescent="0.25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 x14ac:dyDescent="0.25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 x14ac:dyDescent="0.25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 x14ac:dyDescent="0.25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 x14ac:dyDescent="0.25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 x14ac:dyDescent="0.25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 x14ac:dyDescent="0.25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 x14ac:dyDescent="0.25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 x14ac:dyDescent="0.25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 x14ac:dyDescent="0.25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 x14ac:dyDescent="0.25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 x14ac:dyDescent="0.25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 x14ac:dyDescent="0.25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 x14ac:dyDescent="0.25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 x14ac:dyDescent="0.25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 x14ac:dyDescent="0.25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 x14ac:dyDescent="0.25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 x14ac:dyDescent="0.25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 x14ac:dyDescent="0.25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 x14ac:dyDescent="0.25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 x14ac:dyDescent="0.25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 x14ac:dyDescent="0.25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 x14ac:dyDescent="0.25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 x14ac:dyDescent="0.25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 x14ac:dyDescent="0.25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 x14ac:dyDescent="0.25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 x14ac:dyDescent="0.25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 x14ac:dyDescent="0.25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 x14ac:dyDescent="0.25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 x14ac:dyDescent="0.25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 x14ac:dyDescent="0.25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 x14ac:dyDescent="0.25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 x14ac:dyDescent="0.25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 x14ac:dyDescent="0.25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 x14ac:dyDescent="0.25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 x14ac:dyDescent="0.25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 x14ac:dyDescent="0.25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 x14ac:dyDescent="0.25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 x14ac:dyDescent="0.25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 x14ac:dyDescent="0.25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 x14ac:dyDescent="0.25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 x14ac:dyDescent="0.25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 x14ac:dyDescent="0.25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 x14ac:dyDescent="0.25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 x14ac:dyDescent="0.25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 x14ac:dyDescent="0.25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 x14ac:dyDescent="0.25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 x14ac:dyDescent="0.25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 x14ac:dyDescent="0.25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 x14ac:dyDescent="0.25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 x14ac:dyDescent="0.25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 x14ac:dyDescent="0.25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 x14ac:dyDescent="0.25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 x14ac:dyDescent="0.25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 x14ac:dyDescent="0.25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 x14ac:dyDescent="0.25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 x14ac:dyDescent="0.25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 x14ac:dyDescent="0.25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 x14ac:dyDescent="0.25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 x14ac:dyDescent="0.25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 x14ac:dyDescent="0.25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 x14ac:dyDescent="0.25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 x14ac:dyDescent="0.25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 x14ac:dyDescent="0.25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 x14ac:dyDescent="0.25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 x14ac:dyDescent="0.25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 x14ac:dyDescent="0.25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 x14ac:dyDescent="0.25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 x14ac:dyDescent="0.25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 x14ac:dyDescent="0.25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 x14ac:dyDescent="0.25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 x14ac:dyDescent="0.25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 x14ac:dyDescent="0.25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 x14ac:dyDescent="0.25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 x14ac:dyDescent="0.25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 x14ac:dyDescent="0.25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 x14ac:dyDescent="0.25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 x14ac:dyDescent="0.25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 x14ac:dyDescent="0.25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 x14ac:dyDescent="0.25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 x14ac:dyDescent="0.25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 x14ac:dyDescent="0.25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 x14ac:dyDescent="0.25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 x14ac:dyDescent="0.25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 x14ac:dyDescent="0.25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 x14ac:dyDescent="0.25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 x14ac:dyDescent="0.25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 x14ac:dyDescent="0.25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 x14ac:dyDescent="0.25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 x14ac:dyDescent="0.25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 x14ac:dyDescent="0.25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 x14ac:dyDescent="0.25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 x14ac:dyDescent="0.25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 x14ac:dyDescent="0.25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 x14ac:dyDescent="0.25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 x14ac:dyDescent="0.25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 x14ac:dyDescent="0.25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 x14ac:dyDescent="0.25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 x14ac:dyDescent="0.25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 x14ac:dyDescent="0.25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 x14ac:dyDescent="0.25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 x14ac:dyDescent="0.25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 x14ac:dyDescent="0.25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 x14ac:dyDescent="0.25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 x14ac:dyDescent="0.25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 x14ac:dyDescent="0.25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 x14ac:dyDescent="0.25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 x14ac:dyDescent="0.25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 x14ac:dyDescent="0.25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 x14ac:dyDescent="0.25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 x14ac:dyDescent="0.25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 x14ac:dyDescent="0.25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 x14ac:dyDescent="0.25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 x14ac:dyDescent="0.25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 x14ac:dyDescent="0.25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 x14ac:dyDescent="0.25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 x14ac:dyDescent="0.25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 x14ac:dyDescent="0.25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 x14ac:dyDescent="0.25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 x14ac:dyDescent="0.25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 x14ac:dyDescent="0.25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 x14ac:dyDescent="0.25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 x14ac:dyDescent="0.25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 x14ac:dyDescent="0.25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 x14ac:dyDescent="0.25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 x14ac:dyDescent="0.25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 x14ac:dyDescent="0.25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 x14ac:dyDescent="0.25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 x14ac:dyDescent="0.25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 x14ac:dyDescent="0.25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 x14ac:dyDescent="0.25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 x14ac:dyDescent="0.25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 x14ac:dyDescent="0.25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 x14ac:dyDescent="0.25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 x14ac:dyDescent="0.25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 x14ac:dyDescent="0.25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 x14ac:dyDescent="0.25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 x14ac:dyDescent="0.25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 x14ac:dyDescent="0.25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 x14ac:dyDescent="0.25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 x14ac:dyDescent="0.25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 x14ac:dyDescent="0.25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 x14ac:dyDescent="0.25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 x14ac:dyDescent="0.25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 x14ac:dyDescent="0.25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 x14ac:dyDescent="0.25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 x14ac:dyDescent="0.25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 x14ac:dyDescent="0.25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 x14ac:dyDescent="0.25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 x14ac:dyDescent="0.25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 x14ac:dyDescent="0.25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 x14ac:dyDescent="0.25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 x14ac:dyDescent="0.25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 x14ac:dyDescent="0.25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 x14ac:dyDescent="0.25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 x14ac:dyDescent="0.25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 x14ac:dyDescent="0.25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 x14ac:dyDescent="0.25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 x14ac:dyDescent="0.25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 x14ac:dyDescent="0.25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 x14ac:dyDescent="0.25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 x14ac:dyDescent="0.25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 x14ac:dyDescent="0.25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 x14ac:dyDescent="0.25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 x14ac:dyDescent="0.25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 x14ac:dyDescent="0.25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 x14ac:dyDescent="0.25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 x14ac:dyDescent="0.25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 x14ac:dyDescent="0.25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 x14ac:dyDescent="0.25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 x14ac:dyDescent="0.25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 x14ac:dyDescent="0.25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 x14ac:dyDescent="0.25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 x14ac:dyDescent="0.25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 x14ac:dyDescent="0.25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 x14ac:dyDescent="0.25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 x14ac:dyDescent="0.25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 x14ac:dyDescent="0.25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 x14ac:dyDescent="0.25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 x14ac:dyDescent="0.25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 x14ac:dyDescent="0.25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 x14ac:dyDescent="0.25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 x14ac:dyDescent="0.25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 x14ac:dyDescent="0.25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 x14ac:dyDescent="0.25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 x14ac:dyDescent="0.25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 x14ac:dyDescent="0.25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 x14ac:dyDescent="0.25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 x14ac:dyDescent="0.25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 x14ac:dyDescent="0.25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 x14ac:dyDescent="0.25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 x14ac:dyDescent="0.25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 x14ac:dyDescent="0.25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 x14ac:dyDescent="0.25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 x14ac:dyDescent="0.25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 x14ac:dyDescent="0.25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 x14ac:dyDescent="0.25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 x14ac:dyDescent="0.25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 x14ac:dyDescent="0.25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 x14ac:dyDescent="0.25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 x14ac:dyDescent="0.25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 x14ac:dyDescent="0.25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 x14ac:dyDescent="0.25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 x14ac:dyDescent="0.25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 x14ac:dyDescent="0.25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 x14ac:dyDescent="0.25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 x14ac:dyDescent="0.25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 x14ac:dyDescent="0.25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 x14ac:dyDescent="0.25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 x14ac:dyDescent="0.25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 x14ac:dyDescent="0.25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 x14ac:dyDescent="0.25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 x14ac:dyDescent="0.25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 x14ac:dyDescent="0.25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 x14ac:dyDescent="0.25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 x14ac:dyDescent="0.25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 x14ac:dyDescent="0.25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 x14ac:dyDescent="0.25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 x14ac:dyDescent="0.25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 x14ac:dyDescent="0.25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 x14ac:dyDescent="0.25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 x14ac:dyDescent="0.25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 x14ac:dyDescent="0.25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 x14ac:dyDescent="0.25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 x14ac:dyDescent="0.25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 x14ac:dyDescent="0.25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 x14ac:dyDescent="0.25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 x14ac:dyDescent="0.25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 x14ac:dyDescent="0.25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 x14ac:dyDescent="0.25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 x14ac:dyDescent="0.25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 x14ac:dyDescent="0.25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 x14ac:dyDescent="0.25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 x14ac:dyDescent="0.25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 x14ac:dyDescent="0.25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 x14ac:dyDescent="0.25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 x14ac:dyDescent="0.25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 x14ac:dyDescent="0.25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 x14ac:dyDescent="0.25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 x14ac:dyDescent="0.25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 x14ac:dyDescent="0.25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 x14ac:dyDescent="0.25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 x14ac:dyDescent="0.25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 x14ac:dyDescent="0.25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 x14ac:dyDescent="0.25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 x14ac:dyDescent="0.25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 x14ac:dyDescent="0.25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 x14ac:dyDescent="0.25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 x14ac:dyDescent="0.25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 x14ac:dyDescent="0.25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 x14ac:dyDescent="0.25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 x14ac:dyDescent="0.25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 x14ac:dyDescent="0.25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 x14ac:dyDescent="0.25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 x14ac:dyDescent="0.25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 x14ac:dyDescent="0.25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 x14ac:dyDescent="0.25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 x14ac:dyDescent="0.25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 x14ac:dyDescent="0.25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 x14ac:dyDescent="0.25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 x14ac:dyDescent="0.25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 x14ac:dyDescent="0.25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 x14ac:dyDescent="0.25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 x14ac:dyDescent="0.25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 x14ac:dyDescent="0.25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 x14ac:dyDescent="0.25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 x14ac:dyDescent="0.25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 x14ac:dyDescent="0.25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 x14ac:dyDescent="0.25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 x14ac:dyDescent="0.25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 x14ac:dyDescent="0.25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 x14ac:dyDescent="0.25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 x14ac:dyDescent="0.25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 x14ac:dyDescent="0.25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 x14ac:dyDescent="0.25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 x14ac:dyDescent="0.25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 x14ac:dyDescent="0.25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 x14ac:dyDescent="0.25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 x14ac:dyDescent="0.25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 x14ac:dyDescent="0.25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 x14ac:dyDescent="0.25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 x14ac:dyDescent="0.25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 x14ac:dyDescent="0.25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 x14ac:dyDescent="0.25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 x14ac:dyDescent="0.25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 x14ac:dyDescent="0.25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 x14ac:dyDescent="0.25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 x14ac:dyDescent="0.25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 x14ac:dyDescent="0.25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 x14ac:dyDescent="0.25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 x14ac:dyDescent="0.25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 x14ac:dyDescent="0.25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 x14ac:dyDescent="0.25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 x14ac:dyDescent="0.25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 x14ac:dyDescent="0.25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 x14ac:dyDescent="0.25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 x14ac:dyDescent="0.25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 x14ac:dyDescent="0.25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 x14ac:dyDescent="0.25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 x14ac:dyDescent="0.25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 x14ac:dyDescent="0.25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 x14ac:dyDescent="0.25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 x14ac:dyDescent="0.25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 x14ac:dyDescent="0.25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 x14ac:dyDescent="0.25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 x14ac:dyDescent="0.25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 x14ac:dyDescent="0.25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 x14ac:dyDescent="0.25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 x14ac:dyDescent="0.25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 x14ac:dyDescent="0.25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 x14ac:dyDescent="0.25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 x14ac:dyDescent="0.25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 x14ac:dyDescent="0.25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 x14ac:dyDescent="0.25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 x14ac:dyDescent="0.25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 x14ac:dyDescent="0.25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 x14ac:dyDescent="0.25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 x14ac:dyDescent="0.25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 x14ac:dyDescent="0.25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 x14ac:dyDescent="0.25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 x14ac:dyDescent="0.25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 x14ac:dyDescent="0.25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 x14ac:dyDescent="0.25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 x14ac:dyDescent="0.25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 x14ac:dyDescent="0.25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 x14ac:dyDescent="0.25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 x14ac:dyDescent="0.25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 x14ac:dyDescent="0.25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 x14ac:dyDescent="0.25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 x14ac:dyDescent="0.25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 x14ac:dyDescent="0.25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 x14ac:dyDescent="0.25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 x14ac:dyDescent="0.25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 x14ac:dyDescent="0.25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 x14ac:dyDescent="0.25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 x14ac:dyDescent="0.25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 x14ac:dyDescent="0.25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 x14ac:dyDescent="0.25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 x14ac:dyDescent="0.25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 x14ac:dyDescent="0.25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 x14ac:dyDescent="0.25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 x14ac:dyDescent="0.25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 x14ac:dyDescent="0.25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 x14ac:dyDescent="0.25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 x14ac:dyDescent="0.25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 x14ac:dyDescent="0.25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 x14ac:dyDescent="0.25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 x14ac:dyDescent="0.25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 x14ac:dyDescent="0.25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 x14ac:dyDescent="0.25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 x14ac:dyDescent="0.25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 x14ac:dyDescent="0.25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 x14ac:dyDescent="0.25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 x14ac:dyDescent="0.25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 x14ac:dyDescent="0.25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 x14ac:dyDescent="0.25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 x14ac:dyDescent="0.25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 x14ac:dyDescent="0.25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 x14ac:dyDescent="0.25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 x14ac:dyDescent="0.25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 x14ac:dyDescent="0.25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 x14ac:dyDescent="0.25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 x14ac:dyDescent="0.25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 x14ac:dyDescent="0.25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 x14ac:dyDescent="0.25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 x14ac:dyDescent="0.25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 x14ac:dyDescent="0.25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 x14ac:dyDescent="0.25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 x14ac:dyDescent="0.25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 x14ac:dyDescent="0.25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 x14ac:dyDescent="0.25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 x14ac:dyDescent="0.25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 x14ac:dyDescent="0.25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 x14ac:dyDescent="0.25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 x14ac:dyDescent="0.25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 x14ac:dyDescent="0.25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 x14ac:dyDescent="0.25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 x14ac:dyDescent="0.25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 x14ac:dyDescent="0.25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 x14ac:dyDescent="0.25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 x14ac:dyDescent="0.25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 x14ac:dyDescent="0.25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 x14ac:dyDescent="0.25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 x14ac:dyDescent="0.25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 x14ac:dyDescent="0.25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 x14ac:dyDescent="0.25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 x14ac:dyDescent="0.25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 x14ac:dyDescent="0.25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 x14ac:dyDescent="0.25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 x14ac:dyDescent="0.25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 x14ac:dyDescent="0.25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 x14ac:dyDescent="0.25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 x14ac:dyDescent="0.25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 x14ac:dyDescent="0.25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 x14ac:dyDescent="0.25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 x14ac:dyDescent="0.25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 x14ac:dyDescent="0.25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 x14ac:dyDescent="0.25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 x14ac:dyDescent="0.25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 x14ac:dyDescent="0.25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 x14ac:dyDescent="0.25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 x14ac:dyDescent="0.25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 x14ac:dyDescent="0.25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 x14ac:dyDescent="0.25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 x14ac:dyDescent="0.25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 x14ac:dyDescent="0.25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 x14ac:dyDescent="0.25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 x14ac:dyDescent="0.25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 x14ac:dyDescent="0.25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 x14ac:dyDescent="0.25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 x14ac:dyDescent="0.25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 x14ac:dyDescent="0.25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 x14ac:dyDescent="0.25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 x14ac:dyDescent="0.25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 x14ac:dyDescent="0.25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 x14ac:dyDescent="0.25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 x14ac:dyDescent="0.25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 x14ac:dyDescent="0.25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 x14ac:dyDescent="0.25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 x14ac:dyDescent="0.25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 x14ac:dyDescent="0.25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 x14ac:dyDescent="0.25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 x14ac:dyDescent="0.25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 x14ac:dyDescent="0.25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 x14ac:dyDescent="0.25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 x14ac:dyDescent="0.25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 x14ac:dyDescent="0.25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 x14ac:dyDescent="0.25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 x14ac:dyDescent="0.25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 x14ac:dyDescent="0.25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 x14ac:dyDescent="0.25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 x14ac:dyDescent="0.25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 x14ac:dyDescent="0.25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 x14ac:dyDescent="0.25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 x14ac:dyDescent="0.25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 x14ac:dyDescent="0.25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 x14ac:dyDescent="0.25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 x14ac:dyDescent="0.25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 x14ac:dyDescent="0.25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 x14ac:dyDescent="0.25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 x14ac:dyDescent="0.25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 x14ac:dyDescent="0.25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 x14ac:dyDescent="0.25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 x14ac:dyDescent="0.25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 x14ac:dyDescent="0.25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 x14ac:dyDescent="0.25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 x14ac:dyDescent="0.25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 x14ac:dyDescent="0.25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 x14ac:dyDescent="0.25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 x14ac:dyDescent="0.25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 x14ac:dyDescent="0.25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 x14ac:dyDescent="0.25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 x14ac:dyDescent="0.25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 x14ac:dyDescent="0.25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 x14ac:dyDescent="0.25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 x14ac:dyDescent="0.25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 x14ac:dyDescent="0.25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 x14ac:dyDescent="0.25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 x14ac:dyDescent="0.25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 x14ac:dyDescent="0.25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 x14ac:dyDescent="0.25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 x14ac:dyDescent="0.25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 x14ac:dyDescent="0.25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 x14ac:dyDescent="0.25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 x14ac:dyDescent="0.25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 x14ac:dyDescent="0.25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 x14ac:dyDescent="0.25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 x14ac:dyDescent="0.25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 x14ac:dyDescent="0.25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 x14ac:dyDescent="0.25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 x14ac:dyDescent="0.25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 x14ac:dyDescent="0.25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 x14ac:dyDescent="0.25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 x14ac:dyDescent="0.25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 x14ac:dyDescent="0.25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 x14ac:dyDescent="0.25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 x14ac:dyDescent="0.25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 x14ac:dyDescent="0.25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 x14ac:dyDescent="0.25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 x14ac:dyDescent="0.25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 x14ac:dyDescent="0.25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 x14ac:dyDescent="0.25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 x14ac:dyDescent="0.25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 x14ac:dyDescent="0.25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 x14ac:dyDescent="0.25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 x14ac:dyDescent="0.25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 x14ac:dyDescent="0.25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 x14ac:dyDescent="0.25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 x14ac:dyDescent="0.25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 x14ac:dyDescent="0.25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 x14ac:dyDescent="0.25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 x14ac:dyDescent="0.25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 x14ac:dyDescent="0.25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 x14ac:dyDescent="0.25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 x14ac:dyDescent="0.25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 x14ac:dyDescent="0.25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 x14ac:dyDescent="0.25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 x14ac:dyDescent="0.25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 x14ac:dyDescent="0.25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 x14ac:dyDescent="0.25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 x14ac:dyDescent="0.25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 x14ac:dyDescent="0.25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 x14ac:dyDescent="0.25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 x14ac:dyDescent="0.25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 x14ac:dyDescent="0.25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 x14ac:dyDescent="0.25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 x14ac:dyDescent="0.25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 x14ac:dyDescent="0.25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 x14ac:dyDescent="0.25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 x14ac:dyDescent="0.25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 x14ac:dyDescent="0.25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 x14ac:dyDescent="0.25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 x14ac:dyDescent="0.25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 x14ac:dyDescent="0.25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 x14ac:dyDescent="0.25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 x14ac:dyDescent="0.25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 x14ac:dyDescent="0.25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 x14ac:dyDescent="0.25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 x14ac:dyDescent="0.25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 x14ac:dyDescent="0.25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 x14ac:dyDescent="0.25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 x14ac:dyDescent="0.25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 x14ac:dyDescent="0.25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 x14ac:dyDescent="0.25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 x14ac:dyDescent="0.25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 x14ac:dyDescent="0.25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 x14ac:dyDescent="0.25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 x14ac:dyDescent="0.25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 x14ac:dyDescent="0.25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 x14ac:dyDescent="0.25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 x14ac:dyDescent="0.25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 x14ac:dyDescent="0.25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 x14ac:dyDescent="0.25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 x14ac:dyDescent="0.25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 x14ac:dyDescent="0.25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 x14ac:dyDescent="0.25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 x14ac:dyDescent="0.25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 x14ac:dyDescent="0.25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 x14ac:dyDescent="0.25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 x14ac:dyDescent="0.25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 x14ac:dyDescent="0.25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 x14ac:dyDescent="0.25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 x14ac:dyDescent="0.25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 x14ac:dyDescent="0.25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 x14ac:dyDescent="0.25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 x14ac:dyDescent="0.25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 x14ac:dyDescent="0.25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 x14ac:dyDescent="0.25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 x14ac:dyDescent="0.25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 x14ac:dyDescent="0.25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 x14ac:dyDescent="0.25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 x14ac:dyDescent="0.25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 x14ac:dyDescent="0.25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 x14ac:dyDescent="0.25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 x14ac:dyDescent="0.25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 x14ac:dyDescent="0.25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 x14ac:dyDescent="0.25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 x14ac:dyDescent="0.25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 x14ac:dyDescent="0.25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 x14ac:dyDescent="0.25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 x14ac:dyDescent="0.25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 x14ac:dyDescent="0.25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 x14ac:dyDescent="0.25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 x14ac:dyDescent="0.25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 x14ac:dyDescent="0.25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 x14ac:dyDescent="0.25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 x14ac:dyDescent="0.25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 x14ac:dyDescent="0.25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 x14ac:dyDescent="0.25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 x14ac:dyDescent="0.25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 x14ac:dyDescent="0.25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 x14ac:dyDescent="0.25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 x14ac:dyDescent="0.25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 x14ac:dyDescent="0.25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 x14ac:dyDescent="0.25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 x14ac:dyDescent="0.25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 x14ac:dyDescent="0.25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 x14ac:dyDescent="0.25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 x14ac:dyDescent="0.25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 x14ac:dyDescent="0.25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 x14ac:dyDescent="0.25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 x14ac:dyDescent="0.25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 x14ac:dyDescent="0.25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 x14ac:dyDescent="0.25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 x14ac:dyDescent="0.25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 x14ac:dyDescent="0.25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 x14ac:dyDescent="0.25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 x14ac:dyDescent="0.25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 x14ac:dyDescent="0.25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 x14ac:dyDescent="0.25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 x14ac:dyDescent="0.25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 x14ac:dyDescent="0.25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 x14ac:dyDescent="0.25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 x14ac:dyDescent="0.25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 x14ac:dyDescent="0.25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 x14ac:dyDescent="0.25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 x14ac:dyDescent="0.25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 x14ac:dyDescent="0.25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 x14ac:dyDescent="0.25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 x14ac:dyDescent="0.25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 x14ac:dyDescent="0.25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 x14ac:dyDescent="0.25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 x14ac:dyDescent="0.25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 x14ac:dyDescent="0.25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 x14ac:dyDescent="0.25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 x14ac:dyDescent="0.25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 x14ac:dyDescent="0.25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 x14ac:dyDescent="0.25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 x14ac:dyDescent="0.25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 x14ac:dyDescent="0.25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 x14ac:dyDescent="0.25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 x14ac:dyDescent="0.25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 x14ac:dyDescent="0.25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 x14ac:dyDescent="0.25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 x14ac:dyDescent="0.25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 x14ac:dyDescent="0.25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 x14ac:dyDescent="0.25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 x14ac:dyDescent="0.25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 x14ac:dyDescent="0.25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 x14ac:dyDescent="0.25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 x14ac:dyDescent="0.25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 x14ac:dyDescent="0.25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 x14ac:dyDescent="0.25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 x14ac:dyDescent="0.25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 x14ac:dyDescent="0.25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 x14ac:dyDescent="0.25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 x14ac:dyDescent="0.25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 x14ac:dyDescent="0.25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 x14ac:dyDescent="0.25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 x14ac:dyDescent="0.25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 x14ac:dyDescent="0.25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 x14ac:dyDescent="0.25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 x14ac:dyDescent="0.25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 x14ac:dyDescent="0.25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 x14ac:dyDescent="0.25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 x14ac:dyDescent="0.25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 x14ac:dyDescent="0.25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 x14ac:dyDescent="0.25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 x14ac:dyDescent="0.25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 x14ac:dyDescent="0.25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 x14ac:dyDescent="0.25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 x14ac:dyDescent="0.25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 x14ac:dyDescent="0.25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 x14ac:dyDescent="0.25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 x14ac:dyDescent="0.25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 x14ac:dyDescent="0.25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 x14ac:dyDescent="0.25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 x14ac:dyDescent="0.25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 x14ac:dyDescent="0.25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 x14ac:dyDescent="0.25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 x14ac:dyDescent="0.25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 x14ac:dyDescent="0.25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 x14ac:dyDescent="0.25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 x14ac:dyDescent="0.25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 x14ac:dyDescent="0.25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 x14ac:dyDescent="0.25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 x14ac:dyDescent="0.25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 x14ac:dyDescent="0.25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 x14ac:dyDescent="0.25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 x14ac:dyDescent="0.25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 x14ac:dyDescent="0.25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 x14ac:dyDescent="0.25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 x14ac:dyDescent="0.25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 x14ac:dyDescent="0.25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 x14ac:dyDescent="0.25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 x14ac:dyDescent="0.25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 x14ac:dyDescent="0.25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 x14ac:dyDescent="0.25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 x14ac:dyDescent="0.25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 x14ac:dyDescent="0.25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 x14ac:dyDescent="0.25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 x14ac:dyDescent="0.25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 x14ac:dyDescent="0.25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 x14ac:dyDescent="0.25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 x14ac:dyDescent="0.25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 x14ac:dyDescent="0.25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 x14ac:dyDescent="0.25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 x14ac:dyDescent="0.25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 x14ac:dyDescent="0.25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 x14ac:dyDescent="0.25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 x14ac:dyDescent="0.25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 x14ac:dyDescent="0.25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 x14ac:dyDescent="0.25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 x14ac:dyDescent="0.25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 x14ac:dyDescent="0.25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 x14ac:dyDescent="0.25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 x14ac:dyDescent="0.25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 x14ac:dyDescent="0.25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 x14ac:dyDescent="0.25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 x14ac:dyDescent="0.25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 x14ac:dyDescent="0.25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 x14ac:dyDescent="0.25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 x14ac:dyDescent="0.25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 x14ac:dyDescent="0.25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 x14ac:dyDescent="0.25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 x14ac:dyDescent="0.25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 x14ac:dyDescent="0.25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 x14ac:dyDescent="0.25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 x14ac:dyDescent="0.25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 x14ac:dyDescent="0.25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 x14ac:dyDescent="0.25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 x14ac:dyDescent="0.25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 x14ac:dyDescent="0.25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 x14ac:dyDescent="0.25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 x14ac:dyDescent="0.25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 x14ac:dyDescent="0.25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 x14ac:dyDescent="0.25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 x14ac:dyDescent="0.25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 x14ac:dyDescent="0.25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 x14ac:dyDescent="0.25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 x14ac:dyDescent="0.25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 x14ac:dyDescent="0.25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 x14ac:dyDescent="0.25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 x14ac:dyDescent="0.25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 x14ac:dyDescent="0.25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 x14ac:dyDescent="0.25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 x14ac:dyDescent="0.25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 x14ac:dyDescent="0.25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 x14ac:dyDescent="0.25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 x14ac:dyDescent="0.25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 x14ac:dyDescent="0.25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 x14ac:dyDescent="0.25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 x14ac:dyDescent="0.25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 x14ac:dyDescent="0.25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 x14ac:dyDescent="0.25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 x14ac:dyDescent="0.25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 x14ac:dyDescent="0.25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 x14ac:dyDescent="0.25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 x14ac:dyDescent="0.25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 x14ac:dyDescent="0.25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 x14ac:dyDescent="0.25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 x14ac:dyDescent="0.25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 x14ac:dyDescent="0.25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 x14ac:dyDescent="0.25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 x14ac:dyDescent="0.25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 x14ac:dyDescent="0.25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 x14ac:dyDescent="0.25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 x14ac:dyDescent="0.25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 x14ac:dyDescent="0.25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 x14ac:dyDescent="0.25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 x14ac:dyDescent="0.25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 x14ac:dyDescent="0.25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 x14ac:dyDescent="0.25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 x14ac:dyDescent="0.25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 x14ac:dyDescent="0.25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 x14ac:dyDescent="0.25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 x14ac:dyDescent="0.25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 x14ac:dyDescent="0.25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 x14ac:dyDescent="0.25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 x14ac:dyDescent="0.25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 x14ac:dyDescent="0.25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 x14ac:dyDescent="0.25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 x14ac:dyDescent="0.25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 x14ac:dyDescent="0.25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 x14ac:dyDescent="0.25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 x14ac:dyDescent="0.25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 x14ac:dyDescent="0.25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 x14ac:dyDescent="0.25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 x14ac:dyDescent="0.25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 x14ac:dyDescent="0.25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 x14ac:dyDescent="0.25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 x14ac:dyDescent="0.25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 x14ac:dyDescent="0.25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 x14ac:dyDescent="0.25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 x14ac:dyDescent="0.25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 x14ac:dyDescent="0.25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 x14ac:dyDescent="0.25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 x14ac:dyDescent="0.25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 x14ac:dyDescent="0.25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 x14ac:dyDescent="0.25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 x14ac:dyDescent="0.25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 x14ac:dyDescent="0.25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 x14ac:dyDescent="0.25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 x14ac:dyDescent="0.25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 x14ac:dyDescent="0.25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 x14ac:dyDescent="0.25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 x14ac:dyDescent="0.25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 x14ac:dyDescent="0.25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 x14ac:dyDescent="0.25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 x14ac:dyDescent="0.25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 x14ac:dyDescent="0.25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 x14ac:dyDescent="0.25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 x14ac:dyDescent="0.25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 x14ac:dyDescent="0.25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 x14ac:dyDescent="0.25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 x14ac:dyDescent="0.25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 x14ac:dyDescent="0.25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 x14ac:dyDescent="0.25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 x14ac:dyDescent="0.25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 x14ac:dyDescent="0.25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 x14ac:dyDescent="0.25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 x14ac:dyDescent="0.25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 x14ac:dyDescent="0.25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 x14ac:dyDescent="0.25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 x14ac:dyDescent="0.25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 x14ac:dyDescent="0.25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 x14ac:dyDescent="0.25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 x14ac:dyDescent="0.25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 x14ac:dyDescent="0.25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 x14ac:dyDescent="0.25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 x14ac:dyDescent="0.25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 x14ac:dyDescent="0.25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 x14ac:dyDescent="0.25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 x14ac:dyDescent="0.25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 x14ac:dyDescent="0.25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 x14ac:dyDescent="0.25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 x14ac:dyDescent="0.25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 x14ac:dyDescent="0.25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 x14ac:dyDescent="0.25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 x14ac:dyDescent="0.25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 x14ac:dyDescent="0.25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 x14ac:dyDescent="0.25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 x14ac:dyDescent="0.25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 x14ac:dyDescent="0.25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 x14ac:dyDescent="0.25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 x14ac:dyDescent="0.25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 x14ac:dyDescent="0.25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 x14ac:dyDescent="0.25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 x14ac:dyDescent="0.25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 x14ac:dyDescent="0.25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 x14ac:dyDescent="0.25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 x14ac:dyDescent="0.25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 x14ac:dyDescent="0.25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 x14ac:dyDescent="0.25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 x14ac:dyDescent="0.25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 x14ac:dyDescent="0.25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 x14ac:dyDescent="0.25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 x14ac:dyDescent="0.25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 x14ac:dyDescent="0.25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 x14ac:dyDescent="0.25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 x14ac:dyDescent="0.25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 x14ac:dyDescent="0.25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 x14ac:dyDescent="0.25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 x14ac:dyDescent="0.25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 x14ac:dyDescent="0.25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 x14ac:dyDescent="0.25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 x14ac:dyDescent="0.25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 x14ac:dyDescent="0.25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 x14ac:dyDescent="0.25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 x14ac:dyDescent="0.25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 x14ac:dyDescent="0.25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 x14ac:dyDescent="0.25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 x14ac:dyDescent="0.25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 x14ac:dyDescent="0.25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 x14ac:dyDescent="0.25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 x14ac:dyDescent="0.25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 x14ac:dyDescent="0.25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 x14ac:dyDescent="0.25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 x14ac:dyDescent="0.25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 x14ac:dyDescent="0.25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 x14ac:dyDescent="0.25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 x14ac:dyDescent="0.25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 x14ac:dyDescent="0.25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 x14ac:dyDescent="0.25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 x14ac:dyDescent="0.25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 x14ac:dyDescent="0.25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 x14ac:dyDescent="0.25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 x14ac:dyDescent="0.25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 x14ac:dyDescent="0.25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 x14ac:dyDescent="0.25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 x14ac:dyDescent="0.25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 x14ac:dyDescent="0.25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 x14ac:dyDescent="0.25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 x14ac:dyDescent="0.25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 x14ac:dyDescent="0.25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 x14ac:dyDescent="0.25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 x14ac:dyDescent="0.25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 x14ac:dyDescent="0.25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 x14ac:dyDescent="0.25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 x14ac:dyDescent="0.25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 x14ac:dyDescent="0.25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 x14ac:dyDescent="0.25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 x14ac:dyDescent="0.25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 x14ac:dyDescent="0.25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 x14ac:dyDescent="0.25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 x14ac:dyDescent="0.25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 x14ac:dyDescent="0.25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 x14ac:dyDescent="0.25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 x14ac:dyDescent="0.25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 x14ac:dyDescent="0.25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 x14ac:dyDescent="0.25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 x14ac:dyDescent="0.25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 x14ac:dyDescent="0.25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 x14ac:dyDescent="0.25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 x14ac:dyDescent="0.25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 x14ac:dyDescent="0.25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 x14ac:dyDescent="0.25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 x14ac:dyDescent="0.25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 x14ac:dyDescent="0.25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 x14ac:dyDescent="0.25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 x14ac:dyDescent="0.25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 x14ac:dyDescent="0.25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 x14ac:dyDescent="0.25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 x14ac:dyDescent="0.25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 x14ac:dyDescent="0.25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 x14ac:dyDescent="0.25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 x14ac:dyDescent="0.25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 x14ac:dyDescent="0.25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 x14ac:dyDescent="0.25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 x14ac:dyDescent="0.25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 x14ac:dyDescent="0.25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 x14ac:dyDescent="0.25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 x14ac:dyDescent="0.25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 x14ac:dyDescent="0.25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 x14ac:dyDescent="0.25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 x14ac:dyDescent="0.25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 x14ac:dyDescent="0.25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 x14ac:dyDescent="0.25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 x14ac:dyDescent="0.25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 x14ac:dyDescent="0.25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 x14ac:dyDescent="0.25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 x14ac:dyDescent="0.25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 x14ac:dyDescent="0.25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 x14ac:dyDescent="0.25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 x14ac:dyDescent="0.25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 x14ac:dyDescent="0.25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 x14ac:dyDescent="0.25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 x14ac:dyDescent="0.25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 x14ac:dyDescent="0.25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 x14ac:dyDescent="0.25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 x14ac:dyDescent="0.25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 x14ac:dyDescent="0.25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 x14ac:dyDescent="0.25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 x14ac:dyDescent="0.25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 x14ac:dyDescent="0.25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 x14ac:dyDescent="0.25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 x14ac:dyDescent="0.25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 x14ac:dyDescent="0.25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 x14ac:dyDescent="0.25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 x14ac:dyDescent="0.25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 x14ac:dyDescent="0.25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 x14ac:dyDescent="0.25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 x14ac:dyDescent="0.25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 x14ac:dyDescent="0.25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 x14ac:dyDescent="0.25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 x14ac:dyDescent="0.25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 x14ac:dyDescent="0.25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 x14ac:dyDescent="0.25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 x14ac:dyDescent="0.25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 x14ac:dyDescent="0.25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 x14ac:dyDescent="0.25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 x14ac:dyDescent="0.25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 x14ac:dyDescent="0.25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 x14ac:dyDescent="0.25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 x14ac:dyDescent="0.25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 x14ac:dyDescent="0.25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 x14ac:dyDescent="0.25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 x14ac:dyDescent="0.25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 x14ac:dyDescent="0.25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 x14ac:dyDescent="0.25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 x14ac:dyDescent="0.25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 x14ac:dyDescent="0.25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 x14ac:dyDescent="0.25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 x14ac:dyDescent="0.25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 x14ac:dyDescent="0.25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 x14ac:dyDescent="0.25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 x14ac:dyDescent="0.25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 x14ac:dyDescent="0.25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 x14ac:dyDescent="0.25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 x14ac:dyDescent="0.25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 x14ac:dyDescent="0.25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 x14ac:dyDescent="0.25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 x14ac:dyDescent="0.25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 x14ac:dyDescent="0.25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 x14ac:dyDescent="0.25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 x14ac:dyDescent="0.25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 x14ac:dyDescent="0.25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 x14ac:dyDescent="0.25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 x14ac:dyDescent="0.25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 x14ac:dyDescent="0.25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 x14ac:dyDescent="0.25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 x14ac:dyDescent="0.25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 x14ac:dyDescent="0.25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 x14ac:dyDescent="0.25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 x14ac:dyDescent="0.25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 x14ac:dyDescent="0.25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 x14ac:dyDescent="0.25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 x14ac:dyDescent="0.25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 x14ac:dyDescent="0.25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 x14ac:dyDescent="0.25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 x14ac:dyDescent="0.25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 x14ac:dyDescent="0.25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 x14ac:dyDescent="0.25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 x14ac:dyDescent="0.25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 x14ac:dyDescent="0.25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 x14ac:dyDescent="0.25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 x14ac:dyDescent="0.25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 x14ac:dyDescent="0.25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 x14ac:dyDescent="0.25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 x14ac:dyDescent="0.25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 x14ac:dyDescent="0.25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 x14ac:dyDescent="0.25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 x14ac:dyDescent="0.25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 x14ac:dyDescent="0.25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 x14ac:dyDescent="0.25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 x14ac:dyDescent="0.25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 x14ac:dyDescent="0.25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 x14ac:dyDescent="0.25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 x14ac:dyDescent="0.25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 x14ac:dyDescent="0.25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 x14ac:dyDescent="0.25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 x14ac:dyDescent="0.25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 x14ac:dyDescent="0.25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 x14ac:dyDescent="0.25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 x14ac:dyDescent="0.25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 x14ac:dyDescent="0.25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 x14ac:dyDescent="0.25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 x14ac:dyDescent="0.25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 x14ac:dyDescent="0.25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 x14ac:dyDescent="0.25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 x14ac:dyDescent="0.25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 x14ac:dyDescent="0.25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 x14ac:dyDescent="0.25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 x14ac:dyDescent="0.25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 x14ac:dyDescent="0.25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 x14ac:dyDescent="0.25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 x14ac:dyDescent="0.25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 x14ac:dyDescent="0.25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 x14ac:dyDescent="0.25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 x14ac:dyDescent="0.25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 x14ac:dyDescent="0.25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 x14ac:dyDescent="0.25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 x14ac:dyDescent="0.25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 x14ac:dyDescent="0.25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 x14ac:dyDescent="0.25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 x14ac:dyDescent="0.25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 x14ac:dyDescent="0.25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 x14ac:dyDescent="0.25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 x14ac:dyDescent="0.25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 x14ac:dyDescent="0.25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 x14ac:dyDescent="0.25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 x14ac:dyDescent="0.25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 x14ac:dyDescent="0.25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 x14ac:dyDescent="0.25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 x14ac:dyDescent="0.25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 x14ac:dyDescent="0.25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 x14ac:dyDescent="0.25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 x14ac:dyDescent="0.25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 x14ac:dyDescent="0.25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 x14ac:dyDescent="0.25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 x14ac:dyDescent="0.25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 x14ac:dyDescent="0.25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 x14ac:dyDescent="0.25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 x14ac:dyDescent="0.25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 x14ac:dyDescent="0.25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 x14ac:dyDescent="0.25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 x14ac:dyDescent="0.25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 x14ac:dyDescent="0.25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 x14ac:dyDescent="0.25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 x14ac:dyDescent="0.25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 x14ac:dyDescent="0.25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 x14ac:dyDescent="0.25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 x14ac:dyDescent="0.25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 x14ac:dyDescent="0.25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 x14ac:dyDescent="0.25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 x14ac:dyDescent="0.25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 x14ac:dyDescent="0.25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 x14ac:dyDescent="0.25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 x14ac:dyDescent="0.25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 x14ac:dyDescent="0.25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 x14ac:dyDescent="0.25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 x14ac:dyDescent="0.25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 x14ac:dyDescent="0.25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 x14ac:dyDescent="0.25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 x14ac:dyDescent="0.25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 x14ac:dyDescent="0.25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 x14ac:dyDescent="0.25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 x14ac:dyDescent="0.25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 x14ac:dyDescent="0.25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 x14ac:dyDescent="0.25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 x14ac:dyDescent="0.25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 x14ac:dyDescent="0.25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 x14ac:dyDescent="0.25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 x14ac:dyDescent="0.25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 x14ac:dyDescent="0.25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 x14ac:dyDescent="0.25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 x14ac:dyDescent="0.25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 x14ac:dyDescent="0.25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 x14ac:dyDescent="0.25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 x14ac:dyDescent="0.25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 x14ac:dyDescent="0.25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 x14ac:dyDescent="0.25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 x14ac:dyDescent="0.25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 x14ac:dyDescent="0.25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 x14ac:dyDescent="0.25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 x14ac:dyDescent="0.25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 x14ac:dyDescent="0.25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 x14ac:dyDescent="0.25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 x14ac:dyDescent="0.25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 x14ac:dyDescent="0.25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 x14ac:dyDescent="0.25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 x14ac:dyDescent="0.25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 x14ac:dyDescent="0.25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 x14ac:dyDescent="0.25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 x14ac:dyDescent="0.25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 x14ac:dyDescent="0.25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 x14ac:dyDescent="0.25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 x14ac:dyDescent="0.25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 x14ac:dyDescent="0.25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 x14ac:dyDescent="0.25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 x14ac:dyDescent="0.25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 x14ac:dyDescent="0.25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 x14ac:dyDescent="0.25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 x14ac:dyDescent="0.25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 x14ac:dyDescent="0.25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 x14ac:dyDescent="0.25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 x14ac:dyDescent="0.25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 x14ac:dyDescent="0.25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 x14ac:dyDescent="0.25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 x14ac:dyDescent="0.25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 x14ac:dyDescent="0.25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 x14ac:dyDescent="0.25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 x14ac:dyDescent="0.25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 x14ac:dyDescent="0.25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 x14ac:dyDescent="0.25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 x14ac:dyDescent="0.25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 x14ac:dyDescent="0.25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 x14ac:dyDescent="0.25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 x14ac:dyDescent="0.25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 x14ac:dyDescent="0.25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 x14ac:dyDescent="0.25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 x14ac:dyDescent="0.25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 x14ac:dyDescent="0.25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 x14ac:dyDescent="0.25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 x14ac:dyDescent="0.25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 x14ac:dyDescent="0.25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 x14ac:dyDescent="0.25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 x14ac:dyDescent="0.25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 x14ac:dyDescent="0.25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 x14ac:dyDescent="0.25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 x14ac:dyDescent="0.25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 x14ac:dyDescent="0.25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 x14ac:dyDescent="0.25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 x14ac:dyDescent="0.25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 x14ac:dyDescent="0.25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 x14ac:dyDescent="0.25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 x14ac:dyDescent="0.25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 x14ac:dyDescent="0.25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 x14ac:dyDescent="0.25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 x14ac:dyDescent="0.25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 x14ac:dyDescent="0.25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 x14ac:dyDescent="0.25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 x14ac:dyDescent="0.25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 x14ac:dyDescent="0.25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 x14ac:dyDescent="0.25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 x14ac:dyDescent="0.25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 x14ac:dyDescent="0.25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 x14ac:dyDescent="0.25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 x14ac:dyDescent="0.25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 x14ac:dyDescent="0.25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 x14ac:dyDescent="0.25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 x14ac:dyDescent="0.25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 x14ac:dyDescent="0.25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 x14ac:dyDescent="0.25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 x14ac:dyDescent="0.25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 x14ac:dyDescent="0.25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 x14ac:dyDescent="0.25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 x14ac:dyDescent="0.25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 x14ac:dyDescent="0.25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 x14ac:dyDescent="0.25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 x14ac:dyDescent="0.25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 x14ac:dyDescent="0.25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 x14ac:dyDescent="0.25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 x14ac:dyDescent="0.25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 x14ac:dyDescent="0.25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 x14ac:dyDescent="0.25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 x14ac:dyDescent="0.25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 x14ac:dyDescent="0.25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 x14ac:dyDescent="0.25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 x14ac:dyDescent="0.25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 x14ac:dyDescent="0.25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 x14ac:dyDescent="0.25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 x14ac:dyDescent="0.25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 x14ac:dyDescent="0.25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 x14ac:dyDescent="0.25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 x14ac:dyDescent="0.25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 x14ac:dyDescent="0.25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 x14ac:dyDescent="0.25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 x14ac:dyDescent="0.25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 x14ac:dyDescent="0.25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 x14ac:dyDescent="0.25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 x14ac:dyDescent="0.25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 x14ac:dyDescent="0.25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 x14ac:dyDescent="0.25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 x14ac:dyDescent="0.25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 x14ac:dyDescent="0.25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 x14ac:dyDescent="0.25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 x14ac:dyDescent="0.25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 x14ac:dyDescent="0.25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 x14ac:dyDescent="0.25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 x14ac:dyDescent="0.25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 x14ac:dyDescent="0.25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 x14ac:dyDescent="0.25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 x14ac:dyDescent="0.25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 x14ac:dyDescent="0.25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 x14ac:dyDescent="0.25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 x14ac:dyDescent="0.25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 x14ac:dyDescent="0.25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 x14ac:dyDescent="0.25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 x14ac:dyDescent="0.25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 x14ac:dyDescent="0.25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 x14ac:dyDescent="0.25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 x14ac:dyDescent="0.25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 x14ac:dyDescent="0.25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 x14ac:dyDescent="0.25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 x14ac:dyDescent="0.25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 x14ac:dyDescent="0.25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 x14ac:dyDescent="0.25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 x14ac:dyDescent="0.25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 x14ac:dyDescent="0.25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 x14ac:dyDescent="0.25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 x14ac:dyDescent="0.25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 x14ac:dyDescent="0.25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 x14ac:dyDescent="0.25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 x14ac:dyDescent="0.25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 x14ac:dyDescent="0.25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 x14ac:dyDescent="0.25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 x14ac:dyDescent="0.25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 x14ac:dyDescent="0.25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 x14ac:dyDescent="0.25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 x14ac:dyDescent="0.25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 x14ac:dyDescent="0.25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 x14ac:dyDescent="0.25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 x14ac:dyDescent="0.25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 x14ac:dyDescent="0.25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 x14ac:dyDescent="0.25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 x14ac:dyDescent="0.25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 x14ac:dyDescent="0.25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 x14ac:dyDescent="0.25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 x14ac:dyDescent="0.25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 x14ac:dyDescent="0.25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 x14ac:dyDescent="0.25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 x14ac:dyDescent="0.25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 x14ac:dyDescent="0.25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 x14ac:dyDescent="0.25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 x14ac:dyDescent="0.25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 x14ac:dyDescent="0.25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 x14ac:dyDescent="0.25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 x14ac:dyDescent="0.25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 x14ac:dyDescent="0.25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 x14ac:dyDescent="0.25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 x14ac:dyDescent="0.25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 x14ac:dyDescent="0.25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 x14ac:dyDescent="0.25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 x14ac:dyDescent="0.25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 x14ac:dyDescent="0.25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 x14ac:dyDescent="0.25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 x14ac:dyDescent="0.25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 x14ac:dyDescent="0.25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 x14ac:dyDescent="0.25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 x14ac:dyDescent="0.25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 x14ac:dyDescent="0.25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 x14ac:dyDescent="0.25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 x14ac:dyDescent="0.25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 x14ac:dyDescent="0.25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 x14ac:dyDescent="0.25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 x14ac:dyDescent="0.25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 x14ac:dyDescent="0.25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 x14ac:dyDescent="0.25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 x14ac:dyDescent="0.25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 x14ac:dyDescent="0.25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 x14ac:dyDescent="0.25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 x14ac:dyDescent="0.25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 x14ac:dyDescent="0.25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 x14ac:dyDescent="0.25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 x14ac:dyDescent="0.25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 x14ac:dyDescent="0.25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 x14ac:dyDescent="0.25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 x14ac:dyDescent="0.25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 x14ac:dyDescent="0.25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 x14ac:dyDescent="0.25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 x14ac:dyDescent="0.25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 x14ac:dyDescent="0.25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 x14ac:dyDescent="0.25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 x14ac:dyDescent="0.25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 x14ac:dyDescent="0.25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 x14ac:dyDescent="0.25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 x14ac:dyDescent="0.25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 x14ac:dyDescent="0.25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 x14ac:dyDescent="0.25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 x14ac:dyDescent="0.25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 x14ac:dyDescent="0.25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 x14ac:dyDescent="0.25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 x14ac:dyDescent="0.25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 x14ac:dyDescent="0.25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 x14ac:dyDescent="0.25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 x14ac:dyDescent="0.25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 x14ac:dyDescent="0.25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 x14ac:dyDescent="0.25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 x14ac:dyDescent="0.25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 x14ac:dyDescent="0.25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 x14ac:dyDescent="0.25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 x14ac:dyDescent="0.25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 x14ac:dyDescent="0.25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 x14ac:dyDescent="0.25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 x14ac:dyDescent="0.25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 x14ac:dyDescent="0.25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 x14ac:dyDescent="0.25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 x14ac:dyDescent="0.25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 x14ac:dyDescent="0.25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 x14ac:dyDescent="0.25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 x14ac:dyDescent="0.25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 x14ac:dyDescent="0.25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 x14ac:dyDescent="0.25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 x14ac:dyDescent="0.25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 x14ac:dyDescent="0.25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 x14ac:dyDescent="0.25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 x14ac:dyDescent="0.25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 x14ac:dyDescent="0.25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 x14ac:dyDescent="0.25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 x14ac:dyDescent="0.25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 x14ac:dyDescent="0.25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 x14ac:dyDescent="0.25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 x14ac:dyDescent="0.25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 x14ac:dyDescent="0.25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 x14ac:dyDescent="0.25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 x14ac:dyDescent="0.25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 x14ac:dyDescent="0.25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 x14ac:dyDescent="0.25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 x14ac:dyDescent="0.25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 x14ac:dyDescent="0.25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 x14ac:dyDescent="0.25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 x14ac:dyDescent="0.25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 x14ac:dyDescent="0.25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 x14ac:dyDescent="0.25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 x14ac:dyDescent="0.25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 x14ac:dyDescent="0.25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 x14ac:dyDescent="0.25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 x14ac:dyDescent="0.25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 x14ac:dyDescent="0.25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 x14ac:dyDescent="0.25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 x14ac:dyDescent="0.25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 x14ac:dyDescent="0.25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 x14ac:dyDescent="0.25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 x14ac:dyDescent="0.25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 x14ac:dyDescent="0.25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 x14ac:dyDescent="0.25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 x14ac:dyDescent="0.25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 x14ac:dyDescent="0.25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 x14ac:dyDescent="0.25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 x14ac:dyDescent="0.25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 x14ac:dyDescent="0.25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 x14ac:dyDescent="0.25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 x14ac:dyDescent="0.25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 x14ac:dyDescent="0.25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 x14ac:dyDescent="0.25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 x14ac:dyDescent="0.25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 x14ac:dyDescent="0.25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 x14ac:dyDescent="0.25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 x14ac:dyDescent="0.25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 x14ac:dyDescent="0.25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 x14ac:dyDescent="0.25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 x14ac:dyDescent="0.25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 x14ac:dyDescent="0.25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 x14ac:dyDescent="0.25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 x14ac:dyDescent="0.25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 x14ac:dyDescent="0.25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 x14ac:dyDescent="0.25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 x14ac:dyDescent="0.25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 x14ac:dyDescent="0.25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 x14ac:dyDescent="0.25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 x14ac:dyDescent="0.25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 x14ac:dyDescent="0.25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 x14ac:dyDescent="0.25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 x14ac:dyDescent="0.25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 x14ac:dyDescent="0.25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 x14ac:dyDescent="0.25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 x14ac:dyDescent="0.25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 x14ac:dyDescent="0.25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 x14ac:dyDescent="0.25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 x14ac:dyDescent="0.25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 x14ac:dyDescent="0.25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 x14ac:dyDescent="0.25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 x14ac:dyDescent="0.25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 x14ac:dyDescent="0.25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 x14ac:dyDescent="0.25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 x14ac:dyDescent="0.25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 x14ac:dyDescent="0.25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 x14ac:dyDescent="0.25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 x14ac:dyDescent="0.25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 x14ac:dyDescent="0.25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 x14ac:dyDescent="0.25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 x14ac:dyDescent="0.25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 x14ac:dyDescent="0.25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 x14ac:dyDescent="0.25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 x14ac:dyDescent="0.25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 x14ac:dyDescent="0.25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 x14ac:dyDescent="0.25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 x14ac:dyDescent="0.25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 x14ac:dyDescent="0.25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 x14ac:dyDescent="0.25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 x14ac:dyDescent="0.25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 x14ac:dyDescent="0.25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 x14ac:dyDescent="0.25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 x14ac:dyDescent="0.25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 x14ac:dyDescent="0.25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 x14ac:dyDescent="0.25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 x14ac:dyDescent="0.25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 x14ac:dyDescent="0.25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 x14ac:dyDescent="0.25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 x14ac:dyDescent="0.25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 x14ac:dyDescent="0.25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 x14ac:dyDescent="0.25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 x14ac:dyDescent="0.25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 x14ac:dyDescent="0.25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 x14ac:dyDescent="0.25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 x14ac:dyDescent="0.25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 x14ac:dyDescent="0.25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 x14ac:dyDescent="0.25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 x14ac:dyDescent="0.25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 x14ac:dyDescent="0.25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 x14ac:dyDescent="0.25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 x14ac:dyDescent="0.25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 x14ac:dyDescent="0.25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 x14ac:dyDescent="0.25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 x14ac:dyDescent="0.25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 x14ac:dyDescent="0.25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 x14ac:dyDescent="0.25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 x14ac:dyDescent="0.25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 x14ac:dyDescent="0.25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 x14ac:dyDescent="0.25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 x14ac:dyDescent="0.25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 x14ac:dyDescent="0.25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 x14ac:dyDescent="0.25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 x14ac:dyDescent="0.25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 x14ac:dyDescent="0.25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 x14ac:dyDescent="0.25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 x14ac:dyDescent="0.25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 x14ac:dyDescent="0.25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 x14ac:dyDescent="0.25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 x14ac:dyDescent="0.25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 x14ac:dyDescent="0.25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 x14ac:dyDescent="0.25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 x14ac:dyDescent="0.25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 x14ac:dyDescent="0.25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 x14ac:dyDescent="0.25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 x14ac:dyDescent="0.25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 x14ac:dyDescent="0.25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 x14ac:dyDescent="0.25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 x14ac:dyDescent="0.25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 x14ac:dyDescent="0.25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 x14ac:dyDescent="0.25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 x14ac:dyDescent="0.25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 x14ac:dyDescent="0.25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 x14ac:dyDescent="0.25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 x14ac:dyDescent="0.25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 x14ac:dyDescent="0.25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 x14ac:dyDescent="0.25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 x14ac:dyDescent="0.25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 x14ac:dyDescent="0.25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 x14ac:dyDescent="0.25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 x14ac:dyDescent="0.25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 x14ac:dyDescent="0.25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 x14ac:dyDescent="0.25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 x14ac:dyDescent="0.25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 x14ac:dyDescent="0.25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 x14ac:dyDescent="0.25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 x14ac:dyDescent="0.25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 x14ac:dyDescent="0.25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 x14ac:dyDescent="0.25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 x14ac:dyDescent="0.25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 x14ac:dyDescent="0.25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 x14ac:dyDescent="0.25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 x14ac:dyDescent="0.25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 x14ac:dyDescent="0.25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 x14ac:dyDescent="0.25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 x14ac:dyDescent="0.25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 x14ac:dyDescent="0.25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 x14ac:dyDescent="0.25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 x14ac:dyDescent="0.25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 x14ac:dyDescent="0.25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 x14ac:dyDescent="0.25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 x14ac:dyDescent="0.25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 x14ac:dyDescent="0.25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 x14ac:dyDescent="0.25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 x14ac:dyDescent="0.25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 x14ac:dyDescent="0.25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 x14ac:dyDescent="0.25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 x14ac:dyDescent="0.25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 x14ac:dyDescent="0.25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 x14ac:dyDescent="0.25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 x14ac:dyDescent="0.25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 x14ac:dyDescent="0.25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 x14ac:dyDescent="0.25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 x14ac:dyDescent="0.25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 x14ac:dyDescent="0.25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 x14ac:dyDescent="0.25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 x14ac:dyDescent="0.25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 x14ac:dyDescent="0.25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 x14ac:dyDescent="0.25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 x14ac:dyDescent="0.25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 x14ac:dyDescent="0.25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 x14ac:dyDescent="0.25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 x14ac:dyDescent="0.25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 x14ac:dyDescent="0.25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 x14ac:dyDescent="0.25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 x14ac:dyDescent="0.25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 x14ac:dyDescent="0.25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 x14ac:dyDescent="0.25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 x14ac:dyDescent="0.25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 x14ac:dyDescent="0.25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 x14ac:dyDescent="0.25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 x14ac:dyDescent="0.25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 x14ac:dyDescent="0.25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 x14ac:dyDescent="0.25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 x14ac:dyDescent="0.25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 x14ac:dyDescent="0.25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 x14ac:dyDescent="0.25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 x14ac:dyDescent="0.25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 x14ac:dyDescent="0.25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 x14ac:dyDescent="0.25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 x14ac:dyDescent="0.25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 x14ac:dyDescent="0.25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 x14ac:dyDescent="0.25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 x14ac:dyDescent="0.25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 x14ac:dyDescent="0.25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 x14ac:dyDescent="0.25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 x14ac:dyDescent="0.25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 x14ac:dyDescent="0.25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 x14ac:dyDescent="0.25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 x14ac:dyDescent="0.25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 x14ac:dyDescent="0.25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 x14ac:dyDescent="0.25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 x14ac:dyDescent="0.25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 x14ac:dyDescent="0.25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 x14ac:dyDescent="0.25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 x14ac:dyDescent="0.25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 x14ac:dyDescent="0.25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 x14ac:dyDescent="0.25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 x14ac:dyDescent="0.25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 x14ac:dyDescent="0.25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 x14ac:dyDescent="0.25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 x14ac:dyDescent="0.25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 x14ac:dyDescent="0.25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 x14ac:dyDescent="0.25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 x14ac:dyDescent="0.25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 x14ac:dyDescent="0.25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 x14ac:dyDescent="0.25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 x14ac:dyDescent="0.25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 x14ac:dyDescent="0.25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 x14ac:dyDescent="0.25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 x14ac:dyDescent="0.25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 x14ac:dyDescent="0.25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 x14ac:dyDescent="0.25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 x14ac:dyDescent="0.25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 x14ac:dyDescent="0.25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 x14ac:dyDescent="0.25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 x14ac:dyDescent="0.25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 x14ac:dyDescent="0.25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 x14ac:dyDescent="0.25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 x14ac:dyDescent="0.25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 x14ac:dyDescent="0.25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 x14ac:dyDescent="0.25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 x14ac:dyDescent="0.25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 x14ac:dyDescent="0.25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 x14ac:dyDescent="0.25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 x14ac:dyDescent="0.25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 x14ac:dyDescent="0.25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 x14ac:dyDescent="0.25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 x14ac:dyDescent="0.25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 x14ac:dyDescent="0.25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 x14ac:dyDescent="0.25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 x14ac:dyDescent="0.25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 x14ac:dyDescent="0.25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 x14ac:dyDescent="0.25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 x14ac:dyDescent="0.25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 x14ac:dyDescent="0.25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 x14ac:dyDescent="0.25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 x14ac:dyDescent="0.25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 x14ac:dyDescent="0.25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 x14ac:dyDescent="0.25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 x14ac:dyDescent="0.25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 x14ac:dyDescent="0.25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 x14ac:dyDescent="0.25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 x14ac:dyDescent="0.25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 x14ac:dyDescent="0.25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 x14ac:dyDescent="0.25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 x14ac:dyDescent="0.25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 x14ac:dyDescent="0.25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 x14ac:dyDescent="0.25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 x14ac:dyDescent="0.25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 x14ac:dyDescent="0.25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 x14ac:dyDescent="0.25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 x14ac:dyDescent="0.25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 x14ac:dyDescent="0.25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 x14ac:dyDescent="0.25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 x14ac:dyDescent="0.25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 x14ac:dyDescent="0.25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 x14ac:dyDescent="0.25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 x14ac:dyDescent="0.25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 x14ac:dyDescent="0.25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 x14ac:dyDescent="0.25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 x14ac:dyDescent="0.25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 x14ac:dyDescent="0.25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 x14ac:dyDescent="0.25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 x14ac:dyDescent="0.25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 x14ac:dyDescent="0.25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 x14ac:dyDescent="0.25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 x14ac:dyDescent="0.25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 x14ac:dyDescent="0.25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 x14ac:dyDescent="0.25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 x14ac:dyDescent="0.25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 x14ac:dyDescent="0.25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 x14ac:dyDescent="0.25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 x14ac:dyDescent="0.25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 x14ac:dyDescent="0.25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 x14ac:dyDescent="0.25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 x14ac:dyDescent="0.25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 x14ac:dyDescent="0.25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 x14ac:dyDescent="0.25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 x14ac:dyDescent="0.25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 x14ac:dyDescent="0.25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 x14ac:dyDescent="0.25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 x14ac:dyDescent="0.25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 x14ac:dyDescent="0.25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 x14ac:dyDescent="0.25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 x14ac:dyDescent="0.25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 x14ac:dyDescent="0.25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 x14ac:dyDescent="0.25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 x14ac:dyDescent="0.25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 x14ac:dyDescent="0.25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 x14ac:dyDescent="0.25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 x14ac:dyDescent="0.25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 x14ac:dyDescent="0.25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 x14ac:dyDescent="0.25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 x14ac:dyDescent="0.25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 x14ac:dyDescent="0.25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 x14ac:dyDescent="0.25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 x14ac:dyDescent="0.25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 x14ac:dyDescent="0.25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 x14ac:dyDescent="0.25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 x14ac:dyDescent="0.25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 x14ac:dyDescent="0.25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 x14ac:dyDescent="0.25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 x14ac:dyDescent="0.25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 x14ac:dyDescent="0.25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 x14ac:dyDescent="0.25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 x14ac:dyDescent="0.25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 x14ac:dyDescent="0.25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 x14ac:dyDescent="0.25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 x14ac:dyDescent="0.25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 x14ac:dyDescent="0.25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 x14ac:dyDescent="0.25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 x14ac:dyDescent="0.25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 x14ac:dyDescent="0.25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 x14ac:dyDescent="0.25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 x14ac:dyDescent="0.25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 x14ac:dyDescent="0.25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 x14ac:dyDescent="0.25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 x14ac:dyDescent="0.25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 x14ac:dyDescent="0.25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 x14ac:dyDescent="0.25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 x14ac:dyDescent="0.25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 x14ac:dyDescent="0.25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 x14ac:dyDescent="0.25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 x14ac:dyDescent="0.25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 x14ac:dyDescent="0.25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 x14ac:dyDescent="0.25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 x14ac:dyDescent="0.25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 x14ac:dyDescent="0.25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 x14ac:dyDescent="0.25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 x14ac:dyDescent="0.25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 x14ac:dyDescent="0.25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 x14ac:dyDescent="0.25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 x14ac:dyDescent="0.25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 x14ac:dyDescent="0.25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 x14ac:dyDescent="0.25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 x14ac:dyDescent="0.25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 x14ac:dyDescent="0.25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 x14ac:dyDescent="0.25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 x14ac:dyDescent="0.25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 x14ac:dyDescent="0.25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 x14ac:dyDescent="0.25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 x14ac:dyDescent="0.25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 x14ac:dyDescent="0.25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 x14ac:dyDescent="0.25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 x14ac:dyDescent="0.25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 x14ac:dyDescent="0.25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 x14ac:dyDescent="0.25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 x14ac:dyDescent="0.25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 x14ac:dyDescent="0.25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 x14ac:dyDescent="0.25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 x14ac:dyDescent="0.25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 x14ac:dyDescent="0.25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 x14ac:dyDescent="0.25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 x14ac:dyDescent="0.25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 x14ac:dyDescent="0.25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 x14ac:dyDescent="0.25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 x14ac:dyDescent="0.25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 x14ac:dyDescent="0.25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 x14ac:dyDescent="0.25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 x14ac:dyDescent="0.25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 x14ac:dyDescent="0.25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 x14ac:dyDescent="0.25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 x14ac:dyDescent="0.25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 x14ac:dyDescent="0.25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 x14ac:dyDescent="0.25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 x14ac:dyDescent="0.25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 x14ac:dyDescent="0.25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 x14ac:dyDescent="0.25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 x14ac:dyDescent="0.25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 x14ac:dyDescent="0.25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 x14ac:dyDescent="0.25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 x14ac:dyDescent="0.25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 x14ac:dyDescent="0.25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 x14ac:dyDescent="0.25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 x14ac:dyDescent="0.25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 x14ac:dyDescent="0.25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 x14ac:dyDescent="0.25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 x14ac:dyDescent="0.25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 x14ac:dyDescent="0.25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 x14ac:dyDescent="0.25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 x14ac:dyDescent="0.25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 x14ac:dyDescent="0.25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 x14ac:dyDescent="0.25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 x14ac:dyDescent="0.25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 x14ac:dyDescent="0.25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 x14ac:dyDescent="0.25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 x14ac:dyDescent="0.25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 x14ac:dyDescent="0.25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 x14ac:dyDescent="0.25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 x14ac:dyDescent="0.25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 x14ac:dyDescent="0.25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 x14ac:dyDescent="0.25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 x14ac:dyDescent="0.25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 x14ac:dyDescent="0.25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 x14ac:dyDescent="0.25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 x14ac:dyDescent="0.25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 x14ac:dyDescent="0.25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 x14ac:dyDescent="0.25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 x14ac:dyDescent="0.25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 x14ac:dyDescent="0.25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 x14ac:dyDescent="0.25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 x14ac:dyDescent="0.25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 x14ac:dyDescent="0.25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 x14ac:dyDescent="0.25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 x14ac:dyDescent="0.25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 x14ac:dyDescent="0.25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 x14ac:dyDescent="0.25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 x14ac:dyDescent="0.25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 x14ac:dyDescent="0.25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 x14ac:dyDescent="0.25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 x14ac:dyDescent="0.25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 x14ac:dyDescent="0.25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 x14ac:dyDescent="0.25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 x14ac:dyDescent="0.25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 x14ac:dyDescent="0.25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 x14ac:dyDescent="0.25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 x14ac:dyDescent="0.25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 x14ac:dyDescent="0.25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 x14ac:dyDescent="0.25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 x14ac:dyDescent="0.25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 x14ac:dyDescent="0.25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 x14ac:dyDescent="0.25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 x14ac:dyDescent="0.25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 x14ac:dyDescent="0.25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 x14ac:dyDescent="0.25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 x14ac:dyDescent="0.25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 x14ac:dyDescent="0.25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 x14ac:dyDescent="0.25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 x14ac:dyDescent="0.25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 x14ac:dyDescent="0.25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 x14ac:dyDescent="0.25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 x14ac:dyDescent="0.25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 x14ac:dyDescent="0.25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 x14ac:dyDescent="0.25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 x14ac:dyDescent="0.25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 x14ac:dyDescent="0.25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 x14ac:dyDescent="0.25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 x14ac:dyDescent="0.25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 x14ac:dyDescent="0.25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 x14ac:dyDescent="0.25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 x14ac:dyDescent="0.25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 x14ac:dyDescent="0.25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 x14ac:dyDescent="0.25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 x14ac:dyDescent="0.25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 x14ac:dyDescent="0.25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 x14ac:dyDescent="0.25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 x14ac:dyDescent="0.25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 x14ac:dyDescent="0.25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 x14ac:dyDescent="0.25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 x14ac:dyDescent="0.25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 x14ac:dyDescent="0.25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 x14ac:dyDescent="0.25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 x14ac:dyDescent="0.25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 x14ac:dyDescent="0.25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 x14ac:dyDescent="0.25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 x14ac:dyDescent="0.25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 x14ac:dyDescent="0.25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 x14ac:dyDescent="0.25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 x14ac:dyDescent="0.25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 x14ac:dyDescent="0.25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 x14ac:dyDescent="0.25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 x14ac:dyDescent="0.25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 x14ac:dyDescent="0.25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 x14ac:dyDescent="0.25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 x14ac:dyDescent="0.25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 x14ac:dyDescent="0.25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 x14ac:dyDescent="0.25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 x14ac:dyDescent="0.25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 x14ac:dyDescent="0.25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 x14ac:dyDescent="0.25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 x14ac:dyDescent="0.25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 x14ac:dyDescent="0.25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 x14ac:dyDescent="0.25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 x14ac:dyDescent="0.25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 x14ac:dyDescent="0.25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 x14ac:dyDescent="0.25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 x14ac:dyDescent="0.25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 x14ac:dyDescent="0.25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 x14ac:dyDescent="0.25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 x14ac:dyDescent="0.25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 x14ac:dyDescent="0.25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 x14ac:dyDescent="0.25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 x14ac:dyDescent="0.25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 x14ac:dyDescent="0.25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 x14ac:dyDescent="0.25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 x14ac:dyDescent="0.25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 x14ac:dyDescent="0.25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 x14ac:dyDescent="0.25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 x14ac:dyDescent="0.25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 x14ac:dyDescent="0.25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 x14ac:dyDescent="0.25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 x14ac:dyDescent="0.25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 x14ac:dyDescent="0.25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 x14ac:dyDescent="0.25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 x14ac:dyDescent="0.25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 x14ac:dyDescent="0.25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 x14ac:dyDescent="0.25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 x14ac:dyDescent="0.25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 x14ac:dyDescent="0.25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 x14ac:dyDescent="0.25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 x14ac:dyDescent="0.25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 x14ac:dyDescent="0.25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 x14ac:dyDescent="0.25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 x14ac:dyDescent="0.25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 x14ac:dyDescent="0.25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 x14ac:dyDescent="0.25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 x14ac:dyDescent="0.25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 x14ac:dyDescent="0.25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 x14ac:dyDescent="0.25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 x14ac:dyDescent="0.25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 x14ac:dyDescent="0.25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 x14ac:dyDescent="0.25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 x14ac:dyDescent="0.25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 x14ac:dyDescent="0.25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 x14ac:dyDescent="0.25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 x14ac:dyDescent="0.25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 x14ac:dyDescent="0.25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 x14ac:dyDescent="0.25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 x14ac:dyDescent="0.25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 x14ac:dyDescent="0.25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 x14ac:dyDescent="0.25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 x14ac:dyDescent="0.25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 x14ac:dyDescent="0.25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 x14ac:dyDescent="0.25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 x14ac:dyDescent="0.25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 x14ac:dyDescent="0.25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 x14ac:dyDescent="0.25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 x14ac:dyDescent="0.25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 x14ac:dyDescent="0.25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 x14ac:dyDescent="0.25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 x14ac:dyDescent="0.25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 x14ac:dyDescent="0.25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 x14ac:dyDescent="0.25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 x14ac:dyDescent="0.25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 x14ac:dyDescent="0.25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 x14ac:dyDescent="0.25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 x14ac:dyDescent="0.25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 x14ac:dyDescent="0.25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 x14ac:dyDescent="0.25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 x14ac:dyDescent="0.25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 x14ac:dyDescent="0.25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 x14ac:dyDescent="0.25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 x14ac:dyDescent="0.25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 x14ac:dyDescent="0.25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 x14ac:dyDescent="0.25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 x14ac:dyDescent="0.25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 x14ac:dyDescent="0.25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 x14ac:dyDescent="0.25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 x14ac:dyDescent="0.25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 x14ac:dyDescent="0.25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 x14ac:dyDescent="0.25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 x14ac:dyDescent="0.25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 x14ac:dyDescent="0.25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 x14ac:dyDescent="0.25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 x14ac:dyDescent="0.25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 x14ac:dyDescent="0.25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 x14ac:dyDescent="0.25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 x14ac:dyDescent="0.25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 x14ac:dyDescent="0.25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 x14ac:dyDescent="0.25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 x14ac:dyDescent="0.25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 x14ac:dyDescent="0.25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 x14ac:dyDescent="0.25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 x14ac:dyDescent="0.25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 x14ac:dyDescent="0.25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 x14ac:dyDescent="0.25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 x14ac:dyDescent="0.25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 x14ac:dyDescent="0.25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 x14ac:dyDescent="0.25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 x14ac:dyDescent="0.25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 x14ac:dyDescent="0.25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 x14ac:dyDescent="0.25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 x14ac:dyDescent="0.25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 x14ac:dyDescent="0.25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 x14ac:dyDescent="0.25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 x14ac:dyDescent="0.25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 x14ac:dyDescent="0.25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 x14ac:dyDescent="0.25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 x14ac:dyDescent="0.25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 x14ac:dyDescent="0.25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 x14ac:dyDescent="0.25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 x14ac:dyDescent="0.25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 x14ac:dyDescent="0.25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 x14ac:dyDescent="0.25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 x14ac:dyDescent="0.25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 x14ac:dyDescent="0.25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 x14ac:dyDescent="0.25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 x14ac:dyDescent="0.25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 x14ac:dyDescent="0.25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 x14ac:dyDescent="0.25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 x14ac:dyDescent="0.25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 x14ac:dyDescent="0.25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 x14ac:dyDescent="0.25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 x14ac:dyDescent="0.25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 x14ac:dyDescent="0.25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 x14ac:dyDescent="0.25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 x14ac:dyDescent="0.25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 x14ac:dyDescent="0.25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 x14ac:dyDescent="0.25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 x14ac:dyDescent="0.25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 x14ac:dyDescent="0.25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 x14ac:dyDescent="0.25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 x14ac:dyDescent="0.25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 x14ac:dyDescent="0.25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 x14ac:dyDescent="0.25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 x14ac:dyDescent="0.25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 x14ac:dyDescent="0.25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 x14ac:dyDescent="0.25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 x14ac:dyDescent="0.25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 x14ac:dyDescent="0.25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 x14ac:dyDescent="0.25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 x14ac:dyDescent="0.25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 x14ac:dyDescent="0.25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 x14ac:dyDescent="0.25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 x14ac:dyDescent="0.25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 x14ac:dyDescent="0.25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 x14ac:dyDescent="0.25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 x14ac:dyDescent="0.25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 x14ac:dyDescent="0.25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 x14ac:dyDescent="0.25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 x14ac:dyDescent="0.25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 x14ac:dyDescent="0.25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 x14ac:dyDescent="0.25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 x14ac:dyDescent="0.25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 x14ac:dyDescent="0.25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 x14ac:dyDescent="0.25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 x14ac:dyDescent="0.25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 x14ac:dyDescent="0.25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 x14ac:dyDescent="0.25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 x14ac:dyDescent="0.25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 x14ac:dyDescent="0.25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 x14ac:dyDescent="0.25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 x14ac:dyDescent="0.25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 x14ac:dyDescent="0.25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 x14ac:dyDescent="0.25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 x14ac:dyDescent="0.25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 x14ac:dyDescent="0.25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 x14ac:dyDescent="0.25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 x14ac:dyDescent="0.25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 x14ac:dyDescent="0.25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 x14ac:dyDescent="0.25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 x14ac:dyDescent="0.25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 x14ac:dyDescent="0.25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 x14ac:dyDescent="0.25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 x14ac:dyDescent="0.25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 x14ac:dyDescent="0.25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 x14ac:dyDescent="0.25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 x14ac:dyDescent="0.25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 x14ac:dyDescent="0.25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 x14ac:dyDescent="0.25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 x14ac:dyDescent="0.25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 x14ac:dyDescent="0.25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 x14ac:dyDescent="0.25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 x14ac:dyDescent="0.25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 x14ac:dyDescent="0.25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 x14ac:dyDescent="0.25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 x14ac:dyDescent="0.25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 x14ac:dyDescent="0.25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 x14ac:dyDescent="0.25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 x14ac:dyDescent="0.25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 x14ac:dyDescent="0.25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 x14ac:dyDescent="0.25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 x14ac:dyDescent="0.25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 x14ac:dyDescent="0.25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 x14ac:dyDescent="0.25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 x14ac:dyDescent="0.25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 x14ac:dyDescent="0.25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 x14ac:dyDescent="0.25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 x14ac:dyDescent="0.25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 x14ac:dyDescent="0.25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 x14ac:dyDescent="0.25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 x14ac:dyDescent="0.25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 x14ac:dyDescent="0.25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 x14ac:dyDescent="0.25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 x14ac:dyDescent="0.25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 x14ac:dyDescent="0.25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 x14ac:dyDescent="0.25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 x14ac:dyDescent="0.25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 x14ac:dyDescent="0.25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 x14ac:dyDescent="0.25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 x14ac:dyDescent="0.25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 x14ac:dyDescent="0.25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 x14ac:dyDescent="0.25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 x14ac:dyDescent="0.25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 x14ac:dyDescent="0.25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 x14ac:dyDescent="0.25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 x14ac:dyDescent="0.25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 x14ac:dyDescent="0.25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 x14ac:dyDescent="0.25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 x14ac:dyDescent="0.25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 x14ac:dyDescent="0.25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 x14ac:dyDescent="0.25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 x14ac:dyDescent="0.25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 x14ac:dyDescent="0.25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 x14ac:dyDescent="0.25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 x14ac:dyDescent="0.25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 x14ac:dyDescent="0.25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 x14ac:dyDescent="0.25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 x14ac:dyDescent="0.25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 x14ac:dyDescent="0.25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 x14ac:dyDescent="0.25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 x14ac:dyDescent="0.25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 x14ac:dyDescent="0.25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 x14ac:dyDescent="0.25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 x14ac:dyDescent="0.25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 x14ac:dyDescent="0.25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 x14ac:dyDescent="0.25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 x14ac:dyDescent="0.25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 x14ac:dyDescent="0.25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 x14ac:dyDescent="0.25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 x14ac:dyDescent="0.25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 x14ac:dyDescent="0.25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 x14ac:dyDescent="0.25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 x14ac:dyDescent="0.25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 x14ac:dyDescent="0.25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 x14ac:dyDescent="0.25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 x14ac:dyDescent="0.25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 x14ac:dyDescent="0.25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 x14ac:dyDescent="0.25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 x14ac:dyDescent="0.25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 x14ac:dyDescent="0.25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 x14ac:dyDescent="0.25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 x14ac:dyDescent="0.25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 x14ac:dyDescent="0.25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 x14ac:dyDescent="0.25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 x14ac:dyDescent="0.25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 x14ac:dyDescent="0.25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 x14ac:dyDescent="0.25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 x14ac:dyDescent="0.25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 x14ac:dyDescent="0.25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 x14ac:dyDescent="0.25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 x14ac:dyDescent="0.25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 x14ac:dyDescent="0.25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 x14ac:dyDescent="0.25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 x14ac:dyDescent="0.25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 x14ac:dyDescent="0.25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 x14ac:dyDescent="0.25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 x14ac:dyDescent="0.25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 x14ac:dyDescent="0.25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 x14ac:dyDescent="0.25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 x14ac:dyDescent="0.25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 x14ac:dyDescent="0.25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 x14ac:dyDescent="0.25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 x14ac:dyDescent="0.25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 x14ac:dyDescent="0.25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 x14ac:dyDescent="0.25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 x14ac:dyDescent="0.25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 x14ac:dyDescent="0.25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 x14ac:dyDescent="0.25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 x14ac:dyDescent="0.25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 x14ac:dyDescent="0.25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 x14ac:dyDescent="0.25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 x14ac:dyDescent="0.25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 x14ac:dyDescent="0.25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 x14ac:dyDescent="0.25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 x14ac:dyDescent="0.25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 x14ac:dyDescent="0.25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 x14ac:dyDescent="0.25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 x14ac:dyDescent="0.25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 x14ac:dyDescent="0.25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 x14ac:dyDescent="0.25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 x14ac:dyDescent="0.25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 x14ac:dyDescent="0.25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 x14ac:dyDescent="0.25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 x14ac:dyDescent="0.25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 x14ac:dyDescent="0.25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 x14ac:dyDescent="0.25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 x14ac:dyDescent="0.25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 x14ac:dyDescent="0.25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 x14ac:dyDescent="0.25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 x14ac:dyDescent="0.25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 x14ac:dyDescent="0.25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 x14ac:dyDescent="0.25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 x14ac:dyDescent="0.25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 x14ac:dyDescent="0.25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 x14ac:dyDescent="0.25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 x14ac:dyDescent="0.25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 x14ac:dyDescent="0.25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 x14ac:dyDescent="0.25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 x14ac:dyDescent="0.25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 x14ac:dyDescent="0.25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 x14ac:dyDescent="0.25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 x14ac:dyDescent="0.25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 x14ac:dyDescent="0.25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 x14ac:dyDescent="0.25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 x14ac:dyDescent="0.25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 x14ac:dyDescent="0.25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 x14ac:dyDescent="0.25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 x14ac:dyDescent="0.25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 x14ac:dyDescent="0.25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 x14ac:dyDescent="0.25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 x14ac:dyDescent="0.25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 x14ac:dyDescent="0.25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 x14ac:dyDescent="0.25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 x14ac:dyDescent="0.25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 x14ac:dyDescent="0.25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 x14ac:dyDescent="0.25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 x14ac:dyDescent="0.25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 x14ac:dyDescent="0.25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 x14ac:dyDescent="0.25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 x14ac:dyDescent="0.25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 x14ac:dyDescent="0.25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 x14ac:dyDescent="0.25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 x14ac:dyDescent="0.25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 x14ac:dyDescent="0.25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 x14ac:dyDescent="0.25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 x14ac:dyDescent="0.25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 x14ac:dyDescent="0.25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 x14ac:dyDescent="0.25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 x14ac:dyDescent="0.25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 x14ac:dyDescent="0.25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 x14ac:dyDescent="0.25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 x14ac:dyDescent="0.25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 x14ac:dyDescent="0.25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 x14ac:dyDescent="0.25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 x14ac:dyDescent="0.25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 x14ac:dyDescent="0.25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 x14ac:dyDescent="0.25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 x14ac:dyDescent="0.25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 x14ac:dyDescent="0.25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 x14ac:dyDescent="0.25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 x14ac:dyDescent="0.25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 x14ac:dyDescent="0.25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 x14ac:dyDescent="0.25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 x14ac:dyDescent="0.25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 x14ac:dyDescent="0.25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 x14ac:dyDescent="0.25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 x14ac:dyDescent="0.25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 x14ac:dyDescent="0.25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 x14ac:dyDescent="0.25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 x14ac:dyDescent="0.25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 x14ac:dyDescent="0.25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 x14ac:dyDescent="0.25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 x14ac:dyDescent="0.25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 x14ac:dyDescent="0.25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 x14ac:dyDescent="0.25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 x14ac:dyDescent="0.25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 x14ac:dyDescent="0.25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 x14ac:dyDescent="0.25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 x14ac:dyDescent="0.25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 x14ac:dyDescent="0.25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 x14ac:dyDescent="0.25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 x14ac:dyDescent="0.25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 x14ac:dyDescent="0.25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 x14ac:dyDescent="0.25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 x14ac:dyDescent="0.25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 x14ac:dyDescent="0.25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 x14ac:dyDescent="0.25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 x14ac:dyDescent="0.25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 x14ac:dyDescent="0.25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 x14ac:dyDescent="0.25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 x14ac:dyDescent="0.25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 x14ac:dyDescent="0.25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 x14ac:dyDescent="0.25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 x14ac:dyDescent="0.25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 x14ac:dyDescent="0.25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 x14ac:dyDescent="0.25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 x14ac:dyDescent="0.25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 x14ac:dyDescent="0.25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 x14ac:dyDescent="0.25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 x14ac:dyDescent="0.25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 x14ac:dyDescent="0.25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 x14ac:dyDescent="0.25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 x14ac:dyDescent="0.25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 x14ac:dyDescent="0.25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 x14ac:dyDescent="0.25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 x14ac:dyDescent="0.25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 x14ac:dyDescent="0.25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 x14ac:dyDescent="0.25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 x14ac:dyDescent="0.25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 x14ac:dyDescent="0.25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 x14ac:dyDescent="0.25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 x14ac:dyDescent="0.25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 x14ac:dyDescent="0.25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 x14ac:dyDescent="0.25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 x14ac:dyDescent="0.25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 x14ac:dyDescent="0.25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 x14ac:dyDescent="0.25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 x14ac:dyDescent="0.25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 x14ac:dyDescent="0.25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 x14ac:dyDescent="0.25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 x14ac:dyDescent="0.25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 x14ac:dyDescent="0.25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 x14ac:dyDescent="0.25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 x14ac:dyDescent="0.25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 x14ac:dyDescent="0.25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 x14ac:dyDescent="0.25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 x14ac:dyDescent="0.25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 x14ac:dyDescent="0.25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 x14ac:dyDescent="0.25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 x14ac:dyDescent="0.25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 x14ac:dyDescent="0.25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 x14ac:dyDescent="0.25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 x14ac:dyDescent="0.25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 x14ac:dyDescent="0.25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 x14ac:dyDescent="0.25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 x14ac:dyDescent="0.25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 x14ac:dyDescent="0.25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 x14ac:dyDescent="0.25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 x14ac:dyDescent="0.25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 x14ac:dyDescent="0.25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 x14ac:dyDescent="0.25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 x14ac:dyDescent="0.25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 x14ac:dyDescent="0.25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 x14ac:dyDescent="0.25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 x14ac:dyDescent="0.25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 x14ac:dyDescent="0.25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 x14ac:dyDescent="0.25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 x14ac:dyDescent="0.25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 x14ac:dyDescent="0.25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 x14ac:dyDescent="0.25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 x14ac:dyDescent="0.25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 x14ac:dyDescent="0.25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 x14ac:dyDescent="0.25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 x14ac:dyDescent="0.25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 x14ac:dyDescent="0.25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 x14ac:dyDescent="0.25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 x14ac:dyDescent="0.25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 x14ac:dyDescent="0.25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 x14ac:dyDescent="0.25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 x14ac:dyDescent="0.25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 x14ac:dyDescent="0.25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 x14ac:dyDescent="0.25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 x14ac:dyDescent="0.25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 x14ac:dyDescent="0.25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 x14ac:dyDescent="0.25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 x14ac:dyDescent="0.25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 x14ac:dyDescent="0.25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 x14ac:dyDescent="0.25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 x14ac:dyDescent="0.25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 x14ac:dyDescent="0.25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 x14ac:dyDescent="0.25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 x14ac:dyDescent="0.25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 x14ac:dyDescent="0.25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 x14ac:dyDescent="0.25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 x14ac:dyDescent="0.25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 x14ac:dyDescent="0.25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 x14ac:dyDescent="0.25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 x14ac:dyDescent="0.25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 x14ac:dyDescent="0.25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 x14ac:dyDescent="0.25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 x14ac:dyDescent="0.25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 x14ac:dyDescent="0.25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 x14ac:dyDescent="0.25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 x14ac:dyDescent="0.25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 x14ac:dyDescent="0.25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 x14ac:dyDescent="0.25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 x14ac:dyDescent="0.25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 x14ac:dyDescent="0.25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 x14ac:dyDescent="0.25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 x14ac:dyDescent="0.25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 x14ac:dyDescent="0.25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 x14ac:dyDescent="0.25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 x14ac:dyDescent="0.25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 x14ac:dyDescent="0.25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 x14ac:dyDescent="0.25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 x14ac:dyDescent="0.25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 x14ac:dyDescent="0.25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 x14ac:dyDescent="0.25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 x14ac:dyDescent="0.25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 x14ac:dyDescent="0.25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 x14ac:dyDescent="0.25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 x14ac:dyDescent="0.25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 x14ac:dyDescent="0.25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 x14ac:dyDescent="0.25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 x14ac:dyDescent="0.25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 x14ac:dyDescent="0.25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 x14ac:dyDescent="0.25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 x14ac:dyDescent="0.25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 x14ac:dyDescent="0.25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 x14ac:dyDescent="0.25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 x14ac:dyDescent="0.25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 x14ac:dyDescent="0.25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 x14ac:dyDescent="0.25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 x14ac:dyDescent="0.25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 x14ac:dyDescent="0.25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 x14ac:dyDescent="0.25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 x14ac:dyDescent="0.25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 x14ac:dyDescent="0.25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 x14ac:dyDescent="0.25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 x14ac:dyDescent="0.25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 x14ac:dyDescent="0.25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 x14ac:dyDescent="0.25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 x14ac:dyDescent="0.25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 x14ac:dyDescent="0.25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 x14ac:dyDescent="0.25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 x14ac:dyDescent="0.25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 x14ac:dyDescent="0.25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 x14ac:dyDescent="0.25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 x14ac:dyDescent="0.25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 x14ac:dyDescent="0.25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 x14ac:dyDescent="0.25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 x14ac:dyDescent="0.25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 x14ac:dyDescent="0.25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 x14ac:dyDescent="0.25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 x14ac:dyDescent="0.25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 x14ac:dyDescent="0.25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 x14ac:dyDescent="0.25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 x14ac:dyDescent="0.25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 x14ac:dyDescent="0.25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 x14ac:dyDescent="0.25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 x14ac:dyDescent="0.25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 x14ac:dyDescent="0.25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 x14ac:dyDescent="0.25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 x14ac:dyDescent="0.25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 x14ac:dyDescent="0.25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 x14ac:dyDescent="0.25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 x14ac:dyDescent="0.25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 x14ac:dyDescent="0.25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 x14ac:dyDescent="0.25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 x14ac:dyDescent="0.25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 x14ac:dyDescent="0.25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 x14ac:dyDescent="0.25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 x14ac:dyDescent="0.25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 x14ac:dyDescent="0.25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 x14ac:dyDescent="0.25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 x14ac:dyDescent="0.25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 x14ac:dyDescent="0.25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 x14ac:dyDescent="0.25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 x14ac:dyDescent="0.25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 x14ac:dyDescent="0.25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 x14ac:dyDescent="0.25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 x14ac:dyDescent="0.25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 x14ac:dyDescent="0.25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 x14ac:dyDescent="0.25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 x14ac:dyDescent="0.25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 x14ac:dyDescent="0.25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 x14ac:dyDescent="0.25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 x14ac:dyDescent="0.25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 x14ac:dyDescent="0.25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 x14ac:dyDescent="0.25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 x14ac:dyDescent="0.25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 x14ac:dyDescent="0.25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 x14ac:dyDescent="0.25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 x14ac:dyDescent="0.25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 x14ac:dyDescent="0.25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 x14ac:dyDescent="0.25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 x14ac:dyDescent="0.25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 x14ac:dyDescent="0.25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 x14ac:dyDescent="0.25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 x14ac:dyDescent="0.25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 x14ac:dyDescent="0.25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 x14ac:dyDescent="0.25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 x14ac:dyDescent="0.25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 x14ac:dyDescent="0.25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 x14ac:dyDescent="0.25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 x14ac:dyDescent="0.25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 x14ac:dyDescent="0.25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 x14ac:dyDescent="0.25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 x14ac:dyDescent="0.25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 x14ac:dyDescent="0.25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 x14ac:dyDescent="0.25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 x14ac:dyDescent="0.25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 x14ac:dyDescent="0.25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 x14ac:dyDescent="0.25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 x14ac:dyDescent="0.25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 x14ac:dyDescent="0.25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 x14ac:dyDescent="0.25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 x14ac:dyDescent="0.25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 x14ac:dyDescent="0.25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 x14ac:dyDescent="0.25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 x14ac:dyDescent="0.25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 x14ac:dyDescent="0.25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 x14ac:dyDescent="0.25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 x14ac:dyDescent="0.25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 x14ac:dyDescent="0.25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 x14ac:dyDescent="0.25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 x14ac:dyDescent="0.25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 x14ac:dyDescent="0.25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 x14ac:dyDescent="0.25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 x14ac:dyDescent="0.25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 x14ac:dyDescent="0.25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 x14ac:dyDescent="0.25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 x14ac:dyDescent="0.25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 x14ac:dyDescent="0.25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 x14ac:dyDescent="0.25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 x14ac:dyDescent="0.25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 x14ac:dyDescent="0.25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 x14ac:dyDescent="0.25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 x14ac:dyDescent="0.25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 x14ac:dyDescent="0.25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 x14ac:dyDescent="0.25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 x14ac:dyDescent="0.25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 x14ac:dyDescent="0.25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 x14ac:dyDescent="0.25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 x14ac:dyDescent="0.25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 x14ac:dyDescent="0.25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 x14ac:dyDescent="0.25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 x14ac:dyDescent="0.25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 x14ac:dyDescent="0.25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 x14ac:dyDescent="0.25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 x14ac:dyDescent="0.25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 x14ac:dyDescent="0.25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 x14ac:dyDescent="0.25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 x14ac:dyDescent="0.25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 x14ac:dyDescent="0.25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 x14ac:dyDescent="0.25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 x14ac:dyDescent="0.25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 x14ac:dyDescent="0.25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 x14ac:dyDescent="0.25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 x14ac:dyDescent="0.25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 x14ac:dyDescent="0.25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 x14ac:dyDescent="0.25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 x14ac:dyDescent="0.25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 x14ac:dyDescent="0.25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 x14ac:dyDescent="0.25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 x14ac:dyDescent="0.25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 x14ac:dyDescent="0.25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 x14ac:dyDescent="0.25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 x14ac:dyDescent="0.25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 x14ac:dyDescent="0.25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 x14ac:dyDescent="0.25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 x14ac:dyDescent="0.25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 x14ac:dyDescent="0.25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 x14ac:dyDescent="0.25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 x14ac:dyDescent="0.25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 x14ac:dyDescent="0.25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 x14ac:dyDescent="0.25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 x14ac:dyDescent="0.25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 x14ac:dyDescent="0.25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 x14ac:dyDescent="0.25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 x14ac:dyDescent="0.25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 x14ac:dyDescent="0.25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 x14ac:dyDescent="0.25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 x14ac:dyDescent="0.25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 x14ac:dyDescent="0.25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 x14ac:dyDescent="0.25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 x14ac:dyDescent="0.25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 x14ac:dyDescent="0.25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 x14ac:dyDescent="0.25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 x14ac:dyDescent="0.25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 x14ac:dyDescent="0.25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 x14ac:dyDescent="0.25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 x14ac:dyDescent="0.25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 x14ac:dyDescent="0.25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 x14ac:dyDescent="0.25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 x14ac:dyDescent="0.25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 x14ac:dyDescent="0.25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 x14ac:dyDescent="0.25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 x14ac:dyDescent="0.25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 x14ac:dyDescent="0.25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 x14ac:dyDescent="0.25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 x14ac:dyDescent="0.25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 x14ac:dyDescent="0.25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 x14ac:dyDescent="0.25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 x14ac:dyDescent="0.25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 x14ac:dyDescent="0.25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 x14ac:dyDescent="0.25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 x14ac:dyDescent="0.25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 x14ac:dyDescent="0.25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 x14ac:dyDescent="0.25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 x14ac:dyDescent="0.25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 x14ac:dyDescent="0.25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 x14ac:dyDescent="0.25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 x14ac:dyDescent="0.25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 x14ac:dyDescent="0.25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 x14ac:dyDescent="0.25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 x14ac:dyDescent="0.25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 x14ac:dyDescent="0.25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 x14ac:dyDescent="0.25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 x14ac:dyDescent="0.25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 x14ac:dyDescent="0.25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 x14ac:dyDescent="0.25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 x14ac:dyDescent="0.25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 x14ac:dyDescent="0.25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 x14ac:dyDescent="0.25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 x14ac:dyDescent="0.25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 x14ac:dyDescent="0.25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 x14ac:dyDescent="0.25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 x14ac:dyDescent="0.25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 x14ac:dyDescent="0.25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 x14ac:dyDescent="0.25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 x14ac:dyDescent="0.25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 x14ac:dyDescent="0.25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 x14ac:dyDescent="0.25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 x14ac:dyDescent="0.25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 x14ac:dyDescent="0.25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 x14ac:dyDescent="0.25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 x14ac:dyDescent="0.25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 x14ac:dyDescent="0.25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 x14ac:dyDescent="0.25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 x14ac:dyDescent="0.25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 x14ac:dyDescent="0.25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 x14ac:dyDescent="0.25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 x14ac:dyDescent="0.25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 x14ac:dyDescent="0.25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 x14ac:dyDescent="0.25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 x14ac:dyDescent="0.25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 x14ac:dyDescent="0.25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 x14ac:dyDescent="0.25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 x14ac:dyDescent="0.25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 x14ac:dyDescent="0.25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 x14ac:dyDescent="0.25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 x14ac:dyDescent="0.25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 x14ac:dyDescent="0.25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 x14ac:dyDescent="0.25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 x14ac:dyDescent="0.25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 x14ac:dyDescent="0.25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 x14ac:dyDescent="0.25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 x14ac:dyDescent="0.25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 x14ac:dyDescent="0.25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 x14ac:dyDescent="0.25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 x14ac:dyDescent="0.25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 x14ac:dyDescent="0.25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 x14ac:dyDescent="0.25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 x14ac:dyDescent="0.25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 x14ac:dyDescent="0.25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 x14ac:dyDescent="0.25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 x14ac:dyDescent="0.25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 x14ac:dyDescent="0.25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 x14ac:dyDescent="0.25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 x14ac:dyDescent="0.25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 x14ac:dyDescent="0.25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 x14ac:dyDescent="0.25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 x14ac:dyDescent="0.25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 x14ac:dyDescent="0.25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 x14ac:dyDescent="0.25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 x14ac:dyDescent="0.25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 x14ac:dyDescent="0.25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 x14ac:dyDescent="0.25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 x14ac:dyDescent="0.25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 x14ac:dyDescent="0.25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 x14ac:dyDescent="0.25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 x14ac:dyDescent="0.25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 x14ac:dyDescent="0.25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 x14ac:dyDescent="0.25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 x14ac:dyDescent="0.25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 x14ac:dyDescent="0.25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 x14ac:dyDescent="0.25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 x14ac:dyDescent="0.25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 x14ac:dyDescent="0.25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 x14ac:dyDescent="0.25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 x14ac:dyDescent="0.25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 x14ac:dyDescent="0.25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 x14ac:dyDescent="0.25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 x14ac:dyDescent="0.25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 x14ac:dyDescent="0.25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 x14ac:dyDescent="0.25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 x14ac:dyDescent="0.25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 x14ac:dyDescent="0.25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 x14ac:dyDescent="0.25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 x14ac:dyDescent="0.25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 x14ac:dyDescent="0.25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 x14ac:dyDescent="0.25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 x14ac:dyDescent="0.25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 x14ac:dyDescent="0.25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 x14ac:dyDescent="0.25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 x14ac:dyDescent="0.25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 x14ac:dyDescent="0.25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 x14ac:dyDescent="0.25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 x14ac:dyDescent="0.25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 x14ac:dyDescent="0.25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 x14ac:dyDescent="0.25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 x14ac:dyDescent="0.25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 x14ac:dyDescent="0.25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46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8-5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  <filter val="6014.2026/0005775-7"/>
        <filter val="6014.2026/0005781-1"/>
        <filter val="6014.2026/0005792-7"/>
        <filter val="6014.2026/0005797-8"/>
        <filter val="6014.2026/0005800-1"/>
        <filter val="6014.2026/0005802-8"/>
        <filter val="6014.2026/0005812-5"/>
        <filter val="6014.2026/0005831-1"/>
        <filter val="6014.2026/0005836-2"/>
        <filter val="6014.2026/0005839-7"/>
        <filter val="6014.2026/0005843-5"/>
        <filter val="6014.2026/0005857-5"/>
      </filters>
    </filterColumn>
    <filterColumn colId="55">
      <customFilters>
        <customFilter operator="notEqual" val=" "/>
      </custom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3"/>
    <cfRule type="duplicateValues" dxfId="259" priority="204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1217"/>
    <cfRule type="duplicateValues" dxfId="204" priority="761"/>
  </conditionalFormatting>
  <conditionalFormatting sqref="AU5">
    <cfRule type="duplicateValues" dxfId="203" priority="768"/>
  </conditionalFormatting>
  <conditionalFormatting sqref="AU7:AU97 AU99 AU101:AU102 AU104:AU133">
    <cfRule type="duplicateValues" dxfId="202" priority="1275"/>
  </conditionalFormatting>
  <conditionalFormatting sqref="AU10">
    <cfRule type="duplicateValues" dxfId="201" priority="457"/>
  </conditionalFormatting>
  <conditionalFormatting sqref="AU16">
    <cfRule type="duplicateValues" dxfId="200" priority="626"/>
  </conditionalFormatting>
  <conditionalFormatting sqref="AU18">
    <cfRule type="duplicateValues" dxfId="199" priority="441"/>
  </conditionalFormatting>
  <conditionalFormatting sqref="AU21">
    <cfRule type="duplicateValues" dxfId="198" priority="440"/>
  </conditionalFormatting>
  <conditionalFormatting sqref="AU26">
    <cfRule type="duplicateValues" dxfId="197" priority="625"/>
  </conditionalFormatting>
  <conditionalFormatting sqref="AU31:AU32">
    <cfRule type="duplicateValues" dxfId="196" priority="651"/>
  </conditionalFormatting>
  <conditionalFormatting sqref="AU33">
    <cfRule type="duplicateValues" dxfId="195" priority="624"/>
  </conditionalFormatting>
  <conditionalFormatting sqref="AU35">
    <cfRule type="duplicateValues" dxfId="194" priority="439"/>
  </conditionalFormatting>
  <conditionalFormatting sqref="AU38">
    <cfRule type="duplicateValues" dxfId="193" priority="622"/>
  </conditionalFormatting>
  <conditionalFormatting sqref="AU40">
    <cfRule type="duplicateValues" dxfId="192" priority="472"/>
  </conditionalFormatting>
  <conditionalFormatting sqref="AU45">
    <cfRule type="duplicateValues" dxfId="191" priority="325"/>
  </conditionalFormatting>
  <conditionalFormatting sqref="AU49">
    <cfRule type="duplicateValues" dxfId="190" priority="437"/>
  </conditionalFormatting>
  <conditionalFormatting sqref="AU57:AU58">
    <cfRule type="duplicateValues" dxfId="189" priority="1259"/>
  </conditionalFormatting>
  <conditionalFormatting sqref="AU59">
    <cfRule type="duplicateValues" dxfId="188" priority="1254"/>
  </conditionalFormatting>
  <conditionalFormatting sqref="AU60">
    <cfRule type="duplicateValues" dxfId="187" priority="1274"/>
  </conditionalFormatting>
  <conditionalFormatting sqref="AU62">
    <cfRule type="duplicateValues" dxfId="186" priority="662"/>
  </conditionalFormatting>
  <conditionalFormatting sqref="AU64:AU65">
    <cfRule type="duplicateValues" dxfId="185" priority="1273"/>
  </conditionalFormatting>
  <conditionalFormatting sqref="AU66">
    <cfRule type="duplicateValues" dxfId="184" priority="436"/>
  </conditionalFormatting>
  <conditionalFormatting sqref="AU68">
    <cfRule type="duplicateValues" dxfId="183" priority="660"/>
  </conditionalFormatting>
  <conditionalFormatting sqref="AU70">
    <cfRule type="duplicateValues" dxfId="182" priority="1222"/>
  </conditionalFormatting>
  <conditionalFormatting sqref="AU70:AU73">
    <cfRule type="duplicateValues" dxfId="181" priority="1258"/>
  </conditionalFormatting>
  <conditionalFormatting sqref="AU71">
    <cfRule type="duplicateValues" dxfId="180" priority="1223"/>
  </conditionalFormatting>
  <conditionalFormatting sqref="AU72">
    <cfRule type="duplicateValues" dxfId="179" priority="1224"/>
  </conditionalFormatting>
  <conditionalFormatting sqref="AU79">
    <cfRule type="duplicateValues" dxfId="178" priority="661"/>
  </conditionalFormatting>
  <conditionalFormatting sqref="AU80:AU96">
    <cfRule type="duplicateValues" dxfId="177" priority="1810"/>
  </conditionalFormatting>
  <conditionalFormatting sqref="AU97">
    <cfRule type="duplicateValues" dxfId="176" priority="25"/>
  </conditionalFormatting>
  <conditionalFormatting sqref="AU98">
    <cfRule type="duplicateValues" dxfId="175" priority="6"/>
  </conditionalFormatting>
  <conditionalFormatting sqref="AU99">
    <cfRule type="duplicateValues" dxfId="174" priority="435"/>
  </conditionalFormatting>
  <conditionalFormatting sqref="AU102">
    <cfRule type="duplicateValues" dxfId="173" priority="650"/>
  </conditionalFormatting>
  <conditionalFormatting sqref="AU105">
    <cfRule type="duplicateValues" dxfId="172" priority="621"/>
  </conditionalFormatting>
  <conditionalFormatting sqref="AU106">
    <cfRule type="duplicateValues" dxfId="171" priority="653"/>
  </conditionalFormatting>
  <conditionalFormatting sqref="AU107">
    <cfRule type="duplicateValues" dxfId="170" priority="620"/>
  </conditionalFormatting>
  <conditionalFormatting sqref="AU109">
    <cfRule type="duplicateValues" dxfId="169" priority="1272"/>
  </conditionalFormatting>
  <conditionalFormatting sqref="AU110">
    <cfRule type="duplicateValues" dxfId="168" priority="619"/>
  </conditionalFormatting>
  <conditionalFormatting sqref="AU111:AU112">
    <cfRule type="duplicateValues" dxfId="167" priority="433"/>
  </conditionalFormatting>
  <conditionalFormatting sqref="AU114">
    <cfRule type="duplicateValues" dxfId="166" priority="432"/>
  </conditionalFormatting>
  <conditionalFormatting sqref="AU115">
    <cfRule type="duplicateValues" dxfId="165" priority="471"/>
    <cfRule type="duplicateValues" dxfId="164" priority="617"/>
  </conditionalFormatting>
  <conditionalFormatting sqref="AU116">
    <cfRule type="duplicateValues" dxfId="163" priority="36"/>
  </conditionalFormatting>
  <conditionalFormatting sqref="AU117:AU121">
    <cfRule type="duplicateValues" dxfId="162" priority="616"/>
  </conditionalFormatting>
  <conditionalFormatting sqref="AU119">
    <cfRule type="duplicateValues" dxfId="161" priority="2095"/>
    <cfRule type="duplicateValues" dxfId="160" priority="1216"/>
  </conditionalFormatting>
  <conditionalFormatting sqref="AU121">
    <cfRule type="duplicateValues" dxfId="159" priority="65"/>
    <cfRule type="duplicateValues" dxfId="158" priority="66"/>
  </conditionalFormatting>
  <conditionalFormatting sqref="AU122 AU124">
    <cfRule type="duplicateValues" dxfId="157" priority="652"/>
  </conditionalFormatting>
  <conditionalFormatting sqref="AU123">
    <cfRule type="duplicateValues" dxfId="156" priority="37"/>
  </conditionalFormatting>
  <conditionalFormatting sqref="AU125">
    <cfRule type="duplicateValues" dxfId="155" priority="430"/>
  </conditionalFormatting>
  <conditionalFormatting sqref="AU126">
    <cfRule type="duplicateValues" dxfId="154" priority="82"/>
  </conditionalFormatting>
  <conditionalFormatting sqref="AU127">
    <cfRule type="duplicateValues" dxfId="153" priority="83"/>
  </conditionalFormatting>
  <conditionalFormatting sqref="AU128">
    <cfRule type="duplicateValues" dxfId="152" priority="427"/>
  </conditionalFormatting>
  <conditionalFormatting sqref="AU129 AU131">
    <cfRule type="duplicateValues" dxfId="151" priority="343"/>
  </conditionalFormatting>
  <conditionalFormatting sqref="AU130">
    <cfRule type="duplicateValues" dxfId="150" priority="50"/>
  </conditionalFormatting>
  <conditionalFormatting sqref="AU142 AU134 AU103 AU100">
    <cfRule type="duplicateValues" dxfId="149" priority="5"/>
  </conditionalFormatting>
  <conditionalFormatting sqref="AU145">
    <cfRule type="duplicateValues" dxfId="148" priority="35"/>
    <cfRule type="duplicateValues" dxfId="147" priority="34"/>
  </conditionalFormatting>
  <conditionalFormatting sqref="AU165:AU166">
    <cfRule type="duplicateValues" dxfId="146" priority="49"/>
    <cfRule type="duplicateValues" dxfId="145" priority="48"/>
  </conditionalFormatting>
  <conditionalFormatting sqref="AU168">
    <cfRule type="duplicateValues" dxfId="144" priority="39"/>
    <cfRule type="duplicateValues" dxfId="143" priority="38"/>
  </conditionalFormatting>
  <conditionalFormatting sqref="AU171">
    <cfRule type="duplicateValues" dxfId="142" priority="29"/>
    <cfRule type="duplicateValues" dxfId="141" priority="28"/>
  </conditionalFormatting>
  <conditionalFormatting sqref="AU184">
    <cfRule type="duplicateValues" dxfId="140" priority="41"/>
    <cfRule type="duplicateValues" dxfId="139" priority="40"/>
  </conditionalFormatting>
  <conditionalFormatting sqref="AU244 AU183 AU165 AU151">
    <cfRule type="duplicateValues" dxfId="138" priority="4"/>
  </conditionalFormatting>
  <conditionalFormatting sqref="AU326">
    <cfRule type="duplicateValues" dxfId="137" priority="42"/>
    <cfRule type="duplicateValues" dxfId="136" priority="43"/>
  </conditionalFormatting>
  <conditionalFormatting sqref="AU405">
    <cfRule type="duplicateValues" dxfId="135" priority="27"/>
    <cfRule type="duplicateValues" dxfId="134" priority="26"/>
  </conditionalFormatting>
  <conditionalFormatting sqref="AU6:AU574">
    <cfRule type="duplicateValues" dxfId="133" priority="3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29" t="s">
        <v>4393</v>
      </c>
    </row>
    <row r="2" spans="1:5" ht="20.25" customHeight="1" x14ac:dyDescent="0.25">
      <c r="E2" s="129" t="s">
        <v>4353</v>
      </c>
    </row>
    <row r="3" spans="1:5" ht="20.25" customHeight="1" x14ac:dyDescent="0.25">
      <c r="E3" s="129" t="s">
        <v>7831</v>
      </c>
    </row>
    <row r="5" spans="1:5" ht="20.25" customHeight="1" x14ac:dyDescent="0.25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7831</v>
      </c>
    </row>
    <row r="6" spans="1:5" ht="20.25" customHeight="1" x14ac:dyDescent="0.25">
      <c r="A6" s="311" t="s">
        <v>4396</v>
      </c>
      <c r="B6" s="311" t="s">
        <v>4413</v>
      </c>
      <c r="C6" s="311" t="s">
        <v>6185</v>
      </c>
      <c r="D6" s="322" t="s">
        <v>6190</v>
      </c>
      <c r="E6" s="312">
        <v>46267</v>
      </c>
    </row>
    <row r="7" spans="1:5" ht="20.25" customHeight="1" x14ac:dyDescent="0.25">
      <c r="A7" s="311" t="s">
        <v>4396</v>
      </c>
      <c r="B7" s="311" t="s">
        <v>4426</v>
      </c>
      <c r="C7" s="311" t="s">
        <v>6291</v>
      </c>
      <c r="D7" s="322" t="s">
        <v>6292</v>
      </c>
      <c r="E7" s="312">
        <v>46261</v>
      </c>
    </row>
    <row r="8" spans="1:5" ht="20.25" customHeight="1" x14ac:dyDescent="0.25">
      <c r="A8" s="147"/>
      <c r="B8" s="147"/>
      <c r="C8" s="147"/>
      <c r="D8" s="148"/>
      <c r="E8" s="150"/>
    </row>
    <row r="9" spans="1:5" ht="20.25" customHeight="1" x14ac:dyDescent="0.25">
      <c r="A9" s="147"/>
      <c r="B9" s="147"/>
      <c r="C9" s="147"/>
      <c r="D9" s="148"/>
      <c r="E9" s="150"/>
    </row>
    <row r="10" spans="1:5" ht="20.25" customHeight="1" x14ac:dyDescent="0.25">
      <c r="A10" s="147"/>
      <c r="B10" s="147"/>
      <c r="C10" s="147"/>
      <c r="D10" s="148"/>
      <c r="E10" s="150"/>
    </row>
    <row r="11" spans="1:5" ht="20.25" customHeight="1" x14ac:dyDescent="0.25">
      <c r="A11" s="147"/>
      <c r="B11" s="147"/>
      <c r="C11" s="147"/>
      <c r="D11" s="148"/>
      <c r="E11" s="150"/>
    </row>
    <row r="12" spans="1:5" ht="20.25" customHeight="1" x14ac:dyDescent="0.25">
      <c r="A12" s="147"/>
      <c r="B12" s="147"/>
      <c r="C12" s="147"/>
      <c r="D12" s="148"/>
      <c r="E12" s="150"/>
    </row>
    <row r="13" spans="1:5" ht="20.25" customHeight="1" x14ac:dyDescent="0.25">
      <c r="A13" s="147"/>
      <c r="B13" s="147"/>
      <c r="C13" s="147"/>
      <c r="D13" s="151"/>
      <c r="E13" s="150"/>
    </row>
    <row r="14" spans="1:5" ht="20.25" customHeight="1" x14ac:dyDescent="0.25">
      <c r="A14" s="147"/>
      <c r="B14" s="147"/>
      <c r="C14" s="147"/>
      <c r="D14" s="148"/>
      <c r="E14" s="150"/>
    </row>
    <row r="15" spans="1:5" ht="20.25" customHeight="1" x14ac:dyDescent="0.25">
      <c r="A15" s="147"/>
      <c r="B15" s="147"/>
      <c r="C15" s="147"/>
      <c r="D15" s="148"/>
      <c r="E15" s="150"/>
    </row>
    <row r="16" spans="1:5" ht="20.25" customHeight="1" x14ac:dyDescent="0.25">
      <c r="A16" s="147"/>
      <c r="B16" s="147"/>
      <c r="C16" s="147"/>
      <c r="D16" s="151"/>
      <c r="E16" s="150"/>
    </row>
    <row r="17" spans="1:5" ht="20.25" customHeight="1" x14ac:dyDescent="0.25">
      <c r="A17" s="147"/>
      <c r="B17" s="147"/>
      <c r="C17" s="147"/>
      <c r="D17" s="151"/>
      <c r="E17" s="150"/>
    </row>
    <row r="18" spans="1:5" ht="20.25" customHeight="1" x14ac:dyDescent="0.25">
      <c r="A18" s="147"/>
      <c r="B18" s="147"/>
      <c r="C18" s="147"/>
      <c r="D18" s="148"/>
      <c r="E18" s="150"/>
    </row>
    <row r="19" spans="1:5" ht="20.25" customHeight="1" x14ac:dyDescent="0.25">
      <c r="A19" s="147"/>
      <c r="B19" s="147"/>
      <c r="C19" s="147"/>
      <c r="D19" s="148"/>
      <c r="E19" s="150"/>
    </row>
    <row r="20" spans="1:5" ht="20.25" customHeight="1" x14ac:dyDescent="0.25">
      <c r="A20" s="147"/>
      <c r="B20" s="147"/>
      <c r="C20" s="147"/>
      <c r="D20" s="151"/>
      <c r="E20" s="150"/>
    </row>
    <row r="21" spans="1:5" ht="20.25" customHeight="1" x14ac:dyDescent="0.25">
      <c r="A21" s="147"/>
      <c r="B21" s="147"/>
      <c r="C21" s="147"/>
      <c r="D21" s="148"/>
      <c r="E21" s="150"/>
    </row>
    <row r="22" spans="1:5" ht="20.25" customHeight="1" x14ac:dyDescent="0.25">
      <c r="A22" s="147"/>
      <c r="B22" s="147"/>
      <c r="C22" s="147"/>
      <c r="D22" s="148"/>
      <c r="E22" s="150"/>
    </row>
    <row r="23" spans="1:5" ht="20.25" customHeight="1" x14ac:dyDescent="0.25">
      <c r="A23" s="147"/>
      <c r="B23" s="147"/>
      <c r="C23" s="147"/>
      <c r="D23" s="148"/>
      <c r="E23" s="150"/>
    </row>
    <row r="24" spans="1:5" ht="20.25" customHeight="1" x14ac:dyDescent="0.25">
      <c r="A24" s="147"/>
      <c r="B24" s="147"/>
      <c r="C24" s="147"/>
      <c r="D24" s="152"/>
      <c r="E24" s="150"/>
    </row>
    <row r="25" spans="1:5" ht="20.25" customHeight="1" x14ac:dyDescent="0.25">
      <c r="A25" s="147"/>
      <c r="B25" s="147"/>
      <c r="C25" s="147"/>
      <c r="D25" s="148"/>
      <c r="E25" s="150"/>
    </row>
    <row r="26" spans="1:5" ht="20.25" customHeight="1" x14ac:dyDescent="0.25">
      <c r="A26" s="147"/>
      <c r="B26" s="147"/>
      <c r="C26" s="147"/>
      <c r="D26" s="148"/>
      <c r="E26" s="150"/>
    </row>
    <row r="27" spans="1:5" ht="20.25" customHeight="1" x14ac:dyDescent="0.25">
      <c r="A27" s="147"/>
      <c r="B27" s="147"/>
      <c r="C27" s="147"/>
      <c r="D27" s="152"/>
      <c r="E27" s="150"/>
    </row>
    <row r="28" spans="1:5" ht="20.25" customHeight="1" x14ac:dyDescent="0.25">
      <c r="A28" s="147"/>
      <c r="B28" s="147"/>
      <c r="C28" s="147"/>
      <c r="D28" s="152"/>
      <c r="E28" s="150"/>
    </row>
    <row r="29" spans="1:5" ht="20.25" customHeight="1" x14ac:dyDescent="0.25">
      <c r="A29" s="147"/>
      <c r="B29" s="147"/>
      <c r="C29" s="147"/>
      <c r="D29" s="151"/>
      <c r="E29" s="150"/>
    </row>
    <row r="30" spans="1:5" ht="20.25" customHeight="1" x14ac:dyDescent="0.25">
      <c r="A30" s="147"/>
      <c r="B30" s="147"/>
      <c r="C30" s="147"/>
      <c r="D30" s="148"/>
      <c r="E30" s="150"/>
    </row>
    <row r="31" spans="1:5" ht="20.25" customHeight="1" x14ac:dyDescent="0.25">
      <c r="A31" s="147"/>
      <c r="B31" s="147"/>
      <c r="C31" s="147"/>
      <c r="D31" s="148"/>
      <c r="E31" s="150"/>
    </row>
    <row r="32" spans="1:5" ht="20.25" customHeight="1" x14ac:dyDescent="0.25">
      <c r="A32" s="147"/>
      <c r="B32" s="147"/>
      <c r="C32" s="147"/>
      <c r="D32" s="148"/>
      <c r="E32" s="150"/>
    </row>
    <row r="33" spans="1:5" ht="20.25" customHeight="1" x14ac:dyDescent="0.25">
      <c r="A33" s="147"/>
      <c r="B33" s="147"/>
      <c r="C33" s="147"/>
      <c r="D33" s="148"/>
      <c r="E33" s="150"/>
    </row>
    <row r="34" spans="1:5" ht="20.25" customHeight="1" x14ac:dyDescent="0.25">
      <c r="A34" s="147"/>
      <c r="B34" s="147"/>
      <c r="C34" s="147"/>
      <c r="D34" s="148"/>
      <c r="E34" s="150"/>
    </row>
    <row r="35" spans="1:5" ht="20.25" customHeight="1" x14ac:dyDescent="0.25">
      <c r="A35" s="147"/>
      <c r="B35" s="147"/>
      <c r="C35" s="147"/>
      <c r="D35" s="148"/>
      <c r="E35" s="150"/>
    </row>
    <row r="36" spans="1:5" ht="20.25" customHeight="1" x14ac:dyDescent="0.25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 x14ac:dyDescent="0.25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 x14ac:dyDescent="0.25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 x14ac:dyDescent="0.25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 x14ac:dyDescent="0.25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 x14ac:dyDescent="0.25">
      <c r="A41" s="147" t="s">
        <v>4396</v>
      </c>
      <c r="B41" s="147" t="s">
        <v>4426</v>
      </c>
      <c r="C41" s="147" t="s">
        <v>5254</v>
      </c>
      <c r="D41" s="148" t="s">
        <v>5259</v>
      </c>
      <c r="E41" s="150">
        <v>46237</v>
      </c>
    </row>
    <row r="42" spans="1:5" ht="20.25" customHeight="1" x14ac:dyDescent="0.25">
      <c r="A42" s="147" t="s">
        <v>4396</v>
      </c>
      <c r="B42" s="147" t="s">
        <v>4413</v>
      </c>
      <c r="C42" s="147" t="s">
        <v>5813</v>
      </c>
      <c r="D42" s="148" t="s">
        <v>5820</v>
      </c>
      <c r="E42" s="150">
        <v>46237</v>
      </c>
    </row>
    <row r="43" spans="1:5" ht="20.25" customHeight="1" x14ac:dyDescent="0.25">
      <c r="A43" s="147" t="s">
        <v>4396</v>
      </c>
      <c r="B43" s="147" t="s">
        <v>4413</v>
      </c>
      <c r="C43" s="147" t="s">
        <v>6171</v>
      </c>
      <c r="D43" s="148" t="s">
        <v>6175</v>
      </c>
      <c r="E43" s="150">
        <v>46237</v>
      </c>
    </row>
    <row r="44" spans="1:5" ht="20.25" customHeight="1" x14ac:dyDescent="0.25">
      <c r="A44" s="118"/>
      <c r="B44" s="118"/>
      <c r="C44" s="118"/>
      <c r="D44" s="118"/>
      <c r="E44" s="149"/>
    </row>
    <row r="45" spans="1:5" ht="20.25" customHeight="1" x14ac:dyDescent="0.25">
      <c r="A45" s="111"/>
      <c r="B45" s="111"/>
      <c r="C45" s="111"/>
      <c r="D45" s="111"/>
      <c r="E45" s="100"/>
    </row>
    <row r="46" spans="1:5" ht="20.25" customHeight="1" x14ac:dyDescent="0.25">
      <c r="A46" s="111"/>
      <c r="B46" s="111"/>
      <c r="C46" s="111"/>
      <c r="D46" s="111"/>
      <c r="E46" s="100"/>
    </row>
    <row r="47" spans="1:5" ht="20.25" customHeight="1" x14ac:dyDescent="0.25">
      <c r="A47" s="111"/>
      <c r="B47" s="111"/>
      <c r="C47" s="111"/>
      <c r="D47" s="111"/>
      <c r="E47" s="110"/>
    </row>
    <row r="48" spans="1:5" ht="20.25" customHeight="1" x14ac:dyDescent="0.25">
      <c r="A48" s="111"/>
      <c r="B48" s="111"/>
      <c r="C48" s="111"/>
      <c r="D48" s="111"/>
      <c r="E48" s="103"/>
    </row>
    <row r="49" spans="1:5" ht="20.25" customHeight="1" x14ac:dyDescent="0.25">
      <c r="A49" s="111"/>
      <c r="B49" s="111"/>
      <c r="C49" s="111"/>
      <c r="D49" s="111"/>
      <c r="E49" s="102"/>
    </row>
    <row r="50" spans="1:5" ht="20.25" customHeight="1" x14ac:dyDescent="0.25">
      <c r="A50" s="111"/>
      <c r="B50" s="111"/>
      <c r="C50" s="111"/>
      <c r="D50" s="111"/>
      <c r="E50" s="98"/>
    </row>
    <row r="51" spans="1:5" ht="20.25" customHeight="1" x14ac:dyDescent="0.25">
      <c r="A51" s="111"/>
      <c r="B51" s="111"/>
      <c r="C51" s="111"/>
      <c r="D51" s="111"/>
      <c r="E51" s="102"/>
    </row>
    <row r="52" spans="1:5" ht="20.25" customHeight="1" x14ac:dyDescent="0.25">
      <c r="A52" s="111"/>
      <c r="B52" s="111"/>
      <c r="C52" s="111"/>
      <c r="D52" s="111"/>
      <c r="E52" s="102"/>
    </row>
    <row r="53" spans="1:5" ht="20.25" customHeight="1" x14ac:dyDescent="0.25">
      <c r="A53" s="111"/>
      <c r="B53" s="111"/>
      <c r="C53" s="111"/>
      <c r="D53" s="111"/>
      <c r="E53" s="98"/>
    </row>
    <row r="54" spans="1:5" ht="20.25" customHeight="1" x14ac:dyDescent="0.25">
      <c r="A54" s="111"/>
      <c r="B54" s="111"/>
      <c r="C54" s="111"/>
      <c r="D54" s="111"/>
      <c r="E54" s="98"/>
    </row>
    <row r="55" spans="1:5" ht="20.25" customHeight="1" x14ac:dyDescent="0.25">
      <c r="A55" s="111"/>
      <c r="B55" s="111"/>
      <c r="C55" s="111"/>
      <c r="D55" s="111"/>
      <c r="E55" s="104"/>
    </row>
    <row r="56" spans="1:5" ht="20.25" customHeight="1" x14ac:dyDescent="0.25">
      <c r="A56" s="111"/>
      <c r="B56" s="111"/>
      <c r="C56" s="111"/>
      <c r="D56" s="111"/>
      <c r="E56" s="100"/>
    </row>
    <row r="57" spans="1:5" ht="20.25" customHeight="1" x14ac:dyDescent="0.25">
      <c r="A57" s="111"/>
      <c r="B57" s="111"/>
      <c r="C57" s="111"/>
      <c r="D57" s="111"/>
      <c r="E57" s="110"/>
    </row>
    <row r="58" spans="1:5" ht="20.25" customHeight="1" x14ac:dyDescent="0.25">
      <c r="A58" s="111"/>
      <c r="B58" s="111"/>
      <c r="C58" s="111"/>
      <c r="D58" s="111"/>
      <c r="E58" s="100"/>
    </row>
    <row r="59" spans="1:5" ht="20.25" customHeight="1" x14ac:dyDescent="0.25">
      <c r="A59" s="111"/>
      <c r="B59" s="111"/>
      <c r="C59" s="111"/>
      <c r="D59" s="111"/>
      <c r="E59" s="100"/>
    </row>
    <row r="60" spans="1:5" ht="20.25" customHeight="1" x14ac:dyDescent="0.25">
      <c r="A60" s="111" t="s">
        <v>7832</v>
      </c>
      <c r="B60" s="111"/>
      <c r="C60" s="111" t="s">
        <v>7833</v>
      </c>
      <c r="D60" s="111" t="s">
        <v>7834</v>
      </c>
      <c r="E60" s="98"/>
    </row>
    <row r="61" spans="1:5" ht="20.25" customHeight="1" x14ac:dyDescent="0.25">
      <c r="A61" s="111" t="s">
        <v>7832</v>
      </c>
      <c r="B61" s="111"/>
      <c r="C61" s="111" t="s">
        <v>7835</v>
      </c>
      <c r="D61" s="111" t="s">
        <v>7836</v>
      </c>
      <c r="E61" s="98" t="s">
        <v>4436</v>
      </c>
    </row>
    <row r="62" spans="1:5" ht="20.25" customHeight="1" x14ac:dyDescent="0.25">
      <c r="A62" s="111" t="s">
        <v>7832</v>
      </c>
      <c r="B62" s="111"/>
      <c r="C62" s="111" t="s">
        <v>7837</v>
      </c>
      <c r="D62" s="111" t="s">
        <v>7838</v>
      </c>
      <c r="E62" s="98"/>
    </row>
    <row r="63" spans="1:5" ht="20.25" customHeight="1" x14ac:dyDescent="0.25">
      <c r="A63" s="111" t="s">
        <v>7832</v>
      </c>
      <c r="B63" s="111"/>
      <c r="C63" s="111" t="s">
        <v>7839</v>
      </c>
      <c r="D63" s="111" t="s">
        <v>7840</v>
      </c>
      <c r="E63" s="98"/>
    </row>
    <row r="64" spans="1:5" ht="20.25" customHeight="1" x14ac:dyDescent="0.25">
      <c r="A64" s="111" t="s">
        <v>7832</v>
      </c>
      <c r="B64" s="111"/>
      <c r="C64" s="111" t="s">
        <v>7841</v>
      </c>
      <c r="D64" s="111" t="s">
        <v>7842</v>
      </c>
      <c r="E64" s="100">
        <v>44877</v>
      </c>
    </row>
    <row r="65" spans="1:5" ht="20.25" customHeight="1" x14ac:dyDescent="0.25">
      <c r="A65" s="111" t="s">
        <v>7832</v>
      </c>
      <c r="B65" s="111"/>
      <c r="C65" s="111" t="s">
        <v>7843</v>
      </c>
      <c r="D65" s="111" t="s">
        <v>7844</v>
      </c>
      <c r="E65" s="100">
        <v>44876</v>
      </c>
    </row>
    <row r="66" spans="1:5" ht="20.25" customHeight="1" x14ac:dyDescent="0.25">
      <c r="A66" s="111" t="s">
        <v>7832</v>
      </c>
      <c r="B66" s="111"/>
      <c r="C66" s="111" t="s">
        <v>7845</v>
      </c>
      <c r="D66" s="111" t="s">
        <v>7846</v>
      </c>
      <c r="E66" s="100">
        <v>44910</v>
      </c>
    </row>
    <row r="67" spans="1:5" ht="20.25" customHeight="1" x14ac:dyDescent="0.25">
      <c r="A67" s="111" t="s">
        <v>7832</v>
      </c>
      <c r="B67" s="111"/>
      <c r="C67" s="111" t="s">
        <v>7847</v>
      </c>
      <c r="D67" s="111" t="s">
        <v>7848</v>
      </c>
      <c r="E67" s="103">
        <v>45148</v>
      </c>
    </row>
    <row r="68" spans="1:5" ht="20.25" customHeight="1" x14ac:dyDescent="0.25">
      <c r="A68" s="111" t="s">
        <v>7832</v>
      </c>
      <c r="B68" s="111"/>
      <c r="C68" s="111" t="s">
        <v>7849</v>
      </c>
      <c r="D68" s="111" t="s">
        <v>7850</v>
      </c>
      <c r="E68" s="103">
        <v>45065</v>
      </c>
    </row>
    <row r="69" spans="1:5" ht="20.25" customHeight="1" x14ac:dyDescent="0.25">
      <c r="A69" s="111" t="s">
        <v>7832</v>
      </c>
      <c r="B69" s="111"/>
      <c r="C69" s="111" t="s">
        <v>7851</v>
      </c>
      <c r="D69" s="111" t="s">
        <v>7852</v>
      </c>
      <c r="E69" s="103">
        <v>45049</v>
      </c>
    </row>
    <row r="70" spans="1:5" ht="20.25" customHeight="1" x14ac:dyDescent="0.25">
      <c r="A70" s="111" t="s">
        <v>7832</v>
      </c>
      <c r="B70" s="111"/>
      <c r="C70" s="111" t="s">
        <v>7853</v>
      </c>
      <c r="D70" s="111" t="s">
        <v>7854</v>
      </c>
      <c r="E70" s="103">
        <v>45065</v>
      </c>
    </row>
    <row r="71" spans="1:5" ht="20.25" customHeight="1" x14ac:dyDescent="0.25">
      <c r="A71" s="111" t="s">
        <v>7832</v>
      </c>
      <c r="B71" s="111"/>
      <c r="C71" s="111" t="s">
        <v>7855</v>
      </c>
      <c r="D71" s="111" t="s">
        <v>7856</v>
      </c>
      <c r="E71" s="100">
        <v>44922</v>
      </c>
    </row>
    <row r="72" spans="1:5" ht="20.25" customHeight="1" x14ac:dyDescent="0.25">
      <c r="A72" s="111" t="s">
        <v>7832</v>
      </c>
      <c r="B72" s="111"/>
      <c r="C72" s="111" t="s">
        <v>7857</v>
      </c>
      <c r="D72" s="111" t="s">
        <v>7858</v>
      </c>
      <c r="E72" s="100">
        <v>44961</v>
      </c>
    </row>
    <row r="73" spans="1:5" ht="20.25" customHeight="1" x14ac:dyDescent="0.25">
      <c r="A73" s="111" t="s">
        <v>7832</v>
      </c>
      <c r="B73" s="111"/>
      <c r="C73" s="111" t="s">
        <v>7859</v>
      </c>
      <c r="D73" s="111" t="s">
        <v>7860</v>
      </c>
      <c r="E73" s="98" t="s">
        <v>4436</v>
      </c>
    </row>
    <row r="74" spans="1:5" ht="20.25" customHeight="1" x14ac:dyDescent="0.25">
      <c r="A74" s="111" t="s">
        <v>7832</v>
      </c>
      <c r="B74" s="111"/>
      <c r="C74" s="111" t="s">
        <v>7861</v>
      </c>
      <c r="D74" s="111" t="s">
        <v>7862</v>
      </c>
      <c r="E74" s="103">
        <v>45049</v>
      </c>
    </row>
    <row r="75" spans="1:5" ht="20.25" customHeight="1" x14ac:dyDescent="0.25">
      <c r="A75" s="111" t="s">
        <v>7832</v>
      </c>
      <c r="B75" s="111"/>
      <c r="C75" s="112" t="s">
        <v>7863</v>
      </c>
      <c r="D75" s="113" t="s">
        <v>7864</v>
      </c>
      <c r="E75" s="98" t="s">
        <v>4436</v>
      </c>
    </row>
    <row r="76" spans="1:5" ht="20.25" customHeight="1" x14ac:dyDescent="0.25">
      <c r="A76" s="111" t="s">
        <v>7832</v>
      </c>
      <c r="B76" s="111"/>
      <c r="C76" s="112" t="s">
        <v>7865</v>
      </c>
      <c r="D76" s="114" t="s">
        <v>7866</v>
      </c>
      <c r="E76" s="98" t="s">
        <v>4436</v>
      </c>
    </row>
    <row r="77" spans="1:5" ht="20.25" customHeight="1" x14ac:dyDescent="0.25">
      <c r="C77" s="115"/>
      <c r="D77" s="116"/>
      <c r="E77" s="98" t="s">
        <v>4436</v>
      </c>
    </row>
    <row r="78" spans="1:5" ht="20.25" customHeight="1" x14ac:dyDescent="0.25">
      <c r="C78" s="91"/>
      <c r="D78" s="117"/>
      <c r="E78" s="100">
        <v>44910</v>
      </c>
    </row>
    <row r="79" spans="1:5" ht="20.25" customHeight="1" x14ac:dyDescent="0.25">
      <c r="C79" s="91"/>
      <c r="D79" s="117"/>
      <c r="E79" s="100">
        <v>44840</v>
      </c>
    </row>
    <row r="80" spans="1:5" ht="20.25" customHeight="1" x14ac:dyDescent="0.25">
      <c r="C80" s="91"/>
      <c r="D80" s="117"/>
      <c r="E80" s="98" t="s">
        <v>4436</v>
      </c>
    </row>
    <row r="81" spans="3:5" ht="20.25" customHeight="1" x14ac:dyDescent="0.25">
      <c r="C81" s="91"/>
      <c r="D81" s="117"/>
      <c r="E81" s="98" t="s">
        <v>4436</v>
      </c>
    </row>
    <row r="82" spans="3:5" ht="20.25" customHeight="1" x14ac:dyDescent="0.25">
      <c r="C82" s="91"/>
      <c r="D82" s="117"/>
      <c r="E82" s="100">
        <v>44877</v>
      </c>
    </row>
    <row r="83" spans="3:5" ht="20.25" customHeight="1" x14ac:dyDescent="0.25">
      <c r="C83" s="91"/>
      <c r="D83" s="117"/>
      <c r="E83" s="98" t="s">
        <v>4436</v>
      </c>
    </row>
    <row r="84" spans="3:5" ht="20.25" customHeight="1" x14ac:dyDescent="0.25">
      <c r="C84" s="91"/>
      <c r="E84" s="98" t="s">
        <v>4436</v>
      </c>
    </row>
    <row r="85" spans="3:5" ht="20.25" customHeight="1" x14ac:dyDescent="0.25">
      <c r="C85" s="91"/>
      <c r="E85" s="100">
        <v>44840</v>
      </c>
    </row>
    <row r="86" spans="3:5" ht="20.25" customHeight="1" x14ac:dyDescent="0.25">
      <c r="C86" s="91"/>
      <c r="E86" s="98" t="s">
        <v>4436</v>
      </c>
    </row>
    <row r="87" spans="3:5" ht="20.25" customHeight="1" x14ac:dyDescent="0.25">
      <c r="C87" s="91"/>
      <c r="E87" s="98" t="s">
        <v>4436</v>
      </c>
    </row>
    <row r="88" spans="3:5" ht="20.25" customHeight="1" x14ac:dyDescent="0.25">
      <c r="C88" s="91"/>
      <c r="E88" s="98" t="s">
        <v>4436</v>
      </c>
    </row>
    <row r="89" spans="3:5" ht="20.25" customHeight="1" x14ac:dyDescent="0.25">
      <c r="C89" s="91"/>
      <c r="E89" s="98" t="s">
        <v>4436</v>
      </c>
    </row>
    <row r="90" spans="3:5" ht="20.25" customHeight="1" x14ac:dyDescent="0.25">
      <c r="C90" s="96" t="s">
        <v>7867</v>
      </c>
      <c r="E90" s="98" t="s">
        <v>4436</v>
      </c>
    </row>
    <row r="91" spans="3:5" ht="20.25" customHeight="1" x14ac:dyDescent="0.25">
      <c r="C91" s="96" t="s">
        <v>7868</v>
      </c>
      <c r="E91" s="98" t="s">
        <v>4436</v>
      </c>
    </row>
    <row r="92" spans="3:5" ht="20.25" customHeight="1" x14ac:dyDescent="0.25">
      <c r="C92" s="91" t="s">
        <v>7869</v>
      </c>
      <c r="E92" s="98" t="s">
        <v>4436</v>
      </c>
    </row>
    <row r="93" spans="3:5" ht="20.25" customHeight="1" x14ac:dyDescent="0.25">
      <c r="C93" s="91" t="s">
        <v>7870</v>
      </c>
      <c r="E93" s="98" t="s">
        <v>4436</v>
      </c>
    </row>
    <row r="94" spans="3:5" ht="20.25" customHeight="1" x14ac:dyDescent="0.25">
      <c r="C94" s="91" t="s">
        <v>7871</v>
      </c>
      <c r="E94" s="98" t="s">
        <v>4436</v>
      </c>
    </row>
    <row r="95" spans="3:5" ht="20.25" customHeight="1" x14ac:dyDescent="0.25">
      <c r="C95" s="91" t="s">
        <v>7872</v>
      </c>
      <c r="E95" s="98"/>
    </row>
    <row r="96" spans="3:5" ht="20.25" customHeight="1" x14ac:dyDescent="0.25">
      <c r="C96" s="91" t="s">
        <v>7873</v>
      </c>
      <c r="E96" s="98"/>
    </row>
    <row r="97" spans="3:5" ht="20.25" customHeight="1" x14ac:dyDescent="0.25">
      <c r="C97" s="91" t="s">
        <v>7874</v>
      </c>
      <c r="E97" s="110">
        <v>45013</v>
      </c>
    </row>
    <row r="98" spans="3:5" ht="20.25" customHeight="1" x14ac:dyDescent="0.25">
      <c r="C98" s="91" t="s">
        <v>7875</v>
      </c>
      <c r="E98" s="110">
        <v>45013</v>
      </c>
    </row>
    <row r="99" spans="3:5" ht="20.25" customHeight="1" x14ac:dyDescent="0.25">
      <c r="C99" s="91" t="s">
        <v>7876</v>
      </c>
      <c r="E99" s="98" t="s">
        <v>4436</v>
      </c>
    </row>
    <row r="100" spans="3:5" ht="20.25" customHeight="1" x14ac:dyDescent="0.25">
      <c r="C100" s="96" t="s">
        <v>7877</v>
      </c>
      <c r="E100" s="98" t="s">
        <v>4436</v>
      </c>
    </row>
    <row r="101" spans="3:5" ht="20.25" customHeight="1" x14ac:dyDescent="0.25">
      <c r="C101" s="91" t="s">
        <v>7878</v>
      </c>
      <c r="E101" s="100">
        <v>44853</v>
      </c>
    </row>
    <row r="102" spans="3:5" ht="20.25" customHeight="1" x14ac:dyDescent="0.25">
      <c r="C102" s="91" t="s">
        <v>7879</v>
      </c>
      <c r="E102" s="100">
        <v>44840</v>
      </c>
    </row>
    <row r="103" spans="3:5" ht="20.25" customHeight="1" x14ac:dyDescent="0.25">
      <c r="C103" s="91" t="s">
        <v>7880</v>
      </c>
      <c r="E103" s="100">
        <v>44840</v>
      </c>
    </row>
    <row r="104" spans="3:5" ht="20.25" customHeight="1" x14ac:dyDescent="0.25">
      <c r="C104" s="91" t="s">
        <v>7881</v>
      </c>
      <c r="E104" s="101"/>
    </row>
    <row r="105" spans="3:5" ht="20.25" customHeight="1" x14ac:dyDescent="0.25">
      <c r="C105" s="96" t="s">
        <v>7882</v>
      </c>
      <c r="E105" s="100">
        <v>44910</v>
      </c>
    </row>
    <row r="106" spans="3:5" ht="20.25" customHeight="1" x14ac:dyDescent="0.25">
      <c r="C106" s="91" t="s">
        <v>7883</v>
      </c>
      <c r="E106" s="100">
        <v>44961</v>
      </c>
    </row>
    <row r="107" spans="3:5" ht="20.25" customHeight="1" x14ac:dyDescent="0.25">
      <c r="C107" s="91" t="s">
        <v>7884</v>
      </c>
      <c r="E107" s="98" t="s">
        <v>4436</v>
      </c>
    </row>
    <row r="108" spans="3:5" ht="20.25" customHeight="1" x14ac:dyDescent="0.25">
      <c r="C108" s="91" t="s">
        <v>7885</v>
      </c>
      <c r="E108" s="98" t="s">
        <v>4436</v>
      </c>
    </row>
    <row r="109" spans="3:5" ht="20.25" customHeight="1" x14ac:dyDescent="0.25">
      <c r="C109" s="96" t="s">
        <v>7886</v>
      </c>
      <c r="E109" s="100">
        <v>44862</v>
      </c>
    </row>
    <row r="110" spans="3:5" ht="20.25" customHeight="1" x14ac:dyDescent="0.25">
      <c r="C110" s="91" t="s">
        <v>7887</v>
      </c>
      <c r="E110" s="100">
        <v>44877</v>
      </c>
    </row>
    <row r="111" spans="3:5" ht="20.25" customHeight="1" x14ac:dyDescent="0.25">
      <c r="C111" s="91" t="s">
        <v>7888</v>
      </c>
      <c r="E111" s="100">
        <v>44840</v>
      </c>
    </row>
    <row r="112" spans="3:5" ht="20.25" customHeight="1" x14ac:dyDescent="0.25">
      <c r="C112" s="96" t="s">
        <v>7889</v>
      </c>
      <c r="E112" s="98" t="s">
        <v>4436</v>
      </c>
    </row>
    <row r="113" spans="3:5" ht="20.25" customHeight="1" x14ac:dyDescent="0.25">
      <c r="C113" s="91" t="s">
        <v>7890</v>
      </c>
      <c r="E113" s="100">
        <v>44840</v>
      </c>
    </row>
    <row r="114" spans="3:5" ht="20.25" customHeight="1" x14ac:dyDescent="0.25">
      <c r="C114" s="91" t="s">
        <v>7891</v>
      </c>
      <c r="E114" s="98" t="s">
        <v>4436</v>
      </c>
    </row>
    <row r="115" spans="3:5" ht="20.25" customHeight="1" x14ac:dyDescent="0.25">
      <c r="C115" s="91" t="s">
        <v>7892</v>
      </c>
      <c r="E115" s="98" t="s">
        <v>4436</v>
      </c>
    </row>
    <row r="116" spans="3:5" ht="20.25" customHeight="1" x14ac:dyDescent="0.25">
      <c r="C116" s="91" t="s">
        <v>7893</v>
      </c>
      <c r="E116" s="100">
        <v>44840</v>
      </c>
    </row>
    <row r="117" spans="3:5" ht="20.25" customHeight="1" x14ac:dyDescent="0.25">
      <c r="C117" s="91" t="s">
        <v>7894</v>
      </c>
      <c r="E117" s="100">
        <v>44877</v>
      </c>
    </row>
    <row r="118" spans="3:5" ht="20.25" customHeight="1" x14ac:dyDescent="0.25">
      <c r="C118" s="91" t="s">
        <v>7895</v>
      </c>
      <c r="E118" s="100">
        <v>44890</v>
      </c>
    </row>
    <row r="119" spans="3:5" ht="20.25" customHeight="1" x14ac:dyDescent="0.25">
      <c r="C119" s="91" t="s">
        <v>7896</v>
      </c>
      <c r="E119" s="100">
        <v>45013</v>
      </c>
    </row>
    <row r="120" spans="3:5" ht="20.25" customHeight="1" x14ac:dyDescent="0.25">
      <c r="C120" s="91" t="s">
        <v>7897</v>
      </c>
      <c r="E120" s="100">
        <v>45013</v>
      </c>
    </row>
    <row r="121" spans="3:5" ht="20.25" customHeight="1" x14ac:dyDescent="0.25">
      <c r="C121" s="91" t="s">
        <v>7898</v>
      </c>
      <c r="E121" s="100"/>
    </row>
    <row r="122" spans="3:5" ht="20.25" customHeight="1" x14ac:dyDescent="0.25">
      <c r="C122" s="91" t="s">
        <v>7899</v>
      </c>
      <c r="E122" s="100"/>
    </row>
    <row r="123" spans="3:5" ht="20.25" customHeight="1" x14ac:dyDescent="0.25">
      <c r="C123" s="91" t="s">
        <v>7900</v>
      </c>
      <c r="E123" s="107"/>
    </row>
    <row r="124" spans="3:5" ht="20.25" customHeight="1" x14ac:dyDescent="0.25">
      <c r="C124" s="91" t="s">
        <v>7901</v>
      </c>
      <c r="E124" s="107"/>
    </row>
    <row r="125" spans="3:5" ht="20.25" customHeight="1" x14ac:dyDescent="0.25">
      <c r="C125" s="91" t="s">
        <v>7902</v>
      </c>
      <c r="E125" s="107"/>
    </row>
    <row r="126" spans="3:5" ht="20.25" customHeight="1" x14ac:dyDescent="0.25">
      <c r="C126" s="96" t="s">
        <v>7903</v>
      </c>
      <c r="E126" s="107"/>
    </row>
    <row r="127" spans="3:5" ht="20.25" customHeight="1" x14ac:dyDescent="0.25">
      <c r="C127" s="91" t="s">
        <v>7904</v>
      </c>
      <c r="E127" s="107"/>
    </row>
    <row r="128" spans="3:5" ht="20.25" customHeight="1" x14ac:dyDescent="0.25">
      <c r="C128" s="96" t="s">
        <v>7905</v>
      </c>
      <c r="E128" s="107"/>
    </row>
    <row r="129" spans="3:5" ht="20.25" customHeight="1" x14ac:dyDescent="0.25">
      <c r="C129" s="91" t="s">
        <v>7906</v>
      </c>
      <c r="E129" s="103">
        <v>45105</v>
      </c>
    </row>
    <row r="130" spans="3:5" ht="20.25" customHeight="1" x14ac:dyDescent="0.25">
      <c r="C130" s="91" t="s">
        <v>7907</v>
      </c>
      <c r="E130" s="104"/>
    </row>
    <row r="131" spans="3:5" ht="20.25" customHeight="1" x14ac:dyDescent="0.25">
      <c r="C131" s="91" t="s">
        <v>7908</v>
      </c>
      <c r="E131" s="107"/>
    </row>
    <row r="132" spans="3:5" ht="20.25" customHeight="1" x14ac:dyDescent="0.25">
      <c r="C132" s="91" t="s">
        <v>7909</v>
      </c>
      <c r="E132" s="107"/>
    </row>
    <row r="133" spans="3:5" ht="20.25" customHeight="1" x14ac:dyDescent="0.25">
      <c r="C133" s="91" t="s">
        <v>7910</v>
      </c>
      <c r="E133" s="107"/>
    </row>
    <row r="134" spans="3:5" ht="20.25" customHeight="1" x14ac:dyDescent="0.25">
      <c r="C134" s="91" t="s">
        <v>7911</v>
      </c>
      <c r="E134" s="103">
        <v>45105</v>
      </c>
    </row>
    <row r="135" spans="3:5" ht="20.25" customHeight="1" x14ac:dyDescent="0.25">
      <c r="C135" s="91" t="s">
        <v>7912</v>
      </c>
      <c r="E135" s="107"/>
    </row>
    <row r="136" spans="3:5" ht="20.25" customHeight="1" x14ac:dyDescent="0.25">
      <c r="C136" s="91" t="s">
        <v>7913</v>
      </c>
      <c r="E136" s="107"/>
    </row>
    <row r="137" spans="3:5" ht="20.25" customHeight="1" x14ac:dyDescent="0.25">
      <c r="C137" s="91" t="s">
        <v>7914</v>
      </c>
      <c r="E137" s="103">
        <v>45049</v>
      </c>
    </row>
    <row r="138" spans="3:5" ht="20.25" customHeight="1" x14ac:dyDescent="0.25">
      <c r="C138" s="91" t="s">
        <v>7915</v>
      </c>
      <c r="E138" s="107"/>
    </row>
    <row r="139" spans="3:5" ht="20.25" customHeight="1" x14ac:dyDescent="0.25">
      <c r="C139" s="91" t="s">
        <v>7916</v>
      </c>
      <c r="E139" s="107"/>
    </row>
    <row r="140" spans="3:5" ht="20.25" customHeight="1" x14ac:dyDescent="0.25">
      <c r="C140" s="91" t="s">
        <v>7917</v>
      </c>
      <c r="E140" s="107"/>
    </row>
    <row r="141" spans="3:5" ht="20.25" customHeight="1" x14ac:dyDescent="0.25">
      <c r="C141" s="91" t="s">
        <v>7918</v>
      </c>
      <c r="E141" s="107"/>
    </row>
    <row r="142" spans="3:5" ht="20.25" customHeight="1" x14ac:dyDescent="0.25">
      <c r="C142" s="91" t="s">
        <v>7919</v>
      </c>
      <c r="E142" s="107"/>
    </row>
    <row r="143" spans="3:5" ht="20.25" customHeight="1" x14ac:dyDescent="0.25">
      <c r="C143" s="91" t="s">
        <v>7920</v>
      </c>
      <c r="E143" s="100">
        <v>45056</v>
      </c>
    </row>
    <row r="144" spans="3:5" ht="20.25" customHeight="1" x14ac:dyDescent="0.25">
      <c r="C144" s="91" t="s">
        <v>7921</v>
      </c>
      <c r="E144" s="100">
        <v>45056</v>
      </c>
    </row>
    <row r="145" spans="3:5" ht="20.25" customHeight="1" x14ac:dyDescent="0.25">
      <c r="C145" s="90" t="s">
        <v>7922</v>
      </c>
      <c r="E145" s="100">
        <v>45056</v>
      </c>
    </row>
    <row r="146" spans="3:5" ht="20.25" customHeight="1" x14ac:dyDescent="0.25">
      <c r="C146" s="91" t="s">
        <v>7923</v>
      </c>
      <c r="E146" s="107"/>
    </row>
    <row r="147" spans="3:5" ht="20.25" customHeight="1" x14ac:dyDescent="0.25">
      <c r="C147" s="91" t="s">
        <v>7924</v>
      </c>
      <c r="E147" s="107"/>
    </row>
    <row r="148" spans="3:5" ht="20.25" customHeight="1" x14ac:dyDescent="0.25">
      <c r="C148" s="91" t="s">
        <v>7925</v>
      </c>
      <c r="E148" s="107"/>
    </row>
    <row r="149" spans="3:5" ht="20.25" customHeight="1" x14ac:dyDescent="0.25">
      <c r="C149" s="91" t="s">
        <v>7926</v>
      </c>
      <c r="E149" s="107"/>
    </row>
    <row r="150" spans="3:5" ht="20.25" customHeight="1" x14ac:dyDescent="0.25">
      <c r="C150" s="91" t="s">
        <v>7927</v>
      </c>
      <c r="E150" s="107"/>
    </row>
    <row r="151" spans="3:5" ht="20.25" customHeight="1" x14ac:dyDescent="0.25">
      <c r="C151" s="91" t="s">
        <v>7928</v>
      </c>
      <c r="E151" s="107"/>
    </row>
    <row r="152" spans="3:5" ht="20.25" customHeight="1" x14ac:dyDescent="0.25">
      <c r="C152" s="96" t="s">
        <v>7929</v>
      </c>
      <c r="E152" s="107"/>
    </row>
    <row r="153" spans="3:5" ht="20.25" customHeight="1" x14ac:dyDescent="0.25">
      <c r="C153" s="91" t="s">
        <v>7930</v>
      </c>
      <c r="E153" s="107"/>
    </row>
    <row r="154" spans="3:5" ht="20.25" customHeight="1" x14ac:dyDescent="0.25">
      <c r="C154" s="91" t="s">
        <v>7931</v>
      </c>
      <c r="E154" s="107"/>
    </row>
    <row r="155" spans="3:5" ht="20.25" customHeight="1" x14ac:dyDescent="0.25">
      <c r="C155" s="91" t="s">
        <v>7932</v>
      </c>
      <c r="E155" s="104"/>
    </row>
    <row r="156" spans="3:5" ht="20.25" customHeight="1" x14ac:dyDescent="0.25">
      <c r="C156" s="91" t="s">
        <v>7933</v>
      </c>
      <c r="E156" s="100">
        <v>45056</v>
      </c>
    </row>
    <row r="157" spans="3:5" ht="20.25" customHeight="1" x14ac:dyDescent="0.25">
      <c r="C157" s="91" t="s">
        <v>7934</v>
      </c>
      <c r="E157" s="103">
        <v>45148</v>
      </c>
    </row>
    <row r="158" spans="3:5" ht="20.25" customHeight="1" x14ac:dyDescent="0.25">
      <c r="C158" s="91" t="s">
        <v>7935</v>
      </c>
      <c r="E158" s="102"/>
    </row>
    <row r="159" spans="3:5" ht="20.25" customHeight="1" x14ac:dyDescent="0.25">
      <c r="C159" s="91" t="s">
        <v>7936</v>
      </c>
      <c r="E159" s="102"/>
    </row>
    <row r="160" spans="3:5" ht="20.25" customHeight="1" x14ac:dyDescent="0.25">
      <c r="C160" s="91" t="s">
        <v>7937</v>
      </c>
      <c r="E160" s="102"/>
    </row>
    <row r="161" spans="3:5" ht="20.25" customHeight="1" x14ac:dyDescent="0.25">
      <c r="C161" s="91" t="s">
        <v>7938</v>
      </c>
      <c r="E161" s="102"/>
    </row>
    <row r="162" spans="3:5" ht="20.25" customHeight="1" x14ac:dyDescent="0.25">
      <c r="C162" s="91" t="s">
        <v>7939</v>
      </c>
      <c r="E162" s="102"/>
    </row>
    <row r="163" spans="3:5" ht="20.25" customHeight="1" x14ac:dyDescent="0.25">
      <c r="C163" s="91" t="s">
        <v>7940</v>
      </c>
      <c r="E163" s="102"/>
    </row>
    <row r="164" spans="3:5" ht="20.25" customHeight="1" x14ac:dyDescent="0.25">
      <c r="C164" s="91" t="s">
        <v>7941</v>
      </c>
      <c r="E164" s="102"/>
    </row>
    <row r="165" spans="3:5" ht="20.25" customHeight="1" x14ac:dyDescent="0.25">
      <c r="C165" s="91" t="s">
        <v>7942</v>
      </c>
      <c r="E165" s="102"/>
    </row>
    <row r="166" spans="3:5" ht="20.25" customHeight="1" x14ac:dyDescent="0.25">
      <c r="C166" s="91" t="s">
        <v>7943</v>
      </c>
      <c r="E166" s="102"/>
    </row>
    <row r="167" spans="3:5" ht="20.25" customHeight="1" x14ac:dyDescent="0.25">
      <c r="C167" s="91" t="s">
        <v>7944</v>
      </c>
      <c r="E167" s="102"/>
    </row>
    <row r="168" spans="3:5" ht="20.25" customHeight="1" x14ac:dyDescent="0.25">
      <c r="C168" s="91" t="s">
        <v>7945</v>
      </c>
      <c r="E168" s="102"/>
    </row>
    <row r="169" spans="3:5" ht="20.25" customHeight="1" x14ac:dyDescent="0.25">
      <c r="C169" s="91" t="s">
        <v>7946</v>
      </c>
      <c r="E169" s="102"/>
    </row>
    <row r="170" spans="3:5" ht="20.25" customHeight="1" x14ac:dyDescent="0.25">
      <c r="C170" s="91" t="s">
        <v>7947</v>
      </c>
      <c r="E170" s="102"/>
    </row>
    <row r="171" spans="3:5" ht="20.25" customHeight="1" x14ac:dyDescent="0.25">
      <c r="C171" s="96" t="s">
        <v>7948</v>
      </c>
      <c r="E171" s="102"/>
    </row>
    <row r="172" spans="3:5" ht="20.25" customHeight="1" x14ac:dyDescent="0.25">
      <c r="C172" s="91" t="s">
        <v>7949</v>
      </c>
      <c r="E172" s="102"/>
    </row>
    <row r="173" spans="3:5" ht="20.25" customHeight="1" x14ac:dyDescent="0.25">
      <c r="C173" s="91" t="s">
        <v>7950</v>
      </c>
      <c r="E173" s="102"/>
    </row>
    <row r="174" spans="3:5" ht="20.25" customHeight="1" x14ac:dyDescent="0.25">
      <c r="C174" s="91" t="s">
        <v>7951</v>
      </c>
      <c r="E174" s="102"/>
    </row>
    <row r="175" spans="3:5" ht="20.25" customHeight="1" x14ac:dyDescent="0.25">
      <c r="C175" s="91" t="s">
        <v>7952</v>
      </c>
      <c r="E175" s="102"/>
    </row>
    <row r="176" spans="3:5" ht="20.25" customHeight="1" x14ac:dyDescent="0.25">
      <c r="C176" s="91" t="s">
        <v>7953</v>
      </c>
      <c r="E176" s="102"/>
    </row>
    <row r="177" spans="3:5" ht="20.25" customHeight="1" x14ac:dyDescent="0.25">
      <c r="C177" s="91" t="s">
        <v>7954</v>
      </c>
      <c r="E177" s="103">
        <v>45105</v>
      </c>
    </row>
    <row r="178" spans="3:5" ht="20.25" customHeight="1" x14ac:dyDescent="0.25">
      <c r="C178" s="91" t="s">
        <v>7955</v>
      </c>
      <c r="E178" s="100">
        <v>44992</v>
      </c>
    </row>
    <row r="179" spans="3:5" ht="20.25" customHeight="1" x14ac:dyDescent="0.25">
      <c r="C179" s="96" t="s">
        <v>7956</v>
      </c>
      <c r="E179" s="100">
        <v>45056</v>
      </c>
    </row>
    <row r="180" spans="3:5" ht="20.25" customHeight="1" x14ac:dyDescent="0.25">
      <c r="C180" s="91" t="s">
        <v>7957</v>
      </c>
      <c r="E180" s="100">
        <v>44992</v>
      </c>
    </row>
    <row r="181" spans="3:5" ht="20.25" customHeight="1" x14ac:dyDescent="0.25">
      <c r="C181" s="91" t="s">
        <v>7958</v>
      </c>
      <c r="E181" s="100">
        <v>45056</v>
      </c>
    </row>
    <row r="182" spans="3:5" ht="20.25" customHeight="1" x14ac:dyDescent="0.25">
      <c r="C182" s="91" t="s">
        <v>7959</v>
      </c>
      <c r="E182" s="106">
        <v>45111</v>
      </c>
    </row>
    <row r="183" spans="3:5" ht="20.25" customHeight="1" x14ac:dyDescent="0.25">
      <c r="C183" s="91" t="s">
        <v>7960</v>
      </c>
      <c r="E183" s="100">
        <v>45056</v>
      </c>
    </row>
    <row r="184" spans="3:5" ht="20.25" customHeight="1" x14ac:dyDescent="0.25">
      <c r="C184" s="96" t="s">
        <v>7961</v>
      </c>
      <c r="E184" s="102"/>
    </row>
    <row r="185" spans="3:5" ht="20.25" customHeight="1" x14ac:dyDescent="0.25">
      <c r="C185" s="91" t="s">
        <v>7962</v>
      </c>
      <c r="E185" s="102"/>
    </row>
    <row r="186" spans="3:5" ht="20.25" customHeight="1" x14ac:dyDescent="0.25">
      <c r="C186" s="91" t="s">
        <v>7963</v>
      </c>
      <c r="E186" s="100">
        <v>45056</v>
      </c>
    </row>
    <row r="187" spans="3:5" ht="20.25" customHeight="1" x14ac:dyDescent="0.25">
      <c r="C187" s="91" t="s">
        <v>7964</v>
      </c>
      <c r="E187" s="100">
        <v>45056</v>
      </c>
    </row>
    <row r="188" spans="3:5" ht="20.25" customHeight="1" x14ac:dyDescent="0.25">
      <c r="C188" s="91" t="s">
        <v>7965</v>
      </c>
      <c r="E188" s="100">
        <v>45056</v>
      </c>
    </row>
    <row r="189" spans="3:5" ht="20.25" customHeight="1" x14ac:dyDescent="0.25">
      <c r="C189" s="91" t="s">
        <v>7966</v>
      </c>
      <c r="E189" s="100">
        <v>45097</v>
      </c>
    </row>
    <row r="190" spans="3:5" ht="20.25" customHeight="1" x14ac:dyDescent="0.25">
      <c r="C190" s="91" t="s">
        <v>7967</v>
      </c>
      <c r="E190" s="106">
        <v>45111</v>
      </c>
    </row>
    <row r="191" spans="3:5" ht="20.25" customHeight="1" x14ac:dyDescent="0.25">
      <c r="C191" s="91" t="s">
        <v>7968</v>
      </c>
      <c r="E191" s="106">
        <v>45111</v>
      </c>
    </row>
    <row r="192" spans="3:5" ht="20.25" customHeight="1" x14ac:dyDescent="0.25">
      <c r="C192" s="91" t="s">
        <v>7969</v>
      </c>
      <c r="E192" s="106">
        <v>45111</v>
      </c>
    </row>
    <row r="193" spans="3:5" ht="20.25" customHeight="1" x14ac:dyDescent="0.25">
      <c r="C193" s="91" t="s">
        <v>7970</v>
      </c>
      <c r="E193" s="100">
        <v>45097</v>
      </c>
    </row>
    <row r="194" spans="3:5" ht="20.25" customHeight="1" x14ac:dyDescent="0.25">
      <c r="C194" s="91" t="s">
        <v>7971</v>
      </c>
      <c r="E194" s="106">
        <v>45111</v>
      </c>
    </row>
    <row r="195" spans="3:5" ht="20.25" customHeight="1" x14ac:dyDescent="0.25">
      <c r="C195" s="91" t="s">
        <v>7972</v>
      </c>
      <c r="E195" s="106">
        <v>45111</v>
      </c>
    </row>
    <row r="196" spans="3:5" ht="20.25" customHeight="1" x14ac:dyDescent="0.25">
      <c r="C196" s="91" t="s">
        <v>7973</v>
      </c>
      <c r="E196" s="100">
        <v>45097</v>
      </c>
    </row>
    <row r="197" spans="3:5" ht="20.25" customHeight="1" x14ac:dyDescent="0.25">
      <c r="C197" s="91" t="s">
        <v>7974</v>
      </c>
      <c r="E197" s="100">
        <v>45097</v>
      </c>
    </row>
    <row r="198" spans="3:5" ht="20.25" customHeight="1" x14ac:dyDescent="0.25">
      <c r="C198" s="91" t="s">
        <v>7975</v>
      </c>
      <c r="E198" s="100">
        <v>45097</v>
      </c>
    </row>
    <row r="199" spans="3:5" ht="20.25" customHeight="1" x14ac:dyDescent="0.25">
      <c r="C199" s="91" t="s">
        <v>7976</v>
      </c>
      <c r="E199" s="104"/>
    </row>
    <row r="200" spans="3:5" ht="20.25" customHeight="1" x14ac:dyDescent="0.25">
      <c r="C200" s="91" t="s">
        <v>7977</v>
      </c>
      <c r="E200" s="106">
        <v>45111</v>
      </c>
    </row>
    <row r="201" spans="3:5" ht="20.25" customHeight="1" x14ac:dyDescent="0.25">
      <c r="C201" s="91" t="s">
        <v>7978</v>
      </c>
      <c r="E201" s="100">
        <v>45097</v>
      </c>
    </row>
    <row r="202" spans="3:5" ht="20.25" customHeight="1" x14ac:dyDescent="0.25">
      <c r="C202" s="91" t="s">
        <v>7979</v>
      </c>
      <c r="E202" s="103">
        <v>45148</v>
      </c>
    </row>
    <row r="203" spans="3:5" ht="20.25" customHeight="1" x14ac:dyDescent="0.25">
      <c r="C203" s="91" t="s">
        <v>7980</v>
      </c>
      <c r="E203" s="106">
        <v>45111</v>
      </c>
    </row>
    <row r="204" spans="3:5" ht="20.25" customHeight="1" x14ac:dyDescent="0.25">
      <c r="C204" s="91" t="s">
        <v>7981</v>
      </c>
      <c r="E204" s="107"/>
    </row>
    <row r="205" spans="3:5" ht="20.25" customHeight="1" x14ac:dyDescent="0.25">
      <c r="C205" s="91" t="s">
        <v>7982</v>
      </c>
      <c r="E205" s="100">
        <v>44992</v>
      </c>
    </row>
    <row r="206" spans="3:5" ht="20.25" customHeight="1" x14ac:dyDescent="0.25">
      <c r="C206" s="91" t="s">
        <v>7983</v>
      </c>
      <c r="E206" s="100">
        <v>45097</v>
      </c>
    </row>
    <row r="207" spans="3:5" ht="20.25" customHeight="1" x14ac:dyDescent="0.25">
      <c r="C207" s="91" t="s">
        <v>7984</v>
      </c>
      <c r="E207" s="100">
        <v>45097</v>
      </c>
    </row>
    <row r="208" spans="3:5" ht="20.25" customHeight="1" x14ac:dyDescent="0.25">
      <c r="C208" s="91" t="s">
        <v>7985</v>
      </c>
      <c r="E208" s="100">
        <v>45097</v>
      </c>
    </row>
    <row r="209" spans="3:5" ht="20.25" customHeight="1" x14ac:dyDescent="0.25">
      <c r="C209" s="91" t="s">
        <v>7986</v>
      </c>
      <c r="E209" s="107"/>
    </row>
    <row r="210" spans="3:5" ht="20.25" customHeight="1" x14ac:dyDescent="0.25">
      <c r="C210" s="91" t="s">
        <v>7987</v>
      </c>
      <c r="E210" s="107"/>
    </row>
    <row r="211" spans="3:5" ht="20.25" customHeight="1" x14ac:dyDescent="0.25">
      <c r="C211" s="91" t="s">
        <v>7988</v>
      </c>
      <c r="E211" s="100">
        <v>45097</v>
      </c>
    </row>
    <row r="212" spans="3:5" ht="20.25" customHeight="1" x14ac:dyDescent="0.25">
      <c r="C212" s="91" t="s">
        <v>7989</v>
      </c>
      <c r="E212" s="100">
        <v>45097</v>
      </c>
    </row>
    <row r="213" spans="3:5" ht="20.25" customHeight="1" x14ac:dyDescent="0.25">
      <c r="C213" s="91" t="s">
        <v>7990</v>
      </c>
      <c r="E213" s="106">
        <v>45111</v>
      </c>
    </row>
    <row r="214" spans="3:5" ht="20.25" customHeight="1" x14ac:dyDescent="0.25">
      <c r="C214" s="91" t="s">
        <v>7991</v>
      </c>
      <c r="E214" s="100">
        <v>44961</v>
      </c>
    </row>
    <row r="215" spans="3:5" ht="20.25" customHeight="1" x14ac:dyDescent="0.25">
      <c r="C215" s="91" t="s">
        <v>7992</v>
      </c>
      <c r="E215" s="100">
        <v>45097</v>
      </c>
    </row>
    <row r="216" spans="3:5" ht="20.25" customHeight="1" x14ac:dyDescent="0.25">
      <c r="C216" s="91" t="s">
        <v>7993</v>
      </c>
      <c r="E216" s="103">
        <v>45148</v>
      </c>
    </row>
    <row r="217" spans="3:5" ht="20.25" customHeight="1" x14ac:dyDescent="0.25">
      <c r="C217" s="91" t="s">
        <v>7994</v>
      </c>
      <c r="E217" s="106">
        <v>45111</v>
      </c>
    </row>
    <row r="218" spans="3:5" ht="20.25" customHeight="1" x14ac:dyDescent="0.25">
      <c r="C218" s="91" t="s">
        <v>7995</v>
      </c>
      <c r="E218" s="107"/>
    </row>
    <row r="219" spans="3:5" ht="20.25" customHeight="1" x14ac:dyDescent="0.25">
      <c r="C219" s="91" t="s">
        <v>7996</v>
      </c>
      <c r="E219" s="107"/>
    </row>
    <row r="220" spans="3:5" ht="20.25" customHeight="1" x14ac:dyDescent="0.25">
      <c r="C220" s="91" t="s">
        <v>7997</v>
      </c>
      <c r="E220" s="107"/>
    </row>
    <row r="221" spans="3:5" ht="20.25" customHeight="1" x14ac:dyDescent="0.25">
      <c r="C221" s="91" t="s">
        <v>7998</v>
      </c>
      <c r="E221" s="100">
        <v>45097</v>
      </c>
    </row>
    <row r="222" spans="3:5" ht="20.25" customHeight="1" x14ac:dyDescent="0.25">
      <c r="C222" s="91" t="s">
        <v>7999</v>
      </c>
      <c r="E222" s="103">
        <v>45148</v>
      </c>
    </row>
    <row r="223" spans="3:5" ht="20.25" customHeight="1" x14ac:dyDescent="0.25">
      <c r="C223" s="91" t="s">
        <v>8000</v>
      </c>
      <c r="E223" s="106">
        <v>45111</v>
      </c>
    </row>
    <row r="224" spans="3:5" ht="20.25" customHeight="1" x14ac:dyDescent="0.25">
      <c r="C224" s="91" t="s">
        <v>8001</v>
      </c>
      <c r="E224" s="103">
        <v>45148</v>
      </c>
    </row>
    <row r="225" spans="3:5" ht="20.25" customHeight="1" x14ac:dyDescent="0.25">
      <c r="C225" s="91" t="s">
        <v>8002</v>
      </c>
      <c r="E225" s="103">
        <v>45148</v>
      </c>
    </row>
    <row r="226" spans="3:5" ht="20.25" customHeight="1" x14ac:dyDescent="0.25">
      <c r="C226" s="91" t="s">
        <v>8003</v>
      </c>
      <c r="E226" s="100">
        <v>45097</v>
      </c>
    </row>
    <row r="227" spans="3:5" ht="20.25" customHeight="1" x14ac:dyDescent="0.25">
      <c r="C227" s="91" t="s">
        <v>8004</v>
      </c>
      <c r="E227" s="107"/>
    </row>
    <row r="228" spans="3:5" ht="20.25" customHeight="1" x14ac:dyDescent="0.25">
      <c r="C228" s="91" t="s">
        <v>8005</v>
      </c>
      <c r="E228" s="106">
        <v>45111</v>
      </c>
    </row>
    <row r="229" spans="3:5" ht="20.25" customHeight="1" x14ac:dyDescent="0.25">
      <c r="C229" s="91" t="s">
        <v>8006</v>
      </c>
      <c r="E229" s="106">
        <v>45111</v>
      </c>
    </row>
    <row r="230" spans="3:5" ht="20.25" customHeight="1" x14ac:dyDescent="0.25">
      <c r="C230" s="91" t="s">
        <v>8007</v>
      </c>
      <c r="E230" s="100">
        <v>45097</v>
      </c>
    </row>
    <row r="231" spans="3:5" ht="20.25" customHeight="1" x14ac:dyDescent="0.25">
      <c r="C231" s="91" t="s">
        <v>8008</v>
      </c>
      <c r="E231" s="106">
        <v>45111</v>
      </c>
    </row>
    <row r="232" spans="3:5" ht="20.25" customHeight="1" x14ac:dyDescent="0.25">
      <c r="C232" s="91" t="s">
        <v>8009</v>
      </c>
      <c r="E232" s="106">
        <v>45111</v>
      </c>
    </row>
    <row r="233" spans="3:5" ht="20.25" customHeight="1" x14ac:dyDescent="0.25">
      <c r="C233" s="91" t="s">
        <v>8010</v>
      </c>
      <c r="E233" s="100">
        <v>45097</v>
      </c>
    </row>
    <row r="234" spans="3:5" ht="20.25" customHeight="1" x14ac:dyDescent="0.25">
      <c r="C234" s="91" t="s">
        <v>8011</v>
      </c>
      <c r="E234" s="100">
        <v>44992</v>
      </c>
    </row>
    <row r="235" spans="3:5" ht="20.25" customHeight="1" x14ac:dyDescent="0.25">
      <c r="C235" s="91" t="s">
        <v>8012</v>
      </c>
      <c r="E235" s="119"/>
    </row>
    <row r="236" spans="3:5" ht="20.25" customHeight="1" x14ac:dyDescent="0.25">
      <c r="C236" s="91" t="s">
        <v>8013</v>
      </c>
      <c r="E236" s="107"/>
    </row>
    <row r="237" spans="3:5" ht="20.25" customHeight="1" x14ac:dyDescent="0.25">
      <c r="C237" s="91" t="s">
        <v>8014</v>
      </c>
      <c r="E237" s="106">
        <v>45111</v>
      </c>
    </row>
    <row r="238" spans="3:5" ht="20.25" customHeight="1" x14ac:dyDescent="0.25">
      <c r="C238" s="91" t="s">
        <v>8015</v>
      </c>
      <c r="E238" s="107"/>
    </row>
    <row r="239" spans="3:5" ht="20.25" customHeight="1" x14ac:dyDescent="0.25">
      <c r="C239" s="91" t="s">
        <v>8016</v>
      </c>
      <c r="E239" s="104"/>
    </row>
    <row r="240" spans="3:5" ht="20.25" customHeight="1" x14ac:dyDescent="0.25">
      <c r="C240" s="91" t="s">
        <v>8017</v>
      </c>
      <c r="E240" s="107"/>
    </row>
    <row r="241" spans="3:5" ht="20.25" customHeight="1" x14ac:dyDescent="0.25">
      <c r="C241" s="91" t="s">
        <v>8018</v>
      </c>
      <c r="E241" s="107"/>
    </row>
    <row r="242" spans="3:5" ht="20.25" customHeight="1" x14ac:dyDescent="0.25">
      <c r="C242" s="91" t="s">
        <v>8019</v>
      </c>
      <c r="E242" s="103">
        <v>45105</v>
      </c>
    </row>
    <row r="243" spans="3:5" ht="20.25" customHeight="1" x14ac:dyDescent="0.25">
      <c r="C243" s="91" t="s">
        <v>8020</v>
      </c>
      <c r="E243" s="100">
        <v>44992</v>
      </c>
    </row>
    <row r="244" spans="3:5" ht="20.25" customHeight="1" x14ac:dyDescent="0.25">
      <c r="C244" s="91" t="s">
        <v>8021</v>
      </c>
      <c r="E244" s="103">
        <v>45148</v>
      </c>
    </row>
    <row r="245" spans="3:5" ht="20.25" customHeight="1" x14ac:dyDescent="0.25">
      <c r="C245" s="91" t="s">
        <v>8022</v>
      </c>
      <c r="E245" s="98"/>
    </row>
    <row r="246" spans="3:5" ht="20.25" customHeight="1" x14ac:dyDescent="0.25">
      <c r="C246" s="91" t="s">
        <v>8023</v>
      </c>
      <c r="E246" s="119"/>
    </row>
    <row r="247" spans="3:5" ht="20.25" customHeight="1" x14ac:dyDescent="0.25">
      <c r="C247" s="91" t="s">
        <v>8024</v>
      </c>
      <c r="E247" s="119"/>
    </row>
    <row r="248" spans="3:5" ht="20.25" customHeight="1" x14ac:dyDescent="0.25">
      <c r="C248" s="91" t="s">
        <v>8025</v>
      </c>
      <c r="E248" s="100">
        <v>45097</v>
      </c>
    </row>
    <row r="249" spans="3:5" ht="20.25" customHeight="1" x14ac:dyDescent="0.25">
      <c r="C249" s="91" t="s">
        <v>8026</v>
      </c>
      <c r="E249" s="103">
        <v>45105</v>
      </c>
    </row>
    <row r="250" spans="3:5" ht="20.25" customHeight="1" x14ac:dyDescent="0.25">
      <c r="C250" s="91" t="s">
        <v>8027</v>
      </c>
      <c r="E250" s="100">
        <v>45097</v>
      </c>
    </row>
    <row r="251" spans="3:5" ht="20.25" customHeight="1" x14ac:dyDescent="0.25">
      <c r="C251" s="91" t="s">
        <v>8028</v>
      </c>
      <c r="E251" s="100">
        <v>44992</v>
      </c>
    </row>
    <row r="252" spans="3:5" ht="20.25" customHeight="1" x14ac:dyDescent="0.25">
      <c r="C252" s="91" t="s">
        <v>8029</v>
      </c>
      <c r="E252" s="107"/>
    </row>
    <row r="253" spans="3:5" ht="20.25" customHeight="1" x14ac:dyDescent="0.25">
      <c r="C253" s="91" t="s">
        <v>8030</v>
      </c>
      <c r="E253" s="107"/>
    </row>
    <row r="254" spans="3:5" ht="20.25" customHeight="1" x14ac:dyDescent="0.25">
      <c r="C254" s="91" t="s">
        <v>8031</v>
      </c>
      <c r="E254" s="107"/>
    </row>
    <row r="255" spans="3:5" ht="20.25" customHeight="1" x14ac:dyDescent="0.25">
      <c r="C255" s="91" t="s">
        <v>8032</v>
      </c>
      <c r="E255" s="103">
        <v>45105</v>
      </c>
    </row>
    <row r="256" spans="3:5" ht="20.25" customHeight="1" x14ac:dyDescent="0.25">
      <c r="C256" s="91" t="s">
        <v>8033</v>
      </c>
      <c r="E256" s="103">
        <v>45105</v>
      </c>
    </row>
    <row r="257" spans="3:5" ht="20.25" customHeight="1" x14ac:dyDescent="0.25">
      <c r="C257" s="91" t="s">
        <v>8034</v>
      </c>
      <c r="E257" s="103">
        <v>45148</v>
      </c>
    </row>
    <row r="258" spans="3:5" ht="20.25" customHeight="1" x14ac:dyDescent="0.25">
      <c r="C258" s="91" t="s">
        <v>8035</v>
      </c>
      <c r="E258" s="103">
        <v>45148</v>
      </c>
    </row>
    <row r="259" spans="3:5" ht="20.25" customHeight="1" x14ac:dyDescent="0.25">
      <c r="C259" s="91" t="s">
        <v>8036</v>
      </c>
      <c r="E259" s="103">
        <v>45148</v>
      </c>
    </row>
    <row r="260" spans="3:5" ht="20.25" customHeight="1" x14ac:dyDescent="0.25">
      <c r="C260" s="91" t="s">
        <v>8037</v>
      </c>
      <c r="E260" s="119"/>
    </row>
    <row r="261" spans="3:5" ht="20.25" customHeight="1" x14ac:dyDescent="0.25">
      <c r="C261" s="91" t="s">
        <v>8038</v>
      </c>
      <c r="E261" s="107"/>
    </row>
    <row r="262" spans="3:5" ht="20.25" customHeight="1" x14ac:dyDescent="0.25">
      <c r="C262" s="91" t="s">
        <v>8039</v>
      </c>
      <c r="E262" s="107"/>
    </row>
    <row r="263" spans="3:5" ht="20.25" customHeight="1" x14ac:dyDescent="0.25">
      <c r="C263" s="91" t="s">
        <v>8040</v>
      </c>
      <c r="E263" s="107"/>
    </row>
    <row r="264" spans="3:5" ht="20.25" customHeight="1" x14ac:dyDescent="0.25">
      <c r="C264" s="91" t="s">
        <v>8041</v>
      </c>
      <c r="E264" s="107"/>
    </row>
    <row r="265" spans="3:5" ht="20.25" customHeight="1" x14ac:dyDescent="0.25">
      <c r="C265" s="91" t="s">
        <v>8042</v>
      </c>
      <c r="E265" s="107"/>
    </row>
    <row r="266" spans="3:5" ht="20.25" customHeight="1" x14ac:dyDescent="0.25">
      <c r="C266" s="91" t="s">
        <v>8043</v>
      </c>
      <c r="E266" s="107"/>
    </row>
    <row r="267" spans="3:5" ht="20.25" customHeight="1" x14ac:dyDescent="0.25">
      <c r="C267" s="91" t="s">
        <v>8044</v>
      </c>
      <c r="E267" s="107"/>
    </row>
    <row r="268" spans="3:5" ht="20.25" customHeight="1" x14ac:dyDescent="0.25">
      <c r="C268" s="91" t="s">
        <v>8045</v>
      </c>
      <c r="E268" s="98" t="s">
        <v>4436</v>
      </c>
    </row>
    <row r="269" spans="3:5" ht="20.25" customHeight="1" x14ac:dyDescent="0.25">
      <c r="C269" s="91" t="s">
        <v>8046</v>
      </c>
      <c r="E269" s="107"/>
    </row>
    <row r="270" spans="3:5" ht="20.25" customHeight="1" x14ac:dyDescent="0.25">
      <c r="C270" s="90" t="s">
        <v>8047</v>
      </c>
      <c r="E270" s="106">
        <v>45111</v>
      </c>
    </row>
    <row r="271" spans="3:5" ht="20.25" customHeight="1" x14ac:dyDescent="0.25">
      <c r="C271" s="91" t="s">
        <v>8048</v>
      </c>
      <c r="E271" s="106">
        <v>45111</v>
      </c>
    </row>
    <row r="272" spans="3:5" ht="20.25" customHeight="1" x14ac:dyDescent="0.25">
      <c r="C272" s="91" t="s">
        <v>8049</v>
      </c>
      <c r="E272" s="106">
        <v>45111</v>
      </c>
    </row>
    <row r="273" spans="3:5" ht="20.25" customHeight="1" x14ac:dyDescent="0.25">
      <c r="C273" s="91" t="s">
        <v>8050</v>
      </c>
      <c r="E273" s="107"/>
    </row>
    <row r="274" spans="3:5" ht="20.25" customHeight="1" x14ac:dyDescent="0.25">
      <c r="C274" s="91" t="s">
        <v>8051</v>
      </c>
      <c r="E274" s="100">
        <v>45097</v>
      </c>
    </row>
    <row r="275" spans="3:5" ht="20.25" customHeight="1" x14ac:dyDescent="0.25">
      <c r="C275" s="91" t="s">
        <v>8052</v>
      </c>
      <c r="E275" s="107"/>
    </row>
    <row r="276" spans="3:5" ht="20.25" customHeight="1" x14ac:dyDescent="0.25">
      <c r="C276" s="91" t="s">
        <v>8053</v>
      </c>
      <c r="E276" s="107"/>
    </row>
    <row r="277" spans="3:5" ht="20.25" customHeight="1" x14ac:dyDescent="0.25">
      <c r="C277" s="91" t="s">
        <v>8054</v>
      </c>
      <c r="E277" s="107"/>
    </row>
    <row r="278" spans="3:5" ht="20.25" customHeight="1" x14ac:dyDescent="0.25">
      <c r="C278" s="91" t="s">
        <v>8055</v>
      </c>
      <c r="E278" s="106">
        <v>45111</v>
      </c>
    </row>
    <row r="279" spans="3:5" ht="20.25" customHeight="1" x14ac:dyDescent="0.25">
      <c r="C279" s="91" t="s">
        <v>8056</v>
      </c>
      <c r="E279" s="106">
        <v>45111</v>
      </c>
    </row>
    <row r="280" spans="3:5" ht="20.25" customHeight="1" x14ac:dyDescent="0.25">
      <c r="C280" s="91" t="s">
        <v>8057</v>
      </c>
      <c r="E280" s="104"/>
    </row>
    <row r="281" spans="3:5" ht="20.25" customHeight="1" x14ac:dyDescent="0.25">
      <c r="C281" s="91" t="s">
        <v>8058</v>
      </c>
      <c r="E281" s="103" t="s">
        <v>4436</v>
      </c>
    </row>
    <row r="282" spans="3:5" ht="20.25" customHeight="1" x14ac:dyDescent="0.25">
      <c r="C282" s="91" t="s">
        <v>8059</v>
      </c>
      <c r="E282" s="107"/>
    </row>
    <row r="283" spans="3:5" ht="20.25" customHeight="1" x14ac:dyDescent="0.25">
      <c r="C283" s="91" t="s">
        <v>8060</v>
      </c>
      <c r="E283" s="106">
        <v>45111</v>
      </c>
    </row>
    <row r="284" spans="3:5" ht="20.25" customHeight="1" x14ac:dyDescent="0.25">
      <c r="C284" s="91" t="s">
        <v>8061</v>
      </c>
      <c r="E284" s="107"/>
    </row>
    <row r="285" spans="3:5" ht="20.25" customHeight="1" x14ac:dyDescent="0.25">
      <c r="C285" s="91" t="s">
        <v>8062</v>
      </c>
      <c r="E285" s="106">
        <v>45111</v>
      </c>
    </row>
    <row r="286" spans="3:5" ht="20.25" customHeight="1" x14ac:dyDescent="0.25">
      <c r="C286" s="91" t="s">
        <v>8063</v>
      </c>
      <c r="E286" s="107"/>
    </row>
    <row r="287" spans="3:5" ht="20.25" customHeight="1" x14ac:dyDescent="0.25">
      <c r="C287" s="91" t="s">
        <v>8064</v>
      </c>
      <c r="E287" s="107"/>
    </row>
    <row r="288" spans="3:5" ht="20.25" customHeight="1" x14ac:dyDescent="0.25">
      <c r="C288" s="91" t="s">
        <v>8065</v>
      </c>
      <c r="E288" s="103" t="s">
        <v>4436</v>
      </c>
    </row>
    <row r="289" spans="3:5" ht="20.25" customHeight="1" x14ac:dyDescent="0.25">
      <c r="C289" s="91" t="s">
        <v>8066</v>
      </c>
      <c r="E289" s="103" t="s">
        <v>4436</v>
      </c>
    </row>
    <row r="290" spans="3:5" ht="20.25" customHeight="1" x14ac:dyDescent="0.25">
      <c r="C290" s="91" t="s">
        <v>8067</v>
      </c>
      <c r="E290" s="103">
        <v>45105</v>
      </c>
    </row>
    <row r="291" spans="3:5" ht="20.25" customHeight="1" x14ac:dyDescent="0.25">
      <c r="C291" s="91" t="s">
        <v>8068</v>
      </c>
      <c r="E291" s="107"/>
    </row>
    <row r="292" spans="3:5" ht="20.25" customHeight="1" x14ac:dyDescent="0.25">
      <c r="C292" s="91" t="s">
        <v>8069</v>
      </c>
      <c r="E292" s="107"/>
    </row>
    <row r="293" spans="3:5" ht="20.25" customHeight="1" x14ac:dyDescent="0.25">
      <c r="C293" s="91" t="s">
        <v>8070</v>
      </c>
      <c r="E293" s="104"/>
    </row>
    <row r="294" spans="3:5" ht="20.25" customHeight="1" x14ac:dyDescent="0.25">
      <c r="C294" s="91" t="s">
        <v>8071</v>
      </c>
      <c r="E294" s="107"/>
    </row>
    <row r="295" spans="3:5" ht="20.25" customHeight="1" x14ac:dyDescent="0.25">
      <c r="C295" s="91" t="s">
        <v>8072</v>
      </c>
      <c r="E295" s="100">
        <v>44961</v>
      </c>
    </row>
    <row r="296" spans="3:5" ht="20.25" customHeight="1" x14ac:dyDescent="0.25">
      <c r="C296" s="91" t="s">
        <v>8073</v>
      </c>
      <c r="E296" s="107"/>
    </row>
    <row r="297" spans="3:5" ht="20.25" customHeight="1" x14ac:dyDescent="0.25">
      <c r="C297" s="91" t="s">
        <v>8074</v>
      </c>
      <c r="E297" s="107"/>
    </row>
    <row r="298" spans="3:5" ht="20.25" customHeight="1" x14ac:dyDescent="0.25">
      <c r="C298" s="91" t="s">
        <v>8075</v>
      </c>
      <c r="E298" s="107"/>
    </row>
    <row r="299" spans="3:5" ht="20.25" customHeight="1" x14ac:dyDescent="0.25">
      <c r="C299" s="91" t="s">
        <v>8076</v>
      </c>
      <c r="E299" s="103">
        <v>45148</v>
      </c>
    </row>
    <row r="300" spans="3:5" ht="20.25" customHeight="1" x14ac:dyDescent="0.25">
      <c r="C300" s="96" t="s">
        <v>8077</v>
      </c>
      <c r="E300" s="107"/>
    </row>
    <row r="301" spans="3:5" ht="20.25" customHeight="1" x14ac:dyDescent="0.25">
      <c r="C301" s="96" t="s">
        <v>8078</v>
      </c>
      <c r="E301" s="100">
        <v>45097</v>
      </c>
    </row>
    <row r="302" spans="3:5" ht="20.25" customHeight="1" x14ac:dyDescent="0.25">
      <c r="C302" s="91" t="s">
        <v>8079</v>
      </c>
      <c r="E302" s="103">
        <v>45105</v>
      </c>
    </row>
    <row r="303" spans="3:5" ht="20.25" customHeight="1" x14ac:dyDescent="0.25">
      <c r="C303" s="91" t="s">
        <v>8080</v>
      </c>
      <c r="E303" s="107"/>
    </row>
    <row r="304" spans="3:5" ht="20.25" customHeight="1" x14ac:dyDescent="0.25">
      <c r="C304" s="91" t="s">
        <v>8081</v>
      </c>
      <c r="E304" s="107"/>
    </row>
    <row r="305" spans="3:5" ht="20.25" customHeight="1" x14ac:dyDescent="0.25">
      <c r="C305" s="91" t="s">
        <v>8082</v>
      </c>
      <c r="E305" s="107"/>
    </row>
    <row r="306" spans="3:5" ht="20.25" customHeight="1" x14ac:dyDescent="0.25">
      <c r="C306" s="91" t="s">
        <v>8083</v>
      </c>
      <c r="E306" s="100">
        <v>45097</v>
      </c>
    </row>
    <row r="307" spans="3:5" ht="20.25" customHeight="1" x14ac:dyDescent="0.25">
      <c r="C307" s="91" t="s">
        <v>8084</v>
      </c>
      <c r="E307" s="107"/>
    </row>
    <row r="308" spans="3:5" ht="20.25" customHeight="1" x14ac:dyDescent="0.25">
      <c r="C308" s="91" t="s">
        <v>8085</v>
      </c>
      <c r="E308" s="107"/>
    </row>
    <row r="309" spans="3:5" ht="20.25" customHeight="1" x14ac:dyDescent="0.25">
      <c r="C309" s="91" t="s">
        <v>8086</v>
      </c>
      <c r="E309" s="107"/>
    </row>
    <row r="310" spans="3:5" ht="20.25" customHeight="1" x14ac:dyDescent="0.25">
      <c r="C310" s="91" t="s">
        <v>8087</v>
      </c>
      <c r="E310" s="107"/>
    </row>
    <row r="311" spans="3:5" ht="20.25" customHeight="1" x14ac:dyDescent="0.25">
      <c r="C311" s="96" t="s">
        <v>8088</v>
      </c>
      <c r="E311" s="107"/>
    </row>
    <row r="312" spans="3:5" ht="20.25" customHeight="1" x14ac:dyDescent="0.25">
      <c r="C312" s="91" t="s">
        <v>8089</v>
      </c>
      <c r="E312" s="107"/>
    </row>
    <row r="313" spans="3:5" ht="20.25" customHeight="1" x14ac:dyDescent="0.25">
      <c r="C313" s="91" t="s">
        <v>8090</v>
      </c>
      <c r="E313" s="107"/>
    </row>
    <row r="314" spans="3:5" ht="20.25" customHeight="1" x14ac:dyDescent="0.25">
      <c r="C314" s="96" t="s">
        <v>8091</v>
      </c>
      <c r="E314" s="107"/>
    </row>
    <row r="315" spans="3:5" ht="20.25" customHeight="1" x14ac:dyDescent="0.25">
      <c r="C315" s="91" t="s">
        <v>8092</v>
      </c>
      <c r="E315" s="107"/>
    </row>
    <row r="316" spans="3:5" ht="20.25" customHeight="1" x14ac:dyDescent="0.25">
      <c r="C316" s="91" t="s">
        <v>8093</v>
      </c>
      <c r="E316" s="107"/>
    </row>
    <row r="317" spans="3:5" ht="20.25" customHeight="1" x14ac:dyDescent="0.25">
      <c r="C317" s="91" t="s">
        <v>8094</v>
      </c>
      <c r="E317" s="106">
        <v>45111</v>
      </c>
    </row>
    <row r="318" spans="3:5" ht="20.25" customHeight="1" x14ac:dyDescent="0.25">
      <c r="C318" s="91" t="s">
        <v>8095</v>
      </c>
      <c r="E318" s="107"/>
    </row>
    <row r="319" spans="3:5" ht="20.25" customHeight="1" x14ac:dyDescent="0.25">
      <c r="C319" s="91" t="s">
        <v>8096</v>
      </c>
      <c r="E319" s="98" t="s">
        <v>4436</v>
      </c>
    </row>
    <row r="320" spans="3:5" ht="20.25" customHeight="1" x14ac:dyDescent="0.25">
      <c r="C320" s="91" t="s">
        <v>8097</v>
      </c>
      <c r="E320" s="107"/>
    </row>
    <row r="321" spans="3:5" ht="20.25" customHeight="1" x14ac:dyDescent="0.25">
      <c r="C321" s="91" t="s">
        <v>8098</v>
      </c>
      <c r="E321" s="107"/>
    </row>
    <row r="322" spans="3:5" ht="20.25" customHeight="1" x14ac:dyDescent="0.25">
      <c r="C322" s="91" t="s">
        <v>8099</v>
      </c>
      <c r="E322" s="107"/>
    </row>
    <row r="323" spans="3:5" ht="20.25" customHeight="1" x14ac:dyDescent="0.25">
      <c r="C323" s="91" t="s">
        <v>8100</v>
      </c>
      <c r="E323" s="107"/>
    </row>
    <row r="324" spans="3:5" ht="20.25" customHeight="1" x14ac:dyDescent="0.25">
      <c r="C324" s="91" t="s">
        <v>8101</v>
      </c>
      <c r="E324" s="107"/>
    </row>
    <row r="325" spans="3:5" ht="20.25" customHeight="1" x14ac:dyDescent="0.25">
      <c r="C325" s="91" t="s">
        <v>8102</v>
      </c>
      <c r="E325" s="107"/>
    </row>
    <row r="326" spans="3:5" ht="20.25" customHeight="1" x14ac:dyDescent="0.25">
      <c r="C326" s="91" t="s">
        <v>8103</v>
      </c>
      <c r="E326" s="107"/>
    </row>
    <row r="327" spans="3:5" ht="20.25" customHeight="1" x14ac:dyDescent="0.25">
      <c r="C327" s="96" t="s">
        <v>8104</v>
      </c>
      <c r="E327" s="107"/>
    </row>
    <row r="328" spans="3:5" ht="20.25" customHeight="1" x14ac:dyDescent="0.25">
      <c r="C328" s="91" t="s">
        <v>8105</v>
      </c>
      <c r="E328" s="107"/>
    </row>
    <row r="329" spans="3:5" ht="20.25" customHeight="1" x14ac:dyDescent="0.25">
      <c r="C329" s="91" t="s">
        <v>8106</v>
      </c>
      <c r="E329" s="107"/>
    </row>
    <row r="330" spans="3:5" ht="20.25" customHeight="1" x14ac:dyDescent="0.25">
      <c r="C330" s="91" t="s">
        <v>8107</v>
      </c>
      <c r="E330" s="107"/>
    </row>
    <row r="331" spans="3:5" ht="20.25" customHeight="1" x14ac:dyDescent="0.25">
      <c r="C331" s="91" t="s">
        <v>8108</v>
      </c>
      <c r="E331" s="107"/>
    </row>
    <row r="332" spans="3:5" ht="20.25" customHeight="1" x14ac:dyDescent="0.25">
      <c r="C332" s="91" t="s">
        <v>8109</v>
      </c>
      <c r="E332" s="107"/>
    </row>
    <row r="333" spans="3:5" ht="20.25" customHeight="1" x14ac:dyDescent="0.25">
      <c r="C333" s="91" t="s">
        <v>8110</v>
      </c>
      <c r="E333" s="107"/>
    </row>
    <row r="334" spans="3:5" ht="20.25" customHeight="1" x14ac:dyDescent="0.25">
      <c r="C334" s="96" t="s">
        <v>8111</v>
      </c>
      <c r="E334" s="107"/>
    </row>
    <row r="335" spans="3:5" ht="20.25" customHeight="1" x14ac:dyDescent="0.25">
      <c r="C335" s="96" t="s">
        <v>8112</v>
      </c>
      <c r="E335" s="107"/>
    </row>
    <row r="336" spans="3:5" ht="20.25" customHeight="1" x14ac:dyDescent="0.25">
      <c r="C336" s="91" t="s">
        <v>8113</v>
      </c>
      <c r="E336" s="107"/>
    </row>
    <row r="337" spans="3:5" ht="20.25" customHeight="1" x14ac:dyDescent="0.25">
      <c r="C337" s="91" t="s">
        <v>8114</v>
      </c>
      <c r="E337" s="107"/>
    </row>
    <row r="338" spans="3:5" ht="20.25" customHeight="1" x14ac:dyDescent="0.25">
      <c r="C338" s="91" t="s">
        <v>8115</v>
      </c>
      <c r="E338" s="107"/>
    </row>
    <row r="339" spans="3:5" ht="20.25" customHeight="1" x14ac:dyDescent="0.25">
      <c r="C339" s="91" t="s">
        <v>8116</v>
      </c>
      <c r="E339" s="107"/>
    </row>
    <row r="340" spans="3:5" ht="20.25" customHeight="1" x14ac:dyDescent="0.25">
      <c r="C340" s="91" t="s">
        <v>8117</v>
      </c>
      <c r="E340" s="107"/>
    </row>
    <row r="341" spans="3:5" ht="20.25" customHeight="1" x14ac:dyDescent="0.25">
      <c r="C341" s="91" t="s">
        <v>8118</v>
      </c>
      <c r="E341" s="107"/>
    </row>
    <row r="342" spans="3:5" ht="20.25" customHeight="1" x14ac:dyDescent="0.25">
      <c r="C342" s="91" t="s">
        <v>8119</v>
      </c>
      <c r="E342" s="107"/>
    </row>
    <row r="343" spans="3:5" ht="20.25" customHeight="1" x14ac:dyDescent="0.25">
      <c r="C343" s="91" t="s">
        <v>8120</v>
      </c>
      <c r="E343" s="107"/>
    </row>
    <row r="344" spans="3:5" ht="20.25" customHeight="1" x14ac:dyDescent="0.25">
      <c r="C344" s="96" t="s">
        <v>8121</v>
      </c>
      <c r="E344" s="107"/>
    </row>
    <row r="345" spans="3:5" ht="20.25" customHeight="1" x14ac:dyDescent="0.25">
      <c r="C345" s="96" t="s">
        <v>8122</v>
      </c>
      <c r="E345" s="107"/>
    </row>
    <row r="346" spans="3:5" ht="20.25" customHeight="1" x14ac:dyDescent="0.25">
      <c r="C346" s="91" t="s">
        <v>8123</v>
      </c>
      <c r="E346" s="107"/>
    </row>
    <row r="347" spans="3:5" ht="20.25" customHeight="1" x14ac:dyDescent="0.25">
      <c r="C347" s="91" t="s">
        <v>8124</v>
      </c>
      <c r="E347" s="103">
        <v>45148</v>
      </c>
    </row>
    <row r="348" spans="3:5" ht="20.25" customHeight="1" x14ac:dyDescent="0.25">
      <c r="C348" s="96" t="s">
        <v>8125</v>
      </c>
      <c r="E348" s="108"/>
    </row>
    <row r="349" spans="3:5" ht="20.25" customHeight="1" x14ac:dyDescent="0.25">
      <c r="C349" s="91" t="s">
        <v>8126</v>
      </c>
      <c r="E349" s="102"/>
    </row>
    <row r="350" spans="3:5" ht="20.25" customHeight="1" x14ac:dyDescent="0.25">
      <c r="C350" s="91" t="s">
        <v>8127</v>
      </c>
      <c r="E350" s="119"/>
    </row>
    <row r="351" spans="3:5" ht="20.25" customHeight="1" x14ac:dyDescent="0.25">
      <c r="C351" s="91" t="s">
        <v>8128</v>
      </c>
      <c r="E351" s="100">
        <v>44961</v>
      </c>
    </row>
    <row r="352" spans="3:5" ht="20.25" customHeight="1" x14ac:dyDescent="0.25">
      <c r="C352" s="91" t="s">
        <v>8129</v>
      </c>
      <c r="E352" s="100">
        <v>44992</v>
      </c>
    </row>
    <row r="353" spans="3:5" ht="20.25" customHeight="1" x14ac:dyDescent="0.25">
      <c r="C353" s="91" t="s">
        <v>8130</v>
      </c>
      <c r="E353" s="103">
        <v>45105</v>
      </c>
    </row>
    <row r="354" spans="3:5" ht="20.25" customHeight="1" x14ac:dyDescent="0.25">
      <c r="C354" s="91" t="s">
        <v>8131</v>
      </c>
      <c r="E354" s="100">
        <v>44961</v>
      </c>
    </row>
    <row r="355" spans="3:5" ht="20.25" customHeight="1" x14ac:dyDescent="0.25">
      <c r="C355" s="91" t="s">
        <v>8132</v>
      </c>
      <c r="E355" s="100">
        <v>44961</v>
      </c>
    </row>
    <row r="356" spans="3:5" ht="20.25" customHeight="1" x14ac:dyDescent="0.25">
      <c r="C356" s="91" t="s">
        <v>8133</v>
      </c>
      <c r="E356" s="107"/>
    </row>
    <row r="357" spans="3:5" ht="20.25" customHeight="1" x14ac:dyDescent="0.25">
      <c r="C357" s="91" t="s">
        <v>8134</v>
      </c>
      <c r="E357" s="100">
        <v>44992</v>
      </c>
    </row>
    <row r="358" spans="3:5" ht="20.25" customHeight="1" x14ac:dyDescent="0.25">
      <c r="C358" s="91" t="s">
        <v>8135</v>
      </c>
      <c r="E358" s="100">
        <v>44961</v>
      </c>
    </row>
    <row r="359" spans="3:5" ht="20.25" customHeight="1" x14ac:dyDescent="0.25">
      <c r="C359" s="91" t="s">
        <v>8136</v>
      </c>
      <c r="E359" s="100">
        <v>44961</v>
      </c>
    </row>
    <row r="360" spans="3:5" ht="20.25" customHeight="1" x14ac:dyDescent="0.25">
      <c r="C360" s="91" t="s">
        <v>8137</v>
      </c>
      <c r="E360" s="100">
        <v>44961</v>
      </c>
    </row>
    <row r="361" spans="3:5" ht="20.25" customHeight="1" x14ac:dyDescent="0.25">
      <c r="C361" s="91" t="s">
        <v>8138</v>
      </c>
      <c r="E361" s="100">
        <v>44961</v>
      </c>
    </row>
    <row r="362" spans="3:5" ht="20.25" customHeight="1" x14ac:dyDescent="0.25">
      <c r="C362" s="91" t="s">
        <v>8139</v>
      </c>
      <c r="E362" s="107"/>
    </row>
    <row r="363" spans="3:5" ht="20.25" customHeight="1" x14ac:dyDescent="0.25">
      <c r="C363" s="91" t="s">
        <v>8140</v>
      </c>
      <c r="E363" s="100">
        <v>44961</v>
      </c>
    </row>
    <row r="364" spans="3:5" ht="20.25" customHeight="1" x14ac:dyDescent="0.25">
      <c r="C364" s="91" t="s">
        <v>8141</v>
      </c>
      <c r="E364" s="107"/>
    </row>
    <row r="365" spans="3:5" ht="20.25" customHeight="1" x14ac:dyDescent="0.25">
      <c r="C365" s="91" t="s">
        <v>8142</v>
      </c>
      <c r="E365" s="107"/>
    </row>
    <row r="366" spans="3:5" ht="20.25" customHeight="1" x14ac:dyDescent="0.25">
      <c r="C366" s="91" t="s">
        <v>8143</v>
      </c>
      <c r="E366" s="103">
        <v>45106</v>
      </c>
    </row>
    <row r="367" spans="3:5" ht="20.25" customHeight="1" x14ac:dyDescent="0.25">
      <c r="C367" s="91" t="s">
        <v>8144</v>
      </c>
      <c r="E367" s="107"/>
    </row>
    <row r="368" spans="3:5" ht="20.25" customHeight="1" x14ac:dyDescent="0.25">
      <c r="C368" s="91" t="s">
        <v>8145</v>
      </c>
      <c r="E368" s="103">
        <v>45105</v>
      </c>
    </row>
    <row r="369" spans="3:5" ht="20.25" customHeight="1" x14ac:dyDescent="0.25">
      <c r="C369" s="91" t="s">
        <v>8146</v>
      </c>
      <c r="E369" s="103">
        <v>45148</v>
      </c>
    </row>
    <row r="370" spans="3:5" ht="20.25" customHeight="1" x14ac:dyDescent="0.25">
      <c r="C370" s="91" t="s">
        <v>8147</v>
      </c>
      <c r="E370" s="107"/>
    </row>
    <row r="371" spans="3:5" ht="20.25" customHeight="1" x14ac:dyDescent="0.25">
      <c r="C371" s="91" t="s">
        <v>8148</v>
      </c>
      <c r="E371" s="107"/>
    </row>
    <row r="372" spans="3:5" ht="20.25" customHeight="1" x14ac:dyDescent="0.25">
      <c r="C372" s="91" t="s">
        <v>8149</v>
      </c>
      <c r="E372" s="103">
        <v>45105</v>
      </c>
    </row>
    <row r="373" spans="3:5" ht="20.25" customHeight="1" x14ac:dyDescent="0.25">
      <c r="C373" s="91" t="s">
        <v>8150</v>
      </c>
      <c r="E373" s="98" t="s">
        <v>4436</v>
      </c>
    </row>
    <row r="374" spans="3:5" ht="20.25" customHeight="1" x14ac:dyDescent="0.25">
      <c r="C374" s="91" t="s">
        <v>8151</v>
      </c>
      <c r="E374" s="103">
        <v>45148</v>
      </c>
    </row>
    <row r="375" spans="3:5" ht="20.25" customHeight="1" x14ac:dyDescent="0.25">
      <c r="C375" s="91" t="s">
        <v>8152</v>
      </c>
      <c r="E375" s="107"/>
    </row>
    <row r="376" spans="3:5" ht="20.25" customHeight="1" x14ac:dyDescent="0.25">
      <c r="C376" s="96" t="s">
        <v>8153</v>
      </c>
      <c r="E376" s="119"/>
    </row>
    <row r="377" spans="3:5" ht="20.25" customHeight="1" x14ac:dyDescent="0.25">
      <c r="C377" s="91" t="s">
        <v>8154</v>
      </c>
      <c r="E377" s="103">
        <v>45148</v>
      </c>
    </row>
    <row r="378" spans="3:5" ht="20.25" customHeight="1" x14ac:dyDescent="0.25">
      <c r="C378" s="91" t="s">
        <v>8155</v>
      </c>
      <c r="E378" s="103">
        <v>45148</v>
      </c>
    </row>
    <row r="379" spans="3:5" ht="20.25" customHeight="1" x14ac:dyDescent="0.25">
      <c r="C379" s="91" t="s">
        <v>8156</v>
      </c>
      <c r="E379" s="103">
        <v>45148</v>
      </c>
    </row>
    <row r="380" spans="3:5" ht="20.25" customHeight="1" x14ac:dyDescent="0.25">
      <c r="C380" s="91" t="s">
        <v>8157</v>
      </c>
      <c r="E380" s="104"/>
    </row>
    <row r="381" spans="3:5" ht="20.25" customHeight="1" x14ac:dyDescent="0.25">
      <c r="C381" s="91" t="s">
        <v>8158</v>
      </c>
      <c r="E381" s="103">
        <v>45148</v>
      </c>
    </row>
    <row r="382" spans="3:5" ht="20.25" customHeight="1" x14ac:dyDescent="0.25">
      <c r="C382" s="91" t="s">
        <v>8159</v>
      </c>
      <c r="E382" s="103">
        <v>45148</v>
      </c>
    </row>
    <row r="383" spans="3:5" ht="20.25" customHeight="1" x14ac:dyDescent="0.25">
      <c r="C383" s="91" t="s">
        <v>8160</v>
      </c>
      <c r="E383" s="103">
        <v>45148</v>
      </c>
    </row>
    <row r="384" spans="3:5" ht="20.25" customHeight="1" x14ac:dyDescent="0.25">
      <c r="C384" s="91" t="s">
        <v>8161</v>
      </c>
      <c r="E384" s="103">
        <v>45105</v>
      </c>
    </row>
    <row r="385" spans="3:5" ht="20.25" customHeight="1" x14ac:dyDescent="0.25">
      <c r="C385" s="91" t="s">
        <v>8162</v>
      </c>
      <c r="E385" s="100">
        <v>44961</v>
      </c>
    </row>
    <row r="386" spans="3:5" ht="20.25" customHeight="1" x14ac:dyDescent="0.25">
      <c r="C386" s="91" t="s">
        <v>8163</v>
      </c>
      <c r="E386" s="100">
        <v>44961</v>
      </c>
    </row>
    <row r="387" spans="3:5" ht="20.25" customHeight="1" x14ac:dyDescent="0.25">
      <c r="C387" s="91" t="s">
        <v>8164</v>
      </c>
      <c r="E387" s="100">
        <v>44992</v>
      </c>
    </row>
    <row r="388" spans="3:5" ht="20.25" customHeight="1" x14ac:dyDescent="0.25">
      <c r="C388" s="91" t="s">
        <v>8165</v>
      </c>
      <c r="E388" s="100">
        <v>44992</v>
      </c>
    </row>
    <row r="389" spans="3:5" ht="20.25" customHeight="1" x14ac:dyDescent="0.25">
      <c r="C389" s="91" t="s">
        <v>8166</v>
      </c>
      <c r="E389" s="107"/>
    </row>
    <row r="390" spans="3:5" ht="20.25" customHeight="1" x14ac:dyDescent="0.25">
      <c r="C390" s="91" t="s">
        <v>8167</v>
      </c>
      <c r="E390" s="107"/>
    </row>
    <row r="391" spans="3:5" ht="20.25" customHeight="1" x14ac:dyDescent="0.25">
      <c r="C391" s="96" t="s">
        <v>8168</v>
      </c>
      <c r="E391" s="107"/>
    </row>
    <row r="392" spans="3:5" ht="20.25" customHeight="1" x14ac:dyDescent="0.25">
      <c r="C392" s="96" t="s">
        <v>8169</v>
      </c>
      <c r="E392" s="103">
        <v>45105</v>
      </c>
    </row>
    <row r="393" spans="3:5" ht="20.25" customHeight="1" x14ac:dyDescent="0.25">
      <c r="C393" s="91" t="s">
        <v>8170</v>
      </c>
      <c r="E393" s="100">
        <v>44961</v>
      </c>
    </row>
    <row r="394" spans="3:5" ht="20.25" customHeight="1" x14ac:dyDescent="0.25">
      <c r="C394" s="91" t="s">
        <v>8171</v>
      </c>
      <c r="E394" s="100">
        <v>44961</v>
      </c>
    </row>
    <row r="395" spans="3:5" ht="20.25" customHeight="1" x14ac:dyDescent="0.25">
      <c r="C395" s="91" t="s">
        <v>8172</v>
      </c>
      <c r="E395" s="103">
        <v>45105</v>
      </c>
    </row>
    <row r="396" spans="3:5" ht="20.25" customHeight="1" x14ac:dyDescent="0.25">
      <c r="C396" s="91" t="s">
        <v>8173</v>
      </c>
      <c r="E396" s="100">
        <v>44961</v>
      </c>
    </row>
    <row r="397" spans="3:5" ht="20.25" customHeight="1" x14ac:dyDescent="0.25">
      <c r="C397" s="91" t="s">
        <v>8174</v>
      </c>
      <c r="E397" s="103">
        <v>45105</v>
      </c>
    </row>
    <row r="398" spans="3:5" ht="20.25" customHeight="1" x14ac:dyDescent="0.25">
      <c r="C398" s="91" t="s">
        <v>8175</v>
      </c>
      <c r="E398" s="100">
        <v>44961</v>
      </c>
    </row>
    <row r="399" spans="3:5" ht="20.25" customHeight="1" x14ac:dyDescent="0.25">
      <c r="C399" s="91" t="s">
        <v>8176</v>
      </c>
      <c r="E399" s="107"/>
    </row>
    <row r="400" spans="3:5" ht="20.25" customHeight="1" x14ac:dyDescent="0.25">
      <c r="C400" s="91" t="s">
        <v>8177</v>
      </c>
      <c r="E400" s="107"/>
    </row>
    <row r="401" spans="3:5" ht="20.25" customHeight="1" x14ac:dyDescent="0.25">
      <c r="C401" s="91" t="s">
        <v>8178</v>
      </c>
      <c r="E401" s="100">
        <v>44992</v>
      </c>
    </row>
    <row r="402" spans="3:5" ht="20.25" customHeight="1" x14ac:dyDescent="0.25">
      <c r="C402" s="91" t="s">
        <v>8179</v>
      </c>
      <c r="E402" s="107"/>
    </row>
    <row r="403" spans="3:5" ht="20.25" customHeight="1" x14ac:dyDescent="0.25">
      <c r="C403" s="91" t="s">
        <v>8180</v>
      </c>
      <c r="E403" s="107"/>
    </row>
    <row r="404" spans="3:5" ht="20.25" customHeight="1" x14ac:dyDescent="0.25">
      <c r="C404" s="91" t="s">
        <v>8181</v>
      </c>
      <c r="E404" s="103">
        <v>45148</v>
      </c>
    </row>
    <row r="405" spans="3:5" ht="20.25" customHeight="1" x14ac:dyDescent="0.25">
      <c r="C405" s="91" t="s">
        <v>8182</v>
      </c>
      <c r="E405" s="100">
        <v>44889</v>
      </c>
    </row>
    <row r="406" spans="3:5" ht="20.25" customHeight="1" x14ac:dyDescent="0.25">
      <c r="C406" s="91" t="s">
        <v>8183</v>
      </c>
      <c r="E406" s="100">
        <v>44889</v>
      </c>
    </row>
    <row r="407" spans="3:5" ht="20.25" customHeight="1" x14ac:dyDescent="0.25">
      <c r="C407" s="91" t="s">
        <v>8184</v>
      </c>
      <c r="E407" s="100">
        <v>44992</v>
      </c>
    </row>
    <row r="408" spans="3:5" ht="20.25" customHeight="1" x14ac:dyDescent="0.25">
      <c r="C408" s="91" t="s">
        <v>8185</v>
      </c>
      <c r="E408" s="106">
        <v>45111</v>
      </c>
    </row>
    <row r="409" spans="3:5" ht="20.25" customHeight="1" x14ac:dyDescent="0.25">
      <c r="C409" s="91" t="s">
        <v>8186</v>
      </c>
      <c r="E409" s="98" t="s">
        <v>4436</v>
      </c>
    </row>
    <row r="410" spans="3:5" ht="20.25" customHeight="1" x14ac:dyDescent="0.25">
      <c r="C410" s="91" t="s">
        <v>8187</v>
      </c>
      <c r="E410" s="98" t="s">
        <v>4436</v>
      </c>
    </row>
    <row r="411" spans="3:5" ht="20.25" customHeight="1" x14ac:dyDescent="0.25">
      <c r="C411" s="91" t="s">
        <v>8188</v>
      </c>
      <c r="E411" s="98" t="s">
        <v>4436</v>
      </c>
    </row>
    <row r="412" spans="3:5" ht="20.25" customHeight="1" x14ac:dyDescent="0.25">
      <c r="C412" s="91" t="s">
        <v>8189</v>
      </c>
      <c r="E412" s="107"/>
    </row>
    <row r="413" spans="3:5" ht="20.25" customHeight="1" x14ac:dyDescent="0.25">
      <c r="C413" s="91" t="s">
        <v>8190</v>
      </c>
      <c r="E413" s="107"/>
    </row>
    <row r="414" spans="3:5" ht="20.25" customHeight="1" x14ac:dyDescent="0.25">
      <c r="C414" s="91" t="s">
        <v>8191</v>
      </c>
      <c r="E414" s="107"/>
    </row>
    <row r="415" spans="3:5" ht="20.25" customHeight="1" x14ac:dyDescent="0.25">
      <c r="C415" s="91" t="s">
        <v>8192</v>
      </c>
      <c r="E415" s="107"/>
    </row>
    <row r="416" spans="3:5" ht="20.25" customHeight="1" x14ac:dyDescent="0.25">
      <c r="C416" s="91" t="s">
        <v>8193</v>
      </c>
      <c r="E416" s="100">
        <v>44816</v>
      </c>
    </row>
    <row r="417" spans="3:5" ht="20.25" customHeight="1" x14ac:dyDescent="0.25">
      <c r="C417" s="91" t="s">
        <v>8194</v>
      </c>
      <c r="E417" s="100">
        <v>44910</v>
      </c>
    </row>
    <row r="418" spans="3:5" ht="20.25" customHeight="1" x14ac:dyDescent="0.25">
      <c r="C418" s="91" t="s">
        <v>8195</v>
      </c>
      <c r="E418" s="100">
        <v>44816</v>
      </c>
    </row>
    <row r="419" spans="3:5" ht="20.25" customHeight="1" x14ac:dyDescent="0.25">
      <c r="C419" s="91" t="s">
        <v>8196</v>
      </c>
      <c r="E419" s="98" t="s">
        <v>4436</v>
      </c>
    </row>
    <row r="420" spans="3:5" ht="20.25" customHeight="1" x14ac:dyDescent="0.25">
      <c r="C420" s="91" t="s">
        <v>8197</v>
      </c>
      <c r="E420" s="100">
        <v>44923</v>
      </c>
    </row>
    <row r="421" spans="3:5" ht="20.25" customHeight="1" x14ac:dyDescent="0.25">
      <c r="C421" s="91" t="s">
        <v>8198</v>
      </c>
      <c r="E421" s="98"/>
    </row>
    <row r="422" spans="3:5" ht="20.25" customHeight="1" x14ac:dyDescent="0.25">
      <c r="C422" s="91" t="s">
        <v>8199</v>
      </c>
      <c r="E422" s="100">
        <v>45013</v>
      </c>
    </row>
    <row r="423" spans="3:5" ht="20.25" customHeight="1" x14ac:dyDescent="0.25">
      <c r="C423" s="91" t="s">
        <v>8200</v>
      </c>
      <c r="E423" s="100">
        <v>44923</v>
      </c>
    </row>
    <row r="424" spans="3:5" ht="20.25" customHeight="1" x14ac:dyDescent="0.25">
      <c r="C424" s="91" t="s">
        <v>8201</v>
      </c>
      <c r="E424" s="100">
        <v>44923</v>
      </c>
    </row>
    <row r="425" spans="3:5" ht="20.25" customHeight="1" x14ac:dyDescent="0.25">
      <c r="C425" s="91" t="s">
        <v>8202</v>
      </c>
      <c r="E425" s="100">
        <v>44816</v>
      </c>
    </row>
    <row r="426" spans="3:5" ht="20.25" customHeight="1" x14ac:dyDescent="0.25">
      <c r="C426" s="91" t="s">
        <v>8203</v>
      </c>
      <c r="E426" s="98" t="s">
        <v>4436</v>
      </c>
    </row>
    <row r="427" spans="3:5" ht="20.25" customHeight="1" x14ac:dyDescent="0.25">
      <c r="C427" s="91" t="s">
        <v>8204</v>
      </c>
      <c r="E427" s="98" t="s">
        <v>4436</v>
      </c>
    </row>
    <row r="428" spans="3:5" ht="20.25" customHeight="1" x14ac:dyDescent="0.25">
      <c r="C428" s="91" t="s">
        <v>8205</v>
      </c>
      <c r="E428" s="100">
        <v>44816</v>
      </c>
    </row>
    <row r="429" spans="3:5" ht="20.25" customHeight="1" x14ac:dyDescent="0.25">
      <c r="C429" s="91" t="s">
        <v>8206</v>
      </c>
      <c r="E429" s="100">
        <v>44816</v>
      </c>
    </row>
    <row r="430" spans="3:5" ht="20.25" customHeight="1" x14ac:dyDescent="0.25">
      <c r="C430" s="91" t="s">
        <v>8207</v>
      </c>
      <c r="E430" s="100">
        <v>44816</v>
      </c>
    </row>
    <row r="431" spans="3:5" ht="20.25" customHeight="1" x14ac:dyDescent="0.25">
      <c r="C431" s="91" t="s">
        <v>8208</v>
      </c>
      <c r="E431" s="98" t="s">
        <v>4436</v>
      </c>
    </row>
    <row r="432" spans="3:5" ht="20.25" customHeight="1" x14ac:dyDescent="0.25">
      <c r="C432" s="91" t="s">
        <v>8209</v>
      </c>
      <c r="E432" s="110">
        <v>45034</v>
      </c>
    </row>
    <row r="433" spans="3:5" ht="20.25" customHeight="1" x14ac:dyDescent="0.25">
      <c r="C433" s="91" t="s">
        <v>8210</v>
      </c>
      <c r="E433" s="100">
        <v>44992</v>
      </c>
    </row>
    <row r="434" spans="3:5" ht="20.25" customHeight="1" x14ac:dyDescent="0.25">
      <c r="C434" s="91" t="s">
        <v>8211</v>
      </c>
      <c r="E434" s="100">
        <v>44992</v>
      </c>
    </row>
    <row r="435" spans="3:5" ht="20.25" customHeight="1" x14ac:dyDescent="0.25">
      <c r="C435" s="91" t="s">
        <v>8212</v>
      </c>
      <c r="E435" s="110">
        <v>45034</v>
      </c>
    </row>
    <row r="436" spans="3:5" ht="20.25" customHeight="1" x14ac:dyDescent="0.25">
      <c r="C436" s="91" t="s">
        <v>8213</v>
      </c>
      <c r="E436" s="98" t="s">
        <v>4436</v>
      </c>
    </row>
    <row r="437" spans="3:5" ht="20.25" customHeight="1" x14ac:dyDescent="0.25">
      <c r="C437" s="91" t="s">
        <v>8214</v>
      </c>
      <c r="E437" s="98" t="s">
        <v>4436</v>
      </c>
    </row>
    <row r="438" spans="3:5" ht="20.25" customHeight="1" x14ac:dyDescent="0.25">
      <c r="C438" s="91" t="s">
        <v>8215</v>
      </c>
      <c r="E438" s="98" t="s">
        <v>4436</v>
      </c>
    </row>
    <row r="439" spans="3:5" ht="20.25" customHeight="1" x14ac:dyDescent="0.25">
      <c r="C439" s="91" t="s">
        <v>8216</v>
      </c>
      <c r="E439" s="100">
        <v>44862</v>
      </c>
    </row>
    <row r="440" spans="3:5" ht="20.25" customHeight="1" x14ac:dyDescent="0.25">
      <c r="C440" s="96" t="s">
        <v>8217</v>
      </c>
      <c r="E440" s="98" t="s">
        <v>4436</v>
      </c>
    </row>
    <row r="441" spans="3:5" ht="20.25" customHeight="1" x14ac:dyDescent="0.25">
      <c r="C441" s="91" t="s">
        <v>8218</v>
      </c>
      <c r="E441" s="100">
        <v>44862</v>
      </c>
    </row>
    <row r="442" spans="3:5" ht="20.25" customHeight="1" x14ac:dyDescent="0.25">
      <c r="C442" s="91" t="s">
        <v>8219</v>
      </c>
      <c r="E442" s="110">
        <v>45040</v>
      </c>
    </row>
    <row r="443" spans="3:5" ht="20.25" customHeight="1" x14ac:dyDescent="0.25">
      <c r="C443" s="91" t="s">
        <v>8220</v>
      </c>
      <c r="E443" s="98" t="s">
        <v>4436</v>
      </c>
    </row>
    <row r="444" spans="3:5" ht="20.25" customHeight="1" x14ac:dyDescent="0.25">
      <c r="C444" s="91" t="s">
        <v>8221</v>
      </c>
      <c r="E444" s="98" t="s">
        <v>4436</v>
      </c>
    </row>
    <row r="445" spans="3:5" ht="20.25" customHeight="1" x14ac:dyDescent="0.25">
      <c r="C445" s="91" t="s">
        <v>8222</v>
      </c>
      <c r="E445" s="98" t="s">
        <v>4436</v>
      </c>
    </row>
    <row r="446" spans="3:5" ht="20.25" customHeight="1" x14ac:dyDescent="0.25">
      <c r="C446" s="91" t="s">
        <v>8223</v>
      </c>
      <c r="E446" s="98" t="s">
        <v>4436</v>
      </c>
    </row>
    <row r="447" spans="3:5" ht="20.25" customHeight="1" x14ac:dyDescent="0.25">
      <c r="C447" s="91" t="s">
        <v>8224</v>
      </c>
      <c r="E447" s="100">
        <v>44910</v>
      </c>
    </row>
    <row r="448" spans="3:5" ht="20.25" customHeight="1" x14ac:dyDescent="0.25">
      <c r="C448" s="91" t="s">
        <v>8225</v>
      </c>
      <c r="E448" s="110">
        <v>45034</v>
      </c>
    </row>
    <row r="449" spans="3:5" ht="20.25" customHeight="1" x14ac:dyDescent="0.25">
      <c r="C449" s="91" t="s">
        <v>8226</v>
      </c>
      <c r="E449" s="100">
        <v>44923</v>
      </c>
    </row>
    <row r="450" spans="3:5" ht="20.25" customHeight="1" x14ac:dyDescent="0.25">
      <c r="C450" s="91" t="s">
        <v>8227</v>
      </c>
      <c r="E450" s="100">
        <v>44816</v>
      </c>
    </row>
    <row r="451" spans="3:5" ht="20.25" customHeight="1" x14ac:dyDescent="0.25">
      <c r="C451" s="91" t="s">
        <v>8228</v>
      </c>
      <c r="E451" s="100">
        <v>44925</v>
      </c>
    </row>
    <row r="452" spans="3:5" ht="20.25" customHeight="1" x14ac:dyDescent="0.25">
      <c r="C452" s="91" t="s">
        <v>8229</v>
      </c>
      <c r="E452" s="100">
        <v>44816</v>
      </c>
    </row>
    <row r="453" spans="3:5" ht="20.25" customHeight="1" x14ac:dyDescent="0.25">
      <c r="C453" s="91" t="s">
        <v>8230</v>
      </c>
      <c r="E453" s="100">
        <v>44816</v>
      </c>
    </row>
    <row r="454" spans="3:5" ht="20.25" customHeight="1" x14ac:dyDescent="0.25">
      <c r="C454" s="91" t="s">
        <v>8231</v>
      </c>
      <c r="E454" s="100">
        <v>44816</v>
      </c>
    </row>
    <row r="455" spans="3:5" ht="20.25" customHeight="1" x14ac:dyDescent="0.25">
      <c r="C455" s="91" t="s">
        <v>8232</v>
      </c>
      <c r="E455" s="103">
        <v>45065</v>
      </c>
    </row>
    <row r="456" spans="3:5" ht="20.25" customHeight="1" x14ac:dyDescent="0.25">
      <c r="C456" s="91" t="s">
        <v>8233</v>
      </c>
      <c r="E456" s="103">
        <v>45148</v>
      </c>
    </row>
    <row r="457" spans="3:5" ht="20.25" customHeight="1" x14ac:dyDescent="0.25">
      <c r="C457" s="91" t="s">
        <v>8234</v>
      </c>
      <c r="E457" s="100">
        <v>44922</v>
      </c>
    </row>
    <row r="458" spans="3:5" ht="20.25" customHeight="1" x14ac:dyDescent="0.25">
      <c r="C458" s="91" t="s">
        <v>8235</v>
      </c>
      <c r="E458" s="100">
        <v>44910</v>
      </c>
    </row>
    <row r="459" spans="3:5" ht="20.25" customHeight="1" x14ac:dyDescent="0.25">
      <c r="C459" s="91" t="s">
        <v>8236</v>
      </c>
      <c r="E459" s="100">
        <v>44816</v>
      </c>
    </row>
    <row r="460" spans="3:5" ht="20.25" customHeight="1" x14ac:dyDescent="0.25">
      <c r="C460" s="91" t="s">
        <v>8237</v>
      </c>
      <c r="E460" s="100">
        <v>44816</v>
      </c>
    </row>
    <row r="461" spans="3:5" ht="20.25" customHeight="1" x14ac:dyDescent="0.25">
      <c r="C461" s="91" t="s">
        <v>8238</v>
      </c>
      <c r="E461" s="100">
        <v>44816</v>
      </c>
    </row>
    <row r="462" spans="3:5" ht="20.25" customHeight="1" x14ac:dyDescent="0.25">
      <c r="C462" s="91" t="s">
        <v>8239</v>
      </c>
      <c r="E462" s="100">
        <v>44816</v>
      </c>
    </row>
    <row r="463" spans="3:5" ht="20.25" customHeight="1" x14ac:dyDescent="0.25">
      <c r="C463" s="91" t="s">
        <v>8240</v>
      </c>
      <c r="E463" s="100">
        <v>44923</v>
      </c>
    </row>
    <row r="464" spans="3:5" ht="20.25" customHeight="1" x14ac:dyDescent="0.25">
      <c r="C464" s="91" t="s">
        <v>8241</v>
      </c>
      <c r="E464" s="107"/>
    </row>
    <row r="465" spans="3:5" ht="20.25" customHeight="1" x14ac:dyDescent="0.25">
      <c r="C465" s="91" t="s">
        <v>8242</v>
      </c>
      <c r="E465" s="120" t="s">
        <v>4436</v>
      </c>
    </row>
    <row r="466" spans="3:5" ht="20.25" customHeight="1" x14ac:dyDescent="0.25">
      <c r="C466" s="91" t="s">
        <v>8243</v>
      </c>
      <c r="E466" s="120" t="s">
        <v>4436</v>
      </c>
    </row>
    <row r="467" spans="3:5" ht="20.25" customHeight="1" x14ac:dyDescent="0.25">
      <c r="C467" s="91" t="s">
        <v>8244</v>
      </c>
      <c r="E467" s="110">
        <v>45013</v>
      </c>
    </row>
    <row r="468" spans="3:5" ht="20.25" customHeight="1" x14ac:dyDescent="0.25">
      <c r="C468" s="91" t="s">
        <v>8245</v>
      </c>
      <c r="E468" s="100">
        <v>44889</v>
      </c>
    </row>
    <row r="469" spans="3:5" ht="20.25" customHeight="1" x14ac:dyDescent="0.25">
      <c r="C469" s="91" t="s">
        <v>8246</v>
      </c>
      <c r="E469" s="101"/>
    </row>
    <row r="470" spans="3:5" ht="20.25" customHeight="1" x14ac:dyDescent="0.25">
      <c r="C470" s="91" t="s">
        <v>8247</v>
      </c>
      <c r="E470" s="100">
        <v>44877</v>
      </c>
    </row>
    <row r="471" spans="3:5" ht="20.25" customHeight="1" x14ac:dyDescent="0.25">
      <c r="C471" s="91" t="s">
        <v>8248</v>
      </c>
      <c r="E471" s="98" t="s">
        <v>4436</v>
      </c>
    </row>
    <row r="472" spans="3:5" ht="20.25" customHeight="1" x14ac:dyDescent="0.25">
      <c r="C472" s="91" t="s">
        <v>8249</v>
      </c>
      <c r="E472" s="98" t="s">
        <v>4436</v>
      </c>
    </row>
    <row r="473" spans="3:5" ht="20.25" customHeight="1" x14ac:dyDescent="0.25">
      <c r="C473" s="91" t="s">
        <v>8250</v>
      </c>
      <c r="E473" s="98" t="s">
        <v>4436</v>
      </c>
    </row>
    <row r="474" spans="3:5" ht="20.25" customHeight="1" x14ac:dyDescent="0.25">
      <c r="C474" s="91" t="s">
        <v>8251</v>
      </c>
      <c r="E474" s="98" t="s">
        <v>4436</v>
      </c>
    </row>
    <row r="475" spans="3:5" ht="20.25" customHeight="1" x14ac:dyDescent="0.25">
      <c r="C475" s="91" t="s">
        <v>8252</v>
      </c>
      <c r="E475" s="100">
        <v>44889</v>
      </c>
    </row>
    <row r="476" spans="3:5" ht="20.25" customHeight="1" x14ac:dyDescent="0.25">
      <c r="C476" s="91" t="s">
        <v>8253</v>
      </c>
      <c r="E476" s="100">
        <v>44862</v>
      </c>
    </row>
    <row r="477" spans="3:5" ht="20.25" customHeight="1" x14ac:dyDescent="0.25">
      <c r="C477" s="91" t="s">
        <v>8254</v>
      </c>
      <c r="E477" s="100">
        <v>44869</v>
      </c>
    </row>
    <row r="478" spans="3:5" ht="20.25" customHeight="1" x14ac:dyDescent="0.25">
      <c r="C478" s="91" t="s">
        <v>8255</v>
      </c>
      <c r="E478" s="98" t="s">
        <v>4436</v>
      </c>
    </row>
    <row r="479" spans="3:5" ht="20.25" customHeight="1" x14ac:dyDescent="0.25">
      <c r="C479" s="91" t="s">
        <v>8256</v>
      </c>
      <c r="E479" s="98" t="s">
        <v>4436</v>
      </c>
    </row>
    <row r="480" spans="3:5" ht="20.25" customHeight="1" x14ac:dyDescent="0.25">
      <c r="C480" s="91" t="s">
        <v>8257</v>
      </c>
      <c r="E480" s="98" t="s">
        <v>4436</v>
      </c>
    </row>
    <row r="481" spans="3:5" ht="20.25" customHeight="1" x14ac:dyDescent="0.25">
      <c r="C481" s="91" t="s">
        <v>8258</v>
      </c>
      <c r="E481" s="110">
        <v>45014</v>
      </c>
    </row>
    <row r="482" spans="3:5" ht="20.25" customHeight="1" x14ac:dyDescent="0.25">
      <c r="C482" s="91" t="s">
        <v>8259</v>
      </c>
      <c r="E482" s="103">
        <v>45065</v>
      </c>
    </row>
    <row r="483" spans="3:5" ht="20.25" customHeight="1" x14ac:dyDescent="0.25">
      <c r="C483" s="91" t="s">
        <v>8260</v>
      </c>
      <c r="E483" s="100">
        <v>45056</v>
      </c>
    </row>
    <row r="484" spans="3:5" ht="20.25" customHeight="1" x14ac:dyDescent="0.25">
      <c r="C484" s="91" t="s">
        <v>8261</v>
      </c>
      <c r="E484" s="103">
        <v>45049</v>
      </c>
    </row>
    <row r="485" spans="3:5" ht="20.25" customHeight="1" x14ac:dyDescent="0.25">
      <c r="C485" s="91" t="s">
        <v>8262</v>
      </c>
      <c r="E485" s="100">
        <v>45056</v>
      </c>
    </row>
    <row r="486" spans="3:5" ht="20.25" customHeight="1" x14ac:dyDescent="0.25">
      <c r="C486" s="91" t="s">
        <v>8263</v>
      </c>
      <c r="E486" s="98" t="s">
        <v>4436</v>
      </c>
    </row>
    <row r="487" spans="3:5" ht="20.25" customHeight="1" x14ac:dyDescent="0.25">
      <c r="C487" s="91" t="s">
        <v>8264</v>
      </c>
      <c r="E487" s="100">
        <v>44862</v>
      </c>
    </row>
    <row r="488" spans="3:5" ht="20.25" customHeight="1" x14ac:dyDescent="0.25">
      <c r="C488" s="91" t="s">
        <v>8265</v>
      </c>
      <c r="E488" s="100">
        <v>44910</v>
      </c>
    </row>
    <row r="489" spans="3:5" ht="20.25" customHeight="1" x14ac:dyDescent="0.25">
      <c r="C489" s="91" t="s">
        <v>8266</v>
      </c>
      <c r="E489" s="98" t="s">
        <v>4436</v>
      </c>
    </row>
    <row r="490" spans="3:5" ht="20.25" customHeight="1" x14ac:dyDescent="0.25">
      <c r="C490" s="91" t="s">
        <v>8267</v>
      </c>
      <c r="E490" s="98" t="s">
        <v>4436</v>
      </c>
    </row>
    <row r="491" spans="3:5" ht="20.25" customHeight="1" x14ac:dyDescent="0.25">
      <c r="C491" s="91" t="s">
        <v>8268</v>
      </c>
      <c r="E491" s="100">
        <v>44890</v>
      </c>
    </row>
    <row r="492" spans="3:5" ht="20.25" customHeight="1" x14ac:dyDescent="0.25">
      <c r="C492" s="91" t="s">
        <v>8269</v>
      </c>
      <c r="E492" s="100">
        <v>44869</v>
      </c>
    </row>
    <row r="493" spans="3:5" ht="20.25" customHeight="1" x14ac:dyDescent="0.25">
      <c r="C493" s="91" t="s">
        <v>8270</v>
      </c>
      <c r="E493" s="100">
        <v>44867</v>
      </c>
    </row>
    <row r="494" spans="3:5" ht="20.25" customHeight="1" x14ac:dyDescent="0.25">
      <c r="C494" s="91" t="s">
        <v>8271</v>
      </c>
      <c r="E494" s="98" t="s">
        <v>4436</v>
      </c>
    </row>
    <row r="495" spans="3:5" ht="20.25" customHeight="1" x14ac:dyDescent="0.25">
      <c r="C495" s="91" t="s">
        <v>8272</v>
      </c>
      <c r="E495" s="98" t="s">
        <v>4436</v>
      </c>
    </row>
    <row r="496" spans="3:5" ht="20.25" customHeight="1" x14ac:dyDescent="0.25">
      <c r="C496" s="96" t="s">
        <v>8273</v>
      </c>
      <c r="E496" s="98" t="s">
        <v>4436</v>
      </c>
    </row>
    <row r="497" spans="3:5" ht="20.25" customHeight="1" x14ac:dyDescent="0.25">
      <c r="C497" s="91" t="s">
        <v>8274</v>
      </c>
      <c r="E497" s="103">
        <v>45049</v>
      </c>
    </row>
    <row r="498" spans="3:5" ht="20.25" customHeight="1" x14ac:dyDescent="0.25">
      <c r="C498" s="91" t="s">
        <v>8275</v>
      </c>
      <c r="E498" s="100">
        <v>44923</v>
      </c>
    </row>
    <row r="499" spans="3:5" ht="20.25" customHeight="1" x14ac:dyDescent="0.25">
      <c r="C499" s="91" t="s">
        <v>8276</v>
      </c>
      <c r="E499" s="98" t="s">
        <v>4436</v>
      </c>
    </row>
    <row r="500" spans="3:5" ht="20.25" customHeight="1" x14ac:dyDescent="0.25">
      <c r="C500" s="91" t="s">
        <v>8277</v>
      </c>
      <c r="E500" s="100">
        <v>44877</v>
      </c>
    </row>
    <row r="501" spans="3:5" ht="20.25" customHeight="1" x14ac:dyDescent="0.25">
      <c r="C501" s="91" t="s">
        <v>8278</v>
      </c>
      <c r="E501" s="100">
        <v>44862</v>
      </c>
    </row>
    <row r="502" spans="3:5" ht="20.25" customHeight="1" x14ac:dyDescent="0.25">
      <c r="C502" s="96" t="s">
        <v>8279</v>
      </c>
      <c r="E502" s="100">
        <v>44862</v>
      </c>
    </row>
    <row r="503" spans="3:5" ht="20.25" customHeight="1" x14ac:dyDescent="0.25">
      <c r="C503" s="91" t="s">
        <v>8280</v>
      </c>
      <c r="E503" s="98" t="s">
        <v>4436</v>
      </c>
    </row>
    <row r="504" spans="3:5" ht="20.25" customHeight="1" x14ac:dyDescent="0.25">
      <c r="C504" s="91" t="s">
        <v>8281</v>
      </c>
      <c r="E504" s="100">
        <v>44889</v>
      </c>
    </row>
    <row r="505" spans="3:5" ht="20.25" customHeight="1" x14ac:dyDescent="0.25">
      <c r="C505" s="91" t="s">
        <v>8282</v>
      </c>
      <c r="E505" s="98" t="s">
        <v>4436</v>
      </c>
    </row>
    <row r="506" spans="3:5" ht="20.25" customHeight="1" x14ac:dyDescent="0.25">
      <c r="C506" s="91" t="s">
        <v>8283</v>
      </c>
      <c r="E506" s="98" t="s">
        <v>4436</v>
      </c>
    </row>
    <row r="507" spans="3:5" ht="20.25" customHeight="1" x14ac:dyDescent="0.25">
      <c r="C507" s="91" t="s">
        <v>8284</v>
      </c>
      <c r="E507" s="98" t="s">
        <v>4436</v>
      </c>
    </row>
    <row r="508" spans="3:5" ht="20.25" customHeight="1" x14ac:dyDescent="0.25">
      <c r="C508" s="91" t="s">
        <v>8285</v>
      </c>
      <c r="E508" s="100">
        <v>44862</v>
      </c>
    </row>
    <row r="509" spans="3:5" ht="20.25" customHeight="1" x14ac:dyDescent="0.25">
      <c r="C509" s="91" t="s">
        <v>8286</v>
      </c>
      <c r="E509" s="100">
        <v>44862</v>
      </c>
    </row>
    <row r="510" spans="3:5" ht="20.25" customHeight="1" x14ac:dyDescent="0.25">
      <c r="C510" s="91" t="s">
        <v>8287</v>
      </c>
      <c r="E510" s="100">
        <v>44889</v>
      </c>
    </row>
    <row r="511" spans="3:5" ht="20.25" customHeight="1" x14ac:dyDescent="0.25">
      <c r="C511" s="91" t="s">
        <v>8288</v>
      </c>
      <c r="E511" s="100">
        <v>44869</v>
      </c>
    </row>
    <row r="512" spans="3:5" ht="20.25" customHeight="1" x14ac:dyDescent="0.25">
      <c r="C512" s="91" t="s">
        <v>8289</v>
      </c>
      <c r="E512" s="105">
        <v>45013</v>
      </c>
    </row>
    <row r="513" spans="3:5" ht="20.25" customHeight="1" x14ac:dyDescent="0.25">
      <c r="C513" s="91" t="s">
        <v>8290</v>
      </c>
      <c r="E513" s="105">
        <v>45013</v>
      </c>
    </row>
    <row r="514" spans="3:5" ht="20.25" customHeight="1" x14ac:dyDescent="0.25">
      <c r="C514" s="91" t="s">
        <v>8291</v>
      </c>
      <c r="E514" s="100">
        <v>44816</v>
      </c>
    </row>
    <row r="515" spans="3:5" ht="20.25" customHeight="1" x14ac:dyDescent="0.25">
      <c r="C515" s="91" t="s">
        <v>8292</v>
      </c>
      <c r="E515" s="98" t="s">
        <v>4436</v>
      </c>
    </row>
    <row r="516" spans="3:5" ht="20.25" customHeight="1" x14ac:dyDescent="0.25">
      <c r="C516" s="91" t="s">
        <v>8293</v>
      </c>
      <c r="E516" s="98" t="s">
        <v>4436</v>
      </c>
    </row>
    <row r="517" spans="3:5" ht="20.25" customHeight="1" x14ac:dyDescent="0.25">
      <c r="C517" s="91" t="s">
        <v>8294</v>
      </c>
      <c r="E517" s="98" t="s">
        <v>4436</v>
      </c>
    </row>
    <row r="518" spans="3:5" ht="20.25" customHeight="1" x14ac:dyDescent="0.25">
      <c r="C518" s="91" t="s">
        <v>8295</v>
      </c>
      <c r="E518" s="98" t="s">
        <v>4436</v>
      </c>
    </row>
    <row r="519" spans="3:5" ht="20.25" customHeight="1" x14ac:dyDescent="0.25">
      <c r="C519" s="91" t="s">
        <v>8296</v>
      </c>
      <c r="E519" s="98" t="s">
        <v>4436</v>
      </c>
    </row>
    <row r="520" spans="3:5" ht="20.25" customHeight="1" x14ac:dyDescent="0.25">
      <c r="C520" s="91" t="s">
        <v>8297</v>
      </c>
      <c r="E520" s="98" t="s">
        <v>4436</v>
      </c>
    </row>
    <row r="521" spans="3:5" ht="20.25" customHeight="1" x14ac:dyDescent="0.25">
      <c r="C521" s="91" t="s">
        <v>8298</v>
      </c>
      <c r="E521" s="98" t="s">
        <v>4436</v>
      </c>
    </row>
    <row r="522" spans="3:5" ht="20.25" customHeight="1" x14ac:dyDescent="0.25">
      <c r="C522" s="91" t="s">
        <v>8299</v>
      </c>
      <c r="E522" s="98" t="s">
        <v>4436</v>
      </c>
    </row>
    <row r="523" spans="3:5" ht="20.25" customHeight="1" x14ac:dyDescent="0.25">
      <c r="C523" s="91" t="s">
        <v>8300</v>
      </c>
      <c r="E523" s="100">
        <v>44869</v>
      </c>
    </row>
    <row r="524" spans="3:5" ht="20.25" customHeight="1" x14ac:dyDescent="0.25">
      <c r="C524" s="91" t="s">
        <v>8301</v>
      </c>
      <c r="E524" s="100">
        <v>44862</v>
      </c>
    </row>
    <row r="525" spans="3:5" ht="20.25" customHeight="1" x14ac:dyDescent="0.25">
      <c r="C525" s="91" t="s">
        <v>8302</v>
      </c>
      <c r="E525" s="100">
        <v>44869</v>
      </c>
    </row>
    <row r="526" spans="3:5" ht="20.25" customHeight="1" x14ac:dyDescent="0.25">
      <c r="C526" s="91" t="s">
        <v>8303</v>
      </c>
      <c r="E526" s="98" t="s">
        <v>4436</v>
      </c>
    </row>
    <row r="527" spans="3:5" ht="20.25" customHeight="1" x14ac:dyDescent="0.25">
      <c r="C527" s="91" t="s">
        <v>8304</v>
      </c>
      <c r="E527" s="98" t="s">
        <v>4436</v>
      </c>
    </row>
    <row r="528" spans="3:5" ht="20.25" customHeight="1" x14ac:dyDescent="0.25">
      <c r="C528" s="91" t="s">
        <v>8305</v>
      </c>
      <c r="E528" s="98" t="s">
        <v>4436</v>
      </c>
    </row>
    <row r="529" spans="3:5" ht="20.25" customHeight="1" x14ac:dyDescent="0.25">
      <c r="C529" s="91" t="s">
        <v>8306</v>
      </c>
      <c r="E529" s="100">
        <v>44889</v>
      </c>
    </row>
    <row r="530" spans="3:5" ht="20.25" customHeight="1" x14ac:dyDescent="0.25">
      <c r="C530" s="91" t="s">
        <v>8307</v>
      </c>
      <c r="E530" s="100">
        <v>44910</v>
      </c>
    </row>
    <row r="531" spans="3:5" ht="20.25" customHeight="1" x14ac:dyDescent="0.25">
      <c r="C531" s="91" t="s">
        <v>8308</v>
      </c>
      <c r="E531" s="100">
        <v>44869</v>
      </c>
    </row>
    <row r="532" spans="3:5" ht="20.25" customHeight="1" x14ac:dyDescent="0.25">
      <c r="C532" s="91" t="s">
        <v>8309</v>
      </c>
      <c r="E532" s="100">
        <v>44889</v>
      </c>
    </row>
    <row r="533" spans="3:5" ht="20.25" customHeight="1" x14ac:dyDescent="0.25">
      <c r="C533" s="91" t="s">
        <v>8310</v>
      </c>
      <c r="E533" s="100">
        <v>44910</v>
      </c>
    </row>
    <row r="534" spans="3:5" ht="20.25" customHeight="1" x14ac:dyDescent="0.25">
      <c r="C534" s="91" t="s">
        <v>8311</v>
      </c>
      <c r="E534" s="100">
        <v>44889</v>
      </c>
    </row>
    <row r="535" spans="3:5" ht="20.25" customHeight="1" x14ac:dyDescent="0.25">
      <c r="C535" s="91" t="s">
        <v>8312</v>
      </c>
      <c r="E535" s="100">
        <v>44910</v>
      </c>
    </row>
    <row r="536" spans="3:5" ht="20.25" customHeight="1" x14ac:dyDescent="0.25">
      <c r="C536" s="91" t="s">
        <v>8313</v>
      </c>
      <c r="E536" s="100">
        <v>44877</v>
      </c>
    </row>
    <row r="537" spans="3:5" ht="20.25" customHeight="1" x14ac:dyDescent="0.25">
      <c r="C537" s="91" t="s">
        <v>8314</v>
      </c>
      <c r="E537" s="100">
        <v>44862</v>
      </c>
    </row>
    <row r="538" spans="3:5" ht="20.25" customHeight="1" x14ac:dyDescent="0.25">
      <c r="C538" s="91" t="s">
        <v>8315</v>
      </c>
      <c r="E538" s="98" t="s">
        <v>4436</v>
      </c>
    </row>
    <row r="539" spans="3:5" ht="20.25" customHeight="1" x14ac:dyDescent="0.25">
      <c r="C539" s="91" t="s">
        <v>8316</v>
      </c>
      <c r="E539" s="98" t="s">
        <v>4436</v>
      </c>
    </row>
    <row r="540" spans="3:5" ht="20.25" customHeight="1" x14ac:dyDescent="0.25">
      <c r="C540" s="91" t="s">
        <v>8317</v>
      </c>
      <c r="E540" s="98" t="s">
        <v>4436</v>
      </c>
    </row>
    <row r="541" spans="3:5" ht="20.25" customHeight="1" x14ac:dyDescent="0.25">
      <c r="C541" s="91" t="s">
        <v>8318</v>
      </c>
      <c r="E541" s="98" t="s">
        <v>4436</v>
      </c>
    </row>
    <row r="542" spans="3:5" ht="20.25" customHeight="1" x14ac:dyDescent="0.25">
      <c r="C542" s="91" t="s">
        <v>8319</v>
      </c>
      <c r="E542" s="100">
        <v>44816</v>
      </c>
    </row>
    <row r="543" spans="3:5" ht="20.25" customHeight="1" x14ac:dyDescent="0.25">
      <c r="C543" s="91" t="s">
        <v>8320</v>
      </c>
      <c r="E543" s="100">
        <v>44961</v>
      </c>
    </row>
    <row r="544" spans="3:5" ht="20.25" customHeight="1" x14ac:dyDescent="0.25">
      <c r="C544" s="91" t="s">
        <v>8321</v>
      </c>
      <c r="E544" s="98" t="s">
        <v>4436</v>
      </c>
    </row>
    <row r="545" spans="3:5" ht="20.25" customHeight="1" x14ac:dyDescent="0.25">
      <c r="C545" s="91" t="s">
        <v>8322</v>
      </c>
      <c r="E545" s="100">
        <v>44889</v>
      </c>
    </row>
    <row r="546" spans="3:5" ht="20.25" customHeight="1" x14ac:dyDescent="0.25">
      <c r="C546" s="91" t="s">
        <v>8323</v>
      </c>
      <c r="E546" s="100">
        <v>44816</v>
      </c>
    </row>
    <row r="547" spans="3:5" ht="20.25" customHeight="1" x14ac:dyDescent="0.25">
      <c r="C547" s="91" t="s">
        <v>8324</v>
      </c>
      <c r="E547" s="100">
        <v>44961</v>
      </c>
    </row>
    <row r="548" spans="3:5" ht="20.25" customHeight="1" x14ac:dyDescent="0.25">
      <c r="C548" s="91" t="s">
        <v>8325</v>
      </c>
      <c r="E548" s="100">
        <v>44910</v>
      </c>
    </row>
    <row r="549" spans="3:5" ht="20.25" customHeight="1" x14ac:dyDescent="0.25">
      <c r="C549" s="91" t="s">
        <v>8326</v>
      </c>
      <c r="E549" s="100">
        <v>44889</v>
      </c>
    </row>
    <row r="550" spans="3:5" ht="20.25" customHeight="1" x14ac:dyDescent="0.25">
      <c r="C550" s="95" t="s">
        <v>8327</v>
      </c>
      <c r="E550" s="100">
        <v>44816</v>
      </c>
    </row>
    <row r="551" spans="3:5" ht="20.25" customHeight="1" x14ac:dyDescent="0.25">
      <c r="C551" s="91" t="s">
        <v>8328</v>
      </c>
      <c r="E551" s="100">
        <v>44889</v>
      </c>
    </row>
    <row r="552" spans="3:5" ht="20.25" customHeight="1" x14ac:dyDescent="0.25">
      <c r="C552" s="91" t="s">
        <v>8329</v>
      </c>
      <c r="E552" s="100">
        <v>44816</v>
      </c>
    </row>
    <row r="553" spans="3:5" ht="20.25" customHeight="1" x14ac:dyDescent="0.25">
      <c r="C553" s="91" t="s">
        <v>8330</v>
      </c>
      <c r="E553" s="98" t="s">
        <v>4436</v>
      </c>
    </row>
    <row r="554" spans="3:5" ht="20.25" customHeight="1" x14ac:dyDescent="0.25">
      <c r="C554" s="91" t="s">
        <v>8331</v>
      </c>
      <c r="E554" s="98" t="s">
        <v>4436</v>
      </c>
    </row>
    <row r="555" spans="3:5" ht="20.25" customHeight="1" x14ac:dyDescent="0.25">
      <c r="C555" s="91" t="s">
        <v>8332</v>
      </c>
      <c r="E555" s="98" t="s">
        <v>4436</v>
      </c>
    </row>
    <row r="556" spans="3:5" ht="20.25" customHeight="1" x14ac:dyDescent="0.25">
      <c r="C556" s="91" t="s">
        <v>8333</v>
      </c>
      <c r="E556" s="100">
        <v>44889</v>
      </c>
    </row>
    <row r="557" spans="3:5" ht="20.25" customHeight="1" x14ac:dyDescent="0.25">
      <c r="C557" s="91" t="s">
        <v>8334</v>
      </c>
      <c r="E557" s="98" t="s">
        <v>4436</v>
      </c>
    </row>
    <row r="558" spans="3:5" ht="20.25" customHeight="1" x14ac:dyDescent="0.25">
      <c r="C558" s="91" t="s">
        <v>8335</v>
      </c>
      <c r="E558" s="98" t="s">
        <v>4436</v>
      </c>
    </row>
    <row r="559" spans="3:5" ht="20.25" customHeight="1" x14ac:dyDescent="0.25">
      <c r="C559" s="91" t="s">
        <v>8336</v>
      </c>
      <c r="E559" s="100">
        <v>44889</v>
      </c>
    </row>
    <row r="560" spans="3:5" ht="20.25" customHeight="1" x14ac:dyDescent="0.25">
      <c r="C560" s="91" t="s">
        <v>8337</v>
      </c>
      <c r="E560" s="100">
        <v>44889</v>
      </c>
    </row>
    <row r="561" spans="3:5" ht="20.25" customHeight="1" x14ac:dyDescent="0.25">
      <c r="C561" s="91" t="s">
        <v>8338</v>
      </c>
      <c r="E561" s="100"/>
    </row>
    <row r="562" spans="3:5" ht="20.25" customHeight="1" x14ac:dyDescent="0.25">
      <c r="C562" s="91" t="s">
        <v>8339</v>
      </c>
      <c r="E562" s="100">
        <v>45097</v>
      </c>
    </row>
    <row r="563" spans="3:5" ht="20.25" customHeight="1" x14ac:dyDescent="0.25">
      <c r="C563" s="91" t="s">
        <v>8340</v>
      </c>
      <c r="E563" s="100">
        <v>44910</v>
      </c>
    </row>
    <row r="564" spans="3:5" ht="20.25" customHeight="1" x14ac:dyDescent="0.25">
      <c r="C564" s="90" t="s">
        <v>8341</v>
      </c>
      <c r="E564" s="100">
        <v>44923</v>
      </c>
    </row>
    <row r="565" spans="3:5" ht="20.25" customHeight="1" x14ac:dyDescent="0.25">
      <c r="C565" s="91" t="s">
        <v>8342</v>
      </c>
      <c r="E565" s="100">
        <v>44923</v>
      </c>
    </row>
    <row r="566" spans="3:5" ht="20.25" customHeight="1" x14ac:dyDescent="0.25">
      <c r="C566" s="91" t="s">
        <v>8343</v>
      </c>
      <c r="E566" s="100">
        <v>44910</v>
      </c>
    </row>
    <row r="567" spans="3:5" ht="20.25" customHeight="1" x14ac:dyDescent="0.25">
      <c r="C567" s="91" t="s">
        <v>8344</v>
      </c>
      <c r="E567" s="100">
        <v>44910</v>
      </c>
    </row>
    <row r="568" spans="3:5" ht="20.25" customHeight="1" x14ac:dyDescent="0.25">
      <c r="C568" s="91" t="s">
        <v>8345</v>
      </c>
      <c r="E568" s="98" t="s">
        <v>4436</v>
      </c>
    </row>
    <row r="569" spans="3:5" ht="20.25" customHeight="1" x14ac:dyDescent="0.25">
      <c r="C569" s="91" t="s">
        <v>8346</v>
      </c>
      <c r="E569" s="100">
        <v>44923</v>
      </c>
    </row>
    <row r="570" spans="3:5" ht="20.25" customHeight="1" x14ac:dyDescent="0.25">
      <c r="C570" s="91" t="s">
        <v>8347</v>
      </c>
      <c r="E570" s="100">
        <v>44910</v>
      </c>
    </row>
    <row r="571" spans="3:5" ht="20.25" customHeight="1" x14ac:dyDescent="0.25">
      <c r="C571" s="91" t="s">
        <v>8348</v>
      </c>
      <c r="E571" s="100">
        <v>44923</v>
      </c>
    </row>
    <row r="572" spans="3:5" ht="20.25" customHeight="1" x14ac:dyDescent="0.25">
      <c r="C572" s="91" t="s">
        <v>8349</v>
      </c>
      <c r="E572" s="100">
        <v>44910</v>
      </c>
    </row>
    <row r="573" spans="3:5" ht="20.25" customHeight="1" x14ac:dyDescent="0.25">
      <c r="C573" s="91" t="s">
        <v>7833</v>
      </c>
      <c r="E573" s="100">
        <v>44910</v>
      </c>
    </row>
    <row r="574" spans="3:5" ht="20.25" customHeight="1" x14ac:dyDescent="0.25">
      <c r="C574" s="91" t="s">
        <v>7835</v>
      </c>
      <c r="E574" s="100">
        <v>44869</v>
      </c>
    </row>
    <row r="575" spans="3:5" ht="20.25" customHeight="1" x14ac:dyDescent="0.25">
      <c r="C575" s="91" t="s">
        <v>8350</v>
      </c>
      <c r="E575" s="100">
        <v>44869</v>
      </c>
    </row>
    <row r="576" spans="3:5" ht="20.25" customHeight="1" x14ac:dyDescent="0.25">
      <c r="C576" s="91" t="s">
        <v>8351</v>
      </c>
      <c r="E576" s="100">
        <v>44876</v>
      </c>
    </row>
    <row r="577" spans="3:5" ht="20.25" customHeight="1" x14ac:dyDescent="0.25">
      <c r="C577" s="90" t="s">
        <v>8352</v>
      </c>
      <c r="E577" s="98" t="s">
        <v>4436</v>
      </c>
    </row>
    <row r="578" spans="3:5" ht="20.25" customHeight="1" x14ac:dyDescent="0.25">
      <c r="C578" s="91" t="s">
        <v>8353</v>
      </c>
      <c r="E578" s="100">
        <v>44869</v>
      </c>
    </row>
    <row r="579" spans="3:5" ht="20.25" customHeight="1" x14ac:dyDescent="0.25">
      <c r="C579" s="91" t="s">
        <v>8354</v>
      </c>
      <c r="E579" s="98" t="s">
        <v>4436</v>
      </c>
    </row>
    <row r="580" spans="3:5" ht="20.25" customHeight="1" x14ac:dyDescent="0.25">
      <c r="C580" s="91" t="s">
        <v>8355</v>
      </c>
      <c r="E580" s="98" t="s">
        <v>4436</v>
      </c>
    </row>
    <row r="581" spans="3:5" ht="20.25" customHeight="1" x14ac:dyDescent="0.25">
      <c r="C581" s="91" t="s">
        <v>8356</v>
      </c>
      <c r="E581" s="98" t="s">
        <v>4436</v>
      </c>
    </row>
    <row r="582" spans="3:5" ht="20.25" customHeight="1" x14ac:dyDescent="0.25">
      <c r="C582" s="91" t="s">
        <v>7837</v>
      </c>
      <c r="E582" s="98" t="s">
        <v>4436</v>
      </c>
    </row>
    <row r="583" spans="3:5" ht="20.25" customHeight="1" x14ac:dyDescent="0.25">
      <c r="C583" s="91" t="s">
        <v>8357</v>
      </c>
      <c r="E583" s="98" t="s">
        <v>4436</v>
      </c>
    </row>
    <row r="584" spans="3:5" ht="20.25" customHeight="1" x14ac:dyDescent="0.25">
      <c r="C584" s="91" t="s">
        <v>8358</v>
      </c>
      <c r="E584" s="98" t="s">
        <v>4436</v>
      </c>
    </row>
    <row r="585" spans="3:5" ht="20.25" customHeight="1" x14ac:dyDescent="0.25">
      <c r="C585" s="91" t="s">
        <v>8359</v>
      </c>
      <c r="E585" s="98" t="s">
        <v>4436</v>
      </c>
    </row>
    <row r="586" spans="3:5" ht="20.25" customHeight="1" x14ac:dyDescent="0.25">
      <c r="C586" s="91" t="s">
        <v>8360</v>
      </c>
      <c r="E586" s="98" t="s">
        <v>4436</v>
      </c>
    </row>
    <row r="587" spans="3:5" ht="20.25" customHeight="1" x14ac:dyDescent="0.25">
      <c r="C587" s="91" t="s">
        <v>8361</v>
      </c>
      <c r="E587" s="98" t="s">
        <v>4436</v>
      </c>
    </row>
    <row r="588" spans="3:5" ht="20.25" customHeight="1" x14ac:dyDescent="0.25">
      <c r="C588" s="91" t="s">
        <v>8362</v>
      </c>
      <c r="E588" s="98" t="s">
        <v>4436</v>
      </c>
    </row>
    <row r="589" spans="3:5" ht="20.25" customHeight="1" x14ac:dyDescent="0.25">
      <c r="C589" s="91" t="s">
        <v>8363</v>
      </c>
      <c r="E589" s="98" t="s">
        <v>4436</v>
      </c>
    </row>
    <row r="590" spans="3:5" ht="20.25" customHeight="1" x14ac:dyDescent="0.25">
      <c r="C590" s="91" t="s">
        <v>8364</v>
      </c>
      <c r="E590" s="98" t="s">
        <v>4436</v>
      </c>
    </row>
    <row r="591" spans="3:5" ht="20.25" customHeight="1" x14ac:dyDescent="0.25">
      <c r="C591" s="91" t="s">
        <v>8365</v>
      </c>
      <c r="E591" s="98" t="s">
        <v>4436</v>
      </c>
    </row>
    <row r="592" spans="3:5" ht="20.25" customHeight="1" x14ac:dyDescent="0.25">
      <c r="C592" s="91" t="s">
        <v>8366</v>
      </c>
      <c r="E592" s="100">
        <v>44910</v>
      </c>
    </row>
    <row r="593" spans="3:5" ht="20.25" customHeight="1" x14ac:dyDescent="0.25">
      <c r="C593" s="91" t="s">
        <v>8367</v>
      </c>
      <c r="E593" s="98" t="s">
        <v>4436</v>
      </c>
    </row>
    <row r="594" spans="3:5" ht="20.25" customHeight="1" x14ac:dyDescent="0.25">
      <c r="C594" s="91" t="s">
        <v>8368</v>
      </c>
      <c r="E594" s="100">
        <v>44910</v>
      </c>
    </row>
    <row r="595" spans="3:5" ht="20.25" customHeight="1" x14ac:dyDescent="0.25">
      <c r="C595" s="91" t="s">
        <v>8369</v>
      </c>
      <c r="E595" s="98" t="s">
        <v>4436</v>
      </c>
    </row>
    <row r="596" spans="3:5" ht="20.25" customHeight="1" x14ac:dyDescent="0.25">
      <c r="C596" s="91" t="s">
        <v>8370</v>
      </c>
      <c r="E596" s="100">
        <v>44910</v>
      </c>
    </row>
    <row r="597" spans="3:5" ht="20.25" customHeight="1" x14ac:dyDescent="0.25">
      <c r="C597" s="91" t="s">
        <v>8371</v>
      </c>
      <c r="E597" s="98" t="s">
        <v>4436</v>
      </c>
    </row>
    <row r="598" spans="3:5" ht="20.25" customHeight="1" x14ac:dyDescent="0.25">
      <c r="C598" s="95" t="s">
        <v>8372</v>
      </c>
      <c r="E598" s="98" t="s">
        <v>4436</v>
      </c>
    </row>
    <row r="599" spans="3:5" ht="20.25" customHeight="1" x14ac:dyDescent="0.25">
      <c r="C599" s="91" t="s">
        <v>8373</v>
      </c>
      <c r="E599" s="98" t="s">
        <v>4436</v>
      </c>
    </row>
    <row r="600" spans="3:5" ht="20.25" customHeight="1" x14ac:dyDescent="0.25">
      <c r="C600" s="91" t="s">
        <v>8374</v>
      </c>
      <c r="E600" s="98" t="s">
        <v>4436</v>
      </c>
    </row>
    <row r="601" spans="3:5" ht="20.25" customHeight="1" x14ac:dyDescent="0.25">
      <c r="C601" s="91" t="s">
        <v>8375</v>
      </c>
      <c r="E601" s="103">
        <v>45065</v>
      </c>
    </row>
    <row r="602" spans="3:5" ht="20.25" customHeight="1" x14ac:dyDescent="0.25">
      <c r="C602" s="91" t="s">
        <v>8376</v>
      </c>
      <c r="E602" s="103">
        <v>45148</v>
      </c>
    </row>
    <row r="603" spans="3:5" ht="20.25" customHeight="1" x14ac:dyDescent="0.25">
      <c r="C603" s="91" t="s">
        <v>8377</v>
      </c>
      <c r="E603" s="100">
        <v>44910</v>
      </c>
    </row>
    <row r="604" spans="3:5" ht="20.25" customHeight="1" x14ac:dyDescent="0.25">
      <c r="C604" s="91" t="s">
        <v>8378</v>
      </c>
      <c r="E604" s="110">
        <v>45040</v>
      </c>
    </row>
    <row r="605" spans="3:5" ht="20.25" customHeight="1" x14ac:dyDescent="0.25">
      <c r="C605" s="91" t="s">
        <v>8379</v>
      </c>
      <c r="E605" s="98" t="s">
        <v>4436</v>
      </c>
    </row>
    <row r="606" spans="3:5" ht="20.25" customHeight="1" x14ac:dyDescent="0.25">
      <c r="C606" s="91" t="s">
        <v>8380</v>
      </c>
      <c r="E606" s="103">
        <v>45065</v>
      </c>
    </row>
    <row r="607" spans="3:5" ht="20.25" customHeight="1" x14ac:dyDescent="0.25">
      <c r="C607" s="91" t="s">
        <v>8381</v>
      </c>
      <c r="E607" s="98" t="s">
        <v>4436</v>
      </c>
    </row>
    <row r="608" spans="3:5" ht="20.25" customHeight="1" x14ac:dyDescent="0.25">
      <c r="C608" s="91" t="s">
        <v>8382</v>
      </c>
      <c r="E608" s="110">
        <v>45040</v>
      </c>
    </row>
    <row r="609" spans="3:5" ht="20.25" customHeight="1" x14ac:dyDescent="0.25">
      <c r="C609" s="91" t="s">
        <v>8383</v>
      </c>
      <c r="E609" s="100">
        <v>44923</v>
      </c>
    </row>
    <row r="610" spans="3:5" ht="20.25" customHeight="1" x14ac:dyDescent="0.25">
      <c r="C610" s="91" t="s">
        <v>8384</v>
      </c>
      <c r="E610" s="103">
        <v>45065</v>
      </c>
    </row>
    <row r="611" spans="3:5" ht="20.25" customHeight="1" x14ac:dyDescent="0.25">
      <c r="C611" s="91" t="s">
        <v>8385</v>
      </c>
      <c r="E611" s="98" t="s">
        <v>4436</v>
      </c>
    </row>
    <row r="612" spans="3:5" ht="20.25" customHeight="1" x14ac:dyDescent="0.25">
      <c r="C612" s="91" t="s">
        <v>8386</v>
      </c>
      <c r="E612" s="98" t="s">
        <v>4436</v>
      </c>
    </row>
    <row r="613" spans="3:5" ht="20.25" customHeight="1" x14ac:dyDescent="0.25">
      <c r="C613" s="91" t="s">
        <v>8387</v>
      </c>
      <c r="E613" s="100">
        <v>44910</v>
      </c>
    </row>
    <row r="614" spans="3:5" ht="20.25" customHeight="1" x14ac:dyDescent="0.25">
      <c r="C614" s="91" t="s">
        <v>8388</v>
      </c>
      <c r="E614" s="100">
        <v>44923</v>
      </c>
    </row>
    <row r="615" spans="3:5" ht="20.25" customHeight="1" x14ac:dyDescent="0.25">
      <c r="C615" s="91" t="s">
        <v>8389</v>
      </c>
      <c r="E615" s="100">
        <v>44910</v>
      </c>
    </row>
    <row r="616" spans="3:5" ht="20.25" customHeight="1" x14ac:dyDescent="0.25">
      <c r="C616" s="90" t="s">
        <v>8390</v>
      </c>
      <c r="E616" s="100">
        <v>44869</v>
      </c>
    </row>
    <row r="617" spans="3:5" ht="20.25" customHeight="1" x14ac:dyDescent="0.25">
      <c r="C617" s="91" t="s">
        <v>8391</v>
      </c>
      <c r="E617" s="100">
        <v>44910</v>
      </c>
    </row>
    <row r="618" spans="3:5" ht="20.25" customHeight="1" x14ac:dyDescent="0.25">
      <c r="C618" s="91" t="s">
        <v>8392</v>
      </c>
      <c r="E618" s="98"/>
    </row>
    <row r="619" spans="3:5" ht="20.25" customHeight="1" x14ac:dyDescent="0.25">
      <c r="C619" s="91" t="s">
        <v>8393</v>
      </c>
      <c r="E619" s="100">
        <v>44910</v>
      </c>
    </row>
    <row r="620" spans="3:5" ht="20.25" customHeight="1" x14ac:dyDescent="0.25">
      <c r="C620" s="91" t="s">
        <v>7839</v>
      </c>
      <c r="E620" s="98" t="s">
        <v>4436</v>
      </c>
    </row>
    <row r="621" spans="3:5" ht="20.25" customHeight="1" x14ac:dyDescent="0.25">
      <c r="C621" s="91" t="s">
        <v>8394</v>
      </c>
      <c r="E621" s="100">
        <v>44923</v>
      </c>
    </row>
    <row r="622" spans="3:5" ht="20.25" customHeight="1" x14ac:dyDescent="0.25">
      <c r="C622" s="91" t="s">
        <v>8395</v>
      </c>
      <c r="E622" s="100">
        <v>44910</v>
      </c>
    </row>
    <row r="623" spans="3:5" ht="20.25" customHeight="1" x14ac:dyDescent="0.25">
      <c r="C623" s="91" t="s">
        <v>8396</v>
      </c>
      <c r="E623" s="100">
        <v>44910</v>
      </c>
    </row>
    <row r="624" spans="3:5" ht="20.25" customHeight="1" x14ac:dyDescent="0.25">
      <c r="C624" s="91" t="s">
        <v>8397</v>
      </c>
      <c r="E624" s="98"/>
    </row>
    <row r="625" spans="3:5" ht="20.25" customHeight="1" x14ac:dyDescent="0.25">
      <c r="C625" s="91" t="s">
        <v>8398</v>
      </c>
      <c r="E625" s="107"/>
    </row>
    <row r="626" spans="3:5" ht="20.25" customHeight="1" x14ac:dyDescent="0.25">
      <c r="C626" s="91" t="s">
        <v>8399</v>
      </c>
      <c r="E626" s="107"/>
    </row>
    <row r="627" spans="3:5" ht="20.25" customHeight="1" x14ac:dyDescent="0.25">
      <c r="C627" s="91" t="s">
        <v>8400</v>
      </c>
      <c r="E627" s="107"/>
    </row>
    <row r="628" spans="3:5" ht="20.25" customHeight="1" x14ac:dyDescent="0.25">
      <c r="C628" s="91" t="s">
        <v>8401</v>
      </c>
      <c r="E628" s="107"/>
    </row>
    <row r="629" spans="3:5" ht="20.25" customHeight="1" x14ac:dyDescent="0.25">
      <c r="C629" s="91" t="s">
        <v>8402</v>
      </c>
      <c r="E629" s="107"/>
    </row>
    <row r="630" spans="3:5" ht="20.25" customHeight="1" x14ac:dyDescent="0.25">
      <c r="C630" s="91" t="s">
        <v>8403</v>
      </c>
      <c r="E630" s="107"/>
    </row>
    <row r="631" spans="3:5" ht="20.25" customHeight="1" x14ac:dyDescent="0.25">
      <c r="C631" s="91" t="s">
        <v>8404</v>
      </c>
      <c r="E631" s="107"/>
    </row>
    <row r="632" spans="3:5" ht="20.25" customHeight="1" x14ac:dyDescent="0.25">
      <c r="C632" s="91" t="s">
        <v>8405</v>
      </c>
      <c r="E632" s="107"/>
    </row>
    <row r="633" spans="3:5" ht="20.25" customHeight="1" x14ac:dyDescent="0.25">
      <c r="C633" s="91" t="s">
        <v>8406</v>
      </c>
      <c r="E633" s="107"/>
    </row>
    <row r="634" spans="3:5" ht="20.25" customHeight="1" x14ac:dyDescent="0.25">
      <c r="C634" s="91" t="s">
        <v>8407</v>
      </c>
      <c r="E634" s="107"/>
    </row>
    <row r="635" spans="3:5" ht="20.25" customHeight="1" x14ac:dyDescent="0.25">
      <c r="C635" s="95" t="s">
        <v>8408</v>
      </c>
      <c r="E635" s="107"/>
    </row>
    <row r="636" spans="3:5" ht="20.25" customHeight="1" x14ac:dyDescent="0.25">
      <c r="C636" s="91" t="s">
        <v>8409</v>
      </c>
      <c r="E636" s="107"/>
    </row>
    <row r="637" spans="3:5" ht="20.25" customHeight="1" x14ac:dyDescent="0.25">
      <c r="C637" s="91" t="s">
        <v>8410</v>
      </c>
      <c r="E637" s="107"/>
    </row>
    <row r="638" spans="3:5" ht="20.25" customHeight="1" x14ac:dyDescent="0.25">
      <c r="C638" s="95" t="s">
        <v>8411</v>
      </c>
      <c r="E638" s="107"/>
    </row>
    <row r="639" spans="3:5" ht="20.25" customHeight="1" x14ac:dyDescent="0.25">
      <c r="C639" s="91" t="s">
        <v>8412</v>
      </c>
      <c r="E639" s="107"/>
    </row>
    <row r="640" spans="3:5" ht="20.25" customHeight="1" x14ac:dyDescent="0.25">
      <c r="C640" s="91" t="s">
        <v>8413</v>
      </c>
      <c r="E640" s="107"/>
    </row>
    <row r="641" spans="3:5" ht="20.25" customHeight="1" x14ac:dyDescent="0.25">
      <c r="C641" s="91" t="s">
        <v>8414</v>
      </c>
      <c r="E641" s="107"/>
    </row>
    <row r="642" spans="3:5" ht="20.25" customHeight="1" x14ac:dyDescent="0.25">
      <c r="C642" s="91" t="s">
        <v>8415</v>
      </c>
      <c r="E642" s="107"/>
    </row>
    <row r="643" spans="3:5" ht="20.25" customHeight="1" x14ac:dyDescent="0.25">
      <c r="C643" s="95" t="s">
        <v>8416</v>
      </c>
      <c r="E643" s="107"/>
    </row>
    <row r="644" spans="3:5" ht="20.25" customHeight="1" x14ac:dyDescent="0.25">
      <c r="C644" s="91" t="s">
        <v>8417</v>
      </c>
      <c r="E644" s="107"/>
    </row>
    <row r="645" spans="3:5" ht="20.25" customHeight="1" x14ac:dyDescent="0.25">
      <c r="C645" s="91" t="s">
        <v>8418</v>
      </c>
      <c r="E645" s="107"/>
    </row>
    <row r="646" spans="3:5" ht="20.25" customHeight="1" x14ac:dyDescent="0.25">
      <c r="C646" s="96" t="s">
        <v>7841</v>
      </c>
      <c r="E646" s="107"/>
    </row>
    <row r="647" spans="3:5" ht="20.25" customHeight="1" x14ac:dyDescent="0.25">
      <c r="C647" s="95" t="s">
        <v>8419</v>
      </c>
      <c r="E647" s="98" t="s">
        <v>4436</v>
      </c>
    </row>
    <row r="648" spans="3:5" ht="20.25" customHeight="1" x14ac:dyDescent="0.25">
      <c r="C648" s="91" t="s">
        <v>8420</v>
      </c>
      <c r="E648" s="98" t="s">
        <v>4436</v>
      </c>
    </row>
    <row r="649" spans="3:5" ht="20.25" customHeight="1" x14ac:dyDescent="0.25">
      <c r="C649" s="91" t="s">
        <v>7843</v>
      </c>
      <c r="E649" s="98" t="s">
        <v>4436</v>
      </c>
    </row>
    <row r="650" spans="3:5" ht="20.25" customHeight="1" x14ac:dyDescent="0.25">
      <c r="C650" s="91" t="s">
        <v>7845</v>
      </c>
      <c r="E650" s="107" t="s">
        <v>4436</v>
      </c>
    </row>
    <row r="651" spans="3:5" ht="20.25" customHeight="1" x14ac:dyDescent="0.25">
      <c r="C651" s="91" t="s">
        <v>8421</v>
      </c>
      <c r="E651" s="107"/>
    </row>
    <row r="652" spans="3:5" ht="20.25" customHeight="1" x14ac:dyDescent="0.25">
      <c r="C652" s="91" t="s">
        <v>7847</v>
      </c>
      <c r="E652" s="107"/>
    </row>
    <row r="653" spans="3:5" ht="20.25" customHeight="1" x14ac:dyDescent="0.25">
      <c r="C653" s="91" t="s">
        <v>8422</v>
      </c>
      <c r="E653" s="107"/>
    </row>
    <row r="654" spans="3:5" ht="20.25" customHeight="1" x14ac:dyDescent="0.25">
      <c r="C654" s="91" t="s">
        <v>8423</v>
      </c>
      <c r="E654" s="107"/>
    </row>
    <row r="655" spans="3:5" ht="20.25" customHeight="1" x14ac:dyDescent="0.25">
      <c r="C655" s="91" t="s">
        <v>8424</v>
      </c>
      <c r="E655" s="107"/>
    </row>
    <row r="656" spans="3:5" ht="20.25" customHeight="1" x14ac:dyDescent="0.25">
      <c r="C656" s="91" t="s">
        <v>8425</v>
      </c>
      <c r="E656" s="107"/>
    </row>
    <row r="657" spans="3:5" ht="20.25" customHeight="1" x14ac:dyDescent="0.25">
      <c r="C657" s="91" t="s">
        <v>8426</v>
      </c>
      <c r="E657" s="107"/>
    </row>
    <row r="658" spans="3:5" ht="20.25" customHeight="1" x14ac:dyDescent="0.25">
      <c r="C658" s="91" t="s">
        <v>8427</v>
      </c>
      <c r="E658" s="107"/>
    </row>
    <row r="659" spans="3:5" ht="20.25" customHeight="1" x14ac:dyDescent="0.25">
      <c r="C659" s="91" t="s">
        <v>8428</v>
      </c>
      <c r="E659" s="107"/>
    </row>
    <row r="660" spans="3:5" ht="20.25" customHeight="1" x14ac:dyDescent="0.25">
      <c r="C660" s="91" t="s">
        <v>8429</v>
      </c>
      <c r="E660" s="107"/>
    </row>
    <row r="661" spans="3:5" ht="20.25" customHeight="1" x14ac:dyDescent="0.25">
      <c r="C661" s="91" t="s">
        <v>8430</v>
      </c>
      <c r="E661" s="107"/>
    </row>
    <row r="662" spans="3:5" ht="20.25" customHeight="1" x14ac:dyDescent="0.25">
      <c r="C662" s="91" t="s">
        <v>8431</v>
      </c>
      <c r="E662" s="107"/>
    </row>
    <row r="663" spans="3:5" ht="20.25" customHeight="1" x14ac:dyDescent="0.25">
      <c r="C663" s="91" t="s">
        <v>8432</v>
      </c>
      <c r="E663" s="107"/>
    </row>
    <row r="664" spans="3:5" ht="20.25" customHeight="1" x14ac:dyDescent="0.25">
      <c r="C664" s="91" t="s">
        <v>7849</v>
      </c>
      <c r="E664" s="107"/>
    </row>
    <row r="665" spans="3:5" ht="20.25" customHeight="1" x14ac:dyDescent="0.25">
      <c r="C665" s="91" t="s">
        <v>8433</v>
      </c>
      <c r="E665" s="107"/>
    </row>
    <row r="666" spans="3:5" ht="20.25" customHeight="1" x14ac:dyDescent="0.25">
      <c r="C666" s="91" t="s">
        <v>8434</v>
      </c>
      <c r="E666" s="110">
        <v>45040</v>
      </c>
    </row>
    <row r="667" spans="3:5" ht="20.25" customHeight="1" x14ac:dyDescent="0.25">
      <c r="C667" s="91" t="s">
        <v>8435</v>
      </c>
      <c r="E667" s="107"/>
    </row>
    <row r="668" spans="3:5" ht="20.25" customHeight="1" x14ac:dyDescent="0.25">
      <c r="C668" s="91" t="s">
        <v>8436</v>
      </c>
      <c r="E668" s="107"/>
    </row>
    <row r="669" spans="3:5" ht="20.25" customHeight="1" x14ac:dyDescent="0.25">
      <c r="C669" s="91" t="s">
        <v>8437</v>
      </c>
      <c r="E669" s="98"/>
    </row>
    <row r="670" spans="3:5" ht="20.25" customHeight="1" x14ac:dyDescent="0.25">
      <c r="C670" s="91" t="s">
        <v>8438</v>
      </c>
      <c r="E670" s="107"/>
    </row>
    <row r="671" spans="3:5" ht="20.25" customHeight="1" x14ac:dyDescent="0.25">
      <c r="C671" s="91" t="s">
        <v>8439</v>
      </c>
      <c r="E671" s="107"/>
    </row>
    <row r="672" spans="3:5" ht="20.25" customHeight="1" x14ac:dyDescent="0.25">
      <c r="C672" s="91" t="s">
        <v>8440</v>
      </c>
      <c r="E672" s="100">
        <v>44922</v>
      </c>
    </row>
    <row r="673" spans="3:5" ht="20.25" customHeight="1" x14ac:dyDescent="0.25">
      <c r="C673" s="91" t="s">
        <v>8441</v>
      </c>
      <c r="E673" s="107"/>
    </row>
    <row r="674" spans="3:5" ht="20.25" customHeight="1" x14ac:dyDescent="0.25">
      <c r="C674" s="91" t="s">
        <v>8442</v>
      </c>
      <c r="E674" s="107"/>
    </row>
    <row r="675" spans="3:5" ht="20.25" customHeight="1" x14ac:dyDescent="0.25">
      <c r="C675" s="91" t="s">
        <v>8443</v>
      </c>
      <c r="E675" s="107"/>
    </row>
    <row r="676" spans="3:5" ht="20.25" customHeight="1" x14ac:dyDescent="0.25">
      <c r="C676" s="91" t="s">
        <v>8444</v>
      </c>
      <c r="E676" s="107"/>
    </row>
    <row r="677" spans="3:5" ht="20.25" customHeight="1" x14ac:dyDescent="0.25">
      <c r="C677" s="91" t="s">
        <v>8445</v>
      </c>
      <c r="E677" s="107" t="s">
        <v>4436</v>
      </c>
    </row>
    <row r="678" spans="3:5" ht="20.25" customHeight="1" x14ac:dyDescent="0.25">
      <c r="C678" s="91" t="s">
        <v>8446</v>
      </c>
      <c r="E678" s="107" t="s">
        <v>4436</v>
      </c>
    </row>
    <row r="679" spans="3:5" ht="20.25" customHeight="1" x14ac:dyDescent="0.25">
      <c r="C679" s="91" t="s">
        <v>8447</v>
      </c>
      <c r="E679" s="107"/>
    </row>
    <row r="680" spans="3:5" ht="20.25" customHeight="1" x14ac:dyDescent="0.25">
      <c r="C680" s="91" t="s">
        <v>8448</v>
      </c>
      <c r="E680" s="107" t="s">
        <v>4436</v>
      </c>
    </row>
    <row r="681" spans="3:5" ht="20.25" customHeight="1" x14ac:dyDescent="0.25">
      <c r="C681" s="91" t="s">
        <v>8449</v>
      </c>
      <c r="E681" s="107"/>
    </row>
    <row r="682" spans="3:5" ht="20.25" customHeight="1" x14ac:dyDescent="0.25">
      <c r="C682" s="91" t="s">
        <v>8450</v>
      </c>
      <c r="E682" s="107"/>
    </row>
    <row r="683" spans="3:5" ht="20.25" customHeight="1" x14ac:dyDescent="0.25">
      <c r="C683" s="91" t="s">
        <v>8451</v>
      </c>
      <c r="E683" s="107"/>
    </row>
    <row r="684" spans="3:5" ht="20.25" customHeight="1" x14ac:dyDescent="0.25">
      <c r="C684" s="91" t="s">
        <v>8452</v>
      </c>
      <c r="E684" s="98" t="s">
        <v>4436</v>
      </c>
    </row>
    <row r="685" spans="3:5" ht="20.25" customHeight="1" x14ac:dyDescent="0.25">
      <c r="C685" s="91" t="s">
        <v>8453</v>
      </c>
      <c r="E685" s="110">
        <v>45040</v>
      </c>
    </row>
    <row r="686" spans="3:5" ht="20.25" customHeight="1" x14ac:dyDescent="0.25">
      <c r="C686" s="91" t="s">
        <v>8454</v>
      </c>
      <c r="E686" s="107"/>
    </row>
    <row r="687" spans="3:5" ht="20.25" customHeight="1" x14ac:dyDescent="0.25">
      <c r="C687" s="91" t="s">
        <v>8455</v>
      </c>
      <c r="E687" s="98" t="s">
        <v>4436</v>
      </c>
    </row>
    <row r="688" spans="3:5" ht="20.25" customHeight="1" x14ac:dyDescent="0.25">
      <c r="C688" s="91" t="s">
        <v>8456</v>
      </c>
      <c r="E688" s="103">
        <v>45148</v>
      </c>
    </row>
    <row r="689" spans="3:5" ht="20.25" customHeight="1" x14ac:dyDescent="0.25">
      <c r="C689" s="91" t="s">
        <v>8457</v>
      </c>
      <c r="E689" s="107"/>
    </row>
    <row r="690" spans="3:5" ht="20.25" customHeight="1" x14ac:dyDescent="0.25">
      <c r="C690" s="91" t="s">
        <v>8458</v>
      </c>
      <c r="E690" s="103">
        <v>45049</v>
      </c>
    </row>
    <row r="691" spans="3:5" ht="20.25" customHeight="1" x14ac:dyDescent="0.25">
      <c r="C691" s="91" t="s">
        <v>8459</v>
      </c>
      <c r="E691" s="98" t="s">
        <v>4436</v>
      </c>
    </row>
    <row r="692" spans="3:5" ht="20.25" customHeight="1" x14ac:dyDescent="0.25">
      <c r="C692" s="91" t="s">
        <v>8460</v>
      </c>
      <c r="E692" s="107" t="s">
        <v>4436</v>
      </c>
    </row>
    <row r="693" spans="3:5" ht="20.25" customHeight="1" x14ac:dyDescent="0.25">
      <c r="C693" s="91" t="s">
        <v>8461</v>
      </c>
      <c r="E693" s="107"/>
    </row>
    <row r="694" spans="3:5" ht="20.25" customHeight="1" x14ac:dyDescent="0.25">
      <c r="C694" s="91" t="s">
        <v>8462</v>
      </c>
      <c r="E694" s="107"/>
    </row>
    <row r="695" spans="3:5" ht="20.25" customHeight="1" x14ac:dyDescent="0.25">
      <c r="C695" s="91" t="s">
        <v>8463</v>
      </c>
      <c r="E695" s="103">
        <v>45049</v>
      </c>
    </row>
    <row r="696" spans="3:5" ht="20.25" customHeight="1" x14ac:dyDescent="0.25">
      <c r="C696" s="91" t="s">
        <v>8464</v>
      </c>
      <c r="E696" s="100">
        <v>45058</v>
      </c>
    </row>
    <row r="697" spans="3:5" ht="20.25" customHeight="1" x14ac:dyDescent="0.25">
      <c r="C697" s="91" t="s">
        <v>8465</v>
      </c>
      <c r="E697" s="107"/>
    </row>
    <row r="698" spans="3:5" ht="20.25" customHeight="1" x14ac:dyDescent="0.25">
      <c r="C698" s="91" t="s">
        <v>8466</v>
      </c>
      <c r="E698" s="110">
        <v>45040</v>
      </c>
    </row>
    <row r="699" spans="3:5" ht="20.25" customHeight="1" x14ac:dyDescent="0.25">
      <c r="C699" s="91" t="s">
        <v>8467</v>
      </c>
      <c r="E699" s="107"/>
    </row>
    <row r="700" spans="3:5" ht="20.25" customHeight="1" x14ac:dyDescent="0.25">
      <c r="C700" s="91" t="s">
        <v>8468</v>
      </c>
      <c r="E700" s="98" t="s">
        <v>4436</v>
      </c>
    </row>
    <row r="701" spans="3:5" ht="20.25" customHeight="1" x14ac:dyDescent="0.25">
      <c r="C701" s="91" t="s">
        <v>8469</v>
      </c>
      <c r="E701" s="107"/>
    </row>
    <row r="702" spans="3:5" ht="20.25" customHeight="1" x14ac:dyDescent="0.25">
      <c r="C702" s="91" t="s">
        <v>8470</v>
      </c>
      <c r="E702" s="107"/>
    </row>
    <row r="703" spans="3:5" ht="20.25" customHeight="1" x14ac:dyDescent="0.25">
      <c r="C703" s="91" t="s">
        <v>8471</v>
      </c>
      <c r="E703" s="107"/>
    </row>
    <row r="704" spans="3:5" ht="20.25" customHeight="1" x14ac:dyDescent="0.25">
      <c r="C704" s="91" t="s">
        <v>8472</v>
      </c>
      <c r="E704" s="98" t="s">
        <v>4436</v>
      </c>
    </row>
    <row r="705" spans="3:5" ht="20.25" customHeight="1" x14ac:dyDescent="0.25">
      <c r="C705" s="91" t="s">
        <v>8473</v>
      </c>
      <c r="E705" s="107"/>
    </row>
    <row r="706" spans="3:5" ht="20.25" customHeight="1" x14ac:dyDescent="0.25">
      <c r="C706" s="91" t="s">
        <v>8474</v>
      </c>
      <c r="E706" s="107"/>
    </row>
    <row r="707" spans="3:5" ht="20.25" customHeight="1" x14ac:dyDescent="0.25">
      <c r="C707" s="91" t="s">
        <v>8475</v>
      </c>
      <c r="E707" s="107"/>
    </row>
    <row r="708" spans="3:5" ht="20.25" customHeight="1" x14ac:dyDescent="0.25">
      <c r="C708" s="91" t="s">
        <v>8476</v>
      </c>
      <c r="E708" s="98" t="s">
        <v>4436</v>
      </c>
    </row>
    <row r="709" spans="3:5" ht="20.25" customHeight="1" x14ac:dyDescent="0.25">
      <c r="C709" s="91" t="s">
        <v>8477</v>
      </c>
      <c r="E709" s="98" t="s">
        <v>4436</v>
      </c>
    </row>
    <row r="710" spans="3:5" ht="20.25" customHeight="1" x14ac:dyDescent="0.25">
      <c r="C710" s="91" t="s">
        <v>8478</v>
      </c>
      <c r="E710" s="107"/>
    </row>
    <row r="711" spans="3:5" ht="20.25" customHeight="1" x14ac:dyDescent="0.25">
      <c r="C711" s="91" t="s">
        <v>8479</v>
      </c>
      <c r="E711" s="98" t="s">
        <v>4436</v>
      </c>
    </row>
    <row r="712" spans="3:5" ht="20.25" customHeight="1" x14ac:dyDescent="0.25">
      <c r="C712" s="91" t="s">
        <v>8480</v>
      </c>
      <c r="E712" s="107"/>
    </row>
    <row r="713" spans="3:5" ht="20.25" customHeight="1" x14ac:dyDescent="0.25">
      <c r="C713" s="91" t="s">
        <v>8481</v>
      </c>
      <c r="E713" s="107"/>
    </row>
    <row r="714" spans="3:5" ht="20.25" customHeight="1" x14ac:dyDescent="0.25">
      <c r="C714" s="91" t="s">
        <v>8482</v>
      </c>
      <c r="E714" s="98" t="s">
        <v>4436</v>
      </c>
    </row>
    <row r="715" spans="3:5" ht="20.25" customHeight="1" x14ac:dyDescent="0.25">
      <c r="C715" s="91" t="s">
        <v>8483</v>
      </c>
      <c r="E715" s="110">
        <v>45040</v>
      </c>
    </row>
    <row r="716" spans="3:5" ht="20.25" customHeight="1" x14ac:dyDescent="0.25">
      <c r="C716" s="91" t="s">
        <v>8484</v>
      </c>
      <c r="E716" s="107"/>
    </row>
    <row r="717" spans="3:5" ht="20.25" customHeight="1" x14ac:dyDescent="0.25">
      <c r="C717" s="91" t="s">
        <v>7851</v>
      </c>
      <c r="E717" s="98" t="s">
        <v>4436</v>
      </c>
    </row>
    <row r="718" spans="3:5" ht="20.25" customHeight="1" x14ac:dyDescent="0.25">
      <c r="C718" s="91" t="s">
        <v>8485</v>
      </c>
      <c r="E718" s="100">
        <v>44923</v>
      </c>
    </row>
    <row r="719" spans="3:5" ht="20.25" customHeight="1" x14ac:dyDescent="0.25">
      <c r="C719" s="91" t="s">
        <v>8486</v>
      </c>
      <c r="E719" s="107"/>
    </row>
    <row r="720" spans="3:5" ht="20.25" customHeight="1" x14ac:dyDescent="0.25">
      <c r="C720" s="91" t="s">
        <v>8487</v>
      </c>
      <c r="E720" s="100">
        <v>44877</v>
      </c>
    </row>
    <row r="721" spans="3:5" ht="20.25" customHeight="1" x14ac:dyDescent="0.25">
      <c r="C721" s="91" t="s">
        <v>8488</v>
      </c>
      <c r="E721" s="107"/>
    </row>
    <row r="722" spans="3:5" ht="20.25" customHeight="1" x14ac:dyDescent="0.25">
      <c r="C722" s="91" t="s">
        <v>8489</v>
      </c>
      <c r="E722" s="107"/>
    </row>
    <row r="723" spans="3:5" ht="20.25" customHeight="1" x14ac:dyDescent="0.25">
      <c r="C723" s="91" t="s">
        <v>8490</v>
      </c>
      <c r="E723" s="110">
        <v>45040</v>
      </c>
    </row>
    <row r="724" spans="3:5" ht="20.25" customHeight="1" x14ac:dyDescent="0.25">
      <c r="C724" s="91" t="s">
        <v>8491</v>
      </c>
      <c r="E724" s="98" t="s">
        <v>4436</v>
      </c>
    </row>
    <row r="725" spans="3:5" ht="20.25" customHeight="1" x14ac:dyDescent="0.25">
      <c r="C725" s="93" t="s">
        <v>8492</v>
      </c>
      <c r="E725" s="107"/>
    </row>
    <row r="726" spans="3:5" ht="20.25" customHeight="1" x14ac:dyDescent="0.25">
      <c r="C726" s="91" t="s">
        <v>7853</v>
      </c>
      <c r="E726" s="107"/>
    </row>
    <row r="727" spans="3:5" ht="20.25" customHeight="1" x14ac:dyDescent="0.25">
      <c r="C727" s="91" t="s">
        <v>8493</v>
      </c>
      <c r="E727" s="107"/>
    </row>
    <row r="728" spans="3:5" ht="20.25" customHeight="1" x14ac:dyDescent="0.25">
      <c r="C728" s="91" t="s">
        <v>8494</v>
      </c>
      <c r="E728" s="107"/>
    </row>
    <row r="729" spans="3:5" ht="20.25" customHeight="1" x14ac:dyDescent="0.25">
      <c r="C729" s="91" t="s">
        <v>7855</v>
      </c>
      <c r="E729" s="107"/>
    </row>
    <row r="730" spans="3:5" ht="20.25" customHeight="1" x14ac:dyDescent="0.25">
      <c r="C730" s="91" t="s">
        <v>8495</v>
      </c>
      <c r="E730" s="107"/>
    </row>
    <row r="731" spans="3:5" ht="20.25" customHeight="1" x14ac:dyDescent="0.25">
      <c r="C731" s="91" t="s">
        <v>8496</v>
      </c>
      <c r="E731" s="107"/>
    </row>
    <row r="732" spans="3:5" ht="20.25" customHeight="1" x14ac:dyDescent="0.25">
      <c r="C732" s="96" t="s">
        <v>7857</v>
      </c>
      <c r="E732" s="107"/>
    </row>
    <row r="733" spans="3:5" ht="20.25" customHeight="1" x14ac:dyDescent="0.25">
      <c r="C733" s="91" t="s">
        <v>8497</v>
      </c>
      <c r="E733" s="107"/>
    </row>
    <row r="734" spans="3:5" ht="20.25" customHeight="1" x14ac:dyDescent="0.25">
      <c r="C734" s="91" t="s">
        <v>8498</v>
      </c>
      <c r="E734" s="107"/>
    </row>
    <row r="735" spans="3:5" ht="20.25" customHeight="1" x14ac:dyDescent="0.25">
      <c r="C735" s="91" t="s">
        <v>8499</v>
      </c>
      <c r="E735" s="103">
        <v>45049</v>
      </c>
    </row>
    <row r="736" spans="3:5" ht="20.25" customHeight="1" x14ac:dyDescent="0.25">
      <c r="C736" s="91" t="s">
        <v>8500</v>
      </c>
      <c r="E736" s="110">
        <v>45040</v>
      </c>
    </row>
    <row r="737" spans="3:5" ht="20.25" customHeight="1" x14ac:dyDescent="0.25">
      <c r="C737" s="91" t="s">
        <v>8501</v>
      </c>
      <c r="E737" s="107"/>
    </row>
    <row r="738" spans="3:5" ht="20.25" customHeight="1" x14ac:dyDescent="0.25">
      <c r="C738" s="91" t="s">
        <v>8502</v>
      </c>
      <c r="E738" s="107"/>
    </row>
    <row r="739" spans="3:5" ht="20.25" customHeight="1" x14ac:dyDescent="0.25">
      <c r="C739" s="94" t="s">
        <v>8503</v>
      </c>
      <c r="E739" s="98" t="s">
        <v>4436</v>
      </c>
    </row>
    <row r="740" spans="3:5" ht="20.25" customHeight="1" x14ac:dyDescent="0.25">
      <c r="C740" s="91" t="s">
        <v>8504</v>
      </c>
      <c r="E740" s="107"/>
    </row>
    <row r="741" spans="3:5" ht="20.25" customHeight="1" x14ac:dyDescent="0.25">
      <c r="C741" s="91" t="s">
        <v>8505</v>
      </c>
      <c r="E741" s="107"/>
    </row>
    <row r="742" spans="3:5" ht="20.25" customHeight="1" x14ac:dyDescent="0.25">
      <c r="C742" s="91" t="s">
        <v>8506</v>
      </c>
      <c r="E742" s="107"/>
    </row>
    <row r="743" spans="3:5" ht="20.25" customHeight="1" x14ac:dyDescent="0.25">
      <c r="C743" s="91" t="s">
        <v>8507</v>
      </c>
      <c r="E743" s="107"/>
    </row>
    <row r="744" spans="3:5" ht="20.25" customHeight="1" x14ac:dyDescent="0.25">
      <c r="C744" s="91" t="s">
        <v>8508</v>
      </c>
      <c r="E744" s="107"/>
    </row>
    <row r="745" spans="3:5" ht="20.25" customHeight="1" x14ac:dyDescent="0.25">
      <c r="C745" s="91" t="s">
        <v>8509</v>
      </c>
      <c r="E745" s="107"/>
    </row>
    <row r="746" spans="3:5" ht="20.25" customHeight="1" x14ac:dyDescent="0.25">
      <c r="C746" s="91" t="s">
        <v>8510</v>
      </c>
      <c r="E746" s="98" t="s">
        <v>4436</v>
      </c>
    </row>
    <row r="747" spans="3:5" ht="20.25" customHeight="1" x14ac:dyDescent="0.25">
      <c r="C747" s="91" t="s">
        <v>8511</v>
      </c>
      <c r="E747" s="103">
        <v>45105</v>
      </c>
    </row>
    <row r="748" spans="3:5" ht="20.25" customHeight="1" x14ac:dyDescent="0.25">
      <c r="C748" s="91" t="s">
        <v>8512</v>
      </c>
      <c r="E748" s="110">
        <v>45040</v>
      </c>
    </row>
    <row r="749" spans="3:5" ht="20.25" customHeight="1" x14ac:dyDescent="0.25">
      <c r="C749" s="91" t="s">
        <v>8513</v>
      </c>
      <c r="E749" s="107"/>
    </row>
    <row r="750" spans="3:5" ht="20.25" customHeight="1" x14ac:dyDescent="0.25">
      <c r="C750" s="91" t="s">
        <v>8514</v>
      </c>
      <c r="E750" s="98" t="s">
        <v>4436</v>
      </c>
    </row>
    <row r="751" spans="3:5" ht="20.25" customHeight="1" x14ac:dyDescent="0.25">
      <c r="C751" s="91" t="s">
        <v>8515</v>
      </c>
      <c r="E751" s="98" t="s">
        <v>4436</v>
      </c>
    </row>
    <row r="752" spans="3:5" ht="20.25" customHeight="1" x14ac:dyDescent="0.25">
      <c r="C752" s="91" t="s">
        <v>8516</v>
      </c>
      <c r="E752" s="107"/>
    </row>
    <row r="753" spans="3:5" ht="20.25" customHeight="1" x14ac:dyDescent="0.25">
      <c r="C753" s="91" t="s">
        <v>8517</v>
      </c>
      <c r="E753" s="107"/>
    </row>
    <row r="754" spans="3:5" ht="20.25" customHeight="1" x14ac:dyDescent="0.25">
      <c r="C754" s="91" t="s">
        <v>8518</v>
      </c>
      <c r="E754" s="107"/>
    </row>
    <row r="755" spans="3:5" ht="20.25" customHeight="1" x14ac:dyDescent="0.25">
      <c r="C755" s="91" t="s">
        <v>8519</v>
      </c>
      <c r="E755" s="98" t="s">
        <v>4436</v>
      </c>
    </row>
    <row r="756" spans="3:5" ht="20.25" customHeight="1" x14ac:dyDescent="0.25">
      <c r="C756" s="91" t="s">
        <v>8520</v>
      </c>
      <c r="E756" s="107"/>
    </row>
    <row r="757" spans="3:5" ht="20.25" customHeight="1" x14ac:dyDescent="0.25">
      <c r="C757" s="91" t="s">
        <v>8521</v>
      </c>
      <c r="E757" s="100">
        <v>44910</v>
      </c>
    </row>
    <row r="758" spans="3:5" ht="20.25" customHeight="1" x14ac:dyDescent="0.25">
      <c r="C758" s="91" t="s">
        <v>8522</v>
      </c>
      <c r="E758" s="107"/>
    </row>
    <row r="759" spans="3:5" ht="20.25" customHeight="1" x14ac:dyDescent="0.25">
      <c r="C759" s="91" t="s">
        <v>8523</v>
      </c>
      <c r="E759" s="98" t="s">
        <v>4436</v>
      </c>
    </row>
    <row r="760" spans="3:5" ht="20.25" customHeight="1" x14ac:dyDescent="0.25">
      <c r="C760" s="91" t="s">
        <v>8524</v>
      </c>
      <c r="E760" s="107"/>
    </row>
    <row r="761" spans="3:5" ht="20.25" customHeight="1" x14ac:dyDescent="0.25">
      <c r="C761" s="91" t="s">
        <v>8525</v>
      </c>
      <c r="E761" s="107"/>
    </row>
    <row r="762" spans="3:5" ht="20.25" customHeight="1" x14ac:dyDescent="0.25">
      <c r="C762" s="91" t="s">
        <v>8526</v>
      </c>
      <c r="E762" s="107"/>
    </row>
    <row r="763" spans="3:5" ht="20.25" customHeight="1" x14ac:dyDescent="0.25">
      <c r="C763" s="91" t="s">
        <v>8527</v>
      </c>
      <c r="E763" s="107"/>
    </row>
    <row r="764" spans="3:5" ht="20.25" customHeight="1" x14ac:dyDescent="0.25">
      <c r="C764" s="91" t="s">
        <v>8528</v>
      </c>
      <c r="E764" s="110">
        <v>45040</v>
      </c>
    </row>
    <row r="765" spans="3:5" ht="20.25" customHeight="1" x14ac:dyDescent="0.25">
      <c r="C765" s="91" t="s">
        <v>8529</v>
      </c>
      <c r="E765" s="110">
        <v>45040</v>
      </c>
    </row>
    <row r="766" spans="3:5" ht="20.25" customHeight="1" x14ac:dyDescent="0.25">
      <c r="C766" s="91" t="s">
        <v>8530</v>
      </c>
      <c r="E766" s="107"/>
    </row>
    <row r="767" spans="3:5" ht="20.25" customHeight="1" x14ac:dyDescent="0.25">
      <c r="C767" s="91" t="s">
        <v>8531</v>
      </c>
      <c r="E767" s="107"/>
    </row>
    <row r="768" spans="3:5" ht="20.25" customHeight="1" x14ac:dyDescent="0.25">
      <c r="C768" s="91" t="s">
        <v>8532</v>
      </c>
      <c r="E768" s="110">
        <v>45040</v>
      </c>
    </row>
    <row r="769" spans="3:5" ht="20.25" customHeight="1" x14ac:dyDescent="0.25">
      <c r="C769" s="91" t="s">
        <v>8533</v>
      </c>
      <c r="E769" s="100">
        <v>44890</v>
      </c>
    </row>
    <row r="770" spans="3:5" ht="20.25" customHeight="1" x14ac:dyDescent="0.25">
      <c r="C770" s="91" t="s">
        <v>8534</v>
      </c>
      <c r="E770" s="107"/>
    </row>
    <row r="771" spans="3:5" ht="20.25" customHeight="1" x14ac:dyDescent="0.25">
      <c r="C771" s="91" t="s">
        <v>8535</v>
      </c>
      <c r="E771" s="110">
        <v>45040</v>
      </c>
    </row>
    <row r="772" spans="3:5" ht="20.25" customHeight="1" x14ac:dyDescent="0.25">
      <c r="C772" s="91" t="s">
        <v>8536</v>
      </c>
      <c r="E772" s="104"/>
    </row>
    <row r="773" spans="3:5" ht="20.25" customHeight="1" x14ac:dyDescent="0.25">
      <c r="C773" s="91" t="s">
        <v>8537</v>
      </c>
      <c r="E773" s="107"/>
    </row>
    <row r="774" spans="3:5" ht="20.25" customHeight="1" x14ac:dyDescent="0.25">
      <c r="C774" s="91" t="s">
        <v>8538</v>
      </c>
      <c r="E774" s="110">
        <v>45040</v>
      </c>
    </row>
    <row r="775" spans="3:5" ht="20.25" customHeight="1" x14ac:dyDescent="0.25">
      <c r="C775" s="91" t="s">
        <v>8539</v>
      </c>
      <c r="E775" s="107"/>
    </row>
    <row r="776" spans="3:5" ht="20.25" customHeight="1" x14ac:dyDescent="0.25">
      <c r="C776" s="91" t="s">
        <v>8540</v>
      </c>
      <c r="E776" s="107"/>
    </row>
    <row r="777" spans="3:5" ht="20.25" customHeight="1" x14ac:dyDescent="0.25">
      <c r="C777" s="91" t="s">
        <v>8541</v>
      </c>
      <c r="E777" s="110">
        <v>45040</v>
      </c>
    </row>
    <row r="778" spans="3:5" ht="20.25" customHeight="1" x14ac:dyDescent="0.25">
      <c r="C778" s="91" t="s">
        <v>8542</v>
      </c>
      <c r="E778" s="100">
        <v>44922</v>
      </c>
    </row>
    <row r="779" spans="3:5" ht="20.25" customHeight="1" x14ac:dyDescent="0.25">
      <c r="C779" s="91" t="s">
        <v>8543</v>
      </c>
      <c r="E779" s="107"/>
    </row>
    <row r="780" spans="3:5" ht="20.25" customHeight="1" x14ac:dyDescent="0.25">
      <c r="C780" s="91" t="s">
        <v>8544</v>
      </c>
      <c r="E780" s="107"/>
    </row>
    <row r="781" spans="3:5" ht="20.25" customHeight="1" x14ac:dyDescent="0.25">
      <c r="C781" s="91" t="s">
        <v>8545</v>
      </c>
      <c r="E781" s="98" t="s">
        <v>4436</v>
      </c>
    </row>
    <row r="782" spans="3:5" ht="20.25" customHeight="1" x14ac:dyDescent="0.25">
      <c r="C782" s="91" t="s">
        <v>8546</v>
      </c>
      <c r="E782" s="100">
        <v>45056</v>
      </c>
    </row>
    <row r="783" spans="3:5" ht="20.25" customHeight="1" x14ac:dyDescent="0.25">
      <c r="C783" s="91" t="s">
        <v>7859</v>
      </c>
      <c r="E783" s="107"/>
    </row>
    <row r="784" spans="3:5" ht="20.25" customHeight="1" x14ac:dyDescent="0.25">
      <c r="C784" s="91" t="s">
        <v>7861</v>
      </c>
      <c r="E784" s="98" t="s">
        <v>4436</v>
      </c>
    </row>
    <row r="785" spans="3:5" ht="20.25" customHeight="1" x14ac:dyDescent="0.25">
      <c r="C785" s="91" t="s">
        <v>8547</v>
      </c>
      <c r="E785" s="107" t="s">
        <v>4436</v>
      </c>
    </row>
    <row r="786" spans="3:5" ht="20.25" customHeight="1" x14ac:dyDescent="0.25">
      <c r="C786" s="91" t="s">
        <v>8548</v>
      </c>
      <c r="E786" s="98" t="s">
        <v>4436</v>
      </c>
    </row>
    <row r="787" spans="3:5" ht="20.25" customHeight="1" x14ac:dyDescent="0.25">
      <c r="C787" s="91" t="s">
        <v>8549</v>
      </c>
      <c r="E787" s="107"/>
    </row>
    <row r="788" spans="3:5" ht="20.25" customHeight="1" x14ac:dyDescent="0.25">
      <c r="C788" s="91" t="s">
        <v>8550</v>
      </c>
      <c r="E788" s="107"/>
    </row>
    <row r="789" spans="3:5" ht="20.25" customHeight="1" x14ac:dyDescent="0.25">
      <c r="C789" s="91" t="s">
        <v>8551</v>
      </c>
      <c r="E789" s="107"/>
    </row>
    <row r="790" spans="3:5" ht="20.25" customHeight="1" x14ac:dyDescent="0.25">
      <c r="C790" s="91" t="s">
        <v>8552</v>
      </c>
      <c r="E790" s="107"/>
    </row>
    <row r="791" spans="3:5" ht="20.25" customHeight="1" x14ac:dyDescent="0.25">
      <c r="C791" s="91" t="s">
        <v>8553</v>
      </c>
      <c r="E791" s="107"/>
    </row>
    <row r="792" spans="3:5" ht="20.25" customHeight="1" x14ac:dyDescent="0.25">
      <c r="C792" s="91" t="s">
        <v>8554</v>
      </c>
      <c r="E792" s="107"/>
    </row>
    <row r="793" spans="3:5" ht="20.25" customHeight="1" x14ac:dyDescent="0.25">
      <c r="C793" s="91" t="s">
        <v>8555</v>
      </c>
      <c r="E793" s="107"/>
    </row>
    <row r="794" spans="3:5" ht="20.25" customHeight="1" x14ac:dyDescent="0.25">
      <c r="C794" s="91" t="s">
        <v>8556</v>
      </c>
      <c r="E794" s="107"/>
    </row>
    <row r="795" spans="3:5" ht="20.25" customHeight="1" x14ac:dyDescent="0.25">
      <c r="C795" s="91" t="s">
        <v>8557</v>
      </c>
      <c r="E795" s="107"/>
    </row>
    <row r="796" spans="3:5" ht="20.25" customHeight="1" x14ac:dyDescent="0.25">
      <c r="C796" s="91" t="s">
        <v>8558</v>
      </c>
      <c r="E796" s="107"/>
    </row>
    <row r="797" spans="3:5" ht="20.25" customHeight="1" x14ac:dyDescent="0.25">
      <c r="C797" s="91" t="s">
        <v>8559</v>
      </c>
      <c r="E797" s="98" t="s">
        <v>4436</v>
      </c>
    </row>
    <row r="798" spans="3:5" ht="20.25" customHeight="1" x14ac:dyDescent="0.25">
      <c r="C798" s="91" t="s">
        <v>8560</v>
      </c>
      <c r="E798" s="98" t="s">
        <v>4436</v>
      </c>
    </row>
    <row r="799" spans="3:5" ht="20.25" customHeight="1" x14ac:dyDescent="0.25">
      <c r="C799" s="91" t="s">
        <v>8561</v>
      </c>
      <c r="E799" s="98" t="s">
        <v>4436</v>
      </c>
    </row>
    <row r="800" spans="3:5" ht="20.25" customHeight="1" x14ac:dyDescent="0.25">
      <c r="C800" s="91" t="s">
        <v>8562</v>
      </c>
      <c r="E800" s="108"/>
    </row>
    <row r="801" spans="3:5" ht="20.25" customHeight="1" x14ac:dyDescent="0.25">
      <c r="C801" s="91" t="s">
        <v>8563</v>
      </c>
      <c r="E801" s="107"/>
    </row>
    <row r="802" spans="3:5" ht="20.25" customHeight="1" x14ac:dyDescent="0.25">
      <c r="C802" s="91" t="s">
        <v>8564</v>
      </c>
      <c r="E802" s="107"/>
    </row>
    <row r="803" spans="3:5" ht="20.25" customHeight="1" x14ac:dyDescent="0.25">
      <c r="C803" s="91" t="s">
        <v>8565</v>
      </c>
      <c r="E803" s="107"/>
    </row>
    <row r="804" spans="3:5" ht="20.25" customHeight="1" x14ac:dyDescent="0.25">
      <c r="C804" s="91" t="s">
        <v>8566</v>
      </c>
      <c r="E804" s="107"/>
    </row>
    <row r="805" spans="3:5" ht="20.25" customHeight="1" x14ac:dyDescent="0.25">
      <c r="C805" s="92" t="s">
        <v>8567</v>
      </c>
      <c r="E805" s="107"/>
    </row>
    <row r="806" spans="3:5" ht="20.25" customHeight="1" x14ac:dyDescent="0.25">
      <c r="C806" s="92" t="s">
        <v>8568</v>
      </c>
      <c r="E806" s="107"/>
    </row>
    <row r="807" spans="3:5" ht="20.25" customHeight="1" x14ac:dyDescent="0.25">
      <c r="C807" s="91" t="s">
        <v>8569</v>
      </c>
      <c r="E807" s="107"/>
    </row>
    <row r="808" spans="3:5" ht="20.25" customHeight="1" x14ac:dyDescent="0.25">
      <c r="C808" s="92" t="s">
        <v>8570</v>
      </c>
      <c r="E808" s="107"/>
    </row>
    <row r="809" spans="3:5" ht="20.25" customHeight="1" x14ac:dyDescent="0.25">
      <c r="C809" s="92" t="s">
        <v>8571</v>
      </c>
      <c r="E809" s="107"/>
    </row>
    <row r="810" spans="3:5" ht="20.25" customHeight="1" x14ac:dyDescent="0.25">
      <c r="C810" s="92" t="s">
        <v>8572</v>
      </c>
      <c r="E810" s="107"/>
    </row>
    <row r="811" spans="3:5" ht="20.25" customHeight="1" x14ac:dyDescent="0.25">
      <c r="C811" s="92" t="s">
        <v>8573</v>
      </c>
      <c r="E811" s="107"/>
    </row>
    <row r="812" spans="3:5" ht="20.25" customHeight="1" x14ac:dyDescent="0.25">
      <c r="C812" s="92" t="s">
        <v>8574</v>
      </c>
      <c r="E812" s="107"/>
    </row>
    <row r="813" spans="3:5" ht="20.25" customHeight="1" x14ac:dyDescent="0.25">
      <c r="C813" s="92" t="s">
        <v>8575</v>
      </c>
      <c r="E813" s="107"/>
    </row>
    <row r="814" spans="3:5" ht="20.25" customHeight="1" x14ac:dyDescent="0.25">
      <c r="C814" s="92" t="s">
        <v>8576</v>
      </c>
      <c r="E814" s="107"/>
    </row>
    <row r="815" spans="3:5" ht="20.25" customHeight="1" x14ac:dyDescent="0.25">
      <c r="C815" s="92" t="s">
        <v>8577</v>
      </c>
      <c r="E815" s="107"/>
    </row>
    <row r="816" spans="3:5" ht="20.25" customHeight="1" x14ac:dyDescent="0.25">
      <c r="C816" s="92" t="s">
        <v>8578</v>
      </c>
      <c r="E816" s="107"/>
    </row>
    <row r="817" spans="3:5" ht="20.25" customHeight="1" x14ac:dyDescent="0.25">
      <c r="C817" s="92" t="s">
        <v>8579</v>
      </c>
      <c r="E817" s="107"/>
    </row>
    <row r="818" spans="3:5" ht="20.25" customHeight="1" x14ac:dyDescent="0.25">
      <c r="C818" s="92" t="s">
        <v>8580</v>
      </c>
      <c r="E818" s="107"/>
    </row>
    <row r="819" spans="3:5" ht="20.25" customHeight="1" x14ac:dyDescent="0.25">
      <c r="C819" s="92" t="s">
        <v>8581</v>
      </c>
      <c r="E819" s="107"/>
    </row>
    <row r="820" spans="3:5" ht="20.25" customHeight="1" x14ac:dyDescent="0.25">
      <c r="C820" s="92" t="s">
        <v>8582</v>
      </c>
      <c r="E820" s="107"/>
    </row>
    <row r="821" spans="3:5" ht="20.25" customHeight="1" x14ac:dyDescent="0.25">
      <c r="C821" s="92" t="s">
        <v>8583</v>
      </c>
      <c r="E821" s="107"/>
    </row>
    <row r="822" spans="3:5" ht="20.25" customHeight="1" x14ac:dyDescent="0.25">
      <c r="C822" s="92" t="s">
        <v>8584</v>
      </c>
      <c r="E822" s="107"/>
    </row>
    <row r="823" spans="3:5" ht="20.25" customHeight="1" x14ac:dyDescent="0.25">
      <c r="C823" s="92" t="s">
        <v>8585</v>
      </c>
      <c r="E823" s="107"/>
    </row>
    <row r="824" spans="3:5" ht="20.25" customHeight="1" x14ac:dyDescent="0.25">
      <c r="C824" s="92" t="s">
        <v>8586</v>
      </c>
      <c r="E824" s="107"/>
    </row>
    <row r="825" spans="3:5" ht="20.25" customHeight="1" x14ac:dyDescent="0.25">
      <c r="C825" s="92" t="s">
        <v>8587</v>
      </c>
      <c r="E825" s="107"/>
    </row>
    <row r="826" spans="3:5" ht="20.25" customHeight="1" x14ac:dyDescent="0.25">
      <c r="C826" s="92" t="s">
        <v>8588</v>
      </c>
      <c r="E826" s="107"/>
    </row>
    <row r="827" spans="3:5" ht="20.25" customHeight="1" x14ac:dyDescent="0.25">
      <c r="C827" s="92" t="s">
        <v>8589</v>
      </c>
      <c r="E827" s="107"/>
    </row>
    <row r="828" spans="3:5" ht="20.25" customHeight="1" x14ac:dyDescent="0.25">
      <c r="C828" s="92" t="s">
        <v>8590</v>
      </c>
      <c r="E828" s="107"/>
    </row>
    <row r="829" spans="3:5" ht="20.25" customHeight="1" x14ac:dyDescent="0.25">
      <c r="C829" s="92" t="s">
        <v>8591</v>
      </c>
      <c r="E829" s="107"/>
    </row>
    <row r="830" spans="3:5" ht="20.25" customHeight="1" x14ac:dyDescent="0.25">
      <c r="C830" s="92" t="s">
        <v>8592</v>
      </c>
      <c r="E830" s="107"/>
    </row>
    <row r="831" spans="3:5" ht="20.25" customHeight="1" x14ac:dyDescent="0.25">
      <c r="C831" s="92" t="s">
        <v>8593</v>
      </c>
      <c r="E831" s="107"/>
    </row>
    <row r="832" spans="3:5" ht="20.25" customHeight="1" x14ac:dyDescent="0.25">
      <c r="C832" s="92" t="s">
        <v>8594</v>
      </c>
      <c r="E832" s="107"/>
    </row>
    <row r="833" spans="3:5" ht="20.25" customHeight="1" x14ac:dyDescent="0.25">
      <c r="C833" s="92" t="s">
        <v>8595</v>
      </c>
      <c r="E833" s="107"/>
    </row>
    <row r="834" spans="3:5" ht="20.25" customHeight="1" x14ac:dyDescent="0.25">
      <c r="C834" s="92" t="s">
        <v>8596</v>
      </c>
      <c r="E834" s="98" t="s">
        <v>4436</v>
      </c>
    </row>
    <row r="835" spans="3:5" ht="20.25" customHeight="1" x14ac:dyDescent="0.25">
      <c r="C835" s="92" t="s">
        <v>8597</v>
      </c>
      <c r="E835" s="107"/>
    </row>
    <row r="836" spans="3:5" ht="20.25" customHeight="1" x14ac:dyDescent="0.25">
      <c r="C836" s="92" t="s">
        <v>8598</v>
      </c>
      <c r="E836" s="107"/>
    </row>
    <row r="837" spans="3:5" ht="20.25" customHeight="1" x14ac:dyDescent="0.25">
      <c r="C837" s="92" t="s">
        <v>7863</v>
      </c>
      <c r="E837" s="107"/>
    </row>
    <row r="838" spans="3:5" ht="20.25" customHeight="1" x14ac:dyDescent="0.25">
      <c r="C838" s="92" t="s">
        <v>8599</v>
      </c>
      <c r="E838" s="107"/>
    </row>
    <row r="839" spans="3:5" ht="20.25" customHeight="1" x14ac:dyDescent="0.25">
      <c r="C839" s="92" t="s">
        <v>8600</v>
      </c>
      <c r="E839" s="103">
        <v>45065</v>
      </c>
    </row>
    <row r="840" spans="3:5" ht="20.25" customHeight="1" x14ac:dyDescent="0.25">
      <c r="C840" s="92" t="s">
        <v>8601</v>
      </c>
      <c r="E840" s="98" t="s">
        <v>4436</v>
      </c>
    </row>
    <row r="841" spans="3:5" ht="20.25" customHeight="1" x14ac:dyDescent="0.25">
      <c r="C841" s="92" t="s">
        <v>8602</v>
      </c>
      <c r="E841" s="103">
        <v>45148</v>
      </c>
    </row>
    <row r="842" spans="3:5" ht="20.25" customHeight="1" x14ac:dyDescent="0.25">
      <c r="C842" s="92" t="s">
        <v>8603</v>
      </c>
      <c r="E842" s="98" t="s">
        <v>4436</v>
      </c>
    </row>
    <row r="843" spans="3:5" ht="20.25" customHeight="1" x14ac:dyDescent="0.25">
      <c r="C843" s="92" t="s">
        <v>7865</v>
      </c>
      <c r="E843" s="98" t="s">
        <v>4436</v>
      </c>
    </row>
    <row r="844" spans="3:5" ht="20.25" customHeight="1" x14ac:dyDescent="0.25">
      <c r="C844" s="93"/>
      <c r="E844" s="107"/>
    </row>
    <row r="845" spans="3:5" ht="20.25" customHeight="1" x14ac:dyDescent="0.25">
      <c r="C845" s="93"/>
      <c r="E845" s="107"/>
    </row>
    <row r="846" spans="3:5" ht="20.25" customHeight="1" x14ac:dyDescent="0.25">
      <c r="C846" s="93"/>
      <c r="E846" s="107"/>
    </row>
    <row r="847" spans="3:5" ht="20.25" customHeight="1" x14ac:dyDescent="0.25">
      <c r="C847" s="93"/>
      <c r="E847" s="100">
        <v>44910</v>
      </c>
    </row>
    <row r="848" spans="3:5" ht="20.25" customHeight="1" x14ac:dyDescent="0.25">
      <c r="C848" s="93"/>
      <c r="E848" s="103">
        <v>45065</v>
      </c>
    </row>
    <row r="849" spans="3:5" ht="20.25" customHeight="1" x14ac:dyDescent="0.25">
      <c r="C849" s="93"/>
      <c r="E849" s="98" t="s">
        <v>4436</v>
      </c>
    </row>
    <row r="850" spans="3:5" ht="20.25" customHeight="1" x14ac:dyDescent="0.25">
      <c r="C850" s="93"/>
      <c r="E850" s="98" t="s">
        <v>4436</v>
      </c>
    </row>
    <row r="851" spans="3:5" ht="20.25" customHeight="1" x14ac:dyDescent="0.25">
      <c r="C851" s="93"/>
      <c r="E851" s="103">
        <v>45049</v>
      </c>
    </row>
    <row r="853" spans="3:5" ht="20.25" customHeight="1" x14ac:dyDescent="0.25">
      <c r="E853" s="98" t="s">
        <v>4436</v>
      </c>
    </row>
    <row r="854" spans="3:5" ht="20.25" customHeight="1" x14ac:dyDescent="0.25">
      <c r="E854" s="110">
        <v>45040</v>
      </c>
    </row>
    <row r="855" spans="3:5" ht="20.25" customHeight="1" x14ac:dyDescent="0.25">
      <c r="E855" s="107"/>
    </row>
    <row r="856" spans="3:5" ht="20.25" customHeight="1" x14ac:dyDescent="0.25">
      <c r="E856" s="107"/>
    </row>
    <row r="857" spans="3:5" ht="20.25" customHeight="1" x14ac:dyDescent="0.25">
      <c r="E857" s="107"/>
    </row>
    <row r="858" spans="3:5" ht="20.25" customHeight="1" x14ac:dyDescent="0.25">
      <c r="E858" s="107"/>
    </row>
    <row r="859" spans="3:5" ht="20.25" customHeight="1" x14ac:dyDescent="0.25">
      <c r="E859" s="107"/>
    </row>
    <row r="860" spans="3:5" ht="20.25" customHeight="1" x14ac:dyDescent="0.25">
      <c r="E860" s="107"/>
    </row>
    <row r="861" spans="3:5" ht="20.25" customHeight="1" x14ac:dyDescent="0.25">
      <c r="E861" s="107"/>
    </row>
    <row r="862" spans="3:5" ht="20.25" customHeight="1" x14ac:dyDescent="0.25">
      <c r="E862" s="107"/>
    </row>
    <row r="863" spans="3:5" ht="20.25" customHeight="1" x14ac:dyDescent="0.25">
      <c r="E863" s="107"/>
    </row>
    <row r="864" spans="3:5" ht="20.25" customHeight="1" x14ac:dyDescent="0.25">
      <c r="E864" s="107"/>
    </row>
    <row r="865" spans="5:5" ht="20.25" customHeight="1" x14ac:dyDescent="0.25">
      <c r="E865" s="107"/>
    </row>
    <row r="866" spans="5:5" ht="20.25" customHeight="1" x14ac:dyDescent="0.25">
      <c r="E866" s="107"/>
    </row>
    <row r="867" spans="5:5" ht="20.25" customHeight="1" x14ac:dyDescent="0.25">
      <c r="E867" s="98" t="s">
        <v>4436</v>
      </c>
    </row>
    <row r="904" spans="5:5" ht="20.25" customHeight="1" x14ac:dyDescent="0.25">
      <c r="E904" s="98" t="s">
        <v>4436</v>
      </c>
    </row>
    <row r="905" spans="5:5" ht="20.25" customHeight="1" x14ac:dyDescent="0.25">
      <c r="E905" s="98" t="s">
        <v>4436</v>
      </c>
    </row>
    <row r="916" spans="5:5" ht="20.25" customHeight="1" x14ac:dyDescent="0.25">
      <c r="E916" s="98" t="s">
        <v>4436</v>
      </c>
    </row>
    <row r="917" spans="5:5" ht="20.25" customHeight="1" x14ac:dyDescent="0.25">
      <c r="E917" s="98" t="s">
        <v>4436</v>
      </c>
    </row>
    <row r="918" spans="5:5" ht="20.25" customHeight="1" x14ac:dyDescent="0.25">
      <c r="E918" s="107"/>
    </row>
    <row r="919" spans="5:5" ht="20.25" customHeight="1" x14ac:dyDescent="0.25">
      <c r="E919" s="107"/>
    </row>
    <row r="920" spans="5:5" ht="20.25" customHeight="1" x14ac:dyDescent="0.25">
      <c r="E920" s="107"/>
    </row>
    <row r="921" spans="5:5" ht="20.25" customHeight="1" x14ac:dyDescent="0.25">
      <c r="E921" s="107"/>
    </row>
    <row r="922" spans="5:5" ht="20.25" customHeight="1" x14ac:dyDescent="0.25">
      <c r="E922" s="103">
        <v>45049</v>
      </c>
    </row>
    <row r="940" spans="5:5" ht="20.25" customHeight="1" x14ac:dyDescent="0.25">
      <c r="E940" s="100">
        <v>44961</v>
      </c>
    </row>
    <row r="968" spans="5:5" ht="20.25" customHeight="1" x14ac:dyDescent="0.25">
      <c r="E968" s="100">
        <v>44961</v>
      </c>
    </row>
    <row r="969" spans="5:5" ht="20.25" customHeight="1" x14ac:dyDescent="0.25">
      <c r="E969" s="103">
        <v>45105</v>
      </c>
    </row>
    <row r="970" spans="5:5" ht="20.25" customHeight="1" x14ac:dyDescent="0.25">
      <c r="E970" s="103">
        <v>45105</v>
      </c>
    </row>
    <row r="971" spans="5:5" ht="20.25" customHeight="1" x14ac:dyDescent="0.25">
      <c r="E971" s="107"/>
    </row>
    <row r="972" spans="5:5" ht="20.25" customHeight="1" x14ac:dyDescent="0.25">
      <c r="E972" s="98" t="s">
        <v>4436</v>
      </c>
    </row>
    <row r="973" spans="5:5" ht="20.25" customHeight="1" x14ac:dyDescent="0.25">
      <c r="E973" s="100">
        <v>44961</v>
      </c>
    </row>
    <row r="974" spans="5:5" ht="20.25" customHeight="1" x14ac:dyDescent="0.25">
      <c r="E974" s="107"/>
    </row>
    <row r="975" spans="5:5" ht="20.25" customHeight="1" x14ac:dyDescent="0.25">
      <c r="E975" s="98" t="s">
        <v>4436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 x14ac:dyDescent="0.2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 x14ac:dyDescent="0.25"/>
    <row r="4" spans="6:10" ht="27.75" customHeight="1" x14ac:dyDescent="0.2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 x14ac:dyDescent="0.2">
      <c r="F5" s="140" t="s">
        <v>4396</v>
      </c>
      <c r="G5" s="140" t="s">
        <v>4437</v>
      </c>
      <c r="H5" s="141" t="s">
        <v>4438</v>
      </c>
      <c r="I5" s="141" t="s">
        <v>4440</v>
      </c>
      <c r="J5" s="146" t="s">
        <v>4442</v>
      </c>
    </row>
    <row r="6" spans="6:10" ht="24.75" customHeight="1" x14ac:dyDescent="0.2">
      <c r="F6" s="140" t="s">
        <v>4396</v>
      </c>
      <c r="G6" s="140" t="s">
        <v>4473</v>
      </c>
      <c r="H6" s="141" t="s">
        <v>4474</v>
      </c>
      <c r="I6" s="140" t="s">
        <v>4476</v>
      </c>
      <c r="J6" s="146" t="s">
        <v>4477</v>
      </c>
    </row>
    <row r="7" spans="6:10" ht="24.75" customHeight="1" x14ac:dyDescent="0.2">
      <c r="F7" s="140" t="s">
        <v>4396</v>
      </c>
      <c r="G7" s="140" t="s">
        <v>4804</v>
      </c>
      <c r="H7" s="141" t="s">
        <v>4809</v>
      </c>
      <c r="I7" s="141" t="s">
        <v>4811</v>
      </c>
      <c r="J7" s="146" t="s">
        <v>4812</v>
      </c>
    </row>
    <row r="8" spans="6:10" ht="24.75" customHeight="1" x14ac:dyDescent="0.2">
      <c r="F8" s="140" t="s">
        <v>4396</v>
      </c>
      <c r="G8" s="140" t="s">
        <v>4880</v>
      </c>
      <c r="H8" s="141" t="s">
        <v>4884</v>
      </c>
      <c r="I8" s="141" t="s">
        <v>4886</v>
      </c>
      <c r="J8" s="146" t="s">
        <v>4887</v>
      </c>
    </row>
    <row r="9" spans="6:10" ht="24.75" customHeight="1" x14ac:dyDescent="0.2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 x14ac:dyDescent="0.2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 x14ac:dyDescent="0.2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 x14ac:dyDescent="0.2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 x14ac:dyDescent="0.2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 x14ac:dyDescent="0.2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 x14ac:dyDescent="0.2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 x14ac:dyDescent="0.2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 x14ac:dyDescent="0.2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 x14ac:dyDescent="0.2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 x14ac:dyDescent="0.2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 x14ac:dyDescent="0.2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 x14ac:dyDescent="0.2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 x14ac:dyDescent="0.2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 x14ac:dyDescent="0.2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 x14ac:dyDescent="0.2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 x14ac:dyDescent="0.2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 x14ac:dyDescent="0.2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 x14ac:dyDescent="0.2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 x14ac:dyDescent="0.2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 x14ac:dyDescent="0.2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 x14ac:dyDescent="0.2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 x14ac:dyDescent="0.2">
      <c r="F31" s="140" t="s">
        <v>4396</v>
      </c>
      <c r="G31" s="140" t="s">
        <v>5741</v>
      </c>
      <c r="H31" s="141" t="s">
        <v>5742</v>
      </c>
      <c r="I31" s="140" t="s">
        <v>5744</v>
      </c>
      <c r="J31" s="146" t="s">
        <v>5745</v>
      </c>
    </row>
    <row r="32" spans="6:10" ht="24.75" customHeight="1" x14ac:dyDescent="0.2">
      <c r="F32" s="140" t="s">
        <v>4396</v>
      </c>
      <c r="G32" s="140" t="s">
        <v>5746</v>
      </c>
      <c r="H32" s="141" t="s">
        <v>5747</v>
      </c>
      <c r="I32" s="140" t="s">
        <v>5749</v>
      </c>
      <c r="J32" s="146" t="s">
        <v>5750</v>
      </c>
    </row>
    <row r="33" spans="6:10" ht="24.75" customHeight="1" x14ac:dyDescent="0.2">
      <c r="F33" s="140" t="s">
        <v>4396</v>
      </c>
      <c r="G33" s="140" t="s">
        <v>5751</v>
      </c>
      <c r="H33" s="141" t="s">
        <v>5752</v>
      </c>
      <c r="I33" s="140" t="s">
        <v>5754</v>
      </c>
      <c r="J33" s="146" t="s">
        <v>5755</v>
      </c>
    </row>
    <row r="34" spans="6:10" ht="24.75" customHeight="1" x14ac:dyDescent="0.2">
      <c r="F34" s="140" t="s">
        <v>4396</v>
      </c>
      <c r="G34" s="140" t="s">
        <v>5847</v>
      </c>
      <c r="H34" s="141" t="s">
        <v>5848</v>
      </c>
      <c r="I34" s="141" t="s">
        <v>5850</v>
      </c>
      <c r="J34" s="146" t="s">
        <v>5851</v>
      </c>
    </row>
    <row r="35" spans="6:10" ht="24.75" customHeight="1" x14ac:dyDescent="0.2">
      <c r="F35" s="140" t="s">
        <v>4396</v>
      </c>
      <c r="G35" s="140" t="s">
        <v>5878</v>
      </c>
      <c r="H35" s="141" t="s">
        <v>5879</v>
      </c>
      <c r="I35" s="141" t="s">
        <v>5881</v>
      </c>
      <c r="J35" s="146" t="s">
        <v>5882</v>
      </c>
    </row>
    <row r="36" spans="6:10" ht="24.75" customHeight="1" x14ac:dyDescent="0.2">
      <c r="F36" s="140" t="s">
        <v>4396</v>
      </c>
      <c r="G36" s="140" t="s">
        <v>5921</v>
      </c>
      <c r="H36" s="141" t="s">
        <v>5922</v>
      </c>
      <c r="I36" s="141" t="s">
        <v>5924</v>
      </c>
      <c r="J36" s="146" t="s">
        <v>5925</v>
      </c>
    </row>
    <row r="37" spans="6:10" ht="24.75" customHeight="1" x14ac:dyDescent="0.2">
      <c r="F37" s="140" t="s">
        <v>4396</v>
      </c>
      <c r="G37" s="140" t="s">
        <v>5955</v>
      </c>
      <c r="H37" s="141" t="s">
        <v>5956</v>
      </c>
      <c r="I37" s="141" t="s">
        <v>5958</v>
      </c>
      <c r="J37" s="146" t="s">
        <v>5959</v>
      </c>
    </row>
    <row r="38" spans="6:10" ht="24.75" customHeight="1" x14ac:dyDescent="0.2">
      <c r="F38" s="140" t="s">
        <v>4396</v>
      </c>
      <c r="G38" s="140" t="s">
        <v>5969</v>
      </c>
      <c r="H38" s="141" t="s">
        <v>5970</v>
      </c>
      <c r="I38" s="141" t="s">
        <v>5972</v>
      </c>
      <c r="J38" s="146" t="s">
        <v>5973</v>
      </c>
    </row>
    <row r="39" spans="6:10" ht="24.75" customHeight="1" x14ac:dyDescent="0.2">
      <c r="F39" s="140" t="s">
        <v>4396</v>
      </c>
      <c r="G39" s="140" t="s">
        <v>6094</v>
      </c>
      <c r="H39" s="141" t="s">
        <v>6095</v>
      </c>
      <c r="I39" s="141" t="s">
        <v>6097</v>
      </c>
      <c r="J39" s="146" t="s">
        <v>6098</v>
      </c>
    </row>
    <row r="40" spans="6:10" ht="24.75" customHeight="1" x14ac:dyDescent="0.2">
      <c r="F40" s="140" t="s">
        <v>4396</v>
      </c>
      <c r="G40" s="140" t="s">
        <v>6140</v>
      </c>
      <c r="H40" s="141" t="s">
        <v>6141</v>
      </c>
      <c r="I40" s="141" t="s">
        <v>6142</v>
      </c>
      <c r="J40" s="146" t="s">
        <v>6143</v>
      </c>
    </row>
    <row r="41" spans="6:10" ht="24.75" customHeight="1" x14ac:dyDescent="0.2">
      <c r="F41" s="140" t="s">
        <v>4396</v>
      </c>
      <c r="G41" s="140" t="s">
        <v>6271</v>
      </c>
      <c r="H41" s="141" t="s">
        <v>6272</v>
      </c>
      <c r="I41" s="141" t="s">
        <v>6274</v>
      </c>
      <c r="J41" s="146" t="s">
        <v>6275</v>
      </c>
    </row>
    <row r="42" spans="6:10" ht="24.75" customHeight="1" x14ac:dyDescent="0.2">
      <c r="F42" s="140" t="s">
        <v>4396</v>
      </c>
      <c r="G42" s="140" t="s">
        <v>7057</v>
      </c>
      <c r="H42" s="141" t="s">
        <v>7058</v>
      </c>
      <c r="I42" s="141" t="s">
        <v>7060</v>
      </c>
      <c r="J42" s="146" t="s">
        <v>7061</v>
      </c>
    </row>
    <row r="43" spans="6:10" ht="24.75" customHeight="1" x14ac:dyDescent="0.2">
      <c r="F43" s="140" t="s">
        <v>4396</v>
      </c>
      <c r="G43" s="140" t="s">
        <v>7464</v>
      </c>
      <c r="H43" s="141" t="s">
        <v>7468</v>
      </c>
      <c r="I43" s="141" t="s">
        <v>7467</v>
      </c>
      <c r="J43" s="146" t="s">
        <v>7469</v>
      </c>
    </row>
    <row r="44" spans="6:10" ht="24.75" customHeight="1" x14ac:dyDescent="0.2">
      <c r="F44" s="124"/>
    </row>
    <row r="45" spans="6:10" ht="24.75" customHeight="1" x14ac:dyDescent="0.2">
      <c r="F45" s="121"/>
    </row>
    <row r="46" spans="6:10" ht="24.75" customHeight="1" x14ac:dyDescent="0.2">
      <c r="F46" s="121"/>
    </row>
    <row r="47" spans="6:10" ht="24.75" customHeight="1" x14ac:dyDescent="0.2">
      <c r="F47" s="121"/>
    </row>
    <row r="48" spans="6:10" ht="24.75" customHeight="1" x14ac:dyDescent="0.2">
      <c r="F48" s="121"/>
    </row>
    <row r="49" spans="6:6" ht="24.75" customHeight="1" x14ac:dyDescent="0.2">
      <c r="F49" s="121"/>
    </row>
    <row r="50" spans="6:6" ht="24.75" customHeight="1" x14ac:dyDescent="0.2">
      <c r="F50" s="121"/>
    </row>
    <row r="51" spans="6:6" ht="24.75" customHeight="1" x14ac:dyDescent="0.2">
      <c r="F51" s="121"/>
    </row>
    <row r="52" spans="6:6" ht="24.75" customHeight="1" x14ac:dyDescent="0.2">
      <c r="F52" s="121"/>
    </row>
    <row r="53" spans="6:6" ht="24.75" customHeight="1" x14ac:dyDescent="0.2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 x14ac:dyDescent="0.2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 x14ac:dyDescent="0.2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 x14ac:dyDescent="0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8604</v>
      </c>
    </row>
    <row r="3" spans="1:11" ht="15.75" x14ac:dyDescent="0.25">
      <c r="A3" s="98">
        <v>447</v>
      </c>
      <c r="B3" s="98" t="s">
        <v>4396</v>
      </c>
      <c r="C3" s="98" t="s">
        <v>4413</v>
      </c>
      <c r="D3" s="99" t="s">
        <v>6392</v>
      </c>
      <c r="E3" s="125" t="s">
        <v>6393</v>
      </c>
      <c r="F3" s="125" t="s">
        <v>6395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 x14ac:dyDescent="0.2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8605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 x14ac:dyDescent="0.2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 x14ac:dyDescent="0.2">
      <c r="B3" s="155" t="s">
        <v>4396</v>
      </c>
      <c r="C3" s="154" t="s">
        <v>8606</v>
      </c>
      <c r="D3" s="154" t="s">
        <v>4400</v>
      </c>
      <c r="E3" s="154" t="s">
        <v>4401</v>
      </c>
      <c r="F3" s="157" t="s">
        <v>4421</v>
      </c>
      <c r="G3" s="97" t="s">
        <v>4431</v>
      </c>
      <c r="H3" s="156" t="s">
        <v>4405</v>
      </c>
      <c r="I3" s="126" t="s">
        <v>4421</v>
      </c>
      <c r="J3" s="159" t="s">
        <v>4432</v>
      </c>
    </row>
    <row r="4" spans="2:10" ht="20.100000000000001" customHeight="1" x14ac:dyDescent="0.2">
      <c r="C4" s="154" t="s">
        <v>8607</v>
      </c>
      <c r="D4" s="154" t="s">
        <v>4544</v>
      </c>
      <c r="E4" s="154" t="s">
        <v>4427</v>
      </c>
      <c r="F4" s="157" t="s">
        <v>4402</v>
      </c>
      <c r="G4" s="97" t="s">
        <v>4406</v>
      </c>
      <c r="H4" s="156" t="s">
        <v>6138</v>
      </c>
      <c r="I4" s="126" t="s">
        <v>4402</v>
      </c>
      <c r="J4" s="159" t="s">
        <v>14</v>
      </c>
    </row>
    <row r="5" spans="2:10" ht="20.100000000000001" customHeight="1" x14ac:dyDescent="0.2">
      <c r="C5" s="154" t="s">
        <v>4397</v>
      </c>
      <c r="D5" s="154" t="s">
        <v>4545</v>
      </c>
      <c r="E5" s="158" t="s">
        <v>4582</v>
      </c>
      <c r="F5" s="157" t="s">
        <v>8608</v>
      </c>
      <c r="G5" s="126" t="s">
        <v>8609</v>
      </c>
    </row>
    <row r="6" spans="2:10" ht="20.100000000000001" customHeight="1" x14ac:dyDescent="0.2">
      <c r="C6" s="154" t="s">
        <v>4452</v>
      </c>
      <c r="D6" s="154" t="s">
        <v>4412</v>
      </c>
      <c r="E6" s="154"/>
      <c r="F6" s="157" t="s">
        <v>4535</v>
      </c>
      <c r="G6" s="97" t="s">
        <v>4549</v>
      </c>
    </row>
    <row r="7" spans="2:10" ht="20.100000000000001" customHeight="1" x14ac:dyDescent="0.2">
      <c r="C7" s="154" t="s">
        <v>8610</v>
      </c>
      <c r="G7" s="97" t="s">
        <v>8611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Listas (não utilizar)</vt:lpstr>
      <vt:lpstr>QUANT COND</vt:lpstr>
      <vt:lpstr>OFÍCIOS</vt:lpstr>
      <vt:lpstr>PRIORIDADES</vt:lpstr>
      <vt:lpstr>EMAIL</vt:lpstr>
      <vt:lpstr>DEPLAN</vt:lpstr>
      <vt:lpstr>Planilha1</vt:lpstr>
      <vt:lpstr>VALIDAÇÕES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2026-09-11T14:22:19Z</dcterms:modified>
  <cp:category/>
  <cp:contentStatus/>
</cp:coreProperties>
</file>